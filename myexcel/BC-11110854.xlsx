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20331" documentId="13_ncr:1_{85579DAD-143A-4F8E-AFCB-7144D0897D06}" xr6:coauthVersionLast="47" xr6:coauthVersionMax="47" xr10:uidLastSave="{9B4320E1-8ABD-4972-A883-69B546427A23}"/>
  <bookViews>
    <workbookView minimized="1" xWindow="5760" yWindow="1392" windowWidth="17280" windowHeight="8964" tabRatio="841" activeTab="1" xr2:uid="{00000000-000D-0000-FFFF-FFFF00000000}"/>
  </bookViews>
  <sheets>
    <sheet name="MASTER" sheetId="2" r:id="rId1"/>
    <sheet name="CR-DR" sheetId="1" r:id="rId2"/>
    <sheet name="06-1953" sheetId="24" r:id="rId3"/>
    <sheet name="SF" sheetId="22" r:id="rId4"/>
    <sheet name="nps" sheetId="19" r:id="rId5"/>
    <sheet name="Trading" sheetId="18" r:id="rId6"/>
    <sheet name="Monthly exp" sheetId="13" r:id="rId7"/>
    <sheet name="dAILY" sheetId="21" r:id="rId8"/>
    <sheet name="MARRIAGE EXP" sheetId="23" r:id="rId9"/>
  </sheets>
  <definedNames>
    <definedName name="_xlnm._FilterDatabase" localSheetId="1" hidden="1">'CR-DR'!$A$1:$M$9437</definedName>
    <definedName name="_xlnm._FilterDatabase" localSheetId="0" hidden="1">MASTER!$C$1:$R$1233</definedName>
    <definedName name="kharangajhar">#REF!</definedName>
    <definedName name="Madarsacolony">#REF!</definedName>
    <definedName name="radhikanagar">#REF!</definedName>
    <definedName name="Z_1459FC0D_58BA_4BEC_951C_298999986759_.wvu.FilterData" localSheetId="0" hidden="1">MASTER!$C$1:$R$1233</definedName>
    <definedName name="Z_2FF9BCA9_095C_4E73_9C86_2243907C0824_.wvu.FilterData" localSheetId="0" hidden="1">MASTER!$C$1:$R$1233</definedName>
    <definedName name="Z_A0CE3161_5061_442F_A27F_2BA55581F316_.wvu.FilterData" localSheetId="0" hidden="1">MASTER!$C$1:$R$1233</definedName>
    <definedName name="Z_EB31AAB7_3CD3_47EA_8FB3_E6304DCC89B3_.wvu.Cols" localSheetId="0" hidden="1">MASTER!$H:$I</definedName>
    <definedName name="Z_EB31AAB7_3CD3_47EA_8FB3_E6304DCC89B3_.wvu.FilterData" localSheetId="0" hidden="1">MASTER!$C$1:$R$1233</definedName>
  </definedNames>
  <calcPr calcId="181029"/>
  <customWorkbookViews>
    <customWorkbookView name="CSC-KGN - Personal View" guid="{A0CE3161-5061-442F-A27F-2BA55581F316}" autoUpdate="1" mergeInterval="5" personalView="1" maximized="1" xWindow="-8" yWindow="-8" windowWidth="1296" windowHeight="1000" tabRatio="841" activeSheetId="11"/>
    <customWorkbookView name="NISE-DESKTOP - Personal View" guid="{2FF9BCA9-095C-4E73-9C86-2243907C0824}" mergeInterval="0" personalView="1" maximized="1" xWindow="-8" yWindow="-8" windowWidth="1296" windowHeight="1000" tabRatio="841" activeSheetId="11"/>
    <customWorkbookView name="Sanjay Kumar - Personal View" guid="{EB31AAB7-3CD3-47EA-8FB3-E6304DCC89B3}" mergeInterval="0" personalView="1" maximized="1" xWindow="-8" yWindow="-8" windowWidth="1382" windowHeight="744" tabRatio="841" activeSheetId="2"/>
    <customWorkbookView name="NISE-COMPUTER - Personal View" guid="{1459FC0D-58BA-4BEC-951C-298999986759}" mergeInterval="0" personalView="1" maximized="1" xWindow="-9" yWindow="-9" windowWidth="1298" windowHeight="992" tabRatio="841" activeSheetId="2"/>
  </customWorkbookViews>
</workbook>
</file>

<file path=xl/calcChain.xml><?xml version="1.0" encoding="utf-8"?>
<calcChain xmlns="http://schemas.openxmlformats.org/spreadsheetml/2006/main">
  <c r="E9380" i="1" l="1"/>
  <c r="A9358" i="1"/>
  <c r="A9359" i="1" s="1"/>
  <c r="A9360" i="1" s="1"/>
  <c r="A9361" i="1" s="1"/>
  <c r="A9362" i="1" s="1"/>
  <c r="A9365" i="1" s="1"/>
  <c r="A9366" i="1" s="1"/>
  <c r="A9367" i="1" s="1"/>
  <c r="A9369" i="1" s="1"/>
  <c r="A9370" i="1" s="1"/>
  <c r="A9372" i="1" s="1"/>
  <c r="A9373" i="1" s="1"/>
  <c r="A9374" i="1" s="1"/>
  <c r="A9375" i="1" s="1"/>
  <c r="A9376" i="1" s="1"/>
  <c r="A9377" i="1" s="1"/>
  <c r="A9378" i="1" s="1"/>
  <c r="A9379" i="1" s="1"/>
  <c r="A9350" i="1"/>
  <c r="A9351" i="1" s="1"/>
  <c r="A9352" i="1" s="1"/>
  <c r="A9353" i="1" s="1"/>
  <c r="A9354" i="1" s="1"/>
  <c r="A9355" i="1" s="1"/>
  <c r="A9356" i="1" s="1"/>
  <c r="L9345" i="1"/>
  <c r="L9336" i="1"/>
  <c r="L9337" i="1"/>
  <c r="L9338" i="1"/>
  <c r="L9339" i="1"/>
  <c r="L9340" i="1"/>
  <c r="L9341" i="1"/>
  <c r="L9342" i="1"/>
  <c r="L9343" i="1"/>
  <c r="L9344" i="1"/>
  <c r="L9379" i="1"/>
  <c r="L9326" i="1"/>
  <c r="L9327" i="1"/>
  <c r="L9328" i="1"/>
  <c r="L9329" i="1"/>
  <c r="L9330" i="1"/>
  <c r="L9331" i="1"/>
  <c r="L9332" i="1"/>
  <c r="L9333" i="1"/>
  <c r="L9334" i="1"/>
  <c r="L9335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A9315" i="1"/>
  <c r="A9316" i="1" s="1"/>
  <c r="A9317" i="1" s="1"/>
  <c r="A9318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1" i="1" s="1"/>
  <c r="A9332" i="1" s="1"/>
  <c r="A9333" i="1" s="1"/>
  <c r="A9334" i="1" s="1"/>
  <c r="A9335" i="1" s="1"/>
  <c r="A9336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C9380" i="1"/>
  <c r="H9380" i="1"/>
  <c r="L9276" i="1"/>
  <c r="L9277" i="1"/>
  <c r="L9278" i="1"/>
  <c r="L9279" i="1"/>
  <c r="L9280" i="1"/>
  <c r="L9281" i="1"/>
  <c r="L9282" i="1"/>
  <c r="L9268" i="1" l="1"/>
  <c r="L9269" i="1"/>
  <c r="L9270" i="1"/>
  <c r="L9271" i="1"/>
  <c r="L9272" i="1"/>
  <c r="L9273" i="1"/>
  <c r="L9274" i="1"/>
  <c r="L9275" i="1"/>
  <c r="L9258" i="1"/>
  <c r="L9259" i="1"/>
  <c r="L9260" i="1"/>
  <c r="L9261" i="1"/>
  <c r="L9262" i="1"/>
  <c r="L9263" i="1"/>
  <c r="L9264" i="1"/>
  <c r="L9265" i="1"/>
  <c r="L9266" i="1"/>
  <c r="L9267" i="1"/>
  <c r="A9258" i="1"/>
  <c r="A9259" i="1" s="1"/>
  <c r="A9260" i="1" s="1"/>
  <c r="A9261" i="1" s="1"/>
  <c r="A9262" i="1" s="1"/>
  <c r="A9263" i="1" s="1"/>
  <c r="A9264" i="1" s="1"/>
  <c r="A9266" i="1" s="1"/>
  <c r="A9267" i="1" s="1"/>
  <c r="A9268" i="1" s="1"/>
  <c r="A9269" i="1" s="1"/>
  <c r="A9271" i="1" s="1"/>
  <c r="A9272" i="1" s="1"/>
  <c r="A9273" i="1" s="1"/>
  <c r="A9274" i="1" s="1"/>
  <c r="A9275" i="1" s="1"/>
  <c r="L9248" i="1"/>
  <c r="L9249" i="1"/>
  <c r="L9250" i="1"/>
  <c r="L9251" i="1"/>
  <c r="L9252" i="1"/>
  <c r="L9253" i="1"/>
  <c r="L9254" i="1"/>
  <c r="L9255" i="1"/>
  <c r="L9256" i="1"/>
  <c r="L9257" i="1"/>
  <c r="A9250" i="1"/>
  <c r="A9251" i="1" s="1"/>
  <c r="A9252" i="1" s="1"/>
  <c r="A9254" i="1" s="1"/>
  <c r="A9255" i="1" s="1"/>
  <c r="A9256" i="1" s="1"/>
  <c r="F9380" i="1"/>
  <c r="L9247" i="1"/>
  <c r="A924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5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8875" i="1"/>
  <c r="L8876" i="1"/>
  <c r="L8877" i="1"/>
  <c r="L8878" i="1"/>
  <c r="L8879" i="1"/>
  <c r="L8880" i="1"/>
  <c r="L8881" i="1"/>
  <c r="L8882" i="1"/>
  <c r="L8883" i="1"/>
  <c r="L8884" i="1"/>
  <c r="L8874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A9194" i="1"/>
  <c r="A9197" i="1" s="1"/>
  <c r="A9198" i="1" s="1"/>
  <c r="A9199" i="1" s="1"/>
  <c r="A9200" i="1" s="1"/>
  <c r="A9201" i="1" s="1"/>
  <c r="A9202" i="1" s="1"/>
  <c r="A9206" i="1" s="1"/>
  <c r="A9207" i="1" s="1"/>
  <c r="A9208" i="1" s="1"/>
  <c r="A9209" i="1" s="1"/>
  <c r="A9210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4" i="1" s="1"/>
  <c r="A9225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184" i="1"/>
  <c r="A9185" i="1" s="1"/>
  <c r="A9186" i="1" s="1"/>
  <c r="A9187" i="1" s="1"/>
  <c r="A9188" i="1" s="1"/>
  <c r="A9189" i="1" s="1"/>
  <c r="A9190" i="1" s="1"/>
  <c r="A9191" i="1" s="1"/>
  <c r="A9192" i="1" s="1"/>
  <c r="L9380" i="1" l="1"/>
  <c r="A9276" i="1"/>
  <c r="A9277" i="1" s="1"/>
  <c r="A9279" i="1" s="1"/>
  <c r="A9280" i="1" s="1"/>
  <c r="A9282" i="1" s="1"/>
  <c r="A9283" i="1" s="1"/>
  <c r="L9245" i="1"/>
  <c r="L9064" i="1"/>
  <c r="A9156" i="1"/>
  <c r="A9157" i="1" s="1"/>
  <c r="A9158" i="1" s="1"/>
  <c r="A9160" i="1" s="1"/>
  <c r="A9161" i="1" s="1"/>
  <c r="A9162" i="1" s="1"/>
  <c r="A9163" i="1" s="1"/>
  <c r="A9164" i="1" s="1"/>
  <c r="A9165" i="1" s="1"/>
  <c r="A9166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284" i="1" l="1"/>
  <c r="A9285" i="1" s="1"/>
  <c r="A9287" i="1" s="1"/>
  <c r="A9288" i="1" s="1"/>
  <c r="A9289" i="1" s="1"/>
  <c r="A9290" i="1" s="1"/>
  <c r="A9291" i="1" s="1"/>
  <c r="A9292" i="1" s="1"/>
  <c r="A9293" i="1" s="1"/>
  <c r="A9295" i="1" s="1"/>
  <c r="A9296" i="1" s="1"/>
  <c r="A9298" i="1" s="1"/>
  <c r="A9299" i="1" s="1"/>
  <c r="A9300" i="1" s="1"/>
  <c r="A9301" i="1" s="1"/>
  <c r="A9303" i="1" s="1"/>
  <c r="A9304" i="1" s="1"/>
  <c r="A9305" i="1" s="1"/>
  <c r="A9307" i="1" s="1"/>
  <c r="A9308" i="1" s="1"/>
  <c r="A9309" i="1" s="1"/>
  <c r="A9310" i="1" s="1"/>
  <c r="A9311" i="1" s="1"/>
  <c r="A9312" i="1" s="1"/>
  <c r="A9313" i="1" s="1"/>
  <c r="G9408" i="1"/>
  <c r="F7" i="24"/>
  <c r="D6" i="24"/>
  <c r="D7" i="24" s="1"/>
  <c r="C7" i="24"/>
  <c r="F33" i="13"/>
  <c r="G33" i="13"/>
  <c r="H33" i="13"/>
  <c r="A9118" i="1" l="1"/>
  <c r="A9119" i="1" s="1"/>
  <c r="A9120" i="1" s="1"/>
  <c r="A9121" i="1" s="1"/>
  <c r="A9122" i="1" s="1"/>
  <c r="A9123" i="1" s="1"/>
  <c r="A9124" i="1" s="1"/>
  <c r="A9125" i="1" s="1"/>
  <c r="A9127" i="1" s="1"/>
  <c r="A9128" i="1" s="1"/>
  <c r="A9129" i="1" s="1"/>
  <c r="A9130" i="1" s="1"/>
  <c r="A9131" i="1" s="1"/>
  <c r="A9132" i="1" s="1"/>
  <c r="A9133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G9245" i="1"/>
  <c r="H9245" i="1"/>
  <c r="C9245" i="1"/>
  <c r="A9091" i="1"/>
  <c r="A9092" i="1" s="1"/>
  <c r="A9093" i="1" s="1"/>
  <c r="A9094" i="1" s="1"/>
  <c r="A9095" i="1" s="1"/>
  <c r="A9096" i="1" s="1"/>
  <c r="A9097" i="1" s="1"/>
  <c r="A9098" i="1" s="1"/>
  <c r="A9099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I9067" i="1"/>
  <c r="I9068" i="1" s="1"/>
  <c r="I9069" i="1" s="1"/>
  <c r="I9070" i="1" s="1"/>
  <c r="I9071" i="1" s="1"/>
  <c r="I9072" i="1" s="1"/>
  <c r="I9073" i="1" s="1"/>
  <c r="I9074" i="1" s="1"/>
  <c r="I9075" i="1" s="1"/>
  <c r="I9076" i="1" s="1"/>
  <c r="I9077" i="1" s="1"/>
  <c r="I9078" i="1" s="1"/>
  <c r="I9079" i="1" s="1"/>
  <c r="I9080" i="1" s="1"/>
  <c r="I9081" i="1" s="1"/>
  <c r="I9082" i="1" s="1"/>
  <c r="I9083" i="1" s="1"/>
  <c r="I9084" i="1" s="1"/>
  <c r="I9085" i="1" s="1"/>
  <c r="I9086" i="1" s="1"/>
  <c r="I9087" i="1" s="1"/>
  <c r="I9088" i="1" s="1"/>
  <c r="I9089" i="1" s="1"/>
  <c r="I9090" i="1" s="1"/>
  <c r="I9091" i="1" s="1"/>
  <c r="I9092" i="1" s="1"/>
  <c r="I9093" i="1" s="1"/>
  <c r="I9094" i="1" s="1"/>
  <c r="I9095" i="1" s="1"/>
  <c r="I9096" i="1" s="1"/>
  <c r="I9097" i="1" s="1"/>
  <c r="I9098" i="1" s="1"/>
  <c r="I9099" i="1" s="1"/>
  <c r="I9100" i="1" s="1"/>
  <c r="I9101" i="1" s="1"/>
  <c r="I9102" i="1" s="1"/>
  <c r="I9103" i="1" s="1"/>
  <c r="I9104" i="1" s="1"/>
  <c r="I9105" i="1" s="1"/>
  <c r="I9106" i="1" s="1"/>
  <c r="I9107" i="1" s="1"/>
  <c r="I9108" i="1" s="1"/>
  <c r="I9109" i="1" s="1"/>
  <c r="I9110" i="1" s="1"/>
  <c r="I9111" i="1" s="1"/>
  <c r="I9112" i="1" s="1"/>
  <c r="I9113" i="1" s="1"/>
  <c r="I9114" i="1" s="1"/>
  <c r="I9115" i="1" s="1"/>
  <c r="I9116" i="1" s="1"/>
  <c r="I9117" i="1" s="1"/>
  <c r="I9118" i="1" s="1"/>
  <c r="I9119" i="1" s="1"/>
  <c r="I9120" i="1" s="1"/>
  <c r="I9121" i="1" s="1"/>
  <c r="I9122" i="1" s="1"/>
  <c r="I9123" i="1" s="1"/>
  <c r="I9124" i="1" s="1"/>
  <c r="I9125" i="1" s="1"/>
  <c r="I9126" i="1" s="1"/>
  <c r="I9127" i="1" s="1"/>
  <c r="I9128" i="1" s="1"/>
  <c r="I9129" i="1" s="1"/>
  <c r="I9130" i="1" s="1"/>
  <c r="I9131" i="1" s="1"/>
  <c r="I9132" i="1" s="1"/>
  <c r="I9133" i="1" s="1"/>
  <c r="I9134" i="1" s="1"/>
  <c r="I9135" i="1" s="1"/>
  <c r="I9136" i="1" s="1"/>
  <c r="I9137" i="1" s="1"/>
  <c r="I9138" i="1" s="1"/>
  <c r="I9139" i="1" s="1"/>
  <c r="I9140" i="1" s="1"/>
  <c r="I9141" i="1" s="1"/>
  <c r="I9142" i="1" s="1"/>
  <c r="I9143" i="1" s="1"/>
  <c r="I9144" i="1" s="1"/>
  <c r="I9145" i="1" s="1"/>
  <c r="I9146" i="1" s="1"/>
  <c r="I9147" i="1" s="1"/>
  <c r="I9148" i="1" s="1"/>
  <c r="I9149" i="1" s="1"/>
  <c r="I9150" i="1" s="1"/>
  <c r="I9151" i="1" s="1"/>
  <c r="I9152" i="1" s="1"/>
  <c r="I9153" i="1" s="1"/>
  <c r="I9154" i="1" s="1"/>
  <c r="I9155" i="1" s="1"/>
  <c r="I9156" i="1" s="1"/>
  <c r="I9157" i="1" s="1"/>
  <c r="I9158" i="1" s="1"/>
  <c r="I9159" i="1" s="1"/>
  <c r="I9160" i="1" s="1"/>
  <c r="I9161" i="1" s="1"/>
  <c r="I9162" i="1" s="1"/>
  <c r="I9163" i="1" s="1"/>
  <c r="I9164" i="1" s="1"/>
  <c r="I9165" i="1" s="1"/>
  <c r="I9166" i="1" s="1"/>
  <c r="I9167" i="1" s="1"/>
  <c r="I9168" i="1" s="1"/>
  <c r="I9169" i="1" s="1"/>
  <c r="I9170" i="1" s="1"/>
  <c r="I9171" i="1" s="1"/>
  <c r="I9172" i="1" s="1"/>
  <c r="I9173" i="1" s="1"/>
  <c r="I9174" i="1" s="1"/>
  <c r="I9175" i="1" s="1"/>
  <c r="I9176" i="1" s="1"/>
  <c r="I9177" i="1" s="1"/>
  <c r="I9178" i="1" s="1"/>
  <c r="I9179" i="1" s="1"/>
  <c r="I9180" i="1" s="1"/>
  <c r="I9181" i="1" s="1"/>
  <c r="I9182" i="1" s="1"/>
  <c r="I9183" i="1" s="1"/>
  <c r="I9184" i="1" s="1"/>
  <c r="I9185" i="1" s="1"/>
  <c r="I9186" i="1" s="1"/>
  <c r="I9187" i="1" s="1"/>
  <c r="I9188" i="1" s="1"/>
  <c r="I9189" i="1" s="1"/>
  <c r="I9190" i="1" s="1"/>
  <c r="I9191" i="1" s="1"/>
  <c r="I9192" i="1" s="1"/>
  <c r="I9193" i="1" s="1"/>
  <c r="I9194" i="1" s="1"/>
  <c r="I9195" i="1" s="1"/>
  <c r="I9196" i="1" s="1"/>
  <c r="I9197" i="1" s="1"/>
  <c r="I9198" i="1" s="1"/>
  <c r="I9199" i="1" s="1"/>
  <c r="I9200" i="1" s="1"/>
  <c r="I9201" i="1" s="1"/>
  <c r="I9202" i="1" s="1"/>
  <c r="I9203" i="1" s="1"/>
  <c r="I9204" i="1" s="1"/>
  <c r="I9205" i="1" s="1"/>
  <c r="I9206" i="1" s="1"/>
  <c r="I9207" i="1" s="1"/>
  <c r="I9208" i="1" s="1"/>
  <c r="I9209" i="1" s="1"/>
  <c r="I9210" i="1" s="1"/>
  <c r="I9211" i="1" s="1"/>
  <c r="I9212" i="1" s="1"/>
  <c r="I9213" i="1" s="1"/>
  <c r="I9214" i="1" s="1"/>
  <c r="I9215" i="1" s="1"/>
  <c r="I9216" i="1" s="1"/>
  <c r="I9217" i="1" s="1"/>
  <c r="I9218" i="1" s="1"/>
  <c r="I9219" i="1" s="1"/>
  <c r="I9220" i="1" s="1"/>
  <c r="I9221" i="1" s="1"/>
  <c r="I9222" i="1" s="1"/>
  <c r="I9223" i="1" s="1"/>
  <c r="I9224" i="1" s="1"/>
  <c r="I9225" i="1" s="1"/>
  <c r="I9226" i="1" s="1"/>
  <c r="I9227" i="1" s="1"/>
  <c r="I9228" i="1" s="1"/>
  <c r="I9229" i="1" s="1"/>
  <c r="I9230" i="1" s="1"/>
  <c r="I9231" i="1" s="1"/>
  <c r="I9232" i="1" s="1"/>
  <c r="I9233" i="1" s="1"/>
  <c r="I9234" i="1" s="1"/>
  <c r="I9235" i="1" s="1"/>
  <c r="I9236" i="1" s="1"/>
  <c r="I9237" i="1" s="1"/>
  <c r="I9238" i="1" s="1"/>
  <c r="I9239" i="1" s="1"/>
  <c r="I9240" i="1" s="1"/>
  <c r="I9241" i="1" s="1"/>
  <c r="I9242" i="1" s="1"/>
  <c r="I9243" i="1" s="1"/>
  <c r="I9244" i="1" s="1"/>
  <c r="G9247" i="1" s="1"/>
  <c r="I9247" i="1" s="1"/>
  <c r="F9245" i="1"/>
  <c r="A9067" i="1"/>
  <c r="A9068" i="1" s="1"/>
  <c r="A9069" i="1" s="1"/>
  <c r="A9070" i="1" s="1"/>
  <c r="A9071" i="1" s="1"/>
  <c r="I9248" i="1" l="1"/>
  <c r="I9249" i="1" s="1"/>
  <c r="I9250" i="1" s="1"/>
  <c r="I9251" i="1" s="1"/>
  <c r="I9252" i="1" s="1"/>
  <c r="I9253" i="1" s="1"/>
  <c r="I9254" i="1" s="1"/>
  <c r="I9255" i="1" s="1"/>
  <c r="I9256" i="1" s="1"/>
  <c r="I9257" i="1" s="1"/>
  <c r="I9258" i="1" s="1"/>
  <c r="I9259" i="1" s="1"/>
  <c r="I9260" i="1" s="1"/>
  <c r="I9261" i="1" s="1"/>
  <c r="I9262" i="1" s="1"/>
  <c r="I9263" i="1" s="1"/>
  <c r="I9264" i="1" s="1"/>
  <c r="I9265" i="1" s="1"/>
  <c r="I9266" i="1" s="1"/>
  <c r="I9267" i="1" s="1"/>
  <c r="I9268" i="1" s="1"/>
  <c r="I9269" i="1" s="1"/>
  <c r="I9270" i="1" s="1"/>
  <c r="I9271" i="1" s="1"/>
  <c r="I9272" i="1" s="1"/>
  <c r="I9273" i="1" s="1"/>
  <c r="I9274" i="1" s="1"/>
  <c r="I9275" i="1" s="1"/>
  <c r="I9276" i="1" s="1"/>
  <c r="I9277" i="1" s="1"/>
  <c r="I9278" i="1" s="1"/>
  <c r="I9279" i="1" s="1"/>
  <c r="I9280" i="1" s="1"/>
  <c r="I9281" i="1" s="1"/>
  <c r="I9282" i="1" s="1"/>
  <c r="I9283" i="1" s="1"/>
  <c r="I9284" i="1" s="1"/>
  <c r="I9285" i="1" s="1"/>
  <c r="I9286" i="1" s="1"/>
  <c r="I9287" i="1" s="1"/>
  <c r="I9288" i="1" s="1"/>
  <c r="I9289" i="1" s="1"/>
  <c r="I9290" i="1" s="1"/>
  <c r="I9291" i="1" s="1"/>
  <c r="I9292" i="1" s="1"/>
  <c r="I9293" i="1" s="1"/>
  <c r="I9294" i="1" s="1"/>
  <c r="I9295" i="1" s="1"/>
  <c r="I9296" i="1" s="1"/>
  <c r="I9297" i="1" s="1"/>
  <c r="I9298" i="1" s="1"/>
  <c r="I9299" i="1" s="1"/>
  <c r="I9300" i="1" s="1"/>
  <c r="I9301" i="1" s="1"/>
  <c r="I9302" i="1" s="1"/>
  <c r="I9303" i="1" s="1"/>
  <c r="I9304" i="1" s="1"/>
  <c r="I9305" i="1" s="1"/>
  <c r="I9306" i="1" s="1"/>
  <c r="I9307" i="1" s="1"/>
  <c r="I9308" i="1" s="1"/>
  <c r="I9309" i="1" s="1"/>
  <c r="I9310" i="1" s="1"/>
  <c r="I9311" i="1" s="1"/>
  <c r="I9312" i="1" s="1"/>
  <c r="I9313" i="1" s="1"/>
  <c r="I9314" i="1" s="1"/>
  <c r="I9315" i="1" s="1"/>
  <c r="I9316" i="1" s="1"/>
  <c r="I9317" i="1" s="1"/>
  <c r="I9318" i="1" s="1"/>
  <c r="I9319" i="1" s="1"/>
  <c r="I9320" i="1" s="1"/>
  <c r="I9321" i="1" s="1"/>
  <c r="I9322" i="1" s="1"/>
  <c r="I9323" i="1" s="1"/>
  <c r="I9324" i="1" s="1"/>
  <c r="I9325" i="1" s="1"/>
  <c r="I9326" i="1" s="1"/>
  <c r="I9327" i="1" s="1"/>
  <c r="I9328" i="1" s="1"/>
  <c r="I9329" i="1" s="1"/>
  <c r="I9330" i="1" s="1"/>
  <c r="I9331" i="1" s="1"/>
  <c r="I9332" i="1" s="1"/>
  <c r="I9333" i="1" s="1"/>
  <c r="I9334" i="1" s="1"/>
  <c r="I9335" i="1" s="1"/>
  <c r="I9336" i="1" s="1"/>
  <c r="I9337" i="1" s="1"/>
  <c r="I9338" i="1" s="1"/>
  <c r="I9339" i="1" s="1"/>
  <c r="I9340" i="1" s="1"/>
  <c r="I9341" i="1" s="1"/>
  <c r="I9342" i="1" s="1"/>
  <c r="I9343" i="1" s="1"/>
  <c r="I9344" i="1" s="1"/>
  <c r="I9345" i="1" s="1"/>
  <c r="I9346" i="1" s="1"/>
  <c r="I9347" i="1" s="1"/>
  <c r="I9348" i="1" s="1"/>
  <c r="I9349" i="1" s="1"/>
  <c r="I9350" i="1" s="1"/>
  <c r="I9351" i="1" s="1"/>
  <c r="I9352" i="1" s="1"/>
  <c r="I9353" i="1" s="1"/>
  <c r="I9354" i="1" s="1"/>
  <c r="I9355" i="1" s="1"/>
  <c r="I9356" i="1" s="1"/>
  <c r="I9357" i="1" s="1"/>
  <c r="I9358" i="1" s="1"/>
  <c r="I9359" i="1" s="1"/>
  <c r="I9360" i="1" s="1"/>
  <c r="I9361" i="1" s="1"/>
  <c r="I9362" i="1" s="1"/>
  <c r="I9363" i="1" s="1"/>
  <c r="I9364" i="1" s="1"/>
  <c r="I9365" i="1" s="1"/>
  <c r="I9366" i="1" s="1"/>
  <c r="I9367" i="1" s="1"/>
  <c r="I9368" i="1" s="1"/>
  <c r="I9369" i="1" s="1"/>
  <c r="I9370" i="1" s="1"/>
  <c r="I9371" i="1" s="1"/>
  <c r="I9372" i="1" s="1"/>
  <c r="I9373" i="1" s="1"/>
  <c r="I9374" i="1" s="1"/>
  <c r="A9072" i="1"/>
  <c r="A9073" i="1" s="1"/>
  <c r="A9074" i="1" s="1"/>
  <c r="A9075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114" i="1"/>
  <c r="A9115" i="1" s="1"/>
  <c r="I9245" i="1"/>
  <c r="A8999" i="1"/>
  <c r="A8998" i="1"/>
  <c r="A9000" i="1" s="1"/>
  <c r="A9001" i="1" s="1"/>
  <c r="A9245" i="1" l="1"/>
  <c r="A9380" i="1" s="1"/>
  <c r="A9002" i="1"/>
  <c r="A9003" i="1" s="1"/>
  <c r="A9004" i="1" s="1"/>
  <c r="A9005" i="1" s="1"/>
  <c r="A9006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8" i="1" s="1"/>
  <c r="A9019" i="1" s="1"/>
  <c r="A9020" i="1" s="1"/>
  <c r="A9021" i="1" s="1"/>
  <c r="A9023" i="1" s="1"/>
  <c r="A9025" i="1" s="1"/>
  <c r="A9026" i="1" s="1"/>
  <c r="A9028" i="1" s="1"/>
  <c r="A9029" i="1" s="1"/>
  <c r="A9031" i="1" s="1"/>
  <c r="A9032" i="1" s="1"/>
  <c r="A9033" i="1" s="1"/>
  <c r="A9034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50" i="1" s="1"/>
  <c r="A9051" i="1" s="1"/>
  <c r="A9052" i="1" s="1"/>
  <c r="A9053" i="1" s="1"/>
  <c r="A9054" i="1" l="1"/>
  <c r="A9055" i="1" s="1"/>
  <c r="A9056" i="1" s="1"/>
  <c r="A9057" i="1" s="1"/>
  <c r="A9058" i="1" s="1"/>
  <c r="A9059" i="1" s="1"/>
  <c r="A9061" i="1" s="1"/>
  <c r="A9062" i="1" s="1"/>
  <c r="A9063" i="1" s="1"/>
  <c r="A8938" i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5" i="1" s="1"/>
  <c r="A8956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09" i="1" l="1"/>
  <c r="A8910" i="1" s="1"/>
  <c r="A8911" i="1" s="1"/>
  <c r="A8912" i="1" s="1"/>
  <c r="A8913" i="1" s="1"/>
  <c r="A8914" i="1" s="1"/>
  <c r="A8915" i="1" s="1"/>
  <c r="A8916" i="1" s="1"/>
  <c r="A8917" i="1" s="1"/>
  <c r="A8919" i="1" s="1"/>
  <c r="A8920" i="1" s="1"/>
  <c r="A8921" i="1" s="1"/>
  <c r="A8922" i="1" s="1"/>
  <c r="A8923" i="1" s="1"/>
  <c r="A8924" i="1" s="1"/>
  <c r="A8925" i="1" s="1"/>
  <c r="A8927" i="1" l="1"/>
  <c r="A8928" i="1" s="1"/>
  <c r="A8929" i="1" s="1"/>
  <c r="A8930" i="1" s="1"/>
  <c r="A8931" i="1" s="1"/>
  <c r="A8932" i="1" s="1"/>
  <c r="A8933" i="1" s="1"/>
  <c r="A8934" i="1" s="1"/>
  <c r="A8935" i="1" s="1"/>
  <c r="A8936" i="1" s="1"/>
  <c r="A8926" i="1"/>
  <c r="D5" i="24"/>
  <c r="A8885" i="1"/>
  <c r="A8886" i="1" s="1"/>
  <c r="H9064" i="1"/>
  <c r="G9064" i="1"/>
  <c r="F9064" i="1"/>
  <c r="C9064" i="1"/>
  <c r="I8873" i="1"/>
  <c r="I8874" i="1" s="1"/>
  <c r="I8875" i="1" s="1"/>
  <c r="I8876" i="1" s="1"/>
  <c r="I8877" i="1" s="1"/>
  <c r="I8878" i="1" s="1"/>
  <c r="I8879" i="1" s="1"/>
  <c r="I8880" i="1" s="1"/>
  <c r="I8881" i="1" s="1"/>
  <c r="I8882" i="1" s="1"/>
  <c r="I8883" i="1" s="1"/>
  <c r="I8884" i="1" s="1"/>
  <c r="I8885" i="1" s="1"/>
  <c r="I8886" i="1" s="1"/>
  <c r="I8887" i="1" s="1"/>
  <c r="I8888" i="1" s="1"/>
  <c r="I8889" i="1" s="1"/>
  <c r="I8890" i="1" s="1"/>
  <c r="I8891" i="1" s="1"/>
  <c r="I8892" i="1" s="1"/>
  <c r="I8893" i="1" s="1"/>
  <c r="I8894" i="1" s="1"/>
  <c r="I8895" i="1" s="1"/>
  <c r="I8896" i="1" s="1"/>
  <c r="I8897" i="1" s="1"/>
  <c r="I8898" i="1" s="1"/>
  <c r="I8899" i="1" s="1"/>
  <c r="I8900" i="1" s="1"/>
  <c r="I8901" i="1" s="1"/>
  <c r="I8902" i="1" s="1"/>
  <c r="I8903" i="1" s="1"/>
  <c r="I8904" i="1" s="1"/>
  <c r="I8905" i="1" s="1"/>
  <c r="I8906" i="1" s="1"/>
  <c r="I8907" i="1" s="1"/>
  <c r="I8908" i="1" s="1"/>
  <c r="I8909" i="1" s="1"/>
  <c r="I8910" i="1" s="1"/>
  <c r="I8911" i="1" s="1"/>
  <c r="I8912" i="1" s="1"/>
  <c r="I8913" i="1" s="1"/>
  <c r="I8914" i="1" s="1"/>
  <c r="I8915" i="1" s="1"/>
  <c r="I8916" i="1" s="1"/>
  <c r="I8917" i="1" s="1"/>
  <c r="I8918" i="1" s="1"/>
  <c r="I8919" i="1" s="1"/>
  <c r="I8920" i="1" s="1"/>
  <c r="I8921" i="1" s="1"/>
  <c r="I8922" i="1" s="1"/>
  <c r="I8923" i="1" s="1"/>
  <c r="I8924" i="1" s="1"/>
  <c r="I8925" i="1" s="1"/>
  <c r="I8926" i="1" s="1"/>
  <c r="I8927" i="1" s="1"/>
  <c r="I8928" i="1" s="1"/>
  <c r="I8929" i="1" s="1"/>
  <c r="I8930" i="1" s="1"/>
  <c r="I8931" i="1" s="1"/>
  <c r="I8932" i="1" s="1"/>
  <c r="I8933" i="1" s="1"/>
  <c r="I8934" i="1" s="1"/>
  <c r="I8935" i="1" s="1"/>
  <c r="I8936" i="1" s="1"/>
  <c r="I8937" i="1" s="1"/>
  <c r="I8938" i="1" s="1"/>
  <c r="I8939" i="1" s="1"/>
  <c r="I8940" i="1" s="1"/>
  <c r="I8941" i="1" s="1"/>
  <c r="I8942" i="1" s="1"/>
  <c r="I8943" i="1" s="1"/>
  <c r="I8944" i="1" s="1"/>
  <c r="I8945" i="1" s="1"/>
  <c r="I8946" i="1" s="1"/>
  <c r="I8947" i="1" s="1"/>
  <c r="I8948" i="1" s="1"/>
  <c r="I8949" i="1" s="1"/>
  <c r="I8950" i="1" s="1"/>
  <c r="A8874" i="1"/>
  <c r="A8875" i="1" s="1"/>
  <c r="A8876" i="1" s="1"/>
  <c r="A8877" i="1" s="1"/>
  <c r="A8878" i="1" s="1"/>
  <c r="A8879" i="1" s="1"/>
  <c r="A8880" i="1" s="1"/>
  <c r="A8881" i="1" s="1"/>
  <c r="A8882" i="1" s="1"/>
  <c r="A8883" i="1" s="1"/>
  <c r="I8951" i="1" l="1"/>
  <c r="I8952" i="1" s="1"/>
  <c r="I8953" i="1" s="1"/>
  <c r="I8954" i="1" s="1"/>
  <c r="I8955" i="1" s="1"/>
  <c r="I8956" i="1" s="1"/>
  <c r="I8957" i="1" s="1"/>
  <c r="I8958" i="1" s="1"/>
  <c r="I8959" i="1" s="1"/>
  <c r="I8960" i="1" s="1"/>
  <c r="I8961" i="1" s="1"/>
  <c r="I8962" i="1" s="1"/>
  <c r="I8963" i="1" s="1"/>
  <c r="I8964" i="1" s="1"/>
  <c r="I8965" i="1" s="1"/>
  <c r="I8966" i="1" s="1"/>
  <c r="I8967" i="1" s="1"/>
  <c r="I8968" i="1" s="1"/>
  <c r="I8969" i="1" s="1"/>
  <c r="I8970" i="1" s="1"/>
  <c r="I8971" i="1" s="1"/>
  <c r="I8972" i="1" s="1"/>
  <c r="I8973" i="1" s="1"/>
  <c r="I8974" i="1" s="1"/>
  <c r="I8975" i="1" s="1"/>
  <c r="I8976" i="1" s="1"/>
  <c r="I8977" i="1" s="1"/>
  <c r="I8978" i="1" s="1"/>
  <c r="I8979" i="1" s="1"/>
  <c r="I8980" i="1" s="1"/>
  <c r="I8981" i="1" s="1"/>
  <c r="I8982" i="1" s="1"/>
  <c r="I8983" i="1" s="1"/>
  <c r="I8984" i="1" s="1"/>
  <c r="I8985" i="1" s="1"/>
  <c r="I8986" i="1" s="1"/>
  <c r="I8987" i="1" s="1"/>
  <c r="I8988" i="1" s="1"/>
  <c r="I8989" i="1" s="1"/>
  <c r="I8990" i="1" s="1"/>
  <c r="I8991" i="1" s="1"/>
  <c r="I8992" i="1" s="1"/>
  <c r="I8993" i="1" s="1"/>
  <c r="I8994" i="1" s="1"/>
  <c r="I8995" i="1" s="1"/>
  <c r="I8996" i="1" s="1"/>
  <c r="I8997" i="1" s="1"/>
  <c r="I8998" i="1" s="1"/>
  <c r="I8999" i="1" s="1"/>
  <c r="I9000" i="1" s="1"/>
  <c r="I9001" i="1" s="1"/>
  <c r="I9002" i="1" s="1"/>
  <c r="I9003" i="1" s="1"/>
  <c r="I9004" i="1" s="1"/>
  <c r="I9005" i="1" s="1"/>
  <c r="I9006" i="1" s="1"/>
  <c r="I9007" i="1" s="1"/>
  <c r="I9008" i="1" s="1"/>
  <c r="I9009" i="1" s="1"/>
  <c r="I9010" i="1" s="1"/>
  <c r="I9011" i="1" s="1"/>
  <c r="I9012" i="1" s="1"/>
  <c r="I9013" i="1" s="1"/>
  <c r="I9014" i="1" s="1"/>
  <c r="I9015" i="1" s="1"/>
  <c r="I9016" i="1" s="1"/>
  <c r="I9017" i="1" s="1"/>
  <c r="I9018" i="1" s="1"/>
  <c r="I9019" i="1" s="1"/>
  <c r="I9020" i="1" s="1"/>
  <c r="I9021" i="1" s="1"/>
  <c r="I9022" i="1" s="1"/>
  <c r="I9023" i="1" s="1"/>
  <c r="I9024" i="1" s="1"/>
  <c r="I9025" i="1" s="1"/>
  <c r="I9026" i="1" s="1"/>
  <c r="I9027" i="1" s="1"/>
  <c r="I9028" i="1" s="1"/>
  <c r="I9029" i="1" s="1"/>
  <c r="I9030" i="1" s="1"/>
  <c r="I9031" i="1" s="1"/>
  <c r="I9032" i="1" s="1"/>
  <c r="I9033" i="1" s="1"/>
  <c r="I9034" i="1" s="1"/>
  <c r="I9035" i="1" s="1"/>
  <c r="I9036" i="1" s="1"/>
  <c r="I9037" i="1" s="1"/>
  <c r="I9038" i="1" s="1"/>
  <c r="I9039" i="1" s="1"/>
  <c r="I9040" i="1" s="1"/>
  <c r="I9041" i="1" s="1"/>
  <c r="I9042" i="1" s="1"/>
  <c r="I9043" i="1" s="1"/>
  <c r="I9044" i="1" s="1"/>
  <c r="I9045" i="1" s="1"/>
  <c r="I9046" i="1" s="1"/>
  <c r="I9047" i="1" s="1"/>
  <c r="I9048" i="1" s="1"/>
  <c r="I9049" i="1" s="1"/>
  <c r="I9050" i="1" s="1"/>
  <c r="I9051" i="1" s="1"/>
  <c r="I9052" i="1" s="1"/>
  <c r="I9053" i="1" s="1"/>
  <c r="I9054" i="1" s="1"/>
  <c r="I9055" i="1" s="1"/>
  <c r="I9056" i="1" s="1"/>
  <c r="I9057" i="1" s="1"/>
  <c r="I9058" i="1" s="1"/>
  <c r="I9059" i="1" s="1"/>
  <c r="I9060" i="1" s="1"/>
  <c r="I9061" i="1" s="1"/>
  <c r="A8890" i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I9064" i="1"/>
  <c r="M8" i="23"/>
  <c r="I9062" i="1" l="1"/>
  <c r="I9063" i="1" s="1"/>
  <c r="G9066" i="1" s="1"/>
  <c r="A8902" i="1"/>
  <c r="A8903" i="1" s="1"/>
  <c r="A8904" i="1" s="1"/>
  <c r="A8905" i="1" s="1"/>
  <c r="A8906" i="1" s="1"/>
  <c r="A8907" i="1" s="1"/>
  <c r="M5" i="23"/>
  <c r="K5" i="23" l="1"/>
  <c r="K9" i="23"/>
  <c r="K8" i="23"/>
  <c r="K7" i="23"/>
  <c r="L8801" i="1" l="1"/>
  <c r="L8792" i="1" l="1"/>
  <c r="L8793" i="1"/>
  <c r="L8794" i="1"/>
  <c r="L8795" i="1"/>
  <c r="L8796" i="1"/>
  <c r="L8797" i="1"/>
  <c r="L8798" i="1"/>
  <c r="L8799" i="1"/>
  <c r="L8800" i="1"/>
  <c r="L8785" i="1"/>
  <c r="L8786" i="1"/>
  <c r="L8787" i="1"/>
  <c r="L8788" i="1"/>
  <c r="L8789" i="1"/>
  <c r="L8790" i="1"/>
  <c r="L8791" i="1"/>
  <c r="H8871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69" i="1"/>
  <c r="L8770" i="1"/>
  <c r="L8771" i="1"/>
  <c r="L8772" i="1"/>
  <c r="L8765" i="1" l="1"/>
  <c r="L8766" i="1"/>
  <c r="L8767" i="1"/>
  <c r="L8768" i="1"/>
  <c r="L8758" i="1"/>
  <c r="L8759" i="1"/>
  <c r="L8760" i="1"/>
  <c r="L8761" i="1"/>
  <c r="L8762" i="1"/>
  <c r="L8763" i="1"/>
  <c r="L8764" i="1"/>
  <c r="C4" i="24"/>
  <c r="D3" i="24" l="1"/>
  <c r="L8751" i="1"/>
  <c r="L8752" i="1"/>
  <c r="L8753" i="1"/>
  <c r="L8754" i="1"/>
  <c r="L8755" i="1"/>
  <c r="L8756" i="1"/>
  <c r="L8757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D4" i="24" l="1"/>
  <c r="L8731" i="1"/>
  <c r="L8732" i="1"/>
  <c r="L8733" i="1"/>
  <c r="L8734" i="1"/>
  <c r="L8735" i="1"/>
  <c r="L8736" i="1"/>
  <c r="L8737" i="1"/>
  <c r="L8738" i="1"/>
  <c r="A8731" i="1"/>
  <c r="A8732" i="1" s="1"/>
  <c r="A8733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L8725" i="1"/>
  <c r="L8726" i="1"/>
  <c r="L8727" i="1"/>
  <c r="L8728" i="1"/>
  <c r="L8729" i="1"/>
  <c r="L8730" i="1"/>
  <c r="D33" i="13"/>
  <c r="E33" i="13"/>
  <c r="A8758" i="1" l="1"/>
  <c r="A8759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G4" i="24"/>
  <c r="H4" i="24" s="1"/>
  <c r="B5" i="24"/>
  <c r="C6" i="24" s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A8697" i="1"/>
  <c r="A8698" i="1" s="1"/>
  <c r="A8699" i="1" s="1"/>
  <c r="A8700" i="1" s="1"/>
  <c r="A8701" i="1" s="1"/>
  <c r="A8702" i="1" s="1"/>
  <c r="A8703" i="1" s="1"/>
  <c r="A8704" i="1" s="1"/>
  <c r="A8706" i="1" s="1"/>
  <c r="A8707" i="1" s="1"/>
  <c r="A8708" i="1" s="1"/>
  <c r="A8709" i="1" s="1"/>
  <c r="A8710" i="1" s="1"/>
  <c r="A8712" i="1" s="1"/>
  <c r="A8713" i="1" s="1"/>
  <c r="A8714" i="1" s="1"/>
  <c r="A8715" i="1" s="1"/>
  <c r="A8716" i="1" s="1"/>
  <c r="A8717" i="1" s="1"/>
  <c r="A8718" i="1" s="1"/>
  <c r="A8719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L8692" i="1"/>
  <c r="L8693" i="1"/>
  <c r="L8694" i="1"/>
  <c r="L8695" i="1"/>
  <c r="L8696" i="1"/>
  <c r="L8697" i="1"/>
  <c r="L8698" i="1"/>
  <c r="L8699" i="1"/>
  <c r="L8700" i="1"/>
  <c r="L8681" i="1"/>
  <c r="L8682" i="1"/>
  <c r="L8683" i="1"/>
  <c r="L8684" i="1"/>
  <c r="L8685" i="1"/>
  <c r="L8686" i="1"/>
  <c r="L8687" i="1"/>
  <c r="L8688" i="1"/>
  <c r="L8689" i="1"/>
  <c r="L8690" i="1"/>
  <c r="L8691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A8770" i="1" l="1"/>
  <c r="A8771" i="1" s="1"/>
  <c r="A8773" i="1" s="1"/>
  <c r="A8774" i="1" s="1"/>
  <c r="A8775" i="1" s="1"/>
  <c r="A8777" i="1" s="1"/>
  <c r="A8778" i="1" s="1"/>
  <c r="A8779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3" i="1" s="1"/>
  <c r="A8794" i="1" s="1"/>
  <c r="A8795" i="1" s="1"/>
  <c r="A8796" i="1" s="1"/>
  <c r="A8797" i="1" s="1"/>
  <c r="A8798" i="1" s="1"/>
  <c r="A8799" i="1" s="1"/>
  <c r="A8800" i="1" s="1"/>
  <c r="D9416" i="1"/>
  <c r="L8654" i="1"/>
  <c r="L8649" i="1"/>
  <c r="L8650" i="1"/>
  <c r="L8651" i="1"/>
  <c r="L8660" i="1"/>
  <c r="L8661" i="1"/>
  <c r="L8662" i="1"/>
  <c r="L8663" i="1"/>
  <c r="L8664" i="1"/>
  <c r="L8665" i="1"/>
  <c r="L8666" i="1"/>
  <c r="L8656" i="1"/>
  <c r="L8657" i="1"/>
  <c r="L8658" i="1"/>
  <c r="L8659" i="1"/>
  <c r="L8655" i="1"/>
  <c r="L8645" i="1"/>
  <c r="L8646" i="1"/>
  <c r="L8647" i="1"/>
  <c r="L8648" i="1"/>
  <c r="A8801" i="1" l="1"/>
  <c r="A8802" i="1" s="1"/>
  <c r="A8803" i="1" s="1"/>
  <c r="A8804" i="1" s="1"/>
  <c r="A8805" i="1" s="1"/>
  <c r="A8806" i="1" s="1"/>
  <c r="A8807" i="1" s="1"/>
  <c r="A8808" i="1" s="1"/>
  <c r="A8809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9" i="1" s="1"/>
  <c r="A8840" i="1" s="1"/>
  <c r="A8841" i="1" s="1"/>
  <c r="A8842" i="1" s="1"/>
  <c r="A8843" i="1" s="1"/>
  <c r="A8844" i="1" s="1"/>
  <c r="A8846" i="1" s="1"/>
  <c r="A8847" i="1" s="1"/>
  <c r="A8848" i="1" s="1"/>
  <c r="A8849" i="1" s="1"/>
  <c r="A8850" i="1" s="1"/>
  <c r="A8851" i="1" s="1"/>
  <c r="A8854" i="1" s="1"/>
  <c r="A8855" i="1" s="1"/>
  <c r="A8856" i="1" s="1"/>
  <c r="A8857" i="1" s="1"/>
  <c r="A8858" i="1" s="1"/>
  <c r="A8859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L8871" i="1"/>
  <c r="A8656" i="1"/>
  <c r="F8871" i="1"/>
  <c r="M9416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A8633" i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8" i="1" s="1"/>
  <c r="A8649" i="1" s="1"/>
  <c r="A8650" i="1" s="1"/>
  <c r="A8651" i="1" s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A8621" i="1"/>
  <c r="A8622" i="1" s="1"/>
  <c r="A8623" i="1" s="1"/>
  <c r="A8624" i="1" s="1"/>
  <c r="A8625" i="1" s="1"/>
  <c r="A8626" i="1" s="1"/>
  <c r="A8627" i="1" s="1"/>
  <c r="A8628" i="1" s="1"/>
  <c r="A8630" i="1" s="1"/>
  <c r="A8631" i="1" s="1"/>
  <c r="A8657" i="1" l="1"/>
  <c r="A8658" i="1" s="1"/>
  <c r="A8659" i="1" s="1"/>
  <c r="A8661" i="1" s="1"/>
  <c r="L8611" i="1"/>
  <c r="L8612" i="1"/>
  <c r="L8613" i="1"/>
  <c r="L8614" i="1"/>
  <c r="L8615" i="1"/>
  <c r="L8616" i="1"/>
  <c r="L8617" i="1"/>
  <c r="L8618" i="1"/>
  <c r="L8619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588" i="1"/>
  <c r="L8589" i="1"/>
  <c r="L8590" i="1"/>
  <c r="L8591" i="1"/>
  <c r="L8592" i="1"/>
  <c r="L8593" i="1"/>
  <c r="L8594" i="1"/>
  <c r="L8595" i="1"/>
  <c r="L8596" i="1"/>
  <c r="L8597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C7" i="23"/>
  <c r="G7" i="23"/>
  <c r="C5" i="23"/>
  <c r="C12" i="23"/>
  <c r="F2" i="23"/>
  <c r="C2" i="23"/>
  <c r="E9427" i="1"/>
  <c r="A8662" i="1" l="1"/>
  <c r="A8663" i="1" s="1"/>
  <c r="A8664" i="1" s="1"/>
  <c r="A8665" i="1" s="1"/>
  <c r="A8666" i="1" s="1"/>
  <c r="A8667" i="1" s="1"/>
  <c r="A8668" i="1" s="1"/>
  <c r="A8669" i="1" s="1"/>
  <c r="A8670" i="1" s="1"/>
  <c r="H2" i="23"/>
  <c r="L8563" i="1"/>
  <c r="L8564" i="1"/>
  <c r="L8565" i="1"/>
  <c r="L8566" i="1"/>
  <c r="L8567" i="1"/>
  <c r="L8568" i="1"/>
  <c r="L8569" i="1"/>
  <c r="L8570" i="1"/>
  <c r="L8571" i="1"/>
  <c r="L8572" i="1"/>
  <c r="L8573" i="1"/>
  <c r="L8553" i="1"/>
  <c r="L8554" i="1"/>
  <c r="L8555" i="1"/>
  <c r="L8556" i="1"/>
  <c r="L8557" i="1"/>
  <c r="L8558" i="1"/>
  <c r="L8559" i="1"/>
  <c r="L8560" i="1"/>
  <c r="L8561" i="1"/>
  <c r="L8562" i="1"/>
  <c r="A8554" i="1"/>
  <c r="A8555" i="1" s="1"/>
  <c r="A8557" i="1" s="1"/>
  <c r="A8558" i="1" s="1"/>
  <c r="A8559" i="1" s="1"/>
  <c r="A8560" i="1" s="1"/>
  <c r="A8561" i="1" s="1"/>
  <c r="A8562" i="1" s="1"/>
  <c r="A8563" i="1" s="1"/>
  <c r="A8565" i="1" s="1"/>
  <c r="A8566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9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2" i="1" s="1"/>
  <c r="A8603" i="1" s="1"/>
  <c r="A8604" i="1" s="1"/>
  <c r="A8605" i="1" s="1"/>
  <c r="A8606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72" i="1" l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5" i="1" s="1"/>
  <c r="A8686" i="1" s="1"/>
  <c r="A8688" i="1" s="1"/>
  <c r="A8689" i="1" s="1"/>
  <c r="L8542" i="1"/>
  <c r="L8543" i="1"/>
  <c r="L8544" i="1"/>
  <c r="L8545" i="1"/>
  <c r="L8546" i="1"/>
  <c r="L8547" i="1"/>
  <c r="L8548" i="1"/>
  <c r="L8549" i="1"/>
  <c r="L8550" i="1"/>
  <c r="L8551" i="1"/>
  <c r="L8552" i="1"/>
  <c r="H8652" i="1"/>
  <c r="E8652" i="1"/>
  <c r="D9380" i="1" s="1"/>
  <c r="K9380" i="1" s="1"/>
  <c r="N9380" i="1" s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F8652" i="1"/>
  <c r="L8523" i="1"/>
  <c r="A8523" i="1"/>
  <c r="L8522" i="1"/>
  <c r="L8515" i="1"/>
  <c r="L8516" i="1"/>
  <c r="L8517" i="1"/>
  <c r="L8518" i="1"/>
  <c r="L8519" i="1"/>
  <c r="A8516" i="1"/>
  <c r="A8517" i="1" s="1"/>
  <c r="A8518" i="1" s="1"/>
  <c r="A8519" i="1" s="1"/>
  <c r="A9064" i="1" l="1"/>
  <c r="A8871" i="1"/>
  <c r="E9064" i="1"/>
  <c r="E9245" i="1"/>
  <c r="A8524" i="1"/>
  <c r="A8525" i="1" s="1"/>
  <c r="A8526" i="1" s="1"/>
  <c r="A8527" i="1" s="1"/>
  <c r="A8528" i="1" s="1"/>
  <c r="A8529" i="1" s="1"/>
  <c r="A8530" i="1" s="1"/>
  <c r="A8532" i="1" s="1"/>
  <c r="A8533" i="1" s="1"/>
  <c r="A8534" i="1" s="1"/>
  <c r="A8535" i="1" s="1"/>
  <c r="A8536" i="1" s="1"/>
  <c r="A8537" i="1" s="1"/>
  <c r="A8538" i="1" s="1"/>
  <c r="A8539" i="1" s="1"/>
  <c r="A8541" i="1" s="1"/>
  <c r="A8542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E8871" i="1"/>
  <c r="L8652" i="1"/>
  <c r="L8506" i="1"/>
  <c r="L8507" i="1"/>
  <c r="L8508" i="1"/>
  <c r="L8509" i="1"/>
  <c r="L8510" i="1"/>
  <c r="L8511" i="1"/>
  <c r="L8512" i="1"/>
  <c r="L8513" i="1"/>
  <c r="L8514" i="1"/>
  <c r="D9245" i="1" l="1"/>
  <c r="K9245" i="1" s="1"/>
  <c r="N9245" i="1" s="1"/>
  <c r="D8871" i="1"/>
  <c r="K8871" i="1" s="1"/>
  <c r="N8871" i="1" s="1"/>
  <c r="D9064" i="1"/>
  <c r="K9064" i="1" s="1"/>
  <c r="N9064" i="1" s="1"/>
  <c r="A8652" i="1"/>
  <c r="D8652" i="1"/>
  <c r="L8485" i="1"/>
  <c r="L8486" i="1"/>
  <c r="L8487" i="1"/>
  <c r="L8488" i="1"/>
  <c r="L8489" i="1"/>
  <c r="L8490" i="1"/>
  <c r="L8491" i="1"/>
  <c r="L8492" i="1"/>
  <c r="L8493" i="1"/>
  <c r="L8494" i="1"/>
  <c r="L8496" i="1"/>
  <c r="L8497" i="1"/>
  <c r="L8498" i="1"/>
  <c r="L8499" i="1"/>
  <c r="L8500" i="1"/>
  <c r="L8501" i="1"/>
  <c r="L8502" i="1"/>
  <c r="L8503" i="1"/>
  <c r="L8504" i="1"/>
  <c r="L8505" i="1"/>
  <c r="A8485" i="1"/>
  <c r="A8486" i="1" s="1"/>
  <c r="A8487" i="1" s="1"/>
  <c r="A8488" i="1" s="1"/>
  <c r="A8489" i="1" s="1"/>
  <c r="A8490" i="1" s="1"/>
  <c r="A8491" i="1" s="1"/>
  <c r="A8492" i="1" s="1"/>
  <c r="A8493" i="1" s="1"/>
  <c r="A8494" i="1" s="1"/>
  <c r="L8480" i="1"/>
  <c r="L8481" i="1"/>
  <c r="L8482" i="1"/>
  <c r="L8483" i="1"/>
  <c r="L8484" i="1"/>
  <c r="A8481" i="1"/>
  <c r="A8482" i="1" s="1"/>
  <c r="A8483" i="1" s="1"/>
  <c r="L8471" i="1"/>
  <c r="L8472" i="1"/>
  <c r="L8473" i="1"/>
  <c r="L8474" i="1"/>
  <c r="L8475" i="1"/>
  <c r="L8476" i="1"/>
  <c r="L8477" i="1"/>
  <c r="L8478" i="1"/>
  <c r="L8479" i="1"/>
  <c r="A8497" i="1" l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8" i="1" s="1"/>
  <c r="A8509" i="1" s="1"/>
  <c r="A8510" i="1" s="1"/>
  <c r="A8511" i="1" s="1"/>
  <c r="A8512" i="1" s="1"/>
  <c r="A8513" i="1" s="1"/>
  <c r="A8514" i="1" s="1"/>
  <c r="A8495" i="1"/>
  <c r="L8465" i="1"/>
  <c r="L8466" i="1"/>
  <c r="L8467" i="1"/>
  <c r="L8468" i="1"/>
  <c r="L8469" i="1"/>
  <c r="L8470" i="1"/>
  <c r="L8450" i="1" l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G9422" i="1"/>
  <c r="L8440" i="1"/>
  <c r="L8441" i="1"/>
  <c r="L8442" i="1"/>
  <c r="L8443" i="1"/>
  <c r="L8444" i="1"/>
  <c r="L8445" i="1"/>
  <c r="L8446" i="1"/>
  <c r="L8447" i="1"/>
  <c r="L8448" i="1"/>
  <c r="L8449" i="1"/>
  <c r="L8430" i="1"/>
  <c r="L8431" i="1"/>
  <c r="L8432" i="1"/>
  <c r="L8433" i="1"/>
  <c r="L8434" i="1"/>
  <c r="L8435" i="1"/>
  <c r="L8436" i="1"/>
  <c r="L8437" i="1"/>
  <c r="L8438" i="1"/>
  <c r="L8439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04" i="1"/>
  <c r="L8405" i="1"/>
  <c r="L8406" i="1"/>
  <c r="L8407" i="1"/>
  <c r="L8408" i="1"/>
  <c r="L8409" i="1"/>
  <c r="L8410" i="1"/>
  <c r="L8411" i="1"/>
  <c r="L8412" i="1"/>
  <c r="L8413" i="1"/>
  <c r="L8414" i="1"/>
  <c r="C20" i="13" l="1"/>
  <c r="C30" i="13"/>
  <c r="C18" i="13"/>
  <c r="L8388" i="1"/>
  <c r="L8389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A8389" i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A8423" i="1" l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9" i="1" s="1"/>
  <c r="A8440" i="1" s="1"/>
  <c r="A8441" i="1" s="1"/>
  <c r="A8442" i="1" s="1"/>
  <c r="A8443" i="1" s="1"/>
  <c r="A8445" i="1" s="1"/>
  <c r="A8447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L8366" i="1"/>
  <c r="L8367" i="1"/>
  <c r="L8368" i="1"/>
  <c r="L8369" i="1"/>
  <c r="L8370" i="1"/>
  <c r="L8371" i="1"/>
  <c r="L8372" i="1"/>
  <c r="L8373" i="1"/>
  <c r="L8374" i="1"/>
  <c r="L8375" i="1"/>
  <c r="C14" i="13"/>
  <c r="C33" i="13"/>
  <c r="L8355" i="1" l="1"/>
  <c r="L8356" i="1"/>
  <c r="L8357" i="1"/>
  <c r="L8358" i="1"/>
  <c r="L8359" i="1"/>
  <c r="L8360" i="1"/>
  <c r="L8361" i="1"/>
  <c r="L8362" i="1"/>
  <c r="L8363" i="1"/>
  <c r="L8364" i="1"/>
  <c r="L8365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33" i="1" l="1"/>
  <c r="L8334" i="1"/>
  <c r="L8335" i="1"/>
  <c r="L8336" i="1"/>
  <c r="L8337" i="1"/>
  <c r="L8338" i="1"/>
  <c r="L8339" i="1"/>
  <c r="L8340" i="1"/>
  <c r="L8323" i="1"/>
  <c r="L8324" i="1"/>
  <c r="L8325" i="1"/>
  <c r="L8326" i="1"/>
  <c r="L8327" i="1"/>
  <c r="L8328" i="1"/>
  <c r="L8329" i="1"/>
  <c r="L8330" i="1"/>
  <c r="L8331" i="1"/>
  <c r="L8332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04" i="1"/>
  <c r="A8305" i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30" i="1" s="1"/>
  <c r="A8331" i="1" s="1"/>
  <c r="A8332" i="1" s="1"/>
  <c r="L8293" i="1"/>
  <c r="L8294" i="1"/>
  <c r="L8295" i="1"/>
  <c r="L8296" i="1"/>
  <c r="L8297" i="1"/>
  <c r="L8298" i="1"/>
  <c r="L8299" i="1"/>
  <c r="L8300" i="1"/>
  <c r="L8301" i="1"/>
  <c r="L8302" i="1"/>
  <c r="L8303" i="1"/>
  <c r="A8294" i="1"/>
  <c r="A8295" i="1" s="1"/>
  <c r="A8296" i="1" s="1"/>
  <c r="A8297" i="1" s="1"/>
  <c r="A8298" i="1" s="1"/>
  <c r="A8299" i="1" s="1"/>
  <c r="A8300" i="1" s="1"/>
  <c r="A8301" i="1" s="1"/>
  <c r="A8302" i="1" s="1"/>
  <c r="A8303" i="1" s="1"/>
  <c r="A8333" i="1" l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2" i="1" s="1"/>
  <c r="A8363" i="1" s="1"/>
  <c r="A8364" i="1" s="1"/>
  <c r="A8365" i="1" s="1"/>
  <c r="A8366" i="1" s="1"/>
  <c r="A8367" i="1" s="1"/>
  <c r="A8368" i="1" s="1"/>
  <c r="A8370" i="1" s="1"/>
  <c r="A8371" i="1" s="1"/>
  <c r="A8372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G8260" i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L8264" i="1"/>
  <c r="L8265" i="1"/>
  <c r="L8266" i="1"/>
  <c r="L8267" i="1"/>
  <c r="L8268" i="1"/>
  <c r="L8269" i="1"/>
  <c r="L8270" i="1"/>
  <c r="L8271" i="1"/>
  <c r="L8272" i="1"/>
  <c r="L8273" i="1"/>
  <c r="L8274" i="1"/>
  <c r="M8520" i="1"/>
  <c r="H8520" i="1"/>
  <c r="G8520" i="1"/>
  <c r="E8520" i="1"/>
  <c r="D8520" i="1"/>
  <c r="C8520" i="1"/>
  <c r="F8520" i="1"/>
  <c r="L8263" i="1"/>
  <c r="L8262" i="1"/>
  <c r="L8261" i="1"/>
  <c r="A8262" i="1"/>
  <c r="L8253" i="1"/>
  <c r="L8254" i="1"/>
  <c r="L8255" i="1"/>
  <c r="L8256" i="1"/>
  <c r="L8257" i="1"/>
  <c r="B33" i="13"/>
  <c r="M8652" i="1" l="1"/>
  <c r="M8871" i="1" s="1"/>
  <c r="K8652" i="1"/>
  <c r="I8388" i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L8520" i="1"/>
  <c r="A8263" i="1"/>
  <c r="A8264" i="1" s="1"/>
  <c r="A8265" i="1" s="1"/>
  <c r="A8266" i="1" s="1"/>
  <c r="F1" i="22"/>
  <c r="G1" i="22" s="1"/>
  <c r="L8248" i="1"/>
  <c r="L8249" i="1"/>
  <c r="L8250" i="1"/>
  <c r="L8251" i="1"/>
  <c r="L8252" i="1"/>
  <c r="M9380" i="1" l="1"/>
  <c r="M9245" i="1"/>
  <c r="M9064" i="1"/>
  <c r="N8652" i="1"/>
  <c r="A8267" i="1"/>
  <c r="A8268" i="1" s="1"/>
  <c r="A8270" i="1" s="1"/>
  <c r="A8271" i="1" s="1"/>
  <c r="I8404" i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L8242" i="1"/>
  <c r="L8243" i="1"/>
  <c r="L8244" i="1"/>
  <c r="L8245" i="1"/>
  <c r="L8246" i="1"/>
  <c r="L8247" i="1"/>
  <c r="L8231" i="1"/>
  <c r="L8232" i="1"/>
  <c r="L8233" i="1"/>
  <c r="L8234" i="1"/>
  <c r="L8235" i="1"/>
  <c r="L8236" i="1"/>
  <c r="L8237" i="1"/>
  <c r="L8238" i="1"/>
  <c r="L8239" i="1"/>
  <c r="L8240" i="1"/>
  <c r="L8241" i="1"/>
  <c r="A8272" i="1" l="1"/>
  <c r="A8273" i="1" s="1"/>
  <c r="A8274" i="1" s="1"/>
  <c r="A8275" i="1" s="1"/>
  <c r="A8276" i="1" s="1"/>
  <c r="A8277" i="1" s="1"/>
  <c r="A8278" i="1" s="1"/>
  <c r="A8279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1" i="1" s="1"/>
  <c r="A8292" i="1" s="1"/>
  <c r="A8520" i="1" s="1"/>
  <c r="I8415" i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15" i="1"/>
  <c r="L8216" i="1"/>
  <c r="L8217" i="1"/>
  <c r="I8430" i="1" l="1"/>
  <c r="I8431" i="1" s="1"/>
  <c r="I8432" i="1" s="1"/>
  <c r="I8433" i="1" s="1"/>
  <c r="I8434" i="1" s="1"/>
  <c r="I8435" i="1" s="1"/>
  <c r="I8436" i="1" s="1"/>
  <c r="I8437" i="1" s="1"/>
  <c r="I8438" i="1" s="1"/>
  <c r="I8439" i="1" s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191" i="1"/>
  <c r="L8192" i="1"/>
  <c r="L8193" i="1"/>
  <c r="L8194" i="1"/>
  <c r="L8195" i="1"/>
  <c r="L8196" i="1"/>
  <c r="L8197" i="1"/>
  <c r="L8198" i="1"/>
  <c r="L8199" i="1"/>
  <c r="L8200" i="1"/>
  <c r="L8183" i="1"/>
  <c r="L8184" i="1"/>
  <c r="L8185" i="1"/>
  <c r="L8186" i="1"/>
  <c r="L8187" i="1"/>
  <c r="L8188" i="1"/>
  <c r="L8189" i="1"/>
  <c r="L8190" i="1"/>
  <c r="I8440" i="1" l="1"/>
  <c r="I8441" i="1" s="1"/>
  <c r="I8442" i="1" s="1"/>
  <c r="I8443" i="1" s="1"/>
  <c r="I8444" i="1" s="1"/>
  <c r="I8445" i="1" s="1"/>
  <c r="I8446" i="1" s="1"/>
  <c r="I8447" i="1" s="1"/>
  <c r="I8448" i="1" s="1"/>
  <c r="I8449" i="1" s="1"/>
  <c r="L8179" i="1"/>
  <c r="L8180" i="1"/>
  <c r="L8181" i="1"/>
  <c r="L8182" i="1"/>
  <c r="I8450" i="1" l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K9475" i="1"/>
  <c r="J9475" i="1"/>
  <c r="H9475" i="1"/>
  <c r="I9475" i="1"/>
  <c r="F9463" i="1"/>
  <c r="G9458" i="1"/>
  <c r="G9457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A8165" i="1"/>
  <c r="A8166" i="1" s="1"/>
  <c r="A8167" i="1" s="1"/>
  <c r="A8168" i="1" s="1"/>
  <c r="A8169" i="1" s="1"/>
  <c r="A8170" i="1" s="1"/>
  <c r="A8171" i="1" s="1"/>
  <c r="A8172" i="1" s="1"/>
  <c r="A8173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5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200" i="1" s="1"/>
  <c r="A8201" i="1" s="1"/>
  <c r="A8202" i="1" s="1"/>
  <c r="A8203" i="1" s="1"/>
  <c r="A8204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5" i="1" s="1"/>
  <c r="A8236" i="1" s="1"/>
  <c r="A8238" i="1" s="1"/>
  <c r="A8239" i="1" s="1"/>
  <c r="A8241" i="1" s="1"/>
  <c r="A8242" i="1" s="1"/>
  <c r="A8243" i="1" s="1"/>
  <c r="A8244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43" i="1"/>
  <c r="L8144" i="1"/>
  <c r="L8145" i="1"/>
  <c r="L8146" i="1"/>
  <c r="L8147" i="1"/>
  <c r="L8148" i="1"/>
  <c r="L8149" i="1"/>
  <c r="L8150" i="1"/>
  <c r="L8151" i="1"/>
  <c r="I8465" i="1" l="1"/>
  <c r="I8466" i="1" s="1"/>
  <c r="I8467" i="1" s="1"/>
  <c r="I8468" i="1" s="1"/>
  <c r="I8469" i="1" s="1"/>
  <c r="I8470" i="1" s="1"/>
  <c r="G9463" i="1"/>
  <c r="L9475" i="1" s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24" i="1"/>
  <c r="L8125" i="1"/>
  <c r="L8126" i="1"/>
  <c r="L8127" i="1"/>
  <c r="L8128" i="1"/>
  <c r="L8129" i="1"/>
  <c r="L8130" i="1"/>
  <c r="L8113" i="1"/>
  <c r="L8114" i="1"/>
  <c r="L8115" i="1"/>
  <c r="L8116" i="1"/>
  <c r="L8117" i="1"/>
  <c r="L8118" i="1"/>
  <c r="L8119" i="1"/>
  <c r="L8120" i="1"/>
  <c r="L8121" i="1"/>
  <c r="L8122" i="1"/>
  <c r="L8123" i="1"/>
  <c r="L8104" i="1"/>
  <c r="L8105" i="1"/>
  <c r="L8106" i="1"/>
  <c r="L8107" i="1"/>
  <c r="L8108" i="1"/>
  <c r="L8109" i="1"/>
  <c r="L8110" i="1"/>
  <c r="L8111" i="1"/>
  <c r="L8112" i="1"/>
  <c r="A8107" i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3" i="1" s="1"/>
  <c r="A8124" i="1" s="1"/>
  <c r="A8125" i="1" s="1"/>
  <c r="A8126" i="1" s="1"/>
  <c r="A8127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8" i="1" s="1"/>
  <c r="A8149" i="1" s="1"/>
  <c r="A8150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L8095" i="1"/>
  <c r="L8096" i="1"/>
  <c r="L8097" i="1"/>
  <c r="L8098" i="1"/>
  <c r="L8099" i="1"/>
  <c r="L8100" i="1"/>
  <c r="L8101" i="1"/>
  <c r="L8102" i="1"/>
  <c r="L8103" i="1"/>
  <c r="I8471" i="1" l="1"/>
  <c r="I8472" i="1" s="1"/>
  <c r="I8473" i="1" s="1"/>
  <c r="I8474" i="1" s="1"/>
  <c r="I8475" i="1" s="1"/>
  <c r="I8476" i="1" s="1"/>
  <c r="I8477" i="1" s="1"/>
  <c r="I8478" i="1" s="1"/>
  <c r="I8479" i="1" s="1"/>
  <c r="K9418" i="1"/>
  <c r="K9422" i="1"/>
  <c r="I8480" i="1" l="1"/>
  <c r="I8481" i="1" s="1"/>
  <c r="I8482" i="1" s="1"/>
  <c r="I8483" i="1" s="1"/>
  <c r="I8484" i="1" s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I8485" i="1" l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L8065" i="1"/>
  <c r="L8066" i="1"/>
  <c r="L8067" i="1"/>
  <c r="L8068" i="1"/>
  <c r="L8069" i="1"/>
  <c r="L8070" i="1"/>
  <c r="L8071" i="1"/>
  <c r="L8072" i="1"/>
  <c r="L8073" i="1"/>
  <c r="L8074" i="1"/>
  <c r="L8075" i="1"/>
  <c r="L8056" i="1"/>
  <c r="L8057" i="1"/>
  <c r="L8058" i="1"/>
  <c r="L8059" i="1"/>
  <c r="L8060" i="1"/>
  <c r="L8061" i="1"/>
  <c r="L8062" i="1"/>
  <c r="L8063" i="1"/>
  <c r="L8064" i="1"/>
  <c r="K8519" i="1" l="1"/>
  <c r="G852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A8044" i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2" i="1" s="1"/>
  <c r="A8063" i="1" s="1"/>
  <c r="A8064" i="1" s="1"/>
  <c r="E8258" i="1"/>
  <c r="D8258" i="1"/>
  <c r="K8258" i="1" s="1"/>
  <c r="C8258" i="1"/>
  <c r="G8258" i="1"/>
  <c r="H8258" i="1"/>
  <c r="C8652" i="1" l="1"/>
  <c r="G8652" i="1"/>
  <c r="I8522" i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K8520" i="1"/>
  <c r="I8520" i="1"/>
  <c r="A8065" i="1"/>
  <c r="A8066" i="1" s="1"/>
  <c r="A8067" i="1" s="1"/>
  <c r="A8068" i="1" s="1"/>
  <c r="A8069" i="1" s="1"/>
  <c r="A8070" i="1" s="1"/>
  <c r="A8071" i="1" s="1"/>
  <c r="A8072" i="1" s="1"/>
  <c r="A8073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2" i="1" s="1"/>
  <c r="A8103" i="1" s="1"/>
  <c r="A8104" i="1" s="1"/>
  <c r="A8105" i="1" s="1"/>
  <c r="L8032" i="1"/>
  <c r="L8033" i="1"/>
  <c r="L8034" i="1"/>
  <c r="L8035" i="1"/>
  <c r="L8036" i="1"/>
  <c r="L8037" i="1"/>
  <c r="L8038" i="1"/>
  <c r="L8039" i="1"/>
  <c r="L8040" i="1"/>
  <c r="L8041" i="1"/>
  <c r="L8042" i="1"/>
  <c r="L8023" i="1"/>
  <c r="L8024" i="1"/>
  <c r="L8025" i="1"/>
  <c r="L8026" i="1"/>
  <c r="L8027" i="1"/>
  <c r="L8028" i="1"/>
  <c r="L8029" i="1"/>
  <c r="L8030" i="1"/>
  <c r="L8031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01" i="1"/>
  <c r="L8002" i="1"/>
  <c r="L8003" i="1"/>
  <c r="L8004" i="1"/>
  <c r="L8005" i="1"/>
  <c r="L8006" i="1"/>
  <c r="L8007" i="1"/>
  <c r="L8008" i="1"/>
  <c r="L8009" i="1"/>
  <c r="L8010" i="1"/>
  <c r="A8001" i="1"/>
  <c r="F8258" i="1"/>
  <c r="M8258" i="1"/>
  <c r="M8000" i="1"/>
  <c r="I8542" i="1" l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652" i="1"/>
  <c r="A8002" i="1"/>
  <c r="A8003" i="1" s="1"/>
  <c r="A8004" i="1" s="1"/>
  <c r="A8005" i="1" s="1"/>
  <c r="A8007" i="1" s="1"/>
  <c r="A8008" i="1" s="1"/>
  <c r="L8258" i="1"/>
  <c r="N8258" i="1" s="1"/>
  <c r="L7994" i="1"/>
  <c r="M7994" i="1"/>
  <c r="L7995" i="1"/>
  <c r="M7995" i="1"/>
  <c r="L7996" i="1"/>
  <c r="M7996" i="1"/>
  <c r="L7993" i="1"/>
  <c r="M7993" i="1"/>
  <c r="L7997" i="1"/>
  <c r="M7997" i="1"/>
  <c r="C7998" i="1"/>
  <c r="D7998" i="1"/>
  <c r="F7998" i="1"/>
  <c r="G7998" i="1"/>
  <c r="H7998" i="1"/>
  <c r="L7985" i="1"/>
  <c r="M7985" i="1"/>
  <c r="L7986" i="1"/>
  <c r="M7986" i="1"/>
  <c r="L7987" i="1"/>
  <c r="M7987" i="1"/>
  <c r="L7988" i="1"/>
  <c r="M7988" i="1"/>
  <c r="L7989" i="1"/>
  <c r="M7989" i="1"/>
  <c r="L7990" i="1"/>
  <c r="M7990" i="1"/>
  <c r="L7991" i="1"/>
  <c r="M7991" i="1"/>
  <c r="L7992" i="1"/>
  <c r="M7992" i="1"/>
  <c r="I8563" i="1" l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A8009" i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N8520" i="1"/>
  <c r="I7998" i="1"/>
  <c r="L7976" i="1"/>
  <c r="M7976" i="1"/>
  <c r="L7977" i="1"/>
  <c r="M7977" i="1"/>
  <c r="L7978" i="1"/>
  <c r="M7978" i="1"/>
  <c r="L7979" i="1"/>
  <c r="M7979" i="1"/>
  <c r="L7980" i="1"/>
  <c r="M7980" i="1"/>
  <c r="L7981" i="1"/>
  <c r="M7981" i="1"/>
  <c r="L7982" i="1"/>
  <c r="M7982" i="1"/>
  <c r="L7983" i="1"/>
  <c r="M7983" i="1"/>
  <c r="L7984" i="1"/>
  <c r="M7984" i="1"/>
  <c r="L7969" i="1"/>
  <c r="M7969" i="1"/>
  <c r="L7970" i="1"/>
  <c r="M7970" i="1"/>
  <c r="L7971" i="1"/>
  <c r="M7971" i="1"/>
  <c r="L7972" i="1"/>
  <c r="M7972" i="1"/>
  <c r="L7973" i="1"/>
  <c r="M7973" i="1"/>
  <c r="L7974" i="1"/>
  <c r="M7974" i="1"/>
  <c r="L7975" i="1"/>
  <c r="M7975" i="1"/>
  <c r="A7969" i="1"/>
  <c r="A7970" i="1" s="1"/>
  <c r="A7971" i="1" s="1"/>
  <c r="H1543" i="2"/>
  <c r="H1542" i="2"/>
  <c r="L7962" i="1"/>
  <c r="M7962" i="1"/>
  <c r="L7963" i="1"/>
  <c r="M7963" i="1"/>
  <c r="L7964" i="1"/>
  <c r="M7964" i="1"/>
  <c r="L7965" i="1"/>
  <c r="M7965" i="1"/>
  <c r="L7966" i="1"/>
  <c r="M7966" i="1"/>
  <c r="L7967" i="1"/>
  <c r="M7967" i="1"/>
  <c r="L7968" i="1"/>
  <c r="M7968" i="1"/>
  <c r="I8574" i="1" l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A8258" i="1"/>
  <c r="A7973" i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L7953" i="1"/>
  <c r="M7953" i="1"/>
  <c r="L7954" i="1"/>
  <c r="M7954" i="1"/>
  <c r="L7955" i="1"/>
  <c r="M7955" i="1"/>
  <c r="L7956" i="1"/>
  <c r="M7956" i="1"/>
  <c r="L7957" i="1"/>
  <c r="M7957" i="1"/>
  <c r="L7958" i="1"/>
  <c r="M7958" i="1"/>
  <c r="L7959" i="1"/>
  <c r="M7959" i="1"/>
  <c r="L7960" i="1"/>
  <c r="M7960" i="1"/>
  <c r="L7961" i="1"/>
  <c r="M7961" i="1"/>
  <c r="I8588" i="1" l="1"/>
  <c r="I8589" i="1" s="1"/>
  <c r="I8590" i="1" s="1"/>
  <c r="I8591" i="1" s="1"/>
  <c r="I8592" i="1" s="1"/>
  <c r="I8593" i="1" s="1"/>
  <c r="I8594" i="1" s="1"/>
  <c r="I8595" i="1" s="1"/>
  <c r="I8596" i="1" s="1"/>
  <c r="I8597" i="1" s="1"/>
  <c r="K7939" i="1"/>
  <c r="I8598" i="1" l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K7998" i="1"/>
  <c r="L7939" i="1"/>
  <c r="M7939" i="1"/>
  <c r="L7940" i="1"/>
  <c r="M7940" i="1"/>
  <c r="L7941" i="1"/>
  <c r="M7941" i="1"/>
  <c r="L7942" i="1"/>
  <c r="M7942" i="1"/>
  <c r="L7943" i="1"/>
  <c r="M7943" i="1"/>
  <c r="L7944" i="1"/>
  <c r="M7944" i="1"/>
  <c r="L7945" i="1"/>
  <c r="M7945" i="1"/>
  <c r="L7946" i="1"/>
  <c r="M7946" i="1"/>
  <c r="L7947" i="1"/>
  <c r="M7947" i="1"/>
  <c r="L7948" i="1"/>
  <c r="M7948" i="1"/>
  <c r="L7949" i="1"/>
  <c r="M7949" i="1"/>
  <c r="L7950" i="1"/>
  <c r="M7950" i="1"/>
  <c r="L7951" i="1"/>
  <c r="M7951" i="1"/>
  <c r="L7952" i="1"/>
  <c r="M7952" i="1"/>
  <c r="L7929" i="1"/>
  <c r="M7929" i="1"/>
  <c r="L7930" i="1"/>
  <c r="M7930" i="1"/>
  <c r="L7931" i="1"/>
  <c r="M7931" i="1"/>
  <c r="L7932" i="1"/>
  <c r="M7932" i="1"/>
  <c r="L7933" i="1"/>
  <c r="M7933" i="1"/>
  <c r="L7934" i="1"/>
  <c r="M7934" i="1"/>
  <c r="L7935" i="1"/>
  <c r="M7935" i="1"/>
  <c r="L7936" i="1"/>
  <c r="M7936" i="1"/>
  <c r="L7937" i="1"/>
  <c r="M7937" i="1"/>
  <c r="L7938" i="1"/>
  <c r="M7938" i="1"/>
  <c r="L7919" i="1"/>
  <c r="M7919" i="1"/>
  <c r="L7920" i="1"/>
  <c r="M7920" i="1"/>
  <c r="L7921" i="1"/>
  <c r="M7921" i="1"/>
  <c r="L7922" i="1"/>
  <c r="M7922" i="1"/>
  <c r="L7923" i="1"/>
  <c r="M7923" i="1"/>
  <c r="L7924" i="1"/>
  <c r="M7924" i="1"/>
  <c r="L7925" i="1"/>
  <c r="M7925" i="1"/>
  <c r="L7926" i="1"/>
  <c r="M7926" i="1"/>
  <c r="L7927" i="1"/>
  <c r="M7927" i="1"/>
  <c r="L7928" i="1"/>
  <c r="M7928" i="1"/>
  <c r="L7909" i="1"/>
  <c r="M7909" i="1"/>
  <c r="L7910" i="1"/>
  <c r="M7910" i="1"/>
  <c r="L7911" i="1"/>
  <c r="M7911" i="1"/>
  <c r="L7912" i="1"/>
  <c r="M7912" i="1"/>
  <c r="L7913" i="1"/>
  <c r="M7913" i="1"/>
  <c r="L7914" i="1"/>
  <c r="M7914" i="1"/>
  <c r="L7915" i="1"/>
  <c r="M7915" i="1"/>
  <c r="L7916" i="1"/>
  <c r="M7916" i="1"/>
  <c r="L7917" i="1"/>
  <c r="M7917" i="1"/>
  <c r="L7918" i="1"/>
  <c r="M7918" i="1"/>
  <c r="A7913" i="1"/>
  <c r="A7914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6" i="1" s="1"/>
  <c r="A7927" i="1" s="1"/>
  <c r="A7928" i="1" s="1"/>
  <c r="A7929" i="1" s="1"/>
  <c r="A7930" i="1" s="1"/>
  <c r="A7931" i="1" s="1"/>
  <c r="A7933" i="1" s="1"/>
  <c r="A7934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1" i="1" s="1"/>
  <c r="A7952" i="1" s="1"/>
  <c r="A7953" i="1" s="1"/>
  <c r="A7954" i="1" s="1"/>
  <c r="A7955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L7897" i="1"/>
  <c r="M7897" i="1"/>
  <c r="L7898" i="1"/>
  <c r="M7898" i="1"/>
  <c r="L7899" i="1"/>
  <c r="M7899" i="1"/>
  <c r="L7900" i="1"/>
  <c r="M7900" i="1"/>
  <c r="L7901" i="1"/>
  <c r="M7901" i="1"/>
  <c r="L7902" i="1"/>
  <c r="M7902" i="1"/>
  <c r="L7903" i="1"/>
  <c r="M7903" i="1"/>
  <c r="L7904" i="1"/>
  <c r="M7904" i="1"/>
  <c r="L7905" i="1"/>
  <c r="M7905" i="1"/>
  <c r="L7906" i="1"/>
  <c r="M7906" i="1"/>
  <c r="L7907" i="1"/>
  <c r="M7907" i="1"/>
  <c r="L7908" i="1"/>
  <c r="M7908" i="1"/>
  <c r="A7899" i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L7890" i="1"/>
  <c r="M7890" i="1"/>
  <c r="L7891" i="1"/>
  <c r="M7891" i="1"/>
  <c r="L7892" i="1"/>
  <c r="M7892" i="1"/>
  <c r="L7893" i="1"/>
  <c r="M7893" i="1"/>
  <c r="L7894" i="1"/>
  <c r="M7894" i="1"/>
  <c r="L7895" i="1"/>
  <c r="M7895" i="1"/>
  <c r="L7896" i="1"/>
  <c r="M7896" i="1"/>
  <c r="L7882" i="1"/>
  <c r="M7882" i="1"/>
  <c r="L7883" i="1"/>
  <c r="M7883" i="1"/>
  <c r="L7884" i="1"/>
  <c r="M7884" i="1"/>
  <c r="L7885" i="1"/>
  <c r="M7885" i="1"/>
  <c r="L7886" i="1"/>
  <c r="M7886" i="1"/>
  <c r="L7887" i="1"/>
  <c r="M7887" i="1"/>
  <c r="L7888" i="1"/>
  <c r="M7888" i="1"/>
  <c r="L7889" i="1"/>
  <c r="M7889" i="1"/>
  <c r="I8611" i="1" l="1"/>
  <c r="I8612" i="1" s="1"/>
  <c r="I8613" i="1" s="1"/>
  <c r="I8614" i="1" s="1"/>
  <c r="I8615" i="1" s="1"/>
  <c r="I8616" i="1" s="1"/>
  <c r="I8617" i="1" s="1"/>
  <c r="I8618" i="1" s="1"/>
  <c r="I8619" i="1" s="1"/>
  <c r="L7869" i="1"/>
  <c r="M7869" i="1"/>
  <c r="L7870" i="1"/>
  <c r="M7870" i="1"/>
  <c r="L7871" i="1"/>
  <c r="M7871" i="1"/>
  <c r="L7872" i="1"/>
  <c r="M7872" i="1"/>
  <c r="L7873" i="1"/>
  <c r="M7873" i="1"/>
  <c r="L7874" i="1"/>
  <c r="M7874" i="1"/>
  <c r="L7875" i="1"/>
  <c r="M7875" i="1"/>
  <c r="L7876" i="1"/>
  <c r="M7876" i="1"/>
  <c r="L7877" i="1"/>
  <c r="M7877" i="1"/>
  <c r="L7878" i="1"/>
  <c r="M7878" i="1"/>
  <c r="L7879" i="1"/>
  <c r="M7879" i="1"/>
  <c r="L7880" i="1"/>
  <c r="M7880" i="1"/>
  <c r="L7881" i="1"/>
  <c r="M7881" i="1"/>
  <c r="L7856" i="1"/>
  <c r="M7856" i="1"/>
  <c r="L7857" i="1"/>
  <c r="M7857" i="1"/>
  <c r="L7858" i="1"/>
  <c r="M7858" i="1"/>
  <c r="L7859" i="1"/>
  <c r="M7859" i="1"/>
  <c r="L7860" i="1"/>
  <c r="M7860" i="1"/>
  <c r="L7861" i="1"/>
  <c r="M7861" i="1"/>
  <c r="L7862" i="1"/>
  <c r="M7862" i="1"/>
  <c r="L7863" i="1"/>
  <c r="M7863" i="1"/>
  <c r="L7864" i="1"/>
  <c r="M7864" i="1"/>
  <c r="L7865" i="1"/>
  <c r="M7865" i="1"/>
  <c r="L7866" i="1"/>
  <c r="M7866" i="1"/>
  <c r="L7867" i="1"/>
  <c r="M7867" i="1"/>
  <c r="L7868" i="1"/>
  <c r="M7868" i="1"/>
  <c r="A7858" i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2" i="1" s="1"/>
  <c r="A7873" i="1" s="1"/>
  <c r="A7874" i="1" s="1"/>
  <c r="A7875" i="1" s="1"/>
  <c r="A7877" i="1" s="1"/>
  <c r="A7878" i="1" s="1"/>
  <c r="A7879" i="1" s="1"/>
  <c r="A7880" i="1" s="1"/>
  <c r="A7881" i="1" s="1"/>
  <c r="A7882" i="1" s="1"/>
  <c r="A7883" i="1" s="1"/>
  <c r="A7884" i="1" s="1"/>
  <c r="A7886" i="1" s="1"/>
  <c r="A7887" i="1" s="1"/>
  <c r="A7888" i="1" s="1"/>
  <c r="A7889" i="1" s="1"/>
  <c r="L7849" i="1"/>
  <c r="M7849" i="1"/>
  <c r="L7850" i="1"/>
  <c r="M7850" i="1"/>
  <c r="L7851" i="1"/>
  <c r="M7851" i="1"/>
  <c r="L7852" i="1"/>
  <c r="M7852" i="1"/>
  <c r="L7853" i="1"/>
  <c r="M7853" i="1"/>
  <c r="L7854" i="1"/>
  <c r="M7854" i="1"/>
  <c r="L7855" i="1"/>
  <c r="M7855" i="1"/>
  <c r="L7836" i="1"/>
  <c r="M7836" i="1"/>
  <c r="L7837" i="1"/>
  <c r="M7837" i="1"/>
  <c r="L7838" i="1"/>
  <c r="M7838" i="1"/>
  <c r="L7839" i="1"/>
  <c r="M7839" i="1"/>
  <c r="L7840" i="1"/>
  <c r="M7840" i="1"/>
  <c r="L7841" i="1"/>
  <c r="M7841" i="1"/>
  <c r="L7842" i="1"/>
  <c r="M7842" i="1"/>
  <c r="L7843" i="1"/>
  <c r="M7843" i="1"/>
  <c r="L7844" i="1"/>
  <c r="M7844" i="1"/>
  <c r="L7845" i="1"/>
  <c r="M7845" i="1"/>
  <c r="L7846" i="1"/>
  <c r="M7846" i="1"/>
  <c r="L7847" i="1"/>
  <c r="M7847" i="1"/>
  <c r="L7848" i="1"/>
  <c r="M7848" i="1"/>
  <c r="I8620" i="1" l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A7890" i="1"/>
  <c r="A7891" i="1" s="1"/>
  <c r="A7892" i="1" s="1"/>
  <c r="A7893" i="1" s="1"/>
  <c r="A7894" i="1" s="1"/>
  <c r="A7895" i="1" s="1"/>
  <c r="A7896" i="1" s="1"/>
  <c r="A7897" i="1" s="1"/>
  <c r="L7818" i="1"/>
  <c r="M7818" i="1"/>
  <c r="L7819" i="1"/>
  <c r="M7819" i="1"/>
  <c r="L7820" i="1"/>
  <c r="M7820" i="1"/>
  <c r="L7821" i="1"/>
  <c r="M7821" i="1"/>
  <c r="L7822" i="1"/>
  <c r="M7822" i="1"/>
  <c r="L7823" i="1"/>
  <c r="M7823" i="1"/>
  <c r="L7824" i="1"/>
  <c r="M7824" i="1"/>
  <c r="L7825" i="1"/>
  <c r="M7825" i="1"/>
  <c r="L7826" i="1"/>
  <c r="M7826" i="1"/>
  <c r="L7827" i="1"/>
  <c r="M7827" i="1"/>
  <c r="L7828" i="1"/>
  <c r="M7828" i="1"/>
  <c r="L7829" i="1"/>
  <c r="M7829" i="1"/>
  <c r="L7830" i="1"/>
  <c r="M7830" i="1"/>
  <c r="L7831" i="1"/>
  <c r="M7831" i="1"/>
  <c r="L7832" i="1"/>
  <c r="M7832" i="1"/>
  <c r="L7833" i="1"/>
  <c r="M7833" i="1"/>
  <c r="L7834" i="1"/>
  <c r="M7834" i="1"/>
  <c r="L7835" i="1"/>
  <c r="M7835" i="1"/>
  <c r="A7819" i="1"/>
  <c r="A7820" i="1" s="1"/>
  <c r="A7821" i="1" s="1"/>
  <c r="A7822" i="1" s="1"/>
  <c r="A7823" i="1" s="1"/>
  <c r="A7824" i="1" s="1"/>
  <c r="A7825" i="1" s="1"/>
  <c r="A7826" i="1" s="1"/>
  <c r="A7827" i="1" s="1"/>
  <c r="A7828" i="1" s="1"/>
  <c r="A7830" i="1" s="1"/>
  <c r="A7831" i="1" s="1"/>
  <c r="A7832" i="1" s="1"/>
  <c r="A7833" i="1" s="1"/>
  <c r="A7834" i="1" s="1"/>
  <c r="A7835" i="1" s="1"/>
  <c r="A7836" i="1" s="1"/>
  <c r="A7837" i="1" s="1"/>
  <c r="A7839" i="1" s="1"/>
  <c r="A7840" i="1" s="1"/>
  <c r="A7841" i="1" s="1"/>
  <c r="A7842" i="1" s="1"/>
  <c r="A7843" i="1" s="1"/>
  <c r="A7844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L7814" i="1"/>
  <c r="M7814" i="1"/>
  <c r="L7815" i="1"/>
  <c r="M7815" i="1"/>
  <c r="L7816" i="1"/>
  <c r="M7816" i="1"/>
  <c r="L7817" i="1"/>
  <c r="M7817" i="1"/>
  <c r="L7799" i="1"/>
  <c r="M7799" i="1"/>
  <c r="L7800" i="1"/>
  <c r="M7800" i="1"/>
  <c r="L7801" i="1"/>
  <c r="M7801" i="1"/>
  <c r="L7802" i="1"/>
  <c r="M7802" i="1"/>
  <c r="L7803" i="1"/>
  <c r="M7803" i="1"/>
  <c r="L7804" i="1"/>
  <c r="M7804" i="1"/>
  <c r="L7805" i="1"/>
  <c r="M7805" i="1"/>
  <c r="L7806" i="1"/>
  <c r="M7806" i="1"/>
  <c r="L7807" i="1"/>
  <c r="M7807" i="1"/>
  <c r="L7808" i="1"/>
  <c r="M7808" i="1"/>
  <c r="L7809" i="1"/>
  <c r="M7809" i="1"/>
  <c r="L7810" i="1"/>
  <c r="M7810" i="1"/>
  <c r="L7811" i="1"/>
  <c r="M7811" i="1"/>
  <c r="L7812" i="1"/>
  <c r="M7812" i="1"/>
  <c r="L7813" i="1"/>
  <c r="M7813" i="1"/>
  <c r="I8633" i="1" l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L7787" i="1"/>
  <c r="M7787" i="1"/>
  <c r="L7788" i="1"/>
  <c r="M7788" i="1"/>
  <c r="L7789" i="1"/>
  <c r="M7789" i="1"/>
  <c r="L7790" i="1"/>
  <c r="M7790" i="1"/>
  <c r="L7791" i="1"/>
  <c r="M7791" i="1"/>
  <c r="L7792" i="1"/>
  <c r="M7792" i="1"/>
  <c r="L7793" i="1"/>
  <c r="M7793" i="1"/>
  <c r="L7794" i="1"/>
  <c r="M7794" i="1"/>
  <c r="L7795" i="1"/>
  <c r="M7795" i="1"/>
  <c r="L7796" i="1"/>
  <c r="M7796" i="1"/>
  <c r="L7797" i="1"/>
  <c r="M7797" i="1"/>
  <c r="L7798" i="1"/>
  <c r="M7798" i="1"/>
  <c r="L7777" i="1"/>
  <c r="M7777" i="1"/>
  <c r="L7778" i="1"/>
  <c r="M7778" i="1"/>
  <c r="L7779" i="1"/>
  <c r="M7779" i="1"/>
  <c r="L7780" i="1"/>
  <c r="M7780" i="1"/>
  <c r="L7781" i="1"/>
  <c r="M7781" i="1"/>
  <c r="L7782" i="1"/>
  <c r="M7782" i="1"/>
  <c r="L7783" i="1"/>
  <c r="M7783" i="1"/>
  <c r="L7784" i="1"/>
  <c r="M7784" i="1"/>
  <c r="L7785" i="1"/>
  <c r="M7785" i="1"/>
  <c r="L7786" i="1"/>
  <c r="M7786" i="1"/>
  <c r="A7778" i="1"/>
  <c r="A7779" i="1" s="1"/>
  <c r="A7780" i="1" s="1"/>
  <c r="A7781" i="1" s="1"/>
  <c r="A7782" i="1" s="1"/>
  <c r="A7783" i="1" s="1"/>
  <c r="A7784" i="1" s="1"/>
  <c r="A7785" i="1" s="1"/>
  <c r="A7786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7" i="1" s="1"/>
  <c r="L7767" i="1"/>
  <c r="M7767" i="1"/>
  <c r="L7768" i="1"/>
  <c r="M7768" i="1"/>
  <c r="L7769" i="1"/>
  <c r="M7769" i="1"/>
  <c r="L7770" i="1"/>
  <c r="M7770" i="1"/>
  <c r="L7771" i="1"/>
  <c r="M7771" i="1"/>
  <c r="L7772" i="1"/>
  <c r="M7772" i="1"/>
  <c r="L7773" i="1"/>
  <c r="M7773" i="1"/>
  <c r="L7774" i="1"/>
  <c r="M7774" i="1"/>
  <c r="L7775" i="1"/>
  <c r="M7775" i="1"/>
  <c r="L7776" i="1"/>
  <c r="M7776" i="1"/>
  <c r="I8645" i="1" l="1"/>
  <c r="I8646" i="1" s="1"/>
  <c r="I8647" i="1" s="1"/>
  <c r="I8648" i="1" s="1"/>
  <c r="I8649" i="1" s="1"/>
  <c r="I8650" i="1" s="1"/>
  <c r="I8651" i="1" s="1"/>
  <c r="G8654" i="1" s="1"/>
  <c r="L7752" i="1"/>
  <c r="M7752" i="1"/>
  <c r="G8871" i="1" l="1"/>
  <c r="C8871" i="1"/>
  <c r="L7758" i="1"/>
  <c r="M7758" i="1"/>
  <c r="L7759" i="1"/>
  <c r="M7759" i="1"/>
  <c r="L7760" i="1"/>
  <c r="M7760" i="1"/>
  <c r="L7761" i="1"/>
  <c r="M7761" i="1"/>
  <c r="L7762" i="1"/>
  <c r="M7762" i="1"/>
  <c r="L7763" i="1"/>
  <c r="M7763" i="1"/>
  <c r="L7764" i="1"/>
  <c r="M7764" i="1"/>
  <c r="L7765" i="1"/>
  <c r="M7765" i="1"/>
  <c r="L7766" i="1"/>
  <c r="M7766" i="1"/>
  <c r="M7757" i="1"/>
  <c r="L7757" i="1"/>
  <c r="M7756" i="1"/>
  <c r="L7756" i="1"/>
  <c r="I7756" i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A7757" i="1"/>
  <c r="L7753" i="1"/>
  <c r="M7753" i="1"/>
  <c r="I8654" i="1" l="1"/>
  <c r="I8655" i="1" s="1"/>
  <c r="I8871" i="1"/>
  <c r="M7998" i="1"/>
  <c r="L7998" i="1"/>
  <c r="I7804" i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A7758" i="1"/>
  <c r="A7759" i="1" s="1"/>
  <c r="A7760" i="1" s="1"/>
  <c r="A7761" i="1" s="1"/>
  <c r="L7743" i="1"/>
  <c r="M7743" i="1"/>
  <c r="L7744" i="1"/>
  <c r="M7744" i="1"/>
  <c r="L7745" i="1"/>
  <c r="M7745" i="1"/>
  <c r="L7746" i="1"/>
  <c r="M7746" i="1"/>
  <c r="L7747" i="1"/>
  <c r="M7747" i="1"/>
  <c r="L7748" i="1"/>
  <c r="M7748" i="1"/>
  <c r="L7749" i="1"/>
  <c r="M7749" i="1"/>
  <c r="L7750" i="1"/>
  <c r="M7750" i="1"/>
  <c r="L7751" i="1"/>
  <c r="M7751" i="1"/>
  <c r="L7731" i="1"/>
  <c r="M7731" i="1"/>
  <c r="L7732" i="1"/>
  <c r="M7732" i="1"/>
  <c r="L7733" i="1"/>
  <c r="M7733" i="1"/>
  <c r="L7734" i="1"/>
  <c r="M7734" i="1"/>
  <c r="L7735" i="1"/>
  <c r="M7735" i="1"/>
  <c r="L7736" i="1"/>
  <c r="M7736" i="1"/>
  <c r="L7737" i="1"/>
  <c r="M7737" i="1"/>
  <c r="L7738" i="1"/>
  <c r="M7738" i="1"/>
  <c r="L7739" i="1"/>
  <c r="M7739" i="1"/>
  <c r="L7740" i="1"/>
  <c r="M7740" i="1"/>
  <c r="L7741" i="1"/>
  <c r="M7741" i="1"/>
  <c r="L7742" i="1"/>
  <c r="M7742" i="1"/>
  <c r="I8656" i="1" l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A7762" i="1"/>
  <c r="A7763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I7836" i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L7720" i="1"/>
  <c r="M7720" i="1"/>
  <c r="L7721" i="1"/>
  <c r="M7721" i="1"/>
  <c r="L7722" i="1"/>
  <c r="M7722" i="1"/>
  <c r="L7723" i="1"/>
  <c r="M7723" i="1"/>
  <c r="L7724" i="1"/>
  <c r="M7724" i="1"/>
  <c r="L7725" i="1"/>
  <c r="M7725" i="1"/>
  <c r="L7726" i="1"/>
  <c r="M7726" i="1"/>
  <c r="L7727" i="1"/>
  <c r="M7727" i="1"/>
  <c r="L7728" i="1"/>
  <c r="M7728" i="1"/>
  <c r="L7729" i="1"/>
  <c r="M7729" i="1"/>
  <c r="L7730" i="1"/>
  <c r="M7730" i="1"/>
  <c r="A7720" i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8" i="1" s="1"/>
  <c r="A7749" i="1" s="1"/>
  <c r="A7750" i="1" s="1"/>
  <c r="A7751" i="1" s="1"/>
  <c r="I8667" i="1" l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A7998" i="1"/>
  <c r="I7849" i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A7753" i="1"/>
  <c r="A7752" i="1"/>
  <c r="L7708" i="1"/>
  <c r="M7708" i="1"/>
  <c r="L7709" i="1"/>
  <c r="M7709" i="1"/>
  <c r="L7710" i="1"/>
  <c r="M7710" i="1"/>
  <c r="L7711" i="1"/>
  <c r="M7711" i="1"/>
  <c r="L7712" i="1"/>
  <c r="M7712" i="1"/>
  <c r="L7713" i="1"/>
  <c r="M7713" i="1"/>
  <c r="L7714" i="1"/>
  <c r="M7714" i="1"/>
  <c r="L7715" i="1"/>
  <c r="M7715" i="1"/>
  <c r="L7716" i="1"/>
  <c r="M7716" i="1"/>
  <c r="L7717" i="1"/>
  <c r="M7717" i="1"/>
  <c r="L7718" i="1"/>
  <c r="M7718" i="1"/>
  <c r="L7719" i="1"/>
  <c r="M7719" i="1"/>
  <c r="L7694" i="1"/>
  <c r="M7694" i="1"/>
  <c r="L7695" i="1"/>
  <c r="M7695" i="1"/>
  <c r="L7696" i="1"/>
  <c r="M7696" i="1"/>
  <c r="L7697" i="1"/>
  <c r="M7697" i="1"/>
  <c r="L7698" i="1"/>
  <c r="M7698" i="1"/>
  <c r="L7699" i="1"/>
  <c r="M7699" i="1"/>
  <c r="L7700" i="1"/>
  <c r="M7700" i="1"/>
  <c r="L7701" i="1"/>
  <c r="M7701" i="1"/>
  <c r="L7702" i="1"/>
  <c r="M7702" i="1"/>
  <c r="L7703" i="1"/>
  <c r="M7703" i="1"/>
  <c r="L7704" i="1"/>
  <c r="M7704" i="1"/>
  <c r="L7705" i="1"/>
  <c r="M7705" i="1"/>
  <c r="L7706" i="1"/>
  <c r="M7706" i="1"/>
  <c r="L7707" i="1"/>
  <c r="M7707" i="1"/>
  <c r="I8681" i="1" l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7997" i="1"/>
  <c r="I7993" i="1"/>
  <c r="I7994" i="1" s="1"/>
  <c r="I7995" i="1" s="1"/>
  <c r="I7996" i="1" s="1"/>
  <c r="G8000" i="1" s="1"/>
  <c r="L7681" i="1"/>
  <c r="M7681" i="1"/>
  <c r="L7682" i="1"/>
  <c r="M7682" i="1"/>
  <c r="L7683" i="1"/>
  <c r="M7683" i="1"/>
  <c r="L7684" i="1"/>
  <c r="M7684" i="1"/>
  <c r="L7685" i="1"/>
  <c r="M7685" i="1"/>
  <c r="L7686" i="1"/>
  <c r="M7686" i="1"/>
  <c r="L7687" i="1"/>
  <c r="M7687" i="1"/>
  <c r="L7688" i="1"/>
  <c r="M7688" i="1"/>
  <c r="L7689" i="1"/>
  <c r="M7689" i="1"/>
  <c r="L7690" i="1"/>
  <c r="M7690" i="1"/>
  <c r="L7691" i="1"/>
  <c r="M7691" i="1"/>
  <c r="L7692" i="1"/>
  <c r="M7692" i="1"/>
  <c r="L7693" i="1"/>
  <c r="M7693" i="1"/>
  <c r="L7662" i="1"/>
  <c r="M7662" i="1"/>
  <c r="L7663" i="1"/>
  <c r="M7663" i="1"/>
  <c r="L7664" i="1"/>
  <c r="M7664" i="1"/>
  <c r="L7665" i="1"/>
  <c r="M7665" i="1"/>
  <c r="L7666" i="1"/>
  <c r="M7666" i="1"/>
  <c r="L7667" i="1"/>
  <c r="M7667" i="1"/>
  <c r="L7668" i="1"/>
  <c r="M7668" i="1"/>
  <c r="L7669" i="1"/>
  <c r="M7669" i="1"/>
  <c r="L7670" i="1"/>
  <c r="M7670" i="1"/>
  <c r="L7671" i="1"/>
  <c r="M7671" i="1"/>
  <c r="L7672" i="1"/>
  <c r="M7672" i="1"/>
  <c r="L7673" i="1"/>
  <c r="M7673" i="1"/>
  <c r="L7674" i="1"/>
  <c r="M7674" i="1"/>
  <c r="L7675" i="1"/>
  <c r="M7675" i="1"/>
  <c r="L7676" i="1"/>
  <c r="M7676" i="1"/>
  <c r="L7677" i="1"/>
  <c r="M7677" i="1"/>
  <c r="L7678" i="1"/>
  <c r="M7678" i="1"/>
  <c r="L7679" i="1"/>
  <c r="M7679" i="1"/>
  <c r="L7680" i="1"/>
  <c r="M7680" i="1"/>
  <c r="I8692" i="1" l="1"/>
  <c r="I8693" i="1" s="1"/>
  <c r="I8694" i="1" s="1"/>
  <c r="I8695" i="1" s="1"/>
  <c r="I8696" i="1" s="1"/>
  <c r="I8697" i="1" s="1"/>
  <c r="I8698" i="1" s="1"/>
  <c r="I8699" i="1" s="1"/>
  <c r="I8700" i="1" s="1"/>
  <c r="L8000" i="1"/>
  <c r="I8000" i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L7642" i="1"/>
  <c r="M7642" i="1"/>
  <c r="L7643" i="1"/>
  <c r="M7643" i="1"/>
  <c r="L7644" i="1"/>
  <c r="M7644" i="1"/>
  <c r="L7645" i="1"/>
  <c r="M7645" i="1"/>
  <c r="L7646" i="1"/>
  <c r="M7646" i="1"/>
  <c r="L7647" i="1"/>
  <c r="M7647" i="1"/>
  <c r="L7648" i="1"/>
  <c r="M7648" i="1"/>
  <c r="L7649" i="1"/>
  <c r="M7649" i="1"/>
  <c r="L7650" i="1"/>
  <c r="M7650" i="1"/>
  <c r="L7651" i="1"/>
  <c r="M7651" i="1"/>
  <c r="L7652" i="1"/>
  <c r="M7652" i="1"/>
  <c r="L7653" i="1"/>
  <c r="M7653" i="1"/>
  <c r="L7654" i="1"/>
  <c r="M7654" i="1"/>
  <c r="L7655" i="1"/>
  <c r="M7655" i="1"/>
  <c r="L7656" i="1"/>
  <c r="M7656" i="1"/>
  <c r="L7657" i="1"/>
  <c r="M7657" i="1"/>
  <c r="L7658" i="1"/>
  <c r="M7658" i="1"/>
  <c r="L7659" i="1"/>
  <c r="M7659" i="1"/>
  <c r="L7660" i="1"/>
  <c r="M7660" i="1"/>
  <c r="L7661" i="1"/>
  <c r="M7661" i="1"/>
  <c r="A7654" i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7" i="1" s="1"/>
  <c r="A7668" i="1" s="1"/>
  <c r="A7669" i="1" s="1"/>
  <c r="A7670" i="1" s="1"/>
  <c r="A7671" i="1" s="1"/>
  <c r="A7673" i="1" s="1"/>
  <c r="A7674" i="1" s="1"/>
  <c r="A7675" i="1" s="1"/>
  <c r="A7676" i="1" s="1"/>
  <c r="A7677" i="1" s="1"/>
  <c r="A7678" i="1" s="1"/>
  <c r="A7680" i="1" s="1"/>
  <c r="A7681" i="1" s="1"/>
  <c r="A7682" i="1" s="1"/>
  <c r="A7684" i="1" s="1"/>
  <c r="A7686" i="1" s="1"/>
  <c r="A7687" i="1" s="1"/>
  <c r="A7688" i="1" s="1"/>
  <c r="A7689" i="1" s="1"/>
  <c r="A7690" i="1" s="1"/>
  <c r="A7692" i="1" s="1"/>
  <c r="A7693" i="1" s="1"/>
  <c r="A7694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L7631" i="1"/>
  <c r="M7631" i="1"/>
  <c r="L7632" i="1"/>
  <c r="M7632" i="1"/>
  <c r="L7633" i="1"/>
  <c r="M7633" i="1"/>
  <c r="L7634" i="1"/>
  <c r="M7634" i="1"/>
  <c r="L7635" i="1"/>
  <c r="M7635" i="1"/>
  <c r="L7636" i="1"/>
  <c r="M7636" i="1"/>
  <c r="L7637" i="1"/>
  <c r="M7637" i="1"/>
  <c r="L7638" i="1"/>
  <c r="M7638" i="1"/>
  <c r="L7639" i="1"/>
  <c r="M7639" i="1"/>
  <c r="L7640" i="1"/>
  <c r="M7640" i="1"/>
  <c r="L7641" i="1"/>
  <c r="M7641" i="1"/>
  <c r="L7624" i="1"/>
  <c r="M7624" i="1"/>
  <c r="L7625" i="1"/>
  <c r="M7625" i="1"/>
  <c r="L7626" i="1"/>
  <c r="M7626" i="1"/>
  <c r="L7627" i="1"/>
  <c r="M7627" i="1"/>
  <c r="L7628" i="1"/>
  <c r="M7628" i="1"/>
  <c r="L7629" i="1"/>
  <c r="M7629" i="1"/>
  <c r="L7630" i="1"/>
  <c r="M7630" i="1"/>
  <c r="L7612" i="1"/>
  <c r="M7612" i="1"/>
  <c r="L7613" i="1"/>
  <c r="M7613" i="1"/>
  <c r="L7614" i="1"/>
  <c r="M7614" i="1"/>
  <c r="L7615" i="1"/>
  <c r="M7615" i="1"/>
  <c r="L7616" i="1"/>
  <c r="M7616" i="1"/>
  <c r="L7617" i="1"/>
  <c r="M7617" i="1"/>
  <c r="L7618" i="1"/>
  <c r="M7618" i="1"/>
  <c r="L7619" i="1"/>
  <c r="M7619" i="1"/>
  <c r="L7620" i="1"/>
  <c r="M7620" i="1"/>
  <c r="L7621" i="1"/>
  <c r="M7621" i="1"/>
  <c r="L7622" i="1"/>
  <c r="M7622" i="1"/>
  <c r="L7623" i="1"/>
  <c r="M7623" i="1"/>
  <c r="I8701" i="1" l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011" i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L7472" i="1"/>
  <c r="M7472" i="1"/>
  <c r="L7473" i="1"/>
  <c r="M7473" i="1"/>
  <c r="L7474" i="1"/>
  <c r="M7474" i="1"/>
  <c r="L7475" i="1"/>
  <c r="M7475" i="1"/>
  <c r="L7476" i="1"/>
  <c r="M7476" i="1"/>
  <c r="L7477" i="1"/>
  <c r="M7477" i="1"/>
  <c r="L7478" i="1"/>
  <c r="M7478" i="1"/>
  <c r="L7479" i="1"/>
  <c r="M7479" i="1"/>
  <c r="L7480" i="1"/>
  <c r="M7480" i="1"/>
  <c r="L7481" i="1"/>
  <c r="M7481" i="1"/>
  <c r="L7482" i="1"/>
  <c r="M7482" i="1"/>
  <c r="L7483" i="1"/>
  <c r="M7483" i="1"/>
  <c r="L7484" i="1"/>
  <c r="M7484" i="1"/>
  <c r="L7485" i="1"/>
  <c r="M7485" i="1"/>
  <c r="L7486" i="1"/>
  <c r="M7486" i="1"/>
  <c r="L7487" i="1"/>
  <c r="M7487" i="1"/>
  <c r="L7488" i="1"/>
  <c r="M7488" i="1"/>
  <c r="L7489" i="1"/>
  <c r="M7489" i="1"/>
  <c r="L7490" i="1"/>
  <c r="M7490" i="1"/>
  <c r="L7491" i="1"/>
  <c r="M7491" i="1"/>
  <c r="L7492" i="1"/>
  <c r="M7492" i="1"/>
  <c r="L7493" i="1"/>
  <c r="M7493" i="1"/>
  <c r="L7494" i="1"/>
  <c r="M7494" i="1"/>
  <c r="L7495" i="1"/>
  <c r="M7495" i="1"/>
  <c r="L7496" i="1"/>
  <c r="M7496" i="1"/>
  <c r="L7497" i="1"/>
  <c r="M7497" i="1"/>
  <c r="L7498" i="1"/>
  <c r="M7498" i="1"/>
  <c r="L7499" i="1"/>
  <c r="M7499" i="1"/>
  <c r="L7500" i="1"/>
  <c r="M7500" i="1"/>
  <c r="L7501" i="1"/>
  <c r="M7501" i="1"/>
  <c r="L7502" i="1"/>
  <c r="M7502" i="1"/>
  <c r="L7503" i="1"/>
  <c r="M7503" i="1"/>
  <c r="L7504" i="1"/>
  <c r="M7504" i="1"/>
  <c r="L7505" i="1"/>
  <c r="M7505" i="1"/>
  <c r="L7506" i="1"/>
  <c r="M7506" i="1"/>
  <c r="L7507" i="1"/>
  <c r="M7507" i="1"/>
  <c r="L7508" i="1"/>
  <c r="M7508" i="1"/>
  <c r="L7509" i="1"/>
  <c r="M7509" i="1"/>
  <c r="L7510" i="1"/>
  <c r="M7510" i="1"/>
  <c r="L7511" i="1"/>
  <c r="M7511" i="1"/>
  <c r="L7512" i="1"/>
  <c r="M7512" i="1"/>
  <c r="L7513" i="1"/>
  <c r="M7513" i="1"/>
  <c r="L7514" i="1"/>
  <c r="M7514" i="1"/>
  <c r="L7515" i="1"/>
  <c r="M7515" i="1"/>
  <c r="L7516" i="1"/>
  <c r="M7516" i="1"/>
  <c r="L7517" i="1"/>
  <c r="M7517" i="1"/>
  <c r="L7518" i="1"/>
  <c r="M7518" i="1"/>
  <c r="L7519" i="1"/>
  <c r="M7519" i="1"/>
  <c r="L7520" i="1"/>
  <c r="M7520" i="1"/>
  <c r="L7521" i="1"/>
  <c r="M7521" i="1"/>
  <c r="L7522" i="1"/>
  <c r="M7522" i="1"/>
  <c r="L7523" i="1"/>
  <c r="M7523" i="1"/>
  <c r="L7524" i="1"/>
  <c r="M7524" i="1"/>
  <c r="L7525" i="1"/>
  <c r="M7525" i="1"/>
  <c r="L7526" i="1"/>
  <c r="M7526" i="1"/>
  <c r="L7527" i="1"/>
  <c r="M7527" i="1"/>
  <c r="L7528" i="1"/>
  <c r="M7528" i="1"/>
  <c r="L7529" i="1"/>
  <c r="M7529" i="1"/>
  <c r="L7530" i="1"/>
  <c r="M7530" i="1"/>
  <c r="L7531" i="1"/>
  <c r="M7531" i="1"/>
  <c r="L7532" i="1"/>
  <c r="M7532" i="1"/>
  <c r="L7533" i="1"/>
  <c r="M7533" i="1"/>
  <c r="L7534" i="1"/>
  <c r="M7534" i="1"/>
  <c r="L7535" i="1"/>
  <c r="M7535" i="1"/>
  <c r="L7536" i="1"/>
  <c r="M7536" i="1"/>
  <c r="L7537" i="1"/>
  <c r="M7537" i="1"/>
  <c r="L7538" i="1"/>
  <c r="M7538" i="1"/>
  <c r="L7539" i="1"/>
  <c r="M7539" i="1"/>
  <c r="L7540" i="1"/>
  <c r="M7540" i="1"/>
  <c r="L7541" i="1"/>
  <c r="M7541" i="1"/>
  <c r="L7542" i="1"/>
  <c r="M7542" i="1"/>
  <c r="L7543" i="1"/>
  <c r="M7543" i="1"/>
  <c r="L7544" i="1"/>
  <c r="M7544" i="1"/>
  <c r="L7545" i="1"/>
  <c r="M7545" i="1"/>
  <c r="L7546" i="1"/>
  <c r="M7546" i="1"/>
  <c r="L7547" i="1"/>
  <c r="M7547" i="1"/>
  <c r="L7548" i="1"/>
  <c r="M7548" i="1"/>
  <c r="L7549" i="1"/>
  <c r="M7549" i="1"/>
  <c r="L7550" i="1"/>
  <c r="M7550" i="1"/>
  <c r="L7551" i="1"/>
  <c r="M7551" i="1"/>
  <c r="L7552" i="1"/>
  <c r="M7552" i="1"/>
  <c r="L7553" i="1"/>
  <c r="M7553" i="1"/>
  <c r="L7554" i="1"/>
  <c r="M7554" i="1"/>
  <c r="L7555" i="1"/>
  <c r="M7555" i="1"/>
  <c r="L7556" i="1"/>
  <c r="M7556" i="1"/>
  <c r="L7557" i="1"/>
  <c r="M7557" i="1"/>
  <c r="L7558" i="1"/>
  <c r="M7558" i="1"/>
  <c r="L7559" i="1"/>
  <c r="M7559" i="1"/>
  <c r="L7560" i="1"/>
  <c r="M7560" i="1"/>
  <c r="L7561" i="1"/>
  <c r="M7561" i="1"/>
  <c r="L7562" i="1"/>
  <c r="M7562" i="1"/>
  <c r="L7563" i="1"/>
  <c r="M7563" i="1"/>
  <c r="L7564" i="1"/>
  <c r="M7564" i="1"/>
  <c r="L7565" i="1"/>
  <c r="M7565" i="1"/>
  <c r="L7566" i="1"/>
  <c r="M7566" i="1"/>
  <c r="L7567" i="1"/>
  <c r="M7567" i="1"/>
  <c r="L7568" i="1"/>
  <c r="M7568" i="1"/>
  <c r="L7569" i="1"/>
  <c r="M7569" i="1"/>
  <c r="L7570" i="1"/>
  <c r="M7570" i="1"/>
  <c r="L7571" i="1"/>
  <c r="M7571" i="1"/>
  <c r="L7572" i="1"/>
  <c r="M7572" i="1"/>
  <c r="L7573" i="1"/>
  <c r="M7573" i="1"/>
  <c r="L7574" i="1"/>
  <c r="M7574" i="1"/>
  <c r="L7575" i="1"/>
  <c r="M7575" i="1"/>
  <c r="L7576" i="1"/>
  <c r="M7576" i="1"/>
  <c r="L7577" i="1"/>
  <c r="M7577" i="1"/>
  <c r="L7578" i="1"/>
  <c r="M7578" i="1"/>
  <c r="L7579" i="1"/>
  <c r="M7579" i="1"/>
  <c r="L7580" i="1"/>
  <c r="M7580" i="1"/>
  <c r="L7581" i="1"/>
  <c r="M7581" i="1"/>
  <c r="L7582" i="1"/>
  <c r="M7582" i="1"/>
  <c r="L7583" i="1"/>
  <c r="M7583" i="1"/>
  <c r="L7584" i="1"/>
  <c r="M7584" i="1"/>
  <c r="L7585" i="1"/>
  <c r="M7585" i="1"/>
  <c r="L7586" i="1"/>
  <c r="M7586" i="1"/>
  <c r="L7587" i="1"/>
  <c r="M7587" i="1"/>
  <c r="L7588" i="1"/>
  <c r="M7588" i="1"/>
  <c r="L7589" i="1"/>
  <c r="M7589" i="1"/>
  <c r="L7590" i="1"/>
  <c r="M7590" i="1"/>
  <c r="L7591" i="1"/>
  <c r="M7591" i="1"/>
  <c r="L7592" i="1"/>
  <c r="M7592" i="1"/>
  <c r="L7593" i="1"/>
  <c r="M7593" i="1"/>
  <c r="L7594" i="1"/>
  <c r="M7594" i="1"/>
  <c r="L7595" i="1"/>
  <c r="M7595" i="1"/>
  <c r="L7596" i="1"/>
  <c r="M7596" i="1"/>
  <c r="L7597" i="1"/>
  <c r="M7597" i="1"/>
  <c r="L7598" i="1"/>
  <c r="M7598" i="1"/>
  <c r="L7599" i="1"/>
  <c r="M7599" i="1"/>
  <c r="L7600" i="1"/>
  <c r="M7600" i="1"/>
  <c r="L7601" i="1"/>
  <c r="M7601" i="1"/>
  <c r="L7602" i="1"/>
  <c r="M7602" i="1"/>
  <c r="L7603" i="1"/>
  <c r="M7603" i="1"/>
  <c r="L7604" i="1"/>
  <c r="M7604" i="1"/>
  <c r="L7605" i="1"/>
  <c r="M7605" i="1"/>
  <c r="L7606" i="1"/>
  <c r="M7606" i="1"/>
  <c r="L7607" i="1"/>
  <c r="M7607" i="1"/>
  <c r="L7608" i="1"/>
  <c r="M7608" i="1"/>
  <c r="L7609" i="1"/>
  <c r="M7609" i="1"/>
  <c r="L7610" i="1"/>
  <c r="M7610" i="1"/>
  <c r="L7611" i="1"/>
  <c r="M7611" i="1"/>
  <c r="L7471" i="1"/>
  <c r="M7471" i="1"/>
  <c r="L7464" i="1"/>
  <c r="M7464" i="1"/>
  <c r="L7465" i="1"/>
  <c r="M7465" i="1"/>
  <c r="L7466" i="1"/>
  <c r="M7466" i="1"/>
  <c r="L7467" i="1"/>
  <c r="M7467" i="1"/>
  <c r="L7468" i="1"/>
  <c r="M7468" i="1"/>
  <c r="L7469" i="1"/>
  <c r="M7469" i="1"/>
  <c r="L7470" i="1"/>
  <c r="M7470" i="1"/>
  <c r="I8713" i="1" l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023" i="1"/>
  <c r="I8024" i="1" s="1"/>
  <c r="I8025" i="1" s="1"/>
  <c r="I8026" i="1" s="1"/>
  <c r="I8027" i="1" s="1"/>
  <c r="I8028" i="1" s="1"/>
  <c r="I8029" i="1" s="1"/>
  <c r="I8030" i="1" s="1"/>
  <c r="I8031" i="1" s="1"/>
  <c r="I8731" i="1" l="1"/>
  <c r="I8732" i="1" s="1"/>
  <c r="I8733" i="1" s="1"/>
  <c r="I8734" i="1" s="1"/>
  <c r="I8735" i="1" s="1"/>
  <c r="I8736" i="1" s="1"/>
  <c r="I8737" i="1" s="1"/>
  <c r="I8738" i="1" s="1"/>
  <c r="I8032" i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A7489" i="1"/>
  <c r="A7490" i="1" s="1"/>
  <c r="A7491" i="1" s="1"/>
  <c r="A7492" i="1" s="1"/>
  <c r="A7493" i="1" s="1"/>
  <c r="A7494" i="1" s="1"/>
  <c r="A7495" i="1" s="1"/>
  <c r="A7496" i="1" s="1"/>
  <c r="A7497" i="1" s="1"/>
  <c r="A7498" i="1" s="1"/>
  <c r="A7500" i="1" s="1"/>
  <c r="A7501" i="1" s="1"/>
  <c r="A7502" i="1" s="1"/>
  <c r="A7503" i="1" s="1"/>
  <c r="A7504" i="1" s="1"/>
  <c r="A7505" i="1" s="1"/>
  <c r="A7506" i="1" s="1"/>
  <c r="I8739" i="1" l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043" i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A7507" i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1" i="1" s="1"/>
  <c r="A7532" i="1" s="1"/>
  <c r="A7533" i="1" s="1"/>
  <c r="A7534" i="1" s="1"/>
  <c r="H7754" i="1"/>
  <c r="G7754" i="1"/>
  <c r="E7754" i="1"/>
  <c r="D7754" i="1"/>
  <c r="C7754" i="1"/>
  <c r="I8758" i="1" l="1"/>
  <c r="I8759" i="1" s="1"/>
  <c r="I8760" i="1" s="1"/>
  <c r="I8761" i="1" s="1"/>
  <c r="I8762" i="1" s="1"/>
  <c r="I8763" i="1" s="1"/>
  <c r="I8764" i="1" s="1"/>
  <c r="I8056" i="1"/>
  <c r="I8057" i="1" s="1"/>
  <c r="I8058" i="1" s="1"/>
  <c r="I8059" i="1" s="1"/>
  <c r="I8060" i="1" s="1"/>
  <c r="I8061" i="1" s="1"/>
  <c r="E7998" i="1"/>
  <c r="A7537" i="1"/>
  <c r="A7538" i="1" s="1"/>
  <c r="A7539" i="1" s="1"/>
  <c r="A7540" i="1" s="1"/>
  <c r="A7541" i="1" s="1"/>
  <c r="A7542" i="1" s="1"/>
  <c r="A7543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3" i="1" s="1"/>
  <c r="A7574" i="1" s="1"/>
  <c r="A7575" i="1" s="1"/>
  <c r="A7535" i="1"/>
  <c r="K9426" i="1"/>
  <c r="D9419" i="1" l="1"/>
  <c r="D9430" i="1" s="1"/>
  <c r="D9431" i="1" s="1"/>
  <c r="I8765" i="1"/>
  <c r="I8766" i="1" s="1"/>
  <c r="I8767" i="1" s="1"/>
  <c r="I8768" i="1" s="1"/>
  <c r="I8769" i="1" s="1"/>
  <c r="I8770" i="1" s="1"/>
  <c r="I8771" i="1" s="1"/>
  <c r="I8772" i="1" s="1"/>
  <c r="I8773" i="1" s="1"/>
  <c r="I8774" i="1" s="1"/>
  <c r="I8775" i="1" s="1"/>
  <c r="I8062" i="1"/>
  <c r="I8063" i="1" s="1"/>
  <c r="I8064" i="1" s="1"/>
  <c r="K8061" i="1"/>
  <c r="A7576" i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5" i="1" s="1"/>
  <c r="A7596" i="1" s="1"/>
  <c r="A7597" i="1" s="1"/>
  <c r="A7598" i="1" s="1"/>
  <c r="A7599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6" i="1" s="1"/>
  <c r="A7637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L7459" i="1"/>
  <c r="M7459" i="1"/>
  <c r="L7460" i="1"/>
  <c r="M7460" i="1"/>
  <c r="L7461" i="1"/>
  <c r="M7461" i="1"/>
  <c r="L7462" i="1"/>
  <c r="M7462" i="1"/>
  <c r="L7463" i="1"/>
  <c r="M7463" i="1"/>
  <c r="F7754" i="1"/>
  <c r="M7458" i="1"/>
  <c r="L7458" i="1"/>
  <c r="M7457" i="1"/>
  <c r="L7453" i="1"/>
  <c r="M7453" i="1"/>
  <c r="L7454" i="1"/>
  <c r="M7454" i="1"/>
  <c r="I8776" i="1" l="1"/>
  <c r="I8777" i="1" s="1"/>
  <c r="I8778" i="1" s="1"/>
  <c r="I8779" i="1" s="1"/>
  <c r="I8780" i="1" s="1"/>
  <c r="I8781" i="1" s="1"/>
  <c r="I8782" i="1" s="1"/>
  <c r="I8783" i="1" s="1"/>
  <c r="I8784" i="1" s="1"/>
  <c r="I8785" i="1" s="1"/>
  <c r="I8786" i="1" s="1"/>
  <c r="I8787" i="1" s="1"/>
  <c r="I8788" i="1" s="1"/>
  <c r="I8789" i="1" s="1"/>
  <c r="I8790" i="1" s="1"/>
  <c r="I8791" i="1" s="1"/>
  <c r="I8792" i="1" s="1"/>
  <c r="I8793" i="1" s="1"/>
  <c r="I8794" i="1" s="1"/>
  <c r="I8795" i="1" s="1"/>
  <c r="I8796" i="1" s="1"/>
  <c r="I8797" i="1" s="1"/>
  <c r="I8798" i="1" s="1"/>
  <c r="I8799" i="1" s="1"/>
  <c r="I8800" i="1" s="1"/>
  <c r="I8801" i="1" s="1"/>
  <c r="I8802" i="1" s="1"/>
  <c r="I8803" i="1" s="1"/>
  <c r="I8804" i="1" s="1"/>
  <c r="I8805" i="1" s="1"/>
  <c r="I8806" i="1" s="1"/>
  <c r="I8807" i="1" s="1"/>
  <c r="I8808" i="1" s="1"/>
  <c r="I8809" i="1" s="1"/>
  <c r="I8810" i="1" s="1"/>
  <c r="I8811" i="1" s="1"/>
  <c r="I8065" i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M7754" i="1"/>
  <c r="L7754" i="1"/>
  <c r="L7427" i="1"/>
  <c r="L7428" i="1"/>
  <c r="L7429" i="1"/>
  <c r="L7448" i="1"/>
  <c r="M7448" i="1"/>
  <c r="L7449" i="1"/>
  <c r="M7449" i="1"/>
  <c r="L7450" i="1"/>
  <c r="M7450" i="1"/>
  <c r="L7451" i="1"/>
  <c r="M7451" i="1"/>
  <c r="L7452" i="1"/>
  <c r="M7452" i="1"/>
  <c r="A7445" i="1"/>
  <c r="L7438" i="1"/>
  <c r="M7438" i="1"/>
  <c r="L7439" i="1"/>
  <c r="M7439" i="1"/>
  <c r="L7440" i="1"/>
  <c r="M7440" i="1"/>
  <c r="L7441" i="1"/>
  <c r="M7441" i="1"/>
  <c r="L7442" i="1"/>
  <c r="M7442" i="1"/>
  <c r="L7443" i="1"/>
  <c r="M7443" i="1"/>
  <c r="L7444" i="1"/>
  <c r="M7444" i="1"/>
  <c r="L7445" i="1"/>
  <c r="M7445" i="1"/>
  <c r="L7446" i="1"/>
  <c r="M7446" i="1"/>
  <c r="L7447" i="1"/>
  <c r="M7447" i="1"/>
  <c r="I8812" i="1" l="1"/>
  <c r="I8813" i="1" s="1"/>
  <c r="I8814" i="1" s="1"/>
  <c r="I8815" i="1" s="1"/>
  <c r="I8816" i="1" s="1"/>
  <c r="I8817" i="1" s="1"/>
  <c r="I8818" i="1" s="1"/>
  <c r="I8819" i="1" s="1"/>
  <c r="I8820" i="1" s="1"/>
  <c r="I8821" i="1" s="1"/>
  <c r="I8822" i="1" s="1"/>
  <c r="I8823" i="1" s="1"/>
  <c r="I8824" i="1" s="1"/>
  <c r="I8825" i="1" s="1"/>
  <c r="I8826" i="1" s="1"/>
  <c r="I8827" i="1" s="1"/>
  <c r="I8828" i="1" s="1"/>
  <c r="I8829" i="1" s="1"/>
  <c r="I8830" i="1" s="1"/>
  <c r="I8831" i="1" s="1"/>
  <c r="I8832" i="1" s="1"/>
  <c r="I8833" i="1" s="1"/>
  <c r="I8834" i="1" s="1"/>
  <c r="I8835" i="1" s="1"/>
  <c r="I8836" i="1" s="1"/>
  <c r="I8837" i="1" s="1"/>
  <c r="I8838" i="1" s="1"/>
  <c r="I8839" i="1" s="1"/>
  <c r="I8840" i="1" s="1"/>
  <c r="I8841" i="1" s="1"/>
  <c r="I8842" i="1" s="1"/>
  <c r="I8076" i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L7426" i="1"/>
  <c r="M7426" i="1"/>
  <c r="M7427" i="1"/>
  <c r="M7428" i="1"/>
  <c r="M7429" i="1"/>
  <c r="L7430" i="1"/>
  <c r="M7430" i="1"/>
  <c r="L7431" i="1"/>
  <c r="M7431" i="1"/>
  <c r="L7432" i="1"/>
  <c r="M7432" i="1"/>
  <c r="L7433" i="1"/>
  <c r="M7433" i="1"/>
  <c r="L7434" i="1"/>
  <c r="M7434" i="1"/>
  <c r="L7435" i="1"/>
  <c r="M7435" i="1"/>
  <c r="L7436" i="1"/>
  <c r="M7436" i="1"/>
  <c r="L7437" i="1"/>
  <c r="M7437" i="1"/>
  <c r="I8843" i="1" l="1"/>
  <c r="I8844" i="1" s="1"/>
  <c r="I8845" i="1" s="1"/>
  <c r="I8846" i="1" s="1"/>
  <c r="I8847" i="1" s="1"/>
  <c r="I8848" i="1" s="1"/>
  <c r="I8849" i="1" s="1"/>
  <c r="I8850" i="1" s="1"/>
  <c r="I8851" i="1" s="1"/>
  <c r="I8852" i="1" s="1"/>
  <c r="I8853" i="1" s="1"/>
  <c r="I8095" i="1"/>
  <c r="I8096" i="1" s="1"/>
  <c r="I8097" i="1" s="1"/>
  <c r="I8098" i="1" s="1"/>
  <c r="I8099" i="1" s="1"/>
  <c r="I8100" i="1" s="1"/>
  <c r="I8101" i="1" s="1"/>
  <c r="I8102" i="1" s="1"/>
  <c r="I8103" i="1" s="1"/>
  <c r="L7411" i="1"/>
  <c r="M7411" i="1"/>
  <c r="L7412" i="1"/>
  <c r="M7412" i="1"/>
  <c r="L7413" i="1"/>
  <c r="M7413" i="1"/>
  <c r="L7414" i="1"/>
  <c r="M7414" i="1"/>
  <c r="L7415" i="1"/>
  <c r="M7415" i="1"/>
  <c r="L7416" i="1"/>
  <c r="M7416" i="1"/>
  <c r="L7417" i="1"/>
  <c r="M7417" i="1"/>
  <c r="L7418" i="1"/>
  <c r="M7418" i="1"/>
  <c r="L7419" i="1"/>
  <c r="M7419" i="1"/>
  <c r="L7420" i="1"/>
  <c r="M7420" i="1"/>
  <c r="L7421" i="1"/>
  <c r="M7421" i="1"/>
  <c r="L7422" i="1"/>
  <c r="M7422" i="1"/>
  <c r="L7423" i="1"/>
  <c r="M7423" i="1"/>
  <c r="L7424" i="1"/>
  <c r="M7424" i="1"/>
  <c r="L7425" i="1"/>
  <c r="M7425" i="1"/>
  <c r="I8854" i="1" l="1"/>
  <c r="I8855" i="1" s="1"/>
  <c r="I8856" i="1" s="1"/>
  <c r="I8857" i="1" s="1"/>
  <c r="I8858" i="1" s="1"/>
  <c r="I8859" i="1" s="1"/>
  <c r="I8860" i="1" s="1"/>
  <c r="I8861" i="1" s="1"/>
  <c r="I8862" i="1" s="1"/>
  <c r="I8863" i="1" s="1"/>
  <c r="I8864" i="1" s="1"/>
  <c r="I8865" i="1" s="1"/>
  <c r="I8866" i="1" s="1"/>
  <c r="I8867" i="1" s="1"/>
  <c r="I8868" i="1" s="1"/>
  <c r="I8869" i="1" s="1"/>
  <c r="I8104" i="1"/>
  <c r="I8105" i="1" s="1"/>
  <c r="I8106" i="1" s="1"/>
  <c r="I8107" i="1" s="1"/>
  <c r="I8108" i="1" s="1"/>
  <c r="I8109" i="1" s="1"/>
  <c r="I8110" i="1" s="1"/>
  <c r="I8111" i="1" s="1"/>
  <c r="I8112" i="1" s="1"/>
  <c r="L7399" i="1"/>
  <c r="M7399" i="1"/>
  <c r="L7400" i="1"/>
  <c r="M7400" i="1"/>
  <c r="L7401" i="1"/>
  <c r="M7401" i="1"/>
  <c r="L7402" i="1"/>
  <c r="M7402" i="1"/>
  <c r="L7403" i="1"/>
  <c r="M7403" i="1"/>
  <c r="L7404" i="1"/>
  <c r="M7404" i="1"/>
  <c r="L7405" i="1"/>
  <c r="M7405" i="1"/>
  <c r="L7406" i="1"/>
  <c r="M7406" i="1"/>
  <c r="L7407" i="1"/>
  <c r="M7407" i="1"/>
  <c r="L7408" i="1"/>
  <c r="M7408" i="1"/>
  <c r="L7409" i="1"/>
  <c r="M7409" i="1"/>
  <c r="L7410" i="1"/>
  <c r="M7410" i="1"/>
  <c r="L7237" i="1"/>
  <c r="M7237" i="1"/>
  <c r="L7238" i="1"/>
  <c r="M7238" i="1"/>
  <c r="L7239" i="1"/>
  <c r="M7239" i="1"/>
  <c r="L7240" i="1"/>
  <c r="M7240" i="1"/>
  <c r="L7241" i="1"/>
  <c r="M7241" i="1"/>
  <c r="L7242" i="1"/>
  <c r="M7242" i="1"/>
  <c r="L7243" i="1"/>
  <c r="M7243" i="1"/>
  <c r="I8870" i="1" l="1"/>
  <c r="I8113" i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L7391" i="1"/>
  <c r="M7391" i="1"/>
  <c r="L7392" i="1"/>
  <c r="M7392" i="1"/>
  <c r="L7393" i="1"/>
  <c r="M7393" i="1"/>
  <c r="L7394" i="1"/>
  <c r="M7394" i="1"/>
  <c r="L7395" i="1"/>
  <c r="M7395" i="1"/>
  <c r="L7396" i="1"/>
  <c r="M7396" i="1"/>
  <c r="L7397" i="1"/>
  <c r="M7397" i="1"/>
  <c r="L7398" i="1"/>
  <c r="M7398" i="1"/>
  <c r="I8124" i="1" l="1"/>
  <c r="I8125" i="1" s="1"/>
  <c r="I8126" i="1" s="1"/>
  <c r="I8127" i="1" s="1"/>
  <c r="I8128" i="1" s="1"/>
  <c r="I8129" i="1" s="1"/>
  <c r="I8130" i="1" s="1"/>
  <c r="L7379" i="1"/>
  <c r="M7379" i="1"/>
  <c r="L7380" i="1"/>
  <c r="M7380" i="1"/>
  <c r="L7381" i="1"/>
  <c r="M7381" i="1"/>
  <c r="L7382" i="1"/>
  <c r="M7382" i="1"/>
  <c r="L7383" i="1"/>
  <c r="M7383" i="1"/>
  <c r="L7384" i="1"/>
  <c r="M7384" i="1"/>
  <c r="L7385" i="1"/>
  <c r="M7385" i="1"/>
  <c r="L7386" i="1"/>
  <c r="M7386" i="1"/>
  <c r="L7387" i="1"/>
  <c r="M7387" i="1"/>
  <c r="L7388" i="1"/>
  <c r="M7388" i="1"/>
  <c r="L7389" i="1"/>
  <c r="M7389" i="1"/>
  <c r="L7390" i="1"/>
  <c r="M7390" i="1"/>
  <c r="A7378" i="1"/>
  <c r="A7379" i="1" s="1"/>
  <c r="A7380" i="1" s="1"/>
  <c r="A7381" i="1" s="1"/>
  <c r="A7382" i="1" s="1"/>
  <c r="A7383" i="1" s="1"/>
  <c r="A7384" i="1" s="1"/>
  <c r="A7385" i="1" s="1"/>
  <c r="A7386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2" i="1" s="1"/>
  <c r="A7433" i="1" s="1"/>
  <c r="A7435" i="1" s="1"/>
  <c r="A7436" i="1" s="1"/>
  <c r="A7437" i="1" s="1"/>
  <c r="L7367" i="1"/>
  <c r="M7367" i="1"/>
  <c r="L7368" i="1"/>
  <c r="M7368" i="1"/>
  <c r="L7369" i="1"/>
  <c r="M7369" i="1"/>
  <c r="L7370" i="1"/>
  <c r="M7370" i="1"/>
  <c r="L7371" i="1"/>
  <c r="M7371" i="1"/>
  <c r="L7372" i="1"/>
  <c r="M7372" i="1"/>
  <c r="L7373" i="1"/>
  <c r="M7373" i="1"/>
  <c r="L7374" i="1"/>
  <c r="M7374" i="1"/>
  <c r="L7375" i="1"/>
  <c r="M7375" i="1"/>
  <c r="L7376" i="1"/>
  <c r="M7376" i="1"/>
  <c r="L7377" i="1"/>
  <c r="M7377" i="1"/>
  <c r="L7378" i="1"/>
  <c r="M7378" i="1"/>
  <c r="I8131" i="1" l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A7438" i="1"/>
  <c r="A7439" i="1" s="1"/>
  <c r="A7440" i="1" s="1"/>
  <c r="A7446" i="1" s="1"/>
  <c r="A7447" i="1" s="1"/>
  <c r="A7448" i="1" s="1"/>
  <c r="A7450" i="1" s="1"/>
  <c r="A7451" i="1" s="1"/>
  <c r="A7452" i="1" s="1"/>
  <c r="A7453" i="1" s="1"/>
  <c r="A7454" i="1" s="1"/>
  <c r="A7457" i="1" s="1"/>
  <c r="A7458" i="1" s="1"/>
  <c r="A7459" i="1" s="1"/>
  <c r="A7460" i="1" s="1"/>
  <c r="A7461" i="1" s="1"/>
  <c r="A7462" i="1" s="1"/>
  <c r="A7464" i="1" s="1"/>
  <c r="L7354" i="1"/>
  <c r="M7354" i="1"/>
  <c r="L7355" i="1"/>
  <c r="M7355" i="1"/>
  <c r="L7356" i="1"/>
  <c r="M7356" i="1"/>
  <c r="L7357" i="1"/>
  <c r="M7357" i="1"/>
  <c r="L7358" i="1"/>
  <c r="M7358" i="1"/>
  <c r="L7359" i="1"/>
  <c r="M7359" i="1"/>
  <c r="L7360" i="1"/>
  <c r="M7360" i="1"/>
  <c r="L7361" i="1"/>
  <c r="M7361" i="1"/>
  <c r="L7362" i="1"/>
  <c r="M7362" i="1"/>
  <c r="L7363" i="1"/>
  <c r="M7363" i="1"/>
  <c r="L7364" i="1"/>
  <c r="M7364" i="1"/>
  <c r="L7365" i="1"/>
  <c r="M7365" i="1"/>
  <c r="L7366" i="1"/>
  <c r="M7366" i="1"/>
  <c r="L7346" i="1"/>
  <c r="M7346" i="1"/>
  <c r="L7347" i="1"/>
  <c r="M7347" i="1"/>
  <c r="L7348" i="1"/>
  <c r="M7348" i="1"/>
  <c r="L7349" i="1"/>
  <c r="M7349" i="1"/>
  <c r="L7350" i="1"/>
  <c r="M7350" i="1"/>
  <c r="L7351" i="1"/>
  <c r="M7351" i="1"/>
  <c r="L7352" i="1"/>
  <c r="M7352" i="1"/>
  <c r="L7353" i="1"/>
  <c r="M7353" i="1"/>
  <c r="I8152" i="1" l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A7465" i="1"/>
  <c r="A7466" i="1" s="1"/>
  <c r="A7467" i="1" s="1"/>
  <c r="A7468" i="1" s="1"/>
  <c r="A7469" i="1" s="1"/>
  <c r="A7470" i="1" s="1"/>
  <c r="A7471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3" i="1" s="1"/>
  <c r="A7484" i="1" s="1"/>
  <c r="A7485" i="1" s="1"/>
  <c r="A7486" i="1" s="1"/>
  <c r="A7487" i="1" s="1"/>
  <c r="I8164" i="1" l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A7754" i="1"/>
  <c r="L7332" i="1"/>
  <c r="M7332" i="1"/>
  <c r="L7333" i="1"/>
  <c r="M7333" i="1"/>
  <c r="L7334" i="1"/>
  <c r="M7334" i="1"/>
  <c r="L7335" i="1"/>
  <c r="M7335" i="1"/>
  <c r="L7336" i="1"/>
  <c r="M7336" i="1"/>
  <c r="L7337" i="1"/>
  <c r="M7337" i="1"/>
  <c r="L7338" i="1"/>
  <c r="M7338" i="1"/>
  <c r="L7339" i="1"/>
  <c r="M7339" i="1"/>
  <c r="L7340" i="1"/>
  <c r="M7340" i="1"/>
  <c r="L7341" i="1"/>
  <c r="M7341" i="1"/>
  <c r="L7342" i="1"/>
  <c r="M7342" i="1"/>
  <c r="L7343" i="1"/>
  <c r="M7343" i="1"/>
  <c r="L7344" i="1"/>
  <c r="M7344" i="1"/>
  <c r="L7345" i="1"/>
  <c r="M7345" i="1"/>
  <c r="I8191" i="1" l="1"/>
  <c r="I8192" i="1" s="1"/>
  <c r="I8193" i="1" s="1"/>
  <c r="I8194" i="1" s="1"/>
  <c r="I8195" i="1" s="1"/>
  <c r="I8196" i="1" s="1"/>
  <c r="I8197" i="1" s="1"/>
  <c r="I8198" i="1" s="1"/>
  <c r="I8199" i="1" s="1"/>
  <c r="I8200" i="1" s="1"/>
  <c r="L7329" i="1"/>
  <c r="M7329" i="1"/>
  <c r="L7330" i="1"/>
  <c r="M7330" i="1"/>
  <c r="L7331" i="1"/>
  <c r="M7331" i="1"/>
  <c r="L7316" i="1"/>
  <c r="M7316" i="1"/>
  <c r="L7317" i="1"/>
  <c r="M7317" i="1"/>
  <c r="L7318" i="1"/>
  <c r="M7318" i="1"/>
  <c r="L7319" i="1"/>
  <c r="M7319" i="1"/>
  <c r="L7320" i="1"/>
  <c r="M7320" i="1"/>
  <c r="L7321" i="1"/>
  <c r="M7321" i="1"/>
  <c r="L7322" i="1"/>
  <c r="M7322" i="1"/>
  <c r="L7323" i="1"/>
  <c r="M7323" i="1"/>
  <c r="L7324" i="1"/>
  <c r="M7324" i="1"/>
  <c r="L7325" i="1"/>
  <c r="M7325" i="1"/>
  <c r="L7326" i="1"/>
  <c r="M7326" i="1"/>
  <c r="L7327" i="1"/>
  <c r="M7327" i="1"/>
  <c r="L7328" i="1"/>
  <c r="M7328" i="1"/>
  <c r="A7318" i="1"/>
  <c r="A7319" i="1" s="1"/>
  <c r="A7320" i="1" s="1"/>
  <c r="A7321" i="1" s="1"/>
  <c r="A7322" i="1" s="1"/>
  <c r="A7323" i="1" s="1"/>
  <c r="A7324" i="1" s="1"/>
  <c r="A7325" i="1" s="1"/>
  <c r="A7327" i="1" s="1"/>
  <c r="A7328" i="1" s="1"/>
  <c r="A7329" i="1" s="1"/>
  <c r="A7330" i="1" s="1"/>
  <c r="A7331" i="1" s="1"/>
  <c r="A7333" i="1" s="1"/>
  <c r="A7334" i="1" s="1"/>
  <c r="A7335" i="1" s="1"/>
  <c r="A7336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9" i="1" s="1"/>
  <c r="A7370" i="1" s="1"/>
  <c r="A7371" i="1" s="1"/>
  <c r="A7372" i="1" s="1"/>
  <c r="A7373" i="1" s="1"/>
  <c r="A7374" i="1" s="1"/>
  <c r="A7375" i="1" s="1"/>
  <c r="A7376" i="1" s="1"/>
  <c r="M9419" i="1"/>
  <c r="L7304" i="1"/>
  <c r="M7304" i="1"/>
  <c r="L7305" i="1"/>
  <c r="M7305" i="1"/>
  <c r="L7306" i="1"/>
  <c r="M7306" i="1"/>
  <c r="L7307" i="1"/>
  <c r="M7307" i="1"/>
  <c r="L7308" i="1"/>
  <c r="M7308" i="1"/>
  <c r="L7309" i="1"/>
  <c r="M7309" i="1"/>
  <c r="L7310" i="1"/>
  <c r="M7310" i="1"/>
  <c r="L7311" i="1"/>
  <c r="M7311" i="1"/>
  <c r="L7312" i="1"/>
  <c r="M7312" i="1"/>
  <c r="L7313" i="1"/>
  <c r="M7313" i="1"/>
  <c r="L7314" i="1"/>
  <c r="M7314" i="1"/>
  <c r="L7315" i="1"/>
  <c r="M7315" i="1"/>
  <c r="I8201" i="1" l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L7287" i="1"/>
  <c r="M7287" i="1"/>
  <c r="L7288" i="1"/>
  <c r="M7288" i="1"/>
  <c r="L7289" i="1"/>
  <c r="M7289" i="1"/>
  <c r="L7290" i="1"/>
  <c r="M7290" i="1"/>
  <c r="L7291" i="1"/>
  <c r="M7291" i="1"/>
  <c r="L7292" i="1"/>
  <c r="M7292" i="1"/>
  <c r="L7293" i="1"/>
  <c r="M7293" i="1"/>
  <c r="L7294" i="1"/>
  <c r="M7294" i="1"/>
  <c r="L7295" i="1"/>
  <c r="M7295" i="1"/>
  <c r="L7296" i="1"/>
  <c r="M7296" i="1"/>
  <c r="L7297" i="1"/>
  <c r="M7297" i="1"/>
  <c r="L7298" i="1"/>
  <c r="M7298" i="1"/>
  <c r="L7299" i="1"/>
  <c r="M7299" i="1"/>
  <c r="L7300" i="1"/>
  <c r="M7300" i="1"/>
  <c r="L7301" i="1"/>
  <c r="M7301" i="1"/>
  <c r="L7302" i="1"/>
  <c r="M7302" i="1"/>
  <c r="L7303" i="1"/>
  <c r="M7303" i="1"/>
  <c r="A7287" i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I8215" i="1" l="1"/>
  <c r="I8216" i="1" s="1"/>
  <c r="I8217" i="1" s="1"/>
  <c r="L7277" i="1"/>
  <c r="M7277" i="1"/>
  <c r="L7278" i="1"/>
  <c r="M7278" i="1"/>
  <c r="L7279" i="1"/>
  <c r="M7279" i="1"/>
  <c r="L7280" i="1"/>
  <c r="M7280" i="1"/>
  <c r="L7281" i="1"/>
  <c r="M7281" i="1"/>
  <c r="L7282" i="1"/>
  <c r="M7282" i="1"/>
  <c r="L7283" i="1"/>
  <c r="M7283" i="1"/>
  <c r="L7284" i="1"/>
  <c r="M7284" i="1"/>
  <c r="L7285" i="1"/>
  <c r="M7285" i="1"/>
  <c r="L7286" i="1"/>
  <c r="M7286" i="1"/>
  <c r="L7268" i="1"/>
  <c r="M7268" i="1"/>
  <c r="L7269" i="1"/>
  <c r="M7269" i="1"/>
  <c r="L7270" i="1"/>
  <c r="M7270" i="1"/>
  <c r="L7271" i="1"/>
  <c r="M7271" i="1"/>
  <c r="L7272" i="1"/>
  <c r="M7272" i="1"/>
  <c r="L7273" i="1"/>
  <c r="M7273" i="1"/>
  <c r="L7274" i="1"/>
  <c r="M7274" i="1"/>
  <c r="L7275" i="1"/>
  <c r="M7275" i="1"/>
  <c r="L7276" i="1"/>
  <c r="M7276" i="1"/>
  <c r="I8218" i="1" l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L7266" i="1"/>
  <c r="M7266" i="1"/>
  <c r="L7267" i="1"/>
  <c r="M7267" i="1"/>
  <c r="L7251" i="1"/>
  <c r="M7251" i="1"/>
  <c r="L7252" i="1"/>
  <c r="M7252" i="1"/>
  <c r="L7253" i="1"/>
  <c r="M7253" i="1"/>
  <c r="L7254" i="1"/>
  <c r="M7254" i="1"/>
  <c r="L7255" i="1"/>
  <c r="M7255" i="1"/>
  <c r="L7256" i="1"/>
  <c r="M7256" i="1"/>
  <c r="L7257" i="1"/>
  <c r="M7257" i="1"/>
  <c r="L7258" i="1"/>
  <c r="M7258" i="1"/>
  <c r="L7259" i="1"/>
  <c r="M7259" i="1"/>
  <c r="L7260" i="1"/>
  <c r="M7260" i="1"/>
  <c r="L7261" i="1"/>
  <c r="M7261" i="1"/>
  <c r="L7262" i="1"/>
  <c r="M7262" i="1"/>
  <c r="L7263" i="1"/>
  <c r="M7263" i="1"/>
  <c r="L7264" i="1"/>
  <c r="M7264" i="1"/>
  <c r="L7265" i="1"/>
  <c r="M7265" i="1"/>
  <c r="L7234" i="1"/>
  <c r="M7234" i="1"/>
  <c r="L7235" i="1"/>
  <c r="M7235" i="1"/>
  <c r="L7236" i="1"/>
  <c r="M7236" i="1"/>
  <c r="L7244" i="1"/>
  <c r="M7244" i="1"/>
  <c r="L7245" i="1"/>
  <c r="M7245" i="1"/>
  <c r="L7246" i="1"/>
  <c r="M7246" i="1"/>
  <c r="L7247" i="1"/>
  <c r="M7247" i="1"/>
  <c r="L7248" i="1"/>
  <c r="M7248" i="1"/>
  <c r="L7249" i="1"/>
  <c r="M7249" i="1"/>
  <c r="L7250" i="1"/>
  <c r="M7250" i="1"/>
  <c r="L7218" i="1"/>
  <c r="M7218" i="1"/>
  <c r="L7219" i="1"/>
  <c r="M7219" i="1"/>
  <c r="L7220" i="1"/>
  <c r="M7220" i="1"/>
  <c r="L7221" i="1"/>
  <c r="M7221" i="1"/>
  <c r="L7222" i="1"/>
  <c r="M7222" i="1"/>
  <c r="L7223" i="1"/>
  <c r="M7223" i="1"/>
  <c r="L7224" i="1"/>
  <c r="M7224" i="1"/>
  <c r="L7225" i="1"/>
  <c r="M7225" i="1"/>
  <c r="L7226" i="1"/>
  <c r="M7226" i="1"/>
  <c r="L7227" i="1"/>
  <c r="M7227" i="1"/>
  <c r="L7228" i="1"/>
  <c r="M7228" i="1"/>
  <c r="L7229" i="1"/>
  <c r="M7229" i="1"/>
  <c r="L7230" i="1"/>
  <c r="M7230" i="1"/>
  <c r="L7231" i="1"/>
  <c r="M7231" i="1"/>
  <c r="L7232" i="1"/>
  <c r="M7232" i="1"/>
  <c r="L7233" i="1"/>
  <c r="M7233" i="1"/>
  <c r="I8231" i="1" l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L7210" i="1"/>
  <c r="M7210" i="1"/>
  <c r="L7211" i="1"/>
  <c r="M7211" i="1"/>
  <c r="L7212" i="1"/>
  <c r="M7212" i="1"/>
  <c r="L7213" i="1"/>
  <c r="M7213" i="1"/>
  <c r="L7214" i="1"/>
  <c r="M7214" i="1"/>
  <c r="L7215" i="1"/>
  <c r="M7215" i="1"/>
  <c r="L7216" i="1"/>
  <c r="M7216" i="1"/>
  <c r="L7217" i="1"/>
  <c r="M7217" i="1"/>
  <c r="I7186" i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L7199" i="1"/>
  <c r="M7199" i="1"/>
  <c r="L7200" i="1"/>
  <c r="M7200" i="1"/>
  <c r="L7201" i="1"/>
  <c r="M7201" i="1"/>
  <c r="L7202" i="1"/>
  <c r="M7202" i="1"/>
  <c r="L7203" i="1"/>
  <c r="M7203" i="1"/>
  <c r="L7204" i="1"/>
  <c r="M7204" i="1"/>
  <c r="L7205" i="1"/>
  <c r="M7205" i="1"/>
  <c r="L7206" i="1"/>
  <c r="M7206" i="1"/>
  <c r="L7207" i="1"/>
  <c r="M7207" i="1"/>
  <c r="L7208" i="1"/>
  <c r="M7208" i="1"/>
  <c r="L7209" i="1"/>
  <c r="M7209" i="1"/>
  <c r="H7455" i="1"/>
  <c r="G7455" i="1"/>
  <c r="E7455" i="1"/>
  <c r="D7455" i="1"/>
  <c r="C7455" i="1"/>
  <c r="L7189" i="1"/>
  <c r="M7189" i="1"/>
  <c r="L7190" i="1"/>
  <c r="M7190" i="1"/>
  <c r="L7191" i="1"/>
  <c r="M7191" i="1"/>
  <c r="L7192" i="1"/>
  <c r="M7192" i="1"/>
  <c r="L7193" i="1"/>
  <c r="M7193" i="1"/>
  <c r="L7194" i="1"/>
  <c r="M7194" i="1"/>
  <c r="L7195" i="1"/>
  <c r="M7195" i="1"/>
  <c r="L7196" i="1"/>
  <c r="M7196" i="1"/>
  <c r="L7197" i="1"/>
  <c r="M7197" i="1"/>
  <c r="L7198" i="1"/>
  <c r="M7198" i="1"/>
  <c r="F7455" i="1"/>
  <c r="M7188" i="1"/>
  <c r="L7188" i="1"/>
  <c r="M7187" i="1"/>
  <c r="L7187" i="1"/>
  <c r="M7186" i="1"/>
  <c r="L7186" i="1"/>
  <c r="I8242" i="1" l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7235" i="1"/>
  <c r="I7236" i="1" s="1"/>
  <c r="K7234" i="1"/>
  <c r="L7455" i="1"/>
  <c r="M7455" i="1"/>
  <c r="A7187" i="1"/>
  <c r="K9420" i="1" l="1"/>
  <c r="I7237" i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A7188" i="1"/>
  <c r="A7189" i="1" s="1"/>
  <c r="A7190" i="1" s="1"/>
  <c r="A7191" i="1" s="1"/>
  <c r="A7192" i="1" s="1"/>
  <c r="L7178" i="1"/>
  <c r="M7178" i="1"/>
  <c r="L7179" i="1"/>
  <c r="M7179" i="1"/>
  <c r="L7180" i="1"/>
  <c r="M7180" i="1"/>
  <c r="L7181" i="1"/>
  <c r="M7181" i="1"/>
  <c r="L7182" i="1"/>
  <c r="M7182" i="1"/>
  <c r="L7183" i="1"/>
  <c r="M7183" i="1"/>
  <c r="L7168" i="1"/>
  <c r="M7168" i="1"/>
  <c r="L7169" i="1"/>
  <c r="M7169" i="1"/>
  <c r="L7170" i="1"/>
  <c r="M7170" i="1"/>
  <c r="L7171" i="1"/>
  <c r="M7171" i="1"/>
  <c r="L7172" i="1"/>
  <c r="M7172" i="1"/>
  <c r="L7173" i="1"/>
  <c r="M7173" i="1"/>
  <c r="L7174" i="1"/>
  <c r="M7174" i="1"/>
  <c r="L7175" i="1"/>
  <c r="M7175" i="1"/>
  <c r="L7176" i="1"/>
  <c r="M7176" i="1"/>
  <c r="L7177" i="1"/>
  <c r="M7177" i="1"/>
  <c r="F9414" i="1" l="1"/>
  <c r="A7193" i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2" i="1"/>
  <c r="A7243" i="1" s="1"/>
  <c r="A7244" i="1" s="1"/>
  <c r="A7245" i="1" s="1"/>
  <c r="A7246" i="1" s="1"/>
  <c r="A7247" i="1" s="1"/>
  <c r="A7248" i="1" s="1"/>
  <c r="A7249" i="1" s="1"/>
  <c r="A7250" i="1" s="1"/>
  <c r="A7252" i="1" s="1"/>
  <c r="A7253" i="1" s="1"/>
  <c r="A7254" i="1" s="1"/>
  <c r="A7255" i="1" s="1"/>
  <c r="A7256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I7268" i="1"/>
  <c r="I7269" i="1" s="1"/>
  <c r="I7270" i="1" s="1"/>
  <c r="I7271" i="1" s="1"/>
  <c r="I7272" i="1" s="1"/>
  <c r="I7273" i="1" s="1"/>
  <c r="I7274" i="1" s="1"/>
  <c r="I7275" i="1" s="1"/>
  <c r="I7276" i="1" s="1"/>
  <c r="L7158" i="1"/>
  <c r="M7158" i="1"/>
  <c r="L7159" i="1"/>
  <c r="M7159" i="1"/>
  <c r="L7160" i="1"/>
  <c r="M7160" i="1"/>
  <c r="L7161" i="1"/>
  <c r="M7161" i="1"/>
  <c r="L7162" i="1"/>
  <c r="M7162" i="1"/>
  <c r="L7163" i="1"/>
  <c r="M7163" i="1"/>
  <c r="L7164" i="1"/>
  <c r="M7164" i="1"/>
  <c r="L7165" i="1"/>
  <c r="M7165" i="1"/>
  <c r="L7166" i="1"/>
  <c r="M7166" i="1"/>
  <c r="L7167" i="1"/>
  <c r="M7167" i="1"/>
  <c r="A7455" i="1" l="1"/>
  <c r="I7277" i="1"/>
  <c r="I7278" i="1" s="1"/>
  <c r="I7279" i="1" s="1"/>
  <c r="I7280" i="1" s="1"/>
  <c r="I7281" i="1" s="1"/>
  <c r="I7282" i="1" s="1"/>
  <c r="I7283" i="1" s="1"/>
  <c r="I7284" i="1" s="1"/>
  <c r="I7285" i="1" s="1"/>
  <c r="I7286" i="1" s="1"/>
  <c r="L7146" i="1"/>
  <c r="M7146" i="1"/>
  <c r="L7147" i="1"/>
  <c r="M7147" i="1"/>
  <c r="L7148" i="1"/>
  <c r="M7148" i="1"/>
  <c r="L7149" i="1"/>
  <c r="M7149" i="1"/>
  <c r="L7150" i="1"/>
  <c r="M7150" i="1"/>
  <c r="L7151" i="1"/>
  <c r="M7151" i="1"/>
  <c r="L7152" i="1"/>
  <c r="M7152" i="1"/>
  <c r="L7153" i="1"/>
  <c r="M7153" i="1"/>
  <c r="L7154" i="1"/>
  <c r="M7154" i="1"/>
  <c r="L7155" i="1"/>
  <c r="M7155" i="1"/>
  <c r="L7156" i="1"/>
  <c r="M7156" i="1"/>
  <c r="L7157" i="1"/>
  <c r="M7157" i="1"/>
  <c r="I7287" i="1" l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L7137" i="1"/>
  <c r="M7137" i="1"/>
  <c r="L7138" i="1"/>
  <c r="M7138" i="1"/>
  <c r="L7139" i="1"/>
  <c r="M7139" i="1"/>
  <c r="L7140" i="1"/>
  <c r="M7140" i="1"/>
  <c r="L7141" i="1"/>
  <c r="M7141" i="1"/>
  <c r="L7142" i="1"/>
  <c r="M7142" i="1"/>
  <c r="L7143" i="1"/>
  <c r="M7143" i="1"/>
  <c r="L7144" i="1"/>
  <c r="M7144" i="1"/>
  <c r="L7145" i="1"/>
  <c r="M7145" i="1"/>
  <c r="L7127" i="1"/>
  <c r="M7127" i="1"/>
  <c r="L7128" i="1"/>
  <c r="M7128" i="1"/>
  <c r="L7129" i="1"/>
  <c r="M7129" i="1"/>
  <c r="L7130" i="1"/>
  <c r="M7130" i="1"/>
  <c r="L7131" i="1"/>
  <c r="M7131" i="1"/>
  <c r="L7132" i="1"/>
  <c r="M7132" i="1"/>
  <c r="L7133" i="1"/>
  <c r="M7133" i="1"/>
  <c r="L7134" i="1"/>
  <c r="M7134" i="1"/>
  <c r="L7135" i="1"/>
  <c r="M7135" i="1"/>
  <c r="L7136" i="1"/>
  <c r="M7136" i="1"/>
  <c r="A7119" i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I7304" i="1" l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L7122" i="1"/>
  <c r="M7122" i="1"/>
  <c r="L7123" i="1"/>
  <c r="M7123" i="1"/>
  <c r="L7124" i="1"/>
  <c r="M7124" i="1"/>
  <c r="L7125" i="1"/>
  <c r="M7125" i="1"/>
  <c r="L7126" i="1"/>
  <c r="M7126" i="1"/>
  <c r="K9416" i="1"/>
  <c r="K9430" i="1" s="1"/>
  <c r="L7111" i="1"/>
  <c r="M7111" i="1"/>
  <c r="L7112" i="1"/>
  <c r="M7112" i="1"/>
  <c r="L7113" i="1"/>
  <c r="M7113" i="1"/>
  <c r="L7114" i="1"/>
  <c r="M7114" i="1"/>
  <c r="L7115" i="1"/>
  <c r="M7115" i="1"/>
  <c r="L7116" i="1"/>
  <c r="M7116" i="1"/>
  <c r="L7117" i="1"/>
  <c r="M7117" i="1"/>
  <c r="L7118" i="1"/>
  <c r="M7118" i="1"/>
  <c r="L7119" i="1"/>
  <c r="M7119" i="1"/>
  <c r="L7120" i="1"/>
  <c r="M7120" i="1"/>
  <c r="L7121" i="1"/>
  <c r="M7121" i="1"/>
  <c r="L7099" i="1"/>
  <c r="M7099" i="1"/>
  <c r="L7100" i="1"/>
  <c r="M7100" i="1"/>
  <c r="L7101" i="1"/>
  <c r="M7101" i="1"/>
  <c r="L7102" i="1"/>
  <c r="M7102" i="1"/>
  <c r="L7103" i="1"/>
  <c r="M7103" i="1"/>
  <c r="L7104" i="1"/>
  <c r="M7104" i="1"/>
  <c r="L7105" i="1"/>
  <c r="M7105" i="1"/>
  <c r="L7106" i="1"/>
  <c r="M7106" i="1"/>
  <c r="L7107" i="1"/>
  <c r="M7107" i="1"/>
  <c r="L7108" i="1"/>
  <c r="M7108" i="1"/>
  <c r="L7109" i="1"/>
  <c r="M7109" i="1"/>
  <c r="L7110" i="1"/>
  <c r="M7110" i="1"/>
  <c r="A7099" i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L7093" i="1"/>
  <c r="M7093" i="1"/>
  <c r="L7094" i="1"/>
  <c r="M7094" i="1"/>
  <c r="L7095" i="1"/>
  <c r="M7095" i="1"/>
  <c r="L7096" i="1"/>
  <c r="M7096" i="1"/>
  <c r="L7097" i="1"/>
  <c r="M7097" i="1"/>
  <c r="L7098" i="1"/>
  <c r="M7098" i="1"/>
  <c r="L7081" i="1"/>
  <c r="M7081" i="1"/>
  <c r="L7082" i="1"/>
  <c r="M7082" i="1"/>
  <c r="L7083" i="1"/>
  <c r="M7083" i="1"/>
  <c r="L7084" i="1"/>
  <c r="M7084" i="1"/>
  <c r="L7085" i="1"/>
  <c r="M7085" i="1"/>
  <c r="L7086" i="1"/>
  <c r="M7086" i="1"/>
  <c r="L7087" i="1"/>
  <c r="M7087" i="1"/>
  <c r="L7088" i="1"/>
  <c r="M7088" i="1"/>
  <c r="L7089" i="1"/>
  <c r="M7089" i="1"/>
  <c r="L7090" i="1"/>
  <c r="M7090" i="1"/>
  <c r="L7091" i="1"/>
  <c r="M7091" i="1"/>
  <c r="L7092" i="1"/>
  <c r="M7092" i="1"/>
  <c r="A7081" i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I7316" i="1" l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L7069" i="1"/>
  <c r="M7069" i="1"/>
  <c r="L7070" i="1"/>
  <c r="M7070" i="1"/>
  <c r="L7071" i="1"/>
  <c r="M7071" i="1"/>
  <c r="L7072" i="1"/>
  <c r="M7072" i="1"/>
  <c r="L7073" i="1"/>
  <c r="M7073" i="1"/>
  <c r="L7074" i="1"/>
  <c r="M7074" i="1"/>
  <c r="L7075" i="1"/>
  <c r="M7075" i="1"/>
  <c r="L7076" i="1"/>
  <c r="M7076" i="1"/>
  <c r="L7077" i="1"/>
  <c r="M7077" i="1"/>
  <c r="L7078" i="1"/>
  <c r="M7078" i="1"/>
  <c r="L7079" i="1"/>
  <c r="M7079" i="1"/>
  <c r="L7080" i="1"/>
  <c r="M7080" i="1"/>
  <c r="I7332" i="1" l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L7055" i="1"/>
  <c r="M7055" i="1"/>
  <c r="L7056" i="1"/>
  <c r="M7056" i="1"/>
  <c r="L7057" i="1"/>
  <c r="M7057" i="1"/>
  <c r="L7058" i="1"/>
  <c r="M7058" i="1"/>
  <c r="L7059" i="1"/>
  <c r="M7059" i="1"/>
  <c r="L7060" i="1"/>
  <c r="M7060" i="1"/>
  <c r="L7061" i="1"/>
  <c r="M7061" i="1"/>
  <c r="L7062" i="1"/>
  <c r="M7062" i="1"/>
  <c r="L7063" i="1"/>
  <c r="M7063" i="1"/>
  <c r="L7064" i="1"/>
  <c r="M7064" i="1"/>
  <c r="L7065" i="1"/>
  <c r="M7065" i="1"/>
  <c r="L7066" i="1"/>
  <c r="M7066" i="1"/>
  <c r="L7067" i="1"/>
  <c r="M7067" i="1"/>
  <c r="L7068" i="1"/>
  <c r="M7068" i="1"/>
  <c r="I7346" i="1" l="1"/>
  <c r="I7347" i="1" s="1"/>
  <c r="L7044" i="1"/>
  <c r="M7044" i="1"/>
  <c r="L7045" i="1"/>
  <c r="M7045" i="1"/>
  <c r="L7046" i="1"/>
  <c r="M7046" i="1"/>
  <c r="L7047" i="1"/>
  <c r="M7047" i="1"/>
  <c r="L7048" i="1"/>
  <c r="M7048" i="1"/>
  <c r="L7049" i="1"/>
  <c r="M7049" i="1"/>
  <c r="L7050" i="1"/>
  <c r="M7050" i="1"/>
  <c r="L7051" i="1"/>
  <c r="M7051" i="1"/>
  <c r="L7052" i="1"/>
  <c r="M7052" i="1"/>
  <c r="L7053" i="1"/>
  <c r="M7053" i="1"/>
  <c r="L7054" i="1"/>
  <c r="M7054" i="1"/>
  <c r="I7348" i="1" l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L7029" i="1"/>
  <c r="M7029" i="1"/>
  <c r="L7030" i="1"/>
  <c r="M7030" i="1"/>
  <c r="L7031" i="1"/>
  <c r="M7031" i="1"/>
  <c r="L7032" i="1"/>
  <c r="M7032" i="1"/>
  <c r="L7033" i="1"/>
  <c r="M7033" i="1"/>
  <c r="L7034" i="1"/>
  <c r="M7034" i="1"/>
  <c r="L7035" i="1"/>
  <c r="M7035" i="1"/>
  <c r="L7036" i="1"/>
  <c r="M7036" i="1"/>
  <c r="L7037" i="1"/>
  <c r="M7037" i="1"/>
  <c r="L7038" i="1"/>
  <c r="M7038" i="1"/>
  <c r="L7039" i="1"/>
  <c r="M7039" i="1"/>
  <c r="L7040" i="1"/>
  <c r="M7040" i="1"/>
  <c r="L7041" i="1"/>
  <c r="M7041" i="1"/>
  <c r="L7042" i="1"/>
  <c r="M7042" i="1"/>
  <c r="L7043" i="1"/>
  <c r="M7043" i="1"/>
  <c r="L7010" i="1"/>
  <c r="M7010" i="1"/>
  <c r="L7011" i="1"/>
  <c r="M7011" i="1"/>
  <c r="L7012" i="1"/>
  <c r="M7012" i="1"/>
  <c r="L7013" i="1"/>
  <c r="M7013" i="1"/>
  <c r="L7014" i="1"/>
  <c r="M7014" i="1"/>
  <c r="L7015" i="1"/>
  <c r="M7015" i="1"/>
  <c r="L7016" i="1"/>
  <c r="M7016" i="1"/>
  <c r="L7017" i="1"/>
  <c r="M7017" i="1"/>
  <c r="L7018" i="1"/>
  <c r="M7018" i="1"/>
  <c r="L7019" i="1"/>
  <c r="M7019" i="1"/>
  <c r="L7020" i="1"/>
  <c r="M7020" i="1"/>
  <c r="L7021" i="1"/>
  <c r="M7021" i="1"/>
  <c r="L7022" i="1"/>
  <c r="M7022" i="1"/>
  <c r="L7023" i="1"/>
  <c r="M7023" i="1"/>
  <c r="L7024" i="1"/>
  <c r="M7024" i="1"/>
  <c r="L7025" i="1"/>
  <c r="M7025" i="1"/>
  <c r="L7026" i="1"/>
  <c r="M7026" i="1"/>
  <c r="L7027" i="1"/>
  <c r="M7027" i="1"/>
  <c r="L7028" i="1"/>
  <c r="M7028" i="1"/>
  <c r="I7367" i="1" l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L7009" i="1"/>
  <c r="M7009" i="1"/>
  <c r="L6997" i="1"/>
  <c r="M6997" i="1"/>
  <c r="L6998" i="1"/>
  <c r="M6998" i="1"/>
  <c r="L6999" i="1"/>
  <c r="M6999" i="1"/>
  <c r="L7000" i="1"/>
  <c r="M7000" i="1"/>
  <c r="L7001" i="1"/>
  <c r="M7001" i="1"/>
  <c r="L7002" i="1"/>
  <c r="M7002" i="1"/>
  <c r="L7003" i="1"/>
  <c r="M7003" i="1"/>
  <c r="L7004" i="1"/>
  <c r="M7004" i="1"/>
  <c r="L7005" i="1"/>
  <c r="M7005" i="1"/>
  <c r="L7006" i="1"/>
  <c r="M7006" i="1"/>
  <c r="L7007" i="1"/>
  <c r="M7007" i="1"/>
  <c r="L7008" i="1"/>
  <c r="M7008" i="1"/>
  <c r="I7379" i="1" l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L6987" i="1"/>
  <c r="M6987" i="1"/>
  <c r="L6988" i="1"/>
  <c r="M6988" i="1"/>
  <c r="L6989" i="1"/>
  <c r="M6989" i="1"/>
  <c r="L6990" i="1"/>
  <c r="M6990" i="1"/>
  <c r="L6991" i="1"/>
  <c r="M6991" i="1"/>
  <c r="L6992" i="1"/>
  <c r="M6992" i="1"/>
  <c r="L6993" i="1"/>
  <c r="M6993" i="1"/>
  <c r="L6994" i="1"/>
  <c r="M6994" i="1"/>
  <c r="L6995" i="1"/>
  <c r="M6995" i="1"/>
  <c r="L6996" i="1"/>
  <c r="M6996" i="1"/>
  <c r="L6984" i="1"/>
  <c r="M6984" i="1"/>
  <c r="L6985" i="1"/>
  <c r="M6985" i="1"/>
  <c r="L6986" i="1"/>
  <c r="M6986" i="1"/>
  <c r="J9430" i="1"/>
  <c r="L6970" i="1"/>
  <c r="M6970" i="1"/>
  <c r="L6971" i="1"/>
  <c r="M6971" i="1"/>
  <c r="L6972" i="1"/>
  <c r="M6972" i="1"/>
  <c r="L6973" i="1"/>
  <c r="M6973" i="1"/>
  <c r="L6974" i="1"/>
  <c r="M6974" i="1"/>
  <c r="L6975" i="1"/>
  <c r="M6975" i="1"/>
  <c r="L6976" i="1"/>
  <c r="M6976" i="1"/>
  <c r="L6977" i="1"/>
  <c r="M6977" i="1"/>
  <c r="L6978" i="1"/>
  <c r="M6978" i="1"/>
  <c r="L6979" i="1"/>
  <c r="M6979" i="1"/>
  <c r="L6980" i="1"/>
  <c r="M6980" i="1"/>
  <c r="L6981" i="1"/>
  <c r="M6981" i="1"/>
  <c r="L6982" i="1"/>
  <c r="M6982" i="1"/>
  <c r="L6983" i="1"/>
  <c r="M6983" i="1"/>
  <c r="L6956" i="1"/>
  <c r="M6956" i="1"/>
  <c r="L6957" i="1"/>
  <c r="M6957" i="1"/>
  <c r="L6958" i="1"/>
  <c r="M6958" i="1"/>
  <c r="L6959" i="1"/>
  <c r="M6959" i="1"/>
  <c r="L6960" i="1"/>
  <c r="M6960" i="1"/>
  <c r="L6961" i="1"/>
  <c r="M6961" i="1"/>
  <c r="L6962" i="1"/>
  <c r="M6962" i="1"/>
  <c r="L6963" i="1"/>
  <c r="M6963" i="1"/>
  <c r="L6964" i="1"/>
  <c r="M6964" i="1"/>
  <c r="L6965" i="1"/>
  <c r="M6965" i="1"/>
  <c r="L6966" i="1"/>
  <c r="M6966" i="1"/>
  <c r="L6967" i="1"/>
  <c r="M6967" i="1"/>
  <c r="L6968" i="1"/>
  <c r="M6968" i="1"/>
  <c r="L6969" i="1"/>
  <c r="M6969" i="1"/>
  <c r="L6919" i="1"/>
  <c r="M6919" i="1"/>
  <c r="L6920" i="1"/>
  <c r="M6920" i="1"/>
  <c r="L6921" i="1"/>
  <c r="M6921" i="1"/>
  <c r="L6922" i="1"/>
  <c r="M6922" i="1"/>
  <c r="L6923" i="1"/>
  <c r="M6923" i="1"/>
  <c r="L6924" i="1"/>
  <c r="M6924" i="1"/>
  <c r="L6925" i="1"/>
  <c r="M6925" i="1"/>
  <c r="L6926" i="1"/>
  <c r="M6926" i="1"/>
  <c r="L6927" i="1"/>
  <c r="M6927" i="1"/>
  <c r="L6928" i="1"/>
  <c r="M6928" i="1"/>
  <c r="L6929" i="1"/>
  <c r="M6929" i="1"/>
  <c r="L6930" i="1"/>
  <c r="M6930" i="1"/>
  <c r="L6931" i="1"/>
  <c r="M6931" i="1"/>
  <c r="L6932" i="1"/>
  <c r="M6932" i="1"/>
  <c r="L6933" i="1"/>
  <c r="M6933" i="1"/>
  <c r="L6934" i="1"/>
  <c r="M6934" i="1"/>
  <c r="L6935" i="1"/>
  <c r="M6935" i="1"/>
  <c r="L6936" i="1"/>
  <c r="M6936" i="1"/>
  <c r="L6937" i="1"/>
  <c r="M6937" i="1"/>
  <c r="L6938" i="1"/>
  <c r="M6938" i="1"/>
  <c r="L6939" i="1"/>
  <c r="M6939" i="1"/>
  <c r="L6940" i="1"/>
  <c r="M6940" i="1"/>
  <c r="L6941" i="1"/>
  <c r="M6941" i="1"/>
  <c r="L6942" i="1"/>
  <c r="M6942" i="1"/>
  <c r="L6943" i="1"/>
  <c r="M6943" i="1"/>
  <c r="L6944" i="1"/>
  <c r="M6944" i="1"/>
  <c r="L6945" i="1"/>
  <c r="M6945" i="1"/>
  <c r="L6946" i="1"/>
  <c r="M6946" i="1"/>
  <c r="L6947" i="1"/>
  <c r="M6947" i="1"/>
  <c r="L6948" i="1"/>
  <c r="M6948" i="1"/>
  <c r="L6949" i="1"/>
  <c r="M6949" i="1"/>
  <c r="L6950" i="1"/>
  <c r="M6950" i="1"/>
  <c r="L6951" i="1"/>
  <c r="M6951" i="1"/>
  <c r="L6952" i="1"/>
  <c r="M6952" i="1"/>
  <c r="L6953" i="1"/>
  <c r="M6953" i="1"/>
  <c r="L6954" i="1"/>
  <c r="M6954" i="1"/>
  <c r="L6955" i="1"/>
  <c r="M6955" i="1"/>
  <c r="I7391" i="1" l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L6911" i="1"/>
  <c r="M6911" i="1"/>
  <c r="L6912" i="1"/>
  <c r="M6912" i="1"/>
  <c r="L6913" i="1"/>
  <c r="M6913" i="1"/>
  <c r="L6914" i="1"/>
  <c r="M6914" i="1"/>
  <c r="L6915" i="1"/>
  <c r="M6915" i="1"/>
  <c r="L6916" i="1"/>
  <c r="M6916" i="1"/>
  <c r="L6917" i="1"/>
  <c r="M6917" i="1"/>
  <c r="L6918" i="1"/>
  <c r="M6918" i="1"/>
  <c r="L6899" i="1"/>
  <c r="M6899" i="1"/>
  <c r="L6900" i="1"/>
  <c r="M6900" i="1"/>
  <c r="L6901" i="1"/>
  <c r="M6901" i="1"/>
  <c r="L6902" i="1"/>
  <c r="M6902" i="1"/>
  <c r="L6903" i="1"/>
  <c r="M6903" i="1"/>
  <c r="L6904" i="1"/>
  <c r="M6904" i="1"/>
  <c r="L6905" i="1"/>
  <c r="M6905" i="1"/>
  <c r="L6906" i="1"/>
  <c r="M6906" i="1"/>
  <c r="L6907" i="1"/>
  <c r="M6907" i="1"/>
  <c r="L6908" i="1"/>
  <c r="M6908" i="1"/>
  <c r="L6909" i="1"/>
  <c r="M6909" i="1"/>
  <c r="L6910" i="1"/>
  <c r="M6910" i="1"/>
  <c r="L6885" i="1"/>
  <c r="M6885" i="1"/>
  <c r="L6886" i="1"/>
  <c r="M6886" i="1"/>
  <c r="L6887" i="1"/>
  <c r="M6887" i="1"/>
  <c r="L6888" i="1"/>
  <c r="M6888" i="1"/>
  <c r="L6889" i="1"/>
  <c r="M6889" i="1"/>
  <c r="L6890" i="1"/>
  <c r="M6890" i="1"/>
  <c r="L6891" i="1"/>
  <c r="M6891" i="1"/>
  <c r="L6892" i="1"/>
  <c r="M6892" i="1"/>
  <c r="L6893" i="1"/>
  <c r="M6893" i="1"/>
  <c r="L6894" i="1"/>
  <c r="M6894" i="1"/>
  <c r="L6895" i="1"/>
  <c r="M6895" i="1"/>
  <c r="L6896" i="1"/>
  <c r="M6896" i="1"/>
  <c r="L6897" i="1"/>
  <c r="M6897" i="1"/>
  <c r="L6898" i="1"/>
  <c r="M6898" i="1"/>
  <c r="I7419" i="1" l="1"/>
  <c r="I7420" i="1" s="1"/>
  <c r="K7418" i="1"/>
  <c r="L6876" i="1"/>
  <c r="M6876" i="1"/>
  <c r="L6877" i="1"/>
  <c r="M6877" i="1"/>
  <c r="L6878" i="1"/>
  <c r="M6878" i="1"/>
  <c r="L6879" i="1"/>
  <c r="M6879" i="1"/>
  <c r="L6880" i="1"/>
  <c r="M6880" i="1"/>
  <c r="L6881" i="1"/>
  <c r="M6881" i="1"/>
  <c r="L6882" i="1"/>
  <c r="M6882" i="1"/>
  <c r="L6883" i="1"/>
  <c r="M6883" i="1"/>
  <c r="L6884" i="1"/>
  <c r="M6884" i="1"/>
  <c r="L6862" i="1"/>
  <c r="M6862" i="1"/>
  <c r="L6863" i="1"/>
  <c r="M6863" i="1"/>
  <c r="L6864" i="1"/>
  <c r="M6864" i="1"/>
  <c r="L6865" i="1"/>
  <c r="M6865" i="1"/>
  <c r="L6866" i="1"/>
  <c r="M6866" i="1"/>
  <c r="L6867" i="1"/>
  <c r="M6867" i="1"/>
  <c r="L6868" i="1"/>
  <c r="M6868" i="1"/>
  <c r="L6869" i="1"/>
  <c r="M6869" i="1"/>
  <c r="L6870" i="1"/>
  <c r="M6870" i="1"/>
  <c r="L6871" i="1"/>
  <c r="M6871" i="1"/>
  <c r="L6872" i="1"/>
  <c r="M6872" i="1"/>
  <c r="L6873" i="1"/>
  <c r="M6873" i="1"/>
  <c r="L6874" i="1"/>
  <c r="M6874" i="1"/>
  <c r="L6875" i="1"/>
  <c r="M6875" i="1"/>
  <c r="I7421" i="1" l="1"/>
  <c r="I7422" i="1" s="1"/>
  <c r="I7423" i="1" s="1"/>
  <c r="I7424" i="1" s="1"/>
  <c r="I7425" i="1" s="1"/>
  <c r="I7426" i="1" s="1"/>
  <c r="I7427" i="1" s="1"/>
  <c r="H7184" i="1"/>
  <c r="G7184" i="1"/>
  <c r="E7184" i="1"/>
  <c r="D7184" i="1"/>
  <c r="C7184" i="1"/>
  <c r="L6851" i="1"/>
  <c r="M6851" i="1"/>
  <c r="L6852" i="1"/>
  <c r="M6852" i="1"/>
  <c r="L6853" i="1"/>
  <c r="M6853" i="1"/>
  <c r="L6854" i="1"/>
  <c r="M6854" i="1"/>
  <c r="L6855" i="1"/>
  <c r="M6855" i="1"/>
  <c r="L6856" i="1"/>
  <c r="M6856" i="1"/>
  <c r="L6857" i="1"/>
  <c r="M6857" i="1"/>
  <c r="L6858" i="1"/>
  <c r="M6858" i="1"/>
  <c r="L6859" i="1"/>
  <c r="M6859" i="1"/>
  <c r="L6860" i="1"/>
  <c r="M6860" i="1"/>
  <c r="L6861" i="1"/>
  <c r="M6861" i="1"/>
  <c r="A6850" i="1"/>
  <c r="F7184" i="1"/>
  <c r="M6850" i="1"/>
  <c r="L6850" i="1"/>
  <c r="M6849" i="1"/>
  <c r="L6849" i="1"/>
  <c r="I7428" i="1" l="1"/>
  <c r="I7429" i="1" s="1"/>
  <c r="K7427" i="1"/>
  <c r="I7455" i="1"/>
  <c r="A6851" i="1"/>
  <c r="A6852" i="1" s="1"/>
  <c r="A6853" i="1" s="1"/>
  <c r="A6854" i="1" s="1"/>
  <c r="A6855" i="1" s="1"/>
  <c r="A6856" i="1" s="1"/>
  <c r="M7184" i="1"/>
  <c r="L7184" i="1"/>
  <c r="L6836" i="1"/>
  <c r="M6836" i="1"/>
  <c r="L6837" i="1"/>
  <c r="M6837" i="1"/>
  <c r="L6838" i="1"/>
  <c r="M6838" i="1"/>
  <c r="L6839" i="1"/>
  <c r="M6839" i="1"/>
  <c r="L6840" i="1"/>
  <c r="M6840" i="1"/>
  <c r="L6841" i="1"/>
  <c r="M6841" i="1"/>
  <c r="L6842" i="1"/>
  <c r="M6842" i="1"/>
  <c r="L6843" i="1"/>
  <c r="M6843" i="1"/>
  <c r="L6845" i="1"/>
  <c r="M6845" i="1"/>
  <c r="L6846" i="1"/>
  <c r="M6846" i="1"/>
  <c r="K7455" i="1" l="1"/>
  <c r="I7430" i="1"/>
  <c r="I7431" i="1" s="1"/>
  <c r="I7432" i="1" s="1"/>
  <c r="I7433" i="1" s="1"/>
  <c r="I7434" i="1" s="1"/>
  <c r="I7435" i="1" s="1"/>
  <c r="I7436" i="1" s="1"/>
  <c r="I7437" i="1" s="1"/>
  <c r="J7429" i="1"/>
  <c r="A6857" i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5" i="1" s="1"/>
  <c r="A6876" i="1" s="1"/>
  <c r="A6877" i="1" s="1"/>
  <c r="A6878" i="1" s="1"/>
  <c r="A6879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20" i="1" s="1"/>
  <c r="A6921" i="1" s="1"/>
  <c r="A6922" i="1" s="1"/>
  <c r="A6924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2" i="1" s="1"/>
  <c r="A6953" i="1" s="1"/>
  <c r="A6954" i="1" s="1"/>
  <c r="A6955" i="1" s="1"/>
  <c r="Q6827" i="1"/>
  <c r="Q6830" i="1" s="1"/>
  <c r="R6822" i="1"/>
  <c r="Q6822" i="1"/>
  <c r="I7438" i="1" l="1"/>
  <c r="I7439" i="1" s="1"/>
  <c r="I7440" i="1" s="1"/>
  <c r="I7441" i="1" s="1"/>
  <c r="I7442" i="1" s="1"/>
  <c r="I7443" i="1" s="1"/>
  <c r="I7444" i="1" s="1"/>
  <c r="I7445" i="1" s="1"/>
  <c r="I7446" i="1" s="1"/>
  <c r="I7447" i="1" s="1"/>
  <c r="A6919" i="1"/>
  <c r="A6956" i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81" i="1" s="1"/>
  <c r="A6982" i="1" s="1"/>
  <c r="A6983" i="1" s="1"/>
  <c r="A6984" i="1" s="1"/>
  <c r="A6985" i="1" s="1"/>
  <c r="A6986" i="1" s="1"/>
  <c r="S6822" i="1"/>
  <c r="I7448" i="1" l="1"/>
  <c r="I7449" i="1" s="1"/>
  <c r="I7450" i="1" s="1"/>
  <c r="I7451" i="1" s="1"/>
  <c r="I7452" i="1" s="1"/>
  <c r="I7453" i="1" s="1"/>
  <c r="I7454" i="1" s="1"/>
  <c r="A6988" i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6987" i="1"/>
  <c r="L6825" i="1"/>
  <c r="M6825" i="1"/>
  <c r="L6826" i="1"/>
  <c r="M6826" i="1"/>
  <c r="L6827" i="1"/>
  <c r="M6827" i="1"/>
  <c r="L6828" i="1"/>
  <c r="M6828" i="1"/>
  <c r="L6829" i="1"/>
  <c r="M6829" i="1"/>
  <c r="L6830" i="1"/>
  <c r="M6830" i="1"/>
  <c r="L6831" i="1"/>
  <c r="M6831" i="1"/>
  <c r="L6832" i="1"/>
  <c r="M6832" i="1"/>
  <c r="L6833" i="1"/>
  <c r="M6833" i="1"/>
  <c r="L6834" i="1"/>
  <c r="M6834" i="1"/>
  <c r="L6835" i="1"/>
  <c r="M6835" i="1"/>
  <c r="G7457" i="1" l="1"/>
  <c r="A7011" i="1"/>
  <c r="A7012" i="1" s="1"/>
  <c r="A7013" i="1" s="1"/>
  <c r="A7014" i="1" s="1"/>
  <c r="A7015" i="1" s="1"/>
  <c r="A7016" i="1" s="1"/>
  <c r="A7017" i="1" s="1"/>
  <c r="A7018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9" i="1" s="1"/>
  <c r="A7010" i="1"/>
  <c r="I7457" i="1" l="1"/>
  <c r="I7458" i="1" s="1"/>
  <c r="I7459" i="1" s="1"/>
  <c r="I7460" i="1" s="1"/>
  <c r="I7461" i="1" s="1"/>
  <c r="I7462" i="1" s="1"/>
  <c r="I7463" i="1" s="1"/>
  <c r="I7464" i="1" s="1"/>
  <c r="I7465" i="1" s="1"/>
  <c r="I7754" i="1"/>
  <c r="A7184" i="1"/>
  <c r="L6805" i="1"/>
  <c r="M6805" i="1"/>
  <c r="L6806" i="1"/>
  <c r="M6806" i="1"/>
  <c r="L6807" i="1"/>
  <c r="M6807" i="1"/>
  <c r="L6808" i="1"/>
  <c r="M6808" i="1"/>
  <c r="L6809" i="1"/>
  <c r="M6809" i="1"/>
  <c r="L6810" i="1"/>
  <c r="M6810" i="1"/>
  <c r="L6811" i="1"/>
  <c r="M6811" i="1"/>
  <c r="L6812" i="1"/>
  <c r="M6812" i="1"/>
  <c r="L6813" i="1"/>
  <c r="M6813" i="1"/>
  <c r="L6814" i="1"/>
  <c r="M6814" i="1"/>
  <c r="L6815" i="1"/>
  <c r="M6815" i="1"/>
  <c r="L6816" i="1"/>
  <c r="M6816" i="1"/>
  <c r="L6817" i="1"/>
  <c r="M6817" i="1"/>
  <c r="L6818" i="1"/>
  <c r="M6818" i="1"/>
  <c r="L6819" i="1"/>
  <c r="M6819" i="1"/>
  <c r="L6820" i="1"/>
  <c r="M6820" i="1"/>
  <c r="L6821" i="1"/>
  <c r="M6821" i="1"/>
  <c r="L6822" i="1"/>
  <c r="M6822" i="1"/>
  <c r="L6823" i="1"/>
  <c r="M6823" i="1"/>
  <c r="L6824" i="1"/>
  <c r="M6824" i="1"/>
  <c r="L6791" i="1"/>
  <c r="M6791" i="1"/>
  <c r="L6792" i="1"/>
  <c r="M6792" i="1"/>
  <c r="L6793" i="1"/>
  <c r="M6793" i="1"/>
  <c r="L6794" i="1"/>
  <c r="M6794" i="1"/>
  <c r="L6795" i="1"/>
  <c r="M6795" i="1"/>
  <c r="L6796" i="1"/>
  <c r="M6796" i="1"/>
  <c r="L6797" i="1"/>
  <c r="M6797" i="1"/>
  <c r="L6798" i="1"/>
  <c r="M6798" i="1"/>
  <c r="L6799" i="1"/>
  <c r="M6799" i="1"/>
  <c r="L6800" i="1"/>
  <c r="M6800" i="1"/>
  <c r="L6801" i="1"/>
  <c r="M6801" i="1"/>
  <c r="L6802" i="1"/>
  <c r="M6802" i="1"/>
  <c r="L6803" i="1"/>
  <c r="M6803" i="1"/>
  <c r="L6804" i="1"/>
  <c r="M6804" i="1"/>
  <c r="I7466" i="1" l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D6847" i="1"/>
  <c r="L6778" i="1"/>
  <c r="M6778" i="1"/>
  <c r="L6779" i="1"/>
  <c r="M6779" i="1"/>
  <c r="L6780" i="1"/>
  <c r="M6780" i="1"/>
  <c r="L6781" i="1"/>
  <c r="M6781" i="1"/>
  <c r="L6782" i="1"/>
  <c r="M6782" i="1"/>
  <c r="L6783" i="1"/>
  <c r="M6783" i="1"/>
  <c r="L6784" i="1"/>
  <c r="M6784" i="1"/>
  <c r="L6785" i="1"/>
  <c r="M6785" i="1"/>
  <c r="L6786" i="1"/>
  <c r="M6786" i="1"/>
  <c r="L6787" i="1"/>
  <c r="M6787" i="1"/>
  <c r="L6788" i="1"/>
  <c r="M6788" i="1"/>
  <c r="L6789" i="1"/>
  <c r="M6789" i="1"/>
  <c r="L6790" i="1"/>
  <c r="M6790" i="1"/>
  <c r="I7480" i="1" l="1"/>
  <c r="I7481" i="1" s="1"/>
  <c r="I7482" i="1" s="1"/>
  <c r="I7483" i="1" s="1"/>
  <c r="I7484" i="1" s="1"/>
  <c r="I7485" i="1" s="1"/>
  <c r="I7486" i="1" s="1"/>
  <c r="I7487" i="1" s="1"/>
  <c r="I7488" i="1" s="1"/>
  <c r="I7489" i="1" l="1"/>
  <c r="I7490" i="1" s="1"/>
  <c r="I7491" i="1" s="1"/>
  <c r="I7492" i="1" s="1"/>
  <c r="I7493" i="1" s="1"/>
  <c r="I7494" i="1" s="1"/>
  <c r="I7495" i="1" s="1"/>
  <c r="I7496" i="1" s="1"/>
  <c r="I7497" i="1" s="1"/>
  <c r="L6763" i="1"/>
  <c r="M6763" i="1"/>
  <c r="L6764" i="1"/>
  <c r="M6764" i="1"/>
  <c r="L6765" i="1"/>
  <c r="M6765" i="1"/>
  <c r="L6766" i="1"/>
  <c r="M6766" i="1"/>
  <c r="L6767" i="1"/>
  <c r="M6767" i="1"/>
  <c r="L6768" i="1"/>
  <c r="M6768" i="1"/>
  <c r="L6769" i="1"/>
  <c r="M6769" i="1"/>
  <c r="L6770" i="1"/>
  <c r="M6770" i="1"/>
  <c r="L6771" i="1"/>
  <c r="M6771" i="1"/>
  <c r="L6772" i="1"/>
  <c r="M6772" i="1"/>
  <c r="L6773" i="1"/>
  <c r="M6773" i="1"/>
  <c r="L6774" i="1"/>
  <c r="M6774" i="1"/>
  <c r="L6775" i="1"/>
  <c r="M6775" i="1"/>
  <c r="L6776" i="1"/>
  <c r="M6776" i="1"/>
  <c r="L6777" i="1"/>
  <c r="M6777" i="1"/>
  <c r="A6764" i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I7498" i="1" l="1"/>
  <c r="I7499" i="1" s="1"/>
  <c r="I7500" i="1" s="1"/>
  <c r="I7501" i="1" s="1"/>
  <c r="A6794" i="1"/>
  <c r="A6795" i="1" s="1"/>
  <c r="A6796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793" i="1"/>
  <c r="L6749" i="1"/>
  <c r="M6749" i="1"/>
  <c r="L6750" i="1"/>
  <c r="M6750" i="1"/>
  <c r="L6751" i="1"/>
  <c r="M6751" i="1"/>
  <c r="L6752" i="1"/>
  <c r="M6752" i="1"/>
  <c r="L6753" i="1"/>
  <c r="M6753" i="1"/>
  <c r="L6754" i="1"/>
  <c r="M6754" i="1"/>
  <c r="L6755" i="1"/>
  <c r="M6755" i="1"/>
  <c r="L6756" i="1"/>
  <c r="M6756" i="1"/>
  <c r="L6757" i="1"/>
  <c r="M6757" i="1"/>
  <c r="L6758" i="1"/>
  <c r="M6758" i="1"/>
  <c r="L6759" i="1"/>
  <c r="M6759" i="1"/>
  <c r="L6760" i="1"/>
  <c r="M6760" i="1"/>
  <c r="L6761" i="1"/>
  <c r="M6761" i="1"/>
  <c r="L6762" i="1"/>
  <c r="M6762" i="1"/>
  <c r="I7502" i="1" l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A6810" i="1"/>
  <c r="A6811" i="1" s="1"/>
  <c r="A6812" i="1" s="1"/>
  <c r="A6813" i="1" s="1"/>
  <c r="A6814" i="1" s="1"/>
  <c r="A6815" i="1" s="1"/>
  <c r="A6816" i="1" s="1"/>
  <c r="A6818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2" i="1" s="1"/>
  <c r="A6833" i="1" s="1"/>
  <c r="A6834" i="1" s="1"/>
  <c r="A6835" i="1" s="1"/>
  <c r="A6836" i="1" s="1"/>
  <c r="A6837" i="1" s="1"/>
  <c r="A6839" i="1" s="1"/>
  <c r="A6840" i="1" s="1"/>
  <c r="A6841" i="1" s="1"/>
  <c r="A6842" i="1" s="1"/>
  <c r="A6843" i="1" s="1"/>
  <c r="A6845" i="1" s="1"/>
  <c r="A6846" i="1" s="1"/>
  <c r="A6809" i="1"/>
  <c r="L6739" i="1"/>
  <c r="M6739" i="1"/>
  <c r="L6740" i="1"/>
  <c r="M6740" i="1"/>
  <c r="L6741" i="1"/>
  <c r="M6741" i="1"/>
  <c r="L6742" i="1"/>
  <c r="M6742" i="1"/>
  <c r="L6743" i="1"/>
  <c r="M6743" i="1"/>
  <c r="L6744" i="1"/>
  <c r="M6744" i="1"/>
  <c r="L6745" i="1"/>
  <c r="M6745" i="1"/>
  <c r="L6746" i="1"/>
  <c r="M6746" i="1"/>
  <c r="L6747" i="1"/>
  <c r="M6747" i="1"/>
  <c r="L6748" i="1"/>
  <c r="M6748" i="1"/>
  <c r="E6490" i="1"/>
  <c r="I7521" i="1" l="1"/>
  <c r="I7522" i="1" s="1"/>
  <c r="L6731" i="1"/>
  <c r="M6731" i="1"/>
  <c r="L6732" i="1"/>
  <c r="M6732" i="1"/>
  <c r="L6733" i="1"/>
  <c r="M6733" i="1"/>
  <c r="L6734" i="1"/>
  <c r="M6734" i="1"/>
  <c r="L6735" i="1"/>
  <c r="M6735" i="1"/>
  <c r="L6736" i="1"/>
  <c r="M6736" i="1"/>
  <c r="L6737" i="1"/>
  <c r="M6737" i="1"/>
  <c r="L6738" i="1"/>
  <c r="M6738" i="1"/>
  <c r="L6709" i="1"/>
  <c r="M6709" i="1"/>
  <c r="L6710" i="1"/>
  <c r="M6710" i="1"/>
  <c r="L6711" i="1"/>
  <c r="M6711" i="1"/>
  <c r="L6712" i="1"/>
  <c r="M6712" i="1"/>
  <c r="L6713" i="1"/>
  <c r="M6713" i="1"/>
  <c r="L6714" i="1"/>
  <c r="M6714" i="1"/>
  <c r="L6715" i="1"/>
  <c r="M6715" i="1"/>
  <c r="L6716" i="1"/>
  <c r="M6716" i="1"/>
  <c r="L6717" i="1"/>
  <c r="M6717" i="1"/>
  <c r="L6718" i="1"/>
  <c r="M6718" i="1"/>
  <c r="L6719" i="1"/>
  <c r="M6719" i="1"/>
  <c r="L6720" i="1"/>
  <c r="M6720" i="1"/>
  <c r="L6721" i="1"/>
  <c r="M6721" i="1"/>
  <c r="L6722" i="1"/>
  <c r="M6722" i="1"/>
  <c r="L6723" i="1"/>
  <c r="M6723" i="1"/>
  <c r="L6724" i="1"/>
  <c r="M6724" i="1"/>
  <c r="L6725" i="1"/>
  <c r="M6725" i="1"/>
  <c r="L6726" i="1"/>
  <c r="M6726" i="1"/>
  <c r="L6727" i="1"/>
  <c r="M6727" i="1"/>
  <c r="L6728" i="1"/>
  <c r="M6728" i="1"/>
  <c r="L6729" i="1"/>
  <c r="M6729" i="1"/>
  <c r="L6730" i="1"/>
  <c r="M6730" i="1"/>
  <c r="A6710" i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L6692" i="1"/>
  <c r="M6692" i="1"/>
  <c r="L6693" i="1"/>
  <c r="M6693" i="1"/>
  <c r="L6694" i="1"/>
  <c r="M6694" i="1"/>
  <c r="L6695" i="1"/>
  <c r="M6695" i="1"/>
  <c r="L6696" i="1"/>
  <c r="M6696" i="1"/>
  <c r="L6697" i="1"/>
  <c r="M6697" i="1"/>
  <c r="L6698" i="1"/>
  <c r="M6698" i="1"/>
  <c r="L6699" i="1"/>
  <c r="M6699" i="1"/>
  <c r="L6700" i="1"/>
  <c r="M6700" i="1"/>
  <c r="L6701" i="1"/>
  <c r="M6701" i="1"/>
  <c r="L6702" i="1"/>
  <c r="M6702" i="1"/>
  <c r="L6703" i="1"/>
  <c r="M6703" i="1"/>
  <c r="L6704" i="1"/>
  <c r="M6704" i="1"/>
  <c r="L6705" i="1"/>
  <c r="M6705" i="1"/>
  <c r="L6706" i="1"/>
  <c r="M6706" i="1"/>
  <c r="L6707" i="1"/>
  <c r="M6707" i="1"/>
  <c r="L6708" i="1"/>
  <c r="M6708" i="1"/>
  <c r="A6692" i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L6687" i="1"/>
  <c r="M6687" i="1"/>
  <c r="L6688" i="1"/>
  <c r="M6688" i="1"/>
  <c r="L6689" i="1"/>
  <c r="M6689" i="1"/>
  <c r="L6690" i="1"/>
  <c r="M6690" i="1"/>
  <c r="L6691" i="1"/>
  <c r="M6691" i="1"/>
  <c r="I7523" i="1" l="1"/>
  <c r="I7524" i="1" s="1"/>
  <c r="I7525" i="1" s="1"/>
  <c r="I7526" i="1" s="1"/>
  <c r="I7527" i="1" s="1"/>
  <c r="I7528" i="1" s="1"/>
  <c r="I7529" i="1" s="1"/>
  <c r="I7530" i="1" s="1"/>
  <c r="I7531" i="1" s="1"/>
  <c r="A6739" i="1"/>
  <c r="A6740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S6686" i="1"/>
  <c r="Q6686" i="1"/>
  <c r="R6686" i="1" s="1"/>
  <c r="L6678" i="1"/>
  <c r="M6678" i="1"/>
  <c r="L6679" i="1"/>
  <c r="M6679" i="1"/>
  <c r="L6680" i="1"/>
  <c r="M6680" i="1"/>
  <c r="L6681" i="1"/>
  <c r="M6681" i="1"/>
  <c r="L6682" i="1"/>
  <c r="M6682" i="1"/>
  <c r="L6683" i="1"/>
  <c r="M6683" i="1"/>
  <c r="L6684" i="1"/>
  <c r="M6684" i="1"/>
  <c r="L6685" i="1"/>
  <c r="M6685" i="1"/>
  <c r="L6686" i="1"/>
  <c r="M6686" i="1"/>
  <c r="L6665" i="1"/>
  <c r="M6665" i="1"/>
  <c r="L6666" i="1"/>
  <c r="M6666" i="1"/>
  <c r="L6667" i="1"/>
  <c r="M6667" i="1"/>
  <c r="L6668" i="1"/>
  <c r="M6668" i="1"/>
  <c r="L6669" i="1"/>
  <c r="M6669" i="1"/>
  <c r="L6670" i="1"/>
  <c r="M6670" i="1"/>
  <c r="L6671" i="1"/>
  <c r="M6671" i="1"/>
  <c r="L6672" i="1"/>
  <c r="M6672" i="1"/>
  <c r="L6673" i="1"/>
  <c r="M6673" i="1"/>
  <c r="L6674" i="1"/>
  <c r="M6674" i="1"/>
  <c r="L6675" i="1"/>
  <c r="M6675" i="1"/>
  <c r="L6676" i="1"/>
  <c r="M6676" i="1"/>
  <c r="L6677" i="1"/>
  <c r="M6677" i="1"/>
  <c r="L6652" i="1"/>
  <c r="M6652" i="1"/>
  <c r="L6653" i="1"/>
  <c r="M6653" i="1"/>
  <c r="L6654" i="1"/>
  <c r="M6654" i="1"/>
  <c r="L6655" i="1"/>
  <c r="M6655" i="1"/>
  <c r="L6656" i="1"/>
  <c r="M6656" i="1"/>
  <c r="L6657" i="1"/>
  <c r="M6657" i="1"/>
  <c r="L6658" i="1"/>
  <c r="M6658" i="1"/>
  <c r="L6659" i="1"/>
  <c r="M6659" i="1"/>
  <c r="L6660" i="1"/>
  <c r="M6660" i="1"/>
  <c r="L6661" i="1"/>
  <c r="M6661" i="1"/>
  <c r="L6662" i="1"/>
  <c r="M6662" i="1"/>
  <c r="L6663" i="1"/>
  <c r="M6663" i="1"/>
  <c r="L6664" i="1"/>
  <c r="M6664" i="1"/>
  <c r="I7532" i="1" l="1"/>
  <c r="I7533" i="1" s="1"/>
  <c r="I7534" i="1" s="1"/>
  <c r="I7535" i="1" s="1"/>
  <c r="I7536" i="1" s="1"/>
  <c r="I7537" i="1" s="1"/>
  <c r="I7538" i="1" s="1"/>
  <c r="I7539" i="1" s="1"/>
  <c r="I7540" i="1" s="1"/>
  <c r="L6640" i="1"/>
  <c r="M6640" i="1"/>
  <c r="L6641" i="1"/>
  <c r="M6641" i="1"/>
  <c r="L6642" i="1"/>
  <c r="M6642" i="1"/>
  <c r="L6643" i="1"/>
  <c r="M6643" i="1"/>
  <c r="L6644" i="1"/>
  <c r="M6644" i="1"/>
  <c r="L6645" i="1"/>
  <c r="M6645" i="1"/>
  <c r="L6646" i="1"/>
  <c r="M6646" i="1"/>
  <c r="L6647" i="1"/>
  <c r="M6647" i="1"/>
  <c r="L6648" i="1"/>
  <c r="M6648" i="1"/>
  <c r="L6649" i="1"/>
  <c r="M6649" i="1"/>
  <c r="L6650" i="1"/>
  <c r="M6650" i="1"/>
  <c r="L6651" i="1"/>
  <c r="M6651" i="1"/>
  <c r="I7541" i="1" l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L6625" i="1"/>
  <c r="M6625" i="1"/>
  <c r="L6626" i="1"/>
  <c r="M6626" i="1"/>
  <c r="L6627" i="1"/>
  <c r="M6627" i="1"/>
  <c r="L6628" i="1"/>
  <c r="M6628" i="1"/>
  <c r="L6629" i="1"/>
  <c r="M6629" i="1"/>
  <c r="L6630" i="1"/>
  <c r="M6630" i="1"/>
  <c r="L6631" i="1"/>
  <c r="M6631" i="1"/>
  <c r="L6632" i="1"/>
  <c r="M6632" i="1"/>
  <c r="L6633" i="1"/>
  <c r="M6633" i="1"/>
  <c r="L6634" i="1"/>
  <c r="M6634" i="1"/>
  <c r="L6635" i="1"/>
  <c r="M6635" i="1"/>
  <c r="L6636" i="1"/>
  <c r="M6636" i="1"/>
  <c r="L6637" i="1"/>
  <c r="M6637" i="1"/>
  <c r="L6638" i="1"/>
  <c r="M6638" i="1"/>
  <c r="L6639" i="1"/>
  <c r="M6639" i="1"/>
  <c r="A6615" i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2" i="1"/>
  <c r="A6633" i="1" s="1"/>
  <c r="A6634" i="1" s="1"/>
  <c r="A6636" i="1"/>
  <c r="A6637" i="1" s="1"/>
  <c r="A6638" i="1" s="1"/>
  <c r="A6639" i="1" s="1"/>
  <c r="A6640" i="1" s="1"/>
  <c r="L6610" i="1"/>
  <c r="M6610" i="1"/>
  <c r="L6611" i="1"/>
  <c r="M6611" i="1"/>
  <c r="L6612" i="1"/>
  <c r="M6612" i="1"/>
  <c r="L6613" i="1"/>
  <c r="M6613" i="1"/>
  <c r="L6614" i="1"/>
  <c r="M6614" i="1"/>
  <c r="L6615" i="1"/>
  <c r="M6615" i="1"/>
  <c r="L6616" i="1"/>
  <c r="M6616" i="1"/>
  <c r="L6617" i="1"/>
  <c r="M6617" i="1"/>
  <c r="L6618" i="1"/>
  <c r="M6618" i="1"/>
  <c r="L6619" i="1"/>
  <c r="M6619" i="1"/>
  <c r="L6620" i="1"/>
  <c r="M6620" i="1"/>
  <c r="L6621" i="1"/>
  <c r="M6621" i="1"/>
  <c r="L6622" i="1"/>
  <c r="M6622" i="1"/>
  <c r="L6623" i="1"/>
  <c r="M6623" i="1"/>
  <c r="L6624" i="1"/>
  <c r="M6624" i="1"/>
  <c r="L6599" i="1"/>
  <c r="M6599" i="1"/>
  <c r="L6600" i="1"/>
  <c r="M6600" i="1"/>
  <c r="L6601" i="1"/>
  <c r="M6601" i="1"/>
  <c r="L6602" i="1"/>
  <c r="M6602" i="1"/>
  <c r="L6603" i="1"/>
  <c r="M6603" i="1"/>
  <c r="L6604" i="1"/>
  <c r="M6604" i="1"/>
  <c r="L6605" i="1"/>
  <c r="M6605" i="1"/>
  <c r="L6606" i="1"/>
  <c r="M6606" i="1"/>
  <c r="L6607" i="1"/>
  <c r="M6607" i="1"/>
  <c r="L6608" i="1"/>
  <c r="M6608" i="1"/>
  <c r="L6609" i="1"/>
  <c r="M6609" i="1"/>
  <c r="L6585" i="1"/>
  <c r="M6585" i="1"/>
  <c r="L6586" i="1"/>
  <c r="M6586" i="1"/>
  <c r="L6587" i="1"/>
  <c r="M6587" i="1"/>
  <c r="L6588" i="1"/>
  <c r="M6588" i="1"/>
  <c r="L6589" i="1"/>
  <c r="M6589" i="1"/>
  <c r="L6590" i="1"/>
  <c r="M6590" i="1"/>
  <c r="L6591" i="1"/>
  <c r="M6591" i="1"/>
  <c r="L6592" i="1"/>
  <c r="M6592" i="1"/>
  <c r="L6593" i="1"/>
  <c r="M6593" i="1"/>
  <c r="L6594" i="1"/>
  <c r="M6594" i="1"/>
  <c r="L6595" i="1"/>
  <c r="M6595" i="1"/>
  <c r="L6596" i="1"/>
  <c r="M6596" i="1"/>
  <c r="L6597" i="1"/>
  <c r="M6597" i="1"/>
  <c r="L6598" i="1"/>
  <c r="M6598" i="1"/>
  <c r="L6562" i="1"/>
  <c r="M6562" i="1"/>
  <c r="L6563" i="1"/>
  <c r="M6563" i="1"/>
  <c r="L6564" i="1"/>
  <c r="M6564" i="1"/>
  <c r="L6565" i="1"/>
  <c r="M6565" i="1"/>
  <c r="L6566" i="1"/>
  <c r="M6566" i="1"/>
  <c r="L6567" i="1"/>
  <c r="M6567" i="1"/>
  <c r="L6568" i="1"/>
  <c r="M6568" i="1"/>
  <c r="L6569" i="1"/>
  <c r="M6569" i="1"/>
  <c r="L6570" i="1"/>
  <c r="M6570" i="1"/>
  <c r="L6571" i="1"/>
  <c r="M6571" i="1"/>
  <c r="L6572" i="1"/>
  <c r="M6572" i="1"/>
  <c r="L6573" i="1"/>
  <c r="M6573" i="1"/>
  <c r="L6574" i="1"/>
  <c r="M6574" i="1"/>
  <c r="L6575" i="1"/>
  <c r="M6575" i="1"/>
  <c r="L6576" i="1"/>
  <c r="M6576" i="1"/>
  <c r="L6577" i="1"/>
  <c r="M6577" i="1"/>
  <c r="L6578" i="1"/>
  <c r="M6578" i="1"/>
  <c r="L6579" i="1"/>
  <c r="M6579" i="1"/>
  <c r="L6580" i="1"/>
  <c r="M6580" i="1"/>
  <c r="L6581" i="1"/>
  <c r="M6581" i="1"/>
  <c r="L6582" i="1"/>
  <c r="M6582" i="1"/>
  <c r="L6583" i="1"/>
  <c r="M6583" i="1"/>
  <c r="L6584" i="1"/>
  <c r="M6584" i="1"/>
  <c r="L6554" i="1"/>
  <c r="M6554" i="1"/>
  <c r="L6555" i="1"/>
  <c r="M6555" i="1"/>
  <c r="L6556" i="1"/>
  <c r="M6556" i="1"/>
  <c r="L6557" i="1"/>
  <c r="M6557" i="1"/>
  <c r="L6558" i="1"/>
  <c r="M6558" i="1"/>
  <c r="L6559" i="1"/>
  <c r="M6559" i="1"/>
  <c r="L6560" i="1"/>
  <c r="M6560" i="1"/>
  <c r="L6561" i="1"/>
  <c r="M6561" i="1"/>
  <c r="H6847" i="1"/>
  <c r="G6847" i="1"/>
  <c r="E6847" i="1"/>
  <c r="C6847" i="1"/>
  <c r="L6542" i="1"/>
  <c r="M6542" i="1"/>
  <c r="L6543" i="1"/>
  <c r="M6543" i="1"/>
  <c r="L6544" i="1"/>
  <c r="M6544" i="1"/>
  <c r="L6545" i="1"/>
  <c r="M6545" i="1"/>
  <c r="L6546" i="1"/>
  <c r="M6546" i="1"/>
  <c r="L6547" i="1"/>
  <c r="M6547" i="1"/>
  <c r="L6548" i="1"/>
  <c r="M6548" i="1"/>
  <c r="L6549" i="1"/>
  <c r="M6549" i="1"/>
  <c r="L6550" i="1"/>
  <c r="M6550" i="1"/>
  <c r="L6551" i="1"/>
  <c r="M6551" i="1"/>
  <c r="L6552" i="1"/>
  <c r="M6552" i="1"/>
  <c r="L6553" i="1"/>
  <c r="M6553" i="1"/>
  <c r="L6536" i="1"/>
  <c r="M6536" i="1"/>
  <c r="L6537" i="1"/>
  <c r="M6537" i="1"/>
  <c r="L6538" i="1"/>
  <c r="M6538" i="1"/>
  <c r="L6539" i="1"/>
  <c r="M6539" i="1"/>
  <c r="L6540" i="1"/>
  <c r="M6540" i="1"/>
  <c r="L6541" i="1"/>
  <c r="M6541" i="1"/>
  <c r="L6527" i="1"/>
  <c r="M6527" i="1"/>
  <c r="L6528" i="1"/>
  <c r="M6528" i="1"/>
  <c r="L6529" i="1"/>
  <c r="M6529" i="1"/>
  <c r="L6530" i="1"/>
  <c r="M6530" i="1"/>
  <c r="L6531" i="1"/>
  <c r="M6531" i="1"/>
  <c r="L6532" i="1"/>
  <c r="M6532" i="1"/>
  <c r="L6533" i="1"/>
  <c r="M6533" i="1"/>
  <c r="L6534" i="1"/>
  <c r="M6534" i="1"/>
  <c r="L6535" i="1"/>
  <c r="M6535" i="1"/>
  <c r="A6528" i="1"/>
  <c r="A6529" i="1" s="1"/>
  <c r="A6530" i="1" s="1"/>
  <c r="A6531" i="1" s="1"/>
  <c r="A6532" i="1" s="1"/>
  <c r="A6533" i="1" s="1"/>
  <c r="A6534" i="1" s="1"/>
  <c r="A6535" i="1" s="1"/>
  <c r="A6536" i="1" s="1"/>
  <c r="A6538" i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6" i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8" i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7" i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3" i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L6517" i="1"/>
  <c r="M6517" i="1"/>
  <c r="L6518" i="1"/>
  <c r="M6518" i="1"/>
  <c r="L6519" i="1"/>
  <c r="M6519" i="1"/>
  <c r="L6520" i="1"/>
  <c r="M6520" i="1"/>
  <c r="L6521" i="1"/>
  <c r="M6521" i="1"/>
  <c r="L6522" i="1"/>
  <c r="M6522" i="1"/>
  <c r="L6523" i="1"/>
  <c r="M6523" i="1"/>
  <c r="L6524" i="1"/>
  <c r="M6524" i="1"/>
  <c r="L6525" i="1"/>
  <c r="M6525" i="1"/>
  <c r="L6526" i="1"/>
  <c r="M6526" i="1"/>
  <c r="L6506" i="1"/>
  <c r="M6506" i="1"/>
  <c r="L6507" i="1"/>
  <c r="M6507" i="1"/>
  <c r="L6508" i="1"/>
  <c r="M6508" i="1"/>
  <c r="L6509" i="1"/>
  <c r="M6509" i="1"/>
  <c r="L6510" i="1"/>
  <c r="M6510" i="1"/>
  <c r="L6511" i="1"/>
  <c r="M6511" i="1"/>
  <c r="L6512" i="1"/>
  <c r="M6512" i="1"/>
  <c r="L6513" i="1"/>
  <c r="M6513" i="1"/>
  <c r="L6514" i="1"/>
  <c r="M6514" i="1"/>
  <c r="L6515" i="1"/>
  <c r="M6515" i="1"/>
  <c r="L6516" i="1"/>
  <c r="M6516" i="1"/>
  <c r="L6493" i="1"/>
  <c r="M6493" i="1"/>
  <c r="L6494" i="1"/>
  <c r="M6494" i="1"/>
  <c r="L6495" i="1"/>
  <c r="M6495" i="1"/>
  <c r="L6496" i="1"/>
  <c r="M6496" i="1"/>
  <c r="L6497" i="1"/>
  <c r="M6497" i="1"/>
  <c r="L6498" i="1"/>
  <c r="M6498" i="1"/>
  <c r="L6499" i="1"/>
  <c r="M6499" i="1"/>
  <c r="L6500" i="1"/>
  <c r="M6500" i="1"/>
  <c r="L6501" i="1"/>
  <c r="M6501" i="1"/>
  <c r="L6502" i="1"/>
  <c r="M6502" i="1"/>
  <c r="L6503" i="1"/>
  <c r="M6503" i="1"/>
  <c r="L6504" i="1"/>
  <c r="M6504" i="1"/>
  <c r="L6505" i="1"/>
  <c r="M6505" i="1"/>
  <c r="A6493" i="1"/>
  <c r="A6494" i="1" s="1"/>
  <c r="A6495" i="1" s="1"/>
  <c r="A6496" i="1" s="1"/>
  <c r="A6497" i="1" s="1"/>
  <c r="A6498" i="1" s="1"/>
  <c r="F6847" i="1"/>
  <c r="M6492" i="1"/>
  <c r="L6480" i="1"/>
  <c r="M6480" i="1"/>
  <c r="L6481" i="1"/>
  <c r="M6481" i="1"/>
  <c r="L6482" i="1"/>
  <c r="M6482" i="1"/>
  <c r="L6483" i="1"/>
  <c r="M6483" i="1"/>
  <c r="L6484" i="1"/>
  <c r="M6484" i="1"/>
  <c r="L6485" i="1"/>
  <c r="M6485" i="1"/>
  <c r="L6486" i="1"/>
  <c r="M6486" i="1"/>
  <c r="L6487" i="1"/>
  <c r="M6487" i="1"/>
  <c r="L6488" i="1"/>
  <c r="M6488" i="1"/>
  <c r="L6489" i="1"/>
  <c r="M6489" i="1"/>
  <c r="A6480" i="1"/>
  <c r="A6481" i="1" s="1"/>
  <c r="A6482" i="1" s="1"/>
  <c r="A6483" i="1" s="1"/>
  <c r="A6484" i="1" s="1"/>
  <c r="A6485" i="1" s="1"/>
  <c r="A6486" i="1" s="1"/>
  <c r="A6487" i="1" s="1"/>
  <c r="A6488" i="1" s="1"/>
  <c r="A6489" i="1" s="1"/>
  <c r="L6460" i="1"/>
  <c r="M6460" i="1"/>
  <c r="L6461" i="1"/>
  <c r="M6461" i="1"/>
  <c r="L6462" i="1"/>
  <c r="M6462" i="1"/>
  <c r="L6463" i="1"/>
  <c r="M6463" i="1"/>
  <c r="L6464" i="1"/>
  <c r="M6464" i="1"/>
  <c r="L6465" i="1"/>
  <c r="M6465" i="1"/>
  <c r="L6466" i="1"/>
  <c r="M6466" i="1"/>
  <c r="L6467" i="1"/>
  <c r="M6467" i="1"/>
  <c r="L6468" i="1"/>
  <c r="M6468" i="1"/>
  <c r="L6469" i="1"/>
  <c r="M6469" i="1"/>
  <c r="L6470" i="1"/>
  <c r="M6470" i="1"/>
  <c r="L6471" i="1"/>
  <c r="M6471" i="1"/>
  <c r="L6472" i="1"/>
  <c r="M6472" i="1"/>
  <c r="L6473" i="1"/>
  <c r="M6473" i="1"/>
  <c r="L6474" i="1"/>
  <c r="M6474" i="1"/>
  <c r="L6475" i="1"/>
  <c r="M6475" i="1"/>
  <c r="L6476" i="1"/>
  <c r="M6476" i="1"/>
  <c r="L6477" i="1"/>
  <c r="M6477" i="1"/>
  <c r="L6478" i="1"/>
  <c r="M6478" i="1"/>
  <c r="L6479" i="1"/>
  <c r="M6479" i="1"/>
  <c r="L6438" i="1"/>
  <c r="M6438" i="1"/>
  <c r="L6439" i="1"/>
  <c r="M6439" i="1"/>
  <c r="L6440" i="1"/>
  <c r="M6440" i="1"/>
  <c r="L6441" i="1"/>
  <c r="M6441" i="1"/>
  <c r="L6442" i="1"/>
  <c r="M6442" i="1"/>
  <c r="L6443" i="1"/>
  <c r="M6443" i="1"/>
  <c r="L6444" i="1"/>
  <c r="M6444" i="1"/>
  <c r="L6445" i="1"/>
  <c r="M6445" i="1"/>
  <c r="L6446" i="1"/>
  <c r="M6446" i="1"/>
  <c r="L6447" i="1"/>
  <c r="M6447" i="1"/>
  <c r="L6448" i="1"/>
  <c r="M6448" i="1"/>
  <c r="L6449" i="1"/>
  <c r="M6449" i="1"/>
  <c r="L6450" i="1"/>
  <c r="M6450" i="1"/>
  <c r="L6451" i="1"/>
  <c r="M6451" i="1"/>
  <c r="L6452" i="1"/>
  <c r="M6452" i="1"/>
  <c r="L6453" i="1"/>
  <c r="M6453" i="1"/>
  <c r="L6454" i="1"/>
  <c r="M6454" i="1"/>
  <c r="L6455" i="1"/>
  <c r="M6455" i="1"/>
  <c r="L6456" i="1"/>
  <c r="M6456" i="1"/>
  <c r="L6457" i="1"/>
  <c r="M6457" i="1"/>
  <c r="L6458" i="1"/>
  <c r="M6458" i="1"/>
  <c r="L6459" i="1"/>
  <c r="M6459" i="1"/>
  <c r="H6418" i="1"/>
  <c r="L6424" i="1"/>
  <c r="M6424" i="1"/>
  <c r="L6425" i="1"/>
  <c r="M6425" i="1"/>
  <c r="L6426" i="1"/>
  <c r="M6426" i="1"/>
  <c r="L6427" i="1"/>
  <c r="M6427" i="1"/>
  <c r="L6428" i="1"/>
  <c r="M6428" i="1"/>
  <c r="L6429" i="1"/>
  <c r="M6429" i="1"/>
  <c r="L6430" i="1"/>
  <c r="M6430" i="1"/>
  <c r="L6431" i="1"/>
  <c r="M6431" i="1"/>
  <c r="L6432" i="1"/>
  <c r="M6432" i="1"/>
  <c r="L6433" i="1"/>
  <c r="M6433" i="1"/>
  <c r="L6434" i="1"/>
  <c r="M6434" i="1"/>
  <c r="L6435" i="1"/>
  <c r="M6435" i="1"/>
  <c r="L6436" i="1"/>
  <c r="M6436" i="1"/>
  <c r="L6437" i="1"/>
  <c r="M6437" i="1"/>
  <c r="L6415" i="1"/>
  <c r="M6415" i="1"/>
  <c r="L6416" i="1"/>
  <c r="M6416" i="1"/>
  <c r="L6417" i="1"/>
  <c r="M6417" i="1"/>
  <c r="L6418" i="1"/>
  <c r="M6418" i="1"/>
  <c r="L6419" i="1"/>
  <c r="M6419" i="1"/>
  <c r="L6420" i="1"/>
  <c r="M6420" i="1"/>
  <c r="L6421" i="1"/>
  <c r="M6421" i="1"/>
  <c r="L6422" i="1"/>
  <c r="M6422" i="1"/>
  <c r="L6423" i="1"/>
  <c r="M6423" i="1"/>
  <c r="L6397" i="1"/>
  <c r="M6397" i="1"/>
  <c r="L6398" i="1"/>
  <c r="M6398" i="1"/>
  <c r="L6399" i="1"/>
  <c r="M6399" i="1"/>
  <c r="L6400" i="1"/>
  <c r="M6400" i="1"/>
  <c r="L6401" i="1"/>
  <c r="M6401" i="1"/>
  <c r="L6402" i="1"/>
  <c r="M6402" i="1"/>
  <c r="L6403" i="1"/>
  <c r="M6403" i="1"/>
  <c r="L6404" i="1"/>
  <c r="M6404" i="1"/>
  <c r="L6405" i="1"/>
  <c r="M6405" i="1"/>
  <c r="L6406" i="1"/>
  <c r="M6406" i="1"/>
  <c r="L6407" i="1"/>
  <c r="M6407" i="1"/>
  <c r="L6408" i="1"/>
  <c r="M6408" i="1"/>
  <c r="L6409" i="1"/>
  <c r="M6409" i="1"/>
  <c r="L6410" i="1"/>
  <c r="M6410" i="1"/>
  <c r="L6411" i="1"/>
  <c r="M6411" i="1"/>
  <c r="L6412" i="1"/>
  <c r="M6412" i="1"/>
  <c r="L6413" i="1"/>
  <c r="M6413" i="1"/>
  <c r="L6414" i="1"/>
  <c r="M6414" i="1"/>
  <c r="L6379" i="1"/>
  <c r="M6379" i="1"/>
  <c r="L6380" i="1"/>
  <c r="M6380" i="1"/>
  <c r="L6381" i="1"/>
  <c r="M6381" i="1"/>
  <c r="L6382" i="1"/>
  <c r="M6382" i="1"/>
  <c r="L6383" i="1"/>
  <c r="M6383" i="1"/>
  <c r="L6384" i="1"/>
  <c r="M6384" i="1"/>
  <c r="L6385" i="1"/>
  <c r="M6385" i="1"/>
  <c r="L6386" i="1"/>
  <c r="M6386" i="1"/>
  <c r="L6387" i="1"/>
  <c r="M6387" i="1"/>
  <c r="L6388" i="1"/>
  <c r="M6388" i="1"/>
  <c r="L6389" i="1"/>
  <c r="M6389" i="1"/>
  <c r="L6390" i="1"/>
  <c r="M6390" i="1"/>
  <c r="L6391" i="1"/>
  <c r="M6391" i="1"/>
  <c r="L6392" i="1"/>
  <c r="M6392" i="1"/>
  <c r="L6393" i="1"/>
  <c r="M6393" i="1"/>
  <c r="L6394" i="1"/>
  <c r="M6394" i="1"/>
  <c r="L6395" i="1"/>
  <c r="M6395" i="1"/>
  <c r="L6396" i="1"/>
  <c r="M6396" i="1"/>
  <c r="L6366" i="1"/>
  <c r="M6366" i="1"/>
  <c r="L6367" i="1"/>
  <c r="M6367" i="1"/>
  <c r="L6368" i="1"/>
  <c r="M6368" i="1"/>
  <c r="L6369" i="1"/>
  <c r="M6369" i="1"/>
  <c r="L6370" i="1"/>
  <c r="M6370" i="1"/>
  <c r="L6371" i="1"/>
  <c r="M6371" i="1"/>
  <c r="L6372" i="1"/>
  <c r="M6372" i="1"/>
  <c r="L6373" i="1"/>
  <c r="M6373" i="1"/>
  <c r="L6374" i="1"/>
  <c r="M6374" i="1"/>
  <c r="L6375" i="1"/>
  <c r="M6375" i="1"/>
  <c r="L6376" i="1"/>
  <c r="M6376" i="1"/>
  <c r="L6377" i="1"/>
  <c r="M6377" i="1"/>
  <c r="L6378" i="1"/>
  <c r="M6378" i="1"/>
  <c r="L6346" i="1"/>
  <c r="M6346" i="1"/>
  <c r="L6347" i="1"/>
  <c r="M6347" i="1"/>
  <c r="L6348" i="1"/>
  <c r="M6348" i="1"/>
  <c r="L6349" i="1"/>
  <c r="M6349" i="1"/>
  <c r="L6350" i="1"/>
  <c r="M6350" i="1"/>
  <c r="L6351" i="1"/>
  <c r="M6351" i="1"/>
  <c r="L6352" i="1"/>
  <c r="M6352" i="1"/>
  <c r="L6353" i="1"/>
  <c r="M6353" i="1"/>
  <c r="L6354" i="1"/>
  <c r="M6354" i="1"/>
  <c r="L6355" i="1"/>
  <c r="M6355" i="1"/>
  <c r="L6356" i="1"/>
  <c r="M6356" i="1"/>
  <c r="L6357" i="1"/>
  <c r="M6357" i="1"/>
  <c r="L6358" i="1"/>
  <c r="M6358" i="1"/>
  <c r="L6359" i="1"/>
  <c r="M6359" i="1"/>
  <c r="L6360" i="1"/>
  <c r="M6360" i="1"/>
  <c r="L6361" i="1"/>
  <c r="M6361" i="1"/>
  <c r="L6362" i="1"/>
  <c r="M6362" i="1"/>
  <c r="L6363" i="1"/>
  <c r="M6363" i="1"/>
  <c r="L6364" i="1"/>
  <c r="M6364" i="1"/>
  <c r="L6365" i="1"/>
  <c r="M6365" i="1"/>
  <c r="L6333" i="1"/>
  <c r="M6333" i="1"/>
  <c r="L6334" i="1"/>
  <c r="M6334" i="1"/>
  <c r="L6335" i="1"/>
  <c r="M6335" i="1"/>
  <c r="L6336" i="1"/>
  <c r="M6336" i="1"/>
  <c r="L6337" i="1"/>
  <c r="M6337" i="1"/>
  <c r="L6338" i="1"/>
  <c r="M6338" i="1"/>
  <c r="L6339" i="1"/>
  <c r="M6339" i="1"/>
  <c r="L6340" i="1"/>
  <c r="M6340" i="1"/>
  <c r="L6341" i="1"/>
  <c r="M6341" i="1"/>
  <c r="L6342" i="1"/>
  <c r="M6342" i="1"/>
  <c r="L6343" i="1"/>
  <c r="M6343" i="1"/>
  <c r="L6344" i="1"/>
  <c r="M6344" i="1"/>
  <c r="L6345" i="1"/>
  <c r="M6345" i="1"/>
  <c r="L6318" i="1"/>
  <c r="M6318" i="1"/>
  <c r="L6319" i="1"/>
  <c r="M6319" i="1"/>
  <c r="L6320" i="1"/>
  <c r="M6320" i="1"/>
  <c r="L6321" i="1"/>
  <c r="M6321" i="1"/>
  <c r="L6322" i="1"/>
  <c r="M6322" i="1"/>
  <c r="L6323" i="1"/>
  <c r="M6323" i="1"/>
  <c r="L6324" i="1"/>
  <c r="M6324" i="1"/>
  <c r="L6325" i="1"/>
  <c r="M6325" i="1"/>
  <c r="L6326" i="1"/>
  <c r="M6326" i="1"/>
  <c r="L6327" i="1"/>
  <c r="M6327" i="1"/>
  <c r="L6328" i="1"/>
  <c r="M6328" i="1"/>
  <c r="L6329" i="1"/>
  <c r="M6329" i="1"/>
  <c r="L6330" i="1"/>
  <c r="M6330" i="1"/>
  <c r="L6331" i="1"/>
  <c r="M6331" i="1"/>
  <c r="L6332" i="1"/>
  <c r="M6332" i="1"/>
  <c r="A6319" i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L6304" i="1"/>
  <c r="M6304" i="1"/>
  <c r="L6305" i="1"/>
  <c r="M6305" i="1"/>
  <c r="L6306" i="1"/>
  <c r="M6306" i="1"/>
  <c r="L6307" i="1"/>
  <c r="M6307" i="1"/>
  <c r="L6308" i="1"/>
  <c r="M6308" i="1"/>
  <c r="L6309" i="1"/>
  <c r="M6309" i="1"/>
  <c r="L6310" i="1"/>
  <c r="M6310" i="1"/>
  <c r="L6311" i="1"/>
  <c r="M6311" i="1"/>
  <c r="L6312" i="1"/>
  <c r="M6312" i="1"/>
  <c r="L6313" i="1"/>
  <c r="M6313" i="1"/>
  <c r="L6314" i="1"/>
  <c r="M6314" i="1"/>
  <c r="L6315" i="1"/>
  <c r="M6315" i="1"/>
  <c r="L6316" i="1"/>
  <c r="M6316" i="1"/>
  <c r="L6317" i="1"/>
  <c r="M6317" i="1"/>
  <c r="A6304" i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39" i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5" i="1"/>
  <c r="A6356" i="1" s="1"/>
  <c r="A6357" i="1" s="1"/>
  <c r="A6358" i="1" s="1"/>
  <c r="A6360" i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1" i="1"/>
  <c r="A6372" i="1" s="1"/>
  <c r="A6373" i="1" s="1"/>
  <c r="A6374" i="1" s="1"/>
  <c r="A6375" i="1" s="1"/>
  <c r="A6376" i="1" s="1"/>
  <c r="A6377" i="1" s="1"/>
  <c r="A6379" i="1"/>
  <c r="A6380" i="1" s="1"/>
  <c r="A6381" i="1" s="1"/>
  <c r="A6382" i="1" s="1"/>
  <c r="A6383" i="1" s="1"/>
  <c r="A6384" i="1" s="1"/>
  <c r="A6385" i="1" s="1"/>
  <c r="A6387" i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4" i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6" i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L6291" i="1"/>
  <c r="M6291" i="1"/>
  <c r="L6292" i="1"/>
  <c r="M6292" i="1"/>
  <c r="L6293" i="1"/>
  <c r="M6293" i="1"/>
  <c r="L6294" i="1"/>
  <c r="M6294" i="1"/>
  <c r="L6295" i="1"/>
  <c r="M6295" i="1"/>
  <c r="L6296" i="1"/>
  <c r="M6296" i="1"/>
  <c r="L6297" i="1"/>
  <c r="M6297" i="1"/>
  <c r="L6298" i="1"/>
  <c r="M6298" i="1"/>
  <c r="L6299" i="1"/>
  <c r="M6299" i="1"/>
  <c r="L6300" i="1"/>
  <c r="M6300" i="1"/>
  <c r="L6301" i="1"/>
  <c r="M6301" i="1"/>
  <c r="L6302" i="1"/>
  <c r="M6302" i="1"/>
  <c r="L6303" i="1"/>
  <c r="M6303" i="1"/>
  <c r="A6292" i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458" i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L6272" i="1"/>
  <c r="M6272" i="1"/>
  <c r="L6273" i="1"/>
  <c r="M6273" i="1"/>
  <c r="L6274" i="1"/>
  <c r="M6274" i="1"/>
  <c r="L6275" i="1"/>
  <c r="M6275" i="1"/>
  <c r="L6276" i="1"/>
  <c r="M6276" i="1"/>
  <c r="L6277" i="1"/>
  <c r="M6277" i="1"/>
  <c r="L6278" i="1"/>
  <c r="M6278" i="1"/>
  <c r="L6279" i="1"/>
  <c r="M6279" i="1"/>
  <c r="L6280" i="1"/>
  <c r="M6280" i="1"/>
  <c r="L6281" i="1"/>
  <c r="M6281" i="1"/>
  <c r="L6282" i="1"/>
  <c r="M6282" i="1"/>
  <c r="L6283" i="1"/>
  <c r="M6283" i="1"/>
  <c r="L6284" i="1"/>
  <c r="M6284" i="1"/>
  <c r="L6285" i="1"/>
  <c r="M6285" i="1"/>
  <c r="L6286" i="1"/>
  <c r="M6286" i="1"/>
  <c r="L6287" i="1"/>
  <c r="M6287" i="1"/>
  <c r="L6288" i="1"/>
  <c r="M6288" i="1"/>
  <c r="L6289" i="1"/>
  <c r="M6289" i="1"/>
  <c r="L6290" i="1"/>
  <c r="M6290" i="1"/>
  <c r="L6257" i="1"/>
  <c r="M6257" i="1"/>
  <c r="L6258" i="1"/>
  <c r="M6258" i="1"/>
  <c r="L6259" i="1"/>
  <c r="M6259" i="1"/>
  <c r="L6260" i="1"/>
  <c r="M6260" i="1"/>
  <c r="L6261" i="1"/>
  <c r="M6261" i="1"/>
  <c r="L6262" i="1"/>
  <c r="M6262" i="1"/>
  <c r="L6263" i="1"/>
  <c r="M6263" i="1"/>
  <c r="L6264" i="1"/>
  <c r="M6264" i="1"/>
  <c r="L6265" i="1"/>
  <c r="M6265" i="1"/>
  <c r="L6266" i="1"/>
  <c r="M6266" i="1"/>
  <c r="L6267" i="1"/>
  <c r="M6267" i="1"/>
  <c r="L6268" i="1"/>
  <c r="M6268" i="1"/>
  <c r="L6269" i="1"/>
  <c r="M6269" i="1"/>
  <c r="L6270" i="1"/>
  <c r="M6270" i="1"/>
  <c r="L6271" i="1"/>
  <c r="M6271" i="1"/>
  <c r="A6257" i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9" i="1"/>
  <c r="A6271" i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L6249" i="1"/>
  <c r="M6249" i="1"/>
  <c r="L6250" i="1"/>
  <c r="M6250" i="1"/>
  <c r="L6251" i="1"/>
  <c r="M6251" i="1"/>
  <c r="L6252" i="1"/>
  <c r="M6252" i="1"/>
  <c r="L6253" i="1"/>
  <c r="M6253" i="1"/>
  <c r="L6254" i="1"/>
  <c r="M6254" i="1"/>
  <c r="L6255" i="1"/>
  <c r="M6255" i="1"/>
  <c r="L6256" i="1"/>
  <c r="M6256" i="1"/>
  <c r="L6236" i="1"/>
  <c r="M6236" i="1"/>
  <c r="L6237" i="1"/>
  <c r="M6237" i="1"/>
  <c r="L6238" i="1"/>
  <c r="M6238" i="1"/>
  <c r="L6239" i="1"/>
  <c r="M6239" i="1"/>
  <c r="L6240" i="1"/>
  <c r="M6240" i="1"/>
  <c r="L6241" i="1"/>
  <c r="M6241" i="1"/>
  <c r="L6242" i="1"/>
  <c r="M6242" i="1"/>
  <c r="L6243" i="1"/>
  <c r="M6243" i="1"/>
  <c r="L6244" i="1"/>
  <c r="M6244" i="1"/>
  <c r="L6245" i="1"/>
  <c r="M6245" i="1"/>
  <c r="L6246" i="1"/>
  <c r="M6246" i="1"/>
  <c r="L6247" i="1"/>
  <c r="M6247" i="1"/>
  <c r="L6248" i="1"/>
  <c r="M6248" i="1"/>
  <c r="L6230" i="1"/>
  <c r="M6230" i="1"/>
  <c r="L6231" i="1"/>
  <c r="M6231" i="1"/>
  <c r="L6232" i="1"/>
  <c r="M6232" i="1"/>
  <c r="L6233" i="1"/>
  <c r="M6233" i="1"/>
  <c r="L6234" i="1"/>
  <c r="M6234" i="1"/>
  <c r="L6235" i="1"/>
  <c r="M6235" i="1"/>
  <c r="L6221" i="1"/>
  <c r="M6221" i="1"/>
  <c r="L6222" i="1"/>
  <c r="M6222" i="1"/>
  <c r="L6223" i="1"/>
  <c r="M6223" i="1"/>
  <c r="L6224" i="1"/>
  <c r="M6224" i="1"/>
  <c r="L6225" i="1"/>
  <c r="M6225" i="1"/>
  <c r="L6226" i="1"/>
  <c r="M6226" i="1"/>
  <c r="L6227" i="1"/>
  <c r="M6227" i="1"/>
  <c r="L6228" i="1"/>
  <c r="M6228" i="1"/>
  <c r="L6229" i="1"/>
  <c r="M6229" i="1"/>
  <c r="A6222" i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5" i="1"/>
  <c r="A6236" i="1" s="1"/>
  <c r="A6237" i="1" s="1"/>
  <c r="A6238" i="1" s="1"/>
  <c r="A6239" i="1" s="1"/>
  <c r="A6241" i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L6203" i="1"/>
  <c r="M6203" i="1"/>
  <c r="L6204" i="1"/>
  <c r="M6204" i="1"/>
  <c r="L6205" i="1"/>
  <c r="M6205" i="1"/>
  <c r="L6206" i="1"/>
  <c r="M6206" i="1"/>
  <c r="L6207" i="1"/>
  <c r="M6207" i="1"/>
  <c r="L6208" i="1"/>
  <c r="M6208" i="1"/>
  <c r="L6209" i="1"/>
  <c r="M6209" i="1"/>
  <c r="L6210" i="1"/>
  <c r="M6210" i="1"/>
  <c r="L6211" i="1"/>
  <c r="M6211" i="1"/>
  <c r="L6212" i="1"/>
  <c r="M6212" i="1"/>
  <c r="L6213" i="1"/>
  <c r="M6213" i="1"/>
  <c r="L6214" i="1"/>
  <c r="M6214" i="1"/>
  <c r="L6215" i="1"/>
  <c r="M6215" i="1"/>
  <c r="L6216" i="1"/>
  <c r="M6216" i="1"/>
  <c r="L6217" i="1"/>
  <c r="M6217" i="1"/>
  <c r="L6218" i="1"/>
  <c r="M6218" i="1"/>
  <c r="L6219" i="1"/>
  <c r="M6219" i="1"/>
  <c r="L6220" i="1"/>
  <c r="M6220" i="1"/>
  <c r="L6199" i="1"/>
  <c r="M6199" i="1"/>
  <c r="L6200" i="1"/>
  <c r="M6200" i="1"/>
  <c r="L6201" i="1"/>
  <c r="M6201" i="1"/>
  <c r="L6202" i="1"/>
  <c r="M6202" i="1"/>
  <c r="L6178" i="1"/>
  <c r="M6178" i="1"/>
  <c r="L6179" i="1"/>
  <c r="M6179" i="1"/>
  <c r="L6180" i="1"/>
  <c r="M6180" i="1"/>
  <c r="L6181" i="1"/>
  <c r="M6181" i="1"/>
  <c r="L6182" i="1"/>
  <c r="M6182" i="1"/>
  <c r="L6183" i="1"/>
  <c r="M6183" i="1"/>
  <c r="L6184" i="1"/>
  <c r="M6184" i="1"/>
  <c r="L6185" i="1"/>
  <c r="M6185" i="1"/>
  <c r="L6186" i="1"/>
  <c r="M6186" i="1"/>
  <c r="L6187" i="1"/>
  <c r="M6187" i="1"/>
  <c r="L6188" i="1"/>
  <c r="M6188" i="1"/>
  <c r="L6189" i="1"/>
  <c r="M6189" i="1"/>
  <c r="L6190" i="1"/>
  <c r="M6190" i="1"/>
  <c r="L6191" i="1"/>
  <c r="M6191" i="1"/>
  <c r="L6192" i="1"/>
  <c r="M6192" i="1"/>
  <c r="L6193" i="1"/>
  <c r="M6193" i="1"/>
  <c r="L6194" i="1"/>
  <c r="M6194" i="1"/>
  <c r="L6195" i="1"/>
  <c r="M6195" i="1"/>
  <c r="L6196" i="1"/>
  <c r="M6196" i="1"/>
  <c r="L6197" i="1"/>
  <c r="M6197" i="1"/>
  <c r="L6198" i="1"/>
  <c r="M6198" i="1"/>
  <c r="L6176" i="1"/>
  <c r="L6177" i="1"/>
  <c r="A6177" i="1"/>
  <c r="A6181" i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8" i="1"/>
  <c r="A6199" i="1" s="1"/>
  <c r="A6200" i="1" s="1"/>
  <c r="A6201" i="1" s="1"/>
  <c r="A6202" i="1" s="1"/>
  <c r="A6203" i="1" s="1"/>
  <c r="A6204" i="1" s="1"/>
  <c r="A6205" i="1" s="1"/>
  <c r="A6207" i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M6176" i="1"/>
  <c r="M6177" i="1"/>
  <c r="L6164" i="1"/>
  <c r="M6164" i="1"/>
  <c r="L6165" i="1"/>
  <c r="M6165" i="1"/>
  <c r="L6166" i="1"/>
  <c r="M6166" i="1"/>
  <c r="L6167" i="1"/>
  <c r="M6167" i="1"/>
  <c r="L6168" i="1"/>
  <c r="M6168" i="1"/>
  <c r="L6169" i="1"/>
  <c r="M6169" i="1"/>
  <c r="L6170" i="1"/>
  <c r="M6170" i="1"/>
  <c r="L6171" i="1"/>
  <c r="M6171" i="1"/>
  <c r="L6172" i="1"/>
  <c r="M6172" i="1"/>
  <c r="L6173" i="1"/>
  <c r="M6173" i="1"/>
  <c r="L6174" i="1"/>
  <c r="M6174" i="1"/>
  <c r="L6175" i="1"/>
  <c r="M6175" i="1"/>
  <c r="K6490" i="1"/>
  <c r="G6490" i="1"/>
  <c r="L6160" i="1"/>
  <c r="M6160" i="1"/>
  <c r="L6161" i="1"/>
  <c r="M6161" i="1"/>
  <c r="L6162" i="1"/>
  <c r="M6162" i="1"/>
  <c r="L6163" i="1"/>
  <c r="M6163" i="1"/>
  <c r="L6141" i="1"/>
  <c r="M6141" i="1"/>
  <c r="L6142" i="1"/>
  <c r="M6142" i="1"/>
  <c r="L6143" i="1"/>
  <c r="M6143" i="1"/>
  <c r="L6144" i="1"/>
  <c r="M6144" i="1"/>
  <c r="L6145" i="1"/>
  <c r="M6145" i="1"/>
  <c r="L6146" i="1"/>
  <c r="M6146" i="1"/>
  <c r="L6147" i="1"/>
  <c r="M6147" i="1"/>
  <c r="L6148" i="1"/>
  <c r="M6148" i="1"/>
  <c r="L6149" i="1"/>
  <c r="M6149" i="1"/>
  <c r="L6150" i="1"/>
  <c r="M6150" i="1"/>
  <c r="L6151" i="1"/>
  <c r="M6151" i="1"/>
  <c r="L6152" i="1"/>
  <c r="M6152" i="1"/>
  <c r="L6153" i="1"/>
  <c r="M6153" i="1"/>
  <c r="L6154" i="1"/>
  <c r="M6154" i="1"/>
  <c r="L6155" i="1"/>
  <c r="M6155" i="1"/>
  <c r="L6156" i="1"/>
  <c r="M6156" i="1"/>
  <c r="L6157" i="1"/>
  <c r="M6157" i="1"/>
  <c r="L6158" i="1"/>
  <c r="M6158" i="1"/>
  <c r="L6159" i="1"/>
  <c r="M6159" i="1"/>
  <c r="L6120" i="1"/>
  <c r="M6120" i="1"/>
  <c r="L6121" i="1"/>
  <c r="M6121" i="1"/>
  <c r="L6122" i="1"/>
  <c r="M6122" i="1"/>
  <c r="L6123" i="1"/>
  <c r="M6123" i="1"/>
  <c r="L6124" i="1"/>
  <c r="M6124" i="1"/>
  <c r="L6125" i="1"/>
  <c r="M6125" i="1"/>
  <c r="L6126" i="1"/>
  <c r="M6126" i="1"/>
  <c r="L6127" i="1"/>
  <c r="M6127" i="1"/>
  <c r="L6128" i="1"/>
  <c r="M6128" i="1"/>
  <c r="L6129" i="1"/>
  <c r="M6129" i="1"/>
  <c r="L6130" i="1"/>
  <c r="M6130" i="1"/>
  <c r="L6131" i="1"/>
  <c r="M6131" i="1"/>
  <c r="L6132" i="1"/>
  <c r="M6132" i="1"/>
  <c r="L6133" i="1"/>
  <c r="M6133" i="1"/>
  <c r="L6134" i="1"/>
  <c r="M6134" i="1"/>
  <c r="L6135" i="1"/>
  <c r="M6135" i="1"/>
  <c r="L6136" i="1"/>
  <c r="M6136" i="1"/>
  <c r="L6137" i="1"/>
  <c r="M6137" i="1"/>
  <c r="L6138" i="1"/>
  <c r="M6138" i="1"/>
  <c r="L6139" i="1"/>
  <c r="M6139" i="1"/>
  <c r="L6140" i="1"/>
  <c r="M6140" i="1"/>
  <c r="L6116" i="1"/>
  <c r="M6116" i="1"/>
  <c r="L6117" i="1"/>
  <c r="M6117" i="1"/>
  <c r="L6118" i="1"/>
  <c r="M6118" i="1"/>
  <c r="L6119" i="1"/>
  <c r="M6119" i="1"/>
  <c r="F6490" i="1"/>
  <c r="M6115" i="1"/>
  <c r="L6115" i="1"/>
  <c r="M6114" i="1"/>
  <c r="L6114" i="1"/>
  <c r="I6114" i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L6111" i="1"/>
  <c r="M6111" i="1"/>
  <c r="A6115" i="1"/>
  <c r="A6116" i="1" s="1"/>
  <c r="L6103" i="1"/>
  <c r="M6103" i="1"/>
  <c r="L6104" i="1"/>
  <c r="M6104" i="1"/>
  <c r="L6105" i="1"/>
  <c r="M6105" i="1"/>
  <c r="L6106" i="1"/>
  <c r="M6106" i="1"/>
  <c r="L6107" i="1"/>
  <c r="M6107" i="1"/>
  <c r="L6108" i="1"/>
  <c r="M6108" i="1"/>
  <c r="L6109" i="1"/>
  <c r="M6109" i="1"/>
  <c r="L6110" i="1"/>
  <c r="M6110" i="1"/>
  <c r="L6090" i="1"/>
  <c r="M6090" i="1"/>
  <c r="L6091" i="1"/>
  <c r="M6091" i="1"/>
  <c r="L6092" i="1"/>
  <c r="M6092" i="1"/>
  <c r="L6093" i="1"/>
  <c r="M6093" i="1"/>
  <c r="L6094" i="1"/>
  <c r="M6094" i="1"/>
  <c r="L6095" i="1"/>
  <c r="M6095" i="1"/>
  <c r="L6096" i="1"/>
  <c r="M6096" i="1"/>
  <c r="L6097" i="1"/>
  <c r="M6097" i="1"/>
  <c r="L6098" i="1"/>
  <c r="M6098" i="1"/>
  <c r="L6099" i="1"/>
  <c r="M6099" i="1"/>
  <c r="L6100" i="1"/>
  <c r="M6100" i="1"/>
  <c r="L6101" i="1"/>
  <c r="M6101" i="1"/>
  <c r="L6102" i="1"/>
  <c r="M6102" i="1"/>
  <c r="A6090" i="1"/>
  <c r="A6091" i="1" s="1"/>
  <c r="A6092" i="1" s="1"/>
  <c r="A6093" i="1" s="1"/>
  <c r="A6094" i="1" s="1"/>
  <c r="A6095" i="1" s="1"/>
  <c r="A6096" i="1" s="1"/>
  <c r="A6097" i="1" s="1"/>
  <c r="A6099" i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L6085" i="1"/>
  <c r="M6085" i="1"/>
  <c r="L6086" i="1"/>
  <c r="M6086" i="1"/>
  <c r="L6087" i="1"/>
  <c r="M6087" i="1"/>
  <c r="L6088" i="1"/>
  <c r="M6088" i="1"/>
  <c r="L6089" i="1"/>
  <c r="M6089" i="1"/>
  <c r="L6081" i="1"/>
  <c r="M6081" i="1"/>
  <c r="L6082" i="1"/>
  <c r="M6082" i="1"/>
  <c r="L6083" i="1"/>
  <c r="M6083" i="1"/>
  <c r="L6084" i="1"/>
  <c r="M6084" i="1"/>
  <c r="M6077" i="1"/>
  <c r="L6075" i="1"/>
  <c r="M6075" i="1"/>
  <c r="L6076" i="1"/>
  <c r="M6076" i="1"/>
  <c r="L6078" i="1"/>
  <c r="M6078" i="1"/>
  <c r="L6079" i="1"/>
  <c r="M6079" i="1"/>
  <c r="L6080" i="1"/>
  <c r="M6080" i="1"/>
  <c r="A6079" i="1"/>
  <c r="A6080" i="1" s="1"/>
  <c r="A6081" i="1" s="1"/>
  <c r="L6065" i="1"/>
  <c r="M6065" i="1"/>
  <c r="L6066" i="1"/>
  <c r="M6066" i="1"/>
  <c r="L6067" i="1"/>
  <c r="M6067" i="1"/>
  <c r="L6068" i="1"/>
  <c r="M6068" i="1"/>
  <c r="L6069" i="1"/>
  <c r="M6069" i="1"/>
  <c r="L6070" i="1"/>
  <c r="M6070" i="1"/>
  <c r="L6071" i="1"/>
  <c r="M6071" i="1"/>
  <c r="L6072" i="1"/>
  <c r="M6072" i="1"/>
  <c r="L6073" i="1"/>
  <c r="M6073" i="1"/>
  <c r="L6074" i="1"/>
  <c r="M6074" i="1"/>
  <c r="L6054" i="1"/>
  <c r="M6054" i="1"/>
  <c r="L6055" i="1"/>
  <c r="M6055" i="1"/>
  <c r="L6056" i="1"/>
  <c r="M6056" i="1"/>
  <c r="L6057" i="1"/>
  <c r="M6057" i="1"/>
  <c r="L6058" i="1"/>
  <c r="M6058" i="1"/>
  <c r="L6059" i="1"/>
  <c r="M6059" i="1"/>
  <c r="L6060" i="1"/>
  <c r="M6060" i="1"/>
  <c r="L6061" i="1"/>
  <c r="M6061" i="1"/>
  <c r="L6062" i="1"/>
  <c r="M6062" i="1"/>
  <c r="L6063" i="1"/>
  <c r="M6063" i="1"/>
  <c r="L6064" i="1"/>
  <c r="M6064" i="1"/>
  <c r="A6139" i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3" i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L6041" i="1"/>
  <c r="M6041" i="1"/>
  <c r="L6042" i="1"/>
  <c r="M6042" i="1"/>
  <c r="L6043" i="1"/>
  <c r="M6043" i="1"/>
  <c r="L6044" i="1"/>
  <c r="M6044" i="1"/>
  <c r="L6045" i="1"/>
  <c r="M6045" i="1"/>
  <c r="L6046" i="1"/>
  <c r="M6046" i="1"/>
  <c r="L6047" i="1"/>
  <c r="M6047" i="1"/>
  <c r="L6048" i="1"/>
  <c r="M6048" i="1"/>
  <c r="L6049" i="1"/>
  <c r="M6049" i="1"/>
  <c r="L6050" i="1"/>
  <c r="M6050" i="1"/>
  <c r="L6051" i="1"/>
  <c r="M6051" i="1"/>
  <c r="L6052" i="1"/>
  <c r="M6052" i="1"/>
  <c r="L6053" i="1"/>
  <c r="M6053" i="1"/>
  <c r="A6041" i="1"/>
  <c r="A6042" i="1" s="1"/>
  <c r="A6044" i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3" i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168" i="1"/>
  <c r="A6169" i="1" s="1"/>
  <c r="A6170" i="1" s="1"/>
  <c r="A6171" i="1" s="1"/>
  <c r="A6172" i="1" s="1"/>
  <c r="A6173" i="1" s="1"/>
  <c r="A6174" i="1" s="1"/>
  <c r="A6175" i="1" s="1"/>
  <c r="L6019" i="1"/>
  <c r="M6019" i="1"/>
  <c r="L6020" i="1"/>
  <c r="M6020" i="1"/>
  <c r="L6021" i="1"/>
  <c r="M6021" i="1"/>
  <c r="L6022" i="1"/>
  <c r="M6022" i="1"/>
  <c r="L6023" i="1"/>
  <c r="M6023" i="1"/>
  <c r="L6024" i="1"/>
  <c r="M6024" i="1"/>
  <c r="L6025" i="1"/>
  <c r="M6025" i="1"/>
  <c r="L6026" i="1"/>
  <c r="M6026" i="1"/>
  <c r="L6027" i="1"/>
  <c r="M6027" i="1"/>
  <c r="L6028" i="1"/>
  <c r="M6028" i="1"/>
  <c r="L6029" i="1"/>
  <c r="M6029" i="1"/>
  <c r="L6030" i="1"/>
  <c r="M6030" i="1"/>
  <c r="L6031" i="1"/>
  <c r="M6031" i="1"/>
  <c r="L6032" i="1"/>
  <c r="M6032" i="1"/>
  <c r="L6033" i="1"/>
  <c r="M6033" i="1"/>
  <c r="L6034" i="1"/>
  <c r="M6034" i="1"/>
  <c r="L6035" i="1"/>
  <c r="M6035" i="1"/>
  <c r="L6036" i="1"/>
  <c r="M6036" i="1"/>
  <c r="L6037" i="1"/>
  <c r="M6037" i="1"/>
  <c r="L6038" i="1"/>
  <c r="M6038" i="1"/>
  <c r="L6039" i="1"/>
  <c r="M6039" i="1"/>
  <c r="L6040" i="1"/>
  <c r="M6040" i="1"/>
  <c r="A6023" i="1"/>
  <c r="A6024" i="1" s="1"/>
  <c r="A6026" i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L6002" i="1"/>
  <c r="M6002" i="1"/>
  <c r="L6003" i="1"/>
  <c r="M6003" i="1"/>
  <c r="L6004" i="1"/>
  <c r="M6004" i="1"/>
  <c r="L6005" i="1"/>
  <c r="M6005" i="1"/>
  <c r="L6006" i="1"/>
  <c r="M6006" i="1"/>
  <c r="L6007" i="1"/>
  <c r="M6007" i="1"/>
  <c r="L6008" i="1"/>
  <c r="M6008" i="1"/>
  <c r="L6009" i="1"/>
  <c r="M6009" i="1"/>
  <c r="L6010" i="1"/>
  <c r="M6010" i="1"/>
  <c r="L6011" i="1"/>
  <c r="M6011" i="1"/>
  <c r="L6012" i="1"/>
  <c r="M6012" i="1"/>
  <c r="L6013" i="1"/>
  <c r="M6013" i="1"/>
  <c r="L6014" i="1"/>
  <c r="M6014" i="1"/>
  <c r="L6015" i="1"/>
  <c r="M6015" i="1"/>
  <c r="L6016" i="1"/>
  <c r="M6016" i="1"/>
  <c r="L6017" i="1"/>
  <c r="M6017" i="1"/>
  <c r="L6018" i="1"/>
  <c r="M6018" i="1"/>
  <c r="Q5991" i="1"/>
  <c r="L5987" i="1"/>
  <c r="M5987" i="1"/>
  <c r="L5988" i="1"/>
  <c r="M5988" i="1"/>
  <c r="L5989" i="1"/>
  <c r="M5989" i="1"/>
  <c r="L5990" i="1"/>
  <c r="M5990" i="1"/>
  <c r="L5991" i="1"/>
  <c r="M5991" i="1"/>
  <c r="L5992" i="1"/>
  <c r="M5992" i="1"/>
  <c r="L5993" i="1"/>
  <c r="M5993" i="1"/>
  <c r="L5994" i="1"/>
  <c r="M5994" i="1"/>
  <c r="L5995" i="1"/>
  <c r="M5995" i="1"/>
  <c r="L5996" i="1"/>
  <c r="M5996" i="1"/>
  <c r="L5997" i="1"/>
  <c r="M5997" i="1"/>
  <c r="L5998" i="1"/>
  <c r="M5998" i="1"/>
  <c r="L5999" i="1"/>
  <c r="M5999" i="1"/>
  <c r="L6000" i="1"/>
  <c r="M6000" i="1"/>
  <c r="L6001" i="1"/>
  <c r="M6001" i="1"/>
  <c r="L5972" i="1"/>
  <c r="M5972" i="1"/>
  <c r="L5973" i="1"/>
  <c r="M5973" i="1"/>
  <c r="L5974" i="1"/>
  <c r="M5974" i="1"/>
  <c r="L5975" i="1"/>
  <c r="M5975" i="1"/>
  <c r="L5976" i="1"/>
  <c r="M5976" i="1"/>
  <c r="L5977" i="1"/>
  <c r="M5977" i="1"/>
  <c r="L5978" i="1"/>
  <c r="M5978" i="1"/>
  <c r="L5979" i="1"/>
  <c r="M5979" i="1"/>
  <c r="L5980" i="1"/>
  <c r="M5980" i="1"/>
  <c r="L5981" i="1"/>
  <c r="M5981" i="1"/>
  <c r="L5982" i="1"/>
  <c r="M5982" i="1"/>
  <c r="L5983" i="1"/>
  <c r="M5983" i="1"/>
  <c r="L5984" i="1"/>
  <c r="M5984" i="1"/>
  <c r="L5985" i="1"/>
  <c r="M5985" i="1"/>
  <c r="L5986" i="1"/>
  <c r="M5986" i="1"/>
  <c r="L5954" i="1"/>
  <c r="M5954" i="1"/>
  <c r="L5955" i="1"/>
  <c r="M5955" i="1"/>
  <c r="L5956" i="1"/>
  <c r="M5956" i="1"/>
  <c r="L5957" i="1"/>
  <c r="M5957" i="1"/>
  <c r="L5958" i="1"/>
  <c r="M5958" i="1"/>
  <c r="L5959" i="1"/>
  <c r="M5959" i="1"/>
  <c r="L5960" i="1"/>
  <c r="M5960" i="1"/>
  <c r="L5961" i="1"/>
  <c r="M5961" i="1"/>
  <c r="L5962" i="1"/>
  <c r="M5962" i="1"/>
  <c r="L5963" i="1"/>
  <c r="M5963" i="1"/>
  <c r="L5964" i="1"/>
  <c r="M5964" i="1"/>
  <c r="L5965" i="1"/>
  <c r="M5965" i="1"/>
  <c r="L5966" i="1"/>
  <c r="M5966" i="1"/>
  <c r="L5967" i="1"/>
  <c r="M5967" i="1"/>
  <c r="L5968" i="1"/>
  <c r="M5968" i="1"/>
  <c r="L5969" i="1"/>
  <c r="M5969" i="1"/>
  <c r="L5970" i="1"/>
  <c r="M5970" i="1"/>
  <c r="L5971" i="1"/>
  <c r="M5971" i="1"/>
  <c r="L5936" i="1"/>
  <c r="M5936" i="1"/>
  <c r="L5937" i="1"/>
  <c r="M5937" i="1"/>
  <c r="L5938" i="1"/>
  <c r="M5938" i="1"/>
  <c r="L5939" i="1"/>
  <c r="M5939" i="1"/>
  <c r="L5940" i="1"/>
  <c r="M5940" i="1"/>
  <c r="L5941" i="1"/>
  <c r="M5941" i="1"/>
  <c r="L5942" i="1"/>
  <c r="M5942" i="1"/>
  <c r="L5943" i="1"/>
  <c r="M5943" i="1"/>
  <c r="L5944" i="1"/>
  <c r="M5944" i="1"/>
  <c r="L5945" i="1"/>
  <c r="M5945" i="1"/>
  <c r="L5946" i="1"/>
  <c r="M5946" i="1"/>
  <c r="L5947" i="1"/>
  <c r="M5947" i="1"/>
  <c r="L5948" i="1"/>
  <c r="M5948" i="1"/>
  <c r="L5949" i="1"/>
  <c r="M5949" i="1"/>
  <c r="L5950" i="1"/>
  <c r="M5950" i="1"/>
  <c r="L5951" i="1"/>
  <c r="M5951" i="1"/>
  <c r="L5952" i="1"/>
  <c r="M5952" i="1"/>
  <c r="L5953" i="1"/>
  <c r="M5953" i="1"/>
  <c r="A5936" i="1"/>
  <c r="A5937" i="1" s="1"/>
  <c r="A5938" i="1" s="1"/>
  <c r="A5939" i="1" s="1"/>
  <c r="A5940" i="1" s="1"/>
  <c r="A5941" i="1" s="1"/>
  <c r="A5942" i="1" s="1"/>
  <c r="A5944" i="1"/>
  <c r="A5945" i="1" s="1"/>
  <c r="A5946" i="1" s="1"/>
  <c r="A5947" i="1" s="1"/>
  <c r="A5948" i="1" s="1"/>
  <c r="A5949" i="1" s="1"/>
  <c r="A5950" i="1" s="1"/>
  <c r="A5953" i="1"/>
  <c r="A5954" i="1" s="1"/>
  <c r="A5955" i="1" s="1"/>
  <c r="A5956" i="1" s="1"/>
  <c r="A5957" i="1" s="1"/>
  <c r="A5958" i="1" s="1"/>
  <c r="A5959" i="1" s="1"/>
  <c r="A5960" i="1" s="1"/>
  <c r="A5961" i="1" s="1"/>
  <c r="A5963" i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3" i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8" i="1"/>
  <c r="A5999" i="1" s="1"/>
  <c r="A6000" i="1" s="1"/>
  <c r="A6001" i="1" s="1"/>
  <c r="A6002" i="1" s="1"/>
  <c r="A6003" i="1" s="1"/>
  <c r="A6004" i="1" s="1"/>
  <c r="A6005" i="1" s="1"/>
  <c r="A6007" i="1"/>
  <c r="A6008" i="1" s="1"/>
  <c r="A6009" i="1" s="1"/>
  <c r="A6011" i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L5917" i="1"/>
  <c r="M5917" i="1"/>
  <c r="L5918" i="1"/>
  <c r="M5918" i="1"/>
  <c r="L5919" i="1"/>
  <c r="M5919" i="1"/>
  <c r="L5920" i="1"/>
  <c r="M5920" i="1"/>
  <c r="L5921" i="1"/>
  <c r="M5921" i="1"/>
  <c r="L5922" i="1"/>
  <c r="M5922" i="1"/>
  <c r="L5923" i="1"/>
  <c r="M5923" i="1"/>
  <c r="L5924" i="1"/>
  <c r="M5924" i="1"/>
  <c r="L5925" i="1"/>
  <c r="M5925" i="1"/>
  <c r="L5926" i="1"/>
  <c r="M5926" i="1"/>
  <c r="L5927" i="1"/>
  <c r="M5927" i="1"/>
  <c r="L5928" i="1"/>
  <c r="M5928" i="1"/>
  <c r="L5929" i="1"/>
  <c r="M5929" i="1"/>
  <c r="L5930" i="1"/>
  <c r="M5930" i="1"/>
  <c r="L5931" i="1"/>
  <c r="M5931" i="1"/>
  <c r="L5932" i="1"/>
  <c r="M5932" i="1"/>
  <c r="L5933" i="1"/>
  <c r="M5933" i="1"/>
  <c r="L5934" i="1"/>
  <c r="M5934" i="1"/>
  <c r="L5935" i="1"/>
  <c r="M5935" i="1"/>
  <c r="L5912" i="1"/>
  <c r="M5912" i="1"/>
  <c r="L5913" i="1"/>
  <c r="M5913" i="1"/>
  <c r="L5914" i="1"/>
  <c r="M5914" i="1"/>
  <c r="L5915" i="1"/>
  <c r="M5915" i="1"/>
  <c r="L5916" i="1"/>
  <c r="M5916" i="1"/>
  <c r="L5893" i="1"/>
  <c r="M5893" i="1"/>
  <c r="L5894" i="1"/>
  <c r="M5894" i="1"/>
  <c r="L5895" i="1"/>
  <c r="M5895" i="1"/>
  <c r="L5896" i="1"/>
  <c r="M5896" i="1"/>
  <c r="L5897" i="1"/>
  <c r="M5897" i="1"/>
  <c r="L5898" i="1"/>
  <c r="M5898" i="1"/>
  <c r="L5899" i="1"/>
  <c r="M5899" i="1"/>
  <c r="L5900" i="1"/>
  <c r="M5900" i="1"/>
  <c r="L5901" i="1"/>
  <c r="M5901" i="1"/>
  <c r="L5902" i="1"/>
  <c r="M5902" i="1"/>
  <c r="L5903" i="1"/>
  <c r="M5903" i="1"/>
  <c r="L5904" i="1"/>
  <c r="M5904" i="1"/>
  <c r="L5905" i="1"/>
  <c r="M5905" i="1"/>
  <c r="L5906" i="1"/>
  <c r="M5906" i="1"/>
  <c r="L5907" i="1"/>
  <c r="M5907" i="1"/>
  <c r="L5908" i="1"/>
  <c r="M5908" i="1"/>
  <c r="L5909" i="1"/>
  <c r="M5909" i="1"/>
  <c r="L5910" i="1"/>
  <c r="M5910" i="1"/>
  <c r="L5911" i="1"/>
  <c r="M5911" i="1"/>
  <c r="L5876" i="1"/>
  <c r="M5876" i="1"/>
  <c r="L5877" i="1"/>
  <c r="M5877" i="1"/>
  <c r="L5878" i="1"/>
  <c r="M5878" i="1"/>
  <c r="L5879" i="1"/>
  <c r="M5879" i="1"/>
  <c r="L5880" i="1"/>
  <c r="M5880" i="1"/>
  <c r="L5881" i="1"/>
  <c r="M5881" i="1"/>
  <c r="L5882" i="1"/>
  <c r="M5882" i="1"/>
  <c r="L5883" i="1"/>
  <c r="M5883" i="1"/>
  <c r="L5884" i="1"/>
  <c r="M5884" i="1"/>
  <c r="L5885" i="1"/>
  <c r="M5885" i="1"/>
  <c r="L5886" i="1"/>
  <c r="M5886" i="1"/>
  <c r="L5887" i="1"/>
  <c r="M5887" i="1"/>
  <c r="L5888" i="1"/>
  <c r="M5888" i="1"/>
  <c r="L5889" i="1"/>
  <c r="M5889" i="1"/>
  <c r="L5890" i="1"/>
  <c r="M5890" i="1"/>
  <c r="L5891" i="1"/>
  <c r="M5891" i="1"/>
  <c r="L5892" i="1"/>
  <c r="M5892" i="1"/>
  <c r="L5859" i="1"/>
  <c r="M5859" i="1"/>
  <c r="L5860" i="1"/>
  <c r="M5860" i="1"/>
  <c r="L5861" i="1"/>
  <c r="M5861" i="1"/>
  <c r="L5862" i="1"/>
  <c r="M5862" i="1"/>
  <c r="L5863" i="1"/>
  <c r="M5863" i="1"/>
  <c r="L5864" i="1"/>
  <c r="M5864" i="1"/>
  <c r="L5865" i="1"/>
  <c r="M5865" i="1"/>
  <c r="L5866" i="1"/>
  <c r="M5866" i="1"/>
  <c r="L5867" i="1"/>
  <c r="M5867" i="1"/>
  <c r="L5868" i="1"/>
  <c r="M5868" i="1"/>
  <c r="L5869" i="1"/>
  <c r="M5869" i="1"/>
  <c r="L5870" i="1"/>
  <c r="M5870" i="1"/>
  <c r="L5871" i="1"/>
  <c r="M5871" i="1"/>
  <c r="L5872" i="1"/>
  <c r="M5872" i="1"/>
  <c r="L5873" i="1"/>
  <c r="M5873" i="1"/>
  <c r="L5874" i="1"/>
  <c r="M5874" i="1"/>
  <c r="L5875" i="1"/>
  <c r="M5875" i="1"/>
  <c r="A5883" i="1"/>
  <c r="A5884" i="1" s="1"/>
  <c r="A5886" i="1"/>
  <c r="A5887" i="1" s="1"/>
  <c r="A5888" i="1" s="1"/>
  <c r="A5889" i="1" s="1"/>
  <c r="A5890" i="1" s="1"/>
  <c r="A5891" i="1" s="1"/>
  <c r="A5892" i="1" s="1"/>
  <c r="A5893" i="1" s="1"/>
  <c r="A5895" i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9" i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8" i="1"/>
  <c r="A5929" i="1" s="1"/>
  <c r="A5930" i="1" s="1"/>
  <c r="A5931" i="1" s="1"/>
  <c r="A5932" i="1" s="1"/>
  <c r="A5933" i="1" s="1"/>
  <c r="A5934" i="1" s="1"/>
  <c r="L5846" i="1"/>
  <c r="M5846" i="1"/>
  <c r="L5847" i="1"/>
  <c r="M5847" i="1"/>
  <c r="L5848" i="1"/>
  <c r="M5848" i="1"/>
  <c r="L5849" i="1"/>
  <c r="M5849" i="1"/>
  <c r="L5850" i="1"/>
  <c r="M5850" i="1"/>
  <c r="L5851" i="1"/>
  <c r="M5851" i="1"/>
  <c r="L5852" i="1"/>
  <c r="M5852" i="1"/>
  <c r="L5853" i="1"/>
  <c r="M5853" i="1"/>
  <c r="L5854" i="1"/>
  <c r="M5854" i="1"/>
  <c r="L5855" i="1"/>
  <c r="M5855" i="1"/>
  <c r="L5856" i="1"/>
  <c r="M5856" i="1"/>
  <c r="L5857" i="1"/>
  <c r="M5857" i="1"/>
  <c r="L5858" i="1"/>
  <c r="M5858" i="1"/>
  <c r="L5838" i="1"/>
  <c r="M5838" i="1"/>
  <c r="L5839" i="1"/>
  <c r="M5839" i="1"/>
  <c r="L5840" i="1"/>
  <c r="M5840" i="1"/>
  <c r="L5841" i="1"/>
  <c r="M5841" i="1"/>
  <c r="L5842" i="1"/>
  <c r="M5842" i="1"/>
  <c r="L5843" i="1"/>
  <c r="M5843" i="1"/>
  <c r="L5844" i="1"/>
  <c r="M5844" i="1"/>
  <c r="L5845" i="1"/>
  <c r="M5845" i="1"/>
  <c r="K9440" i="1"/>
  <c r="L5817" i="1"/>
  <c r="M5817" i="1"/>
  <c r="L5818" i="1"/>
  <c r="M5818" i="1"/>
  <c r="L5819" i="1"/>
  <c r="M5819" i="1"/>
  <c r="L5820" i="1"/>
  <c r="M5820" i="1"/>
  <c r="L5821" i="1"/>
  <c r="M5821" i="1"/>
  <c r="L5822" i="1"/>
  <c r="M5822" i="1"/>
  <c r="L5823" i="1"/>
  <c r="M5823" i="1"/>
  <c r="L5824" i="1"/>
  <c r="M5824" i="1"/>
  <c r="L5825" i="1"/>
  <c r="M5825" i="1"/>
  <c r="L5826" i="1"/>
  <c r="M5826" i="1"/>
  <c r="L5827" i="1"/>
  <c r="M5827" i="1"/>
  <c r="L5828" i="1"/>
  <c r="M5828" i="1"/>
  <c r="L5829" i="1"/>
  <c r="M5829" i="1"/>
  <c r="L5830" i="1"/>
  <c r="M5830" i="1"/>
  <c r="L5831" i="1"/>
  <c r="M5831" i="1"/>
  <c r="L5832" i="1"/>
  <c r="M5832" i="1"/>
  <c r="L5833" i="1"/>
  <c r="M5833" i="1"/>
  <c r="L5834" i="1"/>
  <c r="M5834" i="1"/>
  <c r="L5835" i="1"/>
  <c r="M5835" i="1"/>
  <c r="L5836" i="1"/>
  <c r="M5836" i="1"/>
  <c r="L5837" i="1"/>
  <c r="M5837" i="1"/>
  <c r="K6112" i="1"/>
  <c r="H6112" i="1"/>
  <c r="G6112" i="1"/>
  <c r="E6112" i="1"/>
  <c r="D6112" i="1"/>
  <c r="O6112" i="1" s="1"/>
  <c r="C6112" i="1"/>
  <c r="L5804" i="1"/>
  <c r="M5804" i="1"/>
  <c r="L5805" i="1"/>
  <c r="M5805" i="1"/>
  <c r="L5806" i="1"/>
  <c r="M5806" i="1"/>
  <c r="L5807" i="1"/>
  <c r="M5807" i="1"/>
  <c r="L5808" i="1"/>
  <c r="M5808" i="1"/>
  <c r="L5809" i="1"/>
  <c r="M5809" i="1"/>
  <c r="L5810" i="1"/>
  <c r="M5810" i="1"/>
  <c r="L5811" i="1"/>
  <c r="M5811" i="1"/>
  <c r="L5812" i="1"/>
  <c r="M5812" i="1"/>
  <c r="L5813" i="1"/>
  <c r="M5813" i="1"/>
  <c r="L5814" i="1"/>
  <c r="M5814" i="1"/>
  <c r="L5815" i="1"/>
  <c r="M5815" i="1"/>
  <c r="L5816" i="1"/>
  <c r="M5816" i="1"/>
  <c r="F6112" i="1"/>
  <c r="D5800" i="1"/>
  <c r="O5800" i="1" s="1"/>
  <c r="M5803" i="1"/>
  <c r="L5803" i="1"/>
  <c r="A5803" i="1"/>
  <c r="A5804" i="1" s="1"/>
  <c r="M5802" i="1"/>
  <c r="A5792" i="1"/>
  <c r="A5793" i="1" s="1"/>
  <c r="A5794" i="1" s="1"/>
  <c r="A5795" i="1" s="1"/>
  <c r="A5796" i="1" s="1"/>
  <c r="A5797" i="1" s="1"/>
  <c r="A5798" i="1" s="1"/>
  <c r="A5799" i="1" s="1"/>
  <c r="L5792" i="1"/>
  <c r="M5792" i="1"/>
  <c r="L5793" i="1"/>
  <c r="M5793" i="1"/>
  <c r="L5794" i="1"/>
  <c r="M5794" i="1"/>
  <c r="L5795" i="1"/>
  <c r="M5795" i="1"/>
  <c r="L5796" i="1"/>
  <c r="M5796" i="1"/>
  <c r="L5797" i="1"/>
  <c r="M5797" i="1"/>
  <c r="L5798" i="1"/>
  <c r="M5798" i="1"/>
  <c r="L5799" i="1"/>
  <c r="M5799" i="1"/>
  <c r="L5775" i="1"/>
  <c r="M5775" i="1"/>
  <c r="L5776" i="1"/>
  <c r="M5776" i="1"/>
  <c r="L5777" i="1"/>
  <c r="M5777" i="1"/>
  <c r="L5778" i="1"/>
  <c r="M5778" i="1"/>
  <c r="L5779" i="1"/>
  <c r="M5779" i="1"/>
  <c r="L5780" i="1"/>
  <c r="M5780" i="1"/>
  <c r="L5781" i="1"/>
  <c r="M5781" i="1"/>
  <c r="L5782" i="1"/>
  <c r="M5782" i="1"/>
  <c r="L5783" i="1"/>
  <c r="M5783" i="1"/>
  <c r="L5784" i="1"/>
  <c r="M5784" i="1"/>
  <c r="L5785" i="1"/>
  <c r="M5785" i="1"/>
  <c r="L5786" i="1"/>
  <c r="M5786" i="1"/>
  <c r="L5787" i="1"/>
  <c r="M5787" i="1"/>
  <c r="L5788" i="1"/>
  <c r="M5788" i="1"/>
  <c r="L5789" i="1"/>
  <c r="M5789" i="1"/>
  <c r="L5790" i="1"/>
  <c r="M5790" i="1"/>
  <c r="L5791" i="1"/>
  <c r="M5791" i="1"/>
  <c r="L5751" i="1"/>
  <c r="M5751" i="1"/>
  <c r="L5752" i="1"/>
  <c r="M5752" i="1"/>
  <c r="L5753" i="1"/>
  <c r="M5753" i="1"/>
  <c r="L5754" i="1"/>
  <c r="M5754" i="1"/>
  <c r="L5755" i="1"/>
  <c r="M5755" i="1"/>
  <c r="L5756" i="1"/>
  <c r="M5756" i="1"/>
  <c r="L5757" i="1"/>
  <c r="M5757" i="1"/>
  <c r="L5758" i="1"/>
  <c r="M5758" i="1"/>
  <c r="L5759" i="1"/>
  <c r="M5759" i="1"/>
  <c r="L5760" i="1"/>
  <c r="M5760" i="1"/>
  <c r="L5761" i="1"/>
  <c r="M5761" i="1"/>
  <c r="L5762" i="1"/>
  <c r="M5762" i="1"/>
  <c r="L5763" i="1"/>
  <c r="M5763" i="1"/>
  <c r="L5764" i="1"/>
  <c r="M5764" i="1"/>
  <c r="L5765" i="1"/>
  <c r="M5765" i="1"/>
  <c r="L5766" i="1"/>
  <c r="M5766" i="1"/>
  <c r="L5767" i="1"/>
  <c r="M5767" i="1"/>
  <c r="L5768" i="1"/>
  <c r="M5768" i="1"/>
  <c r="L5769" i="1"/>
  <c r="M5769" i="1"/>
  <c r="L5770" i="1"/>
  <c r="M5770" i="1"/>
  <c r="L5771" i="1"/>
  <c r="M5771" i="1"/>
  <c r="L5772" i="1"/>
  <c r="M5772" i="1"/>
  <c r="L5773" i="1"/>
  <c r="M5773" i="1"/>
  <c r="L5774" i="1"/>
  <c r="M5774" i="1"/>
  <c r="L5735" i="1"/>
  <c r="M5735" i="1"/>
  <c r="L5736" i="1"/>
  <c r="M5736" i="1"/>
  <c r="L5737" i="1"/>
  <c r="M5737" i="1"/>
  <c r="L5738" i="1"/>
  <c r="M5738" i="1"/>
  <c r="L5739" i="1"/>
  <c r="M5739" i="1"/>
  <c r="L5740" i="1"/>
  <c r="M5740" i="1"/>
  <c r="L5741" i="1"/>
  <c r="M5741" i="1"/>
  <c r="L5742" i="1"/>
  <c r="M5742" i="1"/>
  <c r="L5743" i="1"/>
  <c r="M5743" i="1"/>
  <c r="L5744" i="1"/>
  <c r="M5744" i="1"/>
  <c r="L5745" i="1"/>
  <c r="M5745" i="1"/>
  <c r="L5746" i="1"/>
  <c r="M5746" i="1"/>
  <c r="L5747" i="1"/>
  <c r="M5747" i="1"/>
  <c r="L5748" i="1"/>
  <c r="M5748" i="1"/>
  <c r="L5749" i="1"/>
  <c r="M5749" i="1"/>
  <c r="L5750" i="1"/>
  <c r="M5750" i="1"/>
  <c r="A5819" i="1"/>
  <c r="A5821" i="1"/>
  <c r="A5823" i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6" i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1" i="1"/>
  <c r="A5852" i="1" s="1"/>
  <c r="A5853" i="1" s="1"/>
  <c r="A5854" i="1" s="1"/>
  <c r="A5855" i="1" s="1"/>
  <c r="A5856" i="1" s="1"/>
  <c r="A5857" i="1" s="1"/>
  <c r="A5858" i="1" s="1"/>
  <c r="A5859" i="1" s="1"/>
  <c r="A5861" i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3" i="1"/>
  <c r="A5874" i="1" s="1"/>
  <c r="A5875" i="1" s="1"/>
  <c r="A5876" i="1" s="1"/>
  <c r="A5877" i="1" s="1"/>
  <c r="A5878" i="1" s="1"/>
  <c r="A5879" i="1" s="1"/>
  <c r="A5880" i="1" s="1"/>
  <c r="A5881" i="1" s="1"/>
  <c r="L5717" i="1"/>
  <c r="M5717" i="1"/>
  <c r="L5718" i="1"/>
  <c r="M5718" i="1"/>
  <c r="L5719" i="1"/>
  <c r="M5719" i="1"/>
  <c r="L5720" i="1"/>
  <c r="M5720" i="1"/>
  <c r="L5721" i="1"/>
  <c r="M5721" i="1"/>
  <c r="L5722" i="1"/>
  <c r="M5722" i="1"/>
  <c r="L5723" i="1"/>
  <c r="M5723" i="1"/>
  <c r="L5724" i="1"/>
  <c r="M5724" i="1"/>
  <c r="L5725" i="1"/>
  <c r="M5725" i="1"/>
  <c r="L5726" i="1"/>
  <c r="M5726" i="1"/>
  <c r="L5727" i="1"/>
  <c r="M5727" i="1"/>
  <c r="L5728" i="1"/>
  <c r="M5728" i="1"/>
  <c r="L5729" i="1"/>
  <c r="M5729" i="1"/>
  <c r="L5730" i="1"/>
  <c r="M5730" i="1"/>
  <c r="L5731" i="1"/>
  <c r="M5731" i="1"/>
  <c r="L5732" i="1"/>
  <c r="M5732" i="1"/>
  <c r="L5733" i="1"/>
  <c r="M5733" i="1"/>
  <c r="L5734" i="1"/>
  <c r="M5734" i="1"/>
  <c r="L5706" i="1"/>
  <c r="M5706" i="1"/>
  <c r="L5707" i="1"/>
  <c r="M5707" i="1"/>
  <c r="L5708" i="1"/>
  <c r="M5708" i="1"/>
  <c r="L5709" i="1"/>
  <c r="M5709" i="1"/>
  <c r="L5710" i="1"/>
  <c r="M5710" i="1"/>
  <c r="L5711" i="1"/>
  <c r="M5711" i="1"/>
  <c r="L5712" i="1"/>
  <c r="M5712" i="1"/>
  <c r="L5713" i="1"/>
  <c r="M5713" i="1"/>
  <c r="L5714" i="1"/>
  <c r="M5714" i="1"/>
  <c r="L5715" i="1"/>
  <c r="M5715" i="1"/>
  <c r="L5716" i="1"/>
  <c r="M5716" i="1"/>
  <c r="L5691" i="1"/>
  <c r="M5691" i="1"/>
  <c r="L5692" i="1"/>
  <c r="M5692" i="1"/>
  <c r="L5693" i="1"/>
  <c r="M5693" i="1"/>
  <c r="L5694" i="1"/>
  <c r="M5694" i="1"/>
  <c r="L5695" i="1"/>
  <c r="M5695" i="1"/>
  <c r="L5696" i="1"/>
  <c r="M5696" i="1"/>
  <c r="L5697" i="1"/>
  <c r="M5697" i="1"/>
  <c r="L5698" i="1"/>
  <c r="M5698" i="1"/>
  <c r="L5699" i="1"/>
  <c r="M5699" i="1"/>
  <c r="L5700" i="1"/>
  <c r="M5700" i="1"/>
  <c r="L5701" i="1"/>
  <c r="M5701" i="1"/>
  <c r="L5702" i="1"/>
  <c r="M5702" i="1"/>
  <c r="L5703" i="1"/>
  <c r="M5703" i="1"/>
  <c r="L5704" i="1"/>
  <c r="M5704" i="1"/>
  <c r="L5705" i="1"/>
  <c r="M5705" i="1"/>
  <c r="L5683" i="1"/>
  <c r="M5683" i="1"/>
  <c r="L5684" i="1"/>
  <c r="M5684" i="1"/>
  <c r="L5685" i="1"/>
  <c r="M5685" i="1"/>
  <c r="L5686" i="1"/>
  <c r="M5686" i="1"/>
  <c r="L5687" i="1"/>
  <c r="M5687" i="1"/>
  <c r="L5688" i="1"/>
  <c r="M5688" i="1"/>
  <c r="L5689" i="1"/>
  <c r="M5689" i="1"/>
  <c r="L5690" i="1"/>
  <c r="M5690" i="1"/>
  <c r="L5663" i="1"/>
  <c r="M5663" i="1"/>
  <c r="L5664" i="1"/>
  <c r="M5664" i="1"/>
  <c r="L5665" i="1"/>
  <c r="M5665" i="1"/>
  <c r="L5666" i="1"/>
  <c r="M5666" i="1"/>
  <c r="L5667" i="1"/>
  <c r="M5667" i="1"/>
  <c r="L5668" i="1"/>
  <c r="M5668" i="1"/>
  <c r="L5669" i="1"/>
  <c r="M5669" i="1"/>
  <c r="L5670" i="1"/>
  <c r="M5670" i="1"/>
  <c r="L5671" i="1"/>
  <c r="M5671" i="1"/>
  <c r="L5672" i="1"/>
  <c r="M5672" i="1"/>
  <c r="L5673" i="1"/>
  <c r="M5673" i="1"/>
  <c r="L5674" i="1"/>
  <c r="M5674" i="1"/>
  <c r="L5675" i="1"/>
  <c r="M5675" i="1"/>
  <c r="L5676" i="1"/>
  <c r="M5676" i="1"/>
  <c r="L5677" i="1"/>
  <c r="M5677" i="1"/>
  <c r="L5678" i="1"/>
  <c r="M5678" i="1"/>
  <c r="L5679" i="1"/>
  <c r="M5679" i="1"/>
  <c r="L5680" i="1"/>
  <c r="M5680" i="1"/>
  <c r="L5681" i="1"/>
  <c r="M5681" i="1"/>
  <c r="L5682" i="1"/>
  <c r="M5682" i="1"/>
  <c r="L5642" i="1"/>
  <c r="M5642" i="1"/>
  <c r="L5643" i="1"/>
  <c r="M5643" i="1"/>
  <c r="L5644" i="1"/>
  <c r="M5644" i="1"/>
  <c r="L5645" i="1"/>
  <c r="M5645" i="1"/>
  <c r="L5646" i="1"/>
  <c r="M5646" i="1"/>
  <c r="L5647" i="1"/>
  <c r="M5647" i="1"/>
  <c r="L5648" i="1"/>
  <c r="M5648" i="1"/>
  <c r="L5649" i="1"/>
  <c r="M5649" i="1"/>
  <c r="L5650" i="1"/>
  <c r="M5650" i="1"/>
  <c r="L5651" i="1"/>
  <c r="M5651" i="1"/>
  <c r="L5652" i="1"/>
  <c r="M5652" i="1"/>
  <c r="L5653" i="1"/>
  <c r="M5653" i="1"/>
  <c r="L5654" i="1"/>
  <c r="M5654" i="1"/>
  <c r="L5655" i="1"/>
  <c r="M5655" i="1"/>
  <c r="L5656" i="1"/>
  <c r="M5656" i="1"/>
  <c r="L5657" i="1"/>
  <c r="M5657" i="1"/>
  <c r="L5658" i="1"/>
  <c r="M5658" i="1"/>
  <c r="L5659" i="1"/>
  <c r="M5659" i="1"/>
  <c r="L5660" i="1"/>
  <c r="M5660" i="1"/>
  <c r="L5661" i="1"/>
  <c r="M5661" i="1"/>
  <c r="L5662" i="1"/>
  <c r="M5662" i="1"/>
  <c r="L5627" i="1"/>
  <c r="M5627" i="1"/>
  <c r="L5628" i="1"/>
  <c r="M5628" i="1"/>
  <c r="L5629" i="1"/>
  <c r="M5629" i="1"/>
  <c r="L5630" i="1"/>
  <c r="M5630" i="1"/>
  <c r="L5631" i="1"/>
  <c r="M5631" i="1"/>
  <c r="L5632" i="1"/>
  <c r="M5632" i="1"/>
  <c r="L5633" i="1"/>
  <c r="M5633" i="1"/>
  <c r="L5634" i="1"/>
  <c r="M5634" i="1"/>
  <c r="L5635" i="1"/>
  <c r="M5635" i="1"/>
  <c r="L5636" i="1"/>
  <c r="M5636" i="1"/>
  <c r="L5637" i="1"/>
  <c r="M5637" i="1"/>
  <c r="L5638" i="1"/>
  <c r="M5638" i="1"/>
  <c r="L5639" i="1"/>
  <c r="M5639" i="1"/>
  <c r="L5640" i="1"/>
  <c r="M5640" i="1"/>
  <c r="L5641" i="1"/>
  <c r="M5641" i="1"/>
  <c r="L5618" i="1"/>
  <c r="M5618" i="1"/>
  <c r="L5619" i="1"/>
  <c r="M5619" i="1"/>
  <c r="L5620" i="1"/>
  <c r="M5620" i="1"/>
  <c r="L5621" i="1"/>
  <c r="M5621" i="1"/>
  <c r="L5622" i="1"/>
  <c r="M5622" i="1"/>
  <c r="L5623" i="1"/>
  <c r="M5623" i="1"/>
  <c r="L5624" i="1"/>
  <c r="M5624" i="1"/>
  <c r="L5625" i="1"/>
  <c r="M5625" i="1"/>
  <c r="L5626" i="1"/>
  <c r="M5626" i="1"/>
  <c r="L5597" i="1"/>
  <c r="M5597" i="1"/>
  <c r="L5598" i="1"/>
  <c r="M5598" i="1"/>
  <c r="L5599" i="1"/>
  <c r="M5599" i="1"/>
  <c r="L5600" i="1"/>
  <c r="M5600" i="1"/>
  <c r="L5601" i="1"/>
  <c r="M5601" i="1"/>
  <c r="L5602" i="1"/>
  <c r="M5602" i="1"/>
  <c r="L5603" i="1"/>
  <c r="M5603" i="1"/>
  <c r="L5604" i="1"/>
  <c r="M5604" i="1"/>
  <c r="L5605" i="1"/>
  <c r="M5605" i="1"/>
  <c r="L5606" i="1"/>
  <c r="M5606" i="1"/>
  <c r="L5607" i="1"/>
  <c r="M5607" i="1"/>
  <c r="L5608" i="1"/>
  <c r="M5608" i="1"/>
  <c r="L5609" i="1"/>
  <c r="M5609" i="1"/>
  <c r="L5610" i="1"/>
  <c r="M5610" i="1"/>
  <c r="L5611" i="1"/>
  <c r="M5611" i="1"/>
  <c r="L5612" i="1"/>
  <c r="M5612" i="1"/>
  <c r="L5613" i="1"/>
  <c r="M5613" i="1"/>
  <c r="L5614" i="1"/>
  <c r="M5614" i="1"/>
  <c r="L5615" i="1"/>
  <c r="M5615" i="1"/>
  <c r="L5616" i="1"/>
  <c r="M5616" i="1"/>
  <c r="L5617" i="1"/>
  <c r="M5617" i="1"/>
  <c r="L5575" i="1"/>
  <c r="M5575" i="1"/>
  <c r="L5576" i="1"/>
  <c r="M5576" i="1"/>
  <c r="L5577" i="1"/>
  <c r="M5577" i="1"/>
  <c r="L5578" i="1"/>
  <c r="M5578" i="1"/>
  <c r="L5579" i="1"/>
  <c r="M5579" i="1"/>
  <c r="L5580" i="1"/>
  <c r="M5580" i="1"/>
  <c r="L5581" i="1"/>
  <c r="M5581" i="1"/>
  <c r="L5582" i="1"/>
  <c r="M5582" i="1"/>
  <c r="L5583" i="1"/>
  <c r="M5583" i="1"/>
  <c r="L5584" i="1"/>
  <c r="M5584" i="1"/>
  <c r="L5585" i="1"/>
  <c r="M5585" i="1"/>
  <c r="L5586" i="1"/>
  <c r="M5586" i="1"/>
  <c r="L5587" i="1"/>
  <c r="M5587" i="1"/>
  <c r="L5588" i="1"/>
  <c r="M5588" i="1"/>
  <c r="L5589" i="1"/>
  <c r="M5589" i="1"/>
  <c r="L5590" i="1"/>
  <c r="M5590" i="1"/>
  <c r="L5591" i="1"/>
  <c r="M5591" i="1"/>
  <c r="L5592" i="1"/>
  <c r="M5592" i="1"/>
  <c r="L5593" i="1"/>
  <c r="M5593" i="1"/>
  <c r="L5594" i="1"/>
  <c r="M5594" i="1"/>
  <c r="L5595" i="1"/>
  <c r="M5595" i="1"/>
  <c r="L5596" i="1"/>
  <c r="M5596" i="1"/>
  <c r="L5545" i="1"/>
  <c r="M5545" i="1"/>
  <c r="L5546" i="1"/>
  <c r="M5546" i="1"/>
  <c r="L5547" i="1"/>
  <c r="M5547" i="1"/>
  <c r="L5548" i="1"/>
  <c r="M5548" i="1"/>
  <c r="L5549" i="1"/>
  <c r="M5549" i="1"/>
  <c r="L5550" i="1"/>
  <c r="M5550" i="1"/>
  <c r="L5551" i="1"/>
  <c r="M5551" i="1"/>
  <c r="L5552" i="1"/>
  <c r="M5552" i="1"/>
  <c r="L5553" i="1"/>
  <c r="M5553" i="1"/>
  <c r="L5554" i="1"/>
  <c r="M5554" i="1"/>
  <c r="L5555" i="1"/>
  <c r="M5555" i="1"/>
  <c r="L5556" i="1"/>
  <c r="M5556" i="1"/>
  <c r="L5557" i="1"/>
  <c r="M5557" i="1"/>
  <c r="L5558" i="1"/>
  <c r="M5558" i="1"/>
  <c r="L5559" i="1"/>
  <c r="M5559" i="1"/>
  <c r="L5560" i="1"/>
  <c r="M5560" i="1"/>
  <c r="L5561" i="1"/>
  <c r="M5561" i="1"/>
  <c r="L5562" i="1"/>
  <c r="M5562" i="1"/>
  <c r="L5563" i="1"/>
  <c r="M5563" i="1"/>
  <c r="L5564" i="1"/>
  <c r="M5564" i="1"/>
  <c r="L5565" i="1"/>
  <c r="M5565" i="1"/>
  <c r="L5566" i="1"/>
  <c r="M5566" i="1"/>
  <c r="L5567" i="1"/>
  <c r="M5567" i="1"/>
  <c r="L5568" i="1"/>
  <c r="M5568" i="1"/>
  <c r="L5569" i="1"/>
  <c r="M5569" i="1"/>
  <c r="L5570" i="1"/>
  <c r="M5570" i="1"/>
  <c r="L5571" i="1"/>
  <c r="M5571" i="1"/>
  <c r="L5572" i="1"/>
  <c r="M5572" i="1"/>
  <c r="L5573" i="1"/>
  <c r="M5573" i="1"/>
  <c r="L5574" i="1"/>
  <c r="M5574" i="1"/>
  <c r="A5668" i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5" i="1"/>
  <c r="A5686" i="1" s="1"/>
  <c r="A5687" i="1" s="1"/>
  <c r="A5688" i="1" s="1"/>
  <c r="A5689" i="1" s="1"/>
  <c r="A5690" i="1" s="1"/>
  <c r="A5691" i="1" s="1"/>
  <c r="A5692" i="1" s="1"/>
  <c r="A5693" i="1" s="1"/>
  <c r="A5695" i="1"/>
  <c r="A5696" i="1" s="1"/>
  <c r="A5697" i="1" s="1"/>
  <c r="A5698" i="1" s="1"/>
  <c r="A5699" i="1" s="1"/>
  <c r="A5700" i="1" s="1"/>
  <c r="A5701" i="1" s="1"/>
  <c r="A5702" i="1" s="1"/>
  <c r="A5704" i="1"/>
  <c r="A5705" i="1" s="1"/>
  <c r="A5706" i="1" s="1"/>
  <c r="A5708" i="1"/>
  <c r="A5709" i="1" s="1"/>
  <c r="A5710" i="1" s="1"/>
  <c r="A5711" i="1" s="1"/>
  <c r="A5712" i="1" s="1"/>
  <c r="A5713" i="1" s="1"/>
  <c r="A5714" i="1" s="1"/>
  <c r="A5715" i="1" s="1"/>
  <c r="A5716" i="1" s="1"/>
  <c r="A5717" i="1" s="1"/>
  <c r="A5635" i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6" i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719" i="1"/>
  <c r="A5720" i="1" s="1"/>
  <c r="A5721" i="1" s="1"/>
  <c r="A5722" i="1" s="1"/>
  <c r="A5723" i="1" s="1"/>
  <c r="A5724" i="1" s="1"/>
  <c r="A5725" i="1" s="1"/>
  <c r="A5726" i="1" s="1"/>
  <c r="A5727" i="1" s="1"/>
  <c r="A5728" i="1" s="1"/>
  <c r="A5730" i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2" i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7" i="1"/>
  <c r="A5758" i="1" s="1"/>
  <c r="A5759" i="1" s="1"/>
  <c r="A5760" i="1" s="1"/>
  <c r="A5761" i="1" s="1"/>
  <c r="A5762" i="1" s="1"/>
  <c r="A5763" i="1" s="1"/>
  <c r="A5765" i="1"/>
  <c r="A5766" i="1" s="1"/>
  <c r="A5767" i="1" s="1"/>
  <c r="A5768" i="1" s="1"/>
  <c r="A5769" i="1" s="1"/>
  <c r="A5770" i="1" s="1"/>
  <c r="A5771" i="1" s="1"/>
  <c r="A5772" i="1" s="1"/>
  <c r="A5775" i="1"/>
  <c r="A5776" i="1" s="1"/>
  <c r="A5777" i="1" s="1"/>
  <c r="A5779" i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598" i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9" i="1"/>
  <c r="A5610" i="1" s="1"/>
  <c r="A5611" i="1" s="1"/>
  <c r="A5612" i="1" s="1"/>
  <c r="A5613" i="1" s="1"/>
  <c r="A5614" i="1" s="1"/>
  <c r="A5615" i="1" s="1"/>
  <c r="A5617" i="1"/>
  <c r="A5618" i="1" s="1"/>
  <c r="A5619" i="1" s="1"/>
  <c r="A5620" i="1" s="1"/>
  <c r="A5622" i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569" i="1"/>
  <c r="A5570" i="1" s="1"/>
  <c r="A5571" i="1" s="1"/>
  <c r="A5572" i="1" s="1"/>
  <c r="A5574" i="1"/>
  <c r="A5575" i="1" s="1"/>
  <c r="A5576" i="1" s="1"/>
  <c r="A5577" i="1" s="1"/>
  <c r="A5578" i="1" s="1"/>
  <c r="A5579" i="1" s="1"/>
  <c r="A5580" i="1" s="1"/>
  <c r="A5581" i="1" s="1"/>
  <c r="A5582" i="1" s="1"/>
  <c r="A5584" i="1"/>
  <c r="A5585" i="1" s="1"/>
  <c r="A5586" i="1" s="1"/>
  <c r="A5587" i="1" s="1"/>
  <c r="A5588" i="1" s="1"/>
  <c r="A5589" i="1" s="1"/>
  <c r="A5590" i="1" s="1"/>
  <c r="A5591" i="1" s="1"/>
  <c r="A5593" i="1"/>
  <c r="A5594" i="1" s="1"/>
  <c r="A5595" i="1" s="1"/>
  <c r="A5596" i="1" s="1"/>
  <c r="L5540" i="1"/>
  <c r="M5540" i="1"/>
  <c r="L5541" i="1"/>
  <c r="M5541" i="1"/>
  <c r="L5542" i="1"/>
  <c r="M5542" i="1"/>
  <c r="L5543" i="1"/>
  <c r="M5543" i="1"/>
  <c r="L5544" i="1"/>
  <c r="M5544" i="1"/>
  <c r="L5518" i="1"/>
  <c r="M5518" i="1"/>
  <c r="L5519" i="1"/>
  <c r="M5519" i="1"/>
  <c r="L5520" i="1"/>
  <c r="M5520" i="1"/>
  <c r="L5521" i="1"/>
  <c r="M5521" i="1"/>
  <c r="L5522" i="1"/>
  <c r="M5522" i="1"/>
  <c r="L5523" i="1"/>
  <c r="M5523" i="1"/>
  <c r="L5524" i="1"/>
  <c r="M5524" i="1"/>
  <c r="L5525" i="1"/>
  <c r="M5525" i="1"/>
  <c r="L5526" i="1"/>
  <c r="M5526" i="1"/>
  <c r="L5527" i="1"/>
  <c r="M5527" i="1"/>
  <c r="L5528" i="1"/>
  <c r="M5528" i="1"/>
  <c r="L5529" i="1"/>
  <c r="M5529" i="1"/>
  <c r="L5530" i="1"/>
  <c r="M5530" i="1"/>
  <c r="L5531" i="1"/>
  <c r="M5531" i="1"/>
  <c r="L5532" i="1"/>
  <c r="M5532" i="1"/>
  <c r="L5533" i="1"/>
  <c r="M5533" i="1"/>
  <c r="L5534" i="1"/>
  <c r="M5534" i="1"/>
  <c r="L5535" i="1"/>
  <c r="M5535" i="1"/>
  <c r="L5536" i="1"/>
  <c r="M5536" i="1"/>
  <c r="L5537" i="1"/>
  <c r="M5537" i="1"/>
  <c r="L5538" i="1"/>
  <c r="M5538" i="1"/>
  <c r="L5539" i="1"/>
  <c r="M5539" i="1"/>
  <c r="K5800" i="1"/>
  <c r="E5800" i="1"/>
  <c r="H5800" i="1"/>
  <c r="G5800" i="1"/>
  <c r="A5522" i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8" i="1"/>
  <c r="A5539" i="1" s="1"/>
  <c r="A5540" i="1" s="1"/>
  <c r="A5541" i="1" s="1"/>
  <c r="A5542" i="1" s="1"/>
  <c r="A5544" i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9" i="1"/>
  <c r="A5560" i="1" s="1"/>
  <c r="A5561" i="1" s="1"/>
  <c r="A5562" i="1" s="1"/>
  <c r="A5563" i="1" s="1"/>
  <c r="A5564" i="1" s="1"/>
  <c r="A5565" i="1" s="1"/>
  <c r="A5566" i="1" s="1"/>
  <c r="A5567" i="1" s="1"/>
  <c r="H5502" i="1"/>
  <c r="L5506" i="1"/>
  <c r="M5506" i="1"/>
  <c r="L5507" i="1"/>
  <c r="M5507" i="1"/>
  <c r="L5508" i="1"/>
  <c r="M5508" i="1"/>
  <c r="L5509" i="1"/>
  <c r="M5509" i="1"/>
  <c r="L5510" i="1"/>
  <c r="M5510" i="1"/>
  <c r="L5511" i="1"/>
  <c r="M5511" i="1"/>
  <c r="L5512" i="1"/>
  <c r="M5512" i="1"/>
  <c r="L5513" i="1"/>
  <c r="M5513" i="1"/>
  <c r="L5514" i="1"/>
  <c r="M5514" i="1"/>
  <c r="L5515" i="1"/>
  <c r="M5515" i="1"/>
  <c r="L5516" i="1"/>
  <c r="M5516" i="1"/>
  <c r="L5517" i="1"/>
  <c r="M5517" i="1"/>
  <c r="A5505" i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F5800" i="1"/>
  <c r="M5505" i="1"/>
  <c r="L5505" i="1"/>
  <c r="M5504" i="1"/>
  <c r="L5500" i="1"/>
  <c r="M5500" i="1"/>
  <c r="L5499" i="1"/>
  <c r="M5499" i="1"/>
  <c r="L5486" i="1"/>
  <c r="M5486" i="1"/>
  <c r="L5487" i="1"/>
  <c r="M5487" i="1"/>
  <c r="L5488" i="1"/>
  <c r="M5488" i="1"/>
  <c r="L5489" i="1"/>
  <c r="M5489" i="1"/>
  <c r="L5490" i="1"/>
  <c r="M5490" i="1"/>
  <c r="L5491" i="1"/>
  <c r="M5491" i="1"/>
  <c r="L5492" i="1"/>
  <c r="M5492" i="1"/>
  <c r="L5493" i="1"/>
  <c r="M5493" i="1"/>
  <c r="L5494" i="1"/>
  <c r="M5494" i="1"/>
  <c r="L5495" i="1"/>
  <c r="M5495" i="1"/>
  <c r="L5496" i="1"/>
  <c r="M5496" i="1"/>
  <c r="L5497" i="1"/>
  <c r="M5497" i="1"/>
  <c r="L5498" i="1"/>
  <c r="M5498" i="1"/>
  <c r="L5473" i="1"/>
  <c r="M5473" i="1"/>
  <c r="L5474" i="1"/>
  <c r="M5474" i="1"/>
  <c r="L5475" i="1"/>
  <c r="M5475" i="1"/>
  <c r="L5476" i="1"/>
  <c r="M5476" i="1"/>
  <c r="L5477" i="1"/>
  <c r="M5477" i="1"/>
  <c r="L5478" i="1"/>
  <c r="M5478" i="1"/>
  <c r="L5479" i="1"/>
  <c r="M5479" i="1"/>
  <c r="L5480" i="1"/>
  <c r="M5480" i="1"/>
  <c r="L5481" i="1"/>
  <c r="M5481" i="1"/>
  <c r="L5482" i="1"/>
  <c r="M5482" i="1"/>
  <c r="L5483" i="1"/>
  <c r="M5483" i="1"/>
  <c r="L5484" i="1"/>
  <c r="M5484" i="1"/>
  <c r="L5485" i="1"/>
  <c r="M5485" i="1"/>
  <c r="L5457" i="1"/>
  <c r="M5457" i="1"/>
  <c r="L5458" i="1"/>
  <c r="M5458" i="1"/>
  <c r="L5459" i="1"/>
  <c r="M5459" i="1"/>
  <c r="L5460" i="1"/>
  <c r="M5460" i="1"/>
  <c r="L5461" i="1"/>
  <c r="M5461" i="1"/>
  <c r="L5462" i="1"/>
  <c r="M5462" i="1"/>
  <c r="L5463" i="1"/>
  <c r="M5463" i="1"/>
  <c r="L5464" i="1"/>
  <c r="M5464" i="1"/>
  <c r="L5465" i="1"/>
  <c r="M5465" i="1"/>
  <c r="L5466" i="1"/>
  <c r="M5466" i="1"/>
  <c r="L5467" i="1"/>
  <c r="M5467" i="1"/>
  <c r="L5468" i="1"/>
  <c r="M5468" i="1"/>
  <c r="L5469" i="1"/>
  <c r="M5469" i="1"/>
  <c r="L5470" i="1"/>
  <c r="M5470" i="1"/>
  <c r="L5471" i="1"/>
  <c r="M5471" i="1"/>
  <c r="L5472" i="1"/>
  <c r="M5472" i="1"/>
  <c r="A5458" i="1"/>
  <c r="A5459" i="1" s="1"/>
  <c r="A5460" i="1" s="1"/>
  <c r="A5461" i="1" s="1"/>
  <c r="A5462" i="1" s="1"/>
  <c r="A5463" i="1" s="1"/>
  <c r="A5464" i="1" s="1"/>
  <c r="A5465" i="1" s="1"/>
  <c r="A5466" i="1" s="1"/>
  <c r="A5468" i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L5444" i="1"/>
  <c r="M5444" i="1"/>
  <c r="L5445" i="1"/>
  <c r="M5445" i="1"/>
  <c r="L5446" i="1"/>
  <c r="M5446" i="1"/>
  <c r="L5447" i="1"/>
  <c r="M5447" i="1"/>
  <c r="L5448" i="1"/>
  <c r="M5448" i="1"/>
  <c r="L5449" i="1"/>
  <c r="M5449" i="1"/>
  <c r="L5450" i="1"/>
  <c r="M5450" i="1"/>
  <c r="L5451" i="1"/>
  <c r="M5451" i="1"/>
  <c r="L5452" i="1"/>
  <c r="M5452" i="1"/>
  <c r="L5453" i="1"/>
  <c r="M5453" i="1"/>
  <c r="L5454" i="1"/>
  <c r="M5454" i="1"/>
  <c r="L5455" i="1"/>
  <c r="M5455" i="1"/>
  <c r="L5456" i="1"/>
  <c r="M5456" i="1"/>
  <c r="L5430" i="1"/>
  <c r="M5430" i="1"/>
  <c r="L5431" i="1"/>
  <c r="M5431" i="1"/>
  <c r="L5432" i="1"/>
  <c r="M5432" i="1"/>
  <c r="L5433" i="1"/>
  <c r="M5433" i="1"/>
  <c r="L5434" i="1"/>
  <c r="M5434" i="1"/>
  <c r="L5435" i="1"/>
  <c r="M5435" i="1"/>
  <c r="L5436" i="1"/>
  <c r="M5436" i="1"/>
  <c r="L5437" i="1"/>
  <c r="M5437" i="1"/>
  <c r="L5438" i="1"/>
  <c r="M5438" i="1"/>
  <c r="L5439" i="1"/>
  <c r="M5439" i="1"/>
  <c r="L5440" i="1"/>
  <c r="M5440" i="1"/>
  <c r="L5441" i="1"/>
  <c r="M5441" i="1"/>
  <c r="L5442" i="1"/>
  <c r="M5442" i="1"/>
  <c r="L5443" i="1"/>
  <c r="M5443" i="1"/>
  <c r="A5430" i="1"/>
  <c r="A5431" i="1" s="1"/>
  <c r="A5432" i="1" s="1"/>
  <c r="A5433" i="1" s="1"/>
  <c r="A5435" i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7" i="1"/>
  <c r="A5448" i="1" s="1"/>
  <c r="A5449" i="1" s="1"/>
  <c r="A5450" i="1" s="1"/>
  <c r="A5451" i="1" s="1"/>
  <c r="A5452" i="1" s="1"/>
  <c r="A5453" i="1" s="1"/>
  <c r="A5454" i="1" s="1"/>
  <c r="A5455" i="1" s="1"/>
  <c r="A5456" i="1" s="1"/>
  <c r="L5420" i="1"/>
  <c r="M5420" i="1"/>
  <c r="L5421" i="1"/>
  <c r="M5421" i="1"/>
  <c r="L5422" i="1"/>
  <c r="M5422" i="1"/>
  <c r="L5423" i="1"/>
  <c r="M5423" i="1"/>
  <c r="L5424" i="1"/>
  <c r="M5424" i="1"/>
  <c r="L5425" i="1"/>
  <c r="M5425" i="1"/>
  <c r="L5426" i="1"/>
  <c r="M5426" i="1"/>
  <c r="L5427" i="1"/>
  <c r="M5427" i="1"/>
  <c r="L5428" i="1"/>
  <c r="M5428" i="1"/>
  <c r="L5429" i="1"/>
  <c r="M5429" i="1"/>
  <c r="A5481" i="1"/>
  <c r="A5482" i="1" s="1"/>
  <c r="A5483" i="1" s="1"/>
  <c r="A5484" i="1" s="1"/>
  <c r="A5485" i="1" s="1"/>
  <c r="A5486" i="1" s="1"/>
  <c r="A5487" i="1" s="1"/>
  <c r="A5488" i="1" s="1"/>
  <c r="A5490" i="1"/>
  <c r="A5491" i="1" s="1"/>
  <c r="A5492" i="1" s="1"/>
  <c r="A5493" i="1" s="1"/>
  <c r="A5494" i="1" s="1"/>
  <c r="A5495" i="1" s="1"/>
  <c r="A5496" i="1" s="1"/>
  <c r="A5497" i="1" s="1"/>
  <c r="L5399" i="1"/>
  <c r="M5399" i="1"/>
  <c r="L5400" i="1"/>
  <c r="M5400" i="1"/>
  <c r="L5401" i="1"/>
  <c r="M5401" i="1"/>
  <c r="L5402" i="1"/>
  <c r="M5402" i="1"/>
  <c r="L5403" i="1"/>
  <c r="M5403" i="1"/>
  <c r="L5404" i="1"/>
  <c r="M5404" i="1"/>
  <c r="L5405" i="1"/>
  <c r="M5405" i="1"/>
  <c r="L5406" i="1"/>
  <c r="M5406" i="1"/>
  <c r="L5407" i="1"/>
  <c r="M5407" i="1"/>
  <c r="L5408" i="1"/>
  <c r="M5408" i="1"/>
  <c r="L5409" i="1"/>
  <c r="M5409" i="1"/>
  <c r="L5410" i="1"/>
  <c r="M5410" i="1"/>
  <c r="L5411" i="1"/>
  <c r="M5411" i="1"/>
  <c r="L5412" i="1"/>
  <c r="M5412" i="1"/>
  <c r="L5413" i="1"/>
  <c r="M5413" i="1"/>
  <c r="L5414" i="1"/>
  <c r="M5414" i="1"/>
  <c r="L5415" i="1"/>
  <c r="M5415" i="1"/>
  <c r="L5416" i="1"/>
  <c r="M5416" i="1"/>
  <c r="L5417" i="1"/>
  <c r="M5417" i="1"/>
  <c r="L5418" i="1"/>
  <c r="M5418" i="1"/>
  <c r="L5419" i="1"/>
  <c r="M5419" i="1"/>
  <c r="L5390" i="1"/>
  <c r="M5390" i="1"/>
  <c r="L5391" i="1"/>
  <c r="M5391" i="1"/>
  <c r="L5392" i="1"/>
  <c r="M5392" i="1"/>
  <c r="L5393" i="1"/>
  <c r="M5393" i="1"/>
  <c r="L5394" i="1"/>
  <c r="M5394" i="1"/>
  <c r="L5395" i="1"/>
  <c r="M5395" i="1"/>
  <c r="L5396" i="1"/>
  <c r="M5396" i="1"/>
  <c r="L5397" i="1"/>
  <c r="M5397" i="1"/>
  <c r="L5398" i="1"/>
  <c r="M5398" i="1"/>
  <c r="L5382" i="1"/>
  <c r="M5382" i="1"/>
  <c r="L5383" i="1"/>
  <c r="M5383" i="1"/>
  <c r="L5384" i="1"/>
  <c r="M5384" i="1"/>
  <c r="L5385" i="1"/>
  <c r="M5385" i="1"/>
  <c r="L5386" i="1"/>
  <c r="M5386" i="1"/>
  <c r="L5387" i="1"/>
  <c r="M5387" i="1"/>
  <c r="L5388" i="1"/>
  <c r="M5388" i="1"/>
  <c r="L5389" i="1"/>
  <c r="M5389" i="1"/>
  <c r="L5367" i="1"/>
  <c r="M5367" i="1"/>
  <c r="L5368" i="1"/>
  <c r="M5368" i="1"/>
  <c r="L5369" i="1"/>
  <c r="M5369" i="1"/>
  <c r="L5370" i="1"/>
  <c r="M5370" i="1"/>
  <c r="L5371" i="1"/>
  <c r="M5371" i="1"/>
  <c r="L5372" i="1"/>
  <c r="M5372" i="1"/>
  <c r="L5373" i="1"/>
  <c r="M5373" i="1"/>
  <c r="L5374" i="1"/>
  <c r="M5374" i="1"/>
  <c r="L5375" i="1"/>
  <c r="M5375" i="1"/>
  <c r="L5376" i="1"/>
  <c r="M5376" i="1"/>
  <c r="L5377" i="1"/>
  <c r="M5377" i="1"/>
  <c r="L5378" i="1"/>
  <c r="M5378" i="1"/>
  <c r="L5379" i="1"/>
  <c r="M5379" i="1"/>
  <c r="L5380" i="1"/>
  <c r="M5380" i="1"/>
  <c r="L5381" i="1"/>
  <c r="M5381" i="1"/>
  <c r="L5366" i="1"/>
  <c r="M5366" i="1"/>
  <c r="L5365" i="1"/>
  <c r="M5365" i="1"/>
  <c r="A5383" i="1"/>
  <c r="A5384" i="1" s="1"/>
  <c r="A5385" i="1" s="1"/>
  <c r="A5386" i="1" s="1"/>
  <c r="A5387" i="1" s="1"/>
  <c r="A5388" i="1" s="1"/>
  <c r="A5389" i="1" s="1"/>
  <c r="A5390" i="1" s="1"/>
  <c r="A5391" i="1" s="1"/>
  <c r="A5393" i="1"/>
  <c r="A5394" i="1" s="1"/>
  <c r="A5395" i="1" s="1"/>
  <c r="A5396" i="1" s="1"/>
  <c r="A5397" i="1" s="1"/>
  <c r="A5398" i="1" s="1"/>
  <c r="A5399" i="1" s="1"/>
  <c r="A5400" i="1" s="1"/>
  <c r="A5402" i="1"/>
  <c r="A5403" i="1" s="1"/>
  <c r="A5404" i="1" s="1"/>
  <c r="A5406" i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8" i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L5351" i="1"/>
  <c r="M5351" i="1"/>
  <c r="L5352" i="1"/>
  <c r="M5352" i="1"/>
  <c r="L5353" i="1"/>
  <c r="M5353" i="1"/>
  <c r="L5354" i="1"/>
  <c r="M5354" i="1"/>
  <c r="L5355" i="1"/>
  <c r="M5355" i="1"/>
  <c r="L5356" i="1"/>
  <c r="M5356" i="1"/>
  <c r="L5357" i="1"/>
  <c r="M5357" i="1"/>
  <c r="L5358" i="1"/>
  <c r="M5358" i="1"/>
  <c r="L5359" i="1"/>
  <c r="M5359" i="1"/>
  <c r="L5360" i="1"/>
  <c r="M5360" i="1"/>
  <c r="L5361" i="1"/>
  <c r="M5361" i="1"/>
  <c r="L5362" i="1"/>
  <c r="M5362" i="1"/>
  <c r="L5363" i="1"/>
  <c r="M5363" i="1"/>
  <c r="L5364" i="1"/>
  <c r="M5364" i="1"/>
  <c r="L5345" i="1"/>
  <c r="M5345" i="1"/>
  <c r="L5346" i="1"/>
  <c r="M5346" i="1"/>
  <c r="L5347" i="1"/>
  <c r="M5347" i="1"/>
  <c r="L5348" i="1"/>
  <c r="M5348" i="1"/>
  <c r="L5349" i="1"/>
  <c r="M5349" i="1"/>
  <c r="L5350" i="1"/>
  <c r="M5350" i="1"/>
  <c r="L5336" i="1"/>
  <c r="M5336" i="1"/>
  <c r="L5337" i="1"/>
  <c r="M5337" i="1"/>
  <c r="L5338" i="1"/>
  <c r="M5338" i="1"/>
  <c r="L5339" i="1"/>
  <c r="M5339" i="1"/>
  <c r="L5340" i="1"/>
  <c r="M5340" i="1"/>
  <c r="L5341" i="1"/>
  <c r="M5341" i="1"/>
  <c r="L5342" i="1"/>
  <c r="M5342" i="1"/>
  <c r="L5343" i="1"/>
  <c r="M5343" i="1"/>
  <c r="L5344" i="1"/>
  <c r="M5344" i="1"/>
  <c r="L5319" i="1"/>
  <c r="M5319" i="1"/>
  <c r="L5320" i="1"/>
  <c r="M5320" i="1"/>
  <c r="L5321" i="1"/>
  <c r="M5321" i="1"/>
  <c r="L5322" i="1"/>
  <c r="M5322" i="1"/>
  <c r="L5323" i="1"/>
  <c r="M5323" i="1"/>
  <c r="L5324" i="1"/>
  <c r="M5324" i="1"/>
  <c r="L5325" i="1"/>
  <c r="M5325" i="1"/>
  <c r="L5326" i="1"/>
  <c r="M5326" i="1"/>
  <c r="L5327" i="1"/>
  <c r="M5327" i="1"/>
  <c r="L5328" i="1"/>
  <c r="M5328" i="1"/>
  <c r="L5329" i="1"/>
  <c r="M5329" i="1"/>
  <c r="L5330" i="1"/>
  <c r="M5330" i="1"/>
  <c r="L5331" i="1"/>
  <c r="M5331" i="1"/>
  <c r="L5332" i="1"/>
  <c r="M5332" i="1"/>
  <c r="L5333" i="1"/>
  <c r="M5333" i="1"/>
  <c r="L5334" i="1"/>
  <c r="M5334" i="1"/>
  <c r="L5335" i="1"/>
  <c r="M5335" i="1"/>
  <c r="L5307" i="1"/>
  <c r="M5307" i="1"/>
  <c r="L5308" i="1"/>
  <c r="M5308" i="1"/>
  <c r="L5309" i="1"/>
  <c r="M5309" i="1"/>
  <c r="L5310" i="1"/>
  <c r="M5310" i="1"/>
  <c r="A5311" i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2" i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4" i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L5311" i="1"/>
  <c r="M5311" i="1"/>
  <c r="L5312" i="1"/>
  <c r="M5312" i="1"/>
  <c r="L5313" i="1"/>
  <c r="M5313" i="1"/>
  <c r="L5314" i="1"/>
  <c r="M5314" i="1"/>
  <c r="L5315" i="1"/>
  <c r="M5315" i="1"/>
  <c r="L5316" i="1"/>
  <c r="M5316" i="1"/>
  <c r="L5317" i="1"/>
  <c r="M5317" i="1"/>
  <c r="L5318" i="1"/>
  <c r="M5318" i="1"/>
  <c r="L5292" i="1"/>
  <c r="M5292" i="1"/>
  <c r="L5293" i="1"/>
  <c r="M5293" i="1"/>
  <c r="L5294" i="1"/>
  <c r="M5294" i="1"/>
  <c r="L5295" i="1"/>
  <c r="M5295" i="1"/>
  <c r="L5296" i="1"/>
  <c r="M5296" i="1"/>
  <c r="L5297" i="1"/>
  <c r="M5297" i="1"/>
  <c r="L5298" i="1"/>
  <c r="M5298" i="1"/>
  <c r="L5299" i="1"/>
  <c r="M5299" i="1"/>
  <c r="L5300" i="1"/>
  <c r="M5300" i="1"/>
  <c r="L5301" i="1"/>
  <c r="M5301" i="1"/>
  <c r="L5302" i="1"/>
  <c r="M5302" i="1"/>
  <c r="L5303" i="1"/>
  <c r="M5303" i="1"/>
  <c r="L5304" i="1"/>
  <c r="M5304" i="1"/>
  <c r="L5305" i="1"/>
  <c r="M5305" i="1"/>
  <c r="L5306" i="1"/>
  <c r="M5306" i="1"/>
  <c r="A5347" i="1"/>
  <c r="A5348" i="1" s="1"/>
  <c r="A5349" i="1" s="1"/>
  <c r="A5350" i="1" s="1"/>
  <c r="L5288" i="1"/>
  <c r="M5288" i="1"/>
  <c r="L5289" i="1"/>
  <c r="M5289" i="1"/>
  <c r="L5290" i="1"/>
  <c r="M5290" i="1"/>
  <c r="L5291" i="1"/>
  <c r="M5291" i="1"/>
  <c r="A5363" i="1"/>
  <c r="A5364" i="1" s="1"/>
  <c r="A5365" i="1" s="1"/>
  <c r="M5259" i="1"/>
  <c r="E5502" i="1"/>
  <c r="C5800" i="1" s="1"/>
  <c r="L5276" i="1"/>
  <c r="M5276" i="1"/>
  <c r="L5277" i="1"/>
  <c r="M5277" i="1"/>
  <c r="L5278" i="1"/>
  <c r="M5278" i="1"/>
  <c r="L5279" i="1"/>
  <c r="M5279" i="1"/>
  <c r="L5280" i="1"/>
  <c r="M5280" i="1"/>
  <c r="L5281" i="1"/>
  <c r="M5281" i="1"/>
  <c r="L5282" i="1"/>
  <c r="M5282" i="1"/>
  <c r="L5283" i="1"/>
  <c r="M5283" i="1"/>
  <c r="L5284" i="1"/>
  <c r="M5284" i="1"/>
  <c r="L5285" i="1"/>
  <c r="M5285" i="1"/>
  <c r="L5286" i="1"/>
  <c r="M5286" i="1"/>
  <c r="L5287" i="1"/>
  <c r="M5287" i="1"/>
  <c r="A5368" i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C5502" i="1"/>
  <c r="G5502" i="1"/>
  <c r="L5263" i="1"/>
  <c r="M5263" i="1"/>
  <c r="L5264" i="1"/>
  <c r="M5264" i="1"/>
  <c r="L5265" i="1"/>
  <c r="M5265" i="1"/>
  <c r="L5266" i="1"/>
  <c r="M5266" i="1"/>
  <c r="L5267" i="1"/>
  <c r="M5267" i="1"/>
  <c r="L5268" i="1"/>
  <c r="M5268" i="1"/>
  <c r="L5269" i="1"/>
  <c r="M5269" i="1"/>
  <c r="L5270" i="1"/>
  <c r="M5270" i="1"/>
  <c r="L5271" i="1"/>
  <c r="M5271" i="1"/>
  <c r="L5272" i="1"/>
  <c r="M5272" i="1"/>
  <c r="L5273" i="1"/>
  <c r="M5273" i="1"/>
  <c r="L5274" i="1"/>
  <c r="M5274" i="1"/>
  <c r="L5275" i="1"/>
  <c r="M5275" i="1"/>
  <c r="L5255" i="1"/>
  <c r="M5255" i="1"/>
  <c r="L5256" i="1"/>
  <c r="M5256" i="1"/>
  <c r="L5257" i="1"/>
  <c r="M5257" i="1"/>
  <c r="L5258" i="1"/>
  <c r="M5258" i="1"/>
  <c r="L5260" i="1"/>
  <c r="M5260" i="1"/>
  <c r="L5261" i="1"/>
  <c r="M5261" i="1"/>
  <c r="L5262" i="1"/>
  <c r="M5262" i="1"/>
  <c r="L5248" i="1"/>
  <c r="L5249" i="1"/>
  <c r="L5250" i="1"/>
  <c r="L5251" i="1"/>
  <c r="L5252" i="1"/>
  <c r="L5253" i="1"/>
  <c r="L5254" i="1"/>
  <c r="L5240" i="1"/>
  <c r="L5241" i="1"/>
  <c r="L5242" i="1"/>
  <c r="L5243" i="1"/>
  <c r="L5244" i="1"/>
  <c r="L5245" i="1"/>
  <c r="L5246" i="1"/>
  <c r="L5247" i="1"/>
  <c r="L5239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A5240" i="1"/>
  <c r="A5241" i="1" s="1"/>
  <c r="A5242" i="1" s="1"/>
  <c r="A5243" i="1" s="1"/>
  <c r="A5244" i="1" s="1"/>
  <c r="A5245" i="1" s="1"/>
  <c r="F5502" i="1"/>
  <c r="M5240" i="1"/>
  <c r="M5239" i="1"/>
  <c r="L5235" i="1"/>
  <c r="M5235" i="1"/>
  <c r="K5224" i="1"/>
  <c r="L5225" i="1"/>
  <c r="M5225" i="1"/>
  <c r="L5226" i="1"/>
  <c r="M5226" i="1"/>
  <c r="L5227" i="1"/>
  <c r="M5227" i="1"/>
  <c r="L5228" i="1"/>
  <c r="M5228" i="1"/>
  <c r="L5229" i="1"/>
  <c r="M5229" i="1"/>
  <c r="L5230" i="1"/>
  <c r="M5230" i="1"/>
  <c r="L5231" i="1"/>
  <c r="M5231" i="1"/>
  <c r="L5232" i="1"/>
  <c r="M5232" i="1"/>
  <c r="L5233" i="1"/>
  <c r="M5233" i="1"/>
  <c r="L5234" i="1"/>
  <c r="M5234" i="1"/>
  <c r="K5214" i="1"/>
  <c r="K5217" i="1"/>
  <c r="L5218" i="1"/>
  <c r="M5218" i="1"/>
  <c r="L5219" i="1"/>
  <c r="M5219" i="1"/>
  <c r="L5220" i="1"/>
  <c r="M5220" i="1"/>
  <c r="L5221" i="1"/>
  <c r="M5221" i="1"/>
  <c r="L5222" i="1"/>
  <c r="M5222" i="1"/>
  <c r="L5223" i="1"/>
  <c r="M5223" i="1"/>
  <c r="L5224" i="1"/>
  <c r="M5224" i="1"/>
  <c r="K5208" i="1"/>
  <c r="A5252" i="1"/>
  <c r="A5253" i="1" s="1"/>
  <c r="A5254" i="1" s="1"/>
  <c r="A5255" i="1" s="1"/>
  <c r="A5256" i="1" s="1"/>
  <c r="A5257" i="1" s="1"/>
  <c r="A5258" i="1" s="1"/>
  <c r="A5262" i="1"/>
  <c r="A5263" i="1" s="1"/>
  <c r="A5264" i="1" s="1"/>
  <c r="A5265" i="1" s="1"/>
  <c r="A5266" i="1" s="1"/>
  <c r="A5267" i="1" s="1"/>
  <c r="A5268" i="1" s="1"/>
  <c r="A5269" i="1" s="1"/>
  <c r="A5270" i="1" s="1"/>
  <c r="L5204" i="1"/>
  <c r="M5204" i="1"/>
  <c r="L5205" i="1"/>
  <c r="M5205" i="1"/>
  <c r="L5206" i="1"/>
  <c r="M5206" i="1"/>
  <c r="L5207" i="1"/>
  <c r="M5207" i="1"/>
  <c r="L5208" i="1"/>
  <c r="M5208" i="1"/>
  <c r="L5209" i="1"/>
  <c r="M5209" i="1"/>
  <c r="L5210" i="1"/>
  <c r="M5210" i="1"/>
  <c r="L5211" i="1"/>
  <c r="M5211" i="1"/>
  <c r="L5212" i="1"/>
  <c r="M5212" i="1"/>
  <c r="L5213" i="1"/>
  <c r="M5213" i="1"/>
  <c r="L5214" i="1"/>
  <c r="M5214" i="1"/>
  <c r="L5215" i="1"/>
  <c r="M5215" i="1"/>
  <c r="L5216" i="1"/>
  <c r="M5216" i="1"/>
  <c r="L5217" i="1"/>
  <c r="M5217" i="1"/>
  <c r="K5195" i="1"/>
  <c r="A5272" i="1"/>
  <c r="A5273" i="1" s="1"/>
  <c r="A5274" i="1" s="1"/>
  <c r="A5275" i="1" s="1"/>
  <c r="A5276" i="1" s="1"/>
  <c r="A5277" i="1" s="1"/>
  <c r="A5279" i="1"/>
  <c r="A5280" i="1" s="1"/>
  <c r="A5281" i="1" s="1"/>
  <c r="A5282" i="1" s="1"/>
  <c r="A5284" i="1"/>
  <c r="A5285" i="1" s="1"/>
  <c r="A5286" i="1" s="1"/>
  <c r="A5287" i="1" s="1"/>
  <c r="A5288" i="1" s="1"/>
  <c r="A5290" i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3" i="1"/>
  <c r="A5304" i="1" s="1"/>
  <c r="A5305" i="1" s="1"/>
  <c r="A5306" i="1" s="1"/>
  <c r="A5307" i="1" s="1"/>
  <c r="A5308" i="1" s="1"/>
  <c r="A5309" i="1" s="1"/>
  <c r="L5199" i="1"/>
  <c r="L5200" i="1"/>
  <c r="L5201" i="1"/>
  <c r="L5202" i="1"/>
  <c r="L5203" i="1"/>
  <c r="L5193" i="1"/>
  <c r="L5194" i="1"/>
  <c r="L5195" i="1"/>
  <c r="L5196" i="1"/>
  <c r="L5197" i="1"/>
  <c r="L5198" i="1"/>
  <c r="K5191" i="1"/>
  <c r="L5192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A5193" i="1"/>
  <c r="A5194" i="1" s="1"/>
  <c r="A5195" i="1" s="1"/>
  <c r="A5196" i="1" s="1"/>
  <c r="A5197" i="1" s="1"/>
  <c r="A5200" i="1"/>
  <c r="A5201" i="1" s="1"/>
  <c r="A5202" i="1" s="1"/>
  <c r="A5203" i="1" s="1"/>
  <c r="A5204" i="1" s="1"/>
  <c r="A5205" i="1" s="1"/>
  <c r="A5206" i="1" s="1"/>
  <c r="A5207" i="1" s="1"/>
  <c r="A5208" i="1" s="1"/>
  <c r="A5209" i="1" s="1"/>
  <c r="K5180" i="1"/>
  <c r="L5182" i="1"/>
  <c r="M5182" i="1"/>
  <c r="L5183" i="1"/>
  <c r="M5183" i="1"/>
  <c r="L5184" i="1"/>
  <c r="M5184" i="1"/>
  <c r="L5185" i="1"/>
  <c r="M5185" i="1"/>
  <c r="L5186" i="1"/>
  <c r="M5186" i="1"/>
  <c r="L5187" i="1"/>
  <c r="M5187" i="1"/>
  <c r="L5188" i="1"/>
  <c r="M5188" i="1"/>
  <c r="L5189" i="1"/>
  <c r="M5189" i="1"/>
  <c r="L5190" i="1"/>
  <c r="M5190" i="1"/>
  <c r="L5191" i="1"/>
  <c r="M5191" i="1"/>
  <c r="A5182" i="1"/>
  <c r="A5183" i="1" s="1"/>
  <c r="A5184" i="1" s="1"/>
  <c r="A5185" i="1" s="1"/>
  <c r="A5186" i="1" s="1"/>
  <c r="A5187" i="1" s="1"/>
  <c r="A5188" i="1" s="1"/>
  <c r="A5189" i="1" s="1"/>
  <c r="A5190" i="1" s="1"/>
  <c r="A5191" i="1" s="1"/>
  <c r="A5211" i="1"/>
  <c r="A5212" i="1" s="1"/>
  <c r="A5213" i="1" s="1"/>
  <c r="A5214" i="1" s="1"/>
  <c r="A5215" i="1" s="1"/>
  <c r="A5217" i="1"/>
  <c r="A5218" i="1" s="1"/>
  <c r="A5219" i="1" s="1"/>
  <c r="A5220" i="1" s="1"/>
  <c r="A5221" i="1" s="1"/>
  <c r="A5222" i="1" s="1"/>
  <c r="A5224" i="1"/>
  <c r="A5225" i="1" s="1"/>
  <c r="A5226" i="1" s="1"/>
  <c r="A5227" i="1" s="1"/>
  <c r="A5228" i="1" s="1"/>
  <c r="A5229" i="1" s="1"/>
  <c r="A5231" i="1"/>
  <c r="A5232" i="1" s="1"/>
  <c r="A5233" i="1" s="1"/>
  <c r="A5234" i="1" s="1"/>
  <c r="A5235" i="1" s="1"/>
  <c r="C5236" i="1"/>
  <c r="L5170" i="1"/>
  <c r="L5171" i="1"/>
  <c r="L5172" i="1"/>
  <c r="L5173" i="1"/>
  <c r="L5174" i="1"/>
  <c r="L5175" i="1"/>
  <c r="L5176" i="1"/>
  <c r="M5172" i="1"/>
  <c r="M5173" i="1"/>
  <c r="M5174" i="1"/>
  <c r="M5175" i="1"/>
  <c r="M5176" i="1"/>
  <c r="L5177" i="1"/>
  <c r="M5177" i="1"/>
  <c r="L5178" i="1"/>
  <c r="M5178" i="1"/>
  <c r="L5179" i="1"/>
  <c r="M5179" i="1"/>
  <c r="L5180" i="1"/>
  <c r="M5180" i="1"/>
  <c r="L5181" i="1"/>
  <c r="M5181" i="1"/>
  <c r="L5160" i="1"/>
  <c r="M5160" i="1"/>
  <c r="L5161" i="1"/>
  <c r="M5161" i="1"/>
  <c r="L5162" i="1"/>
  <c r="M5162" i="1"/>
  <c r="L5163" i="1"/>
  <c r="M5163" i="1"/>
  <c r="L5164" i="1"/>
  <c r="M5164" i="1"/>
  <c r="L5165" i="1"/>
  <c r="M5165" i="1"/>
  <c r="L5166" i="1"/>
  <c r="M5166" i="1"/>
  <c r="L5167" i="1"/>
  <c r="M5167" i="1"/>
  <c r="L5168" i="1"/>
  <c r="M5168" i="1"/>
  <c r="L5169" i="1"/>
  <c r="M5169" i="1"/>
  <c r="M5170" i="1"/>
  <c r="M5171" i="1"/>
  <c r="L5146" i="1"/>
  <c r="M5146" i="1"/>
  <c r="L5147" i="1"/>
  <c r="M5147" i="1"/>
  <c r="L5148" i="1"/>
  <c r="M5148" i="1"/>
  <c r="L5149" i="1"/>
  <c r="M5149" i="1"/>
  <c r="L5150" i="1"/>
  <c r="M5150" i="1"/>
  <c r="L5151" i="1"/>
  <c r="M5151" i="1"/>
  <c r="L5152" i="1"/>
  <c r="M5152" i="1"/>
  <c r="L5153" i="1"/>
  <c r="M5153" i="1"/>
  <c r="L5154" i="1"/>
  <c r="M5154" i="1"/>
  <c r="L5155" i="1"/>
  <c r="M5155" i="1"/>
  <c r="L5156" i="1"/>
  <c r="M5156" i="1"/>
  <c r="L5157" i="1"/>
  <c r="M5157" i="1"/>
  <c r="L5158" i="1"/>
  <c r="M5158" i="1"/>
  <c r="L5159" i="1"/>
  <c r="M5159" i="1"/>
  <c r="L5137" i="1"/>
  <c r="M5137" i="1"/>
  <c r="L5138" i="1"/>
  <c r="M5138" i="1"/>
  <c r="L5139" i="1"/>
  <c r="M5139" i="1"/>
  <c r="L5140" i="1"/>
  <c r="M5140" i="1"/>
  <c r="L5141" i="1"/>
  <c r="M5141" i="1"/>
  <c r="L5142" i="1"/>
  <c r="M5142" i="1"/>
  <c r="L5143" i="1"/>
  <c r="M5143" i="1"/>
  <c r="L5144" i="1"/>
  <c r="M5144" i="1"/>
  <c r="L5145" i="1"/>
  <c r="M5145" i="1"/>
  <c r="L5129" i="1"/>
  <c r="M5129" i="1"/>
  <c r="L5130" i="1"/>
  <c r="M5130" i="1"/>
  <c r="L5131" i="1"/>
  <c r="M5131" i="1"/>
  <c r="L5132" i="1"/>
  <c r="M5132" i="1"/>
  <c r="L5133" i="1"/>
  <c r="M5133" i="1"/>
  <c r="L5134" i="1"/>
  <c r="M5134" i="1"/>
  <c r="L5135" i="1"/>
  <c r="M5135" i="1"/>
  <c r="L5136" i="1"/>
  <c r="M5136" i="1"/>
  <c r="L5119" i="1"/>
  <c r="M5119" i="1"/>
  <c r="L5120" i="1"/>
  <c r="M5120" i="1"/>
  <c r="L5121" i="1"/>
  <c r="M5121" i="1"/>
  <c r="L5122" i="1"/>
  <c r="M5122" i="1"/>
  <c r="L5123" i="1"/>
  <c r="M5123" i="1"/>
  <c r="M5124" i="1"/>
  <c r="L5125" i="1"/>
  <c r="M5125" i="1"/>
  <c r="L5126" i="1"/>
  <c r="M5126" i="1"/>
  <c r="L5127" i="1"/>
  <c r="M5127" i="1"/>
  <c r="L5128" i="1"/>
  <c r="M5128" i="1"/>
  <c r="L5107" i="1"/>
  <c r="M5107" i="1"/>
  <c r="L5108" i="1"/>
  <c r="M5108" i="1"/>
  <c r="L5109" i="1"/>
  <c r="M5109" i="1"/>
  <c r="L5110" i="1"/>
  <c r="M5110" i="1"/>
  <c r="L5111" i="1"/>
  <c r="M5111" i="1"/>
  <c r="L5112" i="1"/>
  <c r="M5112" i="1"/>
  <c r="L5113" i="1"/>
  <c r="M5113" i="1"/>
  <c r="L5114" i="1"/>
  <c r="M5114" i="1"/>
  <c r="L5115" i="1"/>
  <c r="M5115" i="1"/>
  <c r="L5116" i="1"/>
  <c r="M5116" i="1"/>
  <c r="L5117" i="1"/>
  <c r="M5117" i="1"/>
  <c r="L5118" i="1"/>
  <c r="M5118" i="1"/>
  <c r="L5099" i="1"/>
  <c r="M5099" i="1"/>
  <c r="L5100" i="1"/>
  <c r="M5100" i="1"/>
  <c r="L5101" i="1"/>
  <c r="M5101" i="1"/>
  <c r="L5102" i="1"/>
  <c r="M5102" i="1"/>
  <c r="L5103" i="1"/>
  <c r="M5103" i="1"/>
  <c r="L5104" i="1"/>
  <c r="M5104" i="1"/>
  <c r="L5105" i="1"/>
  <c r="M5105" i="1"/>
  <c r="L5106" i="1"/>
  <c r="M5106" i="1"/>
  <c r="L5088" i="1"/>
  <c r="M5088" i="1"/>
  <c r="L5089" i="1"/>
  <c r="M5089" i="1"/>
  <c r="L5090" i="1"/>
  <c r="M5090" i="1"/>
  <c r="L5091" i="1"/>
  <c r="M5091" i="1"/>
  <c r="L5092" i="1"/>
  <c r="M5092" i="1"/>
  <c r="L5093" i="1"/>
  <c r="M5093" i="1"/>
  <c r="L5094" i="1"/>
  <c r="M5094" i="1"/>
  <c r="L5095" i="1"/>
  <c r="M5095" i="1"/>
  <c r="L5096" i="1"/>
  <c r="M5096" i="1"/>
  <c r="L5097" i="1"/>
  <c r="M5097" i="1"/>
  <c r="L5098" i="1"/>
  <c r="M5098" i="1"/>
  <c r="L5079" i="1"/>
  <c r="M5079" i="1"/>
  <c r="L5080" i="1"/>
  <c r="M5080" i="1"/>
  <c r="L5081" i="1"/>
  <c r="M5081" i="1"/>
  <c r="L5082" i="1"/>
  <c r="M5082" i="1"/>
  <c r="L5083" i="1"/>
  <c r="M5083" i="1"/>
  <c r="L5084" i="1"/>
  <c r="M5084" i="1"/>
  <c r="L5085" i="1"/>
  <c r="M5085" i="1"/>
  <c r="L5086" i="1"/>
  <c r="M5086" i="1"/>
  <c r="L5087" i="1"/>
  <c r="M5087" i="1"/>
  <c r="L5069" i="1"/>
  <c r="M5069" i="1"/>
  <c r="L5070" i="1"/>
  <c r="M5070" i="1"/>
  <c r="L5071" i="1"/>
  <c r="M5071" i="1"/>
  <c r="L5072" i="1"/>
  <c r="M5072" i="1"/>
  <c r="L5073" i="1"/>
  <c r="M5073" i="1"/>
  <c r="L5074" i="1"/>
  <c r="M5074" i="1"/>
  <c r="L5075" i="1"/>
  <c r="M5075" i="1"/>
  <c r="L5076" i="1"/>
  <c r="M5076" i="1"/>
  <c r="L5077" i="1"/>
  <c r="M5077" i="1"/>
  <c r="L5078" i="1"/>
  <c r="M5078" i="1"/>
  <c r="L5063" i="1"/>
  <c r="M5063" i="1"/>
  <c r="L5064" i="1"/>
  <c r="M5064" i="1"/>
  <c r="L5065" i="1"/>
  <c r="M5065" i="1"/>
  <c r="L5066" i="1"/>
  <c r="M5066" i="1"/>
  <c r="L5067" i="1"/>
  <c r="M5067" i="1"/>
  <c r="L5068" i="1"/>
  <c r="M5068" i="1"/>
  <c r="L5061" i="1"/>
  <c r="M5061" i="1"/>
  <c r="L5062" i="1"/>
  <c r="M5062" i="1"/>
  <c r="A5051" i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5" i="1"/>
  <c r="A5066" i="1" s="1"/>
  <c r="A5067" i="1" s="1"/>
  <c r="A5068" i="1" s="1"/>
  <c r="A5069" i="1" s="1"/>
  <c r="A5070" i="1" s="1"/>
  <c r="A5071" i="1" s="1"/>
  <c r="A5072" i="1" s="1"/>
  <c r="A5073" i="1" s="1"/>
  <c r="A5075" i="1"/>
  <c r="A5076" i="1" s="1"/>
  <c r="A5077" i="1" s="1"/>
  <c r="A5078" i="1" s="1"/>
  <c r="A5079" i="1" s="1"/>
  <c r="A5080" i="1" s="1"/>
  <c r="A5081" i="1" s="1"/>
  <c r="A5083" i="1"/>
  <c r="A5084" i="1" s="1"/>
  <c r="A5085" i="1" s="1"/>
  <c r="A5086" i="1" s="1"/>
  <c r="A5087" i="1" s="1"/>
  <c r="A5088" i="1" s="1"/>
  <c r="A5089" i="1" s="1"/>
  <c r="A5090" i="1" s="1"/>
  <c r="L5050" i="1"/>
  <c r="M5050" i="1"/>
  <c r="L5051" i="1"/>
  <c r="M5051" i="1"/>
  <c r="L5052" i="1"/>
  <c r="M5052" i="1"/>
  <c r="L5053" i="1"/>
  <c r="M5053" i="1"/>
  <c r="L5054" i="1"/>
  <c r="M5054" i="1"/>
  <c r="L5055" i="1"/>
  <c r="M5055" i="1"/>
  <c r="L5056" i="1"/>
  <c r="M5056" i="1"/>
  <c r="L5057" i="1"/>
  <c r="M5057" i="1"/>
  <c r="L5058" i="1"/>
  <c r="M5058" i="1"/>
  <c r="L5059" i="1"/>
  <c r="M5059" i="1"/>
  <c r="L5060" i="1"/>
  <c r="M5060" i="1"/>
  <c r="A5093" i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1" i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3" i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1" i="1"/>
  <c r="A5152" i="1" s="1"/>
  <c r="A5153" i="1" s="1"/>
  <c r="A5154" i="1" s="1"/>
  <c r="A5155" i="1" s="1"/>
  <c r="A5156" i="1" s="1"/>
  <c r="A5157" i="1" s="1"/>
  <c r="A5159" i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1" i="1"/>
  <c r="A5173" i="1"/>
  <c r="A5174" i="1" s="1"/>
  <c r="A5175" i="1" s="1"/>
  <c r="A5176" i="1" s="1"/>
  <c r="A5177" i="1" s="1"/>
  <c r="A5178" i="1" s="1"/>
  <c r="A5179" i="1" s="1"/>
  <c r="A5180" i="1" s="1"/>
  <c r="L5039" i="1"/>
  <c r="M5039" i="1"/>
  <c r="L5040" i="1"/>
  <c r="M5040" i="1"/>
  <c r="L5041" i="1"/>
  <c r="M5041" i="1"/>
  <c r="L5042" i="1"/>
  <c r="M5042" i="1"/>
  <c r="L5043" i="1"/>
  <c r="M5043" i="1"/>
  <c r="L5044" i="1"/>
  <c r="M5044" i="1"/>
  <c r="L5045" i="1"/>
  <c r="M5045" i="1"/>
  <c r="L5046" i="1"/>
  <c r="M5046" i="1"/>
  <c r="L5047" i="1"/>
  <c r="M5047" i="1"/>
  <c r="L5048" i="1"/>
  <c r="M5048" i="1"/>
  <c r="L5049" i="1"/>
  <c r="M5049" i="1"/>
  <c r="L5026" i="1"/>
  <c r="M5026" i="1"/>
  <c r="L5027" i="1"/>
  <c r="M5027" i="1"/>
  <c r="L5028" i="1"/>
  <c r="M5028" i="1"/>
  <c r="L5029" i="1"/>
  <c r="M5029" i="1"/>
  <c r="L5030" i="1"/>
  <c r="M5030" i="1"/>
  <c r="L5031" i="1"/>
  <c r="M5031" i="1"/>
  <c r="L5032" i="1"/>
  <c r="M5032" i="1"/>
  <c r="L5033" i="1"/>
  <c r="M5033" i="1"/>
  <c r="L5034" i="1"/>
  <c r="M5034" i="1"/>
  <c r="L5035" i="1"/>
  <c r="M5035" i="1"/>
  <c r="L5036" i="1"/>
  <c r="M5036" i="1"/>
  <c r="L5037" i="1"/>
  <c r="M5037" i="1"/>
  <c r="L5038" i="1"/>
  <c r="M5038" i="1"/>
  <c r="M5015" i="1"/>
  <c r="L5016" i="1"/>
  <c r="M5016" i="1"/>
  <c r="L5017" i="1"/>
  <c r="M5017" i="1"/>
  <c r="L5018" i="1"/>
  <c r="M5018" i="1"/>
  <c r="L5019" i="1"/>
  <c r="M5019" i="1"/>
  <c r="L5020" i="1"/>
  <c r="M5020" i="1"/>
  <c r="L5021" i="1"/>
  <c r="M5021" i="1"/>
  <c r="L5022" i="1"/>
  <c r="M5022" i="1"/>
  <c r="L5023" i="1"/>
  <c r="M5023" i="1"/>
  <c r="L5024" i="1"/>
  <c r="M5024" i="1"/>
  <c r="L5025" i="1"/>
  <c r="M5025" i="1"/>
  <c r="A5014" i="1"/>
  <c r="A5015" i="1" s="1"/>
  <c r="A5016" i="1" s="1"/>
  <c r="A5017" i="1" s="1"/>
  <c r="A5018" i="1" s="1"/>
  <c r="A5019" i="1" s="1"/>
  <c r="A5020" i="1" s="1"/>
  <c r="A5021" i="1" s="1"/>
  <c r="A5023" i="1"/>
  <c r="A5024" i="1" s="1"/>
  <c r="A5025" i="1" s="1"/>
  <c r="A5026" i="1" s="1"/>
  <c r="A5027" i="1" s="1"/>
  <c r="A5028" i="1" s="1"/>
  <c r="A5029" i="1" s="1"/>
  <c r="A5030" i="1" s="1"/>
  <c r="A5032" i="1"/>
  <c r="A5033" i="1" s="1"/>
  <c r="A5034" i="1" s="1"/>
  <c r="A5035" i="1" s="1"/>
  <c r="A5036" i="1" s="1"/>
  <c r="A5037" i="1" s="1"/>
  <c r="A5038" i="1" s="1"/>
  <c r="A5039" i="1" s="1"/>
  <c r="A5040" i="1" s="1"/>
  <c r="A5042" i="1"/>
  <c r="A5043" i="1" s="1"/>
  <c r="A5044" i="1" s="1"/>
  <c r="A5045" i="1" s="1"/>
  <c r="A5046" i="1" s="1"/>
  <c r="A5047" i="1" s="1"/>
  <c r="A5048" i="1" s="1"/>
  <c r="A5049" i="1" s="1"/>
  <c r="L5013" i="1"/>
  <c r="M5013" i="1"/>
  <c r="L5014" i="1"/>
  <c r="M5014" i="1"/>
  <c r="H5236" i="1"/>
  <c r="G5236" i="1"/>
  <c r="E5236" i="1"/>
  <c r="L4999" i="1"/>
  <c r="M4999" i="1"/>
  <c r="L5000" i="1"/>
  <c r="M5000" i="1"/>
  <c r="L5001" i="1"/>
  <c r="M5001" i="1"/>
  <c r="L5002" i="1"/>
  <c r="M5002" i="1"/>
  <c r="L5003" i="1"/>
  <c r="M5003" i="1"/>
  <c r="L5004" i="1"/>
  <c r="M5004" i="1"/>
  <c r="L5005" i="1"/>
  <c r="M5005" i="1"/>
  <c r="L5006" i="1"/>
  <c r="M5006" i="1"/>
  <c r="L5007" i="1"/>
  <c r="M5007" i="1"/>
  <c r="L5008" i="1"/>
  <c r="M5008" i="1"/>
  <c r="L5009" i="1"/>
  <c r="M5009" i="1"/>
  <c r="L5010" i="1"/>
  <c r="M5010" i="1"/>
  <c r="L5011" i="1"/>
  <c r="M5011" i="1"/>
  <c r="L5012" i="1"/>
  <c r="M5012" i="1"/>
  <c r="L4989" i="1"/>
  <c r="M4989" i="1"/>
  <c r="L4990" i="1"/>
  <c r="M4990" i="1"/>
  <c r="L4991" i="1"/>
  <c r="M4991" i="1"/>
  <c r="L4992" i="1"/>
  <c r="M4992" i="1"/>
  <c r="L4993" i="1"/>
  <c r="M4993" i="1"/>
  <c r="L4994" i="1"/>
  <c r="M4994" i="1"/>
  <c r="L4995" i="1"/>
  <c r="M4995" i="1"/>
  <c r="L4996" i="1"/>
  <c r="M4996" i="1"/>
  <c r="L4997" i="1"/>
  <c r="M4997" i="1"/>
  <c r="L4998" i="1"/>
  <c r="M4998" i="1"/>
  <c r="L4987" i="1"/>
  <c r="M4987" i="1"/>
  <c r="L4988" i="1"/>
  <c r="M4988" i="1"/>
  <c r="A4987" i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F5236" i="1"/>
  <c r="M4986" i="1"/>
  <c r="L4974" i="1"/>
  <c r="M4974" i="1"/>
  <c r="L4975" i="1"/>
  <c r="M4975" i="1"/>
  <c r="L4976" i="1"/>
  <c r="M4976" i="1"/>
  <c r="L4977" i="1"/>
  <c r="M4977" i="1"/>
  <c r="L4978" i="1"/>
  <c r="M4978" i="1"/>
  <c r="L4979" i="1"/>
  <c r="M4979" i="1"/>
  <c r="L4980" i="1"/>
  <c r="M4980" i="1"/>
  <c r="L4981" i="1"/>
  <c r="M4981" i="1"/>
  <c r="L4982" i="1"/>
  <c r="M4982" i="1"/>
  <c r="L4983" i="1"/>
  <c r="M4983" i="1"/>
  <c r="L4953" i="1"/>
  <c r="M4953" i="1"/>
  <c r="L4954" i="1"/>
  <c r="M4954" i="1"/>
  <c r="L4955" i="1"/>
  <c r="M4955" i="1"/>
  <c r="L4956" i="1"/>
  <c r="M4956" i="1"/>
  <c r="L4957" i="1"/>
  <c r="M4957" i="1"/>
  <c r="L4958" i="1"/>
  <c r="M4958" i="1"/>
  <c r="L4959" i="1"/>
  <c r="M4959" i="1"/>
  <c r="L4960" i="1"/>
  <c r="M4960" i="1"/>
  <c r="L4961" i="1"/>
  <c r="M4961" i="1"/>
  <c r="L4962" i="1"/>
  <c r="M4962" i="1"/>
  <c r="L4963" i="1"/>
  <c r="M4963" i="1"/>
  <c r="L4964" i="1"/>
  <c r="M4964" i="1"/>
  <c r="L4965" i="1"/>
  <c r="M4965" i="1"/>
  <c r="L4966" i="1"/>
  <c r="M4966" i="1"/>
  <c r="L4967" i="1"/>
  <c r="M4967" i="1"/>
  <c r="L4968" i="1"/>
  <c r="M4968" i="1"/>
  <c r="L4969" i="1"/>
  <c r="M4969" i="1"/>
  <c r="L4970" i="1"/>
  <c r="M4970" i="1"/>
  <c r="L4971" i="1"/>
  <c r="M4971" i="1"/>
  <c r="L4972" i="1"/>
  <c r="M4972" i="1"/>
  <c r="L4973" i="1"/>
  <c r="M4973" i="1"/>
  <c r="L4947" i="1"/>
  <c r="M4947" i="1"/>
  <c r="L4948" i="1"/>
  <c r="M4948" i="1"/>
  <c r="L4949" i="1"/>
  <c r="M4949" i="1"/>
  <c r="L4950" i="1"/>
  <c r="M4950" i="1"/>
  <c r="L4951" i="1"/>
  <c r="M4951" i="1"/>
  <c r="L4952" i="1"/>
  <c r="M4952" i="1"/>
  <c r="A5006" i="1"/>
  <c r="A5007" i="1" s="1"/>
  <c r="A5008" i="1" s="1"/>
  <c r="A5009" i="1" s="1"/>
  <c r="A5010" i="1" s="1"/>
  <c r="A5011" i="1" s="1"/>
  <c r="A5012" i="1" s="1"/>
  <c r="L4932" i="1"/>
  <c r="M4932" i="1"/>
  <c r="L4933" i="1"/>
  <c r="M4933" i="1"/>
  <c r="L4934" i="1"/>
  <c r="M4934" i="1"/>
  <c r="L4935" i="1"/>
  <c r="M4935" i="1"/>
  <c r="L4936" i="1"/>
  <c r="M4936" i="1"/>
  <c r="L4937" i="1"/>
  <c r="M4937" i="1"/>
  <c r="L4938" i="1"/>
  <c r="M4938" i="1"/>
  <c r="L4939" i="1"/>
  <c r="M4939" i="1"/>
  <c r="L4940" i="1"/>
  <c r="M4940" i="1"/>
  <c r="L4941" i="1"/>
  <c r="M4941" i="1"/>
  <c r="L4942" i="1"/>
  <c r="M4942" i="1"/>
  <c r="L4943" i="1"/>
  <c r="M4943" i="1"/>
  <c r="L4944" i="1"/>
  <c r="M4944" i="1"/>
  <c r="L4945" i="1"/>
  <c r="M4945" i="1"/>
  <c r="L4946" i="1"/>
  <c r="M4946" i="1"/>
  <c r="L4920" i="1"/>
  <c r="L4921" i="1"/>
  <c r="L4907" i="1"/>
  <c r="M4907" i="1"/>
  <c r="L4908" i="1"/>
  <c r="M4908" i="1"/>
  <c r="L4909" i="1"/>
  <c r="M4909" i="1"/>
  <c r="L4910" i="1"/>
  <c r="M4910" i="1"/>
  <c r="L4911" i="1"/>
  <c r="M4911" i="1"/>
  <c r="L4912" i="1"/>
  <c r="M4912" i="1"/>
  <c r="L4913" i="1"/>
  <c r="M4913" i="1"/>
  <c r="L4914" i="1"/>
  <c r="M4914" i="1"/>
  <c r="L4915" i="1"/>
  <c r="M4915" i="1"/>
  <c r="L4916" i="1"/>
  <c r="M4916" i="1"/>
  <c r="L4917" i="1"/>
  <c r="M4917" i="1"/>
  <c r="L4918" i="1"/>
  <c r="M4918" i="1"/>
  <c r="L4919" i="1"/>
  <c r="M4919" i="1"/>
  <c r="M4920" i="1"/>
  <c r="M4921" i="1"/>
  <c r="L4922" i="1"/>
  <c r="M4922" i="1"/>
  <c r="L4923" i="1"/>
  <c r="M4923" i="1"/>
  <c r="L4924" i="1"/>
  <c r="M4924" i="1"/>
  <c r="L4925" i="1"/>
  <c r="M4925" i="1"/>
  <c r="L4926" i="1"/>
  <c r="M4926" i="1"/>
  <c r="L4927" i="1"/>
  <c r="M4927" i="1"/>
  <c r="L4928" i="1"/>
  <c r="M4928" i="1"/>
  <c r="L4929" i="1"/>
  <c r="M4929" i="1"/>
  <c r="L4930" i="1"/>
  <c r="M4930" i="1"/>
  <c r="L4931" i="1"/>
  <c r="M4931" i="1"/>
  <c r="A4888" i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6" i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7" i="1"/>
  <c r="A4928" i="1" s="1"/>
  <c r="A4929" i="1" s="1"/>
  <c r="A4931" i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6" i="1"/>
  <c r="A4947" i="1" s="1"/>
  <c r="A4948" i="1" s="1"/>
  <c r="A4949" i="1" s="1"/>
  <c r="A4950" i="1" s="1"/>
  <c r="A4951" i="1" s="1"/>
  <c r="A4952" i="1" s="1"/>
  <c r="L4897" i="1"/>
  <c r="M4897" i="1"/>
  <c r="L4898" i="1"/>
  <c r="M4898" i="1"/>
  <c r="L4899" i="1"/>
  <c r="M4899" i="1"/>
  <c r="L4900" i="1"/>
  <c r="M4900" i="1"/>
  <c r="L4901" i="1"/>
  <c r="M4901" i="1"/>
  <c r="L4902" i="1"/>
  <c r="M4902" i="1"/>
  <c r="L4903" i="1"/>
  <c r="M4903" i="1"/>
  <c r="L4904" i="1"/>
  <c r="M4904" i="1"/>
  <c r="L4905" i="1"/>
  <c r="M4905" i="1"/>
  <c r="L4906" i="1"/>
  <c r="M4906" i="1"/>
  <c r="A4971" i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56" i="1"/>
  <c r="L4857" i="1"/>
  <c r="L4858" i="1"/>
  <c r="L4860" i="1"/>
  <c r="L4861" i="1"/>
  <c r="L4862" i="1"/>
  <c r="L4863" i="1"/>
  <c r="L4864" i="1"/>
  <c r="L4865" i="1"/>
  <c r="L4845" i="1"/>
  <c r="L4846" i="1"/>
  <c r="L4847" i="1"/>
  <c r="L4848" i="1"/>
  <c r="L4849" i="1"/>
  <c r="L4850" i="1"/>
  <c r="L4851" i="1"/>
  <c r="L4852" i="1"/>
  <c r="L4853" i="1"/>
  <c r="L4854" i="1"/>
  <c r="L4855" i="1"/>
  <c r="L4834" i="1"/>
  <c r="L4835" i="1"/>
  <c r="L4836" i="1"/>
  <c r="L4837" i="1"/>
  <c r="L4838" i="1"/>
  <c r="L4839" i="1"/>
  <c r="L4840" i="1"/>
  <c r="L4841" i="1"/>
  <c r="L4842" i="1"/>
  <c r="L4843" i="1"/>
  <c r="L4844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58" i="1"/>
  <c r="M4859" i="1"/>
  <c r="M4860" i="1"/>
  <c r="M4861" i="1"/>
  <c r="M4862" i="1"/>
  <c r="M4863" i="1"/>
  <c r="M4864" i="1"/>
  <c r="M4865" i="1"/>
  <c r="M4852" i="1"/>
  <c r="M4853" i="1"/>
  <c r="M4854" i="1"/>
  <c r="M4855" i="1"/>
  <c r="M4856" i="1"/>
  <c r="M4857" i="1"/>
  <c r="M4845" i="1"/>
  <c r="M4846" i="1"/>
  <c r="M4847" i="1"/>
  <c r="M4848" i="1"/>
  <c r="M4849" i="1"/>
  <c r="M4850" i="1"/>
  <c r="M4851" i="1"/>
  <c r="M4844" i="1"/>
  <c r="M4843" i="1"/>
  <c r="M4832" i="1"/>
  <c r="M4833" i="1"/>
  <c r="M4834" i="1"/>
  <c r="M4835" i="1"/>
  <c r="M4836" i="1"/>
  <c r="M4837" i="1"/>
  <c r="M4838" i="1"/>
  <c r="M4839" i="1"/>
  <c r="M4840" i="1"/>
  <c r="M4841" i="1"/>
  <c r="M4842" i="1"/>
  <c r="M4826" i="1"/>
  <c r="M4827" i="1"/>
  <c r="M4828" i="1"/>
  <c r="M4829" i="1"/>
  <c r="M4830" i="1"/>
  <c r="M4831" i="1"/>
  <c r="M4819" i="1"/>
  <c r="M4820" i="1"/>
  <c r="M4821" i="1"/>
  <c r="M4822" i="1"/>
  <c r="M4823" i="1"/>
  <c r="M4824" i="1"/>
  <c r="M4825" i="1"/>
  <c r="L4810" i="1"/>
  <c r="M4810" i="1"/>
  <c r="L4811" i="1"/>
  <c r="M4811" i="1"/>
  <c r="L4812" i="1"/>
  <c r="M4812" i="1"/>
  <c r="L4813" i="1"/>
  <c r="M4813" i="1"/>
  <c r="L4814" i="1"/>
  <c r="M4814" i="1"/>
  <c r="L4815" i="1"/>
  <c r="M4815" i="1"/>
  <c r="L4816" i="1"/>
  <c r="M4816" i="1"/>
  <c r="M4817" i="1"/>
  <c r="M4818" i="1"/>
  <c r="L4800" i="1"/>
  <c r="M4800" i="1"/>
  <c r="L4801" i="1"/>
  <c r="M4801" i="1"/>
  <c r="L4802" i="1"/>
  <c r="M4802" i="1"/>
  <c r="L4803" i="1"/>
  <c r="M4803" i="1"/>
  <c r="L4804" i="1"/>
  <c r="M4804" i="1"/>
  <c r="L4805" i="1"/>
  <c r="M4805" i="1"/>
  <c r="L4806" i="1"/>
  <c r="M4806" i="1"/>
  <c r="L4807" i="1"/>
  <c r="M4807" i="1"/>
  <c r="L4808" i="1"/>
  <c r="M4808" i="1"/>
  <c r="L4809" i="1"/>
  <c r="M4809" i="1"/>
  <c r="A4800" i="1"/>
  <c r="A4801" i="1" s="1"/>
  <c r="A4802" i="1" s="1"/>
  <c r="A4803" i="1" s="1"/>
  <c r="A4804" i="1" s="1"/>
  <c r="A4805" i="1" s="1"/>
  <c r="A4806" i="1" s="1"/>
  <c r="A4807" i="1" s="1"/>
  <c r="L4793" i="1"/>
  <c r="M4793" i="1"/>
  <c r="L4794" i="1"/>
  <c r="M4794" i="1"/>
  <c r="L4795" i="1"/>
  <c r="M4795" i="1"/>
  <c r="L4796" i="1"/>
  <c r="M4796" i="1"/>
  <c r="L4797" i="1"/>
  <c r="M4797" i="1"/>
  <c r="L4798" i="1"/>
  <c r="M4798" i="1"/>
  <c r="L4799" i="1"/>
  <c r="M4799" i="1"/>
  <c r="L4785" i="1"/>
  <c r="M4785" i="1"/>
  <c r="L4786" i="1"/>
  <c r="M4786" i="1"/>
  <c r="L4787" i="1"/>
  <c r="M4787" i="1"/>
  <c r="L4788" i="1"/>
  <c r="M4788" i="1"/>
  <c r="L4789" i="1"/>
  <c r="M4789" i="1"/>
  <c r="L4790" i="1"/>
  <c r="M4790" i="1"/>
  <c r="L4791" i="1"/>
  <c r="M4791" i="1"/>
  <c r="L4792" i="1"/>
  <c r="M4792" i="1"/>
  <c r="L4778" i="1"/>
  <c r="M4778" i="1"/>
  <c r="L4779" i="1"/>
  <c r="M4779" i="1"/>
  <c r="L4780" i="1"/>
  <c r="M4780" i="1"/>
  <c r="L4781" i="1"/>
  <c r="M4781" i="1"/>
  <c r="L4782" i="1"/>
  <c r="M4782" i="1"/>
  <c r="L4783" i="1"/>
  <c r="M4783" i="1"/>
  <c r="L4784" i="1"/>
  <c r="M4784" i="1"/>
  <c r="A4809" i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3" i="1"/>
  <c r="A4824" i="1" s="1"/>
  <c r="A4825" i="1" s="1"/>
  <c r="A4826" i="1" s="1"/>
  <c r="A4827" i="1" s="1"/>
  <c r="A4828" i="1" s="1"/>
  <c r="A4829" i="1" s="1"/>
  <c r="A4831" i="1"/>
  <c r="A4832" i="1" s="1"/>
  <c r="A4834" i="1"/>
  <c r="A4835" i="1" s="1"/>
  <c r="A4836" i="1" s="1"/>
  <c r="A4837" i="1" s="1"/>
  <c r="A4838" i="1" s="1"/>
  <c r="A4839" i="1" s="1"/>
  <c r="A4840" i="1" s="1"/>
  <c r="A4841" i="1" s="1"/>
  <c r="A4842" i="1" s="1"/>
  <c r="L4770" i="1"/>
  <c r="M4770" i="1"/>
  <c r="L4771" i="1"/>
  <c r="M4771" i="1"/>
  <c r="L4772" i="1"/>
  <c r="M4772" i="1"/>
  <c r="L4773" i="1"/>
  <c r="M4773" i="1"/>
  <c r="L4774" i="1"/>
  <c r="M4774" i="1"/>
  <c r="L4775" i="1"/>
  <c r="M4775" i="1"/>
  <c r="L4776" i="1"/>
  <c r="M4776" i="1"/>
  <c r="L4777" i="1"/>
  <c r="M4777" i="1"/>
  <c r="L4764" i="1"/>
  <c r="M4764" i="1"/>
  <c r="L4765" i="1"/>
  <c r="M4765" i="1"/>
  <c r="L4766" i="1"/>
  <c r="M4766" i="1"/>
  <c r="L4767" i="1"/>
  <c r="M4767" i="1"/>
  <c r="L4768" i="1"/>
  <c r="M4768" i="1"/>
  <c r="L4769" i="1"/>
  <c r="M4769" i="1"/>
  <c r="L4753" i="1"/>
  <c r="M4753" i="1"/>
  <c r="L4754" i="1"/>
  <c r="M4754" i="1"/>
  <c r="L4755" i="1"/>
  <c r="M4755" i="1"/>
  <c r="L4756" i="1"/>
  <c r="M4756" i="1"/>
  <c r="L4757" i="1"/>
  <c r="M4757" i="1"/>
  <c r="L4758" i="1"/>
  <c r="M4758" i="1"/>
  <c r="L4759" i="1"/>
  <c r="M4759" i="1"/>
  <c r="L4760" i="1"/>
  <c r="M4760" i="1"/>
  <c r="L4761" i="1"/>
  <c r="M4761" i="1"/>
  <c r="L4762" i="1"/>
  <c r="M4762" i="1"/>
  <c r="L4763" i="1"/>
  <c r="M4763" i="1"/>
  <c r="A4852" i="1"/>
  <c r="A4853" i="1" s="1"/>
  <c r="A4854" i="1" s="1"/>
  <c r="A4855" i="1" s="1"/>
  <c r="A4856" i="1" s="1"/>
  <c r="L4746" i="1"/>
  <c r="M4746" i="1"/>
  <c r="L4747" i="1"/>
  <c r="M4747" i="1"/>
  <c r="L4748" i="1"/>
  <c r="M4748" i="1"/>
  <c r="L4749" i="1"/>
  <c r="M4749" i="1"/>
  <c r="L4750" i="1"/>
  <c r="M4750" i="1"/>
  <c r="L4751" i="1"/>
  <c r="M4751" i="1"/>
  <c r="L4752" i="1"/>
  <c r="M4752" i="1"/>
  <c r="L4741" i="1"/>
  <c r="M4741" i="1"/>
  <c r="L4742" i="1"/>
  <c r="M4742" i="1"/>
  <c r="L4743" i="1"/>
  <c r="M4743" i="1"/>
  <c r="L4744" i="1"/>
  <c r="M4744" i="1"/>
  <c r="L4745" i="1"/>
  <c r="M4745" i="1"/>
  <c r="C4984" i="1"/>
  <c r="H4984" i="1" s="1"/>
  <c r="L4725" i="1"/>
  <c r="M4725" i="1"/>
  <c r="L4726" i="1"/>
  <c r="M4726" i="1"/>
  <c r="L4727" i="1"/>
  <c r="M4727" i="1"/>
  <c r="L4728" i="1"/>
  <c r="M4728" i="1"/>
  <c r="L4729" i="1"/>
  <c r="M4729" i="1"/>
  <c r="L4730" i="1"/>
  <c r="M4730" i="1"/>
  <c r="L4731" i="1"/>
  <c r="M4731" i="1"/>
  <c r="L4732" i="1"/>
  <c r="M4732" i="1"/>
  <c r="L4733" i="1"/>
  <c r="M4733" i="1"/>
  <c r="L4734" i="1"/>
  <c r="M4734" i="1"/>
  <c r="L4735" i="1"/>
  <c r="M4735" i="1"/>
  <c r="L4736" i="1"/>
  <c r="M4736" i="1"/>
  <c r="L4737" i="1"/>
  <c r="M4737" i="1"/>
  <c r="L4738" i="1"/>
  <c r="M4738" i="1"/>
  <c r="L4739" i="1"/>
  <c r="M4739" i="1"/>
  <c r="L4740" i="1"/>
  <c r="M4740" i="1"/>
  <c r="L4713" i="1"/>
  <c r="M4713" i="1"/>
  <c r="L4714" i="1"/>
  <c r="M4714" i="1"/>
  <c r="L4715" i="1"/>
  <c r="M4715" i="1"/>
  <c r="L4716" i="1"/>
  <c r="M4716" i="1"/>
  <c r="L4717" i="1"/>
  <c r="M4717" i="1"/>
  <c r="L4718" i="1"/>
  <c r="M4718" i="1"/>
  <c r="L4719" i="1"/>
  <c r="M4719" i="1"/>
  <c r="L4720" i="1"/>
  <c r="M4720" i="1"/>
  <c r="L4721" i="1"/>
  <c r="M4721" i="1"/>
  <c r="L4722" i="1"/>
  <c r="M4722" i="1"/>
  <c r="L4723" i="1"/>
  <c r="M4723" i="1"/>
  <c r="L4724" i="1"/>
  <c r="M4724" i="1"/>
  <c r="A4713" i="1"/>
  <c r="A4714" i="1" s="1"/>
  <c r="A4715" i="1" s="1"/>
  <c r="A4716" i="1" s="1"/>
  <c r="A4718" i="1"/>
  <c r="A4719" i="1" s="1"/>
  <c r="A4720" i="1" s="1"/>
  <c r="A4721" i="1" s="1"/>
  <c r="A4722" i="1" s="1"/>
  <c r="A4724" i="1"/>
  <c r="A4725" i="1" s="1"/>
  <c r="A4726" i="1" s="1"/>
  <c r="A4727" i="1" s="1"/>
  <c r="A4728" i="1" s="1"/>
  <c r="A4731" i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L4697" i="1"/>
  <c r="M4697" i="1"/>
  <c r="L4698" i="1"/>
  <c r="M4698" i="1"/>
  <c r="L4699" i="1"/>
  <c r="M4699" i="1"/>
  <c r="L4700" i="1"/>
  <c r="M4700" i="1"/>
  <c r="L4701" i="1"/>
  <c r="M4701" i="1"/>
  <c r="L4702" i="1"/>
  <c r="M4702" i="1"/>
  <c r="L4703" i="1"/>
  <c r="M4703" i="1"/>
  <c r="L4704" i="1"/>
  <c r="M4704" i="1"/>
  <c r="L4705" i="1"/>
  <c r="M4705" i="1"/>
  <c r="L4706" i="1"/>
  <c r="M4706" i="1"/>
  <c r="L4707" i="1"/>
  <c r="M4707" i="1"/>
  <c r="L4708" i="1"/>
  <c r="M4708" i="1"/>
  <c r="L4709" i="1"/>
  <c r="M4709" i="1"/>
  <c r="L4710" i="1"/>
  <c r="M4710" i="1"/>
  <c r="L4711" i="1"/>
  <c r="M4711" i="1"/>
  <c r="L4712" i="1"/>
  <c r="M4712" i="1"/>
  <c r="L4686" i="1"/>
  <c r="M4686" i="1"/>
  <c r="L4687" i="1"/>
  <c r="M4687" i="1"/>
  <c r="L4688" i="1"/>
  <c r="M4688" i="1"/>
  <c r="L4689" i="1"/>
  <c r="M4689" i="1"/>
  <c r="L4690" i="1"/>
  <c r="M4690" i="1"/>
  <c r="L4691" i="1"/>
  <c r="M4691" i="1"/>
  <c r="L4692" i="1"/>
  <c r="M4692" i="1"/>
  <c r="L4693" i="1"/>
  <c r="M4693" i="1"/>
  <c r="L4694" i="1"/>
  <c r="M4694" i="1"/>
  <c r="L4695" i="1"/>
  <c r="M4695" i="1"/>
  <c r="L4696" i="1"/>
  <c r="M4696" i="1"/>
  <c r="L4675" i="1"/>
  <c r="M4675" i="1"/>
  <c r="L4676" i="1"/>
  <c r="M4676" i="1"/>
  <c r="L4677" i="1"/>
  <c r="M4677" i="1"/>
  <c r="L4678" i="1"/>
  <c r="M4678" i="1"/>
  <c r="L4679" i="1"/>
  <c r="M4679" i="1"/>
  <c r="L4680" i="1"/>
  <c r="M4680" i="1"/>
  <c r="L4681" i="1"/>
  <c r="M4681" i="1"/>
  <c r="L4682" i="1"/>
  <c r="M4682" i="1"/>
  <c r="L4683" i="1"/>
  <c r="M4683" i="1"/>
  <c r="L4684" i="1"/>
  <c r="M4684" i="1"/>
  <c r="L4685" i="1"/>
  <c r="M4685" i="1"/>
  <c r="G4984" i="1"/>
  <c r="L4667" i="1"/>
  <c r="M4667" i="1"/>
  <c r="L4668" i="1"/>
  <c r="M4668" i="1"/>
  <c r="L4669" i="1"/>
  <c r="M4669" i="1"/>
  <c r="L4670" i="1"/>
  <c r="M4670" i="1"/>
  <c r="L4671" i="1"/>
  <c r="M4671" i="1"/>
  <c r="L4672" i="1"/>
  <c r="M4672" i="1"/>
  <c r="L4673" i="1"/>
  <c r="M4673" i="1"/>
  <c r="L4674" i="1"/>
  <c r="M4674" i="1"/>
  <c r="L4655" i="1"/>
  <c r="M4655" i="1"/>
  <c r="L4656" i="1"/>
  <c r="M4656" i="1"/>
  <c r="L4657" i="1"/>
  <c r="M4657" i="1"/>
  <c r="L4658" i="1"/>
  <c r="M4658" i="1"/>
  <c r="L4659" i="1"/>
  <c r="M4659" i="1"/>
  <c r="L4660" i="1"/>
  <c r="M4660" i="1"/>
  <c r="L4661" i="1"/>
  <c r="M4661" i="1"/>
  <c r="L4662" i="1"/>
  <c r="M4662" i="1"/>
  <c r="L4663" i="1"/>
  <c r="M4663" i="1"/>
  <c r="L4665" i="1"/>
  <c r="M4665" i="1"/>
  <c r="L4666" i="1"/>
  <c r="M4666" i="1"/>
  <c r="A4659" i="1"/>
  <c r="A4660" i="1" s="1"/>
  <c r="A4661" i="1" s="1"/>
  <c r="A4662" i="1" s="1"/>
  <c r="A4663" i="1" s="1"/>
  <c r="A4672" i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1" i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L4646" i="1"/>
  <c r="M4646" i="1"/>
  <c r="L4647" i="1"/>
  <c r="M4647" i="1"/>
  <c r="L4648" i="1"/>
  <c r="M4648" i="1"/>
  <c r="L4649" i="1"/>
  <c r="M4649" i="1"/>
  <c r="L4650" i="1"/>
  <c r="M4650" i="1"/>
  <c r="L4651" i="1"/>
  <c r="M4651" i="1"/>
  <c r="L4652" i="1"/>
  <c r="M4652" i="1"/>
  <c r="L4653" i="1"/>
  <c r="M4653" i="1"/>
  <c r="L4654" i="1"/>
  <c r="M4654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L4635" i="1"/>
  <c r="E4984" i="1"/>
  <c r="L4632" i="1"/>
  <c r="M4632" i="1"/>
  <c r="L4633" i="1"/>
  <c r="M4633" i="1"/>
  <c r="L4634" i="1"/>
  <c r="L4636" i="1"/>
  <c r="L4637" i="1"/>
  <c r="L4638" i="1"/>
  <c r="L4639" i="1"/>
  <c r="L4640" i="1"/>
  <c r="L4641" i="1"/>
  <c r="L4642" i="1"/>
  <c r="L4644" i="1"/>
  <c r="L4645" i="1"/>
  <c r="A4632" i="1"/>
  <c r="A4633" i="1" s="1"/>
  <c r="A4634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743" i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L4627" i="1"/>
  <c r="M4627" i="1"/>
  <c r="L4628" i="1"/>
  <c r="M4628" i="1"/>
  <c r="L4629" i="1"/>
  <c r="M4629" i="1"/>
  <c r="L4630" i="1"/>
  <c r="M4630" i="1"/>
  <c r="L4631" i="1"/>
  <c r="M4631" i="1"/>
  <c r="L4613" i="1"/>
  <c r="M4613" i="1"/>
  <c r="L4614" i="1"/>
  <c r="M4614" i="1"/>
  <c r="L4615" i="1"/>
  <c r="M4615" i="1"/>
  <c r="L4616" i="1"/>
  <c r="M4616" i="1"/>
  <c r="L4617" i="1"/>
  <c r="M4617" i="1"/>
  <c r="L4618" i="1"/>
  <c r="M4618" i="1"/>
  <c r="L4619" i="1"/>
  <c r="M4619" i="1"/>
  <c r="L4620" i="1"/>
  <c r="M4620" i="1"/>
  <c r="L4621" i="1"/>
  <c r="M4621" i="1"/>
  <c r="L4622" i="1"/>
  <c r="M4622" i="1"/>
  <c r="L4623" i="1"/>
  <c r="M4623" i="1"/>
  <c r="L4624" i="1"/>
  <c r="M4624" i="1"/>
  <c r="L4625" i="1"/>
  <c r="M4625" i="1"/>
  <c r="L4626" i="1"/>
  <c r="M4626" i="1"/>
  <c r="F4984" i="1"/>
  <c r="M4612" i="1"/>
  <c r="L4612" i="1"/>
  <c r="M4611" i="1"/>
  <c r="L4611" i="1"/>
  <c r="M4610" i="1"/>
  <c r="L4597" i="1"/>
  <c r="M4597" i="1"/>
  <c r="L4598" i="1"/>
  <c r="M4598" i="1"/>
  <c r="L4599" i="1"/>
  <c r="M4599" i="1"/>
  <c r="L4600" i="1"/>
  <c r="M4600" i="1"/>
  <c r="L4601" i="1"/>
  <c r="M4601" i="1"/>
  <c r="L4602" i="1"/>
  <c r="M4602" i="1"/>
  <c r="L4603" i="1"/>
  <c r="M4603" i="1"/>
  <c r="L4604" i="1"/>
  <c r="M4604" i="1"/>
  <c r="L4605" i="1"/>
  <c r="M4605" i="1"/>
  <c r="L4606" i="1"/>
  <c r="M4606" i="1"/>
  <c r="L4607" i="1"/>
  <c r="M4607" i="1"/>
  <c r="A4757" i="1"/>
  <c r="A4758" i="1" s="1"/>
  <c r="A4759" i="1" s="1"/>
  <c r="A4761" i="1"/>
  <c r="A4762" i="1" s="1"/>
  <c r="A4763" i="1" s="1"/>
  <c r="A4764" i="1" s="1"/>
  <c r="A4766" i="1"/>
  <c r="A4767" i="1" s="1"/>
  <c r="A4769" i="1"/>
  <c r="A4770" i="1" s="1"/>
  <c r="A4771" i="1" s="1"/>
  <c r="A4772" i="1" s="1"/>
  <c r="A4773" i="1" s="1"/>
  <c r="A4775" i="1"/>
  <c r="A4776" i="1" s="1"/>
  <c r="A4777" i="1" s="1"/>
  <c r="A4778" i="1" s="1"/>
  <c r="A4779" i="1" s="1"/>
  <c r="A4611" i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781" i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L4582" i="1"/>
  <c r="M4582" i="1"/>
  <c r="L4583" i="1"/>
  <c r="M4583" i="1"/>
  <c r="L4584" i="1"/>
  <c r="M4584" i="1"/>
  <c r="L4585" i="1"/>
  <c r="M4585" i="1"/>
  <c r="L4586" i="1"/>
  <c r="M4586" i="1"/>
  <c r="L4587" i="1"/>
  <c r="M4587" i="1"/>
  <c r="L4588" i="1"/>
  <c r="M4588" i="1"/>
  <c r="L4589" i="1"/>
  <c r="M4589" i="1"/>
  <c r="L4590" i="1"/>
  <c r="M4590" i="1"/>
  <c r="L4591" i="1"/>
  <c r="M4591" i="1"/>
  <c r="L4592" i="1"/>
  <c r="M4592" i="1"/>
  <c r="L4593" i="1"/>
  <c r="M4593" i="1"/>
  <c r="L4594" i="1"/>
  <c r="M4594" i="1"/>
  <c r="L4595" i="1"/>
  <c r="M4595" i="1"/>
  <c r="L4596" i="1"/>
  <c r="M4596" i="1"/>
  <c r="A4582" i="1"/>
  <c r="A4583" i="1" s="1"/>
  <c r="A4584" i="1" s="1"/>
  <c r="A4585" i="1" s="1"/>
  <c r="A4586" i="1" s="1"/>
  <c r="A4587" i="1" s="1"/>
  <c r="A4588" i="1" s="1"/>
  <c r="A4590" i="1"/>
  <c r="A4591" i="1" s="1"/>
  <c r="A4592" i="1" s="1"/>
  <c r="A4593" i="1" s="1"/>
  <c r="A4594" i="1" s="1"/>
  <c r="A4595" i="1" s="1"/>
  <c r="A4596" i="1" s="1"/>
  <c r="A4597" i="1" s="1"/>
  <c r="A4598" i="1" s="1"/>
  <c r="A4599" i="1" s="1"/>
  <c r="L4571" i="1"/>
  <c r="M4571" i="1"/>
  <c r="L4572" i="1"/>
  <c r="M4572" i="1"/>
  <c r="L4573" i="1"/>
  <c r="M4573" i="1"/>
  <c r="L4574" i="1"/>
  <c r="M4574" i="1"/>
  <c r="L4575" i="1"/>
  <c r="M4575" i="1"/>
  <c r="L4576" i="1"/>
  <c r="M4576" i="1"/>
  <c r="L4577" i="1"/>
  <c r="M4577" i="1"/>
  <c r="L4578" i="1"/>
  <c r="M4578" i="1"/>
  <c r="L4579" i="1"/>
  <c r="M4579" i="1"/>
  <c r="L4580" i="1"/>
  <c r="M4580" i="1"/>
  <c r="L4581" i="1"/>
  <c r="M4581" i="1"/>
  <c r="L4552" i="1"/>
  <c r="M4552" i="1"/>
  <c r="L4553" i="1"/>
  <c r="M4553" i="1"/>
  <c r="L4554" i="1"/>
  <c r="M4554" i="1"/>
  <c r="L4555" i="1"/>
  <c r="M4555" i="1"/>
  <c r="L4556" i="1"/>
  <c r="M4556" i="1"/>
  <c r="L4557" i="1"/>
  <c r="M4557" i="1"/>
  <c r="L4558" i="1"/>
  <c r="M4558" i="1"/>
  <c r="L4559" i="1"/>
  <c r="M4559" i="1"/>
  <c r="L4560" i="1"/>
  <c r="M4560" i="1"/>
  <c r="L4561" i="1"/>
  <c r="M4561" i="1"/>
  <c r="L4562" i="1"/>
  <c r="M4562" i="1"/>
  <c r="L4563" i="1"/>
  <c r="M4563" i="1"/>
  <c r="L4564" i="1"/>
  <c r="M4564" i="1"/>
  <c r="L4565" i="1"/>
  <c r="M4565" i="1"/>
  <c r="L4566" i="1"/>
  <c r="M4566" i="1"/>
  <c r="L4567" i="1"/>
  <c r="M4567" i="1"/>
  <c r="L4568" i="1"/>
  <c r="M4568" i="1"/>
  <c r="L4569" i="1"/>
  <c r="M4569" i="1"/>
  <c r="L4570" i="1"/>
  <c r="M4570" i="1"/>
  <c r="L4533" i="1"/>
  <c r="M4533" i="1"/>
  <c r="L4534" i="1"/>
  <c r="M4534" i="1"/>
  <c r="L4535" i="1"/>
  <c r="M4535" i="1"/>
  <c r="L4536" i="1"/>
  <c r="M4536" i="1"/>
  <c r="L4537" i="1"/>
  <c r="M4537" i="1"/>
  <c r="L4538" i="1"/>
  <c r="M4538" i="1"/>
  <c r="L4539" i="1"/>
  <c r="M4539" i="1"/>
  <c r="L4540" i="1"/>
  <c r="M4540" i="1"/>
  <c r="L4541" i="1"/>
  <c r="M4541" i="1"/>
  <c r="L4542" i="1"/>
  <c r="M4542" i="1"/>
  <c r="L4543" i="1"/>
  <c r="M4543" i="1"/>
  <c r="L4544" i="1"/>
  <c r="M4544" i="1"/>
  <c r="L4545" i="1"/>
  <c r="M4545" i="1"/>
  <c r="L4546" i="1"/>
  <c r="M4546" i="1"/>
  <c r="L4547" i="1"/>
  <c r="M4547" i="1"/>
  <c r="L4548" i="1"/>
  <c r="M4548" i="1"/>
  <c r="L4549" i="1"/>
  <c r="M4549" i="1"/>
  <c r="L4550" i="1"/>
  <c r="M4550" i="1"/>
  <c r="L4551" i="1"/>
  <c r="M4551" i="1"/>
  <c r="L4522" i="1"/>
  <c r="M4522" i="1"/>
  <c r="L4523" i="1"/>
  <c r="M4523" i="1"/>
  <c r="M4524" i="1"/>
  <c r="L4525" i="1"/>
  <c r="M4525" i="1"/>
  <c r="L4526" i="1"/>
  <c r="M4526" i="1"/>
  <c r="L4527" i="1"/>
  <c r="M4527" i="1"/>
  <c r="L4528" i="1"/>
  <c r="M4528" i="1"/>
  <c r="L4529" i="1"/>
  <c r="M4529" i="1"/>
  <c r="L4530" i="1"/>
  <c r="M4530" i="1"/>
  <c r="L4531" i="1"/>
  <c r="M4531" i="1"/>
  <c r="L4532" i="1"/>
  <c r="M4532" i="1"/>
  <c r="A4602" i="1"/>
  <c r="A4603" i="1" s="1"/>
  <c r="A4604" i="1" s="1"/>
  <c r="A4605" i="1" s="1"/>
  <c r="A4606" i="1" s="1"/>
  <c r="A4607" i="1" s="1"/>
  <c r="L4502" i="1"/>
  <c r="M4502" i="1"/>
  <c r="L4503" i="1"/>
  <c r="M4503" i="1"/>
  <c r="L4504" i="1"/>
  <c r="M4504" i="1"/>
  <c r="L4505" i="1"/>
  <c r="M4505" i="1"/>
  <c r="L4506" i="1"/>
  <c r="M4506" i="1"/>
  <c r="L4507" i="1"/>
  <c r="M4507" i="1"/>
  <c r="L4508" i="1"/>
  <c r="M4508" i="1"/>
  <c r="L4509" i="1"/>
  <c r="M4509" i="1"/>
  <c r="L4510" i="1"/>
  <c r="M4510" i="1"/>
  <c r="L4511" i="1"/>
  <c r="M4511" i="1"/>
  <c r="L4512" i="1"/>
  <c r="M4512" i="1"/>
  <c r="L4513" i="1"/>
  <c r="M4513" i="1"/>
  <c r="L4514" i="1"/>
  <c r="M4514" i="1"/>
  <c r="L4515" i="1"/>
  <c r="M4515" i="1"/>
  <c r="L4516" i="1"/>
  <c r="M4516" i="1"/>
  <c r="L4517" i="1"/>
  <c r="M4517" i="1"/>
  <c r="L4518" i="1"/>
  <c r="M4518" i="1"/>
  <c r="L4519" i="1"/>
  <c r="M4519" i="1"/>
  <c r="L4520" i="1"/>
  <c r="M4520" i="1"/>
  <c r="L4521" i="1"/>
  <c r="M4521" i="1"/>
  <c r="L4495" i="1"/>
  <c r="M4495" i="1"/>
  <c r="L4496" i="1"/>
  <c r="M4496" i="1"/>
  <c r="L4497" i="1"/>
  <c r="M4497" i="1"/>
  <c r="L4498" i="1"/>
  <c r="M4498" i="1"/>
  <c r="L4499" i="1"/>
  <c r="M4499" i="1"/>
  <c r="L4500" i="1"/>
  <c r="M4500" i="1"/>
  <c r="L4501" i="1"/>
  <c r="M4501" i="1"/>
  <c r="L4484" i="1"/>
  <c r="M4484" i="1"/>
  <c r="L4485" i="1"/>
  <c r="M4485" i="1"/>
  <c r="L4486" i="1"/>
  <c r="M4486" i="1"/>
  <c r="L4487" i="1"/>
  <c r="M4487" i="1"/>
  <c r="L4488" i="1"/>
  <c r="M4488" i="1"/>
  <c r="L4489" i="1"/>
  <c r="M4489" i="1"/>
  <c r="L4490" i="1"/>
  <c r="M4490" i="1"/>
  <c r="L4491" i="1"/>
  <c r="M4491" i="1"/>
  <c r="L4492" i="1"/>
  <c r="M4492" i="1"/>
  <c r="L4493" i="1"/>
  <c r="M4493" i="1"/>
  <c r="L4494" i="1"/>
  <c r="M4494" i="1"/>
  <c r="L4471" i="1"/>
  <c r="M4471" i="1"/>
  <c r="L4472" i="1"/>
  <c r="M4472" i="1"/>
  <c r="L4473" i="1"/>
  <c r="M4473" i="1"/>
  <c r="L4474" i="1"/>
  <c r="M4474" i="1"/>
  <c r="L4475" i="1"/>
  <c r="M4475" i="1"/>
  <c r="L4476" i="1"/>
  <c r="M4476" i="1"/>
  <c r="L4477" i="1"/>
  <c r="M4477" i="1"/>
  <c r="L4478" i="1"/>
  <c r="M4478" i="1"/>
  <c r="L4479" i="1"/>
  <c r="M4479" i="1"/>
  <c r="L4480" i="1"/>
  <c r="M4480" i="1"/>
  <c r="L4481" i="1"/>
  <c r="M4481" i="1"/>
  <c r="L4482" i="1"/>
  <c r="M4482" i="1"/>
  <c r="L4483" i="1"/>
  <c r="M4483" i="1"/>
  <c r="A4472" i="1"/>
  <c r="A4473" i="1" s="1"/>
  <c r="A4474" i="1" s="1"/>
  <c r="A4475" i="1" s="1"/>
  <c r="A4477" i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L4459" i="1"/>
  <c r="M4459" i="1"/>
  <c r="L4460" i="1"/>
  <c r="M4460" i="1"/>
  <c r="L4461" i="1"/>
  <c r="M4461" i="1"/>
  <c r="L4462" i="1"/>
  <c r="M4462" i="1"/>
  <c r="L4463" i="1"/>
  <c r="M4463" i="1"/>
  <c r="L4464" i="1"/>
  <c r="M4464" i="1"/>
  <c r="L4465" i="1"/>
  <c r="M4465" i="1"/>
  <c r="L4466" i="1"/>
  <c r="M4466" i="1"/>
  <c r="L4467" i="1"/>
  <c r="M4467" i="1"/>
  <c r="L4468" i="1"/>
  <c r="M4468" i="1"/>
  <c r="L4469" i="1"/>
  <c r="M4469" i="1"/>
  <c r="L4470" i="1"/>
  <c r="M4470" i="1"/>
  <c r="A4501" i="1"/>
  <c r="A4502" i="1" s="1"/>
  <c r="A4503" i="1" s="1"/>
  <c r="A4504" i="1" s="1"/>
  <c r="A4506" i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L4457" i="1"/>
  <c r="M4457" i="1"/>
  <c r="L4444" i="1"/>
  <c r="M4444" i="1"/>
  <c r="L4445" i="1"/>
  <c r="M4445" i="1"/>
  <c r="L4446" i="1"/>
  <c r="M4446" i="1"/>
  <c r="L4447" i="1"/>
  <c r="M4447" i="1"/>
  <c r="L4448" i="1"/>
  <c r="M4448" i="1"/>
  <c r="L4449" i="1"/>
  <c r="M4449" i="1"/>
  <c r="L4450" i="1"/>
  <c r="M4450" i="1"/>
  <c r="L4451" i="1"/>
  <c r="M4451" i="1"/>
  <c r="L4452" i="1"/>
  <c r="M4452" i="1"/>
  <c r="L4453" i="1"/>
  <c r="M4453" i="1"/>
  <c r="L4454" i="1"/>
  <c r="M4454" i="1"/>
  <c r="L4455" i="1"/>
  <c r="M4455" i="1"/>
  <c r="L4456" i="1"/>
  <c r="M4456" i="1"/>
  <c r="A4531" i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9" i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L4428" i="1"/>
  <c r="M4428" i="1"/>
  <c r="L4429" i="1"/>
  <c r="M4429" i="1"/>
  <c r="L4430" i="1"/>
  <c r="M4430" i="1"/>
  <c r="L4431" i="1"/>
  <c r="M4431" i="1"/>
  <c r="L4432" i="1"/>
  <c r="M4432" i="1"/>
  <c r="L4433" i="1"/>
  <c r="M4433" i="1"/>
  <c r="L4435" i="1"/>
  <c r="M4435" i="1"/>
  <c r="L4436" i="1"/>
  <c r="M4436" i="1"/>
  <c r="L4437" i="1"/>
  <c r="M4437" i="1"/>
  <c r="L4438" i="1"/>
  <c r="M4438" i="1"/>
  <c r="L4439" i="1"/>
  <c r="M4439" i="1"/>
  <c r="L4440" i="1"/>
  <c r="M4440" i="1"/>
  <c r="L4441" i="1"/>
  <c r="M4441" i="1"/>
  <c r="L4442" i="1"/>
  <c r="M4442" i="1"/>
  <c r="L4443" i="1"/>
  <c r="M4443" i="1"/>
  <c r="L4424" i="1"/>
  <c r="M4424" i="1"/>
  <c r="L4425" i="1"/>
  <c r="M4425" i="1"/>
  <c r="L4426" i="1"/>
  <c r="M4426" i="1"/>
  <c r="L4427" i="1"/>
  <c r="M4427" i="1"/>
  <c r="A4570" i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L4410" i="1"/>
  <c r="M4410" i="1"/>
  <c r="L4411" i="1"/>
  <c r="M4411" i="1"/>
  <c r="L4412" i="1"/>
  <c r="M4412" i="1"/>
  <c r="L4413" i="1"/>
  <c r="M4413" i="1"/>
  <c r="L4415" i="1"/>
  <c r="M4415" i="1"/>
  <c r="L4416" i="1"/>
  <c r="M4416" i="1"/>
  <c r="L4417" i="1"/>
  <c r="M4417" i="1"/>
  <c r="L4418" i="1"/>
  <c r="M4418" i="1"/>
  <c r="L4419" i="1"/>
  <c r="M4419" i="1"/>
  <c r="L4420" i="1"/>
  <c r="M4420" i="1"/>
  <c r="L4421" i="1"/>
  <c r="M4421" i="1"/>
  <c r="L4422" i="1"/>
  <c r="M4422" i="1"/>
  <c r="L4423" i="1"/>
  <c r="M4423" i="1"/>
  <c r="L4394" i="1"/>
  <c r="M4394" i="1"/>
  <c r="L4395" i="1"/>
  <c r="M4395" i="1"/>
  <c r="L4396" i="1"/>
  <c r="M4396" i="1"/>
  <c r="L4397" i="1"/>
  <c r="M4397" i="1"/>
  <c r="L4398" i="1"/>
  <c r="M4398" i="1"/>
  <c r="L4399" i="1"/>
  <c r="M4399" i="1"/>
  <c r="L4400" i="1"/>
  <c r="M4400" i="1"/>
  <c r="L4401" i="1"/>
  <c r="M4401" i="1"/>
  <c r="L4402" i="1"/>
  <c r="M4402" i="1"/>
  <c r="L4403" i="1"/>
  <c r="M4403" i="1"/>
  <c r="L4404" i="1"/>
  <c r="M4404" i="1"/>
  <c r="L4405" i="1"/>
  <c r="M4405" i="1"/>
  <c r="L4406" i="1"/>
  <c r="M4406" i="1"/>
  <c r="L4407" i="1"/>
  <c r="M4407" i="1"/>
  <c r="L4408" i="1"/>
  <c r="M4408" i="1"/>
  <c r="L4409" i="1"/>
  <c r="M4409" i="1"/>
  <c r="A4394" i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L4379" i="1"/>
  <c r="M4379" i="1"/>
  <c r="L4380" i="1"/>
  <c r="M4380" i="1"/>
  <c r="L4381" i="1"/>
  <c r="M4381" i="1"/>
  <c r="L4382" i="1"/>
  <c r="M4382" i="1"/>
  <c r="M4383" i="1"/>
  <c r="L4384" i="1"/>
  <c r="M4384" i="1"/>
  <c r="L4385" i="1"/>
  <c r="M4385" i="1"/>
  <c r="L4386" i="1"/>
  <c r="M4386" i="1"/>
  <c r="L4387" i="1"/>
  <c r="M4387" i="1"/>
  <c r="L4388" i="1"/>
  <c r="M4388" i="1"/>
  <c r="L4389" i="1"/>
  <c r="M4389" i="1"/>
  <c r="L4390" i="1"/>
  <c r="M4390" i="1"/>
  <c r="L4391" i="1"/>
  <c r="M4391" i="1"/>
  <c r="L4392" i="1"/>
  <c r="M4392" i="1"/>
  <c r="L4393" i="1"/>
  <c r="M4393" i="1"/>
  <c r="A4426" i="1"/>
  <c r="A4427" i="1" s="1"/>
  <c r="A4428" i="1" s="1"/>
  <c r="A4429" i="1" s="1"/>
  <c r="A4430" i="1" s="1"/>
  <c r="A4431" i="1" s="1"/>
  <c r="A4432" i="1" s="1"/>
  <c r="A4433" i="1" s="1"/>
  <c r="L4369" i="1"/>
  <c r="M4369" i="1"/>
  <c r="L4370" i="1"/>
  <c r="M4370" i="1"/>
  <c r="L4371" i="1"/>
  <c r="M4371" i="1"/>
  <c r="L4372" i="1"/>
  <c r="M4372" i="1"/>
  <c r="L4373" i="1"/>
  <c r="M4373" i="1"/>
  <c r="L4374" i="1"/>
  <c r="M4374" i="1"/>
  <c r="L4375" i="1"/>
  <c r="M4375" i="1"/>
  <c r="L4376" i="1"/>
  <c r="M4376" i="1"/>
  <c r="L4377" i="1"/>
  <c r="M4377" i="1"/>
  <c r="L4378" i="1"/>
  <c r="M4378" i="1"/>
  <c r="L4360" i="1"/>
  <c r="M4360" i="1"/>
  <c r="L4361" i="1"/>
  <c r="M4361" i="1"/>
  <c r="L4362" i="1"/>
  <c r="M4362" i="1"/>
  <c r="L4363" i="1"/>
  <c r="M4363" i="1"/>
  <c r="L4364" i="1"/>
  <c r="M4364" i="1"/>
  <c r="L4365" i="1"/>
  <c r="M4365" i="1"/>
  <c r="L4366" i="1"/>
  <c r="M4366" i="1"/>
  <c r="L4367" i="1"/>
  <c r="M4367" i="1"/>
  <c r="L4368" i="1"/>
  <c r="M4368" i="1"/>
  <c r="L4341" i="1"/>
  <c r="M4341" i="1"/>
  <c r="L4342" i="1"/>
  <c r="M4342" i="1"/>
  <c r="L4343" i="1"/>
  <c r="M4343" i="1"/>
  <c r="L4344" i="1"/>
  <c r="M4344" i="1"/>
  <c r="L4345" i="1"/>
  <c r="M4345" i="1"/>
  <c r="L4346" i="1"/>
  <c r="M4346" i="1"/>
  <c r="L4347" i="1"/>
  <c r="M4347" i="1"/>
  <c r="L4348" i="1"/>
  <c r="M4348" i="1"/>
  <c r="L4349" i="1"/>
  <c r="M4349" i="1"/>
  <c r="L4350" i="1"/>
  <c r="M4350" i="1"/>
  <c r="L4351" i="1"/>
  <c r="M4351" i="1"/>
  <c r="L4352" i="1"/>
  <c r="M4352" i="1"/>
  <c r="L4353" i="1"/>
  <c r="M4353" i="1"/>
  <c r="L4354" i="1"/>
  <c r="M4354" i="1"/>
  <c r="L4355" i="1"/>
  <c r="M4355" i="1"/>
  <c r="L4356" i="1"/>
  <c r="M4356" i="1"/>
  <c r="L4357" i="1"/>
  <c r="M4357" i="1"/>
  <c r="L4358" i="1"/>
  <c r="M4358" i="1"/>
  <c r="L4359" i="1"/>
  <c r="M4359" i="1"/>
  <c r="L4328" i="1"/>
  <c r="M4328" i="1"/>
  <c r="L4329" i="1"/>
  <c r="M4329" i="1"/>
  <c r="L4330" i="1"/>
  <c r="M4330" i="1"/>
  <c r="L4331" i="1"/>
  <c r="M4331" i="1"/>
  <c r="L4332" i="1"/>
  <c r="M4332" i="1"/>
  <c r="L4334" i="1"/>
  <c r="M4334" i="1"/>
  <c r="L4335" i="1"/>
  <c r="M4335" i="1"/>
  <c r="L4336" i="1"/>
  <c r="M4336" i="1"/>
  <c r="L4337" i="1"/>
  <c r="M4337" i="1"/>
  <c r="L4338" i="1"/>
  <c r="M4338" i="1"/>
  <c r="L4340" i="1"/>
  <c r="M4340" i="1"/>
  <c r="A4329" i="1"/>
  <c r="A4330" i="1" s="1"/>
  <c r="A4331" i="1" s="1"/>
  <c r="A4332" i="1" s="1"/>
  <c r="A4340" i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L4313" i="1"/>
  <c r="M4313" i="1"/>
  <c r="L4314" i="1"/>
  <c r="M4314" i="1"/>
  <c r="L4315" i="1"/>
  <c r="M4315" i="1"/>
  <c r="L4316" i="1"/>
  <c r="M4316" i="1"/>
  <c r="L4317" i="1"/>
  <c r="M4317" i="1"/>
  <c r="L4318" i="1"/>
  <c r="M4318" i="1"/>
  <c r="L4319" i="1"/>
  <c r="M4319" i="1"/>
  <c r="L4320" i="1"/>
  <c r="M4320" i="1"/>
  <c r="L4321" i="1"/>
  <c r="M4321" i="1"/>
  <c r="L4322" i="1"/>
  <c r="M4322" i="1"/>
  <c r="L4323" i="1"/>
  <c r="M4323" i="1"/>
  <c r="L4324" i="1"/>
  <c r="M4324" i="1"/>
  <c r="L4325" i="1"/>
  <c r="M4325" i="1"/>
  <c r="L4326" i="1"/>
  <c r="M4326" i="1"/>
  <c r="L4327" i="1"/>
  <c r="M4327" i="1"/>
  <c r="A4446" i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L4301" i="1"/>
  <c r="M4301" i="1"/>
  <c r="L4302" i="1"/>
  <c r="M4302" i="1"/>
  <c r="L4303" i="1"/>
  <c r="M4303" i="1"/>
  <c r="L4304" i="1"/>
  <c r="M4304" i="1"/>
  <c r="L4305" i="1"/>
  <c r="M4305" i="1"/>
  <c r="L4306" i="1"/>
  <c r="M4306" i="1"/>
  <c r="L4307" i="1"/>
  <c r="M4307" i="1"/>
  <c r="L4308" i="1"/>
  <c r="M4308" i="1"/>
  <c r="L4309" i="1"/>
  <c r="M4309" i="1"/>
  <c r="L4310" i="1"/>
  <c r="M4310" i="1"/>
  <c r="L4311" i="1"/>
  <c r="M4311" i="1"/>
  <c r="L4312" i="1"/>
  <c r="M4312" i="1"/>
  <c r="L4273" i="1"/>
  <c r="M4273" i="1"/>
  <c r="L4274" i="1"/>
  <c r="M4274" i="1"/>
  <c r="L4275" i="1"/>
  <c r="M4275" i="1"/>
  <c r="L4276" i="1"/>
  <c r="M4276" i="1"/>
  <c r="L4277" i="1"/>
  <c r="M4277" i="1"/>
  <c r="L4278" i="1"/>
  <c r="M4278" i="1"/>
  <c r="L4279" i="1"/>
  <c r="M4279" i="1"/>
  <c r="L4280" i="1"/>
  <c r="M4280" i="1"/>
  <c r="L4281" i="1"/>
  <c r="M4281" i="1"/>
  <c r="L4282" i="1"/>
  <c r="M4282" i="1"/>
  <c r="L4283" i="1"/>
  <c r="M4283" i="1"/>
  <c r="L4284" i="1"/>
  <c r="M4284" i="1"/>
  <c r="L4285" i="1"/>
  <c r="M4285" i="1"/>
  <c r="L4286" i="1"/>
  <c r="M4286" i="1"/>
  <c r="L4287" i="1"/>
  <c r="M4287" i="1"/>
  <c r="L4288" i="1"/>
  <c r="M4288" i="1"/>
  <c r="L4289" i="1"/>
  <c r="M4289" i="1"/>
  <c r="L4290" i="1"/>
  <c r="M4290" i="1"/>
  <c r="L4291" i="1"/>
  <c r="M4291" i="1"/>
  <c r="L4292" i="1"/>
  <c r="M4292" i="1"/>
  <c r="L4293" i="1"/>
  <c r="M4293" i="1"/>
  <c r="L4294" i="1"/>
  <c r="M4294" i="1"/>
  <c r="L4295" i="1"/>
  <c r="M4295" i="1"/>
  <c r="L4296" i="1"/>
  <c r="M4296" i="1"/>
  <c r="L4297" i="1"/>
  <c r="M4297" i="1"/>
  <c r="L4298" i="1"/>
  <c r="M4298" i="1"/>
  <c r="L4299" i="1"/>
  <c r="M4299" i="1"/>
  <c r="L4300" i="1"/>
  <c r="M4300" i="1"/>
  <c r="L4270" i="1"/>
  <c r="M4270" i="1"/>
  <c r="L4271" i="1"/>
  <c r="M4271" i="1"/>
  <c r="L4272" i="1"/>
  <c r="M4272" i="1"/>
  <c r="L4252" i="1"/>
  <c r="M4252" i="1"/>
  <c r="L4253" i="1"/>
  <c r="M4253" i="1"/>
  <c r="L4254" i="1"/>
  <c r="M4254" i="1"/>
  <c r="L4255" i="1"/>
  <c r="M4255" i="1"/>
  <c r="L4256" i="1"/>
  <c r="M4256" i="1"/>
  <c r="L4257" i="1"/>
  <c r="M4257" i="1"/>
  <c r="L4258" i="1"/>
  <c r="M4258" i="1"/>
  <c r="L4259" i="1"/>
  <c r="M4259" i="1"/>
  <c r="L4260" i="1"/>
  <c r="M4260" i="1"/>
  <c r="L4261" i="1"/>
  <c r="M4261" i="1"/>
  <c r="L4262" i="1"/>
  <c r="M4262" i="1"/>
  <c r="L4263" i="1"/>
  <c r="M4263" i="1"/>
  <c r="L4264" i="1"/>
  <c r="M4264" i="1"/>
  <c r="L4265" i="1"/>
  <c r="M4265" i="1"/>
  <c r="L4266" i="1"/>
  <c r="M4266" i="1"/>
  <c r="L4267" i="1"/>
  <c r="M4267" i="1"/>
  <c r="L4268" i="1"/>
  <c r="M4268" i="1"/>
  <c r="L4269" i="1"/>
  <c r="M4269" i="1"/>
  <c r="L4237" i="1"/>
  <c r="M4237" i="1"/>
  <c r="M4238" i="1"/>
  <c r="L4239" i="1"/>
  <c r="M4239" i="1"/>
  <c r="L4240" i="1"/>
  <c r="M4240" i="1"/>
  <c r="L4241" i="1"/>
  <c r="M4241" i="1"/>
  <c r="L4242" i="1"/>
  <c r="M4242" i="1"/>
  <c r="L4243" i="1"/>
  <c r="M4243" i="1"/>
  <c r="L4244" i="1"/>
  <c r="M4244" i="1"/>
  <c r="L4245" i="1"/>
  <c r="M4245" i="1"/>
  <c r="L4246" i="1"/>
  <c r="M4246" i="1"/>
  <c r="L4247" i="1"/>
  <c r="M4247" i="1"/>
  <c r="L4248" i="1"/>
  <c r="M4248" i="1"/>
  <c r="L4249" i="1"/>
  <c r="M4249" i="1"/>
  <c r="L4250" i="1"/>
  <c r="M4250" i="1"/>
  <c r="L4251" i="1"/>
  <c r="M4251" i="1"/>
  <c r="A4216" i="1"/>
  <c r="L4215" i="1"/>
  <c r="M4215" i="1"/>
  <c r="L4216" i="1"/>
  <c r="M4216" i="1"/>
  <c r="L4217" i="1"/>
  <c r="M4217" i="1"/>
  <c r="M4218" i="1"/>
  <c r="L4219" i="1"/>
  <c r="M4219" i="1"/>
  <c r="L4220" i="1"/>
  <c r="M4220" i="1"/>
  <c r="L4221" i="1"/>
  <c r="M4221" i="1"/>
  <c r="L4222" i="1"/>
  <c r="M4222" i="1"/>
  <c r="L4223" i="1"/>
  <c r="M4223" i="1"/>
  <c r="L4224" i="1"/>
  <c r="M4224" i="1"/>
  <c r="L4225" i="1"/>
  <c r="M4225" i="1"/>
  <c r="L4226" i="1"/>
  <c r="M4226" i="1"/>
  <c r="L4227" i="1"/>
  <c r="M4227" i="1"/>
  <c r="L4228" i="1"/>
  <c r="M4228" i="1"/>
  <c r="L4229" i="1"/>
  <c r="M4229" i="1"/>
  <c r="L4230" i="1"/>
  <c r="M4230" i="1"/>
  <c r="L4231" i="1"/>
  <c r="M4231" i="1"/>
  <c r="L4232" i="1"/>
  <c r="M4232" i="1"/>
  <c r="L4233" i="1"/>
  <c r="M4233" i="1"/>
  <c r="L4234" i="1"/>
  <c r="M4234" i="1"/>
  <c r="L4235" i="1"/>
  <c r="M4235" i="1"/>
  <c r="L4236" i="1"/>
  <c r="M4236" i="1"/>
  <c r="A4217" i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1" i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L4209" i="1"/>
  <c r="M4209" i="1"/>
  <c r="L4210" i="1"/>
  <c r="M4210" i="1"/>
  <c r="L4211" i="1"/>
  <c r="M4211" i="1"/>
  <c r="L4212" i="1"/>
  <c r="M4212" i="1"/>
  <c r="L4213" i="1"/>
  <c r="M4213" i="1"/>
  <c r="L4214" i="1"/>
  <c r="M4214" i="1"/>
  <c r="A4266" i="1"/>
  <c r="A4267" i="1" s="1"/>
  <c r="A4268" i="1" s="1"/>
  <c r="A4269" i="1" s="1"/>
  <c r="A4270" i="1" s="1"/>
  <c r="A4271" i="1" s="1"/>
  <c r="A4272" i="1" s="1"/>
  <c r="L4199" i="1"/>
  <c r="M4199" i="1"/>
  <c r="L4200" i="1"/>
  <c r="M4200" i="1"/>
  <c r="L4201" i="1"/>
  <c r="M4201" i="1"/>
  <c r="L4202" i="1"/>
  <c r="M4202" i="1"/>
  <c r="L4203" i="1"/>
  <c r="M4203" i="1"/>
  <c r="L4204" i="1"/>
  <c r="M4204" i="1"/>
  <c r="L4205" i="1"/>
  <c r="M4205" i="1"/>
  <c r="L4206" i="1"/>
  <c r="M4206" i="1"/>
  <c r="L4207" i="1"/>
  <c r="M4207" i="1"/>
  <c r="L4208" i="1"/>
  <c r="M4208" i="1"/>
  <c r="L4195" i="1"/>
  <c r="M4195" i="1"/>
  <c r="L4196" i="1"/>
  <c r="M4196" i="1"/>
  <c r="L4197" i="1"/>
  <c r="M4197" i="1"/>
  <c r="L4198" i="1"/>
  <c r="M4198" i="1"/>
  <c r="L4186" i="1"/>
  <c r="M4186" i="1"/>
  <c r="L4187" i="1"/>
  <c r="M4187" i="1"/>
  <c r="L4188" i="1"/>
  <c r="M4188" i="1"/>
  <c r="L4189" i="1"/>
  <c r="M4189" i="1"/>
  <c r="L4190" i="1"/>
  <c r="M4190" i="1"/>
  <c r="L4191" i="1"/>
  <c r="M4191" i="1"/>
  <c r="L4192" i="1"/>
  <c r="M4192" i="1"/>
  <c r="L4193" i="1"/>
  <c r="M4193" i="1"/>
  <c r="L4194" i="1"/>
  <c r="M4194" i="1"/>
  <c r="A4298" i="1"/>
  <c r="A4299" i="1" s="1"/>
  <c r="A4300" i="1" s="1"/>
  <c r="A4302" i="1"/>
  <c r="A4305" i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M4177" i="1"/>
  <c r="M4178" i="1"/>
  <c r="M4179" i="1"/>
  <c r="M4180" i="1"/>
  <c r="M4181" i="1"/>
  <c r="M4182" i="1"/>
  <c r="M4183" i="1"/>
  <c r="M4184" i="1"/>
  <c r="M4185" i="1"/>
  <c r="L4176" i="1"/>
  <c r="M4176" i="1"/>
  <c r="L4178" i="1"/>
  <c r="L4179" i="1"/>
  <c r="L4180" i="1"/>
  <c r="L4181" i="1"/>
  <c r="L4182" i="1"/>
  <c r="L4183" i="1"/>
  <c r="L4184" i="1"/>
  <c r="L4185" i="1"/>
  <c r="L4165" i="1"/>
  <c r="M4165" i="1"/>
  <c r="L4166" i="1"/>
  <c r="M4166" i="1"/>
  <c r="L4167" i="1"/>
  <c r="M4167" i="1"/>
  <c r="L4168" i="1"/>
  <c r="M4168" i="1"/>
  <c r="L4169" i="1"/>
  <c r="M4169" i="1"/>
  <c r="L4170" i="1"/>
  <c r="M4170" i="1"/>
  <c r="L4171" i="1"/>
  <c r="M4171" i="1"/>
  <c r="L4172" i="1"/>
  <c r="M4172" i="1"/>
  <c r="L4173" i="1"/>
  <c r="M4173" i="1"/>
  <c r="L4174" i="1"/>
  <c r="M4174" i="1"/>
  <c r="L4175" i="1"/>
  <c r="M4175" i="1"/>
  <c r="L4161" i="1"/>
  <c r="M4161" i="1"/>
  <c r="L4162" i="1"/>
  <c r="M4162" i="1"/>
  <c r="L4163" i="1"/>
  <c r="M4163" i="1"/>
  <c r="L4164" i="1"/>
  <c r="M4164" i="1"/>
  <c r="L4147" i="1"/>
  <c r="M4147" i="1"/>
  <c r="L4148" i="1"/>
  <c r="M4148" i="1"/>
  <c r="L4149" i="1"/>
  <c r="M4149" i="1"/>
  <c r="L4150" i="1"/>
  <c r="M4150" i="1"/>
  <c r="L4151" i="1"/>
  <c r="M4151" i="1"/>
  <c r="L4152" i="1"/>
  <c r="M4152" i="1"/>
  <c r="L4153" i="1"/>
  <c r="M4153" i="1"/>
  <c r="L4154" i="1"/>
  <c r="M4154" i="1"/>
  <c r="L4155" i="1"/>
  <c r="M4155" i="1"/>
  <c r="L4156" i="1"/>
  <c r="M4156" i="1"/>
  <c r="L4157" i="1"/>
  <c r="M4157" i="1"/>
  <c r="L4158" i="1"/>
  <c r="M4158" i="1"/>
  <c r="L4159" i="1"/>
  <c r="M4159" i="1"/>
  <c r="L4160" i="1"/>
  <c r="M4160" i="1"/>
  <c r="L4141" i="1"/>
  <c r="M4141" i="1"/>
  <c r="L4142" i="1"/>
  <c r="M4142" i="1"/>
  <c r="L4143" i="1"/>
  <c r="M4143" i="1"/>
  <c r="L4144" i="1"/>
  <c r="M4144" i="1"/>
  <c r="L4145" i="1"/>
  <c r="M4145" i="1"/>
  <c r="L4146" i="1"/>
  <c r="M4146" i="1"/>
  <c r="H4608" i="1"/>
  <c r="L4133" i="1"/>
  <c r="M4133" i="1"/>
  <c r="L4134" i="1"/>
  <c r="M4134" i="1"/>
  <c r="M4135" i="1"/>
  <c r="L4136" i="1"/>
  <c r="M4136" i="1"/>
  <c r="L4137" i="1"/>
  <c r="M4137" i="1"/>
  <c r="L4138" i="1"/>
  <c r="M4138" i="1"/>
  <c r="L4139" i="1"/>
  <c r="M4139" i="1"/>
  <c r="L4140" i="1"/>
  <c r="M4140" i="1"/>
  <c r="F4608" i="1"/>
  <c r="E4608" i="1"/>
  <c r="G4608" i="1"/>
  <c r="M4132" i="1"/>
  <c r="L4132" i="1"/>
  <c r="M4131" i="1"/>
  <c r="L4116" i="1"/>
  <c r="M4116" i="1"/>
  <c r="L4117" i="1"/>
  <c r="M4117" i="1"/>
  <c r="L4118" i="1"/>
  <c r="M4118" i="1"/>
  <c r="L4119" i="1"/>
  <c r="M4119" i="1"/>
  <c r="L4120" i="1"/>
  <c r="M4120" i="1"/>
  <c r="L4121" i="1"/>
  <c r="M4121" i="1"/>
  <c r="L4122" i="1"/>
  <c r="M4122" i="1"/>
  <c r="L4123" i="1"/>
  <c r="M4123" i="1"/>
  <c r="L4124" i="1"/>
  <c r="M4124" i="1"/>
  <c r="L4125" i="1"/>
  <c r="M4125" i="1"/>
  <c r="L4126" i="1"/>
  <c r="M4126" i="1"/>
  <c r="L4127" i="1"/>
  <c r="M4127" i="1"/>
  <c r="L4128" i="1"/>
  <c r="M4128" i="1"/>
  <c r="D4129" i="1"/>
  <c r="A4129" i="1"/>
  <c r="M4101" i="1"/>
  <c r="M4102" i="1"/>
  <c r="L4102" i="1"/>
  <c r="L4103" i="1"/>
  <c r="L4101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03" i="1"/>
  <c r="L4107" i="1"/>
  <c r="L4108" i="1"/>
  <c r="L4109" i="1"/>
  <c r="L4110" i="1"/>
  <c r="L4111" i="1"/>
  <c r="L4112" i="1"/>
  <c r="L4113" i="1"/>
  <c r="L4114" i="1"/>
  <c r="L4115" i="1"/>
  <c r="L4092" i="1"/>
  <c r="L4093" i="1"/>
  <c r="L4094" i="1"/>
  <c r="L4095" i="1"/>
  <c r="L4096" i="1"/>
  <c r="L4097" i="1"/>
  <c r="L4098" i="1"/>
  <c r="L4099" i="1"/>
  <c r="L4100" i="1"/>
  <c r="L4104" i="1"/>
  <c r="L4105" i="1"/>
  <c r="L4106" i="1"/>
  <c r="C4129" i="1"/>
  <c r="H4129" i="1" s="1"/>
  <c r="L4083" i="1"/>
  <c r="L4084" i="1"/>
  <c r="L4085" i="1"/>
  <c r="L4086" i="1"/>
  <c r="L4087" i="1"/>
  <c r="L4089" i="1"/>
  <c r="L4090" i="1"/>
  <c r="L4091" i="1"/>
  <c r="L4074" i="1"/>
  <c r="L4075" i="1"/>
  <c r="L4076" i="1"/>
  <c r="L4077" i="1"/>
  <c r="L4078" i="1"/>
  <c r="L4079" i="1"/>
  <c r="L4080" i="1"/>
  <c r="L4081" i="1"/>
  <c r="L4082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52" i="1"/>
  <c r="L4053" i="1"/>
  <c r="L4054" i="1"/>
  <c r="L4055" i="1"/>
  <c r="L4056" i="1"/>
  <c r="L4057" i="1"/>
  <c r="L4058" i="1"/>
  <c r="L4059" i="1"/>
  <c r="L4060" i="1"/>
  <c r="L4061" i="1"/>
  <c r="L4041" i="1"/>
  <c r="L4042" i="1"/>
  <c r="L4043" i="1"/>
  <c r="L4044" i="1"/>
  <c r="L4045" i="1"/>
  <c r="L4046" i="1"/>
  <c r="L4047" i="1"/>
  <c r="L4048" i="1"/>
  <c r="L4049" i="1"/>
  <c r="L4050" i="1"/>
  <c r="L4051" i="1"/>
  <c r="L4031" i="1"/>
  <c r="L4032" i="1"/>
  <c r="L4033" i="1"/>
  <c r="L4034" i="1"/>
  <c r="L4035" i="1"/>
  <c r="L4036" i="1"/>
  <c r="L4037" i="1"/>
  <c r="L4038" i="1"/>
  <c r="L4039" i="1"/>
  <c r="L4040" i="1"/>
  <c r="L4026" i="1"/>
  <c r="L4027" i="1"/>
  <c r="L4028" i="1"/>
  <c r="L4029" i="1"/>
  <c r="L4030" i="1"/>
  <c r="L4019" i="1"/>
  <c r="L4021" i="1"/>
  <c r="L4022" i="1"/>
  <c r="L4023" i="1"/>
  <c r="L4009" i="1"/>
  <c r="L4010" i="1"/>
  <c r="L4011" i="1"/>
  <c r="L4012" i="1"/>
  <c r="L4013" i="1"/>
  <c r="L4014" i="1"/>
  <c r="L4015" i="1"/>
  <c r="L4016" i="1"/>
  <c r="L4017" i="1"/>
  <c r="L4018" i="1"/>
  <c r="L4008" i="1"/>
  <c r="L3998" i="1"/>
  <c r="L3999" i="1"/>
  <c r="L4000" i="1"/>
  <c r="L4001" i="1"/>
  <c r="L4002" i="1"/>
  <c r="L4003" i="1"/>
  <c r="L4004" i="1"/>
  <c r="L4005" i="1"/>
  <c r="L4006" i="1"/>
  <c r="L4007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74" i="1"/>
  <c r="L3975" i="1"/>
  <c r="L3976" i="1"/>
  <c r="L3977" i="1"/>
  <c r="L3978" i="1"/>
  <c r="L3979" i="1"/>
  <c r="L3980" i="1"/>
  <c r="L3981" i="1"/>
  <c r="L3982" i="1"/>
  <c r="L3983" i="1"/>
  <c r="L3984" i="1"/>
  <c r="L3965" i="1"/>
  <c r="L3966" i="1"/>
  <c r="L3967" i="1"/>
  <c r="L3968" i="1"/>
  <c r="L3969" i="1"/>
  <c r="L3970" i="1"/>
  <c r="L3971" i="1"/>
  <c r="L3972" i="1"/>
  <c r="L3973" i="1"/>
  <c r="L3957" i="1"/>
  <c r="L3958" i="1"/>
  <c r="L3959" i="1"/>
  <c r="L3960" i="1"/>
  <c r="L3961" i="1"/>
  <c r="L3962" i="1"/>
  <c r="L3963" i="1"/>
  <c r="L3964" i="1"/>
  <c r="L3946" i="1"/>
  <c r="L3947" i="1"/>
  <c r="L3948" i="1"/>
  <c r="L3949" i="1"/>
  <c r="L3950" i="1"/>
  <c r="L3951" i="1"/>
  <c r="L3952" i="1"/>
  <c r="L3953" i="1"/>
  <c r="L3954" i="1"/>
  <c r="L3955" i="1"/>
  <c r="L3956" i="1"/>
  <c r="L3935" i="1"/>
  <c r="L3936" i="1"/>
  <c r="L3937" i="1"/>
  <c r="L3938" i="1"/>
  <c r="L3939" i="1"/>
  <c r="L3940" i="1"/>
  <c r="L3941" i="1"/>
  <c r="L3942" i="1"/>
  <c r="L3943" i="1"/>
  <c r="L3944" i="1"/>
  <c r="L3945" i="1"/>
  <c r="L3933" i="1"/>
  <c r="L3934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05" i="1"/>
  <c r="L3908" i="1"/>
  <c r="L3911" i="1"/>
  <c r="L3912" i="1"/>
  <c r="L3913" i="1"/>
  <c r="L3914" i="1"/>
  <c r="L3915" i="1"/>
  <c r="L3916" i="1"/>
  <c r="L3917" i="1"/>
  <c r="G4129" i="1"/>
  <c r="E4129" i="1"/>
  <c r="L3894" i="1"/>
  <c r="L3895" i="1"/>
  <c r="L3896" i="1"/>
  <c r="L3897" i="1"/>
  <c r="L3898" i="1"/>
  <c r="L3899" i="1"/>
  <c r="L3900" i="1"/>
  <c r="L3901" i="1"/>
  <c r="L3902" i="1"/>
  <c r="L3903" i="1"/>
  <c r="L3904" i="1"/>
  <c r="L3907" i="1"/>
  <c r="L3909" i="1"/>
  <c r="L3910" i="1"/>
  <c r="L3893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67" i="1"/>
  <c r="L3868" i="1"/>
  <c r="L3869" i="1"/>
  <c r="L3870" i="1"/>
  <c r="L3871" i="1"/>
  <c r="L3872" i="1"/>
  <c r="L3873" i="1"/>
  <c r="L3874" i="1"/>
  <c r="L3875" i="1"/>
  <c r="L3876" i="1"/>
  <c r="L3862" i="1"/>
  <c r="L3863" i="1"/>
  <c r="L3864" i="1"/>
  <c r="L3865" i="1"/>
  <c r="L3866" i="1"/>
  <c r="L3856" i="1"/>
  <c r="L3857" i="1"/>
  <c r="L3858" i="1"/>
  <c r="L3859" i="1"/>
  <c r="L3860" i="1"/>
  <c r="L3861" i="1"/>
  <c r="L3855" i="1"/>
  <c r="L3848" i="1"/>
  <c r="L3849" i="1"/>
  <c r="L3850" i="1"/>
  <c r="L3851" i="1"/>
  <c r="L3852" i="1"/>
  <c r="L3853" i="1"/>
  <c r="L3854" i="1"/>
  <c r="L3823" i="1"/>
  <c r="L3822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13" i="1"/>
  <c r="L3814" i="1"/>
  <c r="L3815" i="1"/>
  <c r="L3816" i="1"/>
  <c r="L3817" i="1"/>
  <c r="L3818" i="1"/>
  <c r="L3819" i="1"/>
  <c r="L3820" i="1"/>
  <c r="L3821" i="1"/>
  <c r="L3810" i="1"/>
  <c r="L3811" i="1"/>
  <c r="L3812" i="1"/>
  <c r="L3795" i="1"/>
  <c r="L3796" i="1"/>
  <c r="L3797" i="1"/>
  <c r="L3798" i="1"/>
  <c r="L3799" i="1"/>
  <c r="L3800" i="1"/>
  <c r="L3801" i="1"/>
  <c r="L3803" i="1"/>
  <c r="L3804" i="1"/>
  <c r="L3805" i="1"/>
  <c r="L3806" i="1"/>
  <c r="L3807" i="1"/>
  <c r="L3808" i="1"/>
  <c r="L3809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8" i="1"/>
  <c r="L3789" i="1"/>
  <c r="L3790" i="1"/>
  <c r="L3791" i="1"/>
  <c r="L3768" i="1"/>
  <c r="L3769" i="1"/>
  <c r="L3792" i="1"/>
  <c r="L3793" i="1"/>
  <c r="L3794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40" i="1"/>
  <c r="L3741" i="1"/>
  <c r="L3742" i="1"/>
  <c r="L3743" i="1"/>
  <c r="L3744" i="1"/>
  <c r="L3746" i="1"/>
  <c r="L3747" i="1"/>
  <c r="L3767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39" i="1"/>
  <c r="L3694" i="1"/>
  <c r="L3695" i="1"/>
  <c r="L3696" i="1"/>
  <c r="L3697" i="1"/>
  <c r="L3698" i="1"/>
  <c r="L3699" i="1"/>
  <c r="L3700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76" i="1"/>
  <c r="L3677" i="1"/>
  <c r="L3678" i="1"/>
  <c r="L3675" i="1"/>
  <c r="L3658" i="1"/>
  <c r="L3659" i="1"/>
  <c r="L3660" i="1"/>
  <c r="L3661" i="1"/>
  <c r="L3662" i="1"/>
  <c r="L3663" i="1"/>
  <c r="L3664" i="1"/>
  <c r="L3665" i="1"/>
  <c r="L3666" i="1"/>
  <c r="L3667" i="1"/>
  <c r="L3668" i="1"/>
  <c r="L3670" i="1"/>
  <c r="L3671" i="1"/>
  <c r="L3672" i="1"/>
  <c r="L3673" i="1"/>
  <c r="L3674" i="1"/>
  <c r="L3650" i="1"/>
  <c r="L3651" i="1"/>
  <c r="L3652" i="1"/>
  <c r="L3653" i="1"/>
  <c r="L3654" i="1"/>
  <c r="L3655" i="1"/>
  <c r="L3656" i="1"/>
  <c r="L3657" i="1"/>
  <c r="L3645" i="1"/>
  <c r="L3646" i="1"/>
  <c r="L3647" i="1"/>
  <c r="L3648" i="1"/>
  <c r="L3649" i="1"/>
  <c r="K3639" i="1"/>
  <c r="L3636" i="1"/>
  <c r="L3637" i="1"/>
  <c r="L3638" i="1"/>
  <c r="L3639" i="1"/>
  <c r="L3640" i="1"/>
  <c r="L3641" i="1"/>
  <c r="L3642" i="1"/>
  <c r="L3643" i="1"/>
  <c r="L3644" i="1"/>
  <c r="L3635" i="1"/>
  <c r="L3634" i="1"/>
  <c r="L3633" i="1"/>
  <c r="L3632" i="1"/>
  <c r="L3628" i="1"/>
  <c r="L3629" i="1"/>
  <c r="L3630" i="1"/>
  <c r="L3631" i="1"/>
  <c r="L3621" i="1"/>
  <c r="L3622" i="1"/>
  <c r="L3623" i="1"/>
  <c r="L3624" i="1"/>
  <c r="L3625" i="1"/>
  <c r="L3626" i="1"/>
  <c r="L3627" i="1"/>
  <c r="L3589" i="1"/>
  <c r="L3590" i="1"/>
  <c r="L3591" i="1"/>
  <c r="L3592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583" i="1"/>
  <c r="L3584" i="1"/>
  <c r="L3585" i="1"/>
  <c r="L3586" i="1"/>
  <c r="L3587" i="1"/>
  <c r="L3588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64" i="1"/>
  <c r="L3565" i="1"/>
  <c r="L3566" i="1"/>
  <c r="L3567" i="1"/>
  <c r="L3568" i="1"/>
  <c r="L3569" i="1"/>
  <c r="L3570" i="1"/>
  <c r="L3558" i="1"/>
  <c r="L3559" i="1"/>
  <c r="L3560" i="1"/>
  <c r="L3561" i="1"/>
  <c r="L3562" i="1"/>
  <c r="L3563" i="1"/>
  <c r="L3557" i="1"/>
  <c r="C3890" i="1"/>
  <c r="H3890" i="1"/>
  <c r="G3890" i="1"/>
  <c r="E3890" i="1"/>
  <c r="A3890" i="1"/>
  <c r="L3551" i="1"/>
  <c r="L3552" i="1"/>
  <c r="L3553" i="1"/>
  <c r="L3549" i="1"/>
  <c r="L3550" i="1"/>
  <c r="L3547" i="1"/>
  <c r="L3548" i="1"/>
  <c r="L3542" i="1"/>
  <c r="L3543" i="1"/>
  <c r="L3544" i="1"/>
  <c r="L3545" i="1"/>
  <c r="L3540" i="1"/>
  <c r="L3541" i="1"/>
  <c r="L3546" i="1"/>
  <c r="L3535" i="1"/>
  <c r="L3536" i="1"/>
  <c r="L3537" i="1"/>
  <c r="L3538" i="1"/>
  <c r="L3539" i="1"/>
  <c r="L3528" i="1"/>
  <c r="L3529" i="1"/>
  <c r="L3530" i="1"/>
  <c r="L3531" i="1"/>
  <c r="L3532" i="1"/>
  <c r="L3533" i="1"/>
  <c r="C3554" i="1"/>
  <c r="H3554" i="1" s="1"/>
  <c r="L3520" i="1"/>
  <c r="L3521" i="1"/>
  <c r="L3522" i="1"/>
  <c r="L3523" i="1"/>
  <c r="L3524" i="1"/>
  <c r="L3525" i="1"/>
  <c r="L3526" i="1"/>
  <c r="L3514" i="1"/>
  <c r="L3515" i="1"/>
  <c r="L3516" i="1"/>
  <c r="L3517" i="1"/>
  <c r="L3518" i="1"/>
  <c r="L3519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496" i="1"/>
  <c r="L3497" i="1"/>
  <c r="L3498" i="1"/>
  <c r="L3499" i="1"/>
  <c r="L3500" i="1"/>
  <c r="L3501" i="1"/>
  <c r="G3554" i="1"/>
  <c r="L3487" i="1"/>
  <c r="L3488" i="1"/>
  <c r="L3489" i="1"/>
  <c r="L3490" i="1"/>
  <c r="L3491" i="1"/>
  <c r="L3492" i="1"/>
  <c r="L3493" i="1"/>
  <c r="L3494" i="1"/>
  <c r="L3495" i="1"/>
  <c r="L3477" i="1"/>
  <c r="L3479" i="1"/>
  <c r="L3480" i="1"/>
  <c r="L3481" i="1"/>
  <c r="L3482" i="1"/>
  <c r="L3483" i="1"/>
  <c r="L3484" i="1"/>
  <c r="L3485" i="1"/>
  <c r="L3486" i="1"/>
  <c r="L3469" i="1"/>
  <c r="L3471" i="1"/>
  <c r="L3472" i="1"/>
  <c r="L3473" i="1"/>
  <c r="L3474" i="1"/>
  <c r="L3475" i="1"/>
  <c r="L3476" i="1"/>
  <c r="L3464" i="1"/>
  <c r="L3465" i="1"/>
  <c r="L3466" i="1"/>
  <c r="L3467" i="1"/>
  <c r="L3462" i="1"/>
  <c r="L3463" i="1"/>
  <c r="L3461" i="1"/>
  <c r="L3456" i="1"/>
  <c r="L3457" i="1"/>
  <c r="L3458" i="1"/>
  <c r="L3459" i="1"/>
  <c r="L3460" i="1"/>
  <c r="L3454" i="1"/>
  <c r="L3455" i="1"/>
  <c r="L3445" i="1"/>
  <c r="L3446" i="1"/>
  <c r="L3447" i="1"/>
  <c r="L3448" i="1"/>
  <c r="L3449" i="1"/>
  <c r="L3450" i="1"/>
  <c r="L3452" i="1"/>
  <c r="L3453" i="1"/>
  <c r="L3435" i="1"/>
  <c r="L3436" i="1"/>
  <c r="L3437" i="1"/>
  <c r="L3438" i="1"/>
  <c r="L3439" i="1"/>
  <c r="L3440" i="1"/>
  <c r="L3441" i="1"/>
  <c r="L3442" i="1"/>
  <c r="L3443" i="1"/>
  <c r="L3424" i="1"/>
  <c r="L3425" i="1"/>
  <c r="L3426" i="1"/>
  <c r="L3427" i="1"/>
  <c r="L3428" i="1"/>
  <c r="L3429" i="1"/>
  <c r="L3430" i="1"/>
  <c r="L3431" i="1"/>
  <c r="L3432" i="1"/>
  <c r="L3433" i="1"/>
  <c r="L3434" i="1"/>
  <c r="L3416" i="1"/>
  <c r="L3417" i="1"/>
  <c r="L3418" i="1"/>
  <c r="L3420" i="1"/>
  <c r="L3421" i="1"/>
  <c r="L3422" i="1"/>
  <c r="L3423" i="1"/>
  <c r="L3413" i="1"/>
  <c r="L3410" i="1"/>
  <c r="L3411" i="1"/>
  <c r="L3412" i="1"/>
  <c r="L3414" i="1"/>
  <c r="L3415" i="1"/>
  <c r="L3406" i="1"/>
  <c r="L3407" i="1"/>
  <c r="L3408" i="1"/>
  <c r="L3409" i="1"/>
  <c r="L3398" i="1"/>
  <c r="L3399" i="1"/>
  <c r="L3400" i="1"/>
  <c r="L3401" i="1"/>
  <c r="L3402" i="1"/>
  <c r="L3403" i="1"/>
  <c r="L3404" i="1"/>
  <c r="L3405" i="1"/>
  <c r="L3390" i="1"/>
  <c r="L3391" i="1"/>
  <c r="L3392" i="1"/>
  <c r="L3393" i="1"/>
  <c r="L3394" i="1"/>
  <c r="L3395" i="1"/>
  <c r="L3396" i="1"/>
  <c r="L3397" i="1"/>
  <c r="L3380" i="1"/>
  <c r="L3381" i="1"/>
  <c r="L3382" i="1"/>
  <c r="L3383" i="1"/>
  <c r="L3384" i="1"/>
  <c r="L3385" i="1"/>
  <c r="L3386" i="1"/>
  <c r="L3387" i="1"/>
  <c r="L3388" i="1"/>
  <c r="L3389" i="1"/>
  <c r="L3376" i="1"/>
  <c r="L3377" i="1"/>
  <c r="L3378" i="1"/>
  <c r="L3379" i="1"/>
  <c r="R3367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42" i="1"/>
  <c r="L3343" i="1"/>
  <c r="L3344" i="1"/>
  <c r="L3345" i="1"/>
  <c r="L3346" i="1"/>
  <c r="L3347" i="1"/>
  <c r="L3348" i="1"/>
  <c r="L3349" i="1"/>
  <c r="L3351" i="1"/>
  <c r="L3352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19" i="1"/>
  <c r="L3320" i="1"/>
  <c r="L3321" i="1"/>
  <c r="L3322" i="1"/>
  <c r="L3323" i="1"/>
  <c r="L3324" i="1"/>
  <c r="L3341" i="1"/>
  <c r="L3305" i="1"/>
  <c r="L3306" i="1"/>
  <c r="L3307" i="1"/>
  <c r="L3308" i="1"/>
  <c r="L3310" i="1"/>
  <c r="L3311" i="1"/>
  <c r="L3312" i="1"/>
  <c r="L3313" i="1"/>
  <c r="L3314" i="1"/>
  <c r="L3315" i="1"/>
  <c r="L3316" i="1"/>
  <c r="L3317" i="1"/>
  <c r="L3318" i="1"/>
  <c r="L3" i="21"/>
  <c r="L1" i="21"/>
  <c r="L3295" i="1"/>
  <c r="L3296" i="1"/>
  <c r="L3297" i="1"/>
  <c r="L3298" i="1"/>
  <c r="L3299" i="1"/>
  <c r="L3300" i="1"/>
  <c r="L3301" i="1"/>
  <c r="L3302" i="1"/>
  <c r="L3303" i="1"/>
  <c r="L3304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80" i="1"/>
  <c r="E3554" i="1"/>
  <c r="A3554" i="1"/>
  <c r="I3280" i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G3556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G3892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G4131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L3273" i="1"/>
  <c r="L3274" i="1"/>
  <c r="L3275" i="1"/>
  <c r="L3276" i="1"/>
  <c r="L3277" i="1"/>
  <c r="L3266" i="1"/>
  <c r="L3267" i="1"/>
  <c r="L3268" i="1"/>
  <c r="L3269" i="1"/>
  <c r="L3270" i="1"/>
  <c r="L3271" i="1"/>
  <c r="L3272" i="1"/>
  <c r="E3278" i="1"/>
  <c r="L3258" i="1"/>
  <c r="L3259" i="1"/>
  <c r="L3260" i="1"/>
  <c r="L3261" i="1"/>
  <c r="L3262" i="1"/>
  <c r="L3263" i="1"/>
  <c r="L3264" i="1"/>
  <c r="L3265" i="1"/>
  <c r="L3253" i="1"/>
  <c r="L3254" i="1"/>
  <c r="L3255" i="1"/>
  <c r="L3257" i="1"/>
  <c r="L3249" i="1"/>
  <c r="L3250" i="1"/>
  <c r="L3251" i="1"/>
  <c r="L3252" i="1"/>
  <c r="L3240" i="1"/>
  <c r="L3241" i="1"/>
  <c r="L3242" i="1"/>
  <c r="L3243" i="1"/>
  <c r="L3244" i="1"/>
  <c r="L3245" i="1"/>
  <c r="L3246" i="1"/>
  <c r="L3247" i="1"/>
  <c r="L3248" i="1"/>
  <c r="L3234" i="1"/>
  <c r="L3235" i="1"/>
  <c r="L3236" i="1"/>
  <c r="L3237" i="1"/>
  <c r="L3239" i="1"/>
  <c r="L3226" i="1"/>
  <c r="L3227" i="1"/>
  <c r="L3228" i="1"/>
  <c r="L3229" i="1"/>
  <c r="L3230" i="1"/>
  <c r="L3231" i="1"/>
  <c r="L3232" i="1"/>
  <c r="L3233" i="1"/>
  <c r="L3216" i="1"/>
  <c r="L3217" i="1"/>
  <c r="L3218" i="1"/>
  <c r="L3219" i="1"/>
  <c r="L3220" i="1"/>
  <c r="L3221" i="1"/>
  <c r="L3222" i="1"/>
  <c r="L3223" i="1"/>
  <c r="L3224" i="1"/>
  <c r="L3225" i="1"/>
  <c r="L3213" i="1"/>
  <c r="L3214" i="1"/>
  <c r="L3212" i="1"/>
  <c r="L3204" i="1"/>
  <c r="L3205" i="1"/>
  <c r="L3206" i="1"/>
  <c r="L3207" i="1"/>
  <c r="L3208" i="1"/>
  <c r="L3209" i="1"/>
  <c r="L3210" i="1"/>
  <c r="L3211" i="1"/>
  <c r="L3200" i="1"/>
  <c r="L3201" i="1"/>
  <c r="L3202" i="1"/>
  <c r="L3203" i="1"/>
  <c r="L3194" i="1"/>
  <c r="L3195" i="1"/>
  <c r="L3196" i="1"/>
  <c r="L3197" i="1"/>
  <c r="L3198" i="1"/>
  <c r="L319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74" i="1"/>
  <c r="L3175" i="1"/>
  <c r="L3176" i="1"/>
  <c r="L3177" i="1"/>
  <c r="L3178" i="1"/>
  <c r="L317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H3110" i="1"/>
  <c r="L3110" i="1" s="1"/>
  <c r="L3156" i="1"/>
  <c r="L3157" i="1"/>
  <c r="L3158" i="1"/>
  <c r="L3159" i="1"/>
  <c r="L3155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17" i="1"/>
  <c r="L3118" i="1"/>
  <c r="L3119" i="1"/>
  <c r="L3121" i="1"/>
  <c r="L3122" i="1"/>
  <c r="L3123" i="1"/>
  <c r="Q3115" i="1"/>
  <c r="R3115" i="1"/>
  <c r="R3114" i="1"/>
  <c r="S3114" i="1" s="1"/>
  <c r="L3108" i="1"/>
  <c r="L3109" i="1"/>
  <c r="L3111" i="1"/>
  <c r="L3112" i="1"/>
  <c r="L3113" i="1"/>
  <c r="L3114" i="1"/>
  <c r="L3115" i="1"/>
  <c r="L3116" i="1"/>
  <c r="L3093" i="1"/>
  <c r="L3094" i="1"/>
  <c r="L3095" i="1"/>
  <c r="L3097" i="1"/>
  <c r="L3098" i="1"/>
  <c r="L3099" i="1"/>
  <c r="L3100" i="1"/>
  <c r="L3101" i="1"/>
  <c r="L3102" i="1"/>
  <c r="L3103" i="1"/>
  <c r="L3104" i="1"/>
  <c r="L3105" i="1"/>
  <c r="L3106" i="1"/>
  <c r="L3107" i="1"/>
  <c r="L3080" i="1"/>
  <c r="L3082" i="1"/>
  <c r="L3083" i="1"/>
  <c r="L3084" i="1"/>
  <c r="L3085" i="1"/>
  <c r="L3086" i="1"/>
  <c r="L3087" i="1"/>
  <c r="L3088" i="1"/>
  <c r="L3089" i="1"/>
  <c r="L3090" i="1"/>
  <c r="L3091" i="1"/>
  <c r="L3092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67" i="1"/>
  <c r="L3066" i="1"/>
  <c r="L3055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6" i="1"/>
  <c r="L3058" i="1"/>
  <c r="L3059" i="1"/>
  <c r="L3060" i="1"/>
  <c r="L3061" i="1"/>
  <c r="L3062" i="1"/>
  <c r="L3063" i="1"/>
  <c r="L3064" i="1"/>
  <c r="L3065" i="1"/>
  <c r="L3040" i="1"/>
  <c r="L3041" i="1"/>
  <c r="L3039" i="1"/>
  <c r="R3278" i="1"/>
  <c r="M2772" i="1"/>
  <c r="M2773" i="1"/>
  <c r="M2774" i="1"/>
  <c r="M2775" i="1"/>
  <c r="M2776" i="1"/>
  <c r="M2777" i="1"/>
  <c r="M2778" i="1"/>
  <c r="M2779" i="1"/>
  <c r="M2780" i="1"/>
  <c r="M2781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32" i="1"/>
  <c r="M2733" i="1"/>
  <c r="M2734" i="1"/>
  <c r="M2735" i="1"/>
  <c r="M2736" i="1"/>
  <c r="M2737" i="1"/>
  <c r="M2738" i="1"/>
  <c r="M2739" i="1"/>
  <c r="M2740" i="1"/>
  <c r="M2741" i="1"/>
  <c r="M2742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27" i="1"/>
  <c r="M2626" i="1"/>
  <c r="L3026" i="1"/>
  <c r="L3027" i="1"/>
  <c r="L3029" i="1"/>
  <c r="L3030" i="1"/>
  <c r="L3031" i="1"/>
  <c r="L3032" i="1"/>
  <c r="L3033" i="1"/>
  <c r="L3034" i="1"/>
  <c r="L3035" i="1"/>
  <c r="L3036" i="1"/>
  <c r="L3037" i="1"/>
  <c r="L3038" i="1"/>
  <c r="L3025" i="1"/>
  <c r="L3024" i="1"/>
  <c r="L3023" i="1"/>
  <c r="L3022" i="1"/>
  <c r="L3021" i="1"/>
  <c r="L3020" i="1"/>
  <c r="L3019" i="1"/>
  <c r="G3278" i="1"/>
  <c r="L3018" i="1"/>
  <c r="L3017" i="1"/>
  <c r="L3016" i="1"/>
  <c r="L3015" i="1"/>
  <c r="L3004" i="1"/>
  <c r="L3005" i="1"/>
  <c r="L3006" i="1"/>
  <c r="L3007" i="1"/>
  <c r="L3008" i="1"/>
  <c r="L3009" i="1"/>
  <c r="L3010" i="1"/>
  <c r="L3011" i="1"/>
  <c r="L3012" i="1"/>
  <c r="L3013" i="1"/>
  <c r="L3014" i="1"/>
  <c r="L3003" i="1"/>
  <c r="L3002" i="1"/>
  <c r="L3001" i="1"/>
  <c r="L3000" i="1"/>
  <c r="A3278" i="1"/>
  <c r="M3278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2982" i="1"/>
  <c r="L2978" i="1"/>
  <c r="L2973" i="1"/>
  <c r="L2974" i="1"/>
  <c r="L2975" i="1"/>
  <c r="L2976" i="1"/>
  <c r="L2977" i="1"/>
  <c r="L2972" i="1"/>
  <c r="L2971" i="1"/>
  <c r="L2970" i="1"/>
  <c r="L2969" i="1"/>
  <c r="L2961" i="1"/>
  <c r="L2962" i="1"/>
  <c r="L2963" i="1"/>
  <c r="L2964" i="1"/>
  <c r="L2965" i="1"/>
  <c r="L2966" i="1"/>
  <c r="L2967" i="1"/>
  <c r="L2968" i="1"/>
  <c r="L2960" i="1"/>
  <c r="L2959" i="1"/>
  <c r="L2958" i="1"/>
  <c r="L2955" i="1"/>
  <c r="L2954" i="1"/>
  <c r="L2953" i="1"/>
  <c r="L2952" i="1"/>
  <c r="L2951" i="1"/>
  <c r="L2945" i="1"/>
  <c r="L2946" i="1"/>
  <c r="L2947" i="1"/>
  <c r="L2948" i="1"/>
  <c r="L2949" i="1"/>
  <c r="L2950" i="1"/>
  <c r="L2956" i="1"/>
  <c r="L2940" i="1"/>
  <c r="L2941" i="1"/>
  <c r="L2942" i="1"/>
  <c r="L2943" i="1"/>
  <c r="L2944" i="1"/>
  <c r="L2957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18" i="1"/>
  <c r="L2919" i="1"/>
  <c r="L2920" i="1"/>
  <c r="L2921" i="1"/>
  <c r="L2922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894" i="1"/>
  <c r="L2895" i="1"/>
  <c r="L2896" i="1"/>
  <c r="L2897" i="1"/>
  <c r="L2893" i="1"/>
  <c r="L2892" i="1"/>
  <c r="L2881" i="1"/>
  <c r="L2882" i="1"/>
  <c r="L2883" i="1"/>
  <c r="L2884" i="1"/>
  <c r="L2885" i="1"/>
  <c r="L2886" i="1"/>
  <c r="L2887" i="1"/>
  <c r="L2888" i="1"/>
  <c r="L2889" i="1"/>
  <c r="L2890" i="1"/>
  <c r="L2891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66" i="1"/>
  <c r="L2867" i="1"/>
  <c r="L2865" i="1"/>
  <c r="L2856" i="1"/>
  <c r="L2857" i="1"/>
  <c r="L2858" i="1"/>
  <c r="L2859" i="1"/>
  <c r="L2860" i="1"/>
  <c r="L2861" i="1"/>
  <c r="L2862" i="1"/>
  <c r="L2863" i="1"/>
  <c r="L2864" i="1"/>
  <c r="L2855" i="1"/>
  <c r="L2854" i="1"/>
  <c r="L2853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34" i="1"/>
  <c r="L2835" i="1"/>
  <c r="L2836" i="1"/>
  <c r="L2837" i="1"/>
  <c r="L2838" i="1"/>
  <c r="C51" i="21"/>
  <c r="L2829" i="1"/>
  <c r="L2830" i="1"/>
  <c r="L2831" i="1"/>
  <c r="L2832" i="1"/>
  <c r="L2833" i="1"/>
  <c r="L2819" i="1"/>
  <c r="L2820" i="1"/>
  <c r="L2821" i="1"/>
  <c r="L2822" i="1"/>
  <c r="L2823" i="1"/>
  <c r="L2824" i="1"/>
  <c r="L2825" i="1"/>
  <c r="L2826" i="1"/>
  <c r="L2827" i="1"/>
  <c r="L282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797" i="1"/>
  <c r="L2798" i="1"/>
  <c r="L2796" i="1"/>
  <c r="L2795" i="1"/>
  <c r="L2793" i="1"/>
  <c r="L2794" i="1"/>
  <c r="L2788" i="1"/>
  <c r="L2789" i="1"/>
  <c r="L2790" i="1"/>
  <c r="L2791" i="1"/>
  <c r="L2792" i="1"/>
  <c r="L2787" i="1"/>
  <c r="J2979" i="1"/>
  <c r="H2979" i="1"/>
  <c r="E2979" i="1"/>
  <c r="A2979" i="1"/>
  <c r="L2786" i="1"/>
  <c r="L2785" i="1"/>
  <c r="L2779" i="1"/>
  <c r="L2780" i="1"/>
  <c r="L2781" i="1"/>
  <c r="L2778" i="1"/>
  <c r="L2770" i="1"/>
  <c r="L2771" i="1"/>
  <c r="L2772" i="1"/>
  <c r="L2773" i="1"/>
  <c r="L2774" i="1"/>
  <c r="L2775" i="1"/>
  <c r="L2776" i="1"/>
  <c r="L2777" i="1"/>
  <c r="L2769" i="1"/>
  <c r="L2768" i="1"/>
  <c r="L2767" i="1"/>
  <c r="L2766" i="1"/>
  <c r="L2761" i="1"/>
  <c r="L2762" i="1"/>
  <c r="L2763" i="1"/>
  <c r="L2764" i="1"/>
  <c r="L2765" i="1"/>
  <c r="L2753" i="1"/>
  <c r="L2754" i="1"/>
  <c r="L2755" i="1"/>
  <c r="L2756" i="1"/>
  <c r="L2757" i="1"/>
  <c r="L2758" i="1"/>
  <c r="L2759" i="1"/>
  <c r="L2760" i="1"/>
  <c r="L2752" i="1"/>
  <c r="L2751" i="1"/>
  <c r="L2750" i="1"/>
  <c r="L2749" i="1"/>
  <c r="L2748" i="1"/>
  <c r="L2744" i="1"/>
  <c r="L2745" i="1"/>
  <c r="L2746" i="1"/>
  <c r="L2747" i="1"/>
  <c r="L2737" i="1"/>
  <c r="L2738" i="1"/>
  <c r="L2739" i="1"/>
  <c r="L2740" i="1"/>
  <c r="L2741" i="1"/>
  <c r="L2742" i="1"/>
  <c r="L2743" i="1"/>
  <c r="C12" i="21"/>
  <c r="D12" i="21" s="1"/>
  <c r="D9" i="21"/>
  <c r="D8" i="21"/>
  <c r="L2731" i="1"/>
  <c r="L2732" i="1"/>
  <c r="L2733" i="1"/>
  <c r="L2734" i="1"/>
  <c r="L2735" i="1"/>
  <c r="L2736" i="1"/>
  <c r="L2727" i="1"/>
  <c r="L2728" i="1"/>
  <c r="L2729" i="1"/>
  <c r="L2730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699" i="1"/>
  <c r="L2700" i="1"/>
  <c r="L2701" i="1"/>
  <c r="L2702" i="1"/>
  <c r="L2703" i="1"/>
  <c r="L2704" i="1"/>
  <c r="L2705" i="1"/>
  <c r="L2706" i="1"/>
  <c r="L2707" i="1"/>
  <c r="L2708" i="1"/>
  <c r="L2709" i="1"/>
  <c r="E2782" i="1"/>
  <c r="A2782" i="1"/>
  <c r="L2691" i="1"/>
  <c r="L2692" i="1"/>
  <c r="L2693" i="1"/>
  <c r="L2694" i="1"/>
  <c r="L2695" i="1"/>
  <c r="L2696" i="1"/>
  <c r="L2697" i="1"/>
  <c r="L2698" i="1"/>
  <c r="L2690" i="1"/>
  <c r="L2688" i="1"/>
  <c r="L2687" i="1"/>
  <c r="L2686" i="1"/>
  <c r="L2684" i="1"/>
  <c r="L2685" i="1"/>
  <c r="L2675" i="1"/>
  <c r="L2676" i="1"/>
  <c r="L2677" i="1"/>
  <c r="L2678" i="1"/>
  <c r="L2679" i="1"/>
  <c r="L2680" i="1"/>
  <c r="L2681" i="1"/>
  <c r="L2682" i="1"/>
  <c r="L2683" i="1"/>
  <c r="L2667" i="1"/>
  <c r="L2668" i="1"/>
  <c r="L2669" i="1"/>
  <c r="L2670" i="1"/>
  <c r="L2671" i="1"/>
  <c r="L2672" i="1"/>
  <c r="L2673" i="1"/>
  <c r="L2674" i="1"/>
  <c r="L2659" i="1"/>
  <c r="L2660" i="1"/>
  <c r="L2661" i="1"/>
  <c r="L2662" i="1"/>
  <c r="L2663" i="1"/>
  <c r="L2664" i="1"/>
  <c r="L2665" i="1"/>
  <c r="L2666" i="1"/>
  <c r="L2652" i="1"/>
  <c r="L2653" i="1"/>
  <c r="L2654" i="1"/>
  <c r="L2655" i="1"/>
  <c r="L2656" i="1"/>
  <c r="L2657" i="1"/>
  <c r="L2658" i="1"/>
  <c r="L2651" i="1"/>
  <c r="L2650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F2782" i="1"/>
  <c r="G2782" i="1"/>
  <c r="H2782" i="1"/>
  <c r="L2627" i="1"/>
  <c r="L2628" i="1"/>
  <c r="L2629" i="1"/>
  <c r="L2630" i="1"/>
  <c r="L2631" i="1"/>
  <c r="L2632" i="1"/>
  <c r="L2633" i="1"/>
  <c r="L2634" i="1"/>
  <c r="L2635" i="1"/>
  <c r="L2636" i="1"/>
  <c r="L2637" i="1"/>
  <c r="L2626" i="1"/>
  <c r="I2625" i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G2784" i="1" s="1"/>
  <c r="L2620" i="1"/>
  <c r="L2615" i="1"/>
  <c r="L2616" i="1"/>
  <c r="L2617" i="1"/>
  <c r="L2618" i="1"/>
  <c r="L2619" i="1"/>
  <c r="L2613" i="1"/>
  <c r="L2614" i="1"/>
  <c r="L2601" i="1"/>
  <c r="L2602" i="1"/>
  <c r="L2603" i="1"/>
  <c r="L2604" i="1"/>
  <c r="L2605" i="1"/>
  <c r="L2607" i="1"/>
  <c r="L2608" i="1"/>
  <c r="L2609" i="1"/>
  <c r="L2610" i="1"/>
  <c r="L2611" i="1"/>
  <c r="L2612" i="1"/>
  <c r="L2600" i="1"/>
  <c r="L2599" i="1"/>
  <c r="L2598" i="1"/>
  <c r="L2597" i="1"/>
  <c r="K2979" i="1"/>
  <c r="L2594" i="1"/>
  <c r="L2595" i="1"/>
  <c r="L2596" i="1"/>
  <c r="L2622" i="1"/>
  <c r="L2587" i="1"/>
  <c r="L2588" i="1"/>
  <c r="L2589" i="1"/>
  <c r="L2590" i="1"/>
  <c r="L2591" i="1"/>
  <c r="L2592" i="1"/>
  <c r="L2593" i="1"/>
  <c r="L2586" i="1"/>
  <c r="L2585" i="1"/>
  <c r="L2584" i="1"/>
  <c r="L2583" i="1"/>
  <c r="L2581" i="1"/>
  <c r="L2582" i="1"/>
  <c r="L2580" i="1"/>
  <c r="L2579" i="1"/>
  <c r="L2578" i="1"/>
  <c r="L2577" i="1"/>
  <c r="L2576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489" i="1"/>
  <c r="L2490" i="1"/>
  <c r="L2491" i="1"/>
  <c r="L2492" i="1"/>
  <c r="L2493" i="1"/>
  <c r="L2494" i="1"/>
  <c r="L2495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D51" i="18"/>
  <c r="E51" i="18" s="1"/>
  <c r="D50" i="18"/>
  <c r="E50" i="18" s="1"/>
  <c r="D49" i="18"/>
  <c r="E49" i="18" s="1"/>
  <c r="D48" i="18"/>
  <c r="E48" i="18" s="1"/>
  <c r="D47" i="18"/>
  <c r="E47" i="18" s="1"/>
  <c r="D34" i="18"/>
  <c r="E34" i="18" s="1"/>
  <c r="D33" i="18"/>
  <c r="E32" i="18"/>
  <c r="E31" i="18"/>
  <c r="E30" i="18"/>
  <c r="E29" i="18"/>
  <c r="E28" i="18"/>
  <c r="E27" i="18"/>
  <c r="E26" i="18"/>
  <c r="L16" i="18"/>
  <c r="L15" i="18"/>
  <c r="L14" i="18"/>
  <c r="L13" i="18"/>
  <c r="G2623" i="1"/>
  <c r="E2623" i="1"/>
  <c r="A2623" i="1"/>
  <c r="H2496" i="1"/>
  <c r="H2623" i="1" s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I2459" i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H2456" i="1"/>
  <c r="G2456" i="1"/>
  <c r="E2456" i="1"/>
  <c r="A2456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I2325" i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H2323" i="1"/>
  <c r="G2323" i="1"/>
  <c r="E2323" i="1"/>
  <c r="A2323" i="1"/>
  <c r="L2322" i="1"/>
  <c r="L2321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I2249" i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K2247" i="1"/>
  <c r="J2247" i="1"/>
  <c r="H2247" i="1"/>
  <c r="G2247" i="1"/>
  <c r="E2247" i="1"/>
  <c r="A2247" i="1"/>
  <c r="L2246" i="1"/>
  <c r="L2245" i="1"/>
  <c r="L2244" i="1"/>
  <c r="L2243" i="1"/>
  <c r="L2242" i="1"/>
  <c r="L2241" i="1"/>
  <c r="L2239" i="1"/>
  <c r="L2238" i="1"/>
  <c r="L2237" i="1"/>
  <c r="L2236" i="1"/>
  <c r="L2235" i="1"/>
  <c r="L2234" i="1"/>
  <c r="L2233" i="1"/>
  <c r="L2232" i="1"/>
  <c r="L2231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I2156" i="1"/>
  <c r="I2157" i="1" s="1"/>
  <c r="I2158" i="1" s="1"/>
  <c r="I2159" i="1" s="1"/>
  <c r="H2154" i="1"/>
  <c r="G2154" i="1"/>
  <c r="E2154" i="1"/>
  <c r="A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H2081" i="1"/>
  <c r="G2081" i="1"/>
  <c r="E2081" i="1"/>
  <c r="A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H2042" i="1"/>
  <c r="G2042" i="1"/>
  <c r="E2042" i="1"/>
  <c r="A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H1971" i="1"/>
  <c r="E1971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H1874" i="1"/>
  <c r="E1874" i="1"/>
  <c r="A1874" i="1"/>
  <c r="A1971" i="1" s="1"/>
  <c r="L1873" i="1"/>
  <c r="L1872" i="1"/>
  <c r="L1871" i="1"/>
  <c r="L1870" i="1"/>
  <c r="L1869" i="1"/>
  <c r="L1868" i="1"/>
  <c r="L1867" i="1"/>
  <c r="L1866" i="1"/>
  <c r="L1865" i="1"/>
  <c r="L1863" i="1"/>
  <c r="L1862" i="1"/>
  <c r="L1861" i="1"/>
  <c r="L1860" i="1"/>
  <c r="L1859" i="1"/>
  <c r="L1858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H1802" i="1"/>
  <c r="G1802" i="1"/>
  <c r="E1802" i="1"/>
  <c r="A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H1710" i="1"/>
  <c r="G1710" i="1"/>
  <c r="E1710" i="1"/>
  <c r="A1710" i="1"/>
  <c r="L1709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H1604" i="1"/>
  <c r="G1604" i="1"/>
  <c r="E1604" i="1"/>
  <c r="D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O1580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T1565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I1502" i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G1606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G1804" i="1" s="1"/>
  <c r="G1874" i="1" s="1"/>
  <c r="H1500" i="1"/>
  <c r="G1500" i="1"/>
  <c r="E1500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K1442" i="1"/>
  <c r="K1500" i="1" s="1"/>
  <c r="K1604" i="1" s="1"/>
  <c r="J1442" i="1"/>
  <c r="J1500" i="1" s="1"/>
  <c r="J1604" i="1" s="1"/>
  <c r="H1442" i="1"/>
  <c r="G1442" i="1"/>
  <c r="E1442" i="1"/>
  <c r="A1442" i="1"/>
  <c r="A1500" i="1" s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K1355" i="1"/>
  <c r="J1355" i="1"/>
  <c r="H1355" i="1"/>
  <c r="G1355" i="1"/>
  <c r="E1355" i="1"/>
  <c r="L1354" i="1"/>
  <c r="L1352" i="1"/>
  <c r="L1351" i="1"/>
  <c r="L1350" i="1"/>
  <c r="L1349" i="1"/>
  <c r="L1348" i="1"/>
  <c r="L1347" i="1"/>
  <c r="L1346" i="1"/>
  <c r="L1345" i="1"/>
  <c r="L1344" i="1"/>
  <c r="L1343" i="1"/>
  <c r="Q1342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I1248" i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G1357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H1246" i="1"/>
  <c r="G1246" i="1"/>
  <c r="E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I1130" i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H1128" i="1"/>
  <c r="G1128" i="1"/>
  <c r="E1128" i="1"/>
  <c r="L1126" i="1"/>
  <c r="L1125" i="1"/>
  <c r="L1124" i="1"/>
  <c r="L1123" i="1"/>
  <c r="L1122" i="1"/>
  <c r="L1121" i="1"/>
  <c r="L1120" i="1"/>
  <c r="L1119" i="1"/>
  <c r="L1118" i="1"/>
  <c r="L1117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I1043" i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L1042" i="1"/>
  <c r="G1040" i="1"/>
  <c r="E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H960" i="1"/>
  <c r="L960" i="1" s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I928" i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H925" i="1"/>
  <c r="G925" i="1"/>
  <c r="E925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I844" i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H842" i="1"/>
  <c r="G842" i="1"/>
  <c r="E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H777" i="1"/>
  <c r="G777" i="1"/>
  <c r="E777" i="1"/>
  <c r="L776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I685" i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H682" i="1"/>
  <c r="E682" i="1"/>
  <c r="L681" i="1"/>
  <c r="L680" i="1"/>
  <c r="L679" i="1"/>
  <c r="L678" i="1"/>
  <c r="L677" i="1"/>
  <c r="L676" i="1"/>
  <c r="L675" i="1"/>
  <c r="L674" i="1"/>
  <c r="L673" i="1"/>
  <c r="L672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H576" i="1"/>
  <c r="G576" i="1"/>
  <c r="E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I480" i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G578" i="1" s="1"/>
  <c r="L479" i="1"/>
  <c r="H477" i="1"/>
  <c r="G477" i="1"/>
  <c r="E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M383" i="1"/>
  <c r="M477" i="1" s="1"/>
  <c r="H383" i="1"/>
  <c r="G383" i="1"/>
  <c r="E383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I261" i="1"/>
  <c r="J261" i="1" s="1"/>
  <c r="M258" i="1"/>
  <c r="H258" i="1"/>
  <c r="G258" i="1"/>
  <c r="E258" i="1"/>
  <c r="L257" i="1"/>
  <c r="L256" i="1"/>
  <c r="L255" i="1"/>
  <c r="L254" i="1"/>
  <c r="T253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T220" i="1"/>
  <c r="L220" i="1"/>
  <c r="L219" i="1"/>
  <c r="L218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I172" i="1"/>
  <c r="J172" i="1" s="1"/>
  <c r="M169" i="1"/>
  <c r="H169" i="1"/>
  <c r="G169" i="1"/>
  <c r="E169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I90" i="1"/>
  <c r="J90" i="1" s="1"/>
  <c r="H88" i="1"/>
  <c r="G88" i="1"/>
  <c r="E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7" i="1"/>
  <c r="L56" i="1"/>
  <c r="L55" i="1"/>
  <c r="L54" i="1"/>
  <c r="L53" i="1"/>
  <c r="L52" i="1"/>
  <c r="L51" i="1"/>
  <c r="L50" i="1"/>
  <c r="L49" i="1"/>
  <c r="L48" i="1"/>
  <c r="L47" i="1"/>
  <c r="L33" i="1"/>
  <c r="L32" i="1"/>
  <c r="L31" i="1"/>
  <c r="L30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I5" i="1"/>
  <c r="L4" i="1"/>
  <c r="J4" i="1"/>
  <c r="K1960" i="2"/>
  <c r="P1798" i="2"/>
  <c r="A1572" i="2"/>
  <c r="A1573" i="2"/>
  <c r="A1574" i="2" s="1"/>
  <c r="A1575" i="2" s="1"/>
  <c r="A1576" i="2" s="1"/>
  <c r="A1577" i="2" s="1"/>
  <c r="A1578" i="2" s="1"/>
  <c r="A1579" i="2" s="1"/>
  <c r="A1580" i="2" s="1"/>
  <c r="A1581" i="2" s="1"/>
  <c r="A1561" i="2"/>
  <c r="A1562" i="2" s="1"/>
  <c r="A1563" i="2" s="1"/>
  <c r="A1564" i="2" s="1"/>
  <c r="A1565" i="2" s="1"/>
  <c r="A1566" i="2" s="1"/>
  <c r="A1567" i="2" s="1"/>
  <c r="A1568" i="2" s="1"/>
  <c r="A1569" i="2" s="1"/>
  <c r="I7552" i="1" l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A6499" i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D13" i="21"/>
  <c r="L17" i="18"/>
  <c r="H6490" i="1"/>
  <c r="C6490" i="1"/>
  <c r="I6418" i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G6492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E59" i="18"/>
  <c r="I173" i="1"/>
  <c r="J173" i="1" s="1"/>
  <c r="L2496" i="1"/>
  <c r="L2623" i="1" s="1"/>
  <c r="A1604" i="1"/>
  <c r="F2456" i="1"/>
  <c r="F1500" i="1"/>
  <c r="F1874" i="1"/>
  <c r="I5502" i="1"/>
  <c r="H3278" i="1"/>
  <c r="I3278" i="1" s="1"/>
  <c r="A6643" i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4" i="1" s="1"/>
  <c r="A6665" i="1" s="1"/>
  <c r="A6666" i="1" s="1"/>
  <c r="A6667" i="1" s="1"/>
  <c r="A6668" i="1" s="1"/>
  <c r="A6669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41" i="1"/>
  <c r="F383" i="1"/>
  <c r="D5502" i="1"/>
  <c r="O5502" i="1" s="1"/>
  <c r="F1802" i="1"/>
  <c r="F2623" i="1"/>
  <c r="I4984" i="1"/>
  <c r="L2081" i="1"/>
  <c r="F2081" i="1"/>
  <c r="L2247" i="1"/>
  <c r="I91" i="1"/>
  <c r="J91" i="1" s="1"/>
  <c r="F1442" i="1"/>
  <c r="F1604" i="1"/>
  <c r="F2154" i="1"/>
  <c r="F2323" i="1"/>
  <c r="F2042" i="1"/>
  <c r="F576" i="1"/>
  <c r="F777" i="1"/>
  <c r="F842" i="1"/>
  <c r="F1355" i="1"/>
  <c r="L1355" i="1"/>
  <c r="I3554" i="1"/>
  <c r="L1604" i="1"/>
  <c r="L1874" i="1"/>
  <c r="I5800" i="1"/>
  <c r="I6112" i="1"/>
  <c r="I3890" i="1"/>
  <c r="L3890" i="1"/>
  <c r="L1246" i="1"/>
  <c r="F1246" i="1"/>
  <c r="L1040" i="1"/>
  <c r="M1040" i="1" s="1"/>
  <c r="I2496" i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H1040" i="1"/>
  <c r="F1040" i="1" s="1"/>
  <c r="L842" i="1"/>
  <c r="L925" i="1"/>
  <c r="F925" i="1"/>
  <c r="L1710" i="1"/>
  <c r="F1710" i="1"/>
  <c r="L1802" i="1"/>
  <c r="L1971" i="1"/>
  <c r="L2154" i="1"/>
  <c r="F2247" i="1"/>
  <c r="L2323" i="1"/>
  <c r="L2456" i="1"/>
  <c r="S3115" i="1"/>
  <c r="D4608" i="1"/>
  <c r="O4608" i="1" s="1"/>
  <c r="D5236" i="1"/>
  <c r="O5236" i="1" s="1"/>
  <c r="L1128" i="1"/>
  <c r="L169" i="1"/>
  <c r="L576" i="1"/>
  <c r="M576" i="1" s="1"/>
  <c r="D4984" i="1"/>
  <c r="O4984" i="1" s="1"/>
  <c r="L4984" i="1"/>
  <c r="F88" i="1"/>
  <c r="F169" i="1"/>
  <c r="F477" i="1"/>
  <c r="A6083" i="1"/>
  <c r="A6084" i="1" s="1"/>
  <c r="A6085" i="1" s="1"/>
  <c r="A6086" i="1" s="1"/>
  <c r="A6087" i="1" s="1"/>
  <c r="A6088" i="1" s="1"/>
  <c r="A6082" i="1"/>
  <c r="L2042" i="1"/>
  <c r="L5800" i="1"/>
  <c r="I262" i="1"/>
  <c r="I263" i="1" s="1"/>
  <c r="I960" i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F1128" i="1"/>
  <c r="F2979" i="1"/>
  <c r="F3278" i="1" s="1"/>
  <c r="M5236" i="1"/>
  <c r="N5236" i="1" s="1"/>
  <c r="I5236" i="1"/>
  <c r="M5800" i="1"/>
  <c r="N5800" i="1" s="1"/>
  <c r="D6490" i="1"/>
  <c r="O6490" i="1" s="1"/>
  <c r="F258" i="1"/>
  <c r="L383" i="1"/>
  <c r="L1442" i="1"/>
  <c r="L1500" i="1"/>
  <c r="L4608" i="1"/>
  <c r="I4608" i="1"/>
  <c r="L5236" i="1"/>
  <c r="L5502" i="1"/>
  <c r="I6847" i="1"/>
  <c r="L6490" i="1"/>
  <c r="M2782" i="1"/>
  <c r="I4129" i="1"/>
  <c r="I1440" i="1"/>
  <c r="G1445" i="1"/>
  <c r="I1445" i="1" s="1"/>
  <c r="I1446" i="1" s="1"/>
  <c r="I1447" i="1" s="1"/>
  <c r="I578" i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G682" i="1"/>
  <c r="F682" i="1" s="1"/>
  <c r="L578" i="1"/>
  <c r="L682" i="1" s="1"/>
  <c r="M682" i="1" s="1"/>
  <c r="I1804" i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G1876" i="1" s="1"/>
  <c r="I2160" i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6" i="1"/>
  <c r="J5" i="1"/>
  <c r="L258" i="1"/>
  <c r="L88" i="1"/>
  <c r="L777" i="1"/>
  <c r="G2979" i="1"/>
  <c r="I2979" i="1" s="1"/>
  <c r="I2784" i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G2981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O4152" i="1"/>
  <c r="I4153" i="1"/>
  <c r="I2782" i="1"/>
  <c r="L3278" i="1"/>
  <c r="L2782" i="1"/>
  <c r="L4129" i="1"/>
  <c r="A4459" i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58" i="1"/>
  <c r="M3554" i="1"/>
  <c r="M3890" i="1" s="1"/>
  <c r="A4435" i="1"/>
  <c r="A4436" i="1" s="1"/>
  <c r="A4437" i="1" s="1"/>
  <c r="A4438" i="1" s="1"/>
  <c r="A4439" i="1" s="1"/>
  <c r="A4440" i="1" s="1"/>
  <c r="A4441" i="1" s="1"/>
  <c r="A4442" i="1" s="1"/>
  <c r="A4443" i="1" s="1"/>
  <c r="A4444" i="1" s="1"/>
  <c r="A4434" i="1"/>
  <c r="A4333" i="1"/>
  <c r="A4334" i="1"/>
  <c r="A4335" i="1" s="1"/>
  <c r="A4336" i="1" s="1"/>
  <c r="A4337" i="1" s="1"/>
  <c r="A4415" i="1"/>
  <c r="A4416" i="1" s="1"/>
  <c r="A4417" i="1" s="1"/>
  <c r="A4418" i="1" s="1"/>
  <c r="A4419" i="1" s="1"/>
  <c r="A4420" i="1" s="1"/>
  <c r="A4421" i="1" s="1"/>
  <c r="A4422" i="1" s="1"/>
  <c r="A4423" i="1" s="1"/>
  <c r="A4424" i="1" s="1"/>
  <c r="A4414" i="1"/>
  <c r="A4273" i="1"/>
  <c r="A4274" i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954" i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53" i="1"/>
  <c r="L2979" i="1"/>
  <c r="L3554" i="1"/>
  <c r="M4608" i="1"/>
  <c r="N4608" i="1" s="1"/>
  <c r="A4665" i="1"/>
  <c r="A4666" i="1" s="1"/>
  <c r="A4667" i="1" s="1"/>
  <c r="A4668" i="1" s="1"/>
  <c r="A4669" i="1" s="1"/>
  <c r="A4670" i="1" s="1"/>
  <c r="A4664" i="1"/>
  <c r="A4844" i="1"/>
  <c r="A4845" i="1" s="1"/>
  <c r="A4846" i="1" s="1"/>
  <c r="A4847" i="1" s="1"/>
  <c r="A4848" i="1" s="1"/>
  <c r="A4849" i="1" s="1"/>
  <c r="A4850" i="1" s="1"/>
  <c r="A4843" i="1"/>
  <c r="A5246" i="1"/>
  <c r="A5247" i="1" s="1"/>
  <c r="A5248" i="1" s="1"/>
  <c r="A5249" i="1" s="1"/>
  <c r="A5250" i="1" s="1"/>
  <c r="A6165" i="1"/>
  <c r="A6166" i="1" s="1"/>
  <c r="A6164" i="1"/>
  <c r="A4635" i="1"/>
  <c r="A5352" i="1"/>
  <c r="A5353" i="1" s="1"/>
  <c r="A5354" i="1" s="1"/>
  <c r="A5355" i="1" s="1"/>
  <c r="A5356" i="1" s="1"/>
  <c r="A5357" i="1" s="1"/>
  <c r="A5358" i="1" s="1"/>
  <c r="A5359" i="1" s="1"/>
  <c r="A5360" i="1" s="1"/>
  <c r="A5361" i="1" s="1"/>
  <c r="A5351" i="1"/>
  <c r="A5260" i="1"/>
  <c r="A5259" i="1"/>
  <c r="M4984" i="1"/>
  <c r="N4984" i="1" s="1"/>
  <c r="M5502" i="1"/>
  <c r="N5502" i="1" s="1"/>
  <c r="A5236" i="1"/>
  <c r="A5805" i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M6490" i="1"/>
  <c r="N6490" i="1" s="1"/>
  <c r="M6112" i="1"/>
  <c r="N6112" i="1" s="1"/>
  <c r="L6112" i="1"/>
  <c r="A6117" i="1"/>
  <c r="A6118" i="1" s="1"/>
  <c r="A6119" i="1" s="1"/>
  <c r="A6120" i="1" s="1"/>
  <c r="L6847" i="1"/>
  <c r="A6438" i="1"/>
  <c r="A6439" i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M6847" i="1"/>
  <c r="I7576" i="1" l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92" i="1"/>
  <c r="J92" i="1" s="1"/>
  <c r="I6490" i="1"/>
  <c r="J262" i="1"/>
  <c r="I174" i="1"/>
  <c r="J174" i="1" s="1"/>
  <c r="A6847" i="1"/>
  <c r="I6652" i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A4608" i="1"/>
  <c r="A4984" i="1"/>
  <c r="F3554" i="1"/>
  <c r="M4129" i="1"/>
  <c r="J263" i="1"/>
  <c r="I264" i="1"/>
  <c r="O4153" i="1"/>
  <c r="I4154" i="1"/>
  <c r="I1876" i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G1973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G2044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G1971" i="1"/>
  <c r="F1971" i="1" s="1"/>
  <c r="A5502" i="1"/>
  <c r="A5800" i="1" s="1"/>
  <c r="I2247" i="1"/>
  <c r="I2623" i="1"/>
  <c r="I2993" i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K2992" i="1"/>
  <c r="I1448" i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T1447" i="1"/>
  <c r="A6121" i="1"/>
  <c r="A6122" i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12" i="1"/>
  <c r="J6" i="1"/>
  <c r="I7" i="1"/>
  <c r="I7596" i="1" l="1"/>
  <c r="I7597" i="1" s="1"/>
  <c r="I7598" i="1" s="1"/>
  <c r="I7599" i="1" s="1"/>
  <c r="I93" i="1"/>
  <c r="I94" i="1" s="1"/>
  <c r="I175" i="1"/>
  <c r="I176" i="1" s="1"/>
  <c r="I6665" i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J264" i="1"/>
  <c r="I265" i="1"/>
  <c r="F3890" i="1"/>
  <c r="F4129" i="1" s="1"/>
  <c r="I3259" i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K3258" i="1"/>
  <c r="I4155" i="1"/>
  <c r="O4154" i="1"/>
  <c r="I8" i="1"/>
  <c r="J7" i="1"/>
  <c r="A6490" i="1"/>
  <c r="I7600" i="1" l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K7599" i="1"/>
  <c r="J175" i="1"/>
  <c r="J93" i="1"/>
  <c r="I6678" i="1"/>
  <c r="I6679" i="1" s="1"/>
  <c r="I6680" i="1" s="1"/>
  <c r="I6681" i="1" s="1"/>
  <c r="I6682" i="1" s="1"/>
  <c r="I6683" i="1" s="1"/>
  <c r="I6684" i="1" s="1"/>
  <c r="I6685" i="1" s="1"/>
  <c r="I6686" i="1" s="1"/>
  <c r="J265" i="1"/>
  <c r="I266" i="1"/>
  <c r="I4156" i="1"/>
  <c r="O4155" i="1"/>
  <c r="I9" i="1"/>
  <c r="J8" i="1"/>
  <c r="J94" i="1"/>
  <c r="I95" i="1"/>
  <c r="I177" i="1"/>
  <c r="J176" i="1"/>
  <c r="I7612" i="1" l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6687" i="1"/>
  <c r="I6688" i="1" s="1"/>
  <c r="I6689" i="1" s="1"/>
  <c r="I6690" i="1" s="1"/>
  <c r="I6691" i="1" s="1"/>
  <c r="J266" i="1"/>
  <c r="I267" i="1"/>
  <c r="I96" i="1"/>
  <c r="J95" i="1"/>
  <c r="I10" i="1"/>
  <c r="J9" i="1"/>
  <c r="I178" i="1"/>
  <c r="J177" i="1"/>
  <c r="I4157" i="1"/>
  <c r="O4156" i="1"/>
  <c r="I7624" i="1" l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6692" i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J267" i="1"/>
  <c r="I268" i="1"/>
  <c r="J10" i="1"/>
  <c r="I11" i="1"/>
  <c r="J178" i="1"/>
  <c r="I179" i="1"/>
  <c r="O4157" i="1"/>
  <c r="I4158" i="1"/>
  <c r="I97" i="1"/>
  <c r="J96" i="1"/>
  <c r="I7688" i="1" l="1"/>
  <c r="K7687" i="1"/>
  <c r="I6709" i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269" i="1"/>
  <c r="J268" i="1"/>
  <c r="O4158" i="1"/>
  <c r="I4159" i="1"/>
  <c r="I12" i="1"/>
  <c r="J11" i="1"/>
  <c r="I180" i="1"/>
  <c r="J179" i="1"/>
  <c r="J97" i="1"/>
  <c r="I98" i="1"/>
  <c r="I7689" i="1" l="1"/>
  <c r="K7640" i="1"/>
  <c r="I6728" i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270" i="1"/>
  <c r="J269" i="1"/>
  <c r="J98" i="1"/>
  <c r="I99" i="1"/>
  <c r="I13" i="1"/>
  <c r="J12" i="1"/>
  <c r="I4160" i="1"/>
  <c r="O4159" i="1"/>
  <c r="I181" i="1"/>
  <c r="J180" i="1"/>
  <c r="I7690" i="1" l="1"/>
  <c r="I6749" i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271" i="1"/>
  <c r="J270" i="1"/>
  <c r="I14" i="1"/>
  <c r="J13" i="1"/>
  <c r="I100" i="1"/>
  <c r="J99" i="1"/>
  <c r="I182" i="1"/>
  <c r="J181" i="1"/>
  <c r="O4160" i="1"/>
  <c r="I4161" i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7691" i="1" l="1"/>
  <c r="I6763" i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272" i="1"/>
  <c r="J271" i="1"/>
  <c r="J182" i="1"/>
  <c r="I183" i="1"/>
  <c r="I101" i="1"/>
  <c r="J100" i="1"/>
  <c r="J4173" i="1"/>
  <c r="I4174" i="1"/>
  <c r="J14" i="1"/>
  <c r="I15" i="1"/>
  <c r="I7692" i="1" l="1"/>
  <c r="I6778" i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J272" i="1"/>
  <c r="I273" i="1"/>
  <c r="J101" i="1"/>
  <c r="I102" i="1"/>
  <c r="J15" i="1"/>
  <c r="I16" i="1"/>
  <c r="I4175" i="1"/>
  <c r="J4174" i="1"/>
  <c r="I184" i="1"/>
  <c r="J183" i="1"/>
  <c r="I7693" i="1" l="1"/>
  <c r="I6804" i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J273" i="1"/>
  <c r="I274" i="1"/>
  <c r="J102" i="1"/>
  <c r="I103" i="1"/>
  <c r="I185" i="1"/>
  <c r="J184" i="1"/>
  <c r="I4176" i="1"/>
  <c r="J4175" i="1"/>
  <c r="I17" i="1"/>
  <c r="J16" i="1"/>
  <c r="I7694" i="1" l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6844" i="1"/>
  <c r="I6845" i="1" s="1"/>
  <c r="I6846" i="1" s="1"/>
  <c r="G6849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7184" i="1"/>
  <c r="K6847" i="1"/>
  <c r="I275" i="1"/>
  <c r="J274" i="1"/>
  <c r="I186" i="1"/>
  <c r="J185" i="1"/>
  <c r="I104" i="1"/>
  <c r="J103" i="1"/>
  <c r="I18" i="1"/>
  <c r="J17" i="1"/>
  <c r="J4176" i="1"/>
  <c r="I4177" i="1"/>
  <c r="I7706" i="1" l="1"/>
  <c r="J7705" i="1"/>
  <c r="I6862" i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276" i="1"/>
  <c r="J275" i="1"/>
  <c r="J18" i="1"/>
  <c r="I19" i="1"/>
  <c r="J4177" i="1"/>
  <c r="I4178" i="1"/>
  <c r="I105" i="1"/>
  <c r="J104" i="1"/>
  <c r="J186" i="1"/>
  <c r="I187" i="1"/>
  <c r="I7707" i="1" l="1"/>
  <c r="J7707" i="1" s="1"/>
  <c r="J7706" i="1"/>
  <c r="I6952" i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J276" i="1"/>
  <c r="I277" i="1"/>
  <c r="J105" i="1"/>
  <c r="I106" i="1"/>
  <c r="I20" i="1"/>
  <c r="J19" i="1"/>
  <c r="J4178" i="1"/>
  <c r="I4179" i="1"/>
  <c r="J187" i="1"/>
  <c r="I188" i="1"/>
  <c r="I7708" i="1" l="1"/>
  <c r="I7709" i="1" s="1"/>
  <c r="I6997" i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J277" i="1"/>
  <c r="I278" i="1"/>
  <c r="I21" i="1"/>
  <c r="J20" i="1"/>
  <c r="J4179" i="1"/>
  <c r="I4180" i="1"/>
  <c r="J106" i="1"/>
  <c r="I107" i="1"/>
  <c r="I189" i="1"/>
  <c r="J188" i="1"/>
  <c r="J7708" i="1" l="1"/>
  <c r="I7710" i="1"/>
  <c r="J7709" i="1"/>
  <c r="I7093" i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279" i="1"/>
  <c r="J278" i="1"/>
  <c r="I4181" i="1"/>
  <c r="J4180" i="1"/>
  <c r="J189" i="1"/>
  <c r="I190" i="1"/>
  <c r="J107" i="1"/>
  <c r="I108" i="1"/>
  <c r="I22" i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J21" i="1"/>
  <c r="I7711" i="1" l="1"/>
  <c r="J7710" i="1"/>
  <c r="I7111" i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J279" i="1"/>
  <c r="I280" i="1"/>
  <c r="J108" i="1"/>
  <c r="I109" i="1"/>
  <c r="J190" i="1"/>
  <c r="I191" i="1"/>
  <c r="J22" i="1"/>
  <c r="J4181" i="1"/>
  <c r="I4182" i="1"/>
  <c r="I7712" i="1" l="1"/>
  <c r="J7711" i="1"/>
  <c r="I7122" i="1"/>
  <c r="I7123" i="1" s="1"/>
  <c r="I7124" i="1" s="1"/>
  <c r="I7125" i="1" s="1"/>
  <c r="I7126" i="1" s="1"/>
  <c r="J280" i="1"/>
  <c r="I281" i="1"/>
  <c r="J23" i="1"/>
  <c r="I192" i="1"/>
  <c r="J191" i="1"/>
  <c r="J109" i="1"/>
  <c r="I110" i="1"/>
  <c r="J4182" i="1"/>
  <c r="I4183" i="1"/>
  <c r="I7713" i="1" l="1"/>
  <c r="J7712" i="1"/>
  <c r="I7127" i="1"/>
  <c r="I7128" i="1" s="1"/>
  <c r="I7129" i="1" s="1"/>
  <c r="I7130" i="1" s="1"/>
  <c r="I7131" i="1" s="1"/>
  <c r="I7132" i="1" s="1"/>
  <c r="I7133" i="1" s="1"/>
  <c r="I7134" i="1" s="1"/>
  <c r="I7135" i="1" s="1"/>
  <c r="I7136" i="1" s="1"/>
  <c r="J281" i="1"/>
  <c r="I282" i="1"/>
  <c r="J4183" i="1"/>
  <c r="I4184" i="1"/>
  <c r="I193" i="1"/>
  <c r="J192" i="1"/>
  <c r="I111" i="1"/>
  <c r="J110" i="1"/>
  <c r="J24" i="1"/>
  <c r="I7714" i="1" l="1"/>
  <c r="J7713" i="1"/>
  <c r="I7137" i="1"/>
  <c r="I7138" i="1" s="1"/>
  <c r="I7139" i="1" s="1"/>
  <c r="I7140" i="1" s="1"/>
  <c r="I7141" i="1" s="1"/>
  <c r="I7142" i="1" s="1"/>
  <c r="I7143" i="1" s="1"/>
  <c r="I7144" i="1" s="1"/>
  <c r="I7145" i="1" s="1"/>
  <c r="J282" i="1"/>
  <c r="I283" i="1"/>
  <c r="J25" i="1"/>
  <c r="J4184" i="1"/>
  <c r="I4185" i="1"/>
  <c r="J193" i="1"/>
  <c r="I194" i="1"/>
  <c r="I112" i="1"/>
  <c r="J111" i="1"/>
  <c r="J7714" i="1" l="1"/>
  <c r="I7715" i="1"/>
  <c r="I7146" i="1"/>
  <c r="I7147" i="1" s="1"/>
  <c r="I284" i="1"/>
  <c r="J283" i="1"/>
  <c r="J194" i="1"/>
  <c r="I195" i="1"/>
  <c r="I113" i="1"/>
  <c r="J112" i="1"/>
  <c r="J26" i="1"/>
  <c r="I4186" i="1"/>
  <c r="J4185" i="1"/>
  <c r="I7716" i="1" l="1"/>
  <c r="J7715" i="1"/>
  <c r="I7148" i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J284" i="1"/>
  <c r="I285" i="1"/>
  <c r="J27" i="1"/>
  <c r="I196" i="1"/>
  <c r="J195" i="1"/>
  <c r="I4187" i="1"/>
  <c r="J4186" i="1"/>
  <c r="J113" i="1"/>
  <c r="I114" i="1"/>
  <c r="I7717" i="1" l="1"/>
  <c r="J7716" i="1"/>
  <c r="I7168" i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286" i="1"/>
  <c r="J285" i="1"/>
  <c r="J114" i="1"/>
  <c r="I115" i="1"/>
  <c r="I4188" i="1"/>
  <c r="J4187" i="1"/>
  <c r="I197" i="1"/>
  <c r="J196" i="1"/>
  <c r="J28" i="1"/>
  <c r="I7718" i="1" l="1"/>
  <c r="J7717" i="1"/>
  <c r="I7180" i="1"/>
  <c r="I287" i="1"/>
  <c r="J286" i="1"/>
  <c r="J197" i="1"/>
  <c r="I198" i="1"/>
  <c r="I116" i="1"/>
  <c r="J115" i="1"/>
  <c r="J29" i="1"/>
  <c r="I4189" i="1"/>
  <c r="J4188" i="1"/>
  <c r="I7719" i="1" l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J7718" i="1"/>
  <c r="K7718" i="1" s="1"/>
  <c r="I7181" i="1"/>
  <c r="I7182" i="1" s="1"/>
  <c r="I7183" i="1" s="1"/>
  <c r="K7184" i="1"/>
  <c r="J287" i="1"/>
  <c r="I288" i="1"/>
  <c r="I4190" i="1"/>
  <c r="J4189" i="1"/>
  <c r="I117" i="1"/>
  <c r="J116" i="1"/>
  <c r="J198" i="1"/>
  <c r="I199" i="1"/>
  <c r="J30" i="1"/>
  <c r="K7754" i="1" l="1"/>
  <c r="I7731" i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289" i="1"/>
  <c r="J288" i="1"/>
  <c r="J117" i="1"/>
  <c r="I118" i="1"/>
  <c r="I200" i="1"/>
  <c r="J199" i="1"/>
  <c r="J31" i="1"/>
  <c r="I4191" i="1"/>
  <c r="J4190" i="1"/>
  <c r="I7743" i="1" l="1"/>
  <c r="I7744" i="1" s="1"/>
  <c r="I7745" i="1" s="1"/>
  <c r="I7746" i="1" s="1"/>
  <c r="I7747" i="1" s="1"/>
  <c r="I7748" i="1" s="1"/>
  <c r="I7749" i="1" s="1"/>
  <c r="I7750" i="1" s="1"/>
  <c r="I7751" i="1" s="1"/>
  <c r="I7752" i="1" s="1"/>
  <c r="J289" i="1"/>
  <c r="I290" i="1"/>
  <c r="J32" i="1"/>
  <c r="J118" i="1"/>
  <c r="I119" i="1"/>
  <c r="I4192" i="1"/>
  <c r="J4191" i="1"/>
  <c r="I201" i="1"/>
  <c r="J200" i="1"/>
  <c r="L9427" i="1" l="1"/>
  <c r="I7753" i="1"/>
  <c r="I291" i="1"/>
  <c r="J290" i="1"/>
  <c r="I4193" i="1"/>
  <c r="J4192" i="1"/>
  <c r="I120" i="1"/>
  <c r="J119" i="1"/>
  <c r="J201" i="1"/>
  <c r="I202" i="1"/>
  <c r="J33" i="1"/>
  <c r="I34" i="1"/>
  <c r="O9425" i="1" l="1"/>
  <c r="I292" i="1"/>
  <c r="J291" i="1"/>
  <c r="J202" i="1"/>
  <c r="I203" i="1"/>
  <c r="I47" i="1"/>
  <c r="J34" i="1"/>
  <c r="I121" i="1"/>
  <c r="J120" i="1"/>
  <c r="J4193" i="1"/>
  <c r="I4194" i="1"/>
  <c r="J292" i="1" l="1"/>
  <c r="I293" i="1"/>
  <c r="J121" i="1"/>
  <c r="I122" i="1"/>
  <c r="J47" i="1"/>
  <c r="I48" i="1"/>
  <c r="I204" i="1"/>
  <c r="J203" i="1"/>
  <c r="I4195" i="1"/>
  <c r="J4194" i="1"/>
  <c r="I294" i="1" l="1"/>
  <c r="J293" i="1"/>
  <c r="I4196" i="1"/>
  <c r="J4195" i="1"/>
  <c r="J122" i="1"/>
  <c r="I123" i="1"/>
  <c r="J48" i="1"/>
  <c r="I49" i="1"/>
  <c r="I205" i="1"/>
  <c r="J204" i="1"/>
  <c r="J294" i="1" l="1"/>
  <c r="I295" i="1"/>
  <c r="I124" i="1"/>
  <c r="J123" i="1"/>
  <c r="I50" i="1"/>
  <c r="J49" i="1"/>
  <c r="J205" i="1"/>
  <c r="I206" i="1"/>
  <c r="I4197" i="1"/>
  <c r="J4196" i="1"/>
  <c r="I296" i="1" l="1"/>
  <c r="J295" i="1"/>
  <c r="J206" i="1"/>
  <c r="I207" i="1"/>
  <c r="I125" i="1"/>
  <c r="J124" i="1"/>
  <c r="I4198" i="1"/>
  <c r="J4197" i="1"/>
  <c r="J50" i="1"/>
  <c r="I51" i="1"/>
  <c r="J296" i="1" l="1"/>
  <c r="I297" i="1"/>
  <c r="I4199" i="1"/>
  <c r="J4198" i="1"/>
  <c r="I52" i="1"/>
  <c r="J51" i="1"/>
  <c r="I208" i="1"/>
  <c r="J207" i="1"/>
  <c r="J125" i="1"/>
  <c r="I126" i="1"/>
  <c r="J297" i="1" l="1"/>
  <c r="I298" i="1"/>
  <c r="I4200" i="1"/>
  <c r="J4199" i="1"/>
  <c r="I209" i="1"/>
  <c r="J208" i="1"/>
  <c r="J126" i="1"/>
  <c r="I127" i="1"/>
  <c r="I53" i="1"/>
  <c r="J52" i="1"/>
  <c r="I299" i="1" l="1"/>
  <c r="J298" i="1"/>
  <c r="J53" i="1"/>
  <c r="I54" i="1"/>
  <c r="J209" i="1"/>
  <c r="I210" i="1"/>
  <c r="I128" i="1"/>
  <c r="J127" i="1"/>
  <c r="I4201" i="1"/>
  <c r="J4200" i="1"/>
  <c r="J299" i="1" l="1"/>
  <c r="I300" i="1"/>
  <c r="I55" i="1"/>
  <c r="J54" i="1"/>
  <c r="J210" i="1"/>
  <c r="I211" i="1"/>
  <c r="I4202" i="1"/>
  <c r="J4201" i="1"/>
  <c r="I129" i="1"/>
  <c r="J128" i="1"/>
  <c r="J300" i="1" l="1"/>
  <c r="I301" i="1"/>
  <c r="J129" i="1"/>
  <c r="I130" i="1"/>
  <c r="I4203" i="1"/>
  <c r="J4202" i="1"/>
  <c r="I56" i="1"/>
  <c r="J55" i="1"/>
  <c r="J211" i="1"/>
  <c r="I212" i="1"/>
  <c r="I302" i="1" l="1"/>
  <c r="J301" i="1"/>
  <c r="J4203" i="1"/>
  <c r="I4204" i="1"/>
  <c r="J56" i="1"/>
  <c r="I57" i="1"/>
  <c r="J212" i="1"/>
  <c r="I213" i="1"/>
  <c r="J130" i="1"/>
  <c r="I131" i="1"/>
  <c r="I303" i="1" l="1"/>
  <c r="J302" i="1"/>
  <c r="J213" i="1"/>
  <c r="I214" i="1"/>
  <c r="I58" i="1"/>
  <c r="J57" i="1"/>
  <c r="I132" i="1"/>
  <c r="J131" i="1"/>
  <c r="I4205" i="1"/>
  <c r="J4204" i="1"/>
  <c r="I304" i="1" l="1"/>
  <c r="J303" i="1"/>
  <c r="I133" i="1"/>
  <c r="J132" i="1"/>
  <c r="I4206" i="1"/>
  <c r="J4205" i="1"/>
  <c r="J58" i="1"/>
  <c r="I59" i="1"/>
  <c r="J214" i="1"/>
  <c r="I215" i="1"/>
  <c r="J304" i="1" l="1"/>
  <c r="I305" i="1"/>
  <c r="J133" i="1"/>
  <c r="I134" i="1"/>
  <c r="J59" i="1"/>
  <c r="I60" i="1"/>
  <c r="I4207" i="1"/>
  <c r="J4206" i="1"/>
  <c r="J215" i="1"/>
  <c r="I216" i="1"/>
  <c r="J305" i="1" l="1"/>
  <c r="I306" i="1"/>
  <c r="J60" i="1"/>
  <c r="I61" i="1"/>
  <c r="I4208" i="1"/>
  <c r="J4207" i="1"/>
  <c r="I217" i="1"/>
  <c r="J216" i="1"/>
  <c r="J134" i="1"/>
  <c r="I135" i="1"/>
  <c r="I307" i="1" l="1"/>
  <c r="J306" i="1"/>
  <c r="I4209" i="1"/>
  <c r="J4208" i="1"/>
  <c r="I62" i="1"/>
  <c r="J61" i="1"/>
  <c r="I218" i="1"/>
  <c r="J217" i="1"/>
  <c r="I136" i="1"/>
  <c r="J135" i="1"/>
  <c r="J307" i="1" l="1"/>
  <c r="I308" i="1"/>
  <c r="J218" i="1"/>
  <c r="I219" i="1"/>
  <c r="I137" i="1"/>
  <c r="J136" i="1"/>
  <c r="J62" i="1"/>
  <c r="I63" i="1"/>
  <c r="I4210" i="1"/>
  <c r="J4209" i="1"/>
  <c r="J308" i="1" l="1"/>
  <c r="I309" i="1"/>
  <c r="I64" i="1"/>
  <c r="J63" i="1"/>
  <c r="I220" i="1"/>
  <c r="J219" i="1"/>
  <c r="I4211" i="1"/>
  <c r="J4210" i="1"/>
  <c r="J137" i="1"/>
  <c r="I138" i="1"/>
  <c r="I310" i="1" l="1"/>
  <c r="J309" i="1"/>
  <c r="J138" i="1"/>
  <c r="I139" i="1"/>
  <c r="J4211" i="1"/>
  <c r="I4212" i="1"/>
  <c r="J220" i="1"/>
  <c r="I221" i="1"/>
  <c r="I65" i="1"/>
  <c r="J64" i="1"/>
  <c r="I311" i="1" l="1"/>
  <c r="J310" i="1"/>
  <c r="J221" i="1"/>
  <c r="I222" i="1"/>
  <c r="I140" i="1"/>
  <c r="J139" i="1"/>
  <c r="I4213" i="1"/>
  <c r="J4212" i="1"/>
  <c r="I66" i="1"/>
  <c r="J65" i="1"/>
  <c r="J311" i="1" l="1"/>
  <c r="I312" i="1"/>
  <c r="J140" i="1"/>
  <c r="I141" i="1"/>
  <c r="I4214" i="1"/>
  <c r="J4213" i="1"/>
  <c r="J222" i="1"/>
  <c r="I223" i="1"/>
  <c r="I67" i="1"/>
  <c r="J66" i="1"/>
  <c r="J312" i="1" l="1"/>
  <c r="I313" i="1"/>
  <c r="I4215" i="1"/>
  <c r="J4214" i="1"/>
  <c r="I142" i="1"/>
  <c r="J141" i="1"/>
  <c r="J223" i="1"/>
  <c r="I224" i="1"/>
  <c r="J67" i="1"/>
  <c r="I68" i="1"/>
  <c r="I314" i="1" l="1"/>
  <c r="J313" i="1"/>
  <c r="I225" i="1"/>
  <c r="J224" i="1"/>
  <c r="I143" i="1"/>
  <c r="J142" i="1"/>
  <c r="J68" i="1"/>
  <c r="I69" i="1"/>
  <c r="I4216" i="1"/>
  <c r="J4215" i="1"/>
  <c r="J314" i="1" l="1"/>
  <c r="I315" i="1"/>
  <c r="I4217" i="1"/>
  <c r="J4216" i="1"/>
  <c r="I226" i="1"/>
  <c r="J225" i="1"/>
  <c r="J143" i="1"/>
  <c r="I144" i="1"/>
  <c r="I70" i="1"/>
  <c r="J69" i="1"/>
  <c r="I316" i="1" l="1"/>
  <c r="J315" i="1"/>
  <c r="I71" i="1"/>
  <c r="J70" i="1"/>
  <c r="I4218" i="1"/>
  <c r="J4217" i="1"/>
  <c r="J144" i="1"/>
  <c r="I145" i="1"/>
  <c r="J226" i="1"/>
  <c r="I227" i="1"/>
  <c r="I317" i="1" l="1"/>
  <c r="J316" i="1"/>
  <c r="J71" i="1"/>
  <c r="I72" i="1"/>
  <c r="J227" i="1"/>
  <c r="I228" i="1"/>
  <c r="I4219" i="1"/>
  <c r="J4218" i="1"/>
  <c r="I146" i="1"/>
  <c r="J145" i="1"/>
  <c r="J317" i="1" l="1"/>
  <c r="I318" i="1"/>
  <c r="I147" i="1"/>
  <c r="J146" i="1"/>
  <c r="J4219" i="1"/>
  <c r="I4220" i="1"/>
  <c r="I229" i="1"/>
  <c r="J228" i="1"/>
  <c r="J72" i="1"/>
  <c r="I73" i="1"/>
  <c r="I319" i="1" l="1"/>
  <c r="J318" i="1"/>
  <c r="I230" i="1"/>
  <c r="J229" i="1"/>
  <c r="I4221" i="1"/>
  <c r="J4220" i="1"/>
  <c r="J147" i="1"/>
  <c r="I148" i="1"/>
  <c r="I74" i="1"/>
  <c r="J73" i="1"/>
  <c r="J319" i="1" l="1"/>
  <c r="I320" i="1"/>
  <c r="J148" i="1"/>
  <c r="I149" i="1"/>
  <c r="J74" i="1"/>
  <c r="I75" i="1"/>
  <c r="I4222" i="1"/>
  <c r="J4221" i="1"/>
  <c r="J230" i="1"/>
  <c r="I231" i="1"/>
  <c r="J320" i="1" l="1"/>
  <c r="I321" i="1"/>
  <c r="I4223" i="1"/>
  <c r="J4222" i="1"/>
  <c r="I150" i="1"/>
  <c r="J149" i="1"/>
  <c r="J231" i="1"/>
  <c r="I232" i="1"/>
  <c r="J75" i="1"/>
  <c r="I76" i="1"/>
  <c r="I322" i="1" l="1"/>
  <c r="J321" i="1"/>
  <c r="I151" i="1"/>
  <c r="J150" i="1"/>
  <c r="I233" i="1"/>
  <c r="J232" i="1"/>
  <c r="I77" i="1"/>
  <c r="J76" i="1"/>
  <c r="I4224" i="1"/>
  <c r="J4223" i="1"/>
  <c r="I323" i="1" l="1"/>
  <c r="J322" i="1"/>
  <c r="J233" i="1"/>
  <c r="I234" i="1"/>
  <c r="I4225" i="1"/>
  <c r="J4224" i="1"/>
  <c r="I78" i="1"/>
  <c r="J77" i="1"/>
  <c r="J151" i="1"/>
  <c r="I152" i="1"/>
  <c r="I324" i="1" l="1"/>
  <c r="J323" i="1"/>
  <c r="J78" i="1"/>
  <c r="I79" i="1"/>
  <c r="J234" i="1"/>
  <c r="I235" i="1"/>
  <c r="J152" i="1"/>
  <c r="I153" i="1"/>
  <c r="I4226" i="1"/>
  <c r="J4225" i="1"/>
  <c r="J324" i="1" l="1"/>
  <c r="I325" i="1"/>
  <c r="I154" i="1"/>
  <c r="J153" i="1"/>
  <c r="I236" i="1"/>
  <c r="J235" i="1"/>
  <c r="J79" i="1"/>
  <c r="I80" i="1"/>
  <c r="I4227" i="1"/>
  <c r="J4226" i="1"/>
  <c r="J325" i="1" l="1"/>
  <c r="I326" i="1"/>
  <c r="I237" i="1"/>
  <c r="J236" i="1"/>
  <c r="J80" i="1"/>
  <c r="I81" i="1"/>
  <c r="J4227" i="1"/>
  <c r="I4228" i="1"/>
  <c r="I155" i="1"/>
  <c r="J154" i="1"/>
  <c r="I327" i="1" l="1"/>
  <c r="J326" i="1"/>
  <c r="I4229" i="1"/>
  <c r="J4228" i="1"/>
  <c r="I238" i="1"/>
  <c r="J237" i="1"/>
  <c r="I82" i="1"/>
  <c r="J81" i="1"/>
  <c r="I156" i="1"/>
  <c r="J155" i="1"/>
  <c r="J327" i="1" l="1"/>
  <c r="I328" i="1"/>
  <c r="J238" i="1"/>
  <c r="I239" i="1"/>
  <c r="J156" i="1"/>
  <c r="I157" i="1"/>
  <c r="I83" i="1"/>
  <c r="J82" i="1"/>
  <c r="I4230" i="1"/>
  <c r="J4229" i="1"/>
  <c r="J328" i="1" l="1"/>
  <c r="I329" i="1"/>
  <c r="I240" i="1"/>
  <c r="J239" i="1"/>
  <c r="J83" i="1"/>
  <c r="I84" i="1"/>
  <c r="J157" i="1"/>
  <c r="I158" i="1"/>
  <c r="I4231" i="1"/>
  <c r="J4230" i="1"/>
  <c r="I330" i="1" l="1"/>
  <c r="J329" i="1"/>
  <c r="I241" i="1"/>
  <c r="J240" i="1"/>
  <c r="J84" i="1"/>
  <c r="I85" i="1"/>
  <c r="I4232" i="1"/>
  <c r="J4231" i="1"/>
  <c r="I159" i="1"/>
  <c r="J158" i="1"/>
  <c r="I331" i="1" l="1"/>
  <c r="J330" i="1"/>
  <c r="I160" i="1"/>
  <c r="J159" i="1"/>
  <c r="I4233" i="1"/>
  <c r="J4232" i="1"/>
  <c r="I242" i="1"/>
  <c r="J241" i="1"/>
  <c r="I86" i="1"/>
  <c r="J85" i="1"/>
  <c r="I332" i="1" l="1"/>
  <c r="J331" i="1"/>
  <c r="J242" i="1"/>
  <c r="I243" i="1"/>
  <c r="J86" i="1"/>
  <c r="I87" i="1"/>
  <c r="J87" i="1" s="1"/>
  <c r="I4234" i="1"/>
  <c r="J4233" i="1"/>
  <c r="J160" i="1"/>
  <c r="I161" i="1"/>
  <c r="I333" i="1" l="1"/>
  <c r="J332" i="1"/>
  <c r="I4235" i="1"/>
  <c r="J4234" i="1"/>
  <c r="I244" i="1"/>
  <c r="J243" i="1"/>
  <c r="J161" i="1"/>
  <c r="I162" i="1"/>
  <c r="J333" i="1" l="1"/>
  <c r="I334" i="1"/>
  <c r="J4235" i="1"/>
  <c r="I4236" i="1"/>
  <c r="I163" i="1"/>
  <c r="J162" i="1"/>
  <c r="I245" i="1"/>
  <c r="J244" i="1"/>
  <c r="I335" i="1" l="1"/>
  <c r="J334" i="1"/>
  <c r="J163" i="1"/>
  <c r="I164" i="1"/>
  <c r="I4237" i="1"/>
  <c r="J4236" i="1"/>
  <c r="I246" i="1"/>
  <c r="J245" i="1"/>
  <c r="I336" i="1" l="1"/>
  <c r="J335" i="1"/>
  <c r="I4238" i="1"/>
  <c r="J4237" i="1"/>
  <c r="I165" i="1"/>
  <c r="J164" i="1"/>
  <c r="J246" i="1"/>
  <c r="I247" i="1"/>
  <c r="J336" i="1" l="1"/>
  <c r="I337" i="1"/>
  <c r="J247" i="1"/>
  <c r="I248" i="1"/>
  <c r="J165" i="1"/>
  <c r="I166" i="1"/>
  <c r="I4239" i="1"/>
  <c r="J4238" i="1"/>
  <c r="I338" i="1" l="1"/>
  <c r="J337" i="1"/>
  <c r="I249" i="1"/>
  <c r="J248" i="1"/>
  <c r="I4240" i="1"/>
  <c r="J4239" i="1"/>
  <c r="I167" i="1"/>
  <c r="J167" i="1" s="1"/>
  <c r="J166" i="1"/>
  <c r="I339" i="1" l="1"/>
  <c r="J338" i="1"/>
  <c r="I4241" i="1"/>
  <c r="J4240" i="1"/>
  <c r="I250" i="1"/>
  <c r="J249" i="1"/>
  <c r="I340" i="1" l="1"/>
  <c r="J339" i="1"/>
  <c r="J250" i="1"/>
  <c r="I251" i="1"/>
  <c r="I4242" i="1"/>
  <c r="J4241" i="1"/>
  <c r="J340" i="1" l="1"/>
  <c r="I341" i="1"/>
  <c r="I4243" i="1"/>
  <c r="J4242" i="1"/>
  <c r="J251" i="1"/>
  <c r="I252" i="1"/>
  <c r="I342" i="1" l="1"/>
  <c r="J341" i="1"/>
  <c r="I4244" i="1"/>
  <c r="J4243" i="1"/>
  <c r="I253" i="1"/>
  <c r="J252" i="1"/>
  <c r="J342" i="1" l="1"/>
  <c r="I343" i="1"/>
  <c r="I4245" i="1"/>
  <c r="J4244" i="1"/>
  <c r="I254" i="1"/>
  <c r="J253" i="1"/>
  <c r="I344" i="1" l="1"/>
  <c r="J343" i="1"/>
  <c r="I255" i="1"/>
  <c r="J254" i="1"/>
  <c r="I4246" i="1"/>
  <c r="J4245" i="1"/>
  <c r="I345" i="1" l="1"/>
  <c r="J344" i="1"/>
  <c r="I4247" i="1"/>
  <c r="J4246" i="1"/>
  <c r="J255" i="1"/>
  <c r="I256" i="1"/>
  <c r="I346" i="1" l="1"/>
  <c r="J345" i="1"/>
  <c r="I4248" i="1"/>
  <c r="J4247" i="1"/>
  <c r="J256" i="1"/>
  <c r="I257" i="1"/>
  <c r="J257" i="1" s="1"/>
  <c r="J346" i="1" l="1"/>
  <c r="I347" i="1"/>
  <c r="I4249" i="1"/>
  <c r="J4248" i="1"/>
  <c r="I348" i="1" l="1"/>
  <c r="J347" i="1"/>
  <c r="I4250" i="1"/>
  <c r="J4249" i="1"/>
  <c r="I349" i="1" l="1"/>
  <c r="J348" i="1"/>
  <c r="I4251" i="1"/>
  <c r="J4250" i="1"/>
  <c r="J349" i="1" l="1"/>
  <c r="I350" i="1"/>
  <c r="I4252" i="1"/>
  <c r="J4251" i="1"/>
  <c r="J350" i="1" l="1"/>
  <c r="I351" i="1"/>
  <c r="I4253" i="1"/>
  <c r="J4252" i="1"/>
  <c r="J351" i="1" l="1"/>
  <c r="I352" i="1"/>
  <c r="I4254" i="1"/>
  <c r="J4253" i="1"/>
  <c r="J352" i="1" l="1"/>
  <c r="I353" i="1"/>
  <c r="I4255" i="1"/>
  <c r="J4254" i="1"/>
  <c r="I354" i="1" l="1"/>
  <c r="J353" i="1"/>
  <c r="I4256" i="1"/>
  <c r="J4255" i="1"/>
  <c r="I355" i="1" l="1"/>
  <c r="J354" i="1"/>
  <c r="I4257" i="1"/>
  <c r="J4256" i="1"/>
  <c r="I356" i="1" l="1"/>
  <c r="J355" i="1"/>
  <c r="I4258" i="1"/>
  <c r="J4257" i="1"/>
  <c r="J356" i="1" l="1"/>
  <c r="I357" i="1"/>
  <c r="I4259" i="1"/>
  <c r="J4258" i="1"/>
  <c r="J357" i="1" l="1"/>
  <c r="I358" i="1"/>
  <c r="I4260" i="1"/>
  <c r="J4259" i="1"/>
  <c r="I359" i="1" l="1"/>
  <c r="J358" i="1"/>
  <c r="J4260" i="1"/>
  <c r="I4261" i="1"/>
  <c r="J359" i="1" l="1"/>
  <c r="I360" i="1"/>
  <c r="J4261" i="1"/>
  <c r="I4262" i="1"/>
  <c r="J360" i="1" l="1"/>
  <c r="I361" i="1"/>
  <c r="J4262" i="1"/>
  <c r="I4263" i="1"/>
  <c r="I362" i="1" l="1"/>
  <c r="J361" i="1"/>
  <c r="J4263" i="1"/>
  <c r="I4264" i="1"/>
  <c r="I363" i="1" l="1"/>
  <c r="J362" i="1"/>
  <c r="J4264" i="1"/>
  <c r="I4265" i="1"/>
  <c r="I364" i="1" l="1"/>
  <c r="J363" i="1"/>
  <c r="J4265" i="1"/>
  <c r="I4266" i="1"/>
  <c r="J364" i="1" l="1"/>
  <c r="I365" i="1"/>
  <c r="I4267" i="1"/>
  <c r="J4266" i="1"/>
  <c r="J365" i="1" l="1"/>
  <c r="I366" i="1"/>
  <c r="I4268" i="1"/>
  <c r="J4267" i="1"/>
  <c r="I367" i="1" l="1"/>
  <c r="J366" i="1"/>
  <c r="I4269" i="1"/>
  <c r="J4268" i="1"/>
  <c r="J367" i="1" l="1"/>
  <c r="I368" i="1"/>
  <c r="I4270" i="1"/>
  <c r="J4269" i="1"/>
  <c r="I369" i="1" l="1"/>
  <c r="J368" i="1"/>
  <c r="I4271" i="1"/>
  <c r="J4270" i="1"/>
  <c r="I370" i="1" l="1"/>
  <c r="J369" i="1"/>
  <c r="J4271" i="1"/>
  <c r="I4272" i="1"/>
  <c r="I371" i="1" l="1"/>
  <c r="J370" i="1"/>
  <c r="I4273" i="1"/>
  <c r="J4272" i="1"/>
  <c r="I372" i="1" l="1"/>
  <c r="J371" i="1"/>
  <c r="I4274" i="1"/>
  <c r="J4273" i="1"/>
  <c r="J372" i="1" l="1"/>
  <c r="I373" i="1"/>
  <c r="I4275" i="1"/>
  <c r="J4274" i="1"/>
  <c r="J373" i="1" l="1"/>
  <c r="I374" i="1"/>
  <c r="J4275" i="1"/>
  <c r="I4276" i="1"/>
  <c r="I375" i="1" l="1"/>
  <c r="J374" i="1"/>
  <c r="J4276" i="1"/>
  <c r="I4277" i="1"/>
  <c r="I376" i="1" l="1"/>
  <c r="J375" i="1"/>
  <c r="J4277" i="1"/>
  <c r="I4278" i="1"/>
  <c r="J376" i="1" l="1"/>
  <c r="I377" i="1"/>
  <c r="I4279" i="1"/>
  <c r="J4278" i="1"/>
  <c r="I378" i="1" l="1"/>
  <c r="J377" i="1"/>
  <c r="J4279" i="1"/>
  <c r="I4280" i="1"/>
  <c r="J378" i="1" l="1"/>
  <c r="I379" i="1"/>
  <c r="J4280" i="1"/>
  <c r="I4281" i="1"/>
  <c r="I380" i="1" l="1"/>
  <c r="J379" i="1"/>
  <c r="J4281" i="1"/>
  <c r="I4282" i="1"/>
  <c r="G385" i="1" l="1"/>
  <c r="J380" i="1"/>
  <c r="J4282" i="1"/>
  <c r="I4283" i="1"/>
  <c r="I385" i="1" l="1"/>
  <c r="L385" i="1"/>
  <c r="L477" i="1" s="1"/>
  <c r="N477" i="1" s="1"/>
  <c r="J4283" i="1"/>
  <c r="I4284" i="1"/>
  <c r="J385" i="1" l="1"/>
  <c r="I386" i="1"/>
  <c r="J4284" i="1"/>
  <c r="I4285" i="1"/>
  <c r="I387" i="1" l="1"/>
  <c r="J386" i="1"/>
  <c r="J4285" i="1"/>
  <c r="I4286" i="1"/>
  <c r="I388" i="1" l="1"/>
  <c r="J387" i="1"/>
  <c r="J4286" i="1"/>
  <c r="I4287" i="1"/>
  <c r="J388" i="1" l="1"/>
  <c r="I389" i="1"/>
  <c r="J4287" i="1"/>
  <c r="I4288" i="1"/>
  <c r="J389" i="1" l="1"/>
  <c r="I390" i="1"/>
  <c r="J4288" i="1"/>
  <c r="I4289" i="1"/>
  <c r="J390" i="1" l="1"/>
  <c r="I391" i="1"/>
  <c r="J4289" i="1"/>
  <c r="I4290" i="1"/>
  <c r="I392" i="1" l="1"/>
  <c r="J391" i="1"/>
  <c r="J4290" i="1"/>
  <c r="I4291" i="1"/>
  <c r="J392" i="1" l="1"/>
  <c r="I393" i="1"/>
  <c r="J4291" i="1"/>
  <c r="I4292" i="1"/>
  <c r="J393" i="1" l="1"/>
  <c r="I394" i="1"/>
  <c r="J4292" i="1"/>
  <c r="I4293" i="1"/>
  <c r="I395" i="1" l="1"/>
  <c r="J394" i="1"/>
  <c r="J4293" i="1"/>
  <c r="I4294" i="1"/>
  <c r="I396" i="1" l="1"/>
  <c r="J395" i="1"/>
  <c r="J4294" i="1"/>
  <c r="I4295" i="1"/>
  <c r="I397" i="1" l="1"/>
  <c r="J396" i="1"/>
  <c r="J4295" i="1"/>
  <c r="I4296" i="1"/>
  <c r="J397" i="1" l="1"/>
  <c r="I398" i="1"/>
  <c r="J4296" i="1"/>
  <c r="I4297" i="1"/>
  <c r="J398" i="1" l="1"/>
  <c r="I399" i="1"/>
  <c r="J4297" i="1"/>
  <c r="I4298" i="1"/>
  <c r="I400" i="1" l="1"/>
  <c r="J399" i="1"/>
  <c r="J4298" i="1"/>
  <c r="I4299" i="1"/>
  <c r="J400" i="1" l="1"/>
  <c r="I401" i="1"/>
  <c r="J4299" i="1"/>
  <c r="I4300" i="1"/>
  <c r="J401" i="1" l="1"/>
  <c r="I402" i="1"/>
  <c r="J4300" i="1"/>
  <c r="I4301" i="1"/>
  <c r="I403" i="1" l="1"/>
  <c r="J402" i="1"/>
  <c r="J4301" i="1"/>
  <c r="I4302" i="1"/>
  <c r="I404" i="1" l="1"/>
  <c r="J403" i="1"/>
  <c r="J4302" i="1"/>
  <c r="I4303" i="1"/>
  <c r="I405" i="1" l="1"/>
  <c r="J404" i="1"/>
  <c r="J4303" i="1"/>
  <c r="I4304" i="1"/>
  <c r="J405" i="1" l="1"/>
  <c r="I406" i="1"/>
  <c r="J4304" i="1"/>
  <c r="I4305" i="1"/>
  <c r="J406" i="1" l="1"/>
  <c r="I407" i="1"/>
  <c r="J4305" i="1"/>
  <c r="I4306" i="1"/>
  <c r="J407" i="1" l="1"/>
  <c r="I408" i="1"/>
  <c r="J4306" i="1"/>
  <c r="I4307" i="1"/>
  <c r="I409" i="1" l="1"/>
  <c r="J408" i="1"/>
  <c r="J4307" i="1"/>
  <c r="I4308" i="1"/>
  <c r="I410" i="1" l="1"/>
  <c r="J409" i="1"/>
  <c r="J4308" i="1"/>
  <c r="I4309" i="1"/>
  <c r="J410" i="1" l="1"/>
  <c r="I411" i="1"/>
  <c r="I4310" i="1"/>
  <c r="J4309" i="1"/>
  <c r="J411" i="1" l="1"/>
  <c r="I412" i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311" i="1"/>
  <c r="J4310" i="1"/>
  <c r="I4312" i="1" l="1"/>
  <c r="J4311" i="1"/>
  <c r="I4313" i="1" l="1"/>
  <c r="J4312" i="1"/>
  <c r="I4314" i="1" l="1"/>
  <c r="J4313" i="1"/>
  <c r="I4315" i="1" l="1"/>
  <c r="J4314" i="1"/>
  <c r="I4316" i="1" l="1"/>
  <c r="J4315" i="1"/>
  <c r="I4317" i="1" l="1"/>
  <c r="J4316" i="1"/>
  <c r="I4318" i="1" l="1"/>
  <c r="J4317" i="1"/>
  <c r="I4319" i="1" l="1"/>
  <c r="J4318" i="1"/>
  <c r="I4320" i="1" l="1"/>
  <c r="J4319" i="1"/>
  <c r="I4321" i="1" l="1"/>
  <c r="J4320" i="1"/>
  <c r="I4322" i="1" l="1"/>
  <c r="J4321" i="1"/>
  <c r="I4323" i="1" l="1"/>
  <c r="J4322" i="1"/>
  <c r="I4324" i="1" l="1"/>
  <c r="J4323" i="1"/>
  <c r="I4325" i="1" l="1"/>
  <c r="J4324" i="1"/>
  <c r="I4326" i="1" l="1"/>
  <c r="J4325" i="1"/>
  <c r="I4327" i="1" l="1"/>
  <c r="J4326" i="1"/>
  <c r="I4328" i="1" l="1"/>
  <c r="J4327" i="1"/>
  <c r="I4329" i="1" l="1"/>
  <c r="J4328" i="1"/>
  <c r="I4330" i="1" l="1"/>
  <c r="J4329" i="1"/>
  <c r="I4331" i="1" l="1"/>
  <c r="J4330" i="1"/>
  <c r="I4332" i="1" l="1"/>
  <c r="J4331" i="1"/>
  <c r="J4332" i="1" l="1"/>
  <c r="I4333" i="1"/>
  <c r="I4334" i="1" l="1"/>
  <c r="J4333" i="1"/>
  <c r="J4334" i="1" l="1"/>
  <c r="I4335" i="1"/>
  <c r="J4335" i="1" l="1"/>
  <c r="I4336" i="1"/>
  <c r="J4336" i="1" l="1"/>
  <c r="I4337" i="1"/>
  <c r="J4337" i="1" l="1"/>
  <c r="I4338" i="1"/>
  <c r="I4339" i="1" l="1"/>
  <c r="J4338" i="1"/>
  <c r="J4339" i="1" l="1"/>
  <c r="I4340" i="1"/>
  <c r="J4340" i="1" l="1"/>
  <c r="I4341" i="1"/>
  <c r="I4342" i="1" l="1"/>
  <c r="J4341" i="1"/>
  <c r="J4342" i="1" l="1"/>
  <c r="I4343" i="1"/>
  <c r="I4344" i="1" l="1"/>
  <c r="J4343" i="1"/>
  <c r="J4344" i="1" l="1"/>
  <c r="I4345" i="1"/>
  <c r="I4346" i="1" l="1"/>
  <c r="J4345" i="1"/>
  <c r="J4346" i="1" l="1"/>
  <c r="I4347" i="1"/>
  <c r="I4348" i="1" l="1"/>
  <c r="J4347" i="1"/>
  <c r="J4348" i="1" l="1"/>
  <c r="I4349" i="1"/>
  <c r="J4349" i="1" l="1"/>
  <c r="I4350" i="1"/>
  <c r="I4351" i="1" l="1"/>
  <c r="J4350" i="1"/>
  <c r="J4351" i="1" l="1"/>
  <c r="I4352" i="1"/>
  <c r="I4353" i="1" l="1"/>
  <c r="J4352" i="1"/>
  <c r="J4353" i="1" l="1"/>
  <c r="I4354" i="1"/>
  <c r="I4355" i="1" l="1"/>
  <c r="J4354" i="1"/>
  <c r="J4355" i="1" l="1"/>
  <c r="I4356" i="1"/>
  <c r="I4357" i="1" l="1"/>
  <c r="J4356" i="1"/>
  <c r="J4357" i="1" l="1"/>
  <c r="I4358" i="1"/>
  <c r="I4359" i="1" l="1"/>
  <c r="J4358" i="1"/>
  <c r="J4359" i="1" l="1"/>
  <c r="I4360" i="1"/>
  <c r="I4361" i="1" l="1"/>
  <c r="J4360" i="1"/>
  <c r="J4361" i="1" l="1"/>
  <c r="I4362" i="1"/>
  <c r="I4363" i="1" l="1"/>
  <c r="J4362" i="1"/>
  <c r="J4363" i="1" l="1"/>
  <c r="I4364" i="1"/>
  <c r="I4365" i="1" l="1"/>
  <c r="J4364" i="1"/>
  <c r="J4365" i="1" l="1"/>
  <c r="I4366" i="1"/>
  <c r="I4367" i="1" l="1"/>
  <c r="J4366" i="1"/>
  <c r="J4367" i="1" l="1"/>
  <c r="I4368" i="1"/>
  <c r="I4369" i="1" l="1"/>
  <c r="J4368" i="1"/>
  <c r="J4369" i="1" l="1"/>
  <c r="I4370" i="1"/>
  <c r="I4371" i="1" l="1"/>
  <c r="J4370" i="1"/>
  <c r="J4371" i="1" l="1"/>
  <c r="I4372" i="1"/>
  <c r="I4373" i="1" l="1"/>
  <c r="J4372" i="1"/>
  <c r="J4373" i="1" l="1"/>
  <c r="I4374" i="1"/>
  <c r="I4375" i="1" l="1"/>
  <c r="J4374" i="1"/>
  <c r="J4375" i="1" l="1"/>
  <c r="I4376" i="1"/>
  <c r="I4377" i="1" l="1"/>
  <c r="J4376" i="1"/>
  <c r="J4377" i="1" l="1"/>
  <c r="I4378" i="1"/>
  <c r="I4379" i="1" l="1"/>
  <c r="J4378" i="1"/>
  <c r="J4379" i="1" l="1"/>
  <c r="I4380" i="1"/>
  <c r="I4381" i="1" l="1"/>
  <c r="J4380" i="1"/>
  <c r="J4381" i="1" l="1"/>
  <c r="I4382" i="1"/>
  <c r="I4383" i="1" l="1"/>
  <c r="J4382" i="1"/>
  <c r="J4383" i="1" l="1"/>
  <c r="I4384" i="1"/>
  <c r="I4385" i="1" l="1"/>
  <c r="J4384" i="1"/>
  <c r="J4385" i="1" l="1"/>
  <c r="I4386" i="1"/>
  <c r="I4387" i="1" l="1"/>
  <c r="J4386" i="1"/>
  <c r="J4387" i="1" l="1"/>
  <c r="I4388" i="1"/>
  <c r="I4389" i="1" l="1"/>
  <c r="J4388" i="1"/>
  <c r="J4389" i="1" l="1"/>
  <c r="I4390" i="1"/>
  <c r="I4391" i="1" l="1"/>
  <c r="J4390" i="1"/>
  <c r="J4391" i="1" l="1"/>
  <c r="I4392" i="1"/>
  <c r="I4393" i="1" l="1"/>
  <c r="J4392" i="1"/>
  <c r="J4393" i="1" l="1"/>
  <c r="I4394" i="1"/>
  <c r="I4395" i="1" l="1"/>
  <c r="J4394" i="1"/>
  <c r="J4395" i="1" l="1"/>
  <c r="I4396" i="1"/>
  <c r="I4397" i="1" l="1"/>
  <c r="J4396" i="1"/>
  <c r="J4397" i="1" l="1"/>
  <c r="I4398" i="1"/>
  <c r="I4399" i="1" l="1"/>
  <c r="J4398" i="1"/>
  <c r="J4399" i="1" l="1"/>
  <c r="I4400" i="1"/>
  <c r="I4401" i="1" l="1"/>
  <c r="J4400" i="1"/>
  <c r="J4401" i="1" l="1"/>
  <c r="I4402" i="1"/>
  <c r="I4403" i="1" l="1"/>
  <c r="J4402" i="1"/>
  <c r="J4403" i="1" l="1"/>
  <c r="I4404" i="1"/>
  <c r="I4405" i="1" l="1"/>
  <c r="J4404" i="1"/>
  <c r="J4405" i="1" l="1"/>
  <c r="I4406" i="1"/>
  <c r="I4407" i="1" l="1"/>
  <c r="J4406" i="1"/>
  <c r="J4407" i="1" l="1"/>
  <c r="I4408" i="1"/>
  <c r="I4409" i="1" l="1"/>
  <c r="J4408" i="1"/>
  <c r="J4409" i="1" l="1"/>
  <c r="I4410" i="1"/>
  <c r="I4411" i="1" l="1"/>
  <c r="J4410" i="1"/>
  <c r="J4411" i="1" l="1"/>
  <c r="I4412" i="1"/>
  <c r="I4413" i="1" l="1"/>
  <c r="J4412" i="1"/>
  <c r="J4413" i="1" l="1"/>
  <c r="I4414" i="1"/>
  <c r="I4415" i="1" l="1"/>
  <c r="J4414" i="1"/>
  <c r="J4415" i="1" l="1"/>
  <c r="I4416" i="1"/>
  <c r="I4417" i="1" l="1"/>
  <c r="J4416" i="1"/>
  <c r="I4418" i="1" l="1"/>
  <c r="J4417" i="1"/>
  <c r="J4418" i="1" l="1"/>
  <c r="I4419" i="1"/>
  <c r="J4419" i="1" l="1"/>
  <c r="I4420" i="1"/>
  <c r="J4420" i="1" l="1"/>
  <c r="I4421" i="1"/>
  <c r="J4421" i="1" l="1"/>
  <c r="I4422" i="1"/>
  <c r="J4422" i="1" l="1"/>
  <c r="I4423" i="1"/>
  <c r="J4423" i="1" l="1"/>
  <c r="I4424" i="1"/>
  <c r="J4424" i="1" l="1"/>
  <c r="I4425" i="1"/>
  <c r="I4426" i="1" l="1"/>
  <c r="J4425" i="1"/>
  <c r="I4427" i="1" l="1"/>
  <c r="J4426" i="1"/>
  <c r="J4427" i="1" l="1"/>
  <c r="I4428" i="1"/>
  <c r="J4428" i="1" l="1"/>
  <c r="I4429" i="1"/>
  <c r="J4429" i="1" l="1"/>
  <c r="I4430" i="1"/>
  <c r="I4431" i="1" l="1"/>
  <c r="J4430" i="1"/>
  <c r="J4431" i="1" l="1"/>
  <c r="I4432" i="1"/>
  <c r="J4432" i="1" l="1"/>
  <c r="I4433" i="1"/>
  <c r="J4433" i="1" l="1"/>
  <c r="I4434" i="1"/>
  <c r="I4435" i="1" l="1"/>
  <c r="J4434" i="1"/>
  <c r="J4435" i="1" l="1"/>
  <c r="I4436" i="1"/>
  <c r="I4437" i="1" l="1"/>
  <c r="J4436" i="1"/>
  <c r="I4438" i="1" l="1"/>
  <c r="J4437" i="1"/>
  <c r="I4439" i="1" l="1"/>
  <c r="J4438" i="1"/>
  <c r="I4440" i="1" l="1"/>
  <c r="J4439" i="1"/>
  <c r="I4441" i="1" l="1"/>
  <c r="J4440" i="1"/>
  <c r="J4441" i="1" l="1"/>
  <c r="I4442" i="1"/>
  <c r="I4443" i="1" l="1"/>
  <c r="J4442" i="1"/>
  <c r="J4443" i="1" l="1"/>
  <c r="I4444" i="1"/>
  <c r="I4445" i="1" l="1"/>
  <c r="J4444" i="1"/>
  <c r="I4446" i="1" l="1"/>
  <c r="J4445" i="1"/>
  <c r="J4446" i="1" l="1"/>
  <c r="I4447" i="1"/>
  <c r="I4448" i="1" l="1"/>
  <c r="J4447" i="1"/>
  <c r="I4449" i="1" l="1"/>
  <c r="J4448" i="1"/>
  <c r="I4450" i="1" l="1"/>
  <c r="J4449" i="1"/>
  <c r="I4451" i="1" l="1"/>
  <c r="J4450" i="1"/>
  <c r="I4452" i="1" l="1"/>
  <c r="J4451" i="1"/>
  <c r="I4453" i="1" l="1"/>
  <c r="J4452" i="1"/>
  <c r="I4454" i="1" l="1"/>
  <c r="J4453" i="1"/>
  <c r="I4455" i="1" l="1"/>
  <c r="J4454" i="1"/>
  <c r="I4456" i="1" l="1"/>
  <c r="J4455" i="1"/>
  <c r="I4457" i="1" l="1"/>
  <c r="J4456" i="1"/>
  <c r="I4458" i="1" l="1"/>
  <c r="J4457" i="1"/>
  <c r="I4459" i="1" l="1"/>
  <c r="J4458" i="1"/>
  <c r="I4460" i="1" l="1"/>
  <c r="J4459" i="1"/>
  <c r="I4461" i="1" l="1"/>
  <c r="J4460" i="1"/>
  <c r="I4462" i="1" l="1"/>
  <c r="J4461" i="1"/>
  <c r="I4463" i="1" l="1"/>
  <c r="J4462" i="1"/>
  <c r="I4464" i="1" l="1"/>
  <c r="J4463" i="1"/>
  <c r="I4465" i="1" l="1"/>
  <c r="J4464" i="1"/>
  <c r="I4466" i="1" l="1"/>
  <c r="J4465" i="1"/>
  <c r="I4467" i="1" l="1"/>
  <c r="J4466" i="1"/>
  <c r="I4468" i="1" l="1"/>
  <c r="J4467" i="1"/>
  <c r="J4468" i="1" l="1"/>
  <c r="I4469" i="1"/>
  <c r="J4469" i="1" l="1"/>
  <c r="I4470" i="1"/>
  <c r="I4471" i="1" l="1"/>
  <c r="J4470" i="1"/>
  <c r="J4471" i="1" l="1"/>
  <c r="I4472" i="1"/>
  <c r="I4473" i="1" l="1"/>
  <c r="J4472" i="1"/>
  <c r="J4473" i="1" l="1"/>
  <c r="I4474" i="1"/>
  <c r="I4475" i="1" l="1"/>
  <c r="J4474" i="1"/>
  <c r="J4475" i="1" l="1"/>
  <c r="I4476" i="1"/>
  <c r="I4477" i="1" l="1"/>
  <c r="J4476" i="1"/>
  <c r="J4477" i="1" l="1"/>
  <c r="I4478" i="1"/>
  <c r="I4479" i="1" l="1"/>
  <c r="J4478" i="1"/>
  <c r="J4479" i="1" l="1"/>
  <c r="I4480" i="1"/>
  <c r="I4481" i="1" l="1"/>
  <c r="J4480" i="1"/>
  <c r="J4481" i="1" l="1"/>
  <c r="I4482" i="1"/>
  <c r="I4483" i="1" l="1"/>
  <c r="J4482" i="1"/>
  <c r="J4483" i="1" l="1"/>
  <c r="I4484" i="1"/>
  <c r="I4485" i="1" l="1"/>
  <c r="J4484" i="1"/>
  <c r="J4485" i="1" l="1"/>
  <c r="I4486" i="1"/>
  <c r="I4487" i="1" l="1"/>
  <c r="J4486" i="1"/>
  <c r="J4487" i="1" l="1"/>
  <c r="I4488" i="1"/>
  <c r="I4489" i="1" l="1"/>
  <c r="J4488" i="1"/>
  <c r="J4489" i="1" l="1"/>
  <c r="I4490" i="1"/>
  <c r="I4491" i="1" l="1"/>
  <c r="J4490" i="1"/>
  <c r="J4491" i="1" l="1"/>
  <c r="I4492" i="1"/>
  <c r="I4493" i="1" l="1"/>
  <c r="J4492" i="1"/>
  <c r="J4493" i="1" l="1"/>
  <c r="I4494" i="1"/>
  <c r="I4495" i="1" l="1"/>
  <c r="J4494" i="1"/>
  <c r="J4495" i="1" l="1"/>
  <c r="I4496" i="1"/>
  <c r="I4497" i="1" l="1"/>
  <c r="J4496" i="1"/>
  <c r="J4497" i="1" l="1"/>
  <c r="I4498" i="1"/>
  <c r="I4499" i="1" l="1"/>
  <c r="J4498" i="1"/>
  <c r="J4499" i="1" l="1"/>
  <c r="I4500" i="1"/>
  <c r="I4501" i="1" l="1"/>
  <c r="J4500" i="1"/>
  <c r="J4501" i="1" l="1"/>
  <c r="I4502" i="1"/>
  <c r="I4503" i="1" l="1"/>
  <c r="J4502" i="1"/>
  <c r="J4503" i="1" l="1"/>
  <c r="I4504" i="1"/>
  <c r="I4505" i="1" l="1"/>
  <c r="J4504" i="1"/>
  <c r="J4505" i="1" l="1"/>
  <c r="I4506" i="1"/>
  <c r="I4507" i="1" l="1"/>
  <c r="J4506" i="1"/>
  <c r="J4507" i="1" l="1"/>
  <c r="I4508" i="1"/>
  <c r="I4509" i="1" l="1"/>
  <c r="J4508" i="1"/>
  <c r="J4509" i="1" l="1"/>
  <c r="I4510" i="1"/>
  <c r="I4511" i="1" l="1"/>
  <c r="J4510" i="1"/>
  <c r="J4511" i="1" l="1"/>
  <c r="I4512" i="1"/>
  <c r="I4513" i="1" l="1"/>
  <c r="J4512" i="1"/>
  <c r="J4513" i="1" l="1"/>
  <c r="I4514" i="1"/>
  <c r="I4515" i="1" l="1"/>
  <c r="J4514" i="1"/>
  <c r="J4515" i="1" l="1"/>
  <c r="I4516" i="1"/>
  <c r="I4517" i="1" l="1"/>
  <c r="J4516" i="1"/>
  <c r="J4517" i="1" l="1"/>
  <c r="I4518" i="1"/>
  <c r="I4519" i="1" l="1"/>
  <c r="J4518" i="1"/>
  <c r="J4519" i="1" l="1"/>
  <c r="I4520" i="1"/>
  <c r="I4521" i="1" l="1"/>
  <c r="J4520" i="1"/>
  <c r="J4521" i="1" l="1"/>
  <c r="I4522" i="1"/>
  <c r="I4523" i="1" l="1"/>
  <c r="J4522" i="1"/>
  <c r="J4523" i="1" l="1"/>
  <c r="I4524" i="1"/>
  <c r="I4525" i="1" l="1"/>
  <c r="J4524" i="1"/>
  <c r="I4526" i="1" l="1"/>
  <c r="J4525" i="1"/>
  <c r="I4527" i="1" l="1"/>
  <c r="J4526" i="1"/>
  <c r="I4528" i="1" l="1"/>
  <c r="J4527" i="1"/>
  <c r="I4529" i="1" l="1"/>
  <c r="J4528" i="1"/>
  <c r="I4530" i="1" l="1"/>
  <c r="J4529" i="1"/>
  <c r="I4531" i="1" l="1"/>
  <c r="J4530" i="1"/>
  <c r="I4532" i="1" l="1"/>
  <c r="J4531" i="1"/>
  <c r="I4533" i="1" l="1"/>
  <c r="J4532" i="1"/>
  <c r="I4534" i="1" l="1"/>
  <c r="J4533" i="1"/>
  <c r="I4535" i="1" l="1"/>
  <c r="J4534" i="1"/>
  <c r="I4536" i="1" l="1"/>
  <c r="J4535" i="1"/>
  <c r="I4537" i="1" l="1"/>
  <c r="J4536" i="1"/>
  <c r="I4538" i="1" l="1"/>
  <c r="J4537" i="1"/>
  <c r="I4539" i="1" l="1"/>
  <c r="J4538" i="1"/>
  <c r="I4540" i="1" l="1"/>
  <c r="J4539" i="1"/>
  <c r="I4541" i="1" l="1"/>
  <c r="J4540" i="1"/>
  <c r="I4542" i="1" l="1"/>
  <c r="J4541" i="1"/>
  <c r="I4543" i="1" l="1"/>
  <c r="J4542" i="1"/>
  <c r="I4544" i="1" l="1"/>
  <c r="J4543" i="1"/>
  <c r="I4545" i="1" l="1"/>
  <c r="J4544" i="1"/>
  <c r="I4546" i="1" l="1"/>
  <c r="J4545" i="1"/>
  <c r="I4547" i="1" l="1"/>
  <c r="J4546" i="1"/>
  <c r="I4548" i="1" l="1"/>
  <c r="J4547" i="1"/>
  <c r="I4549" i="1" l="1"/>
  <c r="J4548" i="1"/>
  <c r="I4550" i="1" l="1"/>
  <c r="J4549" i="1"/>
  <c r="I4551" i="1" l="1"/>
  <c r="J4550" i="1"/>
  <c r="I4552" i="1" l="1"/>
  <c r="J4551" i="1"/>
  <c r="I4553" i="1" l="1"/>
  <c r="J4552" i="1"/>
  <c r="I4554" i="1" l="1"/>
  <c r="J4553" i="1"/>
  <c r="I4555" i="1" l="1"/>
  <c r="J4554" i="1"/>
  <c r="I4556" i="1" l="1"/>
  <c r="J4555" i="1"/>
  <c r="I4557" i="1" l="1"/>
  <c r="J4556" i="1"/>
  <c r="I4558" i="1" l="1"/>
  <c r="J4557" i="1"/>
  <c r="I4559" i="1" l="1"/>
  <c r="J4558" i="1"/>
  <c r="I4560" i="1" l="1"/>
  <c r="J4559" i="1"/>
  <c r="I4561" i="1" l="1"/>
  <c r="J4560" i="1"/>
  <c r="I4562" i="1" l="1"/>
  <c r="J4561" i="1"/>
  <c r="I4563" i="1" l="1"/>
  <c r="J4562" i="1"/>
  <c r="I4564" i="1" l="1"/>
  <c r="J4563" i="1"/>
  <c r="I4565" i="1" l="1"/>
  <c r="J4564" i="1"/>
  <c r="I4566" i="1" l="1"/>
  <c r="J4565" i="1"/>
  <c r="I4567" i="1" l="1"/>
  <c r="J4566" i="1"/>
  <c r="I4568" i="1" l="1"/>
  <c r="J4567" i="1"/>
  <c r="I4569" i="1" l="1"/>
  <c r="J4568" i="1"/>
  <c r="I4570" i="1" l="1"/>
  <c r="J4569" i="1"/>
  <c r="I4571" i="1" l="1"/>
  <c r="J4570" i="1"/>
  <c r="I4572" i="1" l="1"/>
  <c r="J4571" i="1"/>
  <c r="I4573" i="1" l="1"/>
  <c r="J4572" i="1"/>
  <c r="I4574" i="1" l="1"/>
  <c r="J4573" i="1"/>
  <c r="I4575" i="1" l="1"/>
  <c r="J4574" i="1"/>
  <c r="I4576" i="1" l="1"/>
  <c r="J4575" i="1"/>
  <c r="I4577" i="1" l="1"/>
  <c r="J4576" i="1"/>
  <c r="I4578" i="1" l="1"/>
  <c r="J4577" i="1"/>
  <c r="I4579" i="1" l="1"/>
  <c r="J4578" i="1"/>
  <c r="I4580" i="1" l="1"/>
  <c r="J4579" i="1"/>
  <c r="I4581" i="1" l="1"/>
  <c r="J4580" i="1"/>
  <c r="I4582" i="1" l="1"/>
  <c r="J4581" i="1"/>
  <c r="I4583" i="1" l="1"/>
  <c r="J4582" i="1"/>
  <c r="I4584" i="1" l="1"/>
  <c r="J4583" i="1"/>
  <c r="I4585" i="1" l="1"/>
  <c r="J4584" i="1"/>
  <c r="I4586" i="1" l="1"/>
  <c r="J4585" i="1"/>
  <c r="I4587" i="1" l="1"/>
  <c r="J4586" i="1"/>
  <c r="I4588" i="1" l="1"/>
  <c r="J4587" i="1"/>
  <c r="I4589" i="1" l="1"/>
  <c r="J4588" i="1"/>
  <c r="I4590" i="1" l="1"/>
  <c r="J4589" i="1"/>
  <c r="I4591" i="1" l="1"/>
  <c r="J4590" i="1"/>
  <c r="I4592" i="1" l="1"/>
  <c r="J4591" i="1"/>
  <c r="I4593" i="1" l="1"/>
  <c r="J4592" i="1"/>
  <c r="I4594" i="1" l="1"/>
  <c r="J4593" i="1"/>
  <c r="I4595" i="1" l="1"/>
  <c r="J4594" i="1"/>
  <c r="I4596" i="1" l="1"/>
  <c r="J4595" i="1"/>
  <c r="I4597" i="1" l="1"/>
  <c r="J4596" i="1"/>
  <c r="I4598" i="1" l="1"/>
  <c r="J4597" i="1"/>
  <c r="I4599" i="1" l="1"/>
  <c r="J4598" i="1"/>
  <c r="I4600" i="1" l="1"/>
  <c r="J4599" i="1"/>
  <c r="J4600" i="1" l="1"/>
  <c r="I4601" i="1"/>
  <c r="J4601" i="1" l="1"/>
  <c r="I4602" i="1"/>
  <c r="I4603" i="1" l="1"/>
  <c r="J4602" i="1"/>
  <c r="I4604" i="1" l="1"/>
  <c r="J4603" i="1"/>
  <c r="I4605" i="1" l="1"/>
  <c r="J4604" i="1"/>
  <c r="I4606" i="1" l="1"/>
  <c r="J4605" i="1"/>
  <c r="I4607" i="1" l="1"/>
  <c r="J4606" i="1"/>
  <c r="J4607" i="1" l="1"/>
  <c r="G4610" i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G4986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G5239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K5424" i="1" l="1"/>
  <c r="I5425" i="1"/>
  <c r="I5426" i="1" s="1"/>
  <c r="I5427" i="1" s="1"/>
  <c r="I5428" i="1" s="1"/>
  <c r="I5429" i="1" s="1"/>
  <c r="K5429" i="1" l="1"/>
  <c r="K5502" i="1" s="1"/>
  <c r="I5430" i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G5504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G5802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8258" i="1"/>
  <c r="G9380" i="1"/>
  <c r="I9380" i="1" s="1"/>
  <c r="I9375" i="1"/>
  <c r="I9376" i="1" s="1"/>
  <c r="I9377" i="1" s="1"/>
  <c r="I9378" i="1" s="1"/>
  <c r="I9379" i="1" s="1"/>
  <c r="J94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COMPORT</author>
    <author>NISE-COMPUTER</author>
  </authors>
  <commentList>
    <comment ref="P33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SR20200704009652740</t>
        </r>
      </text>
    </comment>
    <comment ref="O5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COMPORT:SR20200618009081726</t>
        </r>
      </text>
    </comment>
    <comment ref="O70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COMPORT:
SR</t>
        </r>
        <r>
          <rPr>
            <sz val="9"/>
            <color indexed="81"/>
            <rFont val="Tahoma"/>
            <family val="2"/>
          </rPr>
          <t>20200702009593265</t>
        </r>
      </text>
    </comment>
    <comment ref="O76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SR20200704009652339
</t>
        </r>
      </text>
    </comment>
    <comment ref="Q766" authorId="1" shapeId="0" xr:uid="{4B145E10-1891-48C8-8F55-D9C5F5E58F60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212418083917
Rs 138</t>
        </r>
      </text>
    </comment>
    <comment ref="P9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SR20200703009632512</t>
        </r>
      </text>
    </comment>
    <comment ref="O120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SR20200704009656984</t>
        </r>
      </text>
    </comment>
    <comment ref="P120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COMPORT:</t>
        </r>
        <r>
          <rPr>
            <sz val="9"/>
            <color indexed="81"/>
            <rFont val="Tahoma"/>
            <family val="2"/>
          </rPr>
          <t xml:space="preserve">
SR20200704009656455</t>
        </r>
      </text>
    </comment>
    <comment ref="Q1363" authorId="1" shapeId="0" xr:uid="{C2631D0E-18BA-4A91-9F35-68AFE1A16C72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3000</t>
        </r>
      </text>
    </comment>
    <comment ref="O1559" authorId="1" shapeId="0" xr:uid="{E16FB2DD-C269-40B1-8A68-D18A26B33150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SR20220511020916920</t>
        </r>
      </text>
    </comment>
    <comment ref="O1561" authorId="1" shapeId="0" xr:uid="{6BAE2E78-BF55-4F52-B813-064F7CA7256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SR20220509020874255</t>
        </r>
      </text>
    </comment>
    <comment ref="P1561" authorId="1" shapeId="0" xr:uid="{261700EA-9534-45AA-9323-33BFDB51333D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SR20220509020874444</t>
        </r>
      </text>
    </comment>
    <comment ref="A1807" authorId="1" shapeId="0" xr:uid="{360AF5EF-3E01-4476-BF9E-12572A1D9EF8}">
      <text>
        <r>
          <rPr>
            <b/>
            <sz val="9"/>
            <color indexed="81"/>
            <rFont val="Tahoma"/>
            <family val="2"/>
          </rPr>
          <t>NISE-COMPUTER:</t>
        </r>
        <r>
          <rPr>
            <sz val="9"/>
            <color indexed="81"/>
            <rFont val="Tahoma"/>
            <family val="2"/>
          </rPr>
          <t xml:space="preserve">
T-03, Indra nagar colony, Tarcompany, near postoffice, jamshedpur-4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NISE COMPORT</author>
  </authors>
  <commentList>
    <comment ref="C6" authorId="0" shapeId="0" xr:uid="{2F45E889-508D-4AA2-82AC-AD1AB7807E6F}">
      <text>
        <r>
          <rPr>
            <b/>
            <sz val="9"/>
            <color indexed="81"/>
            <rFont val="Tahoma"/>
            <family val="2"/>
          </rPr>
          <t>NISE COMPORT:</t>
        </r>
        <r>
          <rPr>
            <sz val="9"/>
            <color indexed="81"/>
            <rFont val="Tahoma"/>
            <family val="2"/>
          </rPr>
          <t xml:space="preserve">
through cred
</t>
        </r>
      </text>
    </comment>
  </commentList>
</comments>
</file>

<file path=xl/sharedStrings.xml><?xml version="1.0" encoding="utf-8"?>
<sst xmlns="http://schemas.openxmlformats.org/spreadsheetml/2006/main" count="33531" uniqueCount="11096">
  <si>
    <t>Date</t>
  </si>
  <si>
    <t>Name</t>
  </si>
  <si>
    <t>Sanjana Shree</t>
  </si>
  <si>
    <t>Sunil Kumar</t>
  </si>
  <si>
    <t>Puja Gorai</t>
  </si>
  <si>
    <t>Sukanti Devi</t>
  </si>
  <si>
    <t>Pratima Devi</t>
  </si>
  <si>
    <t>Kiran Tantubai</t>
  </si>
  <si>
    <t>Shefali Mahato</t>
  </si>
  <si>
    <t>Dipali Mahato</t>
  </si>
  <si>
    <t>Sunita Devi</t>
  </si>
  <si>
    <t>Amit Gorai</t>
  </si>
  <si>
    <t>Bikash Karua</t>
  </si>
  <si>
    <t>Sanchita Kumari</t>
  </si>
  <si>
    <t>y</t>
  </si>
  <si>
    <t>n</t>
  </si>
  <si>
    <t>Y</t>
  </si>
  <si>
    <t>APY</t>
  </si>
  <si>
    <t>Neelam Singh</t>
  </si>
  <si>
    <t>N</t>
  </si>
  <si>
    <t>Manoj Gupta</t>
  </si>
  <si>
    <t>Bishnu Gorai</t>
  </si>
  <si>
    <t>Sanjay Gorai</t>
  </si>
  <si>
    <t>Md Aftab Ansari</t>
  </si>
  <si>
    <t>Krishna Gorai</t>
  </si>
  <si>
    <t>Binit Nayak</t>
  </si>
  <si>
    <t>Goutam Mahato</t>
  </si>
  <si>
    <t>Purnima Tanti</t>
  </si>
  <si>
    <t>Seema Tanti</t>
  </si>
  <si>
    <t>Laxmi</t>
  </si>
  <si>
    <t>D</t>
  </si>
  <si>
    <t>Tarun Gorai</t>
  </si>
  <si>
    <t>Sandhya Dubey</t>
  </si>
  <si>
    <t>Noorjahan Perween</t>
  </si>
  <si>
    <t>Tanisha Gounder</t>
  </si>
  <si>
    <t>Rahul Gorai</t>
  </si>
  <si>
    <t>Ac No</t>
  </si>
  <si>
    <t>Uid</t>
  </si>
  <si>
    <t>Mob</t>
  </si>
  <si>
    <t>Open dt</t>
  </si>
  <si>
    <t>PAN</t>
  </si>
  <si>
    <t>345786855358</t>
  </si>
  <si>
    <t>LOCALITY</t>
  </si>
  <si>
    <t>BARINAGAR</t>
  </si>
  <si>
    <t>COLONY</t>
  </si>
  <si>
    <t>GHORABANDH</t>
  </si>
  <si>
    <t>RNGR</t>
  </si>
  <si>
    <t>SHAHNAZ BEGUM</t>
  </si>
  <si>
    <t>8409508277</t>
  </si>
  <si>
    <t>SOURAV PRASAD</t>
  </si>
  <si>
    <t>VIKASH KUMAR</t>
  </si>
  <si>
    <t>9294905023</t>
  </si>
  <si>
    <t>ROHIT KARMAKAR</t>
  </si>
  <si>
    <t>7970997741</t>
  </si>
  <si>
    <t>SURAJIT GORAI</t>
  </si>
  <si>
    <t>RUBI MAHATO</t>
  </si>
  <si>
    <t>VIJAY CHOUDHARY</t>
  </si>
  <si>
    <t>SANGITA DEVI</t>
  </si>
  <si>
    <t>MD ALIMUDDIN</t>
  </si>
  <si>
    <t>NILU SINGH</t>
  </si>
  <si>
    <t>BINOD PRASAD</t>
  </si>
  <si>
    <t>CHAMPA GORAI</t>
  </si>
  <si>
    <t>SIMA KHATOON</t>
  </si>
  <si>
    <t xml:space="preserve">SURAJ KUMAR </t>
  </si>
  <si>
    <t>SATISH KR CHAKRAM</t>
  </si>
  <si>
    <t>Mohan Lohar</t>
  </si>
  <si>
    <t xml:space="preserve">Uttam Mukhi </t>
  </si>
  <si>
    <t>Madhusudhan Behar</t>
  </si>
  <si>
    <t>Bharat Sahu</t>
  </si>
  <si>
    <t>Kavita Devi</t>
  </si>
  <si>
    <t>Anand Gorai</t>
  </si>
  <si>
    <t>E Hemlatha</t>
  </si>
  <si>
    <t>Chhanda Ghosh</t>
  </si>
  <si>
    <t>Shivnath Behra</t>
  </si>
  <si>
    <t>Goma Suren</t>
  </si>
  <si>
    <t>Sanjay Hembram</t>
  </si>
  <si>
    <t>Suraj mandal</t>
  </si>
  <si>
    <t>Gopal Ojha</t>
  </si>
  <si>
    <t>P Shankar Rao</t>
  </si>
  <si>
    <t>Budhram Mukhi</t>
  </si>
  <si>
    <t>Sandhya Devi</t>
  </si>
  <si>
    <t>Akash Suren</t>
  </si>
  <si>
    <t xml:space="preserve">Dheeraj Mandal </t>
  </si>
  <si>
    <t>Sukhram Soren</t>
  </si>
  <si>
    <t>Moumita Roy Choudhary</t>
  </si>
  <si>
    <t>Neha Pandey</t>
  </si>
  <si>
    <t>Kritibash Mahato</t>
  </si>
  <si>
    <t>Rajib Kumar Mahato</t>
  </si>
  <si>
    <t>Azad Khan</t>
  </si>
  <si>
    <t>Rajesh Kundu</t>
  </si>
  <si>
    <t>Anandini Topno</t>
  </si>
  <si>
    <t>Mahima Tigga</t>
  </si>
  <si>
    <t>Urmila karmakar</t>
  </si>
  <si>
    <t>Chandra kanta</t>
  </si>
  <si>
    <t>Puja gorai</t>
  </si>
  <si>
    <t>Chandni Devi</t>
  </si>
  <si>
    <t xml:space="preserve">Shubha </t>
  </si>
  <si>
    <t xml:space="preserve">Divyanka Goswami </t>
  </si>
  <si>
    <t>Md Tauqeer Kaisar</t>
  </si>
  <si>
    <t>Munni Devi</t>
  </si>
  <si>
    <t>Rukmani Mahato</t>
  </si>
  <si>
    <t>Mallika Mahato</t>
  </si>
  <si>
    <t>Abhilasha Jha</t>
  </si>
  <si>
    <t>Pratap Kr. Gorai</t>
  </si>
  <si>
    <t>Dipali Gorai</t>
  </si>
  <si>
    <t>Shahin Perween</t>
  </si>
  <si>
    <t>Jhumparani Shaw</t>
  </si>
  <si>
    <t>Rekha Devi</t>
  </si>
  <si>
    <t>Kalpana Gorai</t>
  </si>
  <si>
    <t>Neha Kumar Soni</t>
  </si>
  <si>
    <t>Simran Kaur</t>
  </si>
  <si>
    <t>Hira Muni Munda</t>
  </si>
  <si>
    <t>Sandhya Rani</t>
  </si>
  <si>
    <t>Priyanka nan deoiyar</t>
  </si>
  <si>
    <t>Supriya Patro</t>
  </si>
  <si>
    <t>Shama Perween</t>
  </si>
  <si>
    <t>Uttam Kumar</t>
  </si>
  <si>
    <t>Rabi Shankar Dey</t>
  </si>
  <si>
    <t>Archana Sharma</t>
  </si>
  <si>
    <t>Asama begum</t>
  </si>
  <si>
    <t>Suman Raj</t>
  </si>
  <si>
    <t>Prakash Sharma</t>
  </si>
  <si>
    <t>Punita Kumari</t>
  </si>
  <si>
    <t>Sunita Prajapati</t>
  </si>
  <si>
    <t>Tarun Kr Singh dev</t>
  </si>
  <si>
    <t>Sita Thakur</t>
  </si>
  <si>
    <t>Syed Hasan Ali</t>
  </si>
  <si>
    <t>Syed Akhtar Ali</t>
  </si>
  <si>
    <t>Usha Singh</t>
  </si>
  <si>
    <t>Arti Kumari</t>
  </si>
  <si>
    <t>Mohammad Miraj</t>
  </si>
  <si>
    <t xml:space="preserve">Alomati Mahato </t>
  </si>
  <si>
    <t>md Sharwar  Hussain</t>
  </si>
  <si>
    <t xml:space="preserve">Ayush Kumar </t>
  </si>
  <si>
    <t>Rishav Singh Sardar</t>
  </si>
  <si>
    <t>Arunima Basu Chowdhary</t>
  </si>
  <si>
    <t>Subendhu Gorai</t>
  </si>
  <si>
    <t>Md Zainul Zahidelin</t>
  </si>
  <si>
    <t>Radhika Devi</t>
  </si>
  <si>
    <t>Parasnath Prasad</t>
  </si>
  <si>
    <t>Subbahi Kumar</t>
  </si>
  <si>
    <t>Laxmi Prasad</t>
  </si>
  <si>
    <t>Geeta Devi</t>
  </si>
  <si>
    <t>Basanti Bera</t>
  </si>
  <si>
    <t>Mandeep Kour Shidhu</t>
  </si>
  <si>
    <t>Pranab Paul</t>
  </si>
  <si>
    <t>Snigndha Ghosh</t>
  </si>
  <si>
    <t>Sumit Kr. Jaiswal</t>
  </si>
  <si>
    <t>Sabita Kumari</t>
  </si>
  <si>
    <t>Gayatri Kumari</t>
  </si>
  <si>
    <t>Munna Munda</t>
  </si>
  <si>
    <t>Pawan Kumar</t>
  </si>
  <si>
    <t>Shoaib Khan</t>
  </si>
  <si>
    <t>Manshi Sharma</t>
  </si>
  <si>
    <t xml:space="preserve">Tanya </t>
  </si>
  <si>
    <t>Kashish Sharma</t>
  </si>
  <si>
    <t>Annu Devi</t>
  </si>
  <si>
    <t>Mobasher Zaufashan</t>
  </si>
  <si>
    <t>Rounak Biswas</t>
  </si>
  <si>
    <t>Meera Singh</t>
  </si>
  <si>
    <t>Brijesh Singh</t>
  </si>
  <si>
    <t>Nikhat Perween</t>
  </si>
  <si>
    <t>Savitri Kumari</t>
  </si>
  <si>
    <t>Shahid Nazim</t>
  </si>
  <si>
    <t>Anita Devi</t>
  </si>
  <si>
    <t>Neha Kumari Prasad</t>
  </si>
  <si>
    <t>Ujjwal Kumar Prasad</t>
  </si>
  <si>
    <t>jasmin soren</t>
  </si>
  <si>
    <t>Gulin Kaur</t>
  </si>
  <si>
    <t>Kishan Kumar Singn</t>
  </si>
  <si>
    <t>Sanjay Kumar</t>
  </si>
  <si>
    <t>Satyajit Mahato</t>
  </si>
  <si>
    <t>Suruchi Kumari</t>
  </si>
  <si>
    <t>Syam Sunder Sonar</t>
  </si>
  <si>
    <t>Ajay Mahato</t>
  </si>
  <si>
    <t>Nisha Sharma</t>
  </si>
  <si>
    <t>Natun Devi</t>
  </si>
  <si>
    <t>Beauti Kumari</t>
  </si>
  <si>
    <t>Sandhya Mahato</t>
  </si>
  <si>
    <t>Usha Devi</t>
  </si>
  <si>
    <t>Shahbana Perween</t>
  </si>
  <si>
    <t>Dipa Munda</t>
  </si>
  <si>
    <t>Parmehwar Munda</t>
  </si>
  <si>
    <t>Md Rijwana</t>
  </si>
  <si>
    <t>Jitendra Das</t>
  </si>
  <si>
    <t>Pritha Sahu</t>
  </si>
  <si>
    <t>Putul sarkar</t>
  </si>
  <si>
    <t>Reena Nayak</t>
  </si>
  <si>
    <t>Sakuntala</t>
  </si>
  <si>
    <t>Mittu Mishra</t>
  </si>
  <si>
    <t>Ashwini Kumari</t>
  </si>
  <si>
    <t>Rita Devi</t>
  </si>
  <si>
    <t>Puja Kumari</t>
  </si>
  <si>
    <t>Radha Devi</t>
  </si>
  <si>
    <t>Nikita Kumari</t>
  </si>
  <si>
    <t>Soha Nayak</t>
  </si>
  <si>
    <t>Jasaoda Devi</t>
  </si>
  <si>
    <t>Shanti Sahu</t>
  </si>
  <si>
    <t>Rina mishra</t>
  </si>
  <si>
    <t>Lakshmi Karmakar</t>
  </si>
  <si>
    <t>Malti Sarkar</t>
  </si>
  <si>
    <t>Md Samim</t>
  </si>
  <si>
    <t>Sashi Sahu</t>
  </si>
  <si>
    <t>Robbai Singh</t>
  </si>
  <si>
    <t>Sadhna Mahato</t>
  </si>
  <si>
    <t>Tiyanti Mahato</t>
  </si>
  <si>
    <t xml:space="preserve">Gangadhar Mahato </t>
  </si>
  <si>
    <t>Ranjana Devi</t>
  </si>
  <si>
    <t>Deep Shikha Tantubai</t>
  </si>
  <si>
    <t>Kiran Devi</t>
  </si>
  <si>
    <t>Tijomani Tantubai</t>
  </si>
  <si>
    <t>Kumari Bisakha Tantubai</t>
  </si>
  <si>
    <t>Sabita Devi</t>
  </si>
  <si>
    <t>Shobha Singh</t>
  </si>
  <si>
    <t>Mira Devi</t>
  </si>
  <si>
    <t>Divya Singh</t>
  </si>
  <si>
    <t>Nasrin Begum</t>
  </si>
  <si>
    <t>Sanjay Karmakar</t>
  </si>
  <si>
    <t>Madhusudan Tiwary</t>
  </si>
  <si>
    <t>Shitla Gorai</t>
  </si>
  <si>
    <t>Neha Kumari</t>
  </si>
  <si>
    <t>Jyotsna Gorai</t>
  </si>
  <si>
    <t>Pushpa karmakar</t>
  </si>
  <si>
    <t>Madhu Sarkar</t>
  </si>
  <si>
    <t>Rani Gorai</t>
  </si>
  <si>
    <t>Sunita Gorai</t>
  </si>
  <si>
    <t>Saraswati Ganguly</t>
  </si>
  <si>
    <t>Binita Devi</t>
  </si>
  <si>
    <t>Soma Sinha</t>
  </si>
  <si>
    <t>Punam Devi</t>
  </si>
  <si>
    <t>Shakila Begum</t>
  </si>
  <si>
    <t>Nisha Devi</t>
  </si>
  <si>
    <t>Sukhdev Singh</t>
  </si>
  <si>
    <t>Falguni Maity</t>
  </si>
  <si>
    <t>Shanti Devi</t>
  </si>
  <si>
    <t>Pinky Devi</t>
  </si>
  <si>
    <t xml:space="preserve">Rina Pramanik </t>
  </si>
  <si>
    <t>Sumitra Pramanik</t>
  </si>
  <si>
    <t>Putun Mahato</t>
  </si>
  <si>
    <t>Mona Singh Sardar</t>
  </si>
  <si>
    <t>Soni Devi</t>
  </si>
  <si>
    <t>Chinta Devi</t>
  </si>
  <si>
    <t>Sumitra Das</t>
  </si>
  <si>
    <t>Jhuma Khamri</t>
  </si>
  <si>
    <t>Sandhya Khamri</t>
  </si>
  <si>
    <t>Tutun Khamri</t>
  </si>
  <si>
    <t>Saraswati Khamri</t>
  </si>
  <si>
    <t>Sushila Nag</t>
  </si>
  <si>
    <t>Basanti Nag</t>
  </si>
  <si>
    <t>Nisha Munda</t>
  </si>
  <si>
    <t>Swapna Kundu</t>
  </si>
  <si>
    <t>Laxmi Gorai</t>
  </si>
  <si>
    <t>Sangita Devi</t>
  </si>
  <si>
    <t>Gulabi Sardar</t>
  </si>
  <si>
    <t>China Dey</t>
  </si>
  <si>
    <t>Sarathi Karmakar</t>
  </si>
  <si>
    <t>Rakhi Mahato</t>
  </si>
  <si>
    <t>puja Kumari</t>
  </si>
  <si>
    <t>Laxmi Hansda</t>
  </si>
  <si>
    <t>Maya Devi Pandey</t>
  </si>
  <si>
    <t>Anupama Joseph</t>
  </si>
  <si>
    <t>Nitu Kumari</t>
  </si>
  <si>
    <t>Meena Devi</t>
  </si>
  <si>
    <t>Rekha Majumdar</t>
  </si>
  <si>
    <t>Pano Tantubai</t>
  </si>
  <si>
    <t>Shila Dutta</t>
  </si>
  <si>
    <t>Manju karmakar</t>
  </si>
  <si>
    <t>Sujata Jana</t>
  </si>
  <si>
    <t>Putul Jana</t>
  </si>
  <si>
    <t>Anusua jana</t>
  </si>
  <si>
    <t>Sweta Jana</t>
  </si>
  <si>
    <t>Nandini jana</t>
  </si>
  <si>
    <t>Edna Toppo</t>
  </si>
  <si>
    <t>Anita Sandil</t>
  </si>
  <si>
    <t>Pushplata Sandil</t>
  </si>
  <si>
    <t>Kalpana Jana</t>
  </si>
  <si>
    <t>Shankar Sandil</t>
  </si>
  <si>
    <t>Puspa Sandil</t>
  </si>
  <si>
    <t>Kailash Sagar</t>
  </si>
  <si>
    <t>Anjana Goswami</t>
  </si>
  <si>
    <t>Chandana Das</t>
  </si>
  <si>
    <t>Sunita Das</t>
  </si>
  <si>
    <t>Madhumita Das</t>
  </si>
  <si>
    <t>Sangeeta Joseph</t>
  </si>
  <si>
    <t>Alizabeth Solomon</t>
  </si>
  <si>
    <t>Jospin Solemon</t>
  </si>
  <si>
    <t>Barsa Maity</t>
  </si>
  <si>
    <t>Pratima Sinha</t>
  </si>
  <si>
    <t>Bela Sinha</t>
  </si>
  <si>
    <t>Sarjit Singh</t>
  </si>
  <si>
    <t>Kajol Munda</t>
  </si>
  <si>
    <t>Deepa Kachchhap</t>
  </si>
  <si>
    <t>Balwir Kour</t>
  </si>
  <si>
    <t>sandhya Munda</t>
  </si>
  <si>
    <t>Sharbani Das</t>
  </si>
  <si>
    <t>Pinky Das</t>
  </si>
  <si>
    <t>Mihima Kumari</t>
  </si>
  <si>
    <t>Rohit Tantubai</t>
  </si>
  <si>
    <t>Hardeep Kaur</t>
  </si>
  <si>
    <t>Simran Singh</t>
  </si>
  <si>
    <t>Anita Gope</t>
  </si>
  <si>
    <t>Ranu Mahanty</t>
  </si>
  <si>
    <t>Kalpna Devi</t>
  </si>
  <si>
    <t>Rani Karmakar</t>
  </si>
  <si>
    <t>Dolon Pramanik</t>
  </si>
  <si>
    <t>Sakuntala Karmakar</t>
  </si>
  <si>
    <t>Madhuri Devi</t>
  </si>
  <si>
    <t>Rarvati Sandil</t>
  </si>
  <si>
    <t>Puja Kumari Gupta</t>
  </si>
  <si>
    <t xml:space="preserve">Nisha Upadhyay </t>
  </si>
  <si>
    <t>Khushbu Upadhyay</t>
  </si>
  <si>
    <t>Lalita Devi</t>
  </si>
  <si>
    <t>Shiv Shankar Thakur</t>
  </si>
  <si>
    <t>Manju Devi</t>
  </si>
  <si>
    <t>Basmoti Ruhidas</t>
  </si>
  <si>
    <t>Balika Gorai</t>
  </si>
  <si>
    <t>Dipmala Devi</t>
  </si>
  <si>
    <t>Anita  Gorai</t>
  </si>
  <si>
    <t>Shibu Singh</t>
  </si>
  <si>
    <t>Anisha Begum</t>
  </si>
  <si>
    <t>Kaushalya Devi</t>
  </si>
  <si>
    <t>Sina Kumari</t>
  </si>
  <si>
    <t>Anjali Devi</t>
  </si>
  <si>
    <t>Sunita Tahakur</t>
  </si>
  <si>
    <t>Gudia Gope</t>
  </si>
  <si>
    <t xml:space="preserve">Putul Gope </t>
  </si>
  <si>
    <t>Laxshmi Hansda</t>
  </si>
  <si>
    <t>Hina Sardar</t>
  </si>
  <si>
    <t>Tiya Singh</t>
  </si>
  <si>
    <t>Deepak Kumar Singh</t>
  </si>
  <si>
    <t>Suku Rani Gorai</t>
  </si>
  <si>
    <t>Nisha Thakur</t>
  </si>
  <si>
    <t>Shilpa Sony</t>
  </si>
  <si>
    <t>Konka Gope</t>
  </si>
  <si>
    <t>Mahadevi Malwa</t>
  </si>
  <si>
    <t>sarita Kumari</t>
  </si>
  <si>
    <t>Bhadu Tantubai</t>
  </si>
  <si>
    <t>Bharti Gorai</t>
  </si>
  <si>
    <t>Jayasudha G</t>
  </si>
  <si>
    <t>Shobha Devi</t>
  </si>
  <si>
    <t>Nirmala Devi</t>
  </si>
  <si>
    <t>Kavita Das</t>
  </si>
  <si>
    <t>Kiran Srivastava</t>
  </si>
  <si>
    <t xml:space="preserve">Bhawani </t>
  </si>
  <si>
    <t>Sumitra Roy</t>
  </si>
  <si>
    <t>Saraswati Gorai</t>
  </si>
  <si>
    <t>Harjeet kour</t>
  </si>
  <si>
    <t>Putul Mandal</t>
  </si>
  <si>
    <t>Mamata Mnadal</t>
  </si>
  <si>
    <t>Simran Pal Kaur</t>
  </si>
  <si>
    <t>Rajendra Prasad Poddar</t>
  </si>
  <si>
    <t xml:space="preserve">D Lavanya </t>
  </si>
  <si>
    <t>Indrawati</t>
  </si>
  <si>
    <t>Rupa Ghosh</t>
  </si>
  <si>
    <t>Rita Das</t>
  </si>
  <si>
    <t>Kalpana Das</t>
  </si>
  <si>
    <t>Shikha Pandey</t>
  </si>
  <si>
    <t>Shilpa Devi</t>
  </si>
  <si>
    <t>Ritu Mahato</t>
  </si>
  <si>
    <t>Bhavani Mahato</t>
  </si>
  <si>
    <t>Suresh Bhumij</t>
  </si>
  <si>
    <t>Tolat parveen</t>
  </si>
  <si>
    <t>Jonaid Akhtar</t>
  </si>
  <si>
    <t>Fultusi Gorai</t>
  </si>
  <si>
    <t>Fekani Devi</t>
  </si>
  <si>
    <t>Usha Gorai</t>
  </si>
  <si>
    <t>Janardan Nayak</t>
  </si>
  <si>
    <t>Chhutu Ruhidas</t>
  </si>
  <si>
    <t>Niyati Gorai</t>
  </si>
  <si>
    <t>Shanti Mahato</t>
  </si>
  <si>
    <t>Gandheswari Gorai</t>
  </si>
  <si>
    <t>Mamta Mandal</t>
  </si>
  <si>
    <t>Sanjay Das</t>
  </si>
  <si>
    <t>Huzaipa Khalid</t>
  </si>
  <si>
    <t>Saraswati Soren</t>
  </si>
  <si>
    <t>Rinki Giri</t>
  </si>
  <si>
    <t>Komal Priya</t>
  </si>
  <si>
    <t>Usha Sunani</t>
  </si>
  <si>
    <t>uday Hansda</t>
  </si>
  <si>
    <t>Sudha Jyoti Kumari</t>
  </si>
  <si>
    <t>Shankar Sunani</t>
  </si>
  <si>
    <t>Raj Kour</t>
  </si>
  <si>
    <t>Aman Preet kaur</t>
  </si>
  <si>
    <t>Gurdeep Singh</t>
  </si>
  <si>
    <t>Kiran verma</t>
  </si>
  <si>
    <t>Tumpa Gorai</t>
  </si>
  <si>
    <t>Pratima Gorai</t>
  </si>
  <si>
    <t>Manju Gorai</t>
  </si>
  <si>
    <t>Pintu Kumar</t>
  </si>
  <si>
    <t>Shreya Das</t>
  </si>
  <si>
    <t>Tapasi Das</t>
  </si>
  <si>
    <t>China Gorai</t>
  </si>
  <si>
    <t>Reshmi Devi</t>
  </si>
  <si>
    <t>Jitendar san</t>
  </si>
  <si>
    <t>Kabita Ghosh</t>
  </si>
  <si>
    <t>Pari Nayak</t>
  </si>
  <si>
    <t>Shobha Tripathy</t>
  </si>
  <si>
    <t>Namita Das</t>
  </si>
  <si>
    <t>Arati Devi</t>
  </si>
  <si>
    <t>Suchitra Pandey</t>
  </si>
  <si>
    <t>Swati Kumari</t>
  </si>
  <si>
    <t>Akash Ram</t>
  </si>
  <si>
    <t>Dolly Devi</t>
  </si>
  <si>
    <t>Harpreet Kaur  Bhambra</t>
  </si>
  <si>
    <t xml:space="preserve">Anita Rao </t>
  </si>
  <si>
    <t>Renu Devi</t>
  </si>
  <si>
    <t>Sushmita Kumar Sen</t>
  </si>
  <si>
    <t>Presa Sony</t>
  </si>
  <si>
    <t>Bejamin Soy</t>
  </si>
  <si>
    <t xml:space="preserve">Tony Davis </t>
  </si>
  <si>
    <t>Raj Kumari Devi</t>
  </si>
  <si>
    <t>Khushbu</t>
  </si>
  <si>
    <t>Puspa Gorai</t>
  </si>
  <si>
    <t>Pinkey Gorai</t>
  </si>
  <si>
    <t>S Bhanu</t>
  </si>
  <si>
    <t>Nazia Tabassum</t>
  </si>
  <si>
    <t>Pashupati Gorai</t>
  </si>
  <si>
    <t>Kalyani Ruhidas</t>
  </si>
  <si>
    <t>Namita Singh</t>
  </si>
  <si>
    <t>Archana Tewary</t>
  </si>
  <si>
    <t>Samsoon Nisha</t>
  </si>
  <si>
    <t>Suclochana Pramanik</t>
  </si>
  <si>
    <t>Wajda Mehboob Ansari</t>
  </si>
  <si>
    <t>Mayna Pramanik</t>
  </si>
  <si>
    <t>Rinkey Devi</t>
  </si>
  <si>
    <t>Nandi Sawaya</t>
  </si>
  <si>
    <t>Geeta Sawaya</t>
  </si>
  <si>
    <t>Priyanka Sawaya</t>
  </si>
  <si>
    <t xml:space="preserve"> poonam Verma </t>
  </si>
  <si>
    <t>Riya Mukherjee</t>
  </si>
  <si>
    <t>Purnima Mukherjee</t>
  </si>
  <si>
    <t>Chandmuni Mahato</t>
  </si>
  <si>
    <t>Savita Karmakar</t>
  </si>
  <si>
    <t>Shalo Karmakar</t>
  </si>
  <si>
    <t>Disha Jala</t>
  </si>
  <si>
    <t>Suru Karmakar</t>
  </si>
  <si>
    <t>Sitla Bhumij</t>
  </si>
  <si>
    <t>Bari Lohar</t>
  </si>
  <si>
    <t>Sushita Patro</t>
  </si>
  <si>
    <t>Rani Gounder</t>
  </si>
  <si>
    <t>Ganga Devi</t>
  </si>
  <si>
    <t>Magli Tudu</t>
  </si>
  <si>
    <t xml:space="preserve">Chwa Moni </t>
  </si>
  <si>
    <t>Jhoma Bisui</t>
  </si>
  <si>
    <t>Pradbita Das</t>
  </si>
  <si>
    <t>Babli Banerjee</t>
  </si>
  <si>
    <t>Nepali Gorai</t>
  </si>
  <si>
    <t>Vanita Gounder</t>
  </si>
  <si>
    <t>Rajeshwari Devi</t>
  </si>
  <si>
    <t>Jule Singh</t>
  </si>
  <si>
    <t>Kalyani Gorai</t>
  </si>
  <si>
    <t>Uttam Singh</t>
  </si>
  <si>
    <t>Sumitra Hembrom</t>
  </si>
  <si>
    <t>Malati Devi</t>
  </si>
  <si>
    <t>Laxmi Singh</t>
  </si>
  <si>
    <t>Sonal Jeet Kaur</t>
  </si>
  <si>
    <t>Mayna Gorai</t>
  </si>
  <si>
    <t>Akul Dey</t>
  </si>
  <si>
    <t>Husan Bibi</t>
  </si>
  <si>
    <t>Shaikh Sirajuddin</t>
  </si>
  <si>
    <t>Lavanya Chipurupalli</t>
  </si>
  <si>
    <t>C H Sunil</t>
  </si>
  <si>
    <t>Rebita Soy</t>
  </si>
  <si>
    <t>Punam Kumari</t>
  </si>
  <si>
    <t>Sangita Soy</t>
  </si>
  <si>
    <t>Abika Gorai</t>
  </si>
  <si>
    <t>Esita Maity</t>
  </si>
  <si>
    <t>Kabita Mukherjee</t>
  </si>
  <si>
    <t>Vinodani Swansi</t>
  </si>
  <si>
    <t>Sita Tantubai</t>
  </si>
  <si>
    <t>Chhabi Karmakar</t>
  </si>
  <si>
    <t>Habiba Khatoon</t>
  </si>
  <si>
    <t>Sunita Munda</t>
  </si>
  <si>
    <t>Bobby Choudhary</t>
  </si>
  <si>
    <t>Kanta Mukhi</t>
  </si>
  <si>
    <t>Afroz Perween</t>
  </si>
  <si>
    <t>Durga Munda</t>
  </si>
  <si>
    <t>Subroto Das</t>
  </si>
  <si>
    <t>Sukla Modak</t>
  </si>
  <si>
    <t xml:space="preserve">Lalita Modak </t>
  </si>
  <si>
    <t>Punam Sawaya</t>
  </si>
  <si>
    <t>Pratima Singh</t>
  </si>
  <si>
    <t>Uttam  Namita</t>
  </si>
  <si>
    <t>Anu Namata</t>
  </si>
  <si>
    <t>Mukta Pramanik</t>
  </si>
  <si>
    <t>Arati DAS</t>
  </si>
  <si>
    <t>Painy Gorai</t>
  </si>
  <si>
    <t>Sabita Das</t>
  </si>
  <si>
    <t>Somwari Hansda</t>
  </si>
  <si>
    <t>Nahida Khatoon</t>
  </si>
  <si>
    <t xml:space="preserve">Laxmi Handa </t>
  </si>
  <si>
    <t>Rekha Ruhidas</t>
  </si>
  <si>
    <t>Manaki Ravidas</t>
  </si>
  <si>
    <t>Uma Sardar</t>
  </si>
  <si>
    <t>Ravi Modak</t>
  </si>
  <si>
    <t>Bina Singh</t>
  </si>
  <si>
    <t>Pramila Mahato</t>
  </si>
  <si>
    <t>Urmila Mahato</t>
  </si>
  <si>
    <t>Gurubari Gorai</t>
  </si>
  <si>
    <t>Kanchan Devi</t>
  </si>
  <si>
    <t>Rumpa Shaw</t>
  </si>
  <si>
    <t>Sandip Pramanik</t>
  </si>
  <si>
    <t>Phulmani Goai</t>
  </si>
  <si>
    <t>Rajesh Ravidas</t>
  </si>
  <si>
    <t>R.L.P. Sinha</t>
  </si>
  <si>
    <t>Bhola nath Dutta</t>
  </si>
  <si>
    <t>Pari Dutta</t>
  </si>
  <si>
    <t>Rina Ghosh</t>
  </si>
  <si>
    <t>Nilam Devi</t>
  </si>
  <si>
    <t>Mithila Lohar</t>
  </si>
  <si>
    <t>Shahnaz Begum</t>
  </si>
  <si>
    <t>Nikku Devi</t>
  </si>
  <si>
    <t>Santosh Kumar Sen</t>
  </si>
  <si>
    <t>Neha Devi</t>
  </si>
  <si>
    <t>Shri Mati Meera Devi</t>
  </si>
  <si>
    <t>Laxman Sharma</t>
  </si>
  <si>
    <t>Sadhan Gorai</t>
  </si>
  <si>
    <t>Ujjawala Mahato</t>
  </si>
  <si>
    <t>Bijola Mahato</t>
  </si>
  <si>
    <t>Sabita Choudhary</t>
  </si>
  <si>
    <t>Krishna Kant Choudhary</t>
  </si>
  <si>
    <t>Anjali Kumari</t>
  </si>
  <si>
    <t>Sachidanand Choudhary</t>
  </si>
  <si>
    <t>Yoshoda Lohar</t>
  </si>
  <si>
    <t>Ambabati Devi</t>
  </si>
  <si>
    <t>Munmun Guin</t>
  </si>
  <si>
    <t>Dhatri Gorai</t>
  </si>
  <si>
    <t xml:space="preserve">Pinkey gorai </t>
  </si>
  <si>
    <t>Amarjit Kour</t>
  </si>
  <si>
    <t>Amrik Singh</t>
  </si>
  <si>
    <t>Ram Lakhan Prasad</t>
  </si>
  <si>
    <t>Bhajan Dutta</t>
  </si>
  <si>
    <t>Sabita Gorai</t>
  </si>
  <si>
    <t>Shampa Sharma</t>
  </si>
  <si>
    <t>Rekha Sharma</t>
  </si>
  <si>
    <t>Ranjana Sinha</t>
  </si>
  <si>
    <t>Kalyani Saha</t>
  </si>
  <si>
    <t>Putul Gorai</t>
  </si>
  <si>
    <t>Ganga Devi Khadka</t>
  </si>
  <si>
    <t>Padma Adhikari</t>
  </si>
  <si>
    <t>Basanti Modak</t>
  </si>
  <si>
    <t>Shobha Karmakar</t>
  </si>
  <si>
    <t>Joshoda Tantubai</t>
  </si>
  <si>
    <t>Aruna Gupta</t>
  </si>
  <si>
    <t>Pankaj Gorai</t>
  </si>
  <si>
    <t>Devonti Devi</t>
  </si>
  <si>
    <t>Sunita Prasad</t>
  </si>
  <si>
    <t>Laxmi Pramanik</t>
  </si>
  <si>
    <t>jyoti Pramanik</t>
  </si>
  <si>
    <t>Madhunata Sarkar</t>
  </si>
  <si>
    <t>Rita Ravidas</t>
  </si>
  <si>
    <t>Sandhya Modak</t>
  </si>
  <si>
    <t>Bhojohari Modak</t>
  </si>
  <si>
    <t>Mukul Singh</t>
  </si>
  <si>
    <t>Pushpa Gorai</t>
  </si>
  <si>
    <t>Babita Devi</t>
  </si>
  <si>
    <t>Muskan Kumari</t>
  </si>
  <si>
    <t>Priya Kumari</t>
  </si>
  <si>
    <t>Sweety Kumari</t>
  </si>
  <si>
    <t>Bijola Rajak</t>
  </si>
  <si>
    <t>Ajay Karmakar</t>
  </si>
  <si>
    <t>Wasima Khatoon</t>
  </si>
  <si>
    <t>Putul Dey</t>
  </si>
  <si>
    <t>Sumitra Mahato</t>
  </si>
  <si>
    <t>Savita Tantubai</t>
  </si>
  <si>
    <t>Priyanka Devi</t>
  </si>
  <si>
    <t>Asha Kumari Shaw</t>
  </si>
  <si>
    <t>Navina Devi</t>
  </si>
  <si>
    <t>Sony Verma</t>
  </si>
  <si>
    <t>Ravi Mahato</t>
  </si>
  <si>
    <t>Ramla Mahato</t>
  </si>
  <si>
    <t>Ajit Kumar Rajak</t>
  </si>
  <si>
    <t>Anita Rajak</t>
  </si>
  <si>
    <t>Kalpana Goari</t>
  </si>
  <si>
    <t>Savitri Devi Tantubai</t>
  </si>
  <si>
    <t>Mintu Devi</t>
  </si>
  <si>
    <t>Jaspreet Singh</t>
  </si>
  <si>
    <t>Jyoti Verma</t>
  </si>
  <si>
    <t>Unchit Sharma</t>
  </si>
  <si>
    <t>Agani Lohra</t>
  </si>
  <si>
    <t>Sabita Lohra</t>
  </si>
  <si>
    <t>Baby Paul</t>
  </si>
  <si>
    <t>Sulekha Paul</t>
  </si>
  <si>
    <t>Gurjeet Kaur</t>
  </si>
  <si>
    <t>Lakhbir Singh</t>
  </si>
  <si>
    <t>Ashok Karmakar</t>
  </si>
  <si>
    <t>Sulekha Gorai</t>
  </si>
  <si>
    <t>Sanju Paul</t>
  </si>
  <si>
    <t>Parwati Gounder</t>
  </si>
  <si>
    <t>Akash Suwanni</t>
  </si>
  <si>
    <t>Jarna Paul</t>
  </si>
  <si>
    <t>Madhunita Giri</t>
  </si>
  <si>
    <t>Basanti Mahato</t>
  </si>
  <si>
    <t>Durga Mahato</t>
  </si>
  <si>
    <t>Vicky Tantubai</t>
  </si>
  <si>
    <t>Jadu Patro</t>
  </si>
  <si>
    <t>Buni Modak</t>
  </si>
  <si>
    <t>Bhagyabati Parmanik</t>
  </si>
  <si>
    <t>Laxmi Karmakar</t>
  </si>
  <si>
    <t>Kalyani Mahanandi</t>
  </si>
  <si>
    <t>Meena Choudhary</t>
  </si>
  <si>
    <t>Bharti Choudhary</t>
  </si>
  <si>
    <t>Binita Hembrom</t>
  </si>
  <si>
    <t>Sandeep Kumar Rajak</t>
  </si>
  <si>
    <t>Shiuli Gorai</t>
  </si>
  <si>
    <t>Namita Mahato</t>
  </si>
  <si>
    <t>Mohammad israil</t>
  </si>
  <si>
    <t>Halati Rajak</t>
  </si>
  <si>
    <t>Sumitra Sahu</t>
  </si>
  <si>
    <t xml:space="preserve">Kashish Kumari </t>
  </si>
  <si>
    <t>Suman Kumari</t>
  </si>
  <si>
    <t>Shabnam Khan</t>
  </si>
  <si>
    <t>Prasant Bhasker Pandey</t>
  </si>
  <si>
    <t>Manjeet Karu</t>
  </si>
  <si>
    <t>Batari Gorai</t>
  </si>
  <si>
    <t>Laxmi Kumari</t>
  </si>
  <si>
    <t>Anita Kundra</t>
  </si>
  <si>
    <t>Sushma Devi</t>
  </si>
  <si>
    <t>Pravan kumar Kundra</t>
  </si>
  <si>
    <t>Birendra Ray</t>
  </si>
  <si>
    <t>Sneha Kumari</t>
  </si>
  <si>
    <t>Bhagwat Modak</t>
  </si>
  <si>
    <t>Putul Poddar</t>
  </si>
  <si>
    <t>Joba Chatterjee</t>
  </si>
  <si>
    <t>Shamim Altamash</t>
  </si>
  <si>
    <t>Imam Savat</t>
  </si>
  <si>
    <t>Koushik Paul</t>
  </si>
  <si>
    <t>Kritika Paul</t>
  </si>
  <si>
    <t>Nilima Paul</t>
  </si>
  <si>
    <t>Firoza khatoon</t>
  </si>
  <si>
    <t>Ranjeet Kumar Yadav</t>
  </si>
  <si>
    <t>Ranga Swami</t>
  </si>
  <si>
    <t>Neha Verma</t>
  </si>
  <si>
    <t>Ganesh Mahato</t>
  </si>
  <si>
    <t>Sujata Gorai</t>
  </si>
  <si>
    <t>Tapan Gorai</t>
  </si>
  <si>
    <t>Pandow mahato</t>
  </si>
  <si>
    <t>Teju mahato</t>
  </si>
  <si>
    <t>Sumitra Gorai</t>
  </si>
  <si>
    <t>Shanti Goria</t>
  </si>
  <si>
    <t>h Kuppu Devi</t>
  </si>
  <si>
    <t>Soma Pal</t>
  </si>
  <si>
    <t>kalpana Gorai</t>
  </si>
  <si>
    <t>Rajeswari Gorai</t>
  </si>
  <si>
    <t>Mamta Gorai</t>
  </si>
  <si>
    <t>Sumitra Singh</t>
  </si>
  <si>
    <t>Narayan Singh Munda</t>
  </si>
  <si>
    <t>Annapurna Singh Munda</t>
  </si>
  <si>
    <t xml:space="preserve">Bhabani Dutta </t>
  </si>
  <si>
    <t>Madhumala Bera</t>
  </si>
  <si>
    <t>Madhuri Gorai</t>
  </si>
  <si>
    <t>Ranju Tiwary</t>
  </si>
  <si>
    <t>Suren Gorai</t>
  </si>
  <si>
    <t>Divakaran Mahato</t>
  </si>
  <si>
    <t>Badal Gorai</t>
  </si>
  <si>
    <t>Prem Sharma</t>
  </si>
  <si>
    <t>Tajinder Kaur</t>
  </si>
  <si>
    <t>Jasraj Singh</t>
  </si>
  <si>
    <t>Nikata Barik</t>
  </si>
  <si>
    <t>Asha Shau</t>
  </si>
  <si>
    <t>mausami Sahu</t>
  </si>
  <si>
    <t>Asit Sahu</t>
  </si>
  <si>
    <t>Mousami Gorai</t>
  </si>
  <si>
    <t>Nazra Khatoon</t>
  </si>
  <si>
    <t>Prakash Paul</t>
  </si>
  <si>
    <t>Parbati Gorai</t>
  </si>
  <si>
    <t>Harjeet Kaur</t>
  </si>
  <si>
    <t>Radhika Gope</t>
  </si>
  <si>
    <t>Namita Mandal</t>
  </si>
  <si>
    <t>Charubala Barik</t>
  </si>
  <si>
    <t>Mamta Tripathi</t>
  </si>
  <si>
    <t>Raja Amma Gounder</t>
  </si>
  <si>
    <t>Vonita Gounder</t>
  </si>
  <si>
    <t>Parvate Swami</t>
  </si>
  <si>
    <t>Sabitri Swami</t>
  </si>
  <si>
    <t>Augustine solomon</t>
  </si>
  <si>
    <t>Pinky karmakar</t>
  </si>
  <si>
    <t>Khatoon Bibi</t>
  </si>
  <si>
    <t>Surjeet Kaur</t>
  </si>
  <si>
    <t>Laxmi Chhetri</t>
  </si>
  <si>
    <t>Amlesh Devi</t>
  </si>
  <si>
    <t>Suravi Gorai</t>
  </si>
  <si>
    <t>Ambika Gorai</t>
  </si>
  <si>
    <t>Sita Devi</t>
  </si>
  <si>
    <t>Kami Devi</t>
  </si>
  <si>
    <t>Pratima Modak</t>
  </si>
  <si>
    <t>chandrawati devi</t>
  </si>
  <si>
    <t>Anita Thakur</t>
  </si>
  <si>
    <t>Seema Devi</t>
  </si>
  <si>
    <t>Sonu Singh</t>
  </si>
  <si>
    <t>Velly Gounder</t>
  </si>
  <si>
    <t>Parwati gonder</t>
  </si>
  <si>
    <t>Juliet Josph</t>
  </si>
  <si>
    <t>Gurucharan Kaur</t>
  </si>
  <si>
    <t>Surjit Kaur</t>
  </si>
  <si>
    <t>Renu Singh</t>
  </si>
  <si>
    <t>Lakhi Mani lohar</t>
  </si>
  <si>
    <t>Jyotisha Mahanandi</t>
  </si>
  <si>
    <t>Sharmili Sarkar</t>
  </si>
  <si>
    <t>Rudan mahato</t>
  </si>
  <si>
    <t>Rajkishor Gupta</t>
  </si>
  <si>
    <t>Saraswati Devi</t>
  </si>
  <si>
    <t>Lakshmi Soren</t>
  </si>
  <si>
    <t>Saraswati karmakar</t>
  </si>
  <si>
    <t>Kajal Dey</t>
  </si>
  <si>
    <t>usha Mahato</t>
  </si>
  <si>
    <t>Mallika Kumbhakar</t>
  </si>
  <si>
    <t>Soma Jana</t>
  </si>
  <si>
    <t>Sneha Jana</t>
  </si>
  <si>
    <t>Suman Jana</t>
  </si>
  <si>
    <t>Babli Singh</t>
  </si>
  <si>
    <t>Sima Chatterjee</t>
  </si>
  <si>
    <t>Gita Patro</t>
  </si>
  <si>
    <t>Binita Singh</t>
  </si>
  <si>
    <t>Sangita Mahato</t>
  </si>
  <si>
    <t>Radha Mahato</t>
  </si>
  <si>
    <t>Priti Kumari</t>
  </si>
  <si>
    <t>Rinku Das</t>
  </si>
  <si>
    <t>Moti Sandel</t>
  </si>
  <si>
    <t>Purnima Das</t>
  </si>
  <si>
    <t>Sharda Tiwari</t>
  </si>
  <si>
    <t>Sanjay Giri</t>
  </si>
  <si>
    <t>Dipak Gorai</t>
  </si>
  <si>
    <t>Chhaya Dutta</t>
  </si>
  <si>
    <t>Punam Mishra</t>
  </si>
  <si>
    <t>Vivek Kumar Thakur</t>
  </si>
  <si>
    <t>Tapsi Shit</t>
  </si>
  <si>
    <t>Jhuma Das</t>
  </si>
  <si>
    <t>Rebati Sahu</t>
  </si>
  <si>
    <t>Simaranjeet Kaur</t>
  </si>
  <si>
    <t>Jyoshna Roy</t>
  </si>
  <si>
    <t>Chanda Devi</t>
  </si>
  <si>
    <t>Chandan Kumar Prasad</t>
  </si>
  <si>
    <t>Jayanti Mahato</t>
  </si>
  <si>
    <t>Krishna Sangiri</t>
  </si>
  <si>
    <t>kamakshi Gounder</t>
  </si>
  <si>
    <t>Mamta Kar</t>
  </si>
  <si>
    <t>Sarabjeet Kaur</t>
  </si>
  <si>
    <t>Sareeta Sahu</t>
  </si>
  <si>
    <t xml:space="preserve">Malika </t>
  </si>
  <si>
    <t>Chhaya Gorai</t>
  </si>
  <si>
    <t>Rajesh Mahato</t>
  </si>
  <si>
    <t>Anil Sagar</t>
  </si>
  <si>
    <t>Seema Sinha</t>
  </si>
  <si>
    <t>Jayanti Sharma</t>
  </si>
  <si>
    <t>Sumi Sinha</t>
  </si>
  <si>
    <t>Manju Ojha</t>
  </si>
  <si>
    <t>Chanchala Gorai</t>
  </si>
  <si>
    <t>Urmaila Devi</t>
  </si>
  <si>
    <t>Kajal Ganaguli</t>
  </si>
  <si>
    <t>Chinta mani Sardar</t>
  </si>
  <si>
    <t>Manisha Das</t>
  </si>
  <si>
    <t>Jamuna Gorai</t>
  </si>
  <si>
    <t>Rahela khat</t>
  </si>
  <si>
    <t>Kanta Ekka</t>
  </si>
  <si>
    <t>Ambika Gope</t>
  </si>
  <si>
    <t>Raboti Gope</t>
  </si>
  <si>
    <t>padda Devi</t>
  </si>
  <si>
    <t>Jhingi Sardar</t>
  </si>
  <si>
    <t>Gita Lohar</t>
  </si>
  <si>
    <t>Parboti mahanandi</t>
  </si>
  <si>
    <t>Shilpa Gorai</t>
  </si>
  <si>
    <t>Kavita Gorai</t>
  </si>
  <si>
    <t>Umma Maria</t>
  </si>
  <si>
    <t>Qamrun Nisha</t>
  </si>
  <si>
    <t>Kuldeep Singh</t>
  </si>
  <si>
    <t>Shabnam Naaz</t>
  </si>
  <si>
    <t>Niyati Gope</t>
  </si>
  <si>
    <t>kajal Sahis</t>
  </si>
  <si>
    <t>Shivam Singh</t>
  </si>
  <si>
    <t>Riti Singh Bhumij</t>
  </si>
  <si>
    <t>Tinki Mukhi</t>
  </si>
  <si>
    <t>Rekh Mahanandi</t>
  </si>
  <si>
    <t>Priya Sunani</t>
  </si>
  <si>
    <t>Shivani Kumari</t>
  </si>
  <si>
    <t>Mandira roy</t>
  </si>
  <si>
    <t>Manuni Sahu</t>
  </si>
  <si>
    <t>Soniya Siddiqua</t>
  </si>
  <si>
    <t>Habiba khatoon</t>
  </si>
  <si>
    <t>Asmat Ara</t>
  </si>
  <si>
    <t>Madhumita Ghosh</t>
  </si>
  <si>
    <t>Subasini Pramanik</t>
  </si>
  <si>
    <t>Anjana Singh</t>
  </si>
  <si>
    <t>Sandhya Singh</t>
  </si>
  <si>
    <t>Madhuri devi</t>
  </si>
  <si>
    <t>Anamika Singh</t>
  </si>
  <si>
    <t>Anjali Singh</t>
  </si>
  <si>
    <t>Geeta Singh</t>
  </si>
  <si>
    <t>Namita Chakraborty</t>
  </si>
  <si>
    <t>Chinmay Das</t>
  </si>
  <si>
    <t>Ali mel Devi</t>
  </si>
  <si>
    <t>Seema Geedia</t>
  </si>
  <si>
    <t>Aleka Ghosh</t>
  </si>
  <si>
    <t>Durga Kumari</t>
  </si>
  <si>
    <t>Rubi Jha</t>
  </si>
  <si>
    <t>Rakhi Poddar</t>
  </si>
  <si>
    <t>Kamaljeet kaur</t>
  </si>
  <si>
    <t>Rajesh Nag</t>
  </si>
  <si>
    <t xml:space="preserve">Sumitra Sahis </t>
  </si>
  <si>
    <t>Tapaswani Bhagat</t>
  </si>
  <si>
    <t>Rina Singh</t>
  </si>
  <si>
    <t>Pappu Mahanandi</t>
  </si>
  <si>
    <t>Kulvinder Kaur</t>
  </si>
  <si>
    <t xml:space="preserve">Pritam das modak </t>
  </si>
  <si>
    <t>Sumitra Kumari</t>
  </si>
  <si>
    <t>Shabnam Singh</t>
  </si>
  <si>
    <t>Rekha Kumari</t>
  </si>
  <si>
    <t>Khusbu Karmakar</t>
  </si>
  <si>
    <t>Sandhya Kumari</t>
  </si>
  <si>
    <t>Asha Devi</t>
  </si>
  <si>
    <t>Pradeep Rabidas</t>
  </si>
  <si>
    <t>Bilari Karmakar</t>
  </si>
  <si>
    <t>Hema Biswas</t>
  </si>
  <si>
    <t>Asha Biswas</t>
  </si>
  <si>
    <t>Bandana Maal</t>
  </si>
  <si>
    <t>Lakhi Maal</t>
  </si>
  <si>
    <t>Savitri Gorai</t>
  </si>
  <si>
    <t>Abmika Gorai</t>
  </si>
  <si>
    <t>Niharika Prasad</t>
  </si>
  <si>
    <t>Malti Devi</t>
  </si>
  <si>
    <t>Prem lala Devi</t>
  </si>
  <si>
    <t>Shaheen Perween</t>
  </si>
  <si>
    <t>Fani Gorai</t>
  </si>
  <si>
    <t>Tanvi karua</t>
  </si>
  <si>
    <t>Kavita Kumar</t>
  </si>
  <si>
    <t>Depali Das Modak</t>
  </si>
  <si>
    <t>Uttam das modak</t>
  </si>
  <si>
    <t>Ruma Das Modak</t>
  </si>
  <si>
    <t>Zulekha Hasmat</t>
  </si>
  <si>
    <t>Lakhi mukherjee</t>
  </si>
  <si>
    <t>Ansura Khatoon</t>
  </si>
  <si>
    <t>Minu Sahu</t>
  </si>
  <si>
    <t>Binapani Mahato</t>
  </si>
  <si>
    <t>Manju Ghosh</t>
  </si>
  <si>
    <t>Sankera Devi</t>
  </si>
  <si>
    <t>preeti Kumari</t>
  </si>
  <si>
    <t>Sahana Khatoon</t>
  </si>
  <si>
    <t>Lutfa khatoon</t>
  </si>
  <si>
    <t>Purnima Gorai</t>
  </si>
  <si>
    <t>Tarannum Nigar</t>
  </si>
  <si>
    <t>Saviti Keshri</t>
  </si>
  <si>
    <t>Saroj Devi</t>
  </si>
  <si>
    <t xml:space="preserve">Diya </t>
  </si>
  <si>
    <t>Palalk</t>
  </si>
  <si>
    <t>Khushboo Kumari</t>
  </si>
  <si>
    <t>Bhavya Raj</t>
  </si>
  <si>
    <t>Nabomita Pramanik</t>
  </si>
  <si>
    <t>Doly Priya Singh</t>
  </si>
  <si>
    <t>Renuka Shaa</t>
  </si>
  <si>
    <t>Kakuli Saha</t>
  </si>
  <si>
    <t>Kamala Devi</t>
  </si>
  <si>
    <t>Arpita Maity</t>
  </si>
  <si>
    <t>Komal Raj</t>
  </si>
  <si>
    <t xml:space="preserve">Putul Biswas </t>
  </si>
  <si>
    <t>Raimoni hansda</t>
  </si>
  <si>
    <t>Preety Sahu</t>
  </si>
  <si>
    <t>Spb Charan Sahu</t>
  </si>
  <si>
    <t>Girija  Devi</t>
  </si>
  <si>
    <t>Pratima Pramanik</t>
  </si>
  <si>
    <t>Shahnaz Khatoon</t>
  </si>
  <si>
    <t>Afsana Begum</t>
  </si>
  <si>
    <t>Baijnath Sharma</t>
  </si>
  <si>
    <t>Behulla Gope</t>
  </si>
  <si>
    <t>Shilpi Devi</t>
  </si>
  <si>
    <t>Aoka Devi</t>
  </si>
  <si>
    <t>Soni Singh</t>
  </si>
  <si>
    <t>Neha Bharati</t>
  </si>
  <si>
    <t>Lalita singh</t>
  </si>
  <si>
    <t>Puspa Devi</t>
  </si>
  <si>
    <t>Alwelu</t>
  </si>
  <si>
    <t>Saroj Verma</t>
  </si>
  <si>
    <t xml:space="preserve">Idrish khan </t>
  </si>
  <si>
    <t>Jayanti Mahto</t>
  </si>
  <si>
    <t>Mousumi Chakraborty</t>
  </si>
  <si>
    <t>Sonia Chakraborty</t>
  </si>
  <si>
    <t>Shakuntala Pramanik</t>
  </si>
  <si>
    <t>Rumpa Roy</t>
  </si>
  <si>
    <t>Sandhya Das</t>
  </si>
  <si>
    <t>Gayatri Sahu</t>
  </si>
  <si>
    <t>Sangita Nag</t>
  </si>
  <si>
    <t>Ritu Das</t>
  </si>
  <si>
    <t>Prabhavati Gorai</t>
  </si>
  <si>
    <t>Gunja Karua</t>
  </si>
  <si>
    <t>Gurubari Karua</t>
  </si>
  <si>
    <t>Shagufta Perween</t>
  </si>
  <si>
    <t>Jagdish Patro</t>
  </si>
  <si>
    <t>Ranju Pandey</t>
  </si>
  <si>
    <t>Zainab Siddiqua</t>
  </si>
  <si>
    <t>Mamta Singh Dhabal</t>
  </si>
  <si>
    <t>Durga Sahu</t>
  </si>
  <si>
    <t>Jitendra Kumar Singh</t>
  </si>
  <si>
    <t>Bishakha Barik</t>
  </si>
  <si>
    <t>Ram Kumar Thakur</t>
  </si>
  <si>
    <t>Aloka Kumari Lohar</t>
  </si>
  <si>
    <t>Ruma Kundu</t>
  </si>
  <si>
    <t>Purnima Devi</t>
  </si>
  <si>
    <t>Purushottam Mahato</t>
  </si>
  <si>
    <t>Puja Sahis</t>
  </si>
  <si>
    <t>Vijay Singh Say</t>
  </si>
  <si>
    <t>Shambhu Tuti</t>
  </si>
  <si>
    <t>Mamta verma</t>
  </si>
  <si>
    <t>Aakansha Kunal</t>
  </si>
  <si>
    <t>Juhi Mahato</t>
  </si>
  <si>
    <t>Sujata Singh</t>
  </si>
  <si>
    <t>Prakash Ravidas</t>
  </si>
  <si>
    <t>Ashok Kumar Singh</t>
  </si>
  <si>
    <t>Sangeeta Kumari</t>
  </si>
  <si>
    <t>Pinkey shaw</t>
  </si>
  <si>
    <t>Chandra Chakraborty</t>
  </si>
  <si>
    <t>Usha karmakar</t>
  </si>
  <si>
    <t>Supriya Sahu</t>
  </si>
  <si>
    <t>Suniti Kumari</t>
  </si>
  <si>
    <t>Reena Karmakar</t>
  </si>
  <si>
    <t>Mamta Sardar</t>
  </si>
  <si>
    <t>Sahani Perween</t>
  </si>
  <si>
    <t>Shubham Bhattacharjee</t>
  </si>
  <si>
    <t>Shyamal Bhattacharjee</t>
  </si>
  <si>
    <t>Kulwant Kaur</t>
  </si>
  <si>
    <t>Shila Pramanik</t>
  </si>
  <si>
    <t>Ritu Kaur</t>
  </si>
  <si>
    <t>Moumita Chakraborty</t>
  </si>
  <si>
    <t>Bishni Karua</t>
  </si>
  <si>
    <t>Laxmi Gope</t>
  </si>
  <si>
    <t>Baljeet Kaur</t>
  </si>
  <si>
    <t>Surjan Singh</t>
  </si>
  <si>
    <t>Purnima Kumari</t>
  </si>
  <si>
    <t xml:space="preserve">Uma Gope </t>
  </si>
  <si>
    <t>Rinki Kour</t>
  </si>
  <si>
    <t>Kavita Sarkar</t>
  </si>
  <si>
    <t>Madhuri Singh Dhabal</t>
  </si>
  <si>
    <t>Bharti Karmakar</t>
  </si>
  <si>
    <t>Umesh Chandra Haldar</t>
  </si>
  <si>
    <t>Tabassum Perween</t>
  </si>
  <si>
    <t>Harsita Verma</t>
  </si>
  <si>
    <t>Nutan Kumari</t>
  </si>
  <si>
    <t>Priyanka Verma</t>
  </si>
  <si>
    <t>Itwary Mahato</t>
  </si>
  <si>
    <t>Wajid Ali</t>
  </si>
  <si>
    <t>Urvashi Mehta</t>
  </si>
  <si>
    <t>Savitri Devi</t>
  </si>
  <si>
    <t>md Aslam Ansari</t>
  </si>
  <si>
    <t>Disksha Kumari</t>
  </si>
  <si>
    <t>Meera Chakraborty</t>
  </si>
  <si>
    <t>Anupama Chakraborty</t>
  </si>
  <si>
    <t>Sudha Devi</t>
  </si>
  <si>
    <t>Arpita Sahu</t>
  </si>
  <si>
    <t>Sonam Kumari</t>
  </si>
  <si>
    <t>Shashi Sharma</t>
  </si>
  <si>
    <t>Shakuntala Kumari</t>
  </si>
  <si>
    <t>Meera Byar</t>
  </si>
  <si>
    <t>Joy Shalu</t>
  </si>
  <si>
    <t>Ranjeeta Kumari</t>
  </si>
  <si>
    <t>Malti Karmakar</t>
  </si>
  <si>
    <t>Ganga Tudu</t>
  </si>
  <si>
    <t>Naagish Perween</t>
  </si>
  <si>
    <t>Sakuntala Nag</t>
  </si>
  <si>
    <t>Rahmat Ansari</t>
  </si>
  <si>
    <t>Reshma Prabin</t>
  </si>
  <si>
    <t>Bulu Saha</t>
  </si>
  <si>
    <t>Pinkey Rout</t>
  </si>
  <si>
    <t>Noor Fatma</t>
  </si>
  <si>
    <t>Gurmeet Singh</t>
  </si>
  <si>
    <t>Deb Kishan Rout</t>
  </si>
  <si>
    <t>Khuku Raj</t>
  </si>
  <si>
    <t>Malati Munda</t>
  </si>
  <si>
    <t>Shahjhan Khjatoon</t>
  </si>
  <si>
    <t>Jilal Guria</t>
  </si>
  <si>
    <t>K Jalaja</t>
  </si>
  <si>
    <t>Mithu Gorai</t>
  </si>
  <si>
    <t>Rajeshwari</t>
  </si>
  <si>
    <t>Mina Gorai</t>
  </si>
  <si>
    <t>Jhunu Das</t>
  </si>
  <si>
    <t>Heera Jha</t>
  </si>
  <si>
    <t>Komal Kumari mahato</t>
  </si>
  <si>
    <t>Muskan Mahato</t>
  </si>
  <si>
    <t>Pallavi Kumari</t>
  </si>
  <si>
    <t xml:space="preserve">Putul Dey </t>
  </si>
  <si>
    <t>Jhama Bera</t>
  </si>
  <si>
    <t>G Damayanti</t>
  </si>
  <si>
    <t>S  Laxmi</t>
  </si>
  <si>
    <t>Chandana Maity</t>
  </si>
  <si>
    <t>Mukti Maity</t>
  </si>
  <si>
    <t>Gayatri Gorai</t>
  </si>
  <si>
    <t>Juhi Sharma</t>
  </si>
  <si>
    <t>Basanti Karmakar</t>
  </si>
  <si>
    <t>Pinkey Verma</t>
  </si>
  <si>
    <t>Vina Mahato</t>
  </si>
  <si>
    <t>Kajal Devi</t>
  </si>
  <si>
    <t>hirdya Nath Tiwary</t>
  </si>
  <si>
    <t>Bina Gorai</t>
  </si>
  <si>
    <t>Safiya Fatima</t>
  </si>
  <si>
    <t>Kamleh Sharma</t>
  </si>
  <si>
    <t>Mina Khan</t>
  </si>
  <si>
    <t>Pradip Kumar Khan</t>
  </si>
  <si>
    <t>Swati Srivastava</t>
  </si>
  <si>
    <t>Shruti Singh</t>
  </si>
  <si>
    <t>Sugandha Singh</t>
  </si>
  <si>
    <t>Syed Sabina Artari</t>
  </si>
  <si>
    <t>Shristi kumari</t>
  </si>
  <si>
    <t>Mianti Bhattacharjee</t>
  </si>
  <si>
    <t>Ritika Kumari</t>
  </si>
  <si>
    <t>Rinku Devi</t>
  </si>
  <si>
    <t>Monika Kumari</t>
  </si>
  <si>
    <t>Ram Goswami</t>
  </si>
  <si>
    <t>Tulsi Hembrom</t>
  </si>
  <si>
    <t>Arjun Hembrom</t>
  </si>
  <si>
    <t>Chandni Bhadra</t>
  </si>
  <si>
    <t>Rinku Bhadra</t>
  </si>
  <si>
    <t>Surekha Mahato</t>
  </si>
  <si>
    <t>Sunita nag</t>
  </si>
  <si>
    <t>Jayank Pramanik</t>
  </si>
  <si>
    <t>Trishna Patra</t>
  </si>
  <si>
    <t>Chhanda Karmakar</t>
  </si>
  <si>
    <t>Shabana Kahatoon</t>
  </si>
  <si>
    <t>Nirmala Sharma</t>
  </si>
  <si>
    <t>Nahid Sultan</t>
  </si>
  <si>
    <t>Sharmistha mahato</t>
  </si>
  <si>
    <t>Dulati Devi</t>
  </si>
  <si>
    <t>Anjana Devi</t>
  </si>
  <si>
    <t>Nilima Gorai</t>
  </si>
  <si>
    <t>Anjana gorai</t>
  </si>
  <si>
    <t>Anju Gorai</t>
  </si>
  <si>
    <t>Jobra Khatoon</t>
  </si>
  <si>
    <t>Sanjida Khatoon</t>
  </si>
  <si>
    <t>Bedi pramanik</t>
  </si>
  <si>
    <t>Puja Singh Sardar</t>
  </si>
  <si>
    <t>Bilasi Sardar</t>
  </si>
  <si>
    <t>Reba Sahu</t>
  </si>
  <si>
    <t>Puja Sahu</t>
  </si>
  <si>
    <t>Reeta Chatterjee</t>
  </si>
  <si>
    <t>Vivekanand Bose</t>
  </si>
  <si>
    <t>Budheswar Lohra</t>
  </si>
  <si>
    <t>Nargis Champia</t>
  </si>
  <si>
    <t>Bishnu Charan Lohar</t>
  </si>
  <si>
    <t>Binod Lohar</t>
  </si>
  <si>
    <t>Bhujan singh Champia</t>
  </si>
  <si>
    <t>Sinni Pandey</t>
  </si>
  <si>
    <t>Najma Pandey</t>
  </si>
  <si>
    <t>Mohammad Farid</t>
  </si>
  <si>
    <t>Madhu munda</t>
  </si>
  <si>
    <t>Usha Murmu</t>
  </si>
  <si>
    <t>Sita Lohar</t>
  </si>
  <si>
    <t>Swapan Kumar Patro</t>
  </si>
  <si>
    <t>Soma Mitra</t>
  </si>
  <si>
    <t>Ankita Mitra</t>
  </si>
  <si>
    <t>Somari Soren</t>
  </si>
  <si>
    <t>Jay Prakash singh</t>
  </si>
  <si>
    <t>Piru Gorai</t>
  </si>
  <si>
    <t>Champa Chatterjee</t>
  </si>
  <si>
    <t>Sima Das</t>
  </si>
  <si>
    <t>Karabi Bose</t>
  </si>
  <si>
    <t>Lilmoni Das</t>
  </si>
  <si>
    <t>Arti Ravidas</t>
  </si>
  <si>
    <t>Maya Devi</t>
  </si>
  <si>
    <t>Pravhawati Devi</t>
  </si>
  <si>
    <t>Sarita Devi</t>
  </si>
  <si>
    <t>Urmila Devi</t>
  </si>
  <si>
    <t>Balwinder Kaur</t>
  </si>
  <si>
    <t>Hema Malin Majhyan</t>
  </si>
  <si>
    <t>Mangla Chatterjee</t>
  </si>
  <si>
    <t>Kuili mardi</t>
  </si>
  <si>
    <t>Usha Kumari Sharma</t>
  </si>
  <si>
    <t xml:space="preserve">Chhabi Lal </t>
  </si>
  <si>
    <t>Shaikh Shahin</t>
  </si>
  <si>
    <t>Subhadra Devi</t>
  </si>
  <si>
    <t>Shaikh Shabnam</t>
  </si>
  <si>
    <t>Yasmin Begum</t>
  </si>
  <si>
    <t>Sevaki Kumari Mahato</t>
  </si>
  <si>
    <t>Vicky Bedi</t>
  </si>
  <si>
    <t>Pyari Lohar</t>
  </si>
  <si>
    <t>Maya Lohar</t>
  </si>
  <si>
    <t>Rinki Gorai</t>
  </si>
  <si>
    <t>Meera Devi</t>
  </si>
  <si>
    <t>Laxmi Karua</t>
  </si>
  <si>
    <t>Sukati Sahu</t>
  </si>
  <si>
    <t>Manjeet Kaur</t>
  </si>
  <si>
    <t>Dilraj Kaur</t>
  </si>
  <si>
    <t>Ratoon Bibi</t>
  </si>
  <si>
    <t>Ashma Naaz</t>
  </si>
  <si>
    <t>Krishna Ghosh</t>
  </si>
  <si>
    <t>Sujata Pramanik</t>
  </si>
  <si>
    <t>Sujeet Gorai</t>
  </si>
  <si>
    <t>Abla manna</t>
  </si>
  <si>
    <t>Sharmishtha Manna</t>
  </si>
  <si>
    <t>Sweeta Kumai</t>
  </si>
  <si>
    <t>Tuni Devi</t>
  </si>
  <si>
    <t>Shibani Mahato</t>
  </si>
  <si>
    <t>Sunita Mahato</t>
  </si>
  <si>
    <t>Pinky Karmakar</t>
  </si>
  <si>
    <t>Puja Rani Pal</t>
  </si>
  <si>
    <t>Subroto Chatterjee</t>
  </si>
  <si>
    <t>Santoshi Karmakar</t>
  </si>
  <si>
    <t>Tanushree Chatterjee</t>
  </si>
  <si>
    <t>Rakhi Biswas</t>
  </si>
  <si>
    <t>Manorama Devi</t>
  </si>
  <si>
    <t>Suraj Kumar Lall</t>
  </si>
  <si>
    <t>Tej Pratap Singh</t>
  </si>
  <si>
    <t>samarjeet Mahapatra</t>
  </si>
  <si>
    <t>Sourav Gorai</t>
  </si>
  <si>
    <t>Dhananjay Gope</t>
  </si>
  <si>
    <t>Sunita Sharma</t>
  </si>
  <si>
    <t>K Kala Devi</t>
  </si>
  <si>
    <t>Suresh Nag</t>
  </si>
  <si>
    <t>Mousumi Maity</t>
  </si>
  <si>
    <t>G Puspa Rao</t>
  </si>
  <si>
    <t>N Baby</t>
  </si>
  <si>
    <t>M Radha</t>
  </si>
  <si>
    <t>Sunita Gupta</t>
  </si>
  <si>
    <t>Ruma Haldar</t>
  </si>
  <si>
    <t>Arati Gorai</t>
  </si>
  <si>
    <t>Bela Nandi</t>
  </si>
  <si>
    <t>Manish Nandi</t>
  </si>
  <si>
    <t>Paspati Devi</t>
  </si>
  <si>
    <t>Sanjana Karmakar</t>
  </si>
  <si>
    <t>Rudwanti Devi</t>
  </si>
  <si>
    <t>Arisha Rehman</t>
  </si>
  <si>
    <t>Rupa Pandey</t>
  </si>
  <si>
    <t>Puja Rani Dey</t>
  </si>
  <si>
    <t>Mala Gorai</t>
  </si>
  <si>
    <t>Mukhtar Hussain</t>
  </si>
  <si>
    <t>Neha Perween</t>
  </si>
  <si>
    <t>Swapan Sarkar</t>
  </si>
  <si>
    <t>Nandini Karwa</t>
  </si>
  <si>
    <t>Jaswinder Karwa</t>
  </si>
  <si>
    <t>Beena Baskey</t>
  </si>
  <si>
    <t>Ashis Kumar</t>
  </si>
  <si>
    <t xml:space="preserve">Najmun Nisa </t>
  </si>
  <si>
    <t>Bijay Shit</t>
  </si>
  <si>
    <t>Renu Das</t>
  </si>
  <si>
    <t>Nausaba Khatoon</t>
  </si>
  <si>
    <t>G Anu Rao</t>
  </si>
  <si>
    <t>Sakil Ahmad</t>
  </si>
  <si>
    <t>Subash Kumar</t>
  </si>
  <si>
    <t>Shymali Pramanik</t>
  </si>
  <si>
    <t>Deepika Mandal</t>
  </si>
  <si>
    <t>Rinku Khan</t>
  </si>
  <si>
    <t>Rani Kumari</t>
  </si>
  <si>
    <t>Ritu Sharma</t>
  </si>
  <si>
    <t>Harmeet Bhamra</t>
  </si>
  <si>
    <t xml:space="preserve">Mouha Deb </t>
  </si>
  <si>
    <t>Chanda mandal</t>
  </si>
  <si>
    <t>Yogita Kumari</t>
  </si>
  <si>
    <t>Mousami biswas</t>
  </si>
  <si>
    <t>K Manju Rao</t>
  </si>
  <si>
    <t>Ramapati Devi</t>
  </si>
  <si>
    <t>KADMA</t>
  </si>
  <si>
    <t>TELCO</t>
  </si>
  <si>
    <t>Int. Amt</t>
  </si>
  <si>
    <t>20-04-202</t>
  </si>
  <si>
    <t>Kgn</t>
  </si>
  <si>
    <t>charanjeet Kaur</t>
  </si>
  <si>
    <t>river view</t>
  </si>
  <si>
    <t>Kamputa</t>
  </si>
  <si>
    <t>Barinager</t>
  </si>
  <si>
    <t>Birsanager</t>
  </si>
  <si>
    <t>Barinaga</t>
  </si>
  <si>
    <t>N type</t>
  </si>
  <si>
    <t>Kartik nagar</t>
  </si>
  <si>
    <t>1b</t>
  </si>
  <si>
    <t>ghorabandha</t>
  </si>
  <si>
    <t>boi</t>
  </si>
  <si>
    <t>radhikanagar</t>
  </si>
  <si>
    <t>luabasa</t>
  </si>
  <si>
    <t>Kalpana Samuel</t>
  </si>
  <si>
    <t>barinagar</t>
  </si>
  <si>
    <t>9955720780</t>
  </si>
  <si>
    <t>250163092712</t>
  </si>
  <si>
    <t>kgn</t>
  </si>
  <si>
    <t>telco</t>
  </si>
  <si>
    <t>jyoti angar</t>
  </si>
  <si>
    <t>cbi</t>
  </si>
  <si>
    <t>d</t>
  </si>
  <si>
    <t>md samim</t>
  </si>
  <si>
    <t>9534224296</t>
  </si>
  <si>
    <t>735292697897</t>
  </si>
  <si>
    <t>DOB</t>
  </si>
  <si>
    <t>SUNITA PADEY</t>
  </si>
  <si>
    <t>Harkirat Singh Suri</t>
  </si>
  <si>
    <t>colony</t>
  </si>
  <si>
    <t>N/A</t>
  </si>
  <si>
    <t>586847556016</t>
  </si>
  <si>
    <t>9939401974</t>
  </si>
  <si>
    <t>250990649390</t>
  </si>
  <si>
    <t>9386090348</t>
  </si>
  <si>
    <t>BAGUNHATU</t>
  </si>
  <si>
    <t>Kailash Karua</t>
  </si>
  <si>
    <t>Madhuri Pramanik</t>
  </si>
  <si>
    <t>Partha Pramanik</t>
  </si>
  <si>
    <t>Kiran Kumari</t>
  </si>
  <si>
    <t>Dayamay Pramanik</t>
  </si>
  <si>
    <t>Reena Kumari</t>
  </si>
  <si>
    <t>plaza</t>
  </si>
  <si>
    <t>Sadhu Pramanik</t>
  </si>
  <si>
    <t>Anju Pandey</t>
  </si>
  <si>
    <t>9304534526</t>
  </si>
  <si>
    <t>611881352394</t>
  </si>
  <si>
    <t>9304281734</t>
  </si>
  <si>
    <t>613160085635</t>
  </si>
  <si>
    <t>7763938106</t>
  </si>
  <si>
    <t>521763363308</t>
  </si>
  <si>
    <t>7209933113</t>
  </si>
  <si>
    <t>672578617574</t>
  </si>
  <si>
    <t>8797113281</t>
  </si>
  <si>
    <t>736104816223</t>
  </si>
  <si>
    <t>6202971793</t>
  </si>
  <si>
    <t>931637796655</t>
  </si>
  <si>
    <t>9304776851</t>
  </si>
  <si>
    <t>742644114005</t>
  </si>
  <si>
    <t>8340157050</t>
  </si>
  <si>
    <t>837603549576</t>
  </si>
  <si>
    <t>birsangar</t>
  </si>
  <si>
    <t>Birsanagar</t>
  </si>
  <si>
    <t>radhikangar</t>
  </si>
  <si>
    <t>Mritunjay Gorai</t>
  </si>
  <si>
    <t>hurlung</t>
  </si>
  <si>
    <t>ghorabanadha</t>
  </si>
  <si>
    <t>Bagunhatu</t>
  </si>
  <si>
    <t>birsanagar</t>
  </si>
  <si>
    <t>8877326689</t>
  </si>
  <si>
    <t>901128968789</t>
  </si>
  <si>
    <t>Pushpa Sahu</t>
  </si>
  <si>
    <t>Sewti Sahu</t>
  </si>
  <si>
    <t>8092295374</t>
  </si>
  <si>
    <t>400796162754</t>
  </si>
  <si>
    <t>7209367836</t>
  </si>
  <si>
    <t>716124839021</t>
  </si>
  <si>
    <t>8789818753</t>
  </si>
  <si>
    <t>922315391266</t>
  </si>
  <si>
    <t>9199355461</t>
  </si>
  <si>
    <t>484741555855</t>
  </si>
  <si>
    <t>soni kumari</t>
  </si>
  <si>
    <t>radhi</t>
  </si>
  <si>
    <t>Anita Choudhary</t>
  </si>
  <si>
    <t>radhka</t>
  </si>
  <si>
    <t>723929611440</t>
  </si>
  <si>
    <t>7004770032</t>
  </si>
  <si>
    <t>825853860759</t>
  </si>
  <si>
    <t>7488607478</t>
  </si>
  <si>
    <t>Deo Krishna choudhary</t>
  </si>
  <si>
    <t>Ishita Arya</t>
  </si>
  <si>
    <t>minor</t>
  </si>
  <si>
    <t>Madan Pal</t>
  </si>
  <si>
    <t>gwalabasi</t>
  </si>
  <si>
    <t>Kalpana Bhawal</t>
  </si>
  <si>
    <t>shiv naagar</t>
  </si>
  <si>
    <t>Tara Devi</t>
  </si>
  <si>
    <t>zone 5</t>
  </si>
  <si>
    <t>Sima gorai</t>
  </si>
  <si>
    <t>radhika</t>
  </si>
  <si>
    <t>KARTIKNGAR</t>
  </si>
  <si>
    <t>bob</t>
  </si>
  <si>
    <t>Sunil Kumar Prasad</t>
  </si>
  <si>
    <t>kharangajhar</t>
  </si>
  <si>
    <t>Pushpam Singh</t>
  </si>
  <si>
    <t>birsa</t>
  </si>
  <si>
    <t>Rakhi Kumari</t>
  </si>
  <si>
    <t>81-1292</t>
  </si>
  <si>
    <t>81-4164</t>
  </si>
  <si>
    <t>nildih</t>
  </si>
  <si>
    <t>81-1232</t>
  </si>
  <si>
    <t>Lata Mandal</t>
  </si>
  <si>
    <t>310899197430</t>
  </si>
  <si>
    <t>6287749995</t>
  </si>
  <si>
    <t>Meeru Sharma</t>
  </si>
  <si>
    <t>435819317142</t>
  </si>
  <si>
    <t>9771616936</t>
  </si>
  <si>
    <t>Parwati karmakar</t>
  </si>
  <si>
    <t>500</t>
  </si>
  <si>
    <t>225389462040</t>
  </si>
  <si>
    <t>9304417326</t>
  </si>
  <si>
    <t>Tanish Choudhary</t>
  </si>
  <si>
    <t>9142564123</t>
  </si>
  <si>
    <t>667318292583</t>
  </si>
  <si>
    <t>Kala Hansda</t>
  </si>
  <si>
    <t>sundernagar</t>
  </si>
  <si>
    <t>7634849950</t>
  </si>
  <si>
    <t>323467504319</t>
  </si>
  <si>
    <t>na</t>
  </si>
  <si>
    <t>Sajamda</t>
  </si>
  <si>
    <t>comport</t>
  </si>
  <si>
    <t>Ashish Kumar</t>
  </si>
  <si>
    <t>baridih</t>
  </si>
  <si>
    <t>Damini Pramanik</t>
  </si>
  <si>
    <t>690595730719</t>
  </si>
  <si>
    <t>9102936941</t>
  </si>
  <si>
    <t>Archana Sushil Sharma</t>
  </si>
  <si>
    <t>prakashngr</t>
  </si>
  <si>
    <t>588877896359</t>
  </si>
  <si>
    <t>6299590154</t>
  </si>
  <si>
    <t>583835194968</t>
  </si>
  <si>
    <t>Ankit Dubey</t>
  </si>
  <si>
    <t>Akash Dubey</t>
  </si>
  <si>
    <t>976492430555</t>
  </si>
  <si>
    <t>989364339669</t>
  </si>
  <si>
    <t>8986815942</t>
  </si>
  <si>
    <t>mohammad manzar waris</t>
  </si>
  <si>
    <t>Mosarrat Ali Khan</t>
  </si>
  <si>
    <t>Bablu Paramanik</t>
  </si>
  <si>
    <t>zone 1b</t>
  </si>
  <si>
    <t>Sunila Saha</t>
  </si>
  <si>
    <t>24-12-2002</t>
  </si>
  <si>
    <t>8084200205</t>
  </si>
  <si>
    <t>coloy</t>
  </si>
  <si>
    <t>Prakash Tiwary</t>
  </si>
  <si>
    <t>01-2112</t>
  </si>
  <si>
    <t>Namita Gorai</t>
  </si>
  <si>
    <t>Shakila Bano</t>
  </si>
  <si>
    <t>Navjot Kaur</t>
  </si>
  <si>
    <t>Sheetal Kaur</t>
  </si>
  <si>
    <t>Ghorabandha</t>
  </si>
  <si>
    <t>Premlata Kumari</t>
  </si>
  <si>
    <t>394632650592</t>
  </si>
  <si>
    <t>Ravi Ranjan Kumar</t>
  </si>
  <si>
    <t>919810319628</t>
  </si>
  <si>
    <t>8809572654</t>
  </si>
  <si>
    <t>Khushboo</t>
  </si>
  <si>
    <t>Hiralal Das</t>
  </si>
  <si>
    <t>230635748811</t>
  </si>
  <si>
    <t>7549528225</t>
  </si>
  <si>
    <t>796846396723</t>
  </si>
  <si>
    <t>739822152591</t>
  </si>
  <si>
    <t>7808465964</t>
  </si>
  <si>
    <t>599143558630</t>
  </si>
  <si>
    <t>7070254769</t>
  </si>
  <si>
    <t>921693125618</t>
  </si>
  <si>
    <t>9204427771</t>
  </si>
  <si>
    <t>Premlata</t>
  </si>
  <si>
    <t>933606878131</t>
  </si>
  <si>
    <t>8935993977</t>
  </si>
  <si>
    <t>Pappu Thakur</t>
  </si>
  <si>
    <t>446979514928</t>
  </si>
  <si>
    <t>9852076775</t>
  </si>
  <si>
    <t>Ashutosh Mahato</t>
  </si>
  <si>
    <t>886452279823</t>
  </si>
  <si>
    <t>8434053129</t>
  </si>
  <si>
    <t>Rajiv Verma</t>
  </si>
  <si>
    <t>418736526539</t>
  </si>
  <si>
    <t>8340649064</t>
  </si>
  <si>
    <t>Puja Devi</t>
  </si>
  <si>
    <t>758938594478</t>
  </si>
  <si>
    <t>6203142500</t>
  </si>
  <si>
    <t>Gourav Kumar</t>
  </si>
  <si>
    <t>450518737048</t>
  </si>
  <si>
    <t>7209475075</t>
  </si>
  <si>
    <t>Farudin Nisha</t>
  </si>
  <si>
    <t>367387103313</t>
  </si>
  <si>
    <t>932227053574</t>
  </si>
  <si>
    <t>7979738994</t>
  </si>
  <si>
    <t>Rina Devi</t>
  </si>
  <si>
    <t>Sujat Ali</t>
  </si>
  <si>
    <t>846338378340</t>
  </si>
  <si>
    <t>9031989594</t>
  </si>
  <si>
    <t>Shivam Kumar</t>
  </si>
  <si>
    <t>419098603646</t>
  </si>
  <si>
    <t>7463058716</t>
  </si>
  <si>
    <t>Rizwana Tabassum</t>
  </si>
  <si>
    <t>COMPORT</t>
  </si>
  <si>
    <t>321992147022</t>
  </si>
  <si>
    <t>8092539331</t>
  </si>
  <si>
    <t>Shankar Poddar</t>
  </si>
  <si>
    <t>zone-5</t>
  </si>
  <si>
    <t>209551438815</t>
  </si>
  <si>
    <t>Vishal Kumar Jha</t>
  </si>
  <si>
    <t>sadhudera</t>
  </si>
  <si>
    <t>200457756197</t>
  </si>
  <si>
    <t>512239276013</t>
  </si>
  <si>
    <t>07-010-2020</t>
  </si>
  <si>
    <t>Priyappa Kumari</t>
  </si>
  <si>
    <t>573376672433</t>
  </si>
  <si>
    <t>naina Loketh</t>
  </si>
  <si>
    <t>Agrico</t>
  </si>
  <si>
    <t>230124196002</t>
  </si>
  <si>
    <t>7295950754</t>
  </si>
  <si>
    <t>Sanju Kumari</t>
  </si>
  <si>
    <t>golmuri</t>
  </si>
  <si>
    <t>Gurmeet Kaur</t>
  </si>
  <si>
    <t>Nasreent Parween</t>
  </si>
  <si>
    <t>bari</t>
  </si>
  <si>
    <t>Haripriya Das</t>
  </si>
  <si>
    <t>golmru</t>
  </si>
  <si>
    <t>462661872062</t>
  </si>
  <si>
    <t>9430772130</t>
  </si>
  <si>
    <t>Hemant Das</t>
  </si>
  <si>
    <t>623946790690</t>
  </si>
  <si>
    <t>6299173377</t>
  </si>
  <si>
    <t>anju pandey</t>
  </si>
  <si>
    <t>Durga Kumai</t>
  </si>
  <si>
    <t>Abhishek Kumar</t>
  </si>
  <si>
    <t>self</t>
  </si>
  <si>
    <t>truckpark</t>
  </si>
  <si>
    <t>DURGA DEVI</t>
  </si>
  <si>
    <t>POOJA JENA</t>
  </si>
  <si>
    <t>SACHIN SINGH</t>
  </si>
  <si>
    <t>PRATIBHA SHAH</t>
  </si>
  <si>
    <t>806786848648</t>
  </si>
  <si>
    <t>6202914209</t>
  </si>
  <si>
    <t>793516589933</t>
  </si>
  <si>
    <t>7070975303</t>
  </si>
  <si>
    <t>522155058714</t>
  </si>
  <si>
    <t>8789909446</t>
  </si>
  <si>
    <t>768663170135</t>
  </si>
  <si>
    <t>8877177689</t>
  </si>
  <si>
    <t>536491414777</t>
  </si>
  <si>
    <t>7903759533</t>
  </si>
  <si>
    <t>Yogendra Prasad</t>
  </si>
  <si>
    <t>332032121596</t>
  </si>
  <si>
    <t>8409708058</t>
  </si>
  <si>
    <t>Sukhwinder Kaur</t>
  </si>
  <si>
    <t>283996963992</t>
  </si>
  <si>
    <t>8789483287</t>
  </si>
  <si>
    <t>Nivedita Dey</t>
  </si>
  <si>
    <t>704186349919</t>
  </si>
  <si>
    <t>Mamota Devi</t>
  </si>
  <si>
    <t>695009192003</t>
  </si>
  <si>
    <t>Laxmi Bosa</t>
  </si>
  <si>
    <t>458272023912</t>
  </si>
  <si>
    <t>9431737792</t>
  </si>
  <si>
    <t>Sangeeta Kar</t>
  </si>
  <si>
    <t>776275280901</t>
  </si>
  <si>
    <t>7070878131</t>
  </si>
  <si>
    <t>pinki Kumari</t>
  </si>
  <si>
    <t>Sanjana Kumari</t>
  </si>
  <si>
    <t>Gunjan Kumari</t>
  </si>
  <si>
    <t>619541972159</t>
  </si>
  <si>
    <t>8521924225</t>
  </si>
  <si>
    <t>352945839941</t>
  </si>
  <si>
    <t>6204206854</t>
  </si>
  <si>
    <t>846524345758</t>
  </si>
  <si>
    <t>9709213014</t>
  </si>
  <si>
    <t>Shobha Tudu</t>
  </si>
  <si>
    <t>bnagar</t>
  </si>
  <si>
    <t>989207978805</t>
  </si>
  <si>
    <t>9934174537</t>
  </si>
  <si>
    <t>s m altamash madani</t>
  </si>
  <si>
    <t>544480097002</t>
  </si>
  <si>
    <t>8340507926</t>
  </si>
  <si>
    <t>Sharya Naaz</t>
  </si>
  <si>
    <t>514003373129</t>
  </si>
  <si>
    <t>8271312110</t>
  </si>
  <si>
    <t>Jyoti Prakash</t>
  </si>
  <si>
    <t>Santu Karmakar</t>
  </si>
  <si>
    <t>288136698537</t>
  </si>
  <si>
    <t>8235430915</t>
  </si>
  <si>
    <t>jhanubala Mahato</t>
  </si>
  <si>
    <t>658774825190</t>
  </si>
  <si>
    <t>8210959986</t>
  </si>
  <si>
    <t>Noor Jahan</t>
  </si>
  <si>
    <t>285188221247</t>
  </si>
  <si>
    <t>9122599355</t>
  </si>
  <si>
    <t>Suraj Mahato</t>
  </si>
  <si>
    <t>862340835265</t>
  </si>
  <si>
    <t>9608766820</t>
  </si>
  <si>
    <t>Mamta Kumari</t>
  </si>
  <si>
    <t>403777401569</t>
  </si>
  <si>
    <t>7004512957</t>
  </si>
  <si>
    <t>457329665104</t>
  </si>
  <si>
    <t>9234849548</t>
  </si>
  <si>
    <t>Anil Karmakar</t>
  </si>
  <si>
    <t>750632858975</t>
  </si>
  <si>
    <t>7762847089</t>
  </si>
  <si>
    <t>Sagar Mahato</t>
  </si>
  <si>
    <t>644205407017</t>
  </si>
  <si>
    <t>9955688040</t>
  </si>
  <si>
    <t>Budhni</t>
  </si>
  <si>
    <t>543971828002</t>
  </si>
  <si>
    <t>9199976992</t>
  </si>
  <si>
    <t>Heena Mukhi</t>
  </si>
  <si>
    <t>322240372555</t>
  </si>
  <si>
    <t>7903767552</t>
  </si>
  <si>
    <t>Sagar Tantubai</t>
  </si>
  <si>
    <t>973133130860</t>
  </si>
  <si>
    <t>81-4388</t>
  </si>
  <si>
    <t>sbi</t>
  </si>
  <si>
    <t>G Savitri</t>
  </si>
  <si>
    <t>Chetan Kumar Sharma</t>
  </si>
  <si>
    <t>Manish Cohar</t>
  </si>
  <si>
    <t>Vishal Ranjan Tiru</t>
  </si>
  <si>
    <t>Lakhi Munda</t>
  </si>
  <si>
    <t>Kartik Dey</t>
  </si>
  <si>
    <t>Ganesh Tantubai</t>
  </si>
  <si>
    <t>Ankit Verma</t>
  </si>
  <si>
    <t>Bablu Singh</t>
  </si>
  <si>
    <t>Aniket Kumar Singh</t>
  </si>
  <si>
    <t>Alfrida</t>
  </si>
  <si>
    <t>Parvati ho</t>
  </si>
  <si>
    <t>Rakhi Devi</t>
  </si>
  <si>
    <t>Suraj Besra</t>
  </si>
  <si>
    <t>Subash Kumar Das</t>
  </si>
  <si>
    <t>Rohit Munda</t>
  </si>
  <si>
    <t>sanjeevan Karmakar</t>
  </si>
  <si>
    <t>Devshran Mandavi</t>
  </si>
  <si>
    <t>7542032142</t>
  </si>
  <si>
    <t>8210023504</t>
  </si>
  <si>
    <t>8797066680</t>
  </si>
  <si>
    <t>9031433143</t>
  </si>
  <si>
    <t>8797503783</t>
  </si>
  <si>
    <t>9142638798</t>
  </si>
  <si>
    <t>7631080615</t>
  </si>
  <si>
    <t>8092876548</t>
  </si>
  <si>
    <t>9835734991</t>
  </si>
  <si>
    <t>8935911610</t>
  </si>
  <si>
    <t>945781980713</t>
  </si>
  <si>
    <t>553687107389</t>
  </si>
  <si>
    <t>630916339596</t>
  </si>
  <si>
    <t>361412589518</t>
  </si>
  <si>
    <t>713321092614</t>
  </si>
  <si>
    <t>325611543938</t>
  </si>
  <si>
    <t>910433211570</t>
  </si>
  <si>
    <t>350415093057</t>
  </si>
  <si>
    <t>324719436567</t>
  </si>
  <si>
    <t>941310393996</t>
  </si>
  <si>
    <t>517417666789</t>
  </si>
  <si>
    <t>9102364843</t>
  </si>
  <si>
    <t>6287855447</t>
  </si>
  <si>
    <t>6202319837</t>
  </si>
  <si>
    <t>Sundari Gounder</t>
  </si>
  <si>
    <t>647059373656</t>
  </si>
  <si>
    <t>8235432633</t>
  </si>
  <si>
    <t>Swarn Singh</t>
  </si>
  <si>
    <t>484021826371</t>
  </si>
  <si>
    <t>7233179949</t>
  </si>
  <si>
    <t>Md kalim akhtar</t>
  </si>
  <si>
    <t>8809996887</t>
  </si>
  <si>
    <t>Kusum Devi</t>
  </si>
  <si>
    <t>233765558136</t>
  </si>
  <si>
    <t>8092880723</t>
  </si>
  <si>
    <t>Kamrun Nisha</t>
  </si>
  <si>
    <t>396417033068</t>
  </si>
  <si>
    <t>Md Zaid Tausif</t>
  </si>
  <si>
    <t>583918358143</t>
  </si>
  <si>
    <t>7280090126</t>
  </si>
  <si>
    <t>SArita (aloka)</t>
  </si>
  <si>
    <t>Ganesh Pd Mahato</t>
  </si>
  <si>
    <t>Shailendra Sinha</t>
  </si>
  <si>
    <t>Anil Kumar</t>
  </si>
  <si>
    <t>Nickey Lohar</t>
  </si>
  <si>
    <t>Pinkey Kumari</t>
  </si>
  <si>
    <t>370964921185</t>
  </si>
  <si>
    <t>9523322522</t>
  </si>
  <si>
    <t>274099092022</t>
  </si>
  <si>
    <t>8235430848</t>
  </si>
  <si>
    <t>815661014507</t>
  </si>
  <si>
    <t>783732805496</t>
  </si>
  <si>
    <t>7808487570</t>
  </si>
  <si>
    <t>896326129627</t>
  </si>
  <si>
    <t>7209644519</t>
  </si>
  <si>
    <t>Lakshmi Devi</t>
  </si>
  <si>
    <t>Kamla Gorai</t>
  </si>
  <si>
    <t xml:space="preserve">  </t>
  </si>
  <si>
    <t>`</t>
  </si>
  <si>
    <t>7209441354</t>
  </si>
  <si>
    <t>dn</t>
  </si>
  <si>
    <t>Monoranjan Mal</t>
  </si>
  <si>
    <t>Anne Simran Toppo</t>
  </si>
  <si>
    <t>Ranjit Rajak</t>
  </si>
  <si>
    <t>Sanatan Bhumij</t>
  </si>
  <si>
    <t xml:space="preserve">ref. </t>
  </si>
  <si>
    <t>365671264635</t>
  </si>
  <si>
    <t>Sohan Tudu</t>
  </si>
  <si>
    <t>452415539727</t>
  </si>
  <si>
    <t>7667651298</t>
  </si>
  <si>
    <t>819305186279</t>
  </si>
  <si>
    <t>7764069145</t>
  </si>
  <si>
    <t>923983551361</t>
  </si>
  <si>
    <t>7903636798</t>
  </si>
  <si>
    <t>9142791675</t>
  </si>
  <si>
    <t>973068140189</t>
  </si>
  <si>
    <t>706990329246</t>
  </si>
  <si>
    <t>7061194051</t>
  </si>
  <si>
    <t>9031395162</t>
  </si>
  <si>
    <t>Jiten Dhibar</t>
  </si>
  <si>
    <t>917970107977</t>
  </si>
  <si>
    <t>8757450679</t>
  </si>
  <si>
    <t>Anjani Devi</t>
  </si>
  <si>
    <t>Grace Biswas</t>
  </si>
  <si>
    <t>Omika Biswas</t>
  </si>
  <si>
    <t>440486005288</t>
  </si>
  <si>
    <t>822146692732</t>
  </si>
  <si>
    <t>Shreshdhar gorai</t>
  </si>
  <si>
    <t>Priyanka Choudhary</t>
  </si>
  <si>
    <t>360807590828</t>
  </si>
  <si>
    <t>Akash Gorai</t>
  </si>
  <si>
    <t>Kakuli Bhakat</t>
  </si>
  <si>
    <t>Rukhsana Perween</t>
  </si>
  <si>
    <t>Tanushree Gorai</t>
  </si>
  <si>
    <t>7488713084</t>
  </si>
  <si>
    <t>9334817717</t>
  </si>
  <si>
    <t>242489367140</t>
  </si>
  <si>
    <t>957957505437</t>
  </si>
  <si>
    <t>9931412861</t>
  </si>
  <si>
    <t>785696465795</t>
  </si>
  <si>
    <t>9234418119</t>
  </si>
  <si>
    <t>9386741691</t>
  </si>
  <si>
    <t>Laxmi Devi</t>
  </si>
  <si>
    <t>Manisha Kumari</t>
  </si>
  <si>
    <t>Chabi Rani Ghosh</t>
  </si>
  <si>
    <t>Puja Karmakar</t>
  </si>
  <si>
    <t>Saibun Nisha</t>
  </si>
  <si>
    <t>Sayed Nasir Hussain</t>
  </si>
  <si>
    <t>Gopal Gorai</t>
  </si>
  <si>
    <t>Reena Devi</t>
  </si>
  <si>
    <t>6203562425</t>
  </si>
  <si>
    <t>9934326791</t>
  </si>
  <si>
    <t>206670183228</t>
  </si>
  <si>
    <t>7903578743</t>
  </si>
  <si>
    <t>9852503908</t>
  </si>
  <si>
    <t>884376634205</t>
  </si>
  <si>
    <t>9934828835</t>
  </si>
  <si>
    <t>7295913745</t>
  </si>
  <si>
    <t>9204689356</t>
  </si>
  <si>
    <t>prakashnagar</t>
  </si>
  <si>
    <t>Simraj Singh</t>
  </si>
  <si>
    <t>Pompa banerjee</t>
  </si>
  <si>
    <t>Gayari karmakar</t>
  </si>
  <si>
    <t>Ganga Mahato</t>
  </si>
  <si>
    <t>Usha Mandal</t>
  </si>
  <si>
    <t>Suchitra Mandal</t>
  </si>
  <si>
    <t>Neel Kamal Karmakar</t>
  </si>
  <si>
    <t>692254690525</t>
  </si>
  <si>
    <t>6200745641</t>
  </si>
  <si>
    <t>848224852921</t>
  </si>
  <si>
    <t>7667396287</t>
  </si>
  <si>
    <t>Ajay Choudhary</t>
  </si>
  <si>
    <t>7856938240</t>
  </si>
  <si>
    <t>Taniya Khatoon</t>
  </si>
  <si>
    <t>382549132559</t>
  </si>
  <si>
    <t>6206810491</t>
  </si>
  <si>
    <t xml:space="preserve">Sunil Kr Gupta </t>
  </si>
  <si>
    <t xml:space="preserve">Laxmi Mukhi </t>
  </si>
  <si>
    <t>743899123715</t>
  </si>
  <si>
    <t>8092879226</t>
  </si>
  <si>
    <t xml:space="preserve">Ritesh Tantubai </t>
  </si>
  <si>
    <t>308843988677</t>
  </si>
  <si>
    <t>Haripada Sardar</t>
  </si>
  <si>
    <t>520347909159</t>
  </si>
  <si>
    <t>7209328193</t>
  </si>
  <si>
    <t>Sombari Munda</t>
  </si>
  <si>
    <t>212178309313</t>
  </si>
  <si>
    <t>9934921032</t>
  </si>
  <si>
    <t>Sudhir Gope</t>
  </si>
  <si>
    <t>705700010939</t>
  </si>
  <si>
    <t>9430368843</t>
  </si>
  <si>
    <t>Aditya Dutta</t>
  </si>
  <si>
    <t>9934768410</t>
  </si>
  <si>
    <t>Minu Devi</t>
  </si>
  <si>
    <t>614202494373</t>
  </si>
  <si>
    <t>6287749810</t>
  </si>
  <si>
    <t>Chunu Lohar</t>
  </si>
  <si>
    <t>719809434683</t>
  </si>
  <si>
    <t>6299651619</t>
  </si>
  <si>
    <t>Md Zishn Khan</t>
  </si>
  <si>
    <t>604844371026</t>
  </si>
  <si>
    <t>7779999572</t>
  </si>
  <si>
    <t>Rabi Gorai</t>
  </si>
  <si>
    <t>924120734316</t>
  </si>
  <si>
    <t>9693498476</t>
  </si>
  <si>
    <t>Bishwakarma Bhumij</t>
  </si>
  <si>
    <t>924006976148</t>
  </si>
  <si>
    <t>8340254035</t>
  </si>
  <si>
    <t>Arati Karmakar</t>
  </si>
  <si>
    <t>755743093100</t>
  </si>
  <si>
    <t>7543895185</t>
  </si>
  <si>
    <t>Anjum Singh</t>
  </si>
  <si>
    <t>615652452910</t>
  </si>
  <si>
    <t>Nisha Karmakar</t>
  </si>
  <si>
    <t>6204039748</t>
  </si>
  <si>
    <t xml:space="preserve"> 27-03-2021</t>
  </si>
  <si>
    <t xml:space="preserve">Shyampada </t>
  </si>
  <si>
    <t>928445723481</t>
  </si>
  <si>
    <t>Lila Chel</t>
  </si>
  <si>
    <t>615301411836</t>
  </si>
  <si>
    <t xml:space="preserve">Raghunath Sharma </t>
  </si>
  <si>
    <t>9117516522</t>
  </si>
  <si>
    <t>Shshila</t>
  </si>
  <si>
    <t>8235201453</t>
  </si>
  <si>
    <t>9801513788</t>
  </si>
  <si>
    <t>Subhashini Kaur</t>
  </si>
  <si>
    <t>Sunita Mukhi</t>
  </si>
  <si>
    <t>6201054032</t>
  </si>
  <si>
    <t>Punam Verma</t>
  </si>
  <si>
    <t>9931500514</t>
  </si>
  <si>
    <t>Madan Mahato</t>
  </si>
  <si>
    <t>8210359435</t>
  </si>
  <si>
    <t>Munna Dey</t>
  </si>
  <si>
    <t>Prasenjeet Sen</t>
  </si>
  <si>
    <t>8235947992</t>
  </si>
  <si>
    <t>403400082918</t>
  </si>
  <si>
    <t>Laxman Karmakar</t>
  </si>
  <si>
    <t>6287750373</t>
  </si>
  <si>
    <t>Lab Mardi</t>
  </si>
  <si>
    <t>423560237927</t>
  </si>
  <si>
    <t>9631681964</t>
  </si>
  <si>
    <t>Chandray Sardar</t>
  </si>
  <si>
    <t>590607055013</t>
  </si>
  <si>
    <t>8797974042</t>
  </si>
  <si>
    <t>Bhabfaran Khan</t>
  </si>
  <si>
    <t>870392464048</t>
  </si>
  <si>
    <t>9308383695</t>
  </si>
  <si>
    <t>D Suraj Kumar</t>
  </si>
  <si>
    <t>807955648303</t>
  </si>
  <si>
    <t>6205186357</t>
  </si>
  <si>
    <t xml:space="preserve">Shravani Bera </t>
  </si>
  <si>
    <t>570764110278</t>
  </si>
  <si>
    <t>693536456</t>
  </si>
  <si>
    <t>Astani Gorai</t>
  </si>
  <si>
    <t>316953250367</t>
  </si>
  <si>
    <t>7209418097</t>
  </si>
  <si>
    <t>Koyal Gorai</t>
  </si>
  <si>
    <t>8210811372</t>
  </si>
  <si>
    <t>Laxmi Rajak</t>
  </si>
  <si>
    <t>498088307519</t>
  </si>
  <si>
    <t>6204302709</t>
  </si>
  <si>
    <t>Jyoti Gorai</t>
  </si>
  <si>
    <t>548216641148</t>
  </si>
  <si>
    <t>Renu Hembram</t>
  </si>
  <si>
    <t>6203717079</t>
  </si>
  <si>
    <t>Hajra Begum</t>
  </si>
  <si>
    <t>763039901441</t>
  </si>
  <si>
    <t>Nazrin Begum</t>
  </si>
  <si>
    <t>436357599547</t>
  </si>
  <si>
    <t>7563917862</t>
  </si>
  <si>
    <t>Sonia  Sinha</t>
  </si>
  <si>
    <t>363011182015</t>
  </si>
  <si>
    <t>Kalabati Das</t>
  </si>
  <si>
    <t>336582741235</t>
  </si>
  <si>
    <t>Maisu Rahman</t>
  </si>
  <si>
    <t>450178083086</t>
  </si>
  <si>
    <t>8050255757</t>
  </si>
  <si>
    <t>Arindam  Chandra</t>
  </si>
  <si>
    <t>930756697927</t>
  </si>
  <si>
    <t>Rabita Tuhi</t>
  </si>
  <si>
    <t>619050394801</t>
  </si>
  <si>
    <t>Sanjay Gupta</t>
  </si>
  <si>
    <t>570120320658</t>
  </si>
  <si>
    <t>Davanti Devi</t>
  </si>
  <si>
    <t>261353939636</t>
  </si>
  <si>
    <t>7209237679</t>
  </si>
  <si>
    <t>Suraj Munda</t>
  </si>
  <si>
    <t>324716889979</t>
  </si>
  <si>
    <t>7903391084</t>
  </si>
  <si>
    <t>Bijay Singh</t>
  </si>
  <si>
    <t>219454920108</t>
  </si>
  <si>
    <t>7482901643</t>
  </si>
  <si>
    <t>Ritesh Mahato</t>
  </si>
  <si>
    <t>6202715369</t>
  </si>
  <si>
    <t>240978288481</t>
  </si>
  <si>
    <t>Sohan Ruhidas</t>
  </si>
  <si>
    <t>365264264498</t>
  </si>
  <si>
    <t>8092277716</t>
  </si>
  <si>
    <t>Prince Kumar</t>
  </si>
  <si>
    <t>560380774859</t>
  </si>
  <si>
    <t>Laxmi Ravidas</t>
  </si>
  <si>
    <t>769873348942</t>
  </si>
  <si>
    <t>7004752770</t>
  </si>
  <si>
    <t>Rubina Nazish</t>
  </si>
  <si>
    <t>751813936633</t>
  </si>
  <si>
    <t>9162567771</t>
  </si>
  <si>
    <t xml:space="preserve">Vijay Karwa </t>
  </si>
  <si>
    <t>614669748789</t>
  </si>
  <si>
    <t>8204116089</t>
  </si>
  <si>
    <t>Abhinav Srivastava</t>
  </si>
  <si>
    <t>620261459798</t>
  </si>
  <si>
    <t xml:space="preserve">Mohammad Mazamil </t>
  </si>
  <si>
    <t>428806977993</t>
  </si>
  <si>
    <t>7979026511</t>
  </si>
  <si>
    <t>Sima Mahato</t>
  </si>
  <si>
    <t>8521976635</t>
  </si>
  <si>
    <t>Afsana Perween</t>
  </si>
  <si>
    <t>929435610275</t>
  </si>
  <si>
    <t>9801608079</t>
  </si>
  <si>
    <t>Akamksha Sinha</t>
  </si>
  <si>
    <t>781184226496</t>
  </si>
  <si>
    <t>249228139960</t>
  </si>
  <si>
    <t>9204703536</t>
  </si>
  <si>
    <t>879978625634</t>
  </si>
  <si>
    <t>8797795705</t>
  </si>
  <si>
    <t>Kumkum Ravidas</t>
  </si>
  <si>
    <t>814216676462</t>
  </si>
  <si>
    <t>6206359557</t>
  </si>
  <si>
    <t>Shereen Akhtar</t>
  </si>
  <si>
    <t>285441445719</t>
  </si>
  <si>
    <t>8210165788</t>
  </si>
  <si>
    <t>Rina Sahis</t>
  </si>
  <si>
    <t>8092635350</t>
  </si>
  <si>
    <t>Kanhaiya Sahu</t>
  </si>
  <si>
    <t>337780894383</t>
  </si>
  <si>
    <t>666023342757</t>
  </si>
  <si>
    <t>Suresh Das</t>
  </si>
  <si>
    <t>621044379479</t>
  </si>
  <si>
    <t>9204668150</t>
  </si>
  <si>
    <t>Rahul Mandal</t>
  </si>
  <si>
    <t>976640409078</t>
  </si>
  <si>
    <t>9142640564</t>
  </si>
  <si>
    <t>Chinta Moni Devi</t>
  </si>
  <si>
    <t>391882044500</t>
  </si>
  <si>
    <t>6203388080</t>
  </si>
  <si>
    <t>Basnti Majumdar</t>
  </si>
  <si>
    <t>9204936533</t>
  </si>
  <si>
    <t>Asma Tabassum</t>
  </si>
  <si>
    <t>Chita  Mardi</t>
  </si>
  <si>
    <t>996667824591</t>
  </si>
  <si>
    <t>8797766601</t>
  </si>
  <si>
    <t>Nazrana Khatoon</t>
  </si>
  <si>
    <t>281618232707</t>
  </si>
  <si>
    <t>806246170750</t>
  </si>
  <si>
    <t>Reshm Ara</t>
  </si>
  <si>
    <t>672934138328</t>
  </si>
  <si>
    <t>Shab Ahmad Khan</t>
  </si>
  <si>
    <t>672984138328</t>
  </si>
  <si>
    <t>Umash Prasad</t>
  </si>
  <si>
    <t>897346671582</t>
  </si>
  <si>
    <t>6207347339</t>
  </si>
  <si>
    <t>Shabeen Bano</t>
  </si>
  <si>
    <t>617989433249</t>
  </si>
  <si>
    <t>Suku Mardi</t>
  </si>
  <si>
    <t>839668772173</t>
  </si>
  <si>
    <t>9142687456</t>
  </si>
  <si>
    <t>Nikhil Binay</t>
  </si>
  <si>
    <t>8863080153</t>
  </si>
  <si>
    <t>Tarani Mahato</t>
  </si>
  <si>
    <t>Veer Sandil</t>
  </si>
  <si>
    <t>9142617014</t>
  </si>
  <si>
    <t xml:space="preserve">Juhi Khanam </t>
  </si>
  <si>
    <t>6202304685</t>
  </si>
  <si>
    <t>Ajay Rantay</t>
  </si>
  <si>
    <t>9631500927</t>
  </si>
  <si>
    <t>Divya Kumari</t>
  </si>
  <si>
    <t>8434665190</t>
  </si>
  <si>
    <t>Sk Sufyan Hussain</t>
  </si>
  <si>
    <t>834064363</t>
  </si>
  <si>
    <t>Nandlal Gorai</t>
  </si>
  <si>
    <t>6209656635</t>
  </si>
  <si>
    <t>Rounak Naag</t>
  </si>
  <si>
    <t>9661504263</t>
  </si>
  <si>
    <t>Nikhil Kumar Soni</t>
  </si>
  <si>
    <t>636085099343</t>
  </si>
  <si>
    <t>9097021528</t>
  </si>
  <si>
    <t>Riya Kumari</t>
  </si>
  <si>
    <t>8235234241</t>
  </si>
  <si>
    <t>Bheem Panday</t>
  </si>
  <si>
    <t>293048359760</t>
  </si>
  <si>
    <t>Shobha  Karmakar</t>
  </si>
  <si>
    <t>6203366288</t>
  </si>
  <si>
    <t>Prity Sinha</t>
  </si>
  <si>
    <t>954919611489</t>
  </si>
  <si>
    <t>8709605789</t>
  </si>
  <si>
    <t>Ritik Kumar</t>
  </si>
  <si>
    <t>360789758176</t>
  </si>
  <si>
    <t>9234719976</t>
  </si>
  <si>
    <t>Harsh Vardan</t>
  </si>
  <si>
    <t>762430920508</t>
  </si>
  <si>
    <t>9199853347</t>
  </si>
  <si>
    <t>Roshan Kumar</t>
  </si>
  <si>
    <t>470314942517</t>
  </si>
  <si>
    <t>9031925401</t>
  </si>
  <si>
    <t>7209320530</t>
  </si>
  <si>
    <t>Laxmi Gagrai</t>
  </si>
  <si>
    <t>761482334032</t>
  </si>
  <si>
    <t>7762858166</t>
  </si>
  <si>
    <t>Sujit Mardi</t>
  </si>
  <si>
    <t>685978364609</t>
  </si>
  <si>
    <t>9031821116</t>
  </si>
  <si>
    <t>Bhavya Kumari</t>
  </si>
  <si>
    <t>499747224180</t>
  </si>
  <si>
    <t>9334416638</t>
  </si>
  <si>
    <t>406977726610</t>
  </si>
  <si>
    <t>7004848414</t>
  </si>
  <si>
    <t>545490525975</t>
  </si>
  <si>
    <t>9608783507</t>
  </si>
  <si>
    <t>Zeenat Perween</t>
  </si>
  <si>
    <t>941456388789</t>
  </si>
  <si>
    <t>9934860701</t>
  </si>
  <si>
    <t>929287168441</t>
  </si>
  <si>
    <t>9199293212</t>
  </si>
  <si>
    <t>Krishna Rani Sahu</t>
  </si>
  <si>
    <t>629511677654</t>
  </si>
  <si>
    <t>9279997369</t>
  </si>
  <si>
    <t>Parbati Khan</t>
  </si>
  <si>
    <t>440167858776</t>
  </si>
  <si>
    <t>9693375076</t>
  </si>
  <si>
    <t>Bhashwati Sahu</t>
  </si>
  <si>
    <t>396508728443</t>
  </si>
  <si>
    <t>9031505612</t>
  </si>
  <si>
    <t>Namita Ghosh</t>
  </si>
  <si>
    <t>262066205351</t>
  </si>
  <si>
    <t>9835997971</t>
  </si>
  <si>
    <t>Mangal Machchawa</t>
  </si>
  <si>
    <t>264970773314</t>
  </si>
  <si>
    <t>8825214668</t>
  </si>
  <si>
    <t>Anita Gorai</t>
  </si>
  <si>
    <t>243021157915</t>
  </si>
  <si>
    <t>8084688013</t>
  </si>
  <si>
    <t>Karishna Kumar Singh</t>
  </si>
  <si>
    <t>249782593420</t>
  </si>
  <si>
    <t>7488723684</t>
  </si>
  <si>
    <t>Riyu Giri</t>
  </si>
  <si>
    <t>592077606992</t>
  </si>
  <si>
    <t>9061274078</t>
  </si>
  <si>
    <t>Manoj Sahu</t>
  </si>
  <si>
    <t>861114682356</t>
  </si>
  <si>
    <t>8603102217</t>
  </si>
  <si>
    <t>Gita Sinha</t>
  </si>
  <si>
    <t>357217334769</t>
  </si>
  <si>
    <t>Debdali Sahu</t>
  </si>
  <si>
    <t>9931466642</t>
  </si>
  <si>
    <t>9162961347</t>
  </si>
  <si>
    <t>Geeta Sahu</t>
  </si>
  <si>
    <t>8789682635</t>
  </si>
  <si>
    <t>Munnum Sahu</t>
  </si>
  <si>
    <t>435780105513</t>
  </si>
  <si>
    <t>8797210630</t>
  </si>
  <si>
    <t>Urmila Garai</t>
  </si>
  <si>
    <t>693386484399</t>
  </si>
  <si>
    <t>6200073337</t>
  </si>
  <si>
    <t>Dimpla Mukhi</t>
  </si>
  <si>
    <t>260805961641</t>
  </si>
  <si>
    <t>6204995826</t>
  </si>
  <si>
    <t>Chintapali Deepika</t>
  </si>
  <si>
    <t>414623607239</t>
  </si>
  <si>
    <t>9204879622</t>
  </si>
  <si>
    <t>Kala Nayak</t>
  </si>
  <si>
    <t>326416999127</t>
  </si>
  <si>
    <t>9430113329</t>
  </si>
  <si>
    <t>Shomya Singh</t>
  </si>
  <si>
    <t>568548116870</t>
  </si>
  <si>
    <t>8603865392</t>
  </si>
  <si>
    <t>Diyam Singh</t>
  </si>
  <si>
    <t>306291876766</t>
  </si>
  <si>
    <t>Sabitri Singh</t>
  </si>
  <si>
    <t>759188380800</t>
  </si>
  <si>
    <t>6204417471</t>
  </si>
  <si>
    <t>Rama Shankar Sharma</t>
  </si>
  <si>
    <t>471586229542</t>
  </si>
  <si>
    <t>9209091621</t>
  </si>
  <si>
    <t>Puja Ravidas</t>
  </si>
  <si>
    <t>7808181704</t>
  </si>
  <si>
    <t>779347789057</t>
  </si>
  <si>
    <t>03.-01-2022</t>
  </si>
  <si>
    <t>Malti Das</t>
  </si>
  <si>
    <t>855085090145</t>
  </si>
  <si>
    <t>9508977896</t>
  </si>
  <si>
    <t>Sushma Bera</t>
  </si>
  <si>
    <t>900437759382</t>
  </si>
  <si>
    <t>8002834011</t>
  </si>
  <si>
    <t>Shiv Shankar Sahu</t>
  </si>
  <si>
    <t>409185682776</t>
  </si>
  <si>
    <t>7209366181</t>
  </si>
  <si>
    <t>Suresh Tudu</t>
  </si>
  <si>
    <t>204670827523</t>
  </si>
  <si>
    <t>6206759727</t>
  </si>
  <si>
    <t>Sonali Sinha</t>
  </si>
  <si>
    <t>915644266829</t>
  </si>
  <si>
    <t>9905310732</t>
  </si>
  <si>
    <t>Sushila Das</t>
  </si>
  <si>
    <t>313597998734</t>
  </si>
  <si>
    <t>Mehrun Nish</t>
  </si>
  <si>
    <t>870743574669</t>
  </si>
  <si>
    <t>Saraswati  Devi</t>
  </si>
  <si>
    <t>752010130106</t>
  </si>
  <si>
    <t>8797831300</t>
  </si>
  <si>
    <t>Dipak Kumar Tiwary</t>
  </si>
  <si>
    <t>211900874456</t>
  </si>
  <si>
    <t>9798401288</t>
  </si>
  <si>
    <t>Samima Bano</t>
  </si>
  <si>
    <t>648353244443</t>
  </si>
  <si>
    <t>8797471898</t>
  </si>
  <si>
    <t>Anand Kumar Verma</t>
  </si>
  <si>
    <t>841448277413</t>
  </si>
  <si>
    <t>638614206</t>
  </si>
  <si>
    <t>Sonu Kumar</t>
  </si>
  <si>
    <t>8873500292</t>
  </si>
  <si>
    <t>586703201205</t>
  </si>
  <si>
    <t>8210789697</t>
  </si>
  <si>
    <t>Mangal Lohar</t>
  </si>
  <si>
    <t>779070912908</t>
  </si>
  <si>
    <t>9973050543</t>
  </si>
  <si>
    <t>Md Sammer</t>
  </si>
  <si>
    <t>481976304734</t>
  </si>
  <si>
    <t>9341357659</t>
  </si>
  <si>
    <t>Ashish Kumar Shukla</t>
  </si>
  <si>
    <t>908912125183</t>
  </si>
  <si>
    <t>7482895662</t>
  </si>
  <si>
    <t>Khursida Khanam</t>
  </si>
  <si>
    <t>422915637807</t>
  </si>
  <si>
    <t>9931110369</t>
  </si>
  <si>
    <t>Gracy John Dcruze</t>
  </si>
  <si>
    <t>880095589760</t>
  </si>
  <si>
    <t>6206420493</t>
  </si>
  <si>
    <t>Abdul Hasib</t>
  </si>
  <si>
    <t>407256875205</t>
  </si>
  <si>
    <t>8603717388</t>
  </si>
  <si>
    <t>Antu Kumar</t>
  </si>
  <si>
    <t>605967685548</t>
  </si>
  <si>
    <t>8207352736</t>
  </si>
  <si>
    <t>Jhuma Ghosh</t>
  </si>
  <si>
    <t>Krishna Das</t>
  </si>
  <si>
    <t>458488844906</t>
  </si>
  <si>
    <t>6206534553</t>
  </si>
  <si>
    <t>Sangita Kumari</t>
  </si>
  <si>
    <t>376725573144</t>
  </si>
  <si>
    <t>7782852522</t>
  </si>
  <si>
    <t>M  Priya Raju</t>
  </si>
  <si>
    <t>407727770897</t>
  </si>
  <si>
    <t>6204543818</t>
  </si>
  <si>
    <t>Suraj Gorai</t>
  </si>
  <si>
    <t>996462337647</t>
  </si>
  <si>
    <t>8235430823</t>
  </si>
  <si>
    <t>Nasima Khatoon</t>
  </si>
  <si>
    <t>Raju Mahato</t>
  </si>
  <si>
    <t>933574454603</t>
  </si>
  <si>
    <t>6207364363</t>
  </si>
  <si>
    <t>591274612077</t>
  </si>
  <si>
    <t>9262511827</t>
  </si>
  <si>
    <t>Anjali Sarkar</t>
  </si>
  <si>
    <t>446797324710</t>
  </si>
  <si>
    <t>8235520741</t>
  </si>
  <si>
    <t>Champa Devi</t>
  </si>
  <si>
    <t>908791070259</t>
  </si>
  <si>
    <t>8674893988</t>
  </si>
  <si>
    <t>Nidhi Kumari</t>
  </si>
  <si>
    <t>7295016231</t>
  </si>
  <si>
    <t>Sahil Lohar</t>
  </si>
  <si>
    <t>9304431703</t>
  </si>
  <si>
    <t>Ankita Shree</t>
  </si>
  <si>
    <t>9534138257</t>
  </si>
  <si>
    <t>Balbinder Prasad Verma</t>
  </si>
  <si>
    <t>8092635915</t>
  </si>
  <si>
    <t>Madhu Kumari</t>
  </si>
  <si>
    <t>815172832780</t>
  </si>
  <si>
    <t>9263801745</t>
  </si>
  <si>
    <t>Viswanth Gope</t>
  </si>
  <si>
    <t>585545224488</t>
  </si>
  <si>
    <t>8797750025</t>
  </si>
  <si>
    <t>Vinay Ranjan Sarswati</t>
  </si>
  <si>
    <t>Sharda Devi</t>
  </si>
  <si>
    <t>229334892079</t>
  </si>
  <si>
    <t>9102141974</t>
  </si>
  <si>
    <t>Priyanka Kumari Singh</t>
  </si>
  <si>
    <t>373027750568</t>
  </si>
  <si>
    <t>9835636683</t>
  </si>
  <si>
    <t>Bulbul Adhikari</t>
  </si>
  <si>
    <t>223888348940</t>
  </si>
  <si>
    <t>8240116092</t>
  </si>
  <si>
    <t>Bijeta Kumari</t>
  </si>
  <si>
    <t>757201019297</t>
  </si>
  <si>
    <t>9199785912</t>
  </si>
  <si>
    <t>Dhiren Das</t>
  </si>
  <si>
    <t>438208524613</t>
  </si>
  <si>
    <t>8294412011</t>
  </si>
  <si>
    <t>Hena Naaz</t>
  </si>
  <si>
    <t>542246629936</t>
  </si>
  <si>
    <t>Momani Das</t>
  </si>
  <si>
    <t>8340171127</t>
  </si>
  <si>
    <t>Ayan Ali</t>
  </si>
  <si>
    <t>759474219396</t>
  </si>
  <si>
    <t>8797023758</t>
  </si>
  <si>
    <t>Md Farhaan Ali</t>
  </si>
  <si>
    <t>249912727146</t>
  </si>
  <si>
    <t>Roshan Mukhi</t>
  </si>
  <si>
    <t>312804739677</t>
  </si>
  <si>
    <t xml:space="preserve"> Shashank Pathk</t>
  </si>
  <si>
    <t>4872</t>
  </si>
  <si>
    <t>4875</t>
  </si>
  <si>
    <t>4877</t>
  </si>
  <si>
    <t>Aayush Sharma</t>
  </si>
  <si>
    <t>Jabarani Gorai</t>
  </si>
  <si>
    <t>Devanti Devi</t>
  </si>
  <si>
    <t>306222004872</t>
  </si>
  <si>
    <t>7209587049</t>
  </si>
  <si>
    <t>983849879746</t>
  </si>
  <si>
    <t>9939292520</t>
  </si>
  <si>
    <t>950585519484</t>
  </si>
  <si>
    <t>8757852550</t>
  </si>
  <si>
    <t>4879</t>
  </si>
  <si>
    <t>4880</t>
  </si>
  <si>
    <t>Shreya Srivastava</t>
  </si>
  <si>
    <t>Riya Srivastva</t>
  </si>
  <si>
    <t>4883</t>
  </si>
  <si>
    <t>4884</t>
  </si>
  <si>
    <t>4885</t>
  </si>
  <si>
    <t>Anupama Pathak</t>
  </si>
  <si>
    <t>Monika Sahu</t>
  </si>
  <si>
    <t>Rohan Lohar</t>
  </si>
  <si>
    <t>9123435076</t>
  </si>
  <si>
    <t>6206925891</t>
  </si>
  <si>
    <t>8709346998</t>
  </si>
  <si>
    <t>207628456910</t>
  </si>
  <si>
    <t>590488350571</t>
  </si>
  <si>
    <t>P</t>
  </si>
  <si>
    <t>4886</t>
  </si>
  <si>
    <t>4887</t>
  </si>
  <si>
    <t>4888</t>
  </si>
  <si>
    <t>4890</t>
  </si>
  <si>
    <t>4891</t>
  </si>
  <si>
    <t>4892</t>
  </si>
  <si>
    <t>4893</t>
  </si>
  <si>
    <t>4894</t>
  </si>
  <si>
    <t>4897</t>
  </si>
  <si>
    <t>4904</t>
  </si>
  <si>
    <t>Rita Purty</t>
  </si>
  <si>
    <t>Biswajit nayak</t>
  </si>
  <si>
    <t>Mohammad Sahid</t>
  </si>
  <si>
    <t>Priyanka Ranjan</t>
  </si>
  <si>
    <t>Raju Lohar</t>
  </si>
  <si>
    <t>Gouri Pathak</t>
  </si>
  <si>
    <t>Keshab Kumar</t>
  </si>
  <si>
    <t>Tarjan Kumar Singh</t>
  </si>
  <si>
    <t>Barsha Gorai</t>
  </si>
  <si>
    <t>46890699755</t>
  </si>
  <si>
    <t>887118318</t>
  </si>
  <si>
    <t>7549044812</t>
  </si>
  <si>
    <t>460300141032</t>
  </si>
  <si>
    <t>800714607768</t>
  </si>
  <si>
    <t>8002402987</t>
  </si>
  <si>
    <t>926988450557</t>
  </si>
  <si>
    <t>618986810825</t>
  </si>
  <si>
    <t>399954955415</t>
  </si>
  <si>
    <t>952710201137</t>
  </si>
  <si>
    <t>694586712132</t>
  </si>
  <si>
    <t>994645590782</t>
  </si>
  <si>
    <t>9304221855</t>
  </si>
  <si>
    <t>6206060352</t>
  </si>
  <si>
    <t>8797275426</t>
  </si>
  <si>
    <t>6202061213</t>
  </si>
  <si>
    <t>9041471565</t>
  </si>
  <si>
    <t>7870811781</t>
  </si>
  <si>
    <t>9031268093</t>
  </si>
  <si>
    <t>85430748049</t>
  </si>
  <si>
    <t xml:space="preserve">Pratima Kundu </t>
  </si>
  <si>
    <t>Rnagar</t>
  </si>
  <si>
    <t>Transaction Register</t>
  </si>
  <si>
    <t>A/c No</t>
  </si>
  <si>
    <t>Mobile</t>
  </si>
  <si>
    <t>TRN</t>
  </si>
  <si>
    <t>Wdr</t>
  </si>
  <si>
    <t>Dep</t>
  </si>
  <si>
    <t>Bal</t>
  </si>
  <si>
    <t>Remakr</t>
  </si>
  <si>
    <t>81-4654</t>
  </si>
  <si>
    <t>81-4146</t>
  </si>
  <si>
    <t>05-0024</t>
  </si>
  <si>
    <t>murshida</t>
  </si>
  <si>
    <t>81-4804</t>
  </si>
  <si>
    <t>02-0050</t>
  </si>
  <si>
    <t>81-4906</t>
  </si>
  <si>
    <t>Salim Khan</t>
  </si>
  <si>
    <t>UBGB</t>
  </si>
  <si>
    <t>Simpi Kumari</t>
  </si>
  <si>
    <t>MBGB</t>
  </si>
  <si>
    <t>81-4907</t>
  </si>
  <si>
    <t>Irfan Ahmad</t>
  </si>
  <si>
    <t>81-3228</t>
  </si>
  <si>
    <t>indusind</t>
  </si>
  <si>
    <t>81-4908</t>
  </si>
  <si>
    <t>4906</t>
  </si>
  <si>
    <t>4907</t>
  </si>
  <si>
    <t>4908</t>
  </si>
  <si>
    <t>Amar Karua</t>
  </si>
  <si>
    <t>7453445689</t>
  </si>
  <si>
    <t>924121909</t>
  </si>
  <si>
    <t>bngr</t>
  </si>
  <si>
    <t>8092669891</t>
  </si>
  <si>
    <t>271254351451</t>
  </si>
  <si>
    <t>8092301685</t>
  </si>
  <si>
    <t>627376807331</t>
  </si>
  <si>
    <t>4910</t>
  </si>
  <si>
    <t>Shani Fatma</t>
  </si>
  <si>
    <t>413743463869</t>
  </si>
  <si>
    <t>7209627589</t>
  </si>
  <si>
    <t>81-4910</t>
  </si>
  <si>
    <t>Shami Fatma</t>
  </si>
  <si>
    <t>yamuna murmu</t>
  </si>
  <si>
    <t>canara bara</t>
  </si>
  <si>
    <t>BIO</t>
  </si>
  <si>
    <t>81-4911</t>
  </si>
  <si>
    <t>Khushi Singh</t>
  </si>
  <si>
    <t>4911</t>
  </si>
  <si>
    <t>colo</t>
  </si>
  <si>
    <t>303695082034</t>
  </si>
  <si>
    <t>8102699465</t>
  </si>
  <si>
    <t>81-4868</t>
  </si>
  <si>
    <t>Gorai</t>
  </si>
  <si>
    <t>bc reward</t>
  </si>
  <si>
    <t>Apr comm</t>
  </si>
  <si>
    <t>81-2100</t>
  </si>
  <si>
    <t>81-2528</t>
  </si>
  <si>
    <t>jyoti</t>
  </si>
  <si>
    <t>Pratima Kundu</t>
  </si>
  <si>
    <t>81-1692</t>
  </si>
  <si>
    <t>S Sita</t>
  </si>
  <si>
    <t>Nutan Devi</t>
  </si>
  <si>
    <t>Karan Gorai</t>
  </si>
  <si>
    <t>4912</t>
  </si>
  <si>
    <t>4916</t>
  </si>
  <si>
    <t>309690967176</t>
  </si>
  <si>
    <t>8603616953</t>
  </si>
  <si>
    <t>568312555387</t>
  </si>
  <si>
    <t>81-4917</t>
  </si>
  <si>
    <t>Mahak Singh</t>
  </si>
  <si>
    <t>81-4912</t>
  </si>
  <si>
    <t>4917</t>
  </si>
  <si>
    <t>736891812550</t>
  </si>
  <si>
    <t>7761972059</t>
  </si>
  <si>
    <t>Nishi Kant Pathak</t>
  </si>
  <si>
    <t>gramin ban</t>
  </si>
  <si>
    <t>81-4919</t>
  </si>
  <si>
    <t>Roshani Munda</t>
  </si>
  <si>
    <t>4919</t>
  </si>
  <si>
    <t>4920</t>
  </si>
  <si>
    <t>Mohammad Qwais</t>
  </si>
  <si>
    <t>491005018497</t>
  </si>
  <si>
    <t>81-4920</t>
  </si>
  <si>
    <t>Md Qwais</t>
  </si>
  <si>
    <t>cash Deposited</t>
  </si>
  <si>
    <t>446321382287</t>
  </si>
  <si>
    <t>9031903507</t>
  </si>
  <si>
    <t>8804222186</t>
  </si>
  <si>
    <t>CBI</t>
  </si>
  <si>
    <t>Sabana</t>
  </si>
  <si>
    <t>4922</t>
  </si>
  <si>
    <t>Mohit Raj</t>
  </si>
  <si>
    <t>204037358187</t>
  </si>
  <si>
    <t>9263955498</t>
  </si>
  <si>
    <t>4923</t>
  </si>
  <si>
    <t>Sweta Kumari</t>
  </si>
  <si>
    <t>915579672917</t>
  </si>
  <si>
    <t>9102588612</t>
  </si>
  <si>
    <t>81-4922</t>
  </si>
  <si>
    <t>81-4923</t>
  </si>
  <si>
    <t>weta Kumari</t>
  </si>
  <si>
    <t>81-4547</t>
  </si>
  <si>
    <t>Prasenjit sen</t>
  </si>
  <si>
    <t>81-4924</t>
  </si>
  <si>
    <t>Haleema khatoon</t>
  </si>
  <si>
    <t>IB</t>
  </si>
  <si>
    <t>Ankit kr singh</t>
  </si>
  <si>
    <t>81-3557</t>
  </si>
  <si>
    <t>Rampati Devi</t>
  </si>
  <si>
    <t>191181-3679</t>
  </si>
  <si>
    <t>latifa bibi</t>
  </si>
  <si>
    <t>81-4136</t>
  </si>
  <si>
    <t>pnb</t>
  </si>
  <si>
    <t>81-4926</t>
  </si>
  <si>
    <t>Snigdha Singh</t>
  </si>
  <si>
    <t>487396596275</t>
  </si>
  <si>
    <t>Champa Gorai</t>
  </si>
  <si>
    <t>Malyon</t>
  </si>
  <si>
    <t>81-4927</t>
  </si>
  <si>
    <t>Dinesh Kumar</t>
  </si>
  <si>
    <t>md salimuddin</t>
  </si>
  <si>
    <t>priti dev nath</t>
  </si>
  <si>
    <t>81-4902</t>
  </si>
  <si>
    <t>4928</t>
  </si>
  <si>
    <t>Fateh kanwal</t>
  </si>
  <si>
    <t>7488688323</t>
  </si>
  <si>
    <t>406864402418</t>
  </si>
  <si>
    <t>4927</t>
  </si>
  <si>
    <t>10-0-1982</t>
  </si>
  <si>
    <t>380038137995</t>
  </si>
  <si>
    <t>8235242321</t>
  </si>
  <si>
    <t>6202428580</t>
  </si>
  <si>
    <t>4929</t>
  </si>
  <si>
    <t>81-4928</t>
  </si>
  <si>
    <t>81-4929</t>
  </si>
  <si>
    <t>Suna Mahto</t>
  </si>
  <si>
    <t>81-4478</t>
  </si>
  <si>
    <t>ICICI</t>
  </si>
  <si>
    <t>Rajendra Kumar</t>
  </si>
  <si>
    <t>O/B</t>
  </si>
  <si>
    <t>81-2113</t>
  </si>
  <si>
    <t>sabita mukhi</t>
  </si>
  <si>
    <t>uboi</t>
  </si>
  <si>
    <t>achchhe lal pd singh</t>
  </si>
  <si>
    <t>uttam kumar</t>
  </si>
  <si>
    <t>pushpam singh</t>
  </si>
  <si>
    <t>Reboti Nayak</t>
  </si>
  <si>
    <t>sameer mahato</t>
  </si>
  <si>
    <t>81-4930</t>
  </si>
  <si>
    <t>4930</t>
  </si>
  <si>
    <t>7667080892</t>
  </si>
  <si>
    <t>00180100019838</t>
  </si>
  <si>
    <t>sangita Kumri</t>
  </si>
  <si>
    <t>81-4791</t>
  </si>
  <si>
    <t>kajal kachhap</t>
  </si>
  <si>
    <t>nutan devi</t>
  </si>
  <si>
    <t>jyoti verma</t>
  </si>
  <si>
    <t>81-4619</t>
  </si>
  <si>
    <t>p l mahato</t>
  </si>
  <si>
    <t>51-4931</t>
  </si>
  <si>
    <t>Pushpam singh</t>
  </si>
  <si>
    <t>withdraw</t>
  </si>
  <si>
    <t>01-1115</t>
  </si>
  <si>
    <t>Sanchuri munda</t>
  </si>
  <si>
    <t>shailendr sinha</t>
  </si>
  <si>
    <t>subodh</t>
  </si>
  <si>
    <t>lalbihari gupta</t>
  </si>
  <si>
    <t>81-4932</t>
  </si>
  <si>
    <t>Ashish Biswas</t>
  </si>
  <si>
    <t>81-3343</t>
  </si>
  <si>
    <t>Md Affan</t>
  </si>
  <si>
    <t>81-4933</t>
  </si>
  <si>
    <t>4931</t>
  </si>
  <si>
    <t>4932</t>
  </si>
  <si>
    <t>4933</t>
  </si>
  <si>
    <t>Mohammad Affan</t>
  </si>
  <si>
    <t>640816323244</t>
  </si>
  <si>
    <t>Ashishh Biswas</t>
  </si>
  <si>
    <t>7209938525</t>
  </si>
  <si>
    <t>942501152414</t>
  </si>
  <si>
    <t>Faizan Ansari</t>
  </si>
  <si>
    <t>494675798423</t>
  </si>
  <si>
    <t>7367807830</t>
  </si>
  <si>
    <t>Shankhjeet Sahu</t>
  </si>
  <si>
    <t>695659128791</t>
  </si>
  <si>
    <t>Suna Mahato</t>
  </si>
  <si>
    <t>648343102762</t>
  </si>
  <si>
    <t>81-4934</t>
  </si>
  <si>
    <t>Rashida Khatoon</t>
  </si>
  <si>
    <t>4934</t>
  </si>
  <si>
    <t>824225434232</t>
  </si>
  <si>
    <t>9264202291</t>
  </si>
  <si>
    <t>81-4936</t>
  </si>
  <si>
    <t>81-4935</t>
  </si>
  <si>
    <t>susma maity</t>
  </si>
  <si>
    <t>Susma Maity</t>
  </si>
  <si>
    <t>4935</t>
  </si>
  <si>
    <t>4936</t>
  </si>
  <si>
    <t>753021420415</t>
  </si>
  <si>
    <t>8092809721</t>
  </si>
  <si>
    <t>220191165533</t>
  </si>
  <si>
    <t>9031397941</t>
  </si>
  <si>
    <t>81-4937</t>
  </si>
  <si>
    <t>may22 commission</t>
  </si>
  <si>
    <t>gudiya devi</t>
  </si>
  <si>
    <t>panna lal mahato</t>
  </si>
  <si>
    <t>sangita</t>
  </si>
  <si>
    <t>laxmi di</t>
  </si>
  <si>
    <t>81-2189</t>
  </si>
  <si>
    <t>05-00024</t>
  </si>
  <si>
    <t>shubham</t>
  </si>
  <si>
    <t>uphar kr singh</t>
  </si>
  <si>
    <t>895107760101</t>
  </si>
  <si>
    <t>Abhinav Kumar</t>
  </si>
  <si>
    <t>81-01973</t>
  </si>
  <si>
    <t>sahil lohar</t>
  </si>
  <si>
    <t>shanti devi</t>
  </si>
  <si>
    <t>81-1818</t>
  </si>
  <si>
    <t>mallika</t>
  </si>
  <si>
    <t>usha singh</t>
  </si>
  <si>
    <t>konda nayak</t>
  </si>
  <si>
    <t>deo dulal mahato</t>
  </si>
  <si>
    <t>canara</t>
  </si>
  <si>
    <t>dev raj nayak</t>
  </si>
  <si>
    <t>manoj nayek</t>
  </si>
  <si>
    <t>icici</t>
  </si>
  <si>
    <t>81-4840</t>
  </si>
  <si>
    <t>RANJIT RAJAK</t>
  </si>
  <si>
    <t>rahul kr thakur</t>
  </si>
  <si>
    <t>Tunin Barua</t>
  </si>
  <si>
    <t>81-4941</t>
  </si>
  <si>
    <t>Ganesh Panda</t>
  </si>
  <si>
    <t>804515456350</t>
  </si>
  <si>
    <t>withdrawal</t>
  </si>
  <si>
    <t>Sabana Khatoon</t>
  </si>
  <si>
    <t>4941</t>
  </si>
  <si>
    <t>4939</t>
  </si>
  <si>
    <t>4942</t>
  </si>
  <si>
    <t>Sonal Kumari</t>
  </si>
  <si>
    <t>849488703213</t>
  </si>
  <si>
    <t>7209932800</t>
  </si>
  <si>
    <t>swapan kr mahato</t>
  </si>
  <si>
    <t>81-4942</t>
  </si>
  <si>
    <t>SONAL KUMARI</t>
  </si>
  <si>
    <t>81-4943</t>
  </si>
  <si>
    <t>Faizal Adnaan</t>
  </si>
  <si>
    <t>81-4944</t>
  </si>
  <si>
    <t>4943</t>
  </si>
  <si>
    <t>4944</t>
  </si>
  <si>
    <t>4945</t>
  </si>
  <si>
    <t>Rajan Thakur</t>
  </si>
  <si>
    <t>835738350746</t>
  </si>
  <si>
    <t>937042264353</t>
  </si>
  <si>
    <t>Faisal Adnaan</t>
  </si>
  <si>
    <t>969950062356</t>
  </si>
  <si>
    <t>81-0611</t>
  </si>
  <si>
    <t>Gudiya Devi</t>
  </si>
  <si>
    <t>81-0576</t>
  </si>
  <si>
    <t>Rajesh Sen</t>
  </si>
  <si>
    <t>81-4946</t>
  </si>
  <si>
    <t>Maltu Gorai</t>
  </si>
  <si>
    <t>476632821799</t>
  </si>
  <si>
    <t>BLZPG8819C</t>
  </si>
  <si>
    <t>4946</t>
  </si>
  <si>
    <t>81-4945</t>
  </si>
  <si>
    <t>Ranjan Thakur</t>
  </si>
  <si>
    <t>comm june</t>
  </si>
  <si>
    <t>sen</t>
  </si>
  <si>
    <t>81-4884</t>
  </si>
  <si>
    <t>Monita Sahu</t>
  </si>
  <si>
    <t>shobha</t>
  </si>
  <si>
    <t>81-3148</t>
  </si>
  <si>
    <t>soni Devi</t>
  </si>
  <si>
    <t>81-4605</t>
  </si>
  <si>
    <t>Nazrin begum</t>
  </si>
  <si>
    <t>sunaina devi</t>
  </si>
  <si>
    <t>01-2464</t>
  </si>
  <si>
    <t>savitadevi</t>
  </si>
  <si>
    <t>81-4832</t>
  </si>
  <si>
    <t>ubgb</t>
  </si>
  <si>
    <t>manoj kumra</t>
  </si>
  <si>
    <t>4832</t>
  </si>
  <si>
    <t>0935</t>
  </si>
  <si>
    <t>Purnima tanti</t>
  </si>
  <si>
    <t>51-0504</t>
  </si>
  <si>
    <t>reboti nayak</t>
  </si>
  <si>
    <t>81-4948</t>
  </si>
  <si>
    <t>indian bank</t>
  </si>
  <si>
    <t>swarup shit</t>
  </si>
  <si>
    <t>81-4846</t>
  </si>
  <si>
    <t>shristidhar gorai</t>
  </si>
  <si>
    <t>B/d</t>
  </si>
  <si>
    <t>81-4949</t>
  </si>
  <si>
    <t>Equbal Akhter</t>
  </si>
  <si>
    <t>4947</t>
  </si>
  <si>
    <t>4948</t>
  </si>
  <si>
    <t>4949</t>
  </si>
  <si>
    <t>563723472159</t>
  </si>
  <si>
    <t>Mantu Gorai</t>
  </si>
  <si>
    <t>SB221311282861</t>
  </si>
  <si>
    <t>Rintu Gorai</t>
  </si>
  <si>
    <t>4950</t>
  </si>
  <si>
    <t>Rani Mahato</t>
  </si>
  <si>
    <t>9204413029</t>
  </si>
  <si>
    <t>SB221312289880</t>
  </si>
  <si>
    <t>454663772300</t>
  </si>
  <si>
    <t>81-4950</t>
  </si>
  <si>
    <t>001801/18306</t>
  </si>
  <si>
    <t>Krishna tudu</t>
  </si>
  <si>
    <t>trilochan mahato</t>
  </si>
  <si>
    <t>shyamal sardar</t>
  </si>
  <si>
    <t>jyotsna soy</t>
  </si>
  <si>
    <t>jyoti for trnsfer</t>
  </si>
  <si>
    <t>putul poddar</t>
  </si>
  <si>
    <t>rajesh sen</t>
  </si>
  <si>
    <t>81-1893</t>
  </si>
  <si>
    <t>shaikh sirajuddin</t>
  </si>
  <si>
    <t>saira ansari</t>
  </si>
  <si>
    <t>4804</t>
  </si>
  <si>
    <t>4164</t>
  </si>
  <si>
    <t>arindum</t>
  </si>
  <si>
    <t>manohar karmakar</t>
  </si>
  <si>
    <t>kajal</t>
  </si>
  <si>
    <t>Sushant Sahy</t>
  </si>
  <si>
    <t>sushant mahato</t>
  </si>
  <si>
    <t>dinesh</t>
  </si>
  <si>
    <t>4619</t>
  </si>
  <si>
    <t>Mallika gorai</t>
  </si>
  <si>
    <t>81-1640</t>
  </si>
  <si>
    <t>pintu</t>
  </si>
  <si>
    <t>ravi mahanandi</t>
  </si>
  <si>
    <t>81-</t>
  </si>
  <si>
    <t>sangeeta devi</t>
  </si>
  <si>
    <t>Rajesh sen</t>
  </si>
  <si>
    <t>deepak lohar</t>
  </si>
  <si>
    <t>swapan krmahato</t>
  </si>
  <si>
    <t>81-4954</t>
  </si>
  <si>
    <t>Rajkumari Devi</t>
  </si>
  <si>
    <t>81-4955</t>
  </si>
  <si>
    <t>arIZWAN Ahmad Khan</t>
  </si>
  <si>
    <t xml:space="preserve">pintu </t>
  </si>
  <si>
    <t>Rakumari Devi</t>
  </si>
  <si>
    <t>311333991833</t>
  </si>
  <si>
    <t>SB222411745878</t>
  </si>
  <si>
    <t>SB222417766253</t>
  </si>
  <si>
    <t>Rizwan Ahmad Khan</t>
  </si>
  <si>
    <t>677060643018</t>
  </si>
  <si>
    <t>81-4956</t>
  </si>
  <si>
    <t>Sintu Sahu</t>
  </si>
  <si>
    <t>SB222812838109</t>
  </si>
  <si>
    <t>9142615251</t>
  </si>
  <si>
    <t>833111240704</t>
  </si>
  <si>
    <t>AZFPD5944E</t>
  </si>
  <si>
    <t>KOSPK5944D</t>
  </si>
  <si>
    <t>premi kalindi</t>
  </si>
  <si>
    <t>4954</t>
  </si>
  <si>
    <t>4955</t>
  </si>
  <si>
    <t>4956</t>
  </si>
  <si>
    <t>gungun</t>
  </si>
  <si>
    <t>sulochana mukhi</t>
  </si>
  <si>
    <t>harvinder pal singh</t>
  </si>
  <si>
    <t>cash</t>
  </si>
  <si>
    <t>sabita mahato</t>
  </si>
  <si>
    <t>sangita devi</t>
  </si>
  <si>
    <t>arjun gorai</t>
  </si>
  <si>
    <t>81-4224</t>
  </si>
  <si>
    <t>Ashutosh mahato</t>
  </si>
  <si>
    <t>misc</t>
  </si>
  <si>
    <t>81-4957</t>
  </si>
  <si>
    <t>Geeta</t>
  </si>
  <si>
    <t>Pratima</t>
  </si>
  <si>
    <t>4957</t>
  </si>
  <si>
    <t>81-4958</t>
  </si>
  <si>
    <t>81--4919</t>
  </si>
  <si>
    <t>HMPPM5369N</t>
  </si>
  <si>
    <t>madhuri devi</t>
  </si>
  <si>
    <t>81-4959</t>
  </si>
  <si>
    <t>Arvind Ram</t>
  </si>
  <si>
    <t>4958</t>
  </si>
  <si>
    <t>Saziya Anjum</t>
  </si>
  <si>
    <t>433929867930</t>
  </si>
  <si>
    <t>4959</t>
  </si>
  <si>
    <t>EFXPR1635Q</t>
  </si>
  <si>
    <t>sushanta sahu</t>
  </si>
  <si>
    <t>javdev</t>
  </si>
  <si>
    <t>Arjun Gorai</t>
  </si>
  <si>
    <t>81-4960</t>
  </si>
  <si>
    <t>Minta Devi</t>
  </si>
  <si>
    <t>4960</t>
  </si>
  <si>
    <t>9060062082</t>
  </si>
  <si>
    <t>434459921908</t>
  </si>
  <si>
    <t>257621370154</t>
  </si>
  <si>
    <t>7209975612</t>
  </si>
  <si>
    <t>4961</t>
  </si>
  <si>
    <t>Sunirmal Dey</t>
  </si>
  <si>
    <t>9835103093</t>
  </si>
  <si>
    <t>applied</t>
  </si>
  <si>
    <t>81-4962</t>
  </si>
  <si>
    <t>sumita Sahu</t>
  </si>
  <si>
    <t>4962</t>
  </si>
  <si>
    <t>4963</t>
  </si>
  <si>
    <t>Neelam Sharma</t>
  </si>
  <si>
    <t>7549341547</t>
  </si>
  <si>
    <t>283466033899</t>
  </si>
  <si>
    <t>81-4963</t>
  </si>
  <si>
    <t>Sumita Sahu</t>
  </si>
  <si>
    <t>806543941886</t>
  </si>
  <si>
    <t>8797204122</t>
  </si>
  <si>
    <t>CYLPS7462M</t>
  </si>
  <si>
    <t>4964</t>
  </si>
  <si>
    <t>Naima Khatoon</t>
  </si>
  <si>
    <t>8409000157</t>
  </si>
  <si>
    <t>442090486528</t>
  </si>
  <si>
    <t>003201-5977</t>
  </si>
  <si>
    <t>Abhay Choraria</t>
  </si>
  <si>
    <t>81-4964</t>
  </si>
  <si>
    <t>Dipa Lohar</t>
  </si>
  <si>
    <t>UGBANK</t>
  </si>
  <si>
    <t>YAHYA KHAN</t>
  </si>
  <si>
    <t>81-4965</t>
  </si>
  <si>
    <t>4965</t>
  </si>
  <si>
    <t>Yahya Khan</t>
  </si>
  <si>
    <t>pintu kumar</t>
  </si>
  <si>
    <t>nidhi kumari</t>
  </si>
  <si>
    <t>arjun Singh</t>
  </si>
  <si>
    <t>Ratni Sandil</t>
  </si>
  <si>
    <t>4966</t>
  </si>
  <si>
    <t>4967</t>
  </si>
  <si>
    <t>4968</t>
  </si>
  <si>
    <t>Shahin Parween</t>
  </si>
  <si>
    <t>9113408659</t>
  </si>
  <si>
    <t>Gulnar jaha</t>
  </si>
  <si>
    <t>NIKHAT PARWEEN</t>
  </si>
  <si>
    <t>6202814578</t>
  </si>
  <si>
    <t>APPLIED</t>
  </si>
  <si>
    <t>844506113471</t>
  </si>
  <si>
    <t>988994428213</t>
  </si>
  <si>
    <t>452198860220</t>
  </si>
  <si>
    <t>other bank</t>
  </si>
  <si>
    <t>SB224119496145</t>
  </si>
  <si>
    <t>SB224118494305</t>
  </si>
  <si>
    <t>SB224118495234</t>
  </si>
  <si>
    <t>BWOPK4205L</t>
  </si>
  <si>
    <t>919004852840</t>
  </si>
  <si>
    <t>9771187953</t>
  </si>
  <si>
    <t>81-4966</t>
  </si>
  <si>
    <t>81-4967</t>
  </si>
  <si>
    <t>81-4968</t>
  </si>
  <si>
    <t>pratima kundu</t>
  </si>
  <si>
    <t>81-4969</t>
  </si>
  <si>
    <t>Khurshida bano</t>
  </si>
  <si>
    <t>4969</t>
  </si>
  <si>
    <t>4970</t>
  </si>
  <si>
    <t>Gulafshan Parween</t>
  </si>
  <si>
    <t>7717726866</t>
  </si>
  <si>
    <t>424583941220</t>
  </si>
  <si>
    <t>342117123504</t>
  </si>
  <si>
    <t>9142892501</t>
  </si>
  <si>
    <t>BLLB8536M</t>
  </si>
  <si>
    <t>4971</t>
  </si>
  <si>
    <t>Kaneez Fatma</t>
  </si>
  <si>
    <t xml:space="preserve"> to change no</t>
  </si>
  <si>
    <t>7061677740</t>
  </si>
  <si>
    <t>981405460123</t>
  </si>
  <si>
    <t>81-4970</t>
  </si>
  <si>
    <t>uco</t>
  </si>
  <si>
    <t>sanjay kr bhagat</t>
  </si>
  <si>
    <t>81-4971</t>
  </si>
  <si>
    <t>Sayeeda Khatoon</t>
  </si>
  <si>
    <t>B/D</t>
  </si>
  <si>
    <t>81-4482</t>
  </si>
  <si>
    <t>Misc</t>
  </si>
  <si>
    <t>81-4447</t>
  </si>
  <si>
    <t>sundary gounder</t>
  </si>
  <si>
    <t>4975</t>
  </si>
  <si>
    <t>Mohammd kalim hawari</t>
  </si>
  <si>
    <t>9031212413</t>
  </si>
  <si>
    <t>AEEPH2905P</t>
  </si>
  <si>
    <t>81-4975</t>
  </si>
  <si>
    <t>Mohammad kalim Hawari</t>
  </si>
  <si>
    <t>Arjun Singh</t>
  </si>
  <si>
    <t>8877801664</t>
  </si>
  <si>
    <t>rabin Mahakud</t>
  </si>
  <si>
    <t>comaport</t>
  </si>
  <si>
    <t>bob-puru;iya</t>
  </si>
  <si>
    <t>81-4065</t>
  </si>
  <si>
    <t>khushi singh mura</t>
  </si>
  <si>
    <t>dinesh kumar</t>
  </si>
  <si>
    <t>81-2604</t>
  </si>
  <si>
    <t>ali men devi</t>
  </si>
  <si>
    <t>81-4477</t>
  </si>
  <si>
    <t>manohar krmakar</t>
  </si>
  <si>
    <t>dipa lohar</t>
  </si>
  <si>
    <t>81-822</t>
  </si>
  <si>
    <t>81-4748</t>
  </si>
  <si>
    <t>sms allert</t>
  </si>
  <si>
    <t>shiv shankar</t>
  </si>
  <si>
    <t>putul biswas</t>
  </si>
  <si>
    <t>soumen das</t>
  </si>
  <si>
    <t>saraswati ganguli</t>
  </si>
  <si>
    <t>4984</t>
  </si>
  <si>
    <t>Niyoti Mahato</t>
  </si>
  <si>
    <t>7667031876</t>
  </si>
  <si>
    <t>882322818130</t>
  </si>
  <si>
    <t>81-4984</t>
  </si>
  <si>
    <t>4924</t>
  </si>
  <si>
    <t>Haleema Khatoon</t>
  </si>
  <si>
    <t>7004459030</t>
  </si>
  <si>
    <t>203029469916</t>
  </si>
  <si>
    <t>4986</t>
  </si>
  <si>
    <t>Pankaj Sahu</t>
  </si>
  <si>
    <t>9508592788</t>
  </si>
  <si>
    <t>301599636551</t>
  </si>
  <si>
    <t>81-4986</t>
  </si>
  <si>
    <t>81-4985</t>
  </si>
  <si>
    <t>Sushant Ganguly</t>
  </si>
  <si>
    <t>Sony Rajhans</t>
  </si>
  <si>
    <t>Saroj Kumar Sahoo</t>
  </si>
  <si>
    <t>81-4987</t>
  </si>
  <si>
    <t>4987</t>
  </si>
  <si>
    <t>609893425975</t>
  </si>
  <si>
    <t>AYLPS5281q</t>
  </si>
  <si>
    <t>81-503</t>
  </si>
  <si>
    <t>sanjana shree</t>
  </si>
  <si>
    <t>commission</t>
  </si>
  <si>
    <t>August</t>
  </si>
  <si>
    <t>81-4988</t>
  </si>
  <si>
    <t>NEPAL CHANDRA NANDI</t>
  </si>
  <si>
    <t>7004596242</t>
  </si>
  <si>
    <t>4988</t>
  </si>
  <si>
    <t>4989</t>
  </si>
  <si>
    <t>Nepal chandra Nandi</t>
  </si>
  <si>
    <t>7209604881</t>
  </si>
  <si>
    <t>4985</t>
  </si>
  <si>
    <t>530813673074</t>
  </si>
  <si>
    <t>CQVPG6286R</t>
  </si>
  <si>
    <t>988128067078</t>
  </si>
  <si>
    <t>AFYPN9046E</t>
  </si>
  <si>
    <t>799037316589</t>
  </si>
  <si>
    <t>MEWPK1713G</t>
  </si>
  <si>
    <t>Abhay Chararia</t>
  </si>
  <si>
    <t>namita paramanik</t>
  </si>
  <si>
    <t>81-1141</t>
  </si>
  <si>
    <t>4991</t>
  </si>
  <si>
    <t>Kalyani Singh</t>
  </si>
  <si>
    <t>7903981765</t>
  </si>
  <si>
    <t>81-4991</t>
  </si>
  <si>
    <t>tasneem perween</t>
  </si>
  <si>
    <t>Shail Devi</t>
  </si>
  <si>
    <t>81-504</t>
  </si>
  <si>
    <t>chandrakala</t>
  </si>
  <si>
    <t>nishi kant pathak</t>
  </si>
  <si>
    <t>81-1038</t>
  </si>
  <si>
    <t>Manisha Sharma</t>
  </si>
  <si>
    <t>LIC-1344</t>
  </si>
  <si>
    <t>Elec. Bill-1300</t>
  </si>
  <si>
    <t>sip SBI-500+500</t>
  </si>
  <si>
    <t>sip SBI-1000</t>
  </si>
  <si>
    <t>SIP CANARA-1000*2</t>
  </si>
  <si>
    <t>CC LOAN INT-4500</t>
  </si>
  <si>
    <t>02-00050</t>
  </si>
  <si>
    <t xml:space="preserve">comport </t>
  </si>
  <si>
    <t>fino ptm bank</t>
  </si>
  <si>
    <t>namsi kalundia</t>
  </si>
  <si>
    <t>opening Bala</t>
  </si>
  <si>
    <t>4993</t>
  </si>
  <si>
    <t>Aditya Kumar</t>
  </si>
  <si>
    <t>7091541914</t>
  </si>
  <si>
    <t>to change no</t>
  </si>
  <si>
    <t>81-4993</t>
  </si>
  <si>
    <t>Manish Kumar Singh</t>
  </si>
  <si>
    <t>81-4994</t>
  </si>
  <si>
    <t>tumpa singh</t>
  </si>
  <si>
    <t>563301-5075</t>
  </si>
  <si>
    <t>Manisha Mandal</t>
  </si>
  <si>
    <t>81-2955</t>
  </si>
  <si>
    <t>sneha Bag</t>
  </si>
  <si>
    <t>Manoj Sigh</t>
  </si>
  <si>
    <t>jahangir Alam</t>
  </si>
  <si>
    <t>pushpanjali mahato</t>
  </si>
  <si>
    <t>Bhupati Mahato</t>
  </si>
  <si>
    <t>nishikant pathak</t>
  </si>
  <si>
    <t>prakash gope</t>
  </si>
  <si>
    <t>81-4995</t>
  </si>
  <si>
    <t>Rabindra kr pandey</t>
  </si>
  <si>
    <t>Lulu singh</t>
  </si>
  <si>
    <t>Latifa Bibi</t>
  </si>
  <si>
    <t>02-000050</t>
  </si>
  <si>
    <t>Biswas</t>
  </si>
  <si>
    <t>81-4188</t>
  </si>
  <si>
    <t>samir lohar</t>
  </si>
  <si>
    <t>001801-19838</t>
  </si>
  <si>
    <t>Kishori Munda</t>
  </si>
  <si>
    <t>4994</t>
  </si>
  <si>
    <t>4995</t>
  </si>
  <si>
    <t>Rabindra Kr Pandey</t>
  </si>
  <si>
    <t>Priti Dev Nath</t>
  </si>
  <si>
    <t>499590446297</t>
  </si>
  <si>
    <t xml:space="preserve">putul </t>
  </si>
  <si>
    <t>4996</t>
  </si>
  <si>
    <t>Asif Ansari</t>
  </si>
  <si>
    <t>243055721086</t>
  </si>
  <si>
    <t>7488540551</t>
  </si>
  <si>
    <t>DAJPA9757A</t>
  </si>
  <si>
    <t>81-4996</t>
  </si>
  <si>
    <t>swarn singh</t>
  </si>
  <si>
    <t>05-000024</t>
  </si>
  <si>
    <t>rakesh mahato</t>
  </si>
  <si>
    <t>Lal Bihari</t>
  </si>
  <si>
    <t>81-4998</t>
  </si>
  <si>
    <t>Dulari Devi</t>
  </si>
  <si>
    <t>4998</t>
  </si>
  <si>
    <t>268521809514</t>
  </si>
  <si>
    <t>8434597277</t>
  </si>
  <si>
    <t>BOI</t>
  </si>
  <si>
    <t>81-5002</t>
  </si>
  <si>
    <t>Priyanshu Kumar</t>
  </si>
  <si>
    <t>81-5004</t>
  </si>
  <si>
    <t>Bristy Nayak</t>
  </si>
  <si>
    <t>5002</t>
  </si>
  <si>
    <t>558124671002</t>
  </si>
  <si>
    <t>5004</t>
  </si>
  <si>
    <t>Bristy nayak</t>
  </si>
  <si>
    <t>920416491329</t>
  </si>
  <si>
    <t>comm Sep</t>
  </si>
  <si>
    <t>7319769981</t>
  </si>
  <si>
    <t>8603270162</t>
  </si>
  <si>
    <t>211506130764</t>
  </si>
  <si>
    <t>5006</t>
  </si>
  <si>
    <t>7070888516</t>
  </si>
  <si>
    <t>81-5006</t>
  </si>
  <si>
    <t>Mahi Singh</t>
  </si>
  <si>
    <t>5007</t>
  </si>
  <si>
    <t>5009</t>
  </si>
  <si>
    <t>Harshdeep Bhamra</t>
  </si>
  <si>
    <t>500560501003</t>
  </si>
  <si>
    <t>9204500767</t>
  </si>
  <si>
    <t>Saiba Perween</t>
  </si>
  <si>
    <t>81-5007</t>
  </si>
  <si>
    <t>81-5009</t>
  </si>
  <si>
    <t>Ajay mahato</t>
  </si>
  <si>
    <t>81-5010</t>
  </si>
  <si>
    <t>Sadaf Almas</t>
  </si>
  <si>
    <t>81-5011</t>
  </si>
  <si>
    <t>Sadia Perween</t>
  </si>
  <si>
    <t>Sunia Mahato</t>
  </si>
  <si>
    <t>devraj Nayak</t>
  </si>
  <si>
    <t>8603101558</t>
  </si>
  <si>
    <t>308481-2036</t>
  </si>
  <si>
    <t>Priya Biswas</t>
  </si>
  <si>
    <t>comprot</t>
  </si>
  <si>
    <t>Rahul Gope</t>
  </si>
  <si>
    <t>81-1005</t>
  </si>
  <si>
    <t>sumit jaiswal</t>
  </si>
  <si>
    <t>Rajesh Kumar</t>
  </si>
  <si>
    <t>Sagar tantubai</t>
  </si>
  <si>
    <t>kashinath pandey</t>
  </si>
  <si>
    <t>ritesh kumar</t>
  </si>
  <si>
    <t>5014</t>
  </si>
  <si>
    <t>Mayank Kumar Kundu</t>
  </si>
  <si>
    <t>421907227741</t>
  </si>
  <si>
    <t>8210903916</t>
  </si>
  <si>
    <t>81-5014</t>
  </si>
  <si>
    <t>Mayank Kr Kundu</t>
  </si>
  <si>
    <t>81-5015</t>
  </si>
  <si>
    <t>Shabana Shahin</t>
  </si>
  <si>
    <t>81-5016</t>
  </si>
  <si>
    <t>Rupa Gorai</t>
  </si>
  <si>
    <t>5015</t>
  </si>
  <si>
    <t>5019</t>
  </si>
  <si>
    <t>8809128433</t>
  </si>
  <si>
    <t>680287383929</t>
  </si>
  <si>
    <t>905145198124</t>
  </si>
  <si>
    <t>81</t>
  </si>
  <si>
    <t>5016</t>
  </si>
  <si>
    <t>5017</t>
  </si>
  <si>
    <t>Saqlain Raza Khan</t>
  </si>
  <si>
    <t>8709274484</t>
  </si>
  <si>
    <t>81-5017</t>
  </si>
  <si>
    <t>saklain Raza Khan</t>
  </si>
  <si>
    <t>Khushboo Gorai</t>
  </si>
  <si>
    <t>81-5018</t>
  </si>
  <si>
    <t>5018</t>
  </si>
  <si>
    <t>Ravi Gorai</t>
  </si>
  <si>
    <t>593695101625</t>
  </si>
  <si>
    <t>BUUPG0847E</t>
  </si>
  <si>
    <t>LBSPK7242Q</t>
  </si>
  <si>
    <t>550301322687</t>
  </si>
  <si>
    <t>360659462652</t>
  </si>
  <si>
    <t>81-5019</t>
  </si>
  <si>
    <t>81-5020</t>
  </si>
  <si>
    <t>Kaushik Upadhyay</t>
  </si>
  <si>
    <t>9234601803</t>
  </si>
  <si>
    <t>329192437308</t>
  </si>
  <si>
    <t>ALTPU7868L</t>
  </si>
  <si>
    <t>5020</t>
  </si>
  <si>
    <t>81-5022</t>
  </si>
  <si>
    <t>Sanjib Sahu</t>
  </si>
  <si>
    <t>5022</t>
  </si>
  <si>
    <t>6201827110</t>
  </si>
  <si>
    <t>441679004563</t>
  </si>
  <si>
    <t>shubhm</t>
  </si>
  <si>
    <t>b/f</t>
  </si>
  <si>
    <t>opening</t>
  </si>
  <si>
    <t>81-5026</t>
  </si>
  <si>
    <t>Shakuntala Mukhi</t>
  </si>
  <si>
    <t>Dipak kr pandey</t>
  </si>
  <si>
    <t>5026</t>
  </si>
  <si>
    <t>8969400181</t>
  </si>
  <si>
    <t>mdslimuddin</t>
  </si>
  <si>
    <t>81-5027</t>
  </si>
  <si>
    <t>Nidhi Mahato</t>
  </si>
  <si>
    <t>03-112022</t>
  </si>
  <si>
    <t>5027</t>
  </si>
  <si>
    <t>845212463889</t>
  </si>
  <si>
    <t>HTSPM7827P</t>
  </si>
  <si>
    <t>5010</t>
  </si>
  <si>
    <t>Baneshwar hembram</t>
  </si>
  <si>
    <t>pujati kumar</t>
  </si>
  <si>
    <t>01-1988</t>
  </si>
  <si>
    <t>Amresh kr sinha</t>
  </si>
  <si>
    <t>Sristidhargorai</t>
  </si>
  <si>
    <t xml:space="preserve">fino bank </t>
  </si>
  <si>
    <t>passbook</t>
  </si>
  <si>
    <t>06-11-2022</t>
  </si>
  <si>
    <t>20-10-2022</t>
  </si>
  <si>
    <t>29-10-2022</t>
  </si>
  <si>
    <t>81-5031</t>
  </si>
  <si>
    <t>cash withdrawal</t>
  </si>
  <si>
    <t>Putul poddar</t>
  </si>
  <si>
    <t>sumit kumar Rai</t>
  </si>
  <si>
    <t>81-3290</t>
  </si>
  <si>
    <t>4305</t>
  </si>
  <si>
    <t>sk mustaque</t>
  </si>
  <si>
    <t>81-0772</t>
  </si>
  <si>
    <t>81-1973</t>
  </si>
  <si>
    <t>haripada sardar</t>
  </si>
  <si>
    <t>husna khatun</t>
  </si>
  <si>
    <t>Kishori munda</t>
  </si>
  <si>
    <t>Ali Mel Devi</t>
  </si>
  <si>
    <t>Dulal karmakar</t>
  </si>
  <si>
    <t>mallika gorai</t>
  </si>
  <si>
    <t>5036</t>
  </si>
  <si>
    <t>5031</t>
  </si>
  <si>
    <t>81-5036</t>
  </si>
  <si>
    <t>Shani fatma</t>
  </si>
  <si>
    <t>Shagufa Siddiqui</t>
  </si>
  <si>
    <t>259086670426</t>
  </si>
  <si>
    <t>postal bank</t>
  </si>
  <si>
    <t>Reboti Nayek</t>
  </si>
  <si>
    <t>81-5038</t>
  </si>
  <si>
    <t>5038</t>
  </si>
  <si>
    <t>7970761048</t>
  </si>
  <si>
    <t>meenu kumari</t>
  </si>
  <si>
    <t>Ratni Devi</t>
  </si>
  <si>
    <t>lal mandal</t>
  </si>
  <si>
    <t>rampati devi(5+5+5)others</t>
  </si>
  <si>
    <t>cash deposite</t>
  </si>
  <si>
    <t>cash deposited</t>
  </si>
  <si>
    <t>M priya raju</t>
  </si>
  <si>
    <t>11-11-2022</t>
  </si>
  <si>
    <t>sangita kumari</t>
  </si>
  <si>
    <t>Sumit jaiswal</t>
  </si>
  <si>
    <t>Sangita devi</t>
  </si>
  <si>
    <t>ajit nayek</t>
  </si>
  <si>
    <t>13-11-2022</t>
  </si>
  <si>
    <t>Subhash shit</t>
  </si>
  <si>
    <t>ramesh badra</t>
  </si>
  <si>
    <t>5040</t>
  </si>
  <si>
    <t>9798499122</t>
  </si>
  <si>
    <t>Suraj Kumar</t>
  </si>
  <si>
    <t>778977740058</t>
  </si>
  <si>
    <t>Hleema Khatoon</t>
  </si>
  <si>
    <t>SHIVAM KUMAR JHA</t>
  </si>
  <si>
    <t>14-11-2022</t>
  </si>
  <si>
    <t>7033889064</t>
  </si>
  <si>
    <t>Mamta sardar</t>
  </si>
  <si>
    <t>01-4947</t>
  </si>
  <si>
    <t>Ajit Kumar</t>
  </si>
  <si>
    <t>590516832755</t>
  </si>
  <si>
    <t>BGHPK7257H</t>
  </si>
  <si>
    <t>Anita Kumari</t>
  </si>
  <si>
    <t>81-5041</t>
  </si>
  <si>
    <t>Ania Kumari</t>
  </si>
  <si>
    <t>808039979726</t>
  </si>
  <si>
    <t>7782930563</t>
  </si>
  <si>
    <t>Samir Biswas</t>
  </si>
  <si>
    <t>308481-1767</t>
  </si>
  <si>
    <t>Riya Biswas</t>
  </si>
  <si>
    <t>15-11-2022</t>
  </si>
  <si>
    <t>MFRPK4521A</t>
  </si>
  <si>
    <t>257571104341</t>
  </si>
  <si>
    <t>5043</t>
  </si>
  <si>
    <t>Sudip Sahu</t>
  </si>
  <si>
    <t>9234794424</t>
  </si>
  <si>
    <t>81-5043</t>
  </si>
  <si>
    <t>sudip kr sahu</t>
  </si>
  <si>
    <t>comm Oct</t>
  </si>
  <si>
    <t>4868</t>
  </si>
  <si>
    <t>9801307407</t>
  </si>
  <si>
    <t>5044</t>
  </si>
  <si>
    <t>Rupa Singh</t>
  </si>
  <si>
    <t>360728142129</t>
  </si>
  <si>
    <t>GJGPS3817E</t>
  </si>
  <si>
    <t>ranjit singh</t>
  </si>
  <si>
    <t>bob outside</t>
  </si>
  <si>
    <t>subh matrimony</t>
  </si>
  <si>
    <t>81-1892</t>
  </si>
  <si>
    <t>husan bibi</t>
  </si>
  <si>
    <t>17-11-2022</t>
  </si>
  <si>
    <t>5041</t>
  </si>
  <si>
    <t>81-5040</t>
  </si>
  <si>
    <t>SURAJ KUMAR</t>
  </si>
  <si>
    <t>PNB</t>
  </si>
  <si>
    <t>BABULAL DUSADH</t>
  </si>
  <si>
    <t>ippb</t>
  </si>
  <si>
    <t>satyanaraya singh</t>
  </si>
  <si>
    <t>81-5048</t>
  </si>
  <si>
    <t>Deshbandhu Mahato</t>
  </si>
  <si>
    <t>abhay kumar singh</t>
  </si>
  <si>
    <t>5011</t>
  </si>
  <si>
    <t>8235245733</t>
  </si>
  <si>
    <t>81-1309</t>
  </si>
  <si>
    <t>5048</t>
  </si>
  <si>
    <t>757684424782</t>
  </si>
  <si>
    <t>8102975099</t>
  </si>
  <si>
    <t>81-4690</t>
  </si>
  <si>
    <t>minu devi</t>
  </si>
  <si>
    <t>5049</t>
  </si>
  <si>
    <t>Amit Kumar Singh</t>
  </si>
  <si>
    <t>206332744565</t>
  </si>
  <si>
    <t>QIEPS4418G</t>
  </si>
  <si>
    <t xml:space="preserve">cash withdrawl </t>
  </si>
  <si>
    <t>81-5050</t>
  </si>
  <si>
    <t>Fatick ch ghosh</t>
  </si>
  <si>
    <t>Barnali Mahato</t>
  </si>
  <si>
    <t>81-3177</t>
  </si>
  <si>
    <t>5050</t>
  </si>
  <si>
    <t>Fatik Chandra Ghosh</t>
  </si>
  <si>
    <t>25-11-2022</t>
  </si>
  <si>
    <t>81-5051</t>
  </si>
  <si>
    <t>Diya Kumari</t>
  </si>
  <si>
    <t>5051</t>
  </si>
  <si>
    <t>968256089803</t>
  </si>
  <si>
    <t>MGVPK6943D</t>
  </si>
  <si>
    <t>Sulochana mukhi</t>
  </si>
  <si>
    <t>rocky munda</t>
  </si>
  <si>
    <t>02000050</t>
  </si>
  <si>
    <t>81-5052</t>
  </si>
  <si>
    <t>Ratan Mahato</t>
  </si>
  <si>
    <t>6203651118</t>
  </si>
  <si>
    <t>5052</t>
  </si>
  <si>
    <t>450717949527</t>
  </si>
  <si>
    <t>ETWPM2799M</t>
  </si>
  <si>
    <t>C/D</t>
  </si>
  <si>
    <t>opening bal</t>
  </si>
  <si>
    <t>shubhamraj</t>
  </si>
  <si>
    <t>PushpamSingh</t>
  </si>
  <si>
    <t>sagar tantubai</t>
  </si>
  <si>
    <t>81-5055</t>
  </si>
  <si>
    <t>Shankar Gope</t>
  </si>
  <si>
    <t>01-12-2022</t>
  </si>
  <si>
    <t>salim khan</t>
  </si>
  <si>
    <t>Abhishek Singh</t>
  </si>
  <si>
    <t>shiv shankar pradhn</t>
  </si>
  <si>
    <t>81-5057</t>
  </si>
  <si>
    <t>5055</t>
  </si>
  <si>
    <t>5057</t>
  </si>
  <si>
    <t>81-772</t>
  </si>
  <si>
    <t>to pay 2000</t>
  </si>
  <si>
    <t>743271964754</t>
  </si>
  <si>
    <t>7667932691</t>
  </si>
  <si>
    <t>05-12-2022</t>
  </si>
  <si>
    <t>02-0000050</t>
  </si>
  <si>
    <t>81-5058</t>
  </si>
  <si>
    <t>Sima Devi</t>
  </si>
  <si>
    <t>5058</t>
  </si>
  <si>
    <t>8409719077</t>
  </si>
  <si>
    <t>228294599814</t>
  </si>
  <si>
    <t>CMOPD1807N</t>
  </si>
  <si>
    <t>Ruqaida Khatoon</t>
  </si>
  <si>
    <t>9122328347</t>
  </si>
  <si>
    <t>5059</t>
  </si>
  <si>
    <t>Mohan Das</t>
  </si>
  <si>
    <t>postal</t>
  </si>
  <si>
    <t>302328499767</t>
  </si>
  <si>
    <t>857678952891</t>
  </si>
  <si>
    <t>06-12-2022</t>
  </si>
  <si>
    <t>lulu singh</t>
  </si>
  <si>
    <t>81-5060</t>
  </si>
  <si>
    <t>5060</t>
  </si>
  <si>
    <t>452549331416</t>
  </si>
  <si>
    <t>8797591604</t>
  </si>
  <si>
    <t>saqlin raza khan</t>
  </si>
  <si>
    <t>kishorei munda</t>
  </si>
  <si>
    <t>81-5061</t>
  </si>
  <si>
    <t>Astik Kumar Mahato</t>
  </si>
  <si>
    <t>5061</t>
  </si>
  <si>
    <t>81-1144</t>
  </si>
  <si>
    <t>dipa munada</t>
  </si>
  <si>
    <t>81-4434</t>
  </si>
  <si>
    <t>mukesh murmu</t>
  </si>
  <si>
    <t>81-4358</t>
  </si>
  <si>
    <t>sanjiv kr prasad</t>
  </si>
  <si>
    <t>Deepak Gorai</t>
  </si>
  <si>
    <t>chandrakala devi</t>
  </si>
  <si>
    <t>Mallika</t>
  </si>
  <si>
    <t>813343</t>
  </si>
  <si>
    <t>Abla Manna</t>
  </si>
  <si>
    <t>sanjay singh</t>
  </si>
  <si>
    <t>idbi</t>
  </si>
  <si>
    <t>12-12-2022</t>
  </si>
  <si>
    <t>9155701653</t>
  </si>
  <si>
    <t>POSTAL</t>
  </si>
  <si>
    <t>PRIYANKA KUMARI</t>
  </si>
  <si>
    <t>19118100009720</t>
  </si>
  <si>
    <t>imran hossain</t>
  </si>
  <si>
    <t>5062</t>
  </si>
  <si>
    <t>5063</t>
  </si>
  <si>
    <t>13-12-2022</t>
  </si>
  <si>
    <t>Ravinder Kr Pandey</t>
  </si>
  <si>
    <t>484517413642</t>
  </si>
  <si>
    <t>9113196405</t>
  </si>
  <si>
    <t>Shakti Dhar Tripathi</t>
  </si>
  <si>
    <t>656708482629</t>
  </si>
  <si>
    <t>81-5063</t>
  </si>
  <si>
    <t>Shakti dhar tripathi</t>
  </si>
  <si>
    <t>Ravindra Kumar Pandey</t>
  </si>
  <si>
    <t>Rita Tantubai</t>
  </si>
  <si>
    <t>5064</t>
  </si>
  <si>
    <t>1000 thro 1115</t>
  </si>
  <si>
    <t>200 thro 1115</t>
  </si>
  <si>
    <t>81-5062</t>
  </si>
  <si>
    <t>81-5064</t>
  </si>
  <si>
    <t>SANGEETA DEVI</t>
  </si>
  <si>
    <t>rames badra</t>
  </si>
  <si>
    <t>comm nov</t>
  </si>
  <si>
    <t>suspence a/c</t>
  </si>
  <si>
    <t>81-5068</t>
  </si>
  <si>
    <t>Soma Mahato</t>
  </si>
  <si>
    <t>5068</t>
  </si>
  <si>
    <t>7079584864</t>
  </si>
  <si>
    <t>Barnali Mahato-1000</t>
  </si>
  <si>
    <t>5069</t>
  </si>
  <si>
    <t>7294162956</t>
  </si>
  <si>
    <t>9939286004</t>
  </si>
  <si>
    <t>17-12-2022</t>
  </si>
  <si>
    <t>Sulochana Mukhi</t>
  </si>
  <si>
    <t>Lal Mandal</t>
  </si>
  <si>
    <t>Chandan Saha</t>
  </si>
  <si>
    <t>81-5070</t>
  </si>
  <si>
    <t>Chanda Saha</t>
  </si>
  <si>
    <t>5070</t>
  </si>
  <si>
    <t>7004035105</t>
  </si>
  <si>
    <t>Astik Kumar Gorai</t>
  </si>
  <si>
    <t>365075961907</t>
  </si>
  <si>
    <t>7541961131</t>
  </si>
  <si>
    <t>Astik kumar Gorai</t>
  </si>
  <si>
    <t>Saqlain raza khan</t>
  </si>
  <si>
    <t>chd</t>
  </si>
  <si>
    <t>552622469378</t>
  </si>
  <si>
    <t>7859052916</t>
  </si>
  <si>
    <t>satish kumar</t>
  </si>
  <si>
    <t>22-12-2022</t>
  </si>
  <si>
    <t>bahadur hansdah</t>
  </si>
  <si>
    <t>915715940085</t>
  </si>
  <si>
    <t>81-5072</t>
  </si>
  <si>
    <t>Nikhil Kumar Singh</t>
  </si>
  <si>
    <t>5072</t>
  </si>
  <si>
    <t>612967582402</t>
  </si>
  <si>
    <t>7488123684</t>
  </si>
  <si>
    <t>5073</t>
  </si>
  <si>
    <t>Rakesh Munda</t>
  </si>
  <si>
    <t>988705700931</t>
  </si>
  <si>
    <t>9234013057</t>
  </si>
  <si>
    <t>DIKPM8426H</t>
  </si>
  <si>
    <t>5074</t>
  </si>
  <si>
    <t>9279050337</t>
  </si>
  <si>
    <t>Awdhesh Prasad</t>
  </si>
  <si>
    <t>81-5073</t>
  </si>
  <si>
    <t>81-5074</t>
  </si>
  <si>
    <t>Awadhesh Prasad</t>
  </si>
  <si>
    <t>Rekha Munda</t>
  </si>
  <si>
    <t>30-12-2022</t>
  </si>
  <si>
    <t>03-01-2023</t>
  </si>
  <si>
    <t>Mahabir yogi</t>
  </si>
  <si>
    <t>barnali Mahato</t>
  </si>
  <si>
    <t>300810717010</t>
  </si>
  <si>
    <t>300810723613</t>
  </si>
  <si>
    <t>basant kr soren</t>
  </si>
  <si>
    <t>300916118263</t>
  </si>
  <si>
    <t>Mallika Gorai</t>
  </si>
  <si>
    <t>300918786426</t>
  </si>
  <si>
    <t>9905235195</t>
  </si>
  <si>
    <t>424807826297</t>
  </si>
  <si>
    <t>10-01-2023</t>
  </si>
  <si>
    <t>301018847707</t>
  </si>
  <si>
    <t>Jyoti Nagar</t>
  </si>
  <si>
    <t>01-1599</t>
  </si>
  <si>
    <t>Shamresh kr sinha</t>
  </si>
  <si>
    <t>301019168184</t>
  </si>
  <si>
    <t>5075</t>
  </si>
  <si>
    <t>12-01-2023</t>
  </si>
  <si>
    <t>Rohit Lohar</t>
  </si>
  <si>
    <t>7781807945</t>
  </si>
  <si>
    <t>Saqlin</t>
  </si>
  <si>
    <t>balram mahato</t>
  </si>
  <si>
    <t>8298309421</t>
  </si>
  <si>
    <t>bivas dalai</t>
  </si>
  <si>
    <t>8340469991</t>
  </si>
  <si>
    <t>Lalbihari gupta</t>
  </si>
  <si>
    <t>7050351472</t>
  </si>
  <si>
    <t>9931306128</t>
  </si>
  <si>
    <t>81-4553</t>
  </si>
  <si>
    <t>Nifhi Mahato</t>
  </si>
  <si>
    <t>shiv jee singh</t>
  </si>
  <si>
    <t>249967381212</t>
  </si>
  <si>
    <t>9234972720</t>
  </si>
  <si>
    <t>Ravinder pandey</t>
  </si>
  <si>
    <t>BOB</t>
  </si>
  <si>
    <t>81-5078</t>
  </si>
  <si>
    <t>Toha Devi</t>
  </si>
  <si>
    <t>5078</t>
  </si>
  <si>
    <t>Tobha Devi</t>
  </si>
  <si>
    <t>571766217320</t>
  </si>
  <si>
    <t>7295958848</t>
  </si>
  <si>
    <t>madhya b g b</t>
  </si>
  <si>
    <t>hira devi</t>
  </si>
  <si>
    <t>9631965619</t>
  </si>
  <si>
    <t>81-5079</t>
  </si>
  <si>
    <t>charle sundi</t>
  </si>
  <si>
    <t>ali mel devi</t>
  </si>
  <si>
    <t>5079</t>
  </si>
  <si>
    <t>Charalesh Sundi</t>
  </si>
  <si>
    <t>694813533456</t>
  </si>
  <si>
    <t>9546832402</t>
  </si>
  <si>
    <t>ckala</t>
  </si>
  <si>
    <t>hdfc</t>
  </si>
  <si>
    <t>rajesh kumar</t>
  </si>
  <si>
    <t>6299477042</t>
  </si>
  <si>
    <t>chand</t>
  </si>
  <si>
    <t>81-5080</t>
  </si>
  <si>
    <t>Reoti Devi</t>
  </si>
  <si>
    <t>surendra choudhary</t>
  </si>
  <si>
    <t>julekha khatoon</t>
  </si>
  <si>
    <t>9263499819</t>
  </si>
  <si>
    <t>5080</t>
  </si>
  <si>
    <t>5081</t>
  </si>
  <si>
    <t>Pratima Mahanty</t>
  </si>
  <si>
    <t>873853394103</t>
  </si>
  <si>
    <t>Mary devassy</t>
  </si>
  <si>
    <t>411360009771</t>
  </si>
  <si>
    <t>9234923587</t>
  </si>
  <si>
    <t>27-01-2023</t>
  </si>
  <si>
    <t>gbarya</t>
  </si>
  <si>
    <t>rohit dayal</t>
  </si>
  <si>
    <t>6201769377</t>
  </si>
  <si>
    <t>81-5081</t>
  </si>
  <si>
    <t>81-4155</t>
  </si>
  <si>
    <t>deokrishna choudhary</t>
  </si>
  <si>
    <t>41-4902</t>
  </si>
  <si>
    <t>31-01-2023</t>
  </si>
  <si>
    <t>dactor modi</t>
  </si>
  <si>
    <t>7667542408</t>
  </si>
  <si>
    <t>81-5083</t>
  </si>
  <si>
    <t>Alomoni Lohra</t>
  </si>
  <si>
    <t>5083</t>
  </si>
  <si>
    <t>579281614669</t>
  </si>
  <si>
    <t>8797115545</t>
  </si>
  <si>
    <t>81-665</t>
  </si>
  <si>
    <t>01-02-2023</t>
  </si>
  <si>
    <t>7209824561</t>
  </si>
  <si>
    <t>manohar Ram</t>
  </si>
  <si>
    <t>7488785127</t>
  </si>
  <si>
    <t>303309441858</t>
  </si>
  <si>
    <t>mbgb</t>
  </si>
  <si>
    <t>manorama devi</t>
  </si>
  <si>
    <t>7631792660</t>
  </si>
  <si>
    <t>md fahim</t>
  </si>
  <si>
    <t>8210143514</t>
  </si>
  <si>
    <t>02-02-2023</t>
  </si>
  <si>
    <t>81-5084</t>
  </si>
  <si>
    <t>Laltu Gorai</t>
  </si>
  <si>
    <t>haleem Khatoon</t>
  </si>
  <si>
    <t>5084</t>
  </si>
  <si>
    <t>Lalutu Gorai</t>
  </si>
  <si>
    <t>6206781309</t>
  </si>
  <si>
    <t>723352977231</t>
  </si>
  <si>
    <t>03-02-2023</t>
  </si>
  <si>
    <t>81-5086</t>
  </si>
  <si>
    <t>Sayra Khatoon</t>
  </si>
  <si>
    <t>5086</t>
  </si>
  <si>
    <t>813923603586</t>
  </si>
  <si>
    <t>81-5087</t>
  </si>
  <si>
    <t>81-0556</t>
  </si>
  <si>
    <t>Savita Devi</t>
  </si>
  <si>
    <t>Shabnam Perween</t>
  </si>
  <si>
    <t>5087</t>
  </si>
  <si>
    <t>995355691831</t>
  </si>
  <si>
    <t>9835319979</t>
  </si>
  <si>
    <t>rajesh kr upadhyay</t>
  </si>
  <si>
    <t>8542958758</t>
  </si>
  <si>
    <t>radha devi</t>
  </si>
  <si>
    <t>post</t>
  </si>
  <si>
    <t>06-02-2023</t>
  </si>
  <si>
    <t>bhuktu murmu</t>
  </si>
  <si>
    <t>6202998462</t>
  </si>
  <si>
    <t>01-1278</t>
  </si>
  <si>
    <t>khushboo singh</t>
  </si>
  <si>
    <t>Rakesh munda</t>
  </si>
  <si>
    <t>304010248643</t>
  </si>
  <si>
    <t>304010261124</t>
  </si>
  <si>
    <t>4265</t>
  </si>
  <si>
    <t>Madhu shudan gorai</t>
  </si>
  <si>
    <t>81-000504</t>
  </si>
  <si>
    <t>deepak gorai</t>
  </si>
  <si>
    <t>sinha</t>
  </si>
  <si>
    <t>tapan kapardar</t>
  </si>
  <si>
    <t>mallika help</t>
  </si>
  <si>
    <t>amresh kr sinha</t>
  </si>
  <si>
    <t>01-0001599</t>
  </si>
  <si>
    <t>14-02-2023</t>
  </si>
  <si>
    <t>haleema khatoon</t>
  </si>
  <si>
    <t>Lalbihari Gupta</t>
  </si>
  <si>
    <t>commision</t>
  </si>
  <si>
    <t>Priti Dev nath</t>
  </si>
  <si>
    <t>Haripada sardar</t>
  </si>
  <si>
    <t>81-5093</t>
  </si>
  <si>
    <t>Pritam kumar</t>
  </si>
  <si>
    <t>5093</t>
  </si>
  <si>
    <t>Pritam Kumar</t>
  </si>
  <si>
    <t>409986387854</t>
  </si>
  <si>
    <t>outside</t>
  </si>
  <si>
    <t>parmeshwar bishai</t>
  </si>
  <si>
    <t>MALLIKA LOAN</t>
  </si>
  <si>
    <t>305409275556</t>
  </si>
  <si>
    <t>305409284512</t>
  </si>
  <si>
    <t>sumita karmakar</t>
  </si>
  <si>
    <t>6203603798</t>
  </si>
  <si>
    <t>chandray sardar</t>
  </si>
  <si>
    <t>vinit jaiswal</t>
  </si>
  <si>
    <t>81-4152</t>
  </si>
  <si>
    <t>23-02-2023</t>
  </si>
  <si>
    <t>7781041399</t>
  </si>
  <si>
    <t>Tusta Ghosh</t>
  </si>
  <si>
    <t>81-5095</t>
  </si>
  <si>
    <t>01-5158</t>
  </si>
  <si>
    <t>Sintu Bangal</t>
  </si>
  <si>
    <t>81-5097</t>
  </si>
  <si>
    <t>Sunil Kumar Sahu</t>
  </si>
  <si>
    <t>5095</t>
  </si>
  <si>
    <t>Tusha Ghosh</t>
  </si>
  <si>
    <t>5097</t>
  </si>
  <si>
    <t>Sunil Kumar Sahoo</t>
  </si>
  <si>
    <t>8092696013</t>
  </si>
  <si>
    <t>746127110170</t>
  </si>
  <si>
    <t>290529709946</t>
  </si>
  <si>
    <t>386814094072</t>
  </si>
  <si>
    <t>1878</t>
  </si>
  <si>
    <t>Vinod Kumar</t>
  </si>
  <si>
    <t>4434</t>
  </si>
  <si>
    <t>4477</t>
  </si>
  <si>
    <t>amresh kumar sinha</t>
  </si>
  <si>
    <t>ajay mahato</t>
  </si>
  <si>
    <t>6203594382</t>
  </si>
  <si>
    <t>Rebina Bibi</t>
  </si>
  <si>
    <t>2245</t>
  </si>
  <si>
    <t>Talat shahin arju</t>
  </si>
  <si>
    <t>28-02-2023</t>
  </si>
  <si>
    <t>8927804622</t>
  </si>
  <si>
    <t>Trilochan Mahato</t>
  </si>
  <si>
    <t>81-5098</t>
  </si>
  <si>
    <t>Amat Kumar Sony</t>
  </si>
  <si>
    <t>81-5099</t>
  </si>
  <si>
    <t>Baban Singh</t>
  </si>
  <si>
    <t>01-03-2023</t>
  </si>
  <si>
    <t>8102996303</t>
  </si>
  <si>
    <t>01-</t>
  </si>
  <si>
    <t>Lovly Kumar</t>
  </si>
  <si>
    <t>Bishnu Pada Ghosh</t>
  </si>
  <si>
    <t>02-03-2023</t>
  </si>
  <si>
    <t>5099</t>
  </si>
  <si>
    <t>Baban Prasad</t>
  </si>
  <si>
    <t>5100</t>
  </si>
  <si>
    <t>335745612011</t>
  </si>
  <si>
    <t>7859056775</t>
  </si>
  <si>
    <t>7209390957</t>
  </si>
  <si>
    <t>81-5100</t>
  </si>
  <si>
    <t>julekha Khatoon</t>
  </si>
  <si>
    <t>9708867692</t>
  </si>
  <si>
    <t>210538804237</t>
  </si>
  <si>
    <t>salu pandey</t>
  </si>
  <si>
    <t>03-03-2023</t>
  </si>
  <si>
    <t>5101</t>
  </si>
  <si>
    <t>Devi Rani Sahu</t>
  </si>
  <si>
    <t>599198616705</t>
  </si>
  <si>
    <t>9304616024</t>
  </si>
  <si>
    <t>81-5101</t>
  </si>
  <si>
    <t>tasnim perween</t>
  </si>
  <si>
    <t>rajeet kamal</t>
  </si>
  <si>
    <t>9312824018</t>
  </si>
  <si>
    <t>81-611</t>
  </si>
  <si>
    <t>7481026838</t>
  </si>
  <si>
    <t>81-4836</t>
  </si>
  <si>
    <t>monoranjan mal</t>
  </si>
  <si>
    <t>Satish Kumar</t>
  </si>
  <si>
    <t>01-4655</t>
  </si>
  <si>
    <t>hrishikesh pandey</t>
  </si>
  <si>
    <t>5103</t>
  </si>
  <si>
    <t>Amal Ghosh</t>
  </si>
  <si>
    <t>867174672366</t>
  </si>
  <si>
    <t>9386090607</t>
  </si>
  <si>
    <t>Amal ghosh</t>
  </si>
  <si>
    <t>Jaydev Das</t>
  </si>
  <si>
    <t>9798478996</t>
  </si>
  <si>
    <t>Jyoti verma</t>
  </si>
  <si>
    <t>salary</t>
  </si>
  <si>
    <t>santanu chaudhry</t>
  </si>
  <si>
    <t>9204090849</t>
  </si>
  <si>
    <t>rohit pandey</t>
  </si>
  <si>
    <t>7645946388</t>
  </si>
  <si>
    <t>10-03-2023</t>
  </si>
  <si>
    <t>81-9826</t>
  </si>
  <si>
    <t>Gita munda</t>
  </si>
  <si>
    <t>8825352624</t>
  </si>
  <si>
    <t>11-03-2023</t>
  </si>
  <si>
    <t>Ajit Giri</t>
  </si>
  <si>
    <t>7764069483</t>
  </si>
  <si>
    <t>madhuri giri</t>
  </si>
  <si>
    <t>81-5103</t>
  </si>
  <si>
    <t>suraj karmakar</t>
  </si>
  <si>
    <t>manoj singh</t>
  </si>
  <si>
    <t>7992267817</t>
  </si>
  <si>
    <t>kusum devi</t>
  </si>
  <si>
    <t>191101-19859</t>
  </si>
  <si>
    <t>hira bibi</t>
  </si>
  <si>
    <t>sanchari naag</t>
  </si>
  <si>
    <t>9060260367</t>
  </si>
  <si>
    <t>1806</t>
  </si>
  <si>
    <t>rinku biswas</t>
  </si>
  <si>
    <t>axis</t>
  </si>
  <si>
    <t>laxmi devi</t>
  </si>
  <si>
    <t>shyamapad das</t>
  </si>
  <si>
    <t>01-5231</t>
  </si>
  <si>
    <t>Asit Kumar Barua</t>
  </si>
  <si>
    <t>7371898227</t>
  </si>
  <si>
    <t>5105</t>
  </si>
  <si>
    <t>9142338443</t>
  </si>
  <si>
    <t>81-5105</t>
  </si>
  <si>
    <t>Jaswant singh bedi</t>
  </si>
  <si>
    <t>durbal gorai</t>
  </si>
  <si>
    <t>6294364810</t>
  </si>
  <si>
    <t>Jaswant Singh Bedi</t>
  </si>
  <si>
    <t>16-03-2023</t>
  </si>
  <si>
    <t>970682463660</t>
  </si>
  <si>
    <t>Shahnaz begum</t>
  </si>
  <si>
    <t>laxmi munda</t>
  </si>
  <si>
    <t>manohar ram</t>
  </si>
  <si>
    <t>81-4265</t>
  </si>
  <si>
    <t>Madhusudan Gorai</t>
  </si>
  <si>
    <t>01-5251</t>
  </si>
  <si>
    <t>RIYA KUMARI</t>
  </si>
  <si>
    <t>20-03-2023</t>
  </si>
  <si>
    <t>919939488198</t>
  </si>
  <si>
    <t>ratni devi</t>
  </si>
  <si>
    <t>srikanto karmakar</t>
  </si>
  <si>
    <t>9883627603</t>
  </si>
  <si>
    <t>81-7719</t>
  </si>
  <si>
    <t>Halima Bibi</t>
  </si>
  <si>
    <t>commission of feb</t>
  </si>
  <si>
    <t>5106</t>
  </si>
  <si>
    <t>Payel Sahis</t>
  </si>
  <si>
    <t>sardar</t>
  </si>
  <si>
    <t>CANARA</t>
  </si>
  <si>
    <t>5107</t>
  </si>
  <si>
    <t>9546786074</t>
  </si>
  <si>
    <t>429680540386</t>
  </si>
  <si>
    <t>Prakash chandra Nayak</t>
  </si>
  <si>
    <t>81-5107</t>
  </si>
  <si>
    <t>308213943216</t>
  </si>
  <si>
    <t>mbvg</t>
  </si>
  <si>
    <t>81-5108</t>
  </si>
  <si>
    <t>jamuna Thakur</t>
  </si>
  <si>
    <t>5108</t>
  </si>
  <si>
    <t>Jamuna Thakur</t>
  </si>
  <si>
    <t>836760728933</t>
  </si>
  <si>
    <t>1101</t>
  </si>
  <si>
    <t>usha devi</t>
  </si>
  <si>
    <t>81-2695</t>
  </si>
  <si>
    <t>given</t>
  </si>
  <si>
    <t>suraj kumar</t>
  </si>
  <si>
    <t>5110</t>
  </si>
  <si>
    <t>Juni Sardar</t>
  </si>
  <si>
    <t>27-03-2023</t>
  </si>
  <si>
    <t>445729339700</t>
  </si>
  <si>
    <t>28-03-2023</t>
  </si>
  <si>
    <t>2070</t>
  </si>
  <si>
    <t>5633-5075</t>
  </si>
  <si>
    <t>archana devi</t>
  </si>
  <si>
    <t>81-4278</t>
  </si>
  <si>
    <t>29-03-2023</t>
  </si>
  <si>
    <t>SK Murtaza</t>
  </si>
  <si>
    <t>6206952920</t>
  </si>
  <si>
    <t>savita devi</t>
  </si>
  <si>
    <t>8083301590</t>
  </si>
  <si>
    <t>haleem khatoon</t>
  </si>
  <si>
    <t>81-4296</t>
  </si>
  <si>
    <t>ANKIT KUMAR VERMA</t>
  </si>
  <si>
    <t>81-4867</t>
  </si>
  <si>
    <t>01-713</t>
  </si>
  <si>
    <t>Nikhil kr singh</t>
  </si>
  <si>
    <t>81-1254</t>
  </si>
  <si>
    <t>Shobha sardar</t>
  </si>
  <si>
    <t>samresh kr sinha</t>
  </si>
  <si>
    <t>01-3975</t>
  </si>
  <si>
    <t>Vikas kr ram</t>
  </si>
  <si>
    <t>4867</t>
  </si>
  <si>
    <t>2309</t>
  </si>
  <si>
    <t>4902</t>
  </si>
  <si>
    <t>043-04-2023</t>
  </si>
  <si>
    <t>Tuna pandey</t>
  </si>
  <si>
    <t>Ranju devi</t>
  </si>
  <si>
    <t>sulochana devi</t>
  </si>
  <si>
    <t>81-5112</t>
  </si>
  <si>
    <t>81-1160</t>
  </si>
  <si>
    <t>Amar Mahato</t>
  </si>
  <si>
    <t>GUDIYA DEVI</t>
  </si>
  <si>
    <t>5112</t>
  </si>
  <si>
    <t>compot</t>
  </si>
  <si>
    <t>kuldip prajapati</t>
  </si>
  <si>
    <t>Abhishek gupta</t>
  </si>
  <si>
    <t>841658497073</t>
  </si>
  <si>
    <t>81-5049</t>
  </si>
  <si>
    <t>05-00004</t>
  </si>
  <si>
    <t>Sonu Tantubai</t>
  </si>
  <si>
    <t>7488909882</t>
  </si>
  <si>
    <t>679464413965</t>
  </si>
  <si>
    <t>81-5115</t>
  </si>
  <si>
    <t>soumen mukherjee</t>
  </si>
  <si>
    <t>Mallika salary</t>
  </si>
  <si>
    <t>jyoti salary</t>
  </si>
  <si>
    <t>haleema begum</t>
  </si>
  <si>
    <t>shail devi</t>
  </si>
  <si>
    <t>07-04-2023</t>
  </si>
  <si>
    <t>Subal pramanik</t>
  </si>
  <si>
    <t>UBOI</t>
  </si>
  <si>
    <t>Shobha singh</t>
  </si>
  <si>
    <t>gayatri Mahato</t>
  </si>
  <si>
    <t>5116</t>
  </si>
  <si>
    <t>Dharmshila Devi</t>
  </si>
  <si>
    <t>81-5116</t>
  </si>
  <si>
    <t>9835560444</t>
  </si>
  <si>
    <t>11-04-2023</t>
  </si>
  <si>
    <t>12-04-2023</t>
  </si>
  <si>
    <t>7643834767</t>
  </si>
  <si>
    <t>81-5117</t>
  </si>
  <si>
    <t>Haleema comport</t>
  </si>
  <si>
    <t>5117</t>
  </si>
  <si>
    <t>5119</t>
  </si>
  <si>
    <t>9934335505</t>
  </si>
  <si>
    <t>Md Kaif</t>
  </si>
  <si>
    <t>347018154371</t>
  </si>
  <si>
    <t>362651083473</t>
  </si>
  <si>
    <t>8409108948</t>
  </si>
  <si>
    <t>01-5295</t>
  </si>
  <si>
    <t>Anita Sharma</t>
  </si>
  <si>
    <t>304095938170</t>
  </si>
  <si>
    <t>81-5119</t>
  </si>
  <si>
    <t>13-04-2023</t>
  </si>
  <si>
    <t>8825179689</t>
  </si>
  <si>
    <t>choudhary ji</t>
  </si>
  <si>
    <t>17-04-2023</t>
  </si>
  <si>
    <t>karyanand kumar</t>
  </si>
  <si>
    <t>amit kumr singh</t>
  </si>
  <si>
    <t>commisson</t>
  </si>
  <si>
    <t>503</t>
  </si>
  <si>
    <t>5042</t>
  </si>
  <si>
    <t>Bhola kr pandey</t>
  </si>
  <si>
    <t>anil singh</t>
  </si>
  <si>
    <t>5122</t>
  </si>
  <si>
    <t>25-04-2023</t>
  </si>
  <si>
    <t>Zahid Nazim</t>
  </si>
  <si>
    <t>367202767026</t>
  </si>
  <si>
    <t>8677087932</t>
  </si>
  <si>
    <t>sarla devi</t>
  </si>
  <si>
    <t>rajesh lohar</t>
  </si>
  <si>
    <t>anita kumari</t>
  </si>
  <si>
    <t>moji ho</t>
  </si>
  <si>
    <t>sudha kumari</t>
  </si>
  <si>
    <t>latika mahato</t>
  </si>
  <si>
    <t>surender kaur</t>
  </si>
  <si>
    <t>madam</t>
  </si>
  <si>
    <t>pushpan singh</t>
  </si>
  <si>
    <t>sabrin khatoon</t>
  </si>
  <si>
    <t>sbin</t>
  </si>
  <si>
    <t>504</t>
  </si>
  <si>
    <t>81-4772</t>
  </si>
  <si>
    <t>Samima bano</t>
  </si>
  <si>
    <t>81-1034</t>
  </si>
  <si>
    <t>Mansi Sharma</t>
  </si>
  <si>
    <t>Samina Bano</t>
  </si>
  <si>
    <t>81-5123</t>
  </si>
  <si>
    <t>DIYA KUMARI</t>
  </si>
  <si>
    <t>5123</t>
  </si>
  <si>
    <t>7366994042</t>
  </si>
  <si>
    <t>798831830802</t>
  </si>
  <si>
    <t>5124</t>
  </si>
  <si>
    <t>Anwesh Mahato</t>
  </si>
  <si>
    <t>81-5124</t>
  </si>
  <si>
    <t>Kartik Kumar</t>
  </si>
  <si>
    <t>nepal mahato</t>
  </si>
  <si>
    <t>4482</t>
  </si>
  <si>
    <t>2028</t>
  </si>
  <si>
    <t>Shobha karmakar</t>
  </si>
  <si>
    <t>2189</t>
  </si>
  <si>
    <t>4553</t>
  </si>
  <si>
    <t>08-05-2023</t>
  </si>
  <si>
    <t>6201005825</t>
  </si>
  <si>
    <t>507134377394</t>
  </si>
  <si>
    <t>G asu Rao</t>
  </si>
  <si>
    <t>5092</t>
  </si>
  <si>
    <t>Prem Gope</t>
  </si>
  <si>
    <t>81-5127</t>
  </si>
  <si>
    <t>Kahkasha perween</t>
  </si>
  <si>
    <t>5128</t>
  </si>
  <si>
    <t>5127</t>
  </si>
  <si>
    <t>Kahkasha Perween</t>
  </si>
  <si>
    <t>Karan Hembram</t>
  </si>
  <si>
    <t>Karan hembram</t>
  </si>
  <si>
    <t>Ajit kumar</t>
  </si>
  <si>
    <t>10-05-2023</t>
  </si>
  <si>
    <t>946398056853</t>
  </si>
  <si>
    <t>7631028315</t>
  </si>
  <si>
    <t>Suraj Gupta</t>
  </si>
  <si>
    <t>81-5131</t>
  </si>
  <si>
    <t>81-5130</t>
  </si>
  <si>
    <t>Kanai Ghosh</t>
  </si>
  <si>
    <t>5130</t>
  </si>
  <si>
    <t>5131</t>
  </si>
  <si>
    <t>Sarswati Devi</t>
  </si>
  <si>
    <t>322940097820</t>
  </si>
  <si>
    <t>951212488666</t>
  </si>
  <si>
    <t>81-2028</t>
  </si>
  <si>
    <t>7091036356</t>
  </si>
  <si>
    <t>5132</t>
  </si>
  <si>
    <t>Pushpa Singh</t>
  </si>
  <si>
    <t>720128602735</t>
  </si>
  <si>
    <t>9693826916</t>
  </si>
  <si>
    <t>81-5132</t>
  </si>
  <si>
    <t>Puspa Singh</t>
  </si>
  <si>
    <t>9570184403</t>
  </si>
  <si>
    <t>Zeenat perween</t>
  </si>
  <si>
    <t>shakuntala garain</t>
  </si>
  <si>
    <t>Anita sharma</t>
  </si>
  <si>
    <t>12-05-2023</t>
  </si>
  <si>
    <t>5133</t>
  </si>
  <si>
    <t>Sristy Nayak</t>
  </si>
  <si>
    <t>991377964769</t>
  </si>
  <si>
    <t>azad kumr kharwar</t>
  </si>
  <si>
    <t>5134</t>
  </si>
  <si>
    <t>5135</t>
  </si>
  <si>
    <t>9142462188</t>
  </si>
  <si>
    <t>Mangli Gorai</t>
  </si>
  <si>
    <t>632929588058</t>
  </si>
  <si>
    <t>Chaitan singh munda</t>
  </si>
  <si>
    <t>335835040810</t>
  </si>
  <si>
    <t>16-05-2023</t>
  </si>
  <si>
    <t>Chaitan Singh Munda</t>
  </si>
  <si>
    <t>mamoni ray</t>
  </si>
  <si>
    <t>Debarati Aich</t>
  </si>
  <si>
    <t>Nityanand Aich</t>
  </si>
  <si>
    <t>9234611470</t>
  </si>
  <si>
    <t>9939356154</t>
  </si>
  <si>
    <t>Shambhu kumar</t>
  </si>
  <si>
    <t>md shamsher uddin</t>
  </si>
  <si>
    <t>chinta devi</t>
  </si>
  <si>
    <t>PUSHPAM SINGH</t>
  </si>
  <si>
    <t>ajit giri</t>
  </si>
  <si>
    <t>18-05-2023</t>
  </si>
  <si>
    <t>Ankit kumar verma</t>
  </si>
  <si>
    <t>21-05-2023</t>
  </si>
  <si>
    <t>81-5138</t>
  </si>
  <si>
    <t>Santosh Gupta</t>
  </si>
  <si>
    <t>5138</t>
  </si>
  <si>
    <t>8434295989</t>
  </si>
  <si>
    <t>718001768851</t>
  </si>
  <si>
    <t>cmprt</t>
  </si>
  <si>
    <t>abhijit sarkar</t>
  </si>
  <si>
    <t>jai nath singh</t>
  </si>
  <si>
    <t>Diksha kumari</t>
  </si>
  <si>
    <t>8210679920</t>
  </si>
  <si>
    <t>5141</t>
  </si>
  <si>
    <t>Shabnam Zahera</t>
  </si>
  <si>
    <t>656490880240</t>
  </si>
  <si>
    <t>Sarita Kumari</t>
  </si>
  <si>
    <t>kalim khan</t>
  </si>
  <si>
    <t>Lal mandal</t>
  </si>
  <si>
    <t>jhumparani saw</t>
  </si>
  <si>
    <t>Pramod Kumar</t>
  </si>
  <si>
    <t>81-5142</t>
  </si>
  <si>
    <t>81-5141</t>
  </si>
  <si>
    <t>5142</t>
  </si>
  <si>
    <t>191101-15752</t>
  </si>
  <si>
    <t>Jasmina khatun</t>
  </si>
  <si>
    <t>household</t>
  </si>
  <si>
    <t>81-5143</t>
  </si>
  <si>
    <t>5143</t>
  </si>
  <si>
    <t>929529935920</t>
  </si>
  <si>
    <t>8063848547</t>
  </si>
  <si>
    <t>Golmuri4791</t>
  </si>
  <si>
    <t>Jeet singh</t>
  </si>
  <si>
    <t>rahul</t>
  </si>
  <si>
    <t>Opening bal</t>
  </si>
  <si>
    <t>cash balance</t>
  </si>
  <si>
    <t>01-06-2023</t>
  </si>
  <si>
    <t>arti gorai</t>
  </si>
  <si>
    <t>md aslam</t>
  </si>
  <si>
    <t>mukesh mahato</t>
  </si>
  <si>
    <t>Pintu kumra</t>
  </si>
  <si>
    <t>airtel</t>
  </si>
  <si>
    <t>haleema</t>
  </si>
  <si>
    <t>anjana devi</t>
  </si>
  <si>
    <t>07-06-2023</t>
  </si>
  <si>
    <t>8789457312</t>
  </si>
  <si>
    <t>933480848164</t>
  </si>
  <si>
    <t>chanday sardar</t>
  </si>
  <si>
    <t>191181-4367</t>
  </si>
  <si>
    <t>Samim Shaikhk</t>
  </si>
  <si>
    <t xml:space="preserve">Mallika </t>
  </si>
  <si>
    <t>shabnam khatoon</t>
  </si>
  <si>
    <t>bob-458</t>
  </si>
  <si>
    <t>prem gope</t>
  </si>
  <si>
    <t>O-5092</t>
  </si>
  <si>
    <t>priti</t>
  </si>
  <si>
    <t>halima bibi</t>
  </si>
  <si>
    <t>Ali Raza</t>
  </si>
  <si>
    <t>Md muslim</t>
  </si>
  <si>
    <t>Rebina bibi</t>
  </si>
  <si>
    <t>Bob-O</t>
  </si>
  <si>
    <t>sunita kisku</t>
  </si>
  <si>
    <t>bob-O</t>
  </si>
  <si>
    <t>putul</t>
  </si>
  <si>
    <t>5145</t>
  </si>
  <si>
    <t>13-06-2023</t>
  </si>
  <si>
    <t>shobha karmakar</t>
  </si>
  <si>
    <t>Hasrat Rehgmani</t>
  </si>
  <si>
    <t>8235431040</t>
  </si>
  <si>
    <t>5147</t>
  </si>
  <si>
    <t>Hasrat Rehmani</t>
  </si>
  <si>
    <t>5148</t>
  </si>
  <si>
    <t>9204576799</t>
  </si>
  <si>
    <t>Tulsi Manna</t>
  </si>
  <si>
    <t>572190163387</t>
  </si>
  <si>
    <t>SB01-5420</t>
  </si>
  <si>
    <t>15-06-2023</t>
  </si>
  <si>
    <t>Asha Mahato</t>
  </si>
  <si>
    <t>5149</t>
  </si>
  <si>
    <t>9094709267</t>
  </si>
  <si>
    <t>878436337060</t>
  </si>
  <si>
    <t>prity dev nath</t>
  </si>
  <si>
    <t>Methra Pramanik</t>
  </si>
  <si>
    <t>sangita Kumari</t>
  </si>
  <si>
    <t>chanchala mahato</t>
  </si>
  <si>
    <t>Youbin hembram</t>
  </si>
  <si>
    <t>01-5420</t>
  </si>
  <si>
    <t>17-06-2023</t>
  </si>
  <si>
    <t>mahrun nisha</t>
  </si>
  <si>
    <t>18-06-2023</t>
  </si>
  <si>
    <t>02----50</t>
  </si>
  <si>
    <t>Pramila Devi</t>
  </si>
  <si>
    <t>81-1135</t>
  </si>
  <si>
    <t>shabana Perween</t>
  </si>
  <si>
    <t>mohan tanti</t>
  </si>
  <si>
    <t>5150</t>
  </si>
  <si>
    <t>Naznin Begum</t>
  </si>
  <si>
    <t>Nazmin Begum</t>
  </si>
  <si>
    <t>9603488227</t>
  </si>
  <si>
    <t>bangia</t>
  </si>
  <si>
    <t>patibala sahis</t>
  </si>
  <si>
    <t>7903651543</t>
  </si>
  <si>
    <t>20-06-2023</t>
  </si>
  <si>
    <t>ggiven</t>
  </si>
  <si>
    <t>22-06-2023</t>
  </si>
  <si>
    <t>chandraya sardar</t>
  </si>
  <si>
    <t>5151</t>
  </si>
  <si>
    <t>5152</t>
  </si>
  <si>
    <t>Priya Gope</t>
  </si>
  <si>
    <t>884663458527</t>
  </si>
  <si>
    <t>7870281986</t>
  </si>
  <si>
    <t>Ratna Pramanik</t>
  </si>
  <si>
    <t>358552120185</t>
  </si>
  <si>
    <t>Jhumpa rani sao</t>
  </si>
  <si>
    <t>Preeti deb nath</t>
  </si>
  <si>
    <t>yashoda kumari</t>
  </si>
  <si>
    <t>23-06-2023</t>
  </si>
  <si>
    <t>6200454254</t>
  </si>
  <si>
    <t>0556-O</t>
  </si>
  <si>
    <t>Sitaram Mahato</t>
  </si>
  <si>
    <t>Mansi devi</t>
  </si>
  <si>
    <t>karmu gope</t>
  </si>
  <si>
    <t>COMPROT</t>
  </si>
  <si>
    <t>81-1101</t>
  </si>
  <si>
    <t>81-3001</t>
  </si>
  <si>
    <t>Diksha Kumari</t>
  </si>
  <si>
    <t>5153</t>
  </si>
  <si>
    <t>Jahanara Khatoon</t>
  </si>
  <si>
    <t>Ranju Devi</t>
  </si>
  <si>
    <t>5154</t>
  </si>
  <si>
    <t>Shashi Kumari</t>
  </si>
  <si>
    <t>rahul gope</t>
  </si>
  <si>
    <t>openig</t>
  </si>
  <si>
    <t>Ratnni Devi</t>
  </si>
  <si>
    <t>Tarannum Jabin</t>
  </si>
  <si>
    <t>5156</t>
  </si>
  <si>
    <t>7295023263</t>
  </si>
  <si>
    <t>jagdish mahato</t>
  </si>
  <si>
    <t>5157</t>
  </si>
  <si>
    <t>8969849864</t>
  </si>
  <si>
    <t>Suraj Das</t>
  </si>
  <si>
    <t>81-5157</t>
  </si>
  <si>
    <t>Futi Mahato</t>
  </si>
  <si>
    <t>Raju kumar</t>
  </si>
  <si>
    <t>ankit kumar verma</t>
  </si>
  <si>
    <t>81-5158</t>
  </si>
  <si>
    <t>Sumi Hembram</t>
  </si>
  <si>
    <t>5158</t>
  </si>
  <si>
    <t>291949147464</t>
  </si>
  <si>
    <t>Mahrun Nisha</t>
  </si>
  <si>
    <t>debnath</t>
  </si>
  <si>
    <t>Diya kumari</t>
  </si>
  <si>
    <t>01-1702</t>
  </si>
  <si>
    <t>Dashrath Mahato</t>
  </si>
  <si>
    <t>Manisha Devi</t>
  </si>
  <si>
    <t>01-00005472</t>
  </si>
  <si>
    <t>6201709372</t>
  </si>
  <si>
    <t>4-277</t>
  </si>
  <si>
    <t>860051475272</t>
  </si>
  <si>
    <t>01-5472</t>
  </si>
  <si>
    <t>14-07-2023</t>
  </si>
  <si>
    <t>comm-june</t>
  </si>
  <si>
    <t>01-005472</t>
  </si>
  <si>
    <t>81-5159</t>
  </si>
  <si>
    <t>Mamoni Gorai</t>
  </si>
  <si>
    <t>5159</t>
  </si>
  <si>
    <t>8092881627</t>
  </si>
  <si>
    <t>5160</t>
  </si>
  <si>
    <t>Shreya Maity</t>
  </si>
  <si>
    <t>6204111859</t>
  </si>
  <si>
    <t>493550089201</t>
  </si>
  <si>
    <t>81-5160</t>
  </si>
  <si>
    <t>315806507616</t>
  </si>
  <si>
    <t>17-07-2023</t>
  </si>
  <si>
    <t>18-07-2023</t>
  </si>
  <si>
    <t>5161</t>
  </si>
  <si>
    <t>Ridhi Kumari</t>
  </si>
  <si>
    <t>444252822775</t>
  </si>
  <si>
    <t>9304938337</t>
  </si>
  <si>
    <t>81-5161</t>
  </si>
  <si>
    <t>Sanjit Kumar Pandey</t>
  </si>
  <si>
    <t>01-5486</t>
  </si>
  <si>
    <t>864537801586</t>
  </si>
  <si>
    <t>856541347521</t>
  </si>
  <si>
    <t>5162</t>
  </si>
  <si>
    <t>9798273622</t>
  </si>
  <si>
    <t>01-05486</t>
  </si>
  <si>
    <t>81-5162</t>
  </si>
  <si>
    <t>81-5263</t>
  </si>
  <si>
    <t>Munni Begum</t>
  </si>
  <si>
    <t>5163</t>
  </si>
  <si>
    <t>8235303860</t>
  </si>
  <si>
    <t>844102206706</t>
  </si>
  <si>
    <t>alok sandil</t>
  </si>
  <si>
    <t>Alok Sandil-by1115</t>
  </si>
  <si>
    <t>Munni Begum by 1115</t>
  </si>
  <si>
    <t>panchhama gaundar</t>
  </si>
  <si>
    <t>20-07-2023</t>
  </si>
  <si>
    <t>578068608215</t>
  </si>
  <si>
    <t>5164</t>
  </si>
  <si>
    <t>Rubina Khatoon</t>
  </si>
  <si>
    <t>7488423659</t>
  </si>
  <si>
    <t>862399622657</t>
  </si>
  <si>
    <t>81-5164</t>
  </si>
  <si>
    <t>Rubina Khaton</t>
  </si>
  <si>
    <t>bob-out</t>
  </si>
  <si>
    <t>Suhail Khan</t>
  </si>
  <si>
    <t>tufail khan</t>
  </si>
  <si>
    <t>81-0557</t>
  </si>
  <si>
    <t>Pooja Devi</t>
  </si>
  <si>
    <t>81-4878</t>
  </si>
  <si>
    <t>22-07-2023</t>
  </si>
  <si>
    <t>sAnju devi</t>
  </si>
  <si>
    <t>81-5166</t>
  </si>
  <si>
    <t>5166</t>
  </si>
  <si>
    <t>Akash Kumar</t>
  </si>
  <si>
    <t>872543394113</t>
  </si>
  <si>
    <t>9507191078</t>
  </si>
  <si>
    <t>Akash kumar</t>
  </si>
  <si>
    <t>comort</t>
  </si>
  <si>
    <t>pandit wife</t>
  </si>
  <si>
    <t>abla manna</t>
  </si>
  <si>
    <t>Raj Kisore Gope</t>
  </si>
  <si>
    <t>Soumen Mukherjee</t>
  </si>
  <si>
    <t>ARUN KUMAR GIRI</t>
  </si>
  <si>
    <t>81-5169</t>
  </si>
  <si>
    <t>Dolly Roy</t>
  </si>
  <si>
    <t>5169</t>
  </si>
  <si>
    <t>490731412433</t>
  </si>
  <si>
    <t>Ankit Kumar Varma</t>
  </si>
  <si>
    <t>7209282084</t>
  </si>
  <si>
    <t>01-08-2023</t>
  </si>
  <si>
    <t>chetan singh munda</t>
  </si>
  <si>
    <t>ganesh mahato</t>
  </si>
  <si>
    <t>banti chachi</t>
  </si>
  <si>
    <t>528168186031</t>
  </si>
  <si>
    <t>shiv loha</t>
  </si>
  <si>
    <t>jaydev das</t>
  </si>
  <si>
    <t>4224</t>
  </si>
  <si>
    <t>81-295</t>
  </si>
  <si>
    <t>Yashoda Kumari</t>
  </si>
  <si>
    <t>Dhirmal Tudu</t>
  </si>
  <si>
    <t>1640</t>
  </si>
  <si>
    <t>81-2608</t>
  </si>
  <si>
    <t>seema Guria</t>
  </si>
  <si>
    <t>05-0000024</t>
  </si>
  <si>
    <t>03420100018766</t>
  </si>
  <si>
    <t>samridh</t>
  </si>
  <si>
    <t>Etwary Devi</t>
  </si>
  <si>
    <t>KUSUM DEVI</t>
  </si>
  <si>
    <t>81-5173</t>
  </si>
  <si>
    <t>Suman Das</t>
  </si>
  <si>
    <t>81-5174</t>
  </si>
  <si>
    <t>Kusum devi</t>
  </si>
  <si>
    <t>5173</t>
  </si>
  <si>
    <t>5174</t>
  </si>
  <si>
    <t>11-08-2023</t>
  </si>
  <si>
    <t>7033307639</t>
  </si>
  <si>
    <t>4791</t>
  </si>
  <si>
    <t>12-08-2023</t>
  </si>
  <si>
    <t>8083178319</t>
  </si>
  <si>
    <t>SANJIT KR PANDEY</t>
  </si>
  <si>
    <t>Sujita Gorai</t>
  </si>
  <si>
    <t>2100</t>
  </si>
  <si>
    <t>1818</t>
  </si>
  <si>
    <t>Dashrath mahato</t>
  </si>
  <si>
    <t>amrit kr upadhyay</t>
  </si>
  <si>
    <t>sanjit kr pandey</t>
  </si>
  <si>
    <t>0418</t>
  </si>
  <si>
    <t xml:space="preserve">Sabana Khatoon  </t>
  </si>
  <si>
    <t>5165</t>
  </si>
  <si>
    <t>Sonia Karwa</t>
  </si>
  <si>
    <t>9798078037</t>
  </si>
  <si>
    <t>Abhishek Gupta</t>
  </si>
  <si>
    <t>81-5175</t>
  </si>
  <si>
    <t>Ifat Fateema</t>
  </si>
  <si>
    <t>5175</t>
  </si>
  <si>
    <t>476495408461</t>
  </si>
  <si>
    <t>9031703893</t>
  </si>
  <si>
    <t>26-08-2023</t>
  </si>
  <si>
    <t>july comm</t>
  </si>
  <si>
    <t>5178</t>
  </si>
  <si>
    <t>Sureman Prasad Sharma</t>
  </si>
  <si>
    <t>5179</t>
  </si>
  <si>
    <t>847904075865</t>
  </si>
  <si>
    <t>9905505510</t>
  </si>
  <si>
    <t>Renu Nayak</t>
  </si>
  <si>
    <t>sanjana</t>
  </si>
  <si>
    <t>joydev das</t>
  </si>
  <si>
    <t>rina das</t>
  </si>
  <si>
    <t>bob-2070</t>
  </si>
  <si>
    <t>bob-2309</t>
  </si>
  <si>
    <t>5180</t>
  </si>
  <si>
    <t>Krishna Chatterjee</t>
  </si>
  <si>
    <t>9835106697</t>
  </si>
  <si>
    <t>738965033759</t>
  </si>
  <si>
    <t>krishna chatterjee</t>
  </si>
  <si>
    <t>5181</t>
  </si>
  <si>
    <t>474156929813</t>
  </si>
  <si>
    <t>8877004898</t>
  </si>
  <si>
    <t>5182</t>
  </si>
  <si>
    <t>Rehana Bibi</t>
  </si>
  <si>
    <t>9798786131</t>
  </si>
  <si>
    <t>87146978361</t>
  </si>
  <si>
    <t>bob-19536</t>
  </si>
  <si>
    <t>Swarn singh</t>
  </si>
  <si>
    <t>4296</t>
  </si>
  <si>
    <t>Ankit kr verma</t>
  </si>
  <si>
    <t>indus</t>
  </si>
  <si>
    <t>pinki dey</t>
  </si>
  <si>
    <t>guina karmakar</t>
  </si>
  <si>
    <t>0295</t>
  </si>
  <si>
    <t>4810</t>
  </si>
  <si>
    <t>viswanath gope</t>
  </si>
  <si>
    <t>Vinit kumar singh</t>
  </si>
  <si>
    <t>5183</t>
  </si>
  <si>
    <t>Mahwish</t>
  </si>
  <si>
    <t>7637122999</t>
  </si>
  <si>
    <t>238906133542</t>
  </si>
  <si>
    <t>Mehwih</t>
  </si>
  <si>
    <t>5184</t>
  </si>
  <si>
    <t>Meena Karmakar</t>
  </si>
  <si>
    <t>Meena karmakar</t>
  </si>
  <si>
    <t>660587076216</t>
  </si>
  <si>
    <t>5185</t>
  </si>
  <si>
    <t>Suman Sharma</t>
  </si>
  <si>
    <t>481671236801</t>
  </si>
  <si>
    <t>Goutam</t>
  </si>
  <si>
    <t>bangiya gb</t>
  </si>
  <si>
    <t>Sandip Ghosh</t>
  </si>
  <si>
    <t>5190</t>
  </si>
  <si>
    <t>Shah nawaz Akhter</t>
  </si>
  <si>
    <t>Shah Nawaz Akhter</t>
  </si>
  <si>
    <t>944700399579</t>
  </si>
  <si>
    <t>sunita gorai</t>
  </si>
  <si>
    <t>15-09-2023</t>
  </si>
  <si>
    <t>6287865861</t>
  </si>
  <si>
    <t>7070955899</t>
  </si>
  <si>
    <t>5192</t>
  </si>
  <si>
    <t>Subham kr pandey</t>
  </si>
  <si>
    <t>Ankit Kr</t>
  </si>
  <si>
    <t>Shubham kr pandey</t>
  </si>
  <si>
    <t>18-09-2023</t>
  </si>
  <si>
    <t>9060160941</t>
  </si>
  <si>
    <t>O-8932</t>
  </si>
  <si>
    <t>jaydev</t>
  </si>
  <si>
    <t>-BOB</t>
  </si>
  <si>
    <t>comm</t>
  </si>
  <si>
    <t>5193</t>
  </si>
  <si>
    <t>Ulas Machhuwa</t>
  </si>
  <si>
    <t>comport=50</t>
  </si>
  <si>
    <t>1144</t>
  </si>
  <si>
    <t>O-4455</t>
  </si>
  <si>
    <t>Puja Lohar</t>
  </si>
  <si>
    <t>20-09-2023</t>
  </si>
  <si>
    <t>834655431586</t>
  </si>
  <si>
    <t>5194</t>
  </si>
  <si>
    <t>Hema Devi</t>
  </si>
  <si>
    <t>7979042891</t>
  </si>
  <si>
    <t>409731071974</t>
  </si>
  <si>
    <t>5195</t>
  </si>
  <si>
    <t>m Surya</t>
  </si>
  <si>
    <t>5196</t>
  </si>
  <si>
    <t>M Surya</t>
  </si>
  <si>
    <t>9234125527</t>
  </si>
  <si>
    <t>8539914257</t>
  </si>
  <si>
    <t>anjani Devi</t>
  </si>
  <si>
    <t>pintu kumr</t>
  </si>
  <si>
    <t>sagar mahato</t>
  </si>
  <si>
    <t>PUSHPAMSINGH</t>
  </si>
  <si>
    <t>lukui triya</t>
  </si>
  <si>
    <t>22-09-2023</t>
  </si>
  <si>
    <t>917323241183</t>
  </si>
  <si>
    <t>23-09-2023</t>
  </si>
  <si>
    <t>5197</t>
  </si>
  <si>
    <t>Kakon Sahu</t>
  </si>
  <si>
    <t>9939861646</t>
  </si>
  <si>
    <t>718000121450</t>
  </si>
  <si>
    <t>327764943449</t>
  </si>
  <si>
    <t>ankit kumar pandey</t>
  </si>
  <si>
    <t>1141</t>
  </si>
  <si>
    <t>lalbihar gupta</t>
  </si>
  <si>
    <t>4703</t>
  </si>
  <si>
    <t>Priti sinha</t>
  </si>
  <si>
    <t>sukuntala gorai</t>
  </si>
  <si>
    <t>Sanjit Kumar pandey</t>
  </si>
  <si>
    <t>5198</t>
  </si>
  <si>
    <t>7079930335</t>
  </si>
  <si>
    <t>966773029044</t>
  </si>
  <si>
    <t>5200</t>
  </si>
  <si>
    <t>Geetika Kumari</t>
  </si>
  <si>
    <t>7870684336</t>
  </si>
  <si>
    <t>262866976981</t>
  </si>
  <si>
    <t>O-5956</t>
  </si>
  <si>
    <t>5201</t>
  </si>
  <si>
    <t>Manoramani</t>
  </si>
  <si>
    <t>7903441129</t>
  </si>
  <si>
    <t>551607752556</t>
  </si>
  <si>
    <t>5202</t>
  </si>
  <si>
    <t>Asama Begum</t>
  </si>
  <si>
    <t>8102542329</t>
  </si>
  <si>
    <t>01-5584</t>
  </si>
  <si>
    <t>81-630</t>
  </si>
  <si>
    <t>Rukmini</t>
  </si>
  <si>
    <t>Mohammad Sabir</t>
  </si>
  <si>
    <t>can</t>
  </si>
  <si>
    <t>577944585212</t>
  </si>
  <si>
    <t>5203</t>
  </si>
  <si>
    <t>Rohit Sahis</t>
  </si>
  <si>
    <t>250548405334</t>
  </si>
  <si>
    <t>28-09-2023</t>
  </si>
  <si>
    <t>minu deogan</t>
  </si>
  <si>
    <t>645150615855</t>
  </si>
  <si>
    <t>raju kumar</t>
  </si>
  <si>
    <t>5204</t>
  </si>
  <si>
    <t>Akshat Kr Mishra</t>
  </si>
  <si>
    <t>Akshat kr mishra</t>
  </si>
  <si>
    <t>9279473152</t>
  </si>
  <si>
    <t>01-10-2023</t>
  </si>
  <si>
    <t>8092635550</t>
  </si>
  <si>
    <t>2955</t>
  </si>
  <si>
    <t>MAMTA SARDAR</t>
  </si>
  <si>
    <t>jitendra mahato</t>
  </si>
  <si>
    <t>3001</t>
  </si>
  <si>
    <t>01-3942</t>
  </si>
  <si>
    <t>Vijay Kumar</t>
  </si>
  <si>
    <t>vijay choudhary</t>
  </si>
  <si>
    <t>jitendra singh</t>
  </si>
  <si>
    <t>pushpm</t>
  </si>
  <si>
    <t>Usha devi</t>
  </si>
  <si>
    <t>05-10-2023</t>
  </si>
  <si>
    <t>Nilm Sahu</t>
  </si>
  <si>
    <t>4152</t>
  </si>
  <si>
    <t>goutam banerjee</t>
  </si>
  <si>
    <t>manoranjan kr singh</t>
  </si>
  <si>
    <t>5407</t>
  </si>
  <si>
    <t>Prakash chandra nayak</t>
  </si>
  <si>
    <t>ram ayodhya singh</t>
  </si>
  <si>
    <t>09-10-2023</t>
  </si>
  <si>
    <t>5206</t>
  </si>
  <si>
    <t>Preeti Sahu</t>
  </si>
  <si>
    <t>5208</t>
  </si>
  <si>
    <t>Pushpa Nag</t>
  </si>
  <si>
    <t>9304448795</t>
  </si>
  <si>
    <t>793161009435</t>
  </si>
  <si>
    <t>989698724251</t>
  </si>
  <si>
    <t>10-10-2023</t>
  </si>
  <si>
    <t>334473450921</t>
  </si>
  <si>
    <t>5209</t>
  </si>
  <si>
    <t>9279902925</t>
  </si>
  <si>
    <t>Devraj Munda</t>
  </si>
  <si>
    <t>227465789604</t>
  </si>
  <si>
    <t>Dinesh kumar</t>
  </si>
  <si>
    <t>Shoba karmakar</t>
  </si>
  <si>
    <t>0576</t>
  </si>
  <si>
    <t>12-10-2023</t>
  </si>
  <si>
    <t>7366012263</t>
  </si>
  <si>
    <t>Md Rizwan</t>
  </si>
  <si>
    <t>madhya bihar</t>
  </si>
  <si>
    <t>suman kumar</t>
  </si>
  <si>
    <t>farhin perween</t>
  </si>
  <si>
    <t>pushpamsingh</t>
  </si>
  <si>
    <t>13-10-2023</t>
  </si>
  <si>
    <t>malti machhua</t>
  </si>
  <si>
    <t>etwary devi</t>
  </si>
  <si>
    <t>4864</t>
  </si>
  <si>
    <t>Putul biswas</t>
  </si>
  <si>
    <t>sep commision</t>
  </si>
  <si>
    <t>Gungun</t>
  </si>
  <si>
    <t>NUTAN DEVI</t>
  </si>
  <si>
    <t>5211</t>
  </si>
  <si>
    <t>Somnath maity</t>
  </si>
  <si>
    <t>Saraswati Dev</t>
  </si>
  <si>
    <t>20-10-2023</t>
  </si>
  <si>
    <t>4772</t>
  </si>
  <si>
    <t>samima Banl</t>
  </si>
  <si>
    <t>deven mahato</t>
  </si>
  <si>
    <t>samima Banl-3500</t>
  </si>
  <si>
    <t>neha kumari</t>
  </si>
  <si>
    <t>Abhishek</t>
  </si>
  <si>
    <t>191101-bob</t>
  </si>
  <si>
    <t>bibi</t>
  </si>
  <si>
    <t xml:space="preserve"> </t>
  </si>
  <si>
    <t>shekhar saha</t>
  </si>
  <si>
    <t>1345</t>
  </si>
  <si>
    <t>Maya devi pandey</t>
  </si>
  <si>
    <t>5212</t>
  </si>
  <si>
    <t>Gowind Chakrawarti</t>
  </si>
  <si>
    <t>7280944524</t>
  </si>
  <si>
    <t>397557903068</t>
  </si>
  <si>
    <t>Som Nath Maity</t>
  </si>
  <si>
    <t>27-10-2023</t>
  </si>
  <si>
    <t>5213</t>
  </si>
  <si>
    <t>Deepak Kumar</t>
  </si>
  <si>
    <t>9142908515</t>
  </si>
  <si>
    <t>5214</t>
  </si>
  <si>
    <t>Ajit Gorai</t>
  </si>
  <si>
    <t>8969721943</t>
  </si>
  <si>
    <t>28-10-2023</t>
  </si>
  <si>
    <t>rohima khan</t>
  </si>
  <si>
    <t>576</t>
  </si>
  <si>
    <t>pushpam</t>
  </si>
  <si>
    <t>5215</t>
  </si>
  <si>
    <t>Mahendra Singh</t>
  </si>
  <si>
    <t>743126386843</t>
  </si>
  <si>
    <t>OPENING</t>
  </si>
  <si>
    <t>radhika devi</t>
  </si>
  <si>
    <t>5216</t>
  </si>
  <si>
    <t>Lalmuni Devi</t>
  </si>
  <si>
    <t>8084228992</t>
  </si>
  <si>
    <t>03-11-2023</t>
  </si>
  <si>
    <t>630851612498</t>
  </si>
  <si>
    <t>Shahnaz Begam</t>
  </si>
  <si>
    <t>5217</t>
  </si>
  <si>
    <t>5218</t>
  </si>
  <si>
    <t>Parbati Devi</t>
  </si>
  <si>
    <t>442911153687</t>
  </si>
  <si>
    <t>438639628782</t>
  </si>
  <si>
    <t>Laxmi Mahato</t>
  </si>
  <si>
    <t>07-11-2023</t>
  </si>
  <si>
    <t>BANGIA</t>
  </si>
  <si>
    <t>SANDIP GHOSH</t>
  </si>
  <si>
    <t>MALLIKA</t>
  </si>
  <si>
    <t>JYOTI</t>
  </si>
  <si>
    <t>09-11-2023</t>
  </si>
  <si>
    <t>9279145344</t>
  </si>
  <si>
    <t>mohammad affan</t>
  </si>
  <si>
    <t>c</t>
  </si>
  <si>
    <t>commision oct</t>
  </si>
  <si>
    <t>PETROL-1000</t>
  </si>
  <si>
    <t>MILK-2000</t>
  </si>
  <si>
    <t>POCKET MONEY-1000</t>
  </si>
  <si>
    <t>GAS-1000</t>
  </si>
  <si>
    <t>PERSONAL-6000</t>
  </si>
  <si>
    <t>DASHRATH MAHATO</t>
  </si>
  <si>
    <t>Boi</t>
  </si>
  <si>
    <t>punita</t>
  </si>
  <si>
    <t>youbin hembra</t>
  </si>
  <si>
    <t>5219</t>
  </si>
  <si>
    <t>Hyder Ali</t>
  </si>
  <si>
    <t>980329906626</t>
  </si>
  <si>
    <t>6299726614</t>
  </si>
  <si>
    <t>reboti naya</t>
  </si>
  <si>
    <t>1991</t>
  </si>
  <si>
    <t>5220</t>
  </si>
  <si>
    <t>Shitla Tripathi</t>
  </si>
  <si>
    <t>9263644877</t>
  </si>
  <si>
    <t>14-11-2023</t>
  </si>
  <si>
    <t>7004921106</t>
  </si>
  <si>
    <t>552176885483</t>
  </si>
  <si>
    <t>4163</t>
  </si>
  <si>
    <t>360178573949</t>
  </si>
  <si>
    <t>537605462010</t>
  </si>
  <si>
    <t>joy das</t>
  </si>
  <si>
    <t>19536</t>
  </si>
  <si>
    <t>sunil kumar prasad</t>
  </si>
  <si>
    <t>16-11-2023</t>
  </si>
  <si>
    <t>jitenra singh</t>
  </si>
  <si>
    <t>ankit kr verma</t>
  </si>
  <si>
    <t>5221</t>
  </si>
  <si>
    <t>Srimanta Sahis</t>
  </si>
  <si>
    <t>9060265674</t>
  </si>
  <si>
    <t>454513988731</t>
  </si>
  <si>
    <t>biswanath gope</t>
  </si>
  <si>
    <t>5223</t>
  </si>
  <si>
    <t>Dipak Ojha</t>
  </si>
  <si>
    <t>Srimant Sahis</t>
  </si>
  <si>
    <t>17-11-2023</t>
  </si>
  <si>
    <t>882097069964</t>
  </si>
  <si>
    <t>9263807615</t>
  </si>
  <si>
    <t>swarn sngh</t>
  </si>
  <si>
    <t>jamuna</t>
  </si>
  <si>
    <t>0440</t>
  </si>
  <si>
    <t xml:space="preserve">                                                   </t>
  </si>
  <si>
    <t>7892460512</t>
  </si>
  <si>
    <t>3101</t>
  </si>
  <si>
    <t>Safiya Fatema</t>
  </si>
  <si>
    <t>665</t>
  </si>
  <si>
    <t>Talat Shahin Araju</t>
  </si>
  <si>
    <t>5224</t>
  </si>
  <si>
    <t>Amit Kumar</t>
  </si>
  <si>
    <t>719074889723</t>
  </si>
  <si>
    <t>Aman Kumar</t>
  </si>
  <si>
    <t>22-11-2023</t>
  </si>
  <si>
    <t>630</t>
  </si>
  <si>
    <t>soumendas</t>
  </si>
  <si>
    <t>9334512514</t>
  </si>
  <si>
    <t>5225</t>
  </si>
  <si>
    <t>5226</t>
  </si>
  <si>
    <t>Electric</t>
  </si>
  <si>
    <t>Water</t>
  </si>
  <si>
    <t>Shabana Parween</t>
  </si>
  <si>
    <t>228980502163</t>
  </si>
  <si>
    <t>8676822786</t>
  </si>
  <si>
    <t>9546338230</t>
  </si>
  <si>
    <t>Sajid Ali</t>
  </si>
  <si>
    <t>740761669360</t>
  </si>
  <si>
    <t>HCK073042</t>
  </si>
  <si>
    <t>mangal singh</t>
  </si>
  <si>
    <t>Lakshman yadav</t>
  </si>
  <si>
    <t>sumita sahu</t>
  </si>
  <si>
    <t>0504</t>
  </si>
  <si>
    <t>Saima Perween</t>
  </si>
  <si>
    <t>5229</t>
  </si>
  <si>
    <t>HCK073046</t>
  </si>
  <si>
    <t>788790004375</t>
  </si>
  <si>
    <t>9334959587</t>
  </si>
  <si>
    <t>01-12-2023</t>
  </si>
  <si>
    <t>suspense</t>
  </si>
  <si>
    <t>02-12-2023</t>
  </si>
  <si>
    <t>HCK073041</t>
  </si>
  <si>
    <t>Pintu</t>
  </si>
  <si>
    <t>ashvini rampravesh sharma</t>
  </si>
  <si>
    <t>772</t>
  </si>
  <si>
    <t>youbin hembram</t>
  </si>
  <si>
    <t>Ratna Sandil</t>
  </si>
  <si>
    <t>SUNITA GORAI</t>
  </si>
  <si>
    <t>SAMIMA BANO</t>
  </si>
  <si>
    <t>HCK073055</t>
  </si>
  <si>
    <t>5233</t>
  </si>
  <si>
    <t>Ranjan Kumar Singh</t>
  </si>
  <si>
    <t>7091536650</t>
  </si>
  <si>
    <t>727610616666</t>
  </si>
  <si>
    <t>1975</t>
  </si>
  <si>
    <t>nikku devi</t>
  </si>
  <si>
    <t>Ticket</t>
  </si>
  <si>
    <t>Gurdeet Singh</t>
  </si>
  <si>
    <t>552</t>
  </si>
  <si>
    <t>PINTU</t>
  </si>
  <si>
    <t>06-12-2023</t>
  </si>
  <si>
    <t>612</t>
  </si>
  <si>
    <t>5237</t>
  </si>
  <si>
    <t>Rajeshwari Sharma</t>
  </si>
  <si>
    <t>292483014582</t>
  </si>
  <si>
    <t>HCK073067</t>
  </si>
  <si>
    <t>sagar murmu</t>
  </si>
  <si>
    <t>HCK073070</t>
  </si>
  <si>
    <t>5239</t>
  </si>
  <si>
    <t>Nidhi Singh</t>
  </si>
  <si>
    <t>8603325660</t>
  </si>
  <si>
    <t>10-12-2023</t>
  </si>
  <si>
    <t>8789892993</t>
  </si>
  <si>
    <t>reboti nayek</t>
  </si>
  <si>
    <t>nidhi singh</t>
  </si>
  <si>
    <t>Rajeshwari Shrma</t>
  </si>
  <si>
    <t>455837985144</t>
  </si>
  <si>
    <t>5240</t>
  </si>
  <si>
    <t>9973918645</t>
  </si>
  <si>
    <t>sandeep hosh</t>
  </si>
  <si>
    <t>rubina khtoon</t>
  </si>
  <si>
    <t>5171</t>
  </si>
  <si>
    <t>11-12-2023</t>
  </si>
  <si>
    <t>LIC2012</t>
  </si>
  <si>
    <t>MEDICINE-1000</t>
  </si>
  <si>
    <t>Ishtvriti</t>
  </si>
  <si>
    <t>HCK073078</t>
  </si>
  <si>
    <t>HCK073071</t>
  </si>
  <si>
    <t>5243</t>
  </si>
  <si>
    <t>Mamta Singh Sardar</t>
  </si>
  <si>
    <t>9204038379</t>
  </si>
  <si>
    <t>Mamta singh sardar</t>
  </si>
  <si>
    <t>212143502396</t>
  </si>
  <si>
    <t>kaniz fatima</t>
  </si>
  <si>
    <t>kamalchandra mahato</t>
  </si>
  <si>
    <t>pabita singh</t>
  </si>
  <si>
    <t>13-12-2023</t>
  </si>
  <si>
    <t>374933347462</t>
  </si>
  <si>
    <t>5246</t>
  </si>
  <si>
    <t>Ishrat pravin</t>
  </si>
  <si>
    <t>16-12-2023</t>
  </si>
  <si>
    <t>Ranjan Karmakar</t>
  </si>
  <si>
    <t>242938467402</t>
  </si>
  <si>
    <t>5248</t>
  </si>
  <si>
    <t>Mini Karmakar</t>
  </si>
  <si>
    <t>Sambhu Kumar Bose</t>
  </si>
  <si>
    <t>5251</t>
  </si>
  <si>
    <t>Sadhna Kumari</t>
  </si>
  <si>
    <t>Md Sameer</t>
  </si>
  <si>
    <t>4779</t>
  </si>
  <si>
    <t>HCK073106</t>
  </si>
  <si>
    <t>4613</t>
  </si>
  <si>
    <t>Musiur Rahman</t>
  </si>
  <si>
    <t>hembati mahato</t>
  </si>
  <si>
    <t>vananchanl</t>
  </si>
  <si>
    <t>Kamal chandra mahato</t>
  </si>
  <si>
    <t>HCK071024</t>
  </si>
  <si>
    <t>570491471103</t>
  </si>
  <si>
    <t>6206063956</t>
  </si>
  <si>
    <t>28-12-2023</t>
  </si>
  <si>
    <t>STATIONARY-1000</t>
  </si>
  <si>
    <t>02-50</t>
  </si>
  <si>
    <t>santosh kr mahato</t>
  </si>
  <si>
    <t>HCK073122</t>
  </si>
  <si>
    <t>5256</t>
  </si>
  <si>
    <t>Sarwesh Kumar Rajak</t>
  </si>
  <si>
    <t>992108669087</t>
  </si>
  <si>
    <t>9570156943</t>
  </si>
  <si>
    <t>HCK073112</t>
  </si>
  <si>
    <t>5155</t>
  </si>
  <si>
    <t>gramin</t>
  </si>
  <si>
    <t>asha mani lohar</t>
  </si>
  <si>
    <t>01-5719</t>
  </si>
  <si>
    <t>Somnath Bhattacharjee</t>
  </si>
  <si>
    <t>saroj devi</t>
  </si>
  <si>
    <t>SBI</t>
  </si>
  <si>
    <t>dimpio kumari</t>
  </si>
  <si>
    <t>5255</t>
  </si>
  <si>
    <t>Harsh Kumar</t>
  </si>
  <si>
    <t>380605583470</t>
  </si>
  <si>
    <t>5719</t>
  </si>
  <si>
    <t>HCK073124</t>
  </si>
  <si>
    <t>526764305793</t>
  </si>
  <si>
    <t>5257</t>
  </si>
  <si>
    <t>HCK073131</t>
  </si>
  <si>
    <t>Deepa Kumari</t>
  </si>
  <si>
    <t>9155131218</t>
  </si>
  <si>
    <t>679586001126</t>
  </si>
  <si>
    <t>Veg</t>
  </si>
  <si>
    <t>HCK073133</t>
  </si>
  <si>
    <t>5258</t>
  </si>
  <si>
    <t>Ishika Upadhyay</t>
  </si>
  <si>
    <t>395594103976</t>
  </si>
  <si>
    <t>7061949611</t>
  </si>
  <si>
    <t>Ishika Upadhayay</t>
  </si>
  <si>
    <t>shoqut ali</t>
  </si>
  <si>
    <t>06-01-2023</t>
  </si>
  <si>
    <t>9234413453</t>
  </si>
  <si>
    <t>5486</t>
  </si>
  <si>
    <t>sanjit kumar pandey</t>
  </si>
  <si>
    <t>panchama gaunder</t>
  </si>
  <si>
    <t>08-01-2023</t>
  </si>
  <si>
    <t>ankit kr Verma</t>
  </si>
  <si>
    <t>0124</t>
  </si>
  <si>
    <t>Nishat Khatoon</t>
  </si>
  <si>
    <t>Chandray sardar</t>
  </si>
  <si>
    <t>226081-19536</t>
  </si>
  <si>
    <t>anjani devi</t>
  </si>
  <si>
    <t>HCK066747</t>
  </si>
  <si>
    <t>09-01-2024</t>
  </si>
  <si>
    <t>8092524978</t>
  </si>
  <si>
    <t>5260</t>
  </si>
  <si>
    <t>Abhijit Bera</t>
  </si>
  <si>
    <t>327149205896</t>
  </si>
  <si>
    <t>5261</t>
  </si>
  <si>
    <t>HCK073137</t>
  </si>
  <si>
    <t>HCK073136</t>
  </si>
  <si>
    <t>HCK073138</t>
  </si>
  <si>
    <t>5262</t>
  </si>
  <si>
    <t>Subhojeet Das</t>
  </si>
  <si>
    <t>9031001192</t>
  </si>
  <si>
    <t>7209600376</t>
  </si>
  <si>
    <t>Subhasish Das</t>
  </si>
  <si>
    <t>485853819494</t>
  </si>
  <si>
    <t>261054117531</t>
  </si>
  <si>
    <t>10-01-2024</t>
  </si>
  <si>
    <t>1440</t>
  </si>
  <si>
    <t>12-01-2024</t>
  </si>
  <si>
    <t>mallika for transfer</t>
  </si>
  <si>
    <t>Gunadhar charmkar</t>
  </si>
  <si>
    <t>kamal chandra mahato</t>
  </si>
  <si>
    <t>julekha khaoon</t>
  </si>
  <si>
    <t>15-01-2024</t>
  </si>
  <si>
    <t>mukesh muru</t>
  </si>
  <si>
    <t>2957</t>
  </si>
  <si>
    <t>Sahani perween</t>
  </si>
  <si>
    <t>utter bihar</t>
  </si>
  <si>
    <t>sambhu kr bose</t>
  </si>
  <si>
    <t>md sameer</t>
  </si>
  <si>
    <t>2455</t>
  </si>
  <si>
    <t>Punam mishra</t>
  </si>
  <si>
    <t>HCK073170</t>
  </si>
  <si>
    <t>9234233828</t>
  </si>
  <si>
    <t>Aman Kumari</t>
  </si>
  <si>
    <t>5271</t>
  </si>
  <si>
    <t>Anida Devi</t>
  </si>
  <si>
    <t>Saraswati Das</t>
  </si>
  <si>
    <t>HCK073177</t>
  </si>
  <si>
    <t>5273</t>
  </si>
  <si>
    <t>Bijay Bahadur Singh</t>
  </si>
  <si>
    <t>7488079740</t>
  </si>
  <si>
    <t>31-01-2024</t>
  </si>
  <si>
    <t>279371894529</t>
  </si>
  <si>
    <t>Sunil Kumar prasad</t>
  </si>
  <si>
    <t>HCK073206</t>
  </si>
  <si>
    <t>Geeta Kalsi</t>
  </si>
  <si>
    <t>673989668463</t>
  </si>
  <si>
    <t>7257992297</t>
  </si>
  <si>
    <t>5279</t>
  </si>
  <si>
    <t>HCK073208</t>
  </si>
  <si>
    <t>5280</t>
  </si>
  <si>
    <t>Muskan Perween</t>
  </si>
  <si>
    <t>7281839223</t>
  </si>
  <si>
    <t>Kanai Mandal</t>
  </si>
  <si>
    <t>HCK073209</t>
  </si>
  <si>
    <t>5281</t>
  </si>
  <si>
    <t>Kalawati Devi</t>
  </si>
  <si>
    <t>HCK073216</t>
  </si>
  <si>
    <t>5282</t>
  </si>
  <si>
    <t>sulochana</t>
  </si>
  <si>
    <t>7764824091</t>
  </si>
  <si>
    <t>mallika goria</t>
  </si>
  <si>
    <t>sanjeev kr prasad</t>
  </si>
  <si>
    <t>4358</t>
  </si>
  <si>
    <t>HCK073232</t>
  </si>
  <si>
    <t>5287</t>
  </si>
  <si>
    <t>Binoy Deb</t>
  </si>
  <si>
    <t>HCK073233</t>
  </si>
  <si>
    <t>5288</t>
  </si>
  <si>
    <t>Poly Deb</t>
  </si>
  <si>
    <t>9955143009</t>
  </si>
  <si>
    <t>822210575734</t>
  </si>
  <si>
    <t>9631015797</t>
  </si>
  <si>
    <t>896336953705</t>
  </si>
  <si>
    <t>3985</t>
  </si>
  <si>
    <t>sujan gope</t>
  </si>
  <si>
    <t>HCK073236</t>
  </si>
  <si>
    <t>HCK073237</t>
  </si>
  <si>
    <t>5289</t>
  </si>
  <si>
    <t>5290</t>
  </si>
  <si>
    <t>9507516463</t>
  </si>
  <si>
    <t>Sima Roy</t>
  </si>
  <si>
    <t>HCK073238</t>
  </si>
  <si>
    <t>5291</t>
  </si>
  <si>
    <t>Kalyani Mandal</t>
  </si>
  <si>
    <t>9231300536</t>
  </si>
  <si>
    <t>HCK073241</t>
  </si>
  <si>
    <t>8002816859</t>
  </si>
  <si>
    <t>Bidhan Chandra Deb</t>
  </si>
  <si>
    <t>5294</t>
  </si>
  <si>
    <t>640673047035</t>
  </si>
  <si>
    <t>saraswati das</t>
  </si>
  <si>
    <t>5283</t>
  </si>
  <si>
    <t>Shanti Munda</t>
  </si>
  <si>
    <t>HCK073242</t>
  </si>
  <si>
    <t>5295</t>
  </si>
  <si>
    <t>9031734827</t>
  </si>
  <si>
    <t>HCK073243</t>
  </si>
  <si>
    <t>9262582903</t>
  </si>
  <si>
    <t>Lakshmi Dutta</t>
  </si>
  <si>
    <t>970716491644</t>
  </si>
  <si>
    <t>5296</t>
  </si>
  <si>
    <t>13-02-2024</t>
  </si>
  <si>
    <t>21-02-2024</t>
  </si>
  <si>
    <t>7209439910</t>
  </si>
  <si>
    <t>HCK073254</t>
  </si>
  <si>
    <t>5299</t>
  </si>
  <si>
    <t>6205213035</t>
  </si>
  <si>
    <t>846255653682</t>
  </si>
  <si>
    <t>Pinki Devi</t>
  </si>
  <si>
    <t>HCK073255</t>
  </si>
  <si>
    <t>5300</t>
  </si>
  <si>
    <t>Santosh kumar Sharma</t>
  </si>
  <si>
    <t>222156552375</t>
  </si>
  <si>
    <t>9523783641</t>
  </si>
  <si>
    <t>5000topay</t>
  </si>
  <si>
    <t>HCK073257</t>
  </si>
  <si>
    <t>Pushpa Devi</t>
  </si>
  <si>
    <t>379543914733</t>
  </si>
  <si>
    <t>5302</t>
  </si>
  <si>
    <t>8709286914</t>
  </si>
  <si>
    <t>22-02-2024</t>
  </si>
  <si>
    <t>HCK073263</t>
  </si>
  <si>
    <t>Kali Prasad Shah</t>
  </si>
  <si>
    <t>9234494886</t>
  </si>
  <si>
    <t>7033381504</t>
  </si>
  <si>
    <t>Rani Shah</t>
  </si>
  <si>
    <t>5304</t>
  </si>
  <si>
    <t>5305</t>
  </si>
  <si>
    <t>970156493739</t>
  </si>
  <si>
    <t>784383731051</t>
  </si>
  <si>
    <t>5306</t>
  </si>
  <si>
    <t>MALATI DAS</t>
  </si>
  <si>
    <t>Anjali Chaudhuri</t>
  </si>
  <si>
    <t>8102510151</t>
  </si>
  <si>
    <t>923959577350</t>
  </si>
  <si>
    <t>HCK073267</t>
  </si>
  <si>
    <t>5308</t>
  </si>
  <si>
    <t>Junaid Akhtar</t>
  </si>
  <si>
    <t>300589223497</t>
  </si>
  <si>
    <t>23-02-2024</t>
  </si>
  <si>
    <t>HCK073270</t>
  </si>
  <si>
    <t>5309</t>
  </si>
  <si>
    <t>Mala Tripathy</t>
  </si>
  <si>
    <t>490525390416</t>
  </si>
  <si>
    <t>9334232454</t>
  </si>
  <si>
    <t>9608419384</t>
  </si>
  <si>
    <t>627964229000</t>
  </si>
  <si>
    <t>HCK073280</t>
  </si>
  <si>
    <t>5314</t>
  </si>
  <si>
    <t>Reshma Mukhi</t>
  </si>
  <si>
    <t>374277428982</t>
  </si>
  <si>
    <t>7050637212</t>
  </si>
  <si>
    <t>babita Devi</t>
  </si>
  <si>
    <t>81-405</t>
  </si>
  <si>
    <t>Anukant pandey</t>
  </si>
  <si>
    <t>24-02-2024</t>
  </si>
  <si>
    <t>340074705617</t>
  </si>
  <si>
    <t>HCK073264</t>
  </si>
  <si>
    <t>5137</t>
  </si>
  <si>
    <t>5136</t>
  </si>
  <si>
    <t>26-02-2024</t>
  </si>
  <si>
    <t>7091825872</t>
  </si>
  <si>
    <t>5318</t>
  </si>
  <si>
    <t>Budhu Gorai</t>
  </si>
  <si>
    <t>9572754927</t>
  </si>
  <si>
    <t>Hira Mani Devi</t>
  </si>
  <si>
    <t>9234026396</t>
  </si>
  <si>
    <t>5319</t>
  </si>
  <si>
    <t>5321</t>
  </si>
  <si>
    <t>Gini Karua</t>
  </si>
  <si>
    <t>HCK073294</t>
  </si>
  <si>
    <t>Dilip Das</t>
  </si>
  <si>
    <t>9031737872</t>
  </si>
  <si>
    <t>5322</t>
  </si>
  <si>
    <t>HCK073297</t>
  </si>
  <si>
    <t>9708588025</t>
  </si>
  <si>
    <t>5323</t>
  </si>
  <si>
    <t>Sanjay Kumar Sen</t>
  </si>
  <si>
    <t>Sanjay Kr Sen</t>
  </si>
  <si>
    <t>HCK073298</t>
  </si>
  <si>
    <t>5324</t>
  </si>
  <si>
    <t>Badrun Nisha</t>
  </si>
  <si>
    <t>7209938465</t>
  </si>
  <si>
    <t>825882501071</t>
  </si>
  <si>
    <t>28-02-2024</t>
  </si>
  <si>
    <t>shankar tuti</t>
  </si>
  <si>
    <t xml:space="preserve">opening </t>
  </si>
  <si>
    <t>0590</t>
  </si>
  <si>
    <t>0405</t>
  </si>
  <si>
    <t>Putul</t>
  </si>
  <si>
    <t>Anukant Pandey</t>
  </si>
  <si>
    <t>chandra</t>
  </si>
  <si>
    <t>01-03-2024</t>
  </si>
  <si>
    <t>giVEN PASSBOOK</t>
  </si>
  <si>
    <t>HCK073289</t>
  </si>
  <si>
    <t>janeshwar Singh</t>
  </si>
  <si>
    <t>HCK073313</t>
  </si>
  <si>
    <t>Punam Thakur</t>
  </si>
  <si>
    <t>5326</t>
  </si>
  <si>
    <t>491220496327</t>
  </si>
  <si>
    <t>8797019458</t>
  </si>
  <si>
    <t>81-2324</t>
  </si>
  <si>
    <t>02-03-2024</t>
  </si>
  <si>
    <t>HCK073291</t>
  </si>
  <si>
    <t>PUTUL</t>
  </si>
  <si>
    <t>Amlesh DevI</t>
  </si>
  <si>
    <t>07-03-2024</t>
  </si>
  <si>
    <t>11-06-202</t>
  </si>
  <si>
    <t>amount</t>
  </si>
  <si>
    <t>Guntun@19</t>
  </si>
  <si>
    <t>lal Mandal</t>
  </si>
  <si>
    <t>5347</t>
  </si>
  <si>
    <t>Ramashish Pathak</t>
  </si>
  <si>
    <t>233285613307</t>
  </si>
  <si>
    <t>4483</t>
  </si>
  <si>
    <t>Chhunu lohar</t>
  </si>
  <si>
    <t>449552053098</t>
  </si>
  <si>
    <t>8298048728</t>
  </si>
  <si>
    <t>5348</t>
  </si>
  <si>
    <t>Kamla Devi</t>
  </si>
  <si>
    <t>Krishna Prajapati</t>
  </si>
  <si>
    <t>8092295318</t>
  </si>
  <si>
    <t>5349</t>
  </si>
  <si>
    <t>Krishna Prajapati-1000 gpay</t>
  </si>
  <si>
    <t>819857857965</t>
  </si>
  <si>
    <t>286075477188</t>
  </si>
  <si>
    <t>HCK073397</t>
  </si>
  <si>
    <t>HCK073396</t>
  </si>
  <si>
    <t>HCK073395</t>
  </si>
  <si>
    <t>POST</t>
  </si>
  <si>
    <t>REBOTI NAYAK</t>
  </si>
  <si>
    <t>5352</t>
  </si>
  <si>
    <t>Rajib Sahu</t>
  </si>
  <si>
    <t>HCK073400</t>
  </si>
  <si>
    <t>626885468046</t>
  </si>
  <si>
    <t>5353</t>
  </si>
  <si>
    <t>5354</t>
  </si>
  <si>
    <t>Sushan Sadhvi</t>
  </si>
  <si>
    <t>HCK073401</t>
  </si>
  <si>
    <t>HCK073402</t>
  </si>
  <si>
    <t>417224497677</t>
  </si>
  <si>
    <t>9031398311</t>
  </si>
  <si>
    <t>9234704511</t>
  </si>
  <si>
    <t>27-03-2024</t>
  </si>
  <si>
    <t>5355</t>
  </si>
  <si>
    <t>HCK073408</t>
  </si>
  <si>
    <t>HCK073407</t>
  </si>
  <si>
    <t>5356</t>
  </si>
  <si>
    <t>Rita Bhattacharjee</t>
  </si>
  <si>
    <t>7763860938</t>
  </si>
  <si>
    <t>525245050493</t>
  </si>
  <si>
    <t>HCK073411</t>
  </si>
  <si>
    <t>5358</t>
  </si>
  <si>
    <t>Sabita Bhattcharjee</t>
  </si>
  <si>
    <t>Sabita bhattacharjee</t>
  </si>
  <si>
    <t>28-03-2024</t>
  </si>
  <si>
    <t>29-03-2024</t>
  </si>
  <si>
    <t>9122923112</t>
  </si>
  <si>
    <t>369319389479</t>
  </si>
  <si>
    <t>HCK073414</t>
  </si>
  <si>
    <t>5359</t>
  </si>
  <si>
    <t>Sumi Madhu Khalkho</t>
  </si>
  <si>
    <t>764328757301</t>
  </si>
  <si>
    <t>01-1997</t>
  </si>
  <si>
    <t>Karyanand Kumar</t>
  </si>
  <si>
    <t>6000topay</t>
  </si>
  <si>
    <t>opening Balance</t>
  </si>
  <si>
    <t>01-04-2024</t>
  </si>
  <si>
    <t>31-03-2024</t>
  </si>
  <si>
    <t>HCK073423</t>
  </si>
  <si>
    <t>5364</t>
  </si>
  <si>
    <t>Ayushi Kumari</t>
  </si>
  <si>
    <t>7209452449</t>
  </si>
  <si>
    <t>203372596524</t>
  </si>
  <si>
    <t>HCK073428</t>
  </si>
  <si>
    <t>5367</t>
  </si>
  <si>
    <t>ajit munda</t>
  </si>
  <si>
    <t>HCK073435</t>
  </si>
  <si>
    <t>5370</t>
  </si>
  <si>
    <t>8434815245</t>
  </si>
  <si>
    <t>HCK073439</t>
  </si>
  <si>
    <t>5371</t>
  </si>
  <si>
    <t>Binod Kumar</t>
  </si>
  <si>
    <t>9162187656</t>
  </si>
  <si>
    <t>ajad kr kharwar</t>
  </si>
  <si>
    <t>5372</t>
  </si>
  <si>
    <t>Rajiya Sultana</t>
  </si>
  <si>
    <t>9102064346</t>
  </si>
  <si>
    <t>759176300454</t>
  </si>
  <si>
    <t>HCK073440</t>
  </si>
  <si>
    <t>01-5896</t>
  </si>
  <si>
    <t>Mahadeo Prasad</t>
  </si>
  <si>
    <t>452023648080</t>
  </si>
  <si>
    <t>HCK073443</t>
  </si>
  <si>
    <t>5373</t>
  </si>
  <si>
    <t>Shaikh Sabir</t>
  </si>
  <si>
    <t>367570034796</t>
  </si>
  <si>
    <t>9931209458</t>
  </si>
  <si>
    <t>anita choudhary</t>
  </si>
  <si>
    <t>HCK073445</t>
  </si>
  <si>
    <t>5375</t>
  </si>
  <si>
    <t>Kapil Dev Pandey</t>
  </si>
  <si>
    <t>8002980785</t>
  </si>
  <si>
    <t>677311799073</t>
  </si>
  <si>
    <t>HCK073446</t>
  </si>
  <si>
    <t>5376</t>
  </si>
  <si>
    <t>Alok Das</t>
  </si>
  <si>
    <t>249916309786</t>
  </si>
  <si>
    <t>08-04-2024</t>
  </si>
  <si>
    <t>Sulochana Sahis</t>
  </si>
  <si>
    <t>09-04-2024</t>
  </si>
  <si>
    <t>alok nath das</t>
  </si>
  <si>
    <t>893</t>
  </si>
  <si>
    <t>0697</t>
  </si>
  <si>
    <t>Ranita Soren</t>
  </si>
  <si>
    <t>ghanshyam gorai</t>
  </si>
  <si>
    <t>Alok nath Das</t>
  </si>
  <si>
    <t>HCK073456</t>
  </si>
  <si>
    <t>01-5906</t>
  </si>
  <si>
    <t>Ramlal Patro</t>
  </si>
  <si>
    <t>7209943591</t>
  </si>
  <si>
    <t>320687234725</t>
  </si>
  <si>
    <t>Raj Kishore gope</t>
  </si>
  <si>
    <t>01-3765</t>
  </si>
  <si>
    <t>10-04-2024</t>
  </si>
  <si>
    <t>Putul biswa</t>
  </si>
  <si>
    <t>Soma Kha</t>
  </si>
  <si>
    <t>2131</t>
  </si>
  <si>
    <t>Mamoni Ray</t>
  </si>
  <si>
    <t>Gourav kr singh</t>
  </si>
  <si>
    <t>CASH WIDHDRAWAL</t>
  </si>
  <si>
    <t>2113</t>
  </si>
  <si>
    <t>HCK073470</t>
  </si>
  <si>
    <t>01-5918</t>
  </si>
  <si>
    <t>Mukesh Kumar</t>
  </si>
  <si>
    <t>23622127771</t>
  </si>
  <si>
    <t>958479349</t>
  </si>
  <si>
    <t>Arti Devi</t>
  </si>
  <si>
    <t>Radhika Rani Mahato</t>
  </si>
  <si>
    <t>4489</t>
  </si>
  <si>
    <t>in</t>
  </si>
  <si>
    <t>out</t>
  </si>
  <si>
    <t>bob-50</t>
  </si>
  <si>
    <t>lalbabu sah</t>
  </si>
  <si>
    <t>stock</t>
  </si>
  <si>
    <t>SCI</t>
  </si>
  <si>
    <t>HUL</t>
  </si>
  <si>
    <t>VEDANTA</t>
  </si>
  <si>
    <t>ONGC</t>
  </si>
  <si>
    <t>IBULL REAL ESTATE</t>
  </si>
  <si>
    <t>TEAMAPRODUCTION</t>
  </si>
  <si>
    <t>SARVESHWAR FOODS</t>
  </si>
  <si>
    <t>MISHTAN FOOD</t>
  </si>
  <si>
    <t>LIOYDS ENGINEERING WORKS LTD</t>
  </si>
  <si>
    <t>AAKASH EXPLOREATION SRVICES</t>
  </si>
  <si>
    <t>PIL ITALICA LIFESTYLE</t>
  </si>
  <si>
    <t>GREEN HYDROGEN</t>
  </si>
  <si>
    <t>BHATI COMMUNICATION &amp; REAIL</t>
  </si>
  <si>
    <t>TELECOME</t>
  </si>
  <si>
    <t>B2B SOFTWA TECHNOLOGY</t>
  </si>
  <si>
    <t>IT</t>
  </si>
  <si>
    <t>UDAYSHIVKUMAR INFRA LTD</t>
  </si>
  <si>
    <t>INFRA</t>
  </si>
  <si>
    <t>YASONS CHEMEX CARE</t>
  </si>
  <si>
    <t>CHEMICAL</t>
  </si>
  <si>
    <t>AVT NATURAL PRODUCT LTD</t>
  </si>
  <si>
    <t>ALANKIT LTD</t>
  </si>
  <si>
    <t>AIRAN LTD</t>
  </si>
  <si>
    <t>RAMA STEEL TUBES LTD</t>
  </si>
  <si>
    <t>STEEL</t>
  </si>
  <si>
    <t>KOTHARI SUGARS AND CHEMICAL</t>
  </si>
  <si>
    <t>SCILAL</t>
  </si>
  <si>
    <t>PSU</t>
  </si>
  <si>
    <t>T</t>
  </si>
  <si>
    <t>S</t>
  </si>
  <si>
    <t>TS</t>
  </si>
  <si>
    <t>HCK073480</t>
  </si>
  <si>
    <t>5380</t>
  </si>
  <si>
    <t>Sunita Kumari</t>
  </si>
  <si>
    <t>7061859779</t>
  </si>
  <si>
    <t>Suman Devi</t>
  </si>
  <si>
    <t>HCK073481</t>
  </si>
  <si>
    <t>5381</t>
  </si>
  <si>
    <t>9234590356</t>
  </si>
  <si>
    <t>HCK073488</t>
  </si>
  <si>
    <t>5383</t>
  </si>
  <si>
    <t>Sukumar Sahu</t>
  </si>
  <si>
    <t>Disha Kumari</t>
  </si>
  <si>
    <t>24-04-2024</t>
  </si>
  <si>
    <t>271602141670</t>
  </si>
  <si>
    <t>Chhanda Chatterjee</t>
  </si>
  <si>
    <t>9199617884</t>
  </si>
  <si>
    <t>HCK073496</t>
  </si>
  <si>
    <t>HCK065824</t>
  </si>
  <si>
    <t>5385</t>
  </si>
  <si>
    <t>Gourav Kumar Pandey</t>
  </si>
  <si>
    <t>457771255423</t>
  </si>
  <si>
    <t>8797594838</t>
  </si>
  <si>
    <t>PUSHPAM</t>
  </si>
  <si>
    <t>HCK073499</t>
  </si>
  <si>
    <t>26-04-2024</t>
  </si>
  <si>
    <t>6203463253</t>
  </si>
  <si>
    <t>HCK073500</t>
  </si>
  <si>
    <t>Ankit Kumar</t>
  </si>
  <si>
    <t>5387</t>
  </si>
  <si>
    <t>5386</t>
  </si>
  <si>
    <t>9771339067</t>
  </si>
  <si>
    <t>0552</t>
  </si>
  <si>
    <t>Radh Devi</t>
  </si>
  <si>
    <t>Sukumar sahu</t>
  </si>
  <si>
    <t>rajesh</t>
  </si>
  <si>
    <t>30-04-2024</t>
  </si>
  <si>
    <t>10000.00</t>
  </si>
  <si>
    <t>satsang</t>
  </si>
  <si>
    <t>Ration</t>
  </si>
  <si>
    <t>vananchan</t>
  </si>
  <si>
    <t>01-05-2024</t>
  </si>
  <si>
    <t>860729748020</t>
  </si>
  <si>
    <t>3500</t>
  </si>
  <si>
    <t>vananchal</t>
  </si>
  <si>
    <t>6600</t>
  </si>
  <si>
    <t>2200</t>
  </si>
  <si>
    <t>HCK070171</t>
  </si>
  <si>
    <t>1000</t>
  </si>
  <si>
    <t>jhumparani shaw</t>
  </si>
  <si>
    <t>bob out</t>
  </si>
  <si>
    <t>1700</t>
  </si>
  <si>
    <t xml:space="preserve">antik </t>
  </si>
  <si>
    <t>10000</t>
  </si>
  <si>
    <t>5393</t>
  </si>
  <si>
    <t>Luv Kumar</t>
  </si>
  <si>
    <t>03-05-2024</t>
  </si>
  <si>
    <t>Rent-4320</t>
  </si>
  <si>
    <t>sunil kr prasad</t>
  </si>
  <si>
    <t>HCK073518</t>
  </si>
  <si>
    <t>723701444653</t>
  </si>
  <si>
    <t>9304730054</t>
  </si>
  <si>
    <t>1800</t>
  </si>
  <si>
    <t>4000</t>
  </si>
  <si>
    <t>cmport</t>
  </si>
  <si>
    <t>5000</t>
  </si>
  <si>
    <t>5500</t>
  </si>
  <si>
    <t>coport</t>
  </si>
  <si>
    <t>Alok nath das</t>
  </si>
  <si>
    <t>HCK073544</t>
  </si>
  <si>
    <t>5399</t>
  </si>
  <si>
    <t>Uma Sahu</t>
  </si>
  <si>
    <t>330139107018</t>
  </si>
  <si>
    <t>1005</t>
  </si>
  <si>
    <t>738</t>
  </si>
  <si>
    <t>2000</t>
  </si>
  <si>
    <t>6000</t>
  </si>
  <si>
    <t>rima das</t>
  </si>
  <si>
    <t>monika mahato</t>
  </si>
  <si>
    <t>madhya</t>
  </si>
  <si>
    <t>suman Kumari</t>
  </si>
  <si>
    <t>10-05-2024</t>
  </si>
  <si>
    <t>HCK073556</t>
  </si>
  <si>
    <t>HCK073557</t>
  </si>
  <si>
    <t>9525417068</t>
  </si>
  <si>
    <t>HCK073561</t>
  </si>
  <si>
    <t>Ragini Devi</t>
  </si>
  <si>
    <t>9234849622</t>
  </si>
  <si>
    <t>HCK073564</t>
  </si>
  <si>
    <t>8877079667</t>
  </si>
  <si>
    <t>pushpam 4000</t>
  </si>
  <si>
    <t>Rubi Kumari</t>
  </si>
  <si>
    <t>5402</t>
  </si>
  <si>
    <t>5403</t>
  </si>
  <si>
    <t>281939001468</t>
  </si>
  <si>
    <t>7003205693</t>
  </si>
  <si>
    <t>Pamila Devi</t>
  </si>
  <si>
    <t>585595041430</t>
  </si>
  <si>
    <t>5404</t>
  </si>
  <si>
    <t>5405</t>
  </si>
  <si>
    <t>Sevanand Larokar</t>
  </si>
  <si>
    <t>264330821959</t>
  </si>
  <si>
    <t>574335716301</t>
  </si>
  <si>
    <t>HCK073568</t>
  </si>
  <si>
    <t>5406</t>
  </si>
  <si>
    <t>9162964828</t>
  </si>
  <si>
    <t>HCK073570</t>
  </si>
  <si>
    <t>328965456827</t>
  </si>
  <si>
    <t>6201905490</t>
  </si>
  <si>
    <t>joydev</t>
  </si>
  <si>
    <t>shadhna</t>
  </si>
  <si>
    <t>16-05-2024</t>
  </si>
  <si>
    <t>durga kumari</t>
  </si>
  <si>
    <t>17-05-2024</t>
  </si>
  <si>
    <t>HCK073583</t>
  </si>
  <si>
    <t>Nabin Das</t>
  </si>
  <si>
    <t>5408</t>
  </si>
  <si>
    <t>9204421668</t>
  </si>
  <si>
    <t>HCK071864</t>
  </si>
  <si>
    <t>HCK073584</t>
  </si>
  <si>
    <t>9113325569</t>
  </si>
  <si>
    <t>5409</t>
  </si>
  <si>
    <t>Rajin Karmakar</t>
  </si>
  <si>
    <t>584896829127</t>
  </si>
  <si>
    <t>HCK073585</t>
  </si>
  <si>
    <t>7870510798</t>
  </si>
  <si>
    <t>Manoj Lohar</t>
  </si>
  <si>
    <t>01-005486</t>
  </si>
  <si>
    <t>sanjit pandey</t>
  </si>
  <si>
    <t>5410</t>
  </si>
  <si>
    <t>abhishek gupta</t>
  </si>
  <si>
    <t>RAJESH SEN</t>
  </si>
  <si>
    <t>HCK073590</t>
  </si>
  <si>
    <t>5411</t>
  </si>
  <si>
    <t>Shyamali Biswas</t>
  </si>
  <si>
    <t>697448631195</t>
  </si>
  <si>
    <t>9142880824</t>
  </si>
  <si>
    <t>81-5411</t>
  </si>
  <si>
    <t>HCK073592</t>
  </si>
  <si>
    <t>5412</t>
  </si>
  <si>
    <t>Rani Devi</t>
  </si>
  <si>
    <t>273798199903</t>
  </si>
  <si>
    <t>81-5412</t>
  </si>
  <si>
    <t>22-05-2024</t>
  </si>
  <si>
    <t>713524631634</t>
  </si>
  <si>
    <t>suresh bhumij</t>
  </si>
  <si>
    <t>Pachhama gaounder</t>
  </si>
  <si>
    <t>HCK073593</t>
  </si>
  <si>
    <t>samima bano</t>
  </si>
  <si>
    <t>HCK073594</t>
  </si>
  <si>
    <t>5413</t>
  </si>
  <si>
    <t>5414</t>
  </si>
  <si>
    <t>Vimla Devi</t>
  </si>
  <si>
    <t>507736125488</t>
  </si>
  <si>
    <t>896972143</t>
  </si>
  <si>
    <t>Tara Sahu</t>
  </si>
  <si>
    <t>690828039065</t>
  </si>
  <si>
    <t>81-5413</t>
  </si>
  <si>
    <t>81-5414</t>
  </si>
  <si>
    <t>dinesh Kumar</t>
  </si>
  <si>
    <t>24-05-2024</t>
  </si>
  <si>
    <t>678673849129</t>
  </si>
  <si>
    <t>25-04-2024</t>
  </si>
  <si>
    <t>Prakash dhibar</t>
  </si>
  <si>
    <t>mamta mahapatra</t>
  </si>
  <si>
    <t>27-05-2024</t>
  </si>
  <si>
    <t>sanju devi</t>
  </si>
  <si>
    <t>No paper</t>
  </si>
  <si>
    <t>HCK073615</t>
  </si>
  <si>
    <t>5416</t>
  </si>
  <si>
    <t>HCK064340</t>
  </si>
  <si>
    <t>puja Gorai</t>
  </si>
  <si>
    <t>Ratni sandil</t>
  </si>
  <si>
    <t>30-05-2024</t>
  </si>
  <si>
    <t>HCK073619</t>
  </si>
  <si>
    <t>HCK073623</t>
  </si>
  <si>
    <t>5417</t>
  </si>
  <si>
    <t>5418</t>
  </si>
  <si>
    <t>Bishram Singh</t>
  </si>
  <si>
    <t>9334895208</t>
  </si>
  <si>
    <t>5419</t>
  </si>
  <si>
    <t>Chintamani Lohar</t>
  </si>
  <si>
    <t>9060177889</t>
  </si>
  <si>
    <t>HCK073627</t>
  </si>
  <si>
    <t>03-062024</t>
  </si>
  <si>
    <t>588581-5819</t>
  </si>
  <si>
    <t>04-06-2024</t>
  </si>
  <si>
    <t>406793848309</t>
  </si>
  <si>
    <t>06-06-2024</t>
  </si>
  <si>
    <t>saraswtati das</t>
  </si>
  <si>
    <t>HCK073644</t>
  </si>
  <si>
    <t>Ashish Sahis</t>
  </si>
  <si>
    <t>5422</t>
  </si>
  <si>
    <t>Mnshi Sharma</t>
  </si>
  <si>
    <t>kamla gorai</t>
  </si>
  <si>
    <t>mrs sagar mahato</t>
  </si>
  <si>
    <t>HCK066589</t>
  </si>
  <si>
    <t>HCK073656</t>
  </si>
  <si>
    <t>5426</t>
  </si>
  <si>
    <t>Shamshunnisa Begum</t>
  </si>
  <si>
    <t>9279043851</t>
  </si>
  <si>
    <t>12-06-2024</t>
  </si>
  <si>
    <t>Akash Sahih</t>
  </si>
  <si>
    <t>7870106669</t>
  </si>
  <si>
    <t>857277166148</t>
  </si>
  <si>
    <t>tapan kpardar</t>
  </si>
  <si>
    <t>HCK073661</t>
  </si>
  <si>
    <t>01-6041</t>
  </si>
  <si>
    <t>Esther Malto</t>
  </si>
  <si>
    <t>9798320455</t>
  </si>
  <si>
    <t>13-06-2024</t>
  </si>
  <si>
    <t>293092132626</t>
  </si>
  <si>
    <t>6287253397</t>
  </si>
  <si>
    <t>13-06-202</t>
  </si>
  <si>
    <t>14-06-2024</t>
  </si>
  <si>
    <t>tpaan kpadar</t>
  </si>
  <si>
    <t>Alok Nath Das</t>
  </si>
  <si>
    <t>HCK073679</t>
  </si>
  <si>
    <t>5430</t>
  </si>
  <si>
    <t>HCK073680</t>
  </si>
  <si>
    <t>5431</t>
  </si>
  <si>
    <t>Rekha Roy</t>
  </si>
  <si>
    <t>Himalay Nirjhar Roy</t>
  </si>
  <si>
    <t>229973890244</t>
  </si>
  <si>
    <t>865979013004</t>
  </si>
  <si>
    <t>7646050199</t>
  </si>
  <si>
    <t>1906-2024</t>
  </si>
  <si>
    <t>50 due</t>
  </si>
  <si>
    <t>ram aydhya singh</t>
  </si>
  <si>
    <t>priyanka gorai</t>
  </si>
  <si>
    <t>narsingh hansda</t>
  </si>
  <si>
    <t>HCK073687</t>
  </si>
  <si>
    <t>om prakash prasad</t>
  </si>
  <si>
    <t>HCK070501</t>
  </si>
  <si>
    <t>ZONE 1B</t>
  </si>
  <si>
    <t>HCK073689</t>
  </si>
  <si>
    <t>8539093555</t>
  </si>
  <si>
    <t>Pitho Soren</t>
  </si>
  <si>
    <t>5435</t>
  </si>
  <si>
    <t>5433</t>
  </si>
  <si>
    <t>mbgbank</t>
  </si>
  <si>
    <t>janeshwar singh</t>
  </si>
  <si>
    <t>HCK073691</t>
  </si>
  <si>
    <t>5437</t>
  </si>
  <si>
    <t>8709541481</t>
  </si>
  <si>
    <t>678182373043</t>
  </si>
  <si>
    <t>539677722245</t>
  </si>
  <si>
    <t>Minu Patro</t>
  </si>
  <si>
    <t>81-1991</t>
  </si>
  <si>
    <t>HCK073694</t>
  </si>
  <si>
    <t>Manny Mukhi</t>
  </si>
  <si>
    <t>6206841624</t>
  </si>
  <si>
    <t>5440</t>
  </si>
  <si>
    <t>4777</t>
  </si>
  <si>
    <t>HCK070616</t>
  </si>
  <si>
    <t>HCK073695</t>
  </si>
  <si>
    <t>5441</t>
  </si>
  <si>
    <t>Anuj Sah</t>
  </si>
  <si>
    <t>9155178115</t>
  </si>
  <si>
    <t>Anul Sah</t>
  </si>
  <si>
    <t>pachhama gaunder</t>
  </si>
  <si>
    <t>HCK073702</t>
  </si>
  <si>
    <t>26-06-2024</t>
  </si>
  <si>
    <t>6202676233</t>
  </si>
  <si>
    <t>357762541012</t>
  </si>
  <si>
    <t>6064</t>
  </si>
  <si>
    <t>HCK073706</t>
  </si>
  <si>
    <t>01-6064</t>
  </si>
  <si>
    <t>5442</t>
  </si>
  <si>
    <t>983561751045</t>
  </si>
  <si>
    <t>9939290389</t>
  </si>
  <si>
    <t>HCK073707</t>
  </si>
  <si>
    <t>Arup Mall</t>
  </si>
  <si>
    <t>9798245782</t>
  </si>
  <si>
    <t>6066</t>
  </si>
  <si>
    <t>pushpam -6000</t>
  </si>
  <si>
    <t>28-06-2024</t>
  </si>
  <si>
    <t>29-06-2024</t>
  </si>
  <si>
    <t>Arvinash Lakra</t>
  </si>
  <si>
    <t>4061</t>
  </si>
  <si>
    <t>suz</t>
  </si>
  <si>
    <t>VI</t>
  </si>
  <si>
    <t>Rpower</t>
  </si>
  <si>
    <t>ship corp</t>
  </si>
  <si>
    <t>30-06-2024</t>
  </si>
  <si>
    <t>HCK073712</t>
  </si>
  <si>
    <t>8092290503</t>
  </si>
  <si>
    <t>Pratima Barik</t>
  </si>
  <si>
    <t>5443</t>
  </si>
  <si>
    <t>HCK073713</t>
  </si>
  <si>
    <t>5444</t>
  </si>
  <si>
    <t>Bini Barik</t>
  </si>
  <si>
    <t>buni modak</t>
  </si>
  <si>
    <t>HCK073717</t>
  </si>
  <si>
    <t>HCK073718</t>
  </si>
  <si>
    <t>9122429354</t>
  </si>
  <si>
    <t>5445</t>
  </si>
  <si>
    <t>5446</t>
  </si>
  <si>
    <t>Asma Khatoon</t>
  </si>
  <si>
    <t>Sana Firdous</t>
  </si>
  <si>
    <t>6201279730</t>
  </si>
  <si>
    <t>jaso devi</t>
  </si>
  <si>
    <t>HCK073726</t>
  </si>
  <si>
    <t>5447</t>
  </si>
  <si>
    <t>Puja Patra</t>
  </si>
  <si>
    <t>9263532781</t>
  </si>
  <si>
    <t>3343</t>
  </si>
  <si>
    <t>HCK067844</t>
  </si>
  <si>
    <t>KESHIKUDAR</t>
  </si>
  <si>
    <t>HCK073728</t>
  </si>
  <si>
    <t>bhgun sundi</t>
  </si>
  <si>
    <t>5448</t>
  </si>
  <si>
    <t>Mrs. Sahu</t>
  </si>
  <si>
    <t>04-07-2024</t>
  </si>
  <si>
    <t>05-00050</t>
  </si>
  <si>
    <t>05-07-2024</t>
  </si>
  <si>
    <t>Mousumi Sahu</t>
  </si>
  <si>
    <t>HCK073737</t>
  </si>
  <si>
    <t>Akash Munda</t>
  </si>
  <si>
    <t>Gunadhar Charmkar</t>
  </si>
  <si>
    <t>5450</t>
  </si>
  <si>
    <t>Urja global</t>
  </si>
  <si>
    <t>surana solar ltd</t>
  </si>
  <si>
    <t>Reliance home finane ltd</t>
  </si>
  <si>
    <t>Advik capital ltd</t>
  </si>
  <si>
    <t>Future Consumer ltd</t>
  </si>
  <si>
    <t>Rollatainer ltd</t>
  </si>
  <si>
    <t>GTL INFRA LTD</t>
  </si>
  <si>
    <t>INDIA STEEL WORKS LTD</t>
  </si>
  <si>
    <t>SAL STEEL LTD</t>
  </si>
  <si>
    <t>STEEL EXCHANGE INDIA LTD</t>
  </si>
  <si>
    <t>INTEGRA ESSENTIA LTD</t>
  </si>
  <si>
    <t>HCK073753</t>
  </si>
  <si>
    <t>Md Mustakim</t>
  </si>
  <si>
    <t>7209165046</t>
  </si>
  <si>
    <t>5451</t>
  </si>
  <si>
    <t>HCK073755</t>
  </si>
  <si>
    <t>5452</t>
  </si>
  <si>
    <t>5453</t>
  </si>
  <si>
    <t>Nayan Kumar</t>
  </si>
  <si>
    <t>Satyam Kumar Sahu</t>
  </si>
  <si>
    <t>HCK073757</t>
  </si>
  <si>
    <t>5454</t>
  </si>
  <si>
    <t>9608645420</t>
  </si>
  <si>
    <t>12-07-2024</t>
  </si>
  <si>
    <t>ratni sandil</t>
  </si>
  <si>
    <t>0665</t>
  </si>
  <si>
    <t>0665-1000</t>
  </si>
  <si>
    <t>HCK073759</t>
  </si>
  <si>
    <t>5455</t>
  </si>
  <si>
    <t>Sadaf Perween</t>
  </si>
  <si>
    <t>6205458762</t>
  </si>
  <si>
    <t>HCK073760</t>
  </si>
  <si>
    <t>HCK073761</t>
  </si>
  <si>
    <t>5456</t>
  </si>
  <si>
    <t>Gurmukh Singh</t>
  </si>
  <si>
    <t>9234785889</t>
  </si>
  <si>
    <t>01-6101</t>
  </si>
  <si>
    <t>Shyamal Kumar Mandal</t>
  </si>
  <si>
    <t>HCK073762</t>
  </si>
  <si>
    <t>5457</t>
  </si>
  <si>
    <t>Renu Munda</t>
  </si>
  <si>
    <t>sanchari munda</t>
  </si>
  <si>
    <t>4878</t>
  </si>
  <si>
    <t>Dhananjay singh</t>
  </si>
  <si>
    <t>01-10852</t>
  </si>
  <si>
    <t>Sanjit kr pandey</t>
  </si>
  <si>
    <t>HCK073763</t>
  </si>
  <si>
    <t>Monika Lakra</t>
  </si>
  <si>
    <t>HCK073765</t>
  </si>
  <si>
    <t>5458</t>
  </si>
  <si>
    <t>9334625109</t>
  </si>
  <si>
    <t>Priti Devi</t>
  </si>
  <si>
    <t>01-006104</t>
  </si>
  <si>
    <t>HCK073766</t>
  </si>
  <si>
    <t>HCK073768</t>
  </si>
  <si>
    <t>Pano Gorai</t>
  </si>
  <si>
    <t>5460</t>
  </si>
  <si>
    <t>5459</t>
  </si>
  <si>
    <t>HCK073769</t>
  </si>
  <si>
    <t>5461</t>
  </si>
  <si>
    <t>Chilagi Birua</t>
  </si>
  <si>
    <t>9905729287</t>
  </si>
  <si>
    <t>8092321715</t>
  </si>
  <si>
    <t>01-6404</t>
  </si>
  <si>
    <t>1</t>
  </si>
  <si>
    <t>15-07-2024</t>
  </si>
  <si>
    <t>comkport</t>
  </si>
  <si>
    <t>PERIpheral</t>
  </si>
  <si>
    <t>16-07-2024</t>
  </si>
  <si>
    <t>HCK073776</t>
  </si>
  <si>
    <t>5463</t>
  </si>
  <si>
    <t>HCK073777</t>
  </si>
  <si>
    <t>5464</t>
  </si>
  <si>
    <t>Durga Moni Sradar</t>
  </si>
  <si>
    <t>7485823555</t>
  </si>
  <si>
    <t>Durga Moni Sardar</t>
  </si>
  <si>
    <t>13-07-2024</t>
  </si>
  <si>
    <t>Sobha Karmakar</t>
  </si>
  <si>
    <t>Madhuri Mahato</t>
  </si>
  <si>
    <t>HCK073780</t>
  </si>
  <si>
    <t>5465</t>
  </si>
  <si>
    <t>Tabrez Khan</t>
  </si>
  <si>
    <t>6205420084</t>
  </si>
  <si>
    <t>Tabrej Khan</t>
  </si>
  <si>
    <t>HCK073781</t>
  </si>
  <si>
    <t>5466</t>
  </si>
  <si>
    <t>Sbambhu Banerjee</t>
  </si>
  <si>
    <t>8804382402</t>
  </si>
  <si>
    <t>18-07-2024</t>
  </si>
  <si>
    <t>HCK073794</t>
  </si>
  <si>
    <t>5467</t>
  </si>
  <si>
    <t>Shakuntala Devi</t>
  </si>
  <si>
    <t>Shakuntala Dev</t>
  </si>
  <si>
    <t>HCK073795</t>
  </si>
  <si>
    <t>5468</t>
  </si>
  <si>
    <t>Rita Dutta</t>
  </si>
  <si>
    <t>18-07-2027</t>
  </si>
  <si>
    <t>8294461875</t>
  </si>
  <si>
    <t>20-07-2024</t>
  </si>
  <si>
    <t>w/o lal mohan</t>
  </si>
  <si>
    <t>SUNITA GOPE</t>
  </si>
  <si>
    <t>HCK073801</t>
  </si>
  <si>
    <t>Sadhana umari</t>
  </si>
  <si>
    <t>Saaba Musarat</t>
  </si>
  <si>
    <t>5469</t>
  </si>
  <si>
    <t>Saba Musarat</t>
  </si>
  <si>
    <t>820568392430</t>
  </si>
  <si>
    <t>unoi</t>
  </si>
  <si>
    <t>sibo gope</t>
  </si>
  <si>
    <t>01-547</t>
  </si>
  <si>
    <t>jyoti karmakar</t>
  </si>
  <si>
    <t>694515934995</t>
  </si>
  <si>
    <t>HCK073804</t>
  </si>
  <si>
    <t>5470</t>
  </si>
  <si>
    <t>Md Abdullah</t>
  </si>
  <si>
    <t>837069239158</t>
  </si>
  <si>
    <t>sunita pardhiya</t>
  </si>
  <si>
    <t>19-07-2024</t>
  </si>
  <si>
    <t>angali sahis</t>
  </si>
  <si>
    <t>Mamata Mahapatra</t>
  </si>
  <si>
    <t>21-07-2024</t>
  </si>
  <si>
    <t>HCK073806</t>
  </si>
  <si>
    <t>indusing</t>
  </si>
  <si>
    <t>ful kumari devi</t>
  </si>
  <si>
    <t>naaz perween</t>
  </si>
  <si>
    <t>22-07-2024</t>
  </si>
  <si>
    <t>5471</t>
  </si>
  <si>
    <t>sabitri gorai</t>
  </si>
  <si>
    <t>sunil Kumar prasad</t>
  </si>
  <si>
    <t>HCK073809</t>
  </si>
  <si>
    <t>5472</t>
  </si>
  <si>
    <t>Shobha Dubey</t>
  </si>
  <si>
    <t>232831334812</t>
  </si>
  <si>
    <t>mrs kour</t>
  </si>
  <si>
    <t>Shobha dubey</t>
  </si>
  <si>
    <t>mr kuour</t>
  </si>
  <si>
    <t>anup kumar mahato</t>
  </si>
  <si>
    <t>HCK073810</t>
  </si>
  <si>
    <t>5473</t>
  </si>
  <si>
    <t>mansa Ram Sahu</t>
  </si>
  <si>
    <t>9234718535</t>
  </si>
  <si>
    <t>Mansa Ram Sahu</t>
  </si>
  <si>
    <t>HCK073813</t>
  </si>
  <si>
    <t>5474</t>
  </si>
  <si>
    <t>Priyak Chalak</t>
  </si>
  <si>
    <t>8797110215</t>
  </si>
  <si>
    <t>Priya chalak</t>
  </si>
  <si>
    <t>pinki devi</t>
  </si>
  <si>
    <t>HCK073814</t>
  </si>
  <si>
    <t>5475</t>
  </si>
  <si>
    <t>Sabita Bera</t>
  </si>
  <si>
    <t>8340195660</t>
  </si>
  <si>
    <t>HCK073815</t>
  </si>
  <si>
    <t>5476</t>
  </si>
  <si>
    <t>Nasrin Khatoon</t>
  </si>
  <si>
    <t>Jaiprakash power venture</t>
  </si>
  <si>
    <t>25-07-2024</t>
  </si>
  <si>
    <t>haripad sardar</t>
  </si>
  <si>
    <t>r Uma gounder</t>
  </si>
  <si>
    <t>24-07-2024</t>
  </si>
  <si>
    <t>8383956223</t>
  </si>
  <si>
    <t>HCK073825</t>
  </si>
  <si>
    <t>5477</t>
  </si>
  <si>
    <t>Samir Lohar</t>
  </si>
  <si>
    <t>8092876546</t>
  </si>
  <si>
    <t>623248537227</t>
  </si>
  <si>
    <t>ugar sugar</t>
  </si>
  <si>
    <t>dalmia bharat suger</t>
  </si>
  <si>
    <t>bajaj hindusthan suger ltd</t>
  </si>
  <si>
    <t>balrampur chni mile</t>
  </si>
  <si>
    <t>triven eng</t>
  </si>
  <si>
    <t>5486-01</t>
  </si>
  <si>
    <t>bobh</t>
  </si>
  <si>
    <t>HCK073844</t>
  </si>
  <si>
    <t>HCK073853</t>
  </si>
  <si>
    <t>5478</t>
  </si>
  <si>
    <t>5479</t>
  </si>
  <si>
    <t>7739350717</t>
  </si>
  <si>
    <t>Debashree Tewary</t>
  </si>
  <si>
    <t>HCK073855</t>
  </si>
  <si>
    <t>5480</t>
  </si>
  <si>
    <t>Jyoti Devi</t>
  </si>
  <si>
    <t>HCK073856</t>
  </si>
  <si>
    <t>5481</t>
  </si>
  <si>
    <t>Manika Karmakar</t>
  </si>
  <si>
    <t>7857084308</t>
  </si>
  <si>
    <t>HCK073858</t>
  </si>
  <si>
    <t>5482</t>
  </si>
  <si>
    <t>Ritu Gorai</t>
  </si>
  <si>
    <t>6205612561</t>
  </si>
  <si>
    <t>HCK073860</t>
  </si>
  <si>
    <t>5483</t>
  </si>
  <si>
    <t>Rinku manjumdar</t>
  </si>
  <si>
    <t>9661102913</t>
  </si>
  <si>
    <t>HCK073862</t>
  </si>
  <si>
    <t>5484</t>
  </si>
  <si>
    <t>Kahkasan Parwen</t>
  </si>
  <si>
    <t>HCK073864</t>
  </si>
  <si>
    <t>5485</t>
  </si>
  <si>
    <t>Zareen Perween</t>
  </si>
  <si>
    <t>9905102813</t>
  </si>
  <si>
    <t>8797126736</t>
  </si>
  <si>
    <t>Shiv Kumar Prasad</t>
  </si>
  <si>
    <t>HCK073868</t>
  </si>
  <si>
    <t>Sahenaz Parween</t>
  </si>
  <si>
    <t>7209646502</t>
  </si>
  <si>
    <t>HCK073869</t>
  </si>
  <si>
    <t>5487</t>
  </si>
  <si>
    <t>Rita Chatterjee</t>
  </si>
  <si>
    <t>inoperative</t>
  </si>
  <si>
    <t>HCK073870</t>
  </si>
  <si>
    <t>5488</t>
  </si>
  <si>
    <t>Sahinda Khatoon</t>
  </si>
  <si>
    <t>8292634449</t>
  </si>
  <si>
    <t>Sahida Khatoon</t>
  </si>
  <si>
    <t>HCK073871</t>
  </si>
  <si>
    <t>5489</t>
  </si>
  <si>
    <t>Mala Dey</t>
  </si>
  <si>
    <t>9905171766</t>
  </si>
  <si>
    <t>HCK073872</t>
  </si>
  <si>
    <t>5490</t>
  </si>
  <si>
    <t>Devi Nayak</t>
  </si>
  <si>
    <t>02-08-2024</t>
  </si>
  <si>
    <t>HCK073879</t>
  </si>
  <si>
    <t>5493</t>
  </si>
  <si>
    <t>Bindu Singh</t>
  </si>
  <si>
    <t>6205159050</t>
  </si>
  <si>
    <t>suraj gupa</t>
  </si>
  <si>
    <t>HCK073886</t>
  </si>
  <si>
    <t>5495</t>
  </si>
  <si>
    <t>Heena Begam</t>
  </si>
  <si>
    <t>8252977403</t>
  </si>
  <si>
    <t>500416359237</t>
  </si>
  <si>
    <t>Heena Begum</t>
  </si>
  <si>
    <t>HCK073887</t>
  </si>
  <si>
    <t>5496</t>
  </si>
  <si>
    <t>Mariyam Bibi</t>
  </si>
  <si>
    <t>9801319114</t>
  </si>
  <si>
    <t>682892793080</t>
  </si>
  <si>
    <t>HCK073889</t>
  </si>
  <si>
    <t>5498</t>
  </si>
  <si>
    <t>6204801749</t>
  </si>
  <si>
    <t>507635980115</t>
  </si>
  <si>
    <t>HCK073891</t>
  </si>
  <si>
    <t>692896501437</t>
  </si>
  <si>
    <t>haleema begam</t>
  </si>
  <si>
    <t>5501</t>
  </si>
  <si>
    <t>Aliya Parween</t>
  </si>
  <si>
    <t>570406416127</t>
  </si>
  <si>
    <t>HCK073893</t>
  </si>
  <si>
    <t>HCK073899</t>
  </si>
  <si>
    <t>5502</t>
  </si>
  <si>
    <t>Gelhi Dhibar</t>
  </si>
  <si>
    <t>9241880521</t>
  </si>
  <si>
    <t>914339431242</t>
  </si>
  <si>
    <t>03-08-2024</t>
  </si>
  <si>
    <t>HCK073900</t>
  </si>
  <si>
    <t>5503</t>
  </si>
  <si>
    <t>Ranjana Mishra</t>
  </si>
  <si>
    <t>70336289611</t>
  </si>
  <si>
    <t>505557165918</t>
  </si>
  <si>
    <t>Ranjana Singh</t>
  </si>
  <si>
    <t>HCK073902</t>
  </si>
  <si>
    <t>5504</t>
  </si>
  <si>
    <t>Angoori Naz</t>
  </si>
  <si>
    <t>9931746828</t>
  </si>
  <si>
    <t>Angoori naz</t>
  </si>
  <si>
    <t>911302980627</t>
  </si>
  <si>
    <t>HCK073903</t>
  </si>
  <si>
    <t>5505</t>
  </si>
  <si>
    <t>Sanil Shagufta</t>
  </si>
  <si>
    <t>937558970374</t>
  </si>
  <si>
    <t>9234737216</t>
  </si>
  <si>
    <t>ganesh panda</t>
  </si>
  <si>
    <t>HCK073906</t>
  </si>
  <si>
    <t>5506</t>
  </si>
  <si>
    <t>9031783607</t>
  </si>
  <si>
    <t>549722654544</t>
  </si>
  <si>
    <t>Shagufta perween</t>
  </si>
  <si>
    <t>HCK073907</t>
  </si>
  <si>
    <t>5507</t>
  </si>
  <si>
    <t>Moushmi Besra</t>
  </si>
  <si>
    <t>679940936148</t>
  </si>
  <si>
    <t>9113140703</t>
  </si>
  <si>
    <t>HCK073911</t>
  </si>
  <si>
    <t>5511</t>
  </si>
  <si>
    <t>Shabina Khatoon</t>
  </si>
  <si>
    <t>9102118402</t>
  </si>
  <si>
    <t>HCK073923</t>
  </si>
  <si>
    <t>5518</t>
  </si>
  <si>
    <t>Bandana Kumari</t>
  </si>
  <si>
    <t>8210343181</t>
  </si>
  <si>
    <t>HCK073926</t>
  </si>
  <si>
    <t>5520</t>
  </si>
  <si>
    <t>8235431046</t>
  </si>
  <si>
    <t>HCK073928</t>
  </si>
  <si>
    <t>5521</t>
  </si>
  <si>
    <t>HCK073932</t>
  </si>
  <si>
    <t>5523</t>
  </si>
  <si>
    <t>9334230170</t>
  </si>
  <si>
    <t>HCK073934</t>
  </si>
  <si>
    <t>5524</t>
  </si>
  <si>
    <t>Jhuma Sahu</t>
  </si>
  <si>
    <t>8210355562</t>
  </si>
  <si>
    <t>05-08-2024</t>
  </si>
  <si>
    <t>4798</t>
  </si>
  <si>
    <t>HCK073936</t>
  </si>
  <si>
    <t>5526</t>
  </si>
  <si>
    <t>Sunil Sagar</t>
  </si>
  <si>
    <t>541136931399</t>
  </si>
  <si>
    <t>9031904924</t>
  </si>
  <si>
    <t>HCK073937</t>
  </si>
  <si>
    <t>5527</t>
  </si>
  <si>
    <t>8092425467</t>
  </si>
  <si>
    <t>Anju Devi</t>
  </si>
  <si>
    <t>06-08-2024</t>
  </si>
  <si>
    <t>HCK073940</t>
  </si>
  <si>
    <t>5529</t>
  </si>
  <si>
    <t>6203755238</t>
  </si>
  <si>
    <t>866712906937</t>
  </si>
  <si>
    <t>HCK073942</t>
  </si>
  <si>
    <t>5530</t>
  </si>
  <si>
    <t>10 DUE</t>
  </si>
  <si>
    <t>Suman Mishra</t>
  </si>
  <si>
    <t>HCK073946</t>
  </si>
  <si>
    <t>01-6206</t>
  </si>
  <si>
    <t>975538058580</t>
  </si>
  <si>
    <t>Ful Kumari Devi</t>
  </si>
  <si>
    <t>swarnsingh</t>
  </si>
  <si>
    <t>HCK073958</t>
  </si>
  <si>
    <t>5537</t>
  </si>
  <si>
    <t>Vibha</t>
  </si>
  <si>
    <t>703338098</t>
  </si>
  <si>
    <t>648685583914</t>
  </si>
  <si>
    <t>HCK073960</t>
  </si>
  <si>
    <t>5538</t>
  </si>
  <si>
    <t>Reshma Parveen</t>
  </si>
  <si>
    <t>6200318490</t>
  </si>
  <si>
    <t>585197286887</t>
  </si>
  <si>
    <t>HCK073962</t>
  </si>
  <si>
    <t>5540</t>
  </si>
  <si>
    <t>Nazia Perween</t>
  </si>
  <si>
    <t>HCK073963</t>
  </si>
  <si>
    <t>5541</t>
  </si>
  <si>
    <t>Ruby Devi</t>
  </si>
  <si>
    <t>9304749541</t>
  </si>
  <si>
    <t>812292468097</t>
  </si>
  <si>
    <t>HCK073964</t>
  </si>
  <si>
    <t>5542</t>
  </si>
  <si>
    <t>9142304799</t>
  </si>
  <si>
    <t>HCK073966</t>
  </si>
  <si>
    <t>5543</t>
  </si>
  <si>
    <t>951016403365</t>
  </si>
  <si>
    <t>6203312311</t>
  </si>
  <si>
    <t>555615836845</t>
  </si>
  <si>
    <t>HCK073968</t>
  </si>
  <si>
    <t>5554</t>
  </si>
  <si>
    <t>Payel Mitra</t>
  </si>
  <si>
    <t>974409420702</t>
  </si>
  <si>
    <t>9679822630</t>
  </si>
  <si>
    <t>HCK073969</t>
  </si>
  <si>
    <t>Lakhipriya Karmakar</t>
  </si>
  <si>
    <t>708083227</t>
  </si>
  <si>
    <t>HCK073971</t>
  </si>
  <si>
    <t>5544</t>
  </si>
  <si>
    <t>5545</t>
  </si>
  <si>
    <t>5546</t>
  </si>
  <si>
    <t>Sumita Hawara</t>
  </si>
  <si>
    <t>9142733507</t>
  </si>
  <si>
    <t>530653000619</t>
  </si>
  <si>
    <t>Mani Basuri</t>
  </si>
  <si>
    <t>Sangita Verma</t>
  </si>
  <si>
    <t>5555</t>
  </si>
  <si>
    <t>07-08-2024</t>
  </si>
  <si>
    <t>HCK073974</t>
  </si>
  <si>
    <t>5548</t>
  </si>
  <si>
    <t>7209580431</t>
  </si>
  <si>
    <t>656220505056</t>
  </si>
  <si>
    <t>HCK073978</t>
  </si>
  <si>
    <t>5550</t>
  </si>
  <si>
    <t>Basira Khatun</t>
  </si>
  <si>
    <t>739004456764</t>
  </si>
  <si>
    <t>8674920327</t>
  </si>
  <si>
    <t>08-08-2024</t>
  </si>
  <si>
    <t>HCK073986</t>
  </si>
  <si>
    <t>Wajda Khatoon</t>
  </si>
  <si>
    <t>792631968788</t>
  </si>
  <si>
    <t>8252606838</t>
  </si>
  <si>
    <t>HCK073988</t>
  </si>
  <si>
    <t>5557</t>
  </si>
  <si>
    <t>8235442300</t>
  </si>
  <si>
    <t>353957806538</t>
  </si>
  <si>
    <t>Fotik Sahu</t>
  </si>
  <si>
    <t>9430710327</t>
  </si>
  <si>
    <t>HCK073991</t>
  </si>
  <si>
    <t>5560</t>
  </si>
  <si>
    <t>Nazma Khatoon</t>
  </si>
  <si>
    <t>25-02-198</t>
  </si>
  <si>
    <t>8540000342</t>
  </si>
  <si>
    <t>470881975467</t>
  </si>
  <si>
    <t>HCK07399</t>
  </si>
  <si>
    <t>5561</t>
  </si>
  <si>
    <t>Sarita Sharma</t>
  </si>
  <si>
    <t>9234759552</t>
  </si>
  <si>
    <t>HCK073995</t>
  </si>
  <si>
    <t>5563</t>
  </si>
  <si>
    <t>Rekha Singh</t>
  </si>
  <si>
    <t>683267666894</t>
  </si>
  <si>
    <t>9430377560</t>
  </si>
  <si>
    <t>rajesh gorai</t>
  </si>
  <si>
    <t>10-08-2024</t>
  </si>
  <si>
    <t>samima Bano</t>
  </si>
  <si>
    <t>viram tudu</t>
  </si>
  <si>
    <t>11-08-2024</t>
  </si>
  <si>
    <t>HCK074007</t>
  </si>
  <si>
    <t>5571</t>
  </si>
  <si>
    <t>322496089826</t>
  </si>
  <si>
    <t>8294429528</t>
  </si>
  <si>
    <t>Aarti Devi</t>
  </si>
  <si>
    <t>HCK074008</t>
  </si>
  <si>
    <t>5572</t>
  </si>
  <si>
    <t>Farida Khatoon</t>
  </si>
  <si>
    <t>8709764239</t>
  </si>
  <si>
    <t>HCK074010</t>
  </si>
  <si>
    <t>5573</t>
  </si>
  <si>
    <t>Sree Tabbsum</t>
  </si>
  <si>
    <t>758562762312</t>
  </si>
  <si>
    <t>9430776848</t>
  </si>
  <si>
    <t>HCK074017</t>
  </si>
  <si>
    <t>5574</t>
  </si>
  <si>
    <t>FARZANA KHATOON</t>
  </si>
  <si>
    <t>761461964734</t>
  </si>
  <si>
    <t>9939633712</t>
  </si>
  <si>
    <t>HCK074020</t>
  </si>
  <si>
    <t>5575</t>
  </si>
  <si>
    <t>Punita Choubey</t>
  </si>
  <si>
    <t>12-08-2024</t>
  </si>
  <si>
    <t>HCK074024</t>
  </si>
  <si>
    <t>13-08-2024</t>
  </si>
  <si>
    <t>5577</t>
  </si>
  <si>
    <t>Jitni Devi</t>
  </si>
  <si>
    <t>631009769802</t>
  </si>
  <si>
    <t>7209507321</t>
  </si>
  <si>
    <t>HCK074027</t>
  </si>
  <si>
    <t>016237</t>
  </si>
  <si>
    <t>Laldhari Das</t>
  </si>
  <si>
    <t>7461043120</t>
  </si>
  <si>
    <t>793143117508</t>
  </si>
  <si>
    <t>HCK074029</t>
  </si>
  <si>
    <t>5578</t>
  </si>
  <si>
    <t>Sandhya Karmakar</t>
  </si>
  <si>
    <t>HCK074033</t>
  </si>
  <si>
    <t>5579</t>
  </si>
  <si>
    <t>Afsa Musarrat</t>
  </si>
  <si>
    <t>8809362214</t>
  </si>
  <si>
    <t>292306340685</t>
  </si>
  <si>
    <t>14-08-2024</t>
  </si>
  <si>
    <t>979413753850</t>
  </si>
  <si>
    <t>14--08-2024</t>
  </si>
  <si>
    <t>HCK074039</t>
  </si>
  <si>
    <t>5582</t>
  </si>
  <si>
    <t>Neelam Devi</t>
  </si>
  <si>
    <t>977065959049</t>
  </si>
  <si>
    <t>7209522065</t>
  </si>
  <si>
    <t>HCK074041</t>
  </si>
  <si>
    <t>5583</t>
  </si>
  <si>
    <t>870185595891</t>
  </si>
  <si>
    <t>8789724872</t>
  </si>
  <si>
    <t>HCK074042</t>
  </si>
  <si>
    <t>5584</t>
  </si>
  <si>
    <t>Bijatwa Gorai</t>
  </si>
  <si>
    <t>753024895566</t>
  </si>
  <si>
    <t>9110186148</t>
  </si>
  <si>
    <t>tapan tapardar</t>
  </si>
  <si>
    <t>15-08-2024</t>
  </si>
  <si>
    <t>SANJIT KR PANDEWY</t>
  </si>
  <si>
    <t>15-04-2024</t>
  </si>
  <si>
    <t>7766989145</t>
  </si>
  <si>
    <t>294297789292</t>
  </si>
  <si>
    <t>comport-50</t>
  </si>
  <si>
    <t>HCK074050</t>
  </si>
  <si>
    <t>5587</t>
  </si>
  <si>
    <t>Sunaina devi</t>
  </si>
  <si>
    <t>9162708281</t>
  </si>
  <si>
    <t>656720029533</t>
  </si>
  <si>
    <t>16-08-2024</t>
  </si>
  <si>
    <t>nargis bano</t>
  </si>
  <si>
    <t>gunadhar</t>
  </si>
  <si>
    <t>HCK074060</t>
  </si>
  <si>
    <t>5589</t>
  </si>
  <si>
    <t>Md Qaish</t>
  </si>
  <si>
    <t>7250645363</t>
  </si>
  <si>
    <t>857398894523</t>
  </si>
  <si>
    <t>HCK074061</t>
  </si>
  <si>
    <t>5590</t>
  </si>
  <si>
    <t>Jyotshna Mandal</t>
  </si>
  <si>
    <t>9234399253</t>
  </si>
  <si>
    <t>524053955667</t>
  </si>
  <si>
    <t>dena</t>
  </si>
  <si>
    <t>bob-o</t>
  </si>
  <si>
    <t>Jaso devi</t>
  </si>
  <si>
    <t>17-08-2024</t>
  </si>
  <si>
    <t>NARGIS BANO</t>
  </si>
  <si>
    <t>suraj gupta</t>
  </si>
  <si>
    <t>HCK074067</t>
  </si>
  <si>
    <t>5595</t>
  </si>
  <si>
    <t>Sanjukta Bhattacharjee</t>
  </si>
  <si>
    <t>570570617150</t>
  </si>
  <si>
    <t>9162724597</t>
  </si>
  <si>
    <t>HCK074068</t>
  </si>
  <si>
    <t>5596</t>
  </si>
  <si>
    <t>Indu Bikash Bhattacharjee</t>
  </si>
  <si>
    <t>HCK074069</t>
  </si>
  <si>
    <t>5597</t>
  </si>
  <si>
    <t>Priyanka</t>
  </si>
  <si>
    <t>9708256352</t>
  </si>
  <si>
    <t>647492508428</t>
  </si>
  <si>
    <t>01-6237</t>
  </si>
  <si>
    <t>21-08-2024</t>
  </si>
  <si>
    <t>22-08-2024</t>
  </si>
  <si>
    <t>HCK074080</t>
  </si>
  <si>
    <t>5599</t>
  </si>
  <si>
    <t>6207939249</t>
  </si>
  <si>
    <t>HCK074086</t>
  </si>
  <si>
    <t>5601</t>
  </si>
  <si>
    <t>Nayan Tewary</t>
  </si>
  <si>
    <t>12-012-2015</t>
  </si>
  <si>
    <t>9547903560</t>
  </si>
  <si>
    <t>315283208915</t>
  </si>
  <si>
    <t>comport-24</t>
  </si>
  <si>
    <t>HCK074090</t>
  </si>
  <si>
    <t>5603</t>
  </si>
  <si>
    <t>Sangita Sharma</t>
  </si>
  <si>
    <t>8340353098</t>
  </si>
  <si>
    <t>914853920376</t>
  </si>
  <si>
    <t>HCK074092</t>
  </si>
  <si>
    <t>5604</t>
  </si>
  <si>
    <t>Sabina Perween</t>
  </si>
  <si>
    <t>564232275444</t>
  </si>
  <si>
    <t>7209484633</t>
  </si>
  <si>
    <t>fakir mahato</t>
  </si>
  <si>
    <t>24-01-2024</t>
  </si>
  <si>
    <t>24-08-2024</t>
  </si>
  <si>
    <t>santosh gupa</t>
  </si>
  <si>
    <t>fino</t>
  </si>
  <si>
    <t>compor-50</t>
  </si>
  <si>
    <t>26-08-2024</t>
  </si>
  <si>
    <t>HCK074099</t>
  </si>
  <si>
    <t>SUPRIYA MANNA</t>
  </si>
  <si>
    <t>5610</t>
  </si>
  <si>
    <t>625595321900</t>
  </si>
  <si>
    <t>7979961402</t>
  </si>
  <si>
    <t>440601-7830</t>
  </si>
  <si>
    <t>MD AAQIBRAJA</t>
  </si>
  <si>
    <t>HCK074100</t>
  </si>
  <si>
    <t>5611</t>
  </si>
  <si>
    <t>9234007567</t>
  </si>
  <si>
    <t>968499931727</t>
  </si>
  <si>
    <t>Meena devi</t>
  </si>
  <si>
    <t>4388</t>
  </si>
  <si>
    <t>samresh</t>
  </si>
  <si>
    <t>1695</t>
  </si>
  <si>
    <t>baby kumari</t>
  </si>
  <si>
    <t>Fakir Mahato</t>
  </si>
  <si>
    <t>Sarya Khatoon</t>
  </si>
  <si>
    <t>sangeeta kumari</t>
  </si>
  <si>
    <t>5615</t>
  </si>
  <si>
    <t>Fatma Khatoon</t>
  </si>
  <si>
    <t>RANGALI SAHIS</t>
  </si>
  <si>
    <t>HCK074123</t>
  </si>
  <si>
    <t>01-6290</t>
  </si>
  <si>
    <t>Abdul Sarfraz Khan</t>
  </si>
  <si>
    <t>7292954754</t>
  </si>
  <si>
    <t>245977000754</t>
  </si>
  <si>
    <t>HCK074124</t>
  </si>
  <si>
    <t>5617</t>
  </si>
  <si>
    <t>Renuka Bhadro</t>
  </si>
  <si>
    <t>9135864988</t>
  </si>
  <si>
    <t>shanti rani mahato</t>
  </si>
  <si>
    <t>HCK074127</t>
  </si>
  <si>
    <t>HCK074128</t>
  </si>
  <si>
    <t>5618</t>
  </si>
  <si>
    <t xml:space="preserve">Raushani </t>
  </si>
  <si>
    <t>01-6293</t>
  </si>
  <si>
    <t>HCK074130</t>
  </si>
  <si>
    <t>5619</t>
  </si>
  <si>
    <t>Tanusree Raha</t>
  </si>
  <si>
    <t>9771589220</t>
  </si>
  <si>
    <t>963725527557</t>
  </si>
  <si>
    <t>HCK074131</t>
  </si>
  <si>
    <t>5620</t>
  </si>
  <si>
    <t>Rima Upadhyay</t>
  </si>
  <si>
    <t>862428754930</t>
  </si>
  <si>
    <t>HCK074139</t>
  </si>
  <si>
    <t>5622</t>
  </si>
  <si>
    <t>Hasina Khatoon</t>
  </si>
  <si>
    <t>26670110031</t>
  </si>
  <si>
    <t>gosto  bihari mahato</t>
  </si>
  <si>
    <t>asma khatoon</t>
  </si>
  <si>
    <t>831355020604</t>
  </si>
  <si>
    <t>8809979291</t>
  </si>
  <si>
    <t>Raushani Kumari</t>
  </si>
  <si>
    <t>461071959201</t>
  </si>
  <si>
    <t>8797632284</t>
  </si>
  <si>
    <t>661972609131</t>
  </si>
  <si>
    <t>534052935556</t>
  </si>
  <si>
    <t>8092443677</t>
  </si>
  <si>
    <t>771809525911</t>
  </si>
  <si>
    <t>8873480469</t>
  </si>
  <si>
    <t>mohammad shabbir</t>
  </si>
  <si>
    <t>HCK074146</t>
  </si>
  <si>
    <t>01-6303</t>
  </si>
  <si>
    <t>Mousomi Mukherjee</t>
  </si>
  <si>
    <t>7488576217</t>
  </si>
  <si>
    <t>215585106821</t>
  </si>
  <si>
    <t>HCK074147</t>
  </si>
  <si>
    <t>5625</t>
  </si>
  <si>
    <t>Tanuja Khatoon</t>
  </si>
  <si>
    <t>797446658402</t>
  </si>
  <si>
    <t>9031353046</t>
  </si>
  <si>
    <t>01-09-2024</t>
  </si>
  <si>
    <t>02-09-2024</t>
  </si>
  <si>
    <t>03-09-2024</t>
  </si>
  <si>
    <t>haleem akhatoon</t>
  </si>
  <si>
    <t>opening balanafe</t>
  </si>
  <si>
    <t>HCK074168</t>
  </si>
  <si>
    <t>5627</t>
  </si>
  <si>
    <t>Afreen Parveen</t>
  </si>
  <si>
    <t>8319744322</t>
  </si>
  <si>
    <t>884906048745</t>
  </si>
  <si>
    <t>HCK074170</t>
  </si>
  <si>
    <t>5628</t>
  </si>
  <si>
    <t>Sony Pathak</t>
  </si>
  <si>
    <t>9304164416</t>
  </si>
  <si>
    <t>HCK074172</t>
  </si>
  <si>
    <t>5629</t>
  </si>
  <si>
    <t>Nipu Pathak</t>
  </si>
  <si>
    <t>9572552015</t>
  </si>
  <si>
    <t>04-09-2024</t>
  </si>
  <si>
    <t>sulekha kumari</t>
  </si>
  <si>
    <t>05-09-2024</t>
  </si>
  <si>
    <t>phul kumari</t>
  </si>
  <si>
    <t>HCK074173</t>
  </si>
  <si>
    <t>5630</t>
  </si>
  <si>
    <t>Md Taushif Alam</t>
  </si>
  <si>
    <t>252512514767</t>
  </si>
  <si>
    <t>8987744518</t>
  </si>
  <si>
    <t>HCK074174</t>
  </si>
  <si>
    <t>5631</t>
  </si>
  <si>
    <t>Baby Mumhi</t>
  </si>
  <si>
    <t>8102947620</t>
  </si>
  <si>
    <t>HCK074175</t>
  </si>
  <si>
    <t>5632</t>
  </si>
  <si>
    <t>8388896480</t>
  </si>
  <si>
    <t>kahkasan parween</t>
  </si>
  <si>
    <t>zareena perween</t>
  </si>
  <si>
    <t>HCK074177</t>
  </si>
  <si>
    <t>5633</t>
  </si>
  <si>
    <t>7870594633</t>
  </si>
  <si>
    <t>Bipin Singh</t>
  </si>
  <si>
    <t>Baby Mukhi</t>
  </si>
  <si>
    <t>Nazmun nisha</t>
  </si>
  <si>
    <t>HCK074184</t>
  </si>
  <si>
    <t>SELF</t>
  </si>
  <si>
    <t>COMPORT-50</t>
  </si>
  <si>
    <t>5634</t>
  </si>
  <si>
    <t>Bharat chandra mahato</t>
  </si>
  <si>
    <t>802835897</t>
  </si>
  <si>
    <t>HCK074187</t>
  </si>
  <si>
    <t>5637</t>
  </si>
  <si>
    <t>Nisha Kumari</t>
  </si>
  <si>
    <t>7992440990</t>
  </si>
  <si>
    <t>06-09-2024</t>
  </si>
  <si>
    <t>pgb</t>
  </si>
  <si>
    <t>saiba perween</t>
  </si>
  <si>
    <t>07-09-2024</t>
  </si>
  <si>
    <t>572842647500</t>
  </si>
  <si>
    <t>samriddh kumar</t>
  </si>
  <si>
    <t>santosh gupta</t>
  </si>
  <si>
    <t>lalbihari</t>
  </si>
  <si>
    <t>08-09-2024</t>
  </si>
  <si>
    <t>CHAND</t>
  </si>
  <si>
    <t>COMPORT-24</t>
  </si>
  <si>
    <t>HCK074207</t>
  </si>
  <si>
    <t>5643</t>
  </si>
  <si>
    <t>Asha Patro</t>
  </si>
  <si>
    <t>HCK074211</t>
  </si>
  <si>
    <t>01-6341</t>
  </si>
  <si>
    <t>Inderjeet Kaur</t>
  </si>
  <si>
    <t>9279148348</t>
  </si>
  <si>
    <t>HCK074212</t>
  </si>
  <si>
    <t>5644</t>
  </si>
  <si>
    <t>8873114440</t>
  </si>
  <si>
    <t>HCK074213</t>
  </si>
  <si>
    <t>5645</t>
  </si>
  <si>
    <t>Sangeeta Sharma</t>
  </si>
  <si>
    <t>397386188892</t>
  </si>
  <si>
    <t>8797463223</t>
  </si>
  <si>
    <t>Saba musarat</t>
  </si>
  <si>
    <t>neelam devi</t>
  </si>
  <si>
    <t>Rinku devi</t>
  </si>
  <si>
    <t>HCK074218</t>
  </si>
  <si>
    <t>5649</t>
  </si>
  <si>
    <t>Sushanta Sahu</t>
  </si>
  <si>
    <t>8292841144</t>
  </si>
  <si>
    <t>548445735111</t>
  </si>
  <si>
    <t>HCK074219</t>
  </si>
  <si>
    <t>Sushila devi</t>
  </si>
  <si>
    <t>245973773567</t>
  </si>
  <si>
    <t>6205035689</t>
  </si>
  <si>
    <t>5650</t>
  </si>
  <si>
    <t>HCK074220</t>
  </si>
  <si>
    <t>5651</t>
  </si>
  <si>
    <t>Shashi Bhushan Verma</t>
  </si>
  <si>
    <t>377074859875</t>
  </si>
  <si>
    <t>Tarannum Nisha</t>
  </si>
  <si>
    <t>231108083445</t>
  </si>
  <si>
    <t>488996320807</t>
  </si>
  <si>
    <t>11-09-2024</t>
  </si>
  <si>
    <t>chayna sen</t>
  </si>
  <si>
    <t>9308081367</t>
  </si>
  <si>
    <t>515857136914</t>
  </si>
  <si>
    <t>12-09-2024</t>
  </si>
  <si>
    <t>HCK074226</t>
  </si>
  <si>
    <t>5653</t>
  </si>
  <si>
    <t>8797591612</t>
  </si>
  <si>
    <t>FAKIR MAHATO</t>
  </si>
  <si>
    <t>HCK074227</t>
  </si>
  <si>
    <t>5654</t>
  </si>
  <si>
    <t>Sudebi Gorai</t>
  </si>
  <si>
    <t>9060038329</t>
  </si>
  <si>
    <t>HCK074228</t>
  </si>
  <si>
    <t>Mini Devi</t>
  </si>
  <si>
    <t>6200832060</t>
  </si>
  <si>
    <t>13-09-2024</t>
  </si>
  <si>
    <t>baby Kumari</t>
  </si>
  <si>
    <t>HCK074230</t>
  </si>
  <si>
    <t>Shobha mahato</t>
  </si>
  <si>
    <t>9263551254</t>
  </si>
  <si>
    <t>798822906103</t>
  </si>
  <si>
    <t>5655</t>
  </si>
  <si>
    <t>01-6346</t>
  </si>
  <si>
    <t>321185083041</t>
  </si>
  <si>
    <t>Nusrat Fatma</t>
  </si>
  <si>
    <t>750907654508</t>
  </si>
  <si>
    <t>987104660620</t>
  </si>
  <si>
    <t>2097</t>
  </si>
  <si>
    <t>Martha murmu</t>
  </si>
  <si>
    <t>HCK074232</t>
  </si>
  <si>
    <t>914390184940</t>
  </si>
  <si>
    <t>6287918009</t>
  </si>
  <si>
    <t>Kalawati Ahir</t>
  </si>
  <si>
    <t>HCK074233</t>
  </si>
  <si>
    <t>5656</t>
  </si>
  <si>
    <t>5657</t>
  </si>
  <si>
    <t>Esha Kumari</t>
  </si>
  <si>
    <t>532077456599</t>
  </si>
  <si>
    <t>HCK074234</t>
  </si>
  <si>
    <t>5658</t>
  </si>
  <si>
    <t>Karuna Gorai</t>
  </si>
  <si>
    <t>271877276872</t>
  </si>
  <si>
    <t>9102934978</t>
  </si>
  <si>
    <t>17-09-2024</t>
  </si>
  <si>
    <t>chanda kumari</t>
  </si>
  <si>
    <t>18-09-2024</t>
  </si>
  <si>
    <t>HCK074243</t>
  </si>
  <si>
    <t>Falak Firdous</t>
  </si>
  <si>
    <t>926400845420</t>
  </si>
  <si>
    <t>5662</t>
  </si>
  <si>
    <t>HCK074246</t>
  </si>
  <si>
    <t>Saba firdous</t>
  </si>
  <si>
    <t>270666394488</t>
  </si>
  <si>
    <t>5663</t>
  </si>
  <si>
    <t>19-09-2024</t>
  </si>
  <si>
    <t>20-09-2024</t>
  </si>
  <si>
    <t>861607251994</t>
  </si>
  <si>
    <t>HCK074249</t>
  </si>
  <si>
    <t>5664</t>
  </si>
  <si>
    <t>Shemoli Dan</t>
  </si>
  <si>
    <t>315351700295</t>
  </si>
  <si>
    <t>8987744541</t>
  </si>
  <si>
    <t>HCK074255</t>
  </si>
  <si>
    <t>5665</t>
  </si>
  <si>
    <t>Mosarrat Khatoon</t>
  </si>
  <si>
    <t>718783722205</t>
  </si>
  <si>
    <t>8797943815</t>
  </si>
  <si>
    <t>HCK074256</t>
  </si>
  <si>
    <t>5666</t>
  </si>
  <si>
    <t>663049616974</t>
  </si>
  <si>
    <t>9546279144</t>
  </si>
  <si>
    <t>HCK074257</t>
  </si>
  <si>
    <t>5667</t>
  </si>
  <si>
    <t>Sneha Maity</t>
  </si>
  <si>
    <t>598990968915</t>
  </si>
  <si>
    <t>7543993969</t>
  </si>
  <si>
    <t>HCK074258</t>
  </si>
  <si>
    <t>5668</t>
  </si>
  <si>
    <t>Chhanda Singh</t>
  </si>
  <si>
    <t>9064637963</t>
  </si>
  <si>
    <t>601366476002</t>
  </si>
  <si>
    <t>HCK074260</t>
  </si>
  <si>
    <t>AASMA TABASSUM</t>
  </si>
  <si>
    <t>01-6357</t>
  </si>
  <si>
    <t>Manju Jha</t>
  </si>
  <si>
    <t>6203134942</t>
  </si>
  <si>
    <t>21-09-2024</t>
  </si>
  <si>
    <t>jasmeet kaur</t>
  </si>
  <si>
    <t>sahina khatoon</t>
  </si>
  <si>
    <t>HCK074261</t>
  </si>
  <si>
    <t>5669</t>
  </si>
  <si>
    <t>Jagati Nayak</t>
  </si>
  <si>
    <t>236655881980</t>
  </si>
  <si>
    <t>9153757167</t>
  </si>
  <si>
    <t>HCK074262</t>
  </si>
  <si>
    <t>Saniya Perween</t>
  </si>
  <si>
    <t>826928826271</t>
  </si>
  <si>
    <t>8434700138</t>
  </si>
  <si>
    <t>5670</t>
  </si>
  <si>
    <t>HCK074263</t>
  </si>
  <si>
    <t>5671</t>
  </si>
  <si>
    <t>Kanchan Kumari</t>
  </si>
  <si>
    <t>653447663587</t>
  </si>
  <si>
    <t>7004370653</t>
  </si>
  <si>
    <t>HCK074264</t>
  </si>
  <si>
    <t>5672</t>
  </si>
  <si>
    <t>gulapsa praween</t>
  </si>
  <si>
    <t>318386301902</t>
  </si>
  <si>
    <t>8789621426</t>
  </si>
  <si>
    <t>HCK074265</t>
  </si>
  <si>
    <t>5673</t>
  </si>
  <si>
    <t>Anjum Ara</t>
  </si>
  <si>
    <t>317756406195</t>
  </si>
  <si>
    <t>RESHMA PARVEEN</t>
  </si>
  <si>
    <t>NAZIA PARWEEN</t>
  </si>
  <si>
    <t>HCK074267</t>
  </si>
  <si>
    <t>5674</t>
  </si>
  <si>
    <t>Arshi perween</t>
  </si>
  <si>
    <t>323078662016</t>
  </si>
  <si>
    <t>sarya khatoon</t>
  </si>
  <si>
    <t>HCK074268</t>
  </si>
  <si>
    <t>5675</t>
  </si>
  <si>
    <t>Rupa Kumari</t>
  </si>
  <si>
    <t>687611285328</t>
  </si>
  <si>
    <t>9031112351</t>
  </si>
  <si>
    <t>HCK074269</t>
  </si>
  <si>
    <t>5676</t>
  </si>
  <si>
    <t>Mangli Devi</t>
  </si>
  <si>
    <t>6200083095</t>
  </si>
  <si>
    <t>876283979138</t>
  </si>
  <si>
    <t>24-09-2024</t>
  </si>
  <si>
    <t>qty</t>
  </si>
  <si>
    <t>price</t>
  </si>
  <si>
    <t>leaflet print 1/8</t>
  </si>
  <si>
    <t>paper for leaflet</t>
  </si>
  <si>
    <t>banner print=4*8</t>
  </si>
  <si>
    <t>banner print=4x15x2 pc</t>
  </si>
  <si>
    <t>banner print=4x10x1 pc</t>
  </si>
  <si>
    <t>1.5x3 (4pc)</t>
  </si>
  <si>
    <t>2x6=1pc</t>
  </si>
  <si>
    <t>sunita</t>
  </si>
  <si>
    <t>HCK074274</t>
  </si>
  <si>
    <t>5677</t>
  </si>
  <si>
    <t>Narayan Sahu</t>
  </si>
  <si>
    <t>627319602511</t>
  </si>
  <si>
    <t>9852359837</t>
  </si>
  <si>
    <t>1767</t>
  </si>
  <si>
    <t>akash ram</t>
  </si>
  <si>
    <t>HCK074275</t>
  </si>
  <si>
    <t>5678</t>
  </si>
  <si>
    <t>Md Maaz Alam</t>
  </si>
  <si>
    <t>247319540578</t>
  </si>
  <si>
    <t>8797668561</t>
  </si>
  <si>
    <t>25-09-2024</t>
  </si>
  <si>
    <t>HCK074277</t>
  </si>
  <si>
    <t>5679</t>
  </si>
  <si>
    <t>786898409132</t>
  </si>
  <si>
    <t>HCK074278</t>
  </si>
  <si>
    <t>Rehana khatoon</t>
  </si>
  <si>
    <t>638776553807</t>
  </si>
  <si>
    <t>5680</t>
  </si>
  <si>
    <t>9546689439</t>
  </si>
  <si>
    <t>HCK074281</t>
  </si>
  <si>
    <t>Amita Barik</t>
  </si>
  <si>
    <t>5681</t>
  </si>
  <si>
    <t>360194985311</t>
  </si>
  <si>
    <t>9006771523</t>
  </si>
  <si>
    <t>26-09-2024</t>
  </si>
  <si>
    <t>816525619954</t>
  </si>
  <si>
    <t>HCK074283</t>
  </si>
  <si>
    <t>283377901282</t>
  </si>
  <si>
    <t>8092776094</t>
  </si>
  <si>
    <t>L.Mob</t>
  </si>
  <si>
    <t>5683</t>
  </si>
  <si>
    <t>HCK074285</t>
  </si>
  <si>
    <t>01-6365</t>
  </si>
  <si>
    <t>Sumitra Bhagat</t>
  </si>
  <si>
    <t>658272965985</t>
  </si>
  <si>
    <t>8092156768</t>
  </si>
  <si>
    <t>HCK074287</t>
  </si>
  <si>
    <t>5684</t>
  </si>
  <si>
    <t>ASHA BEHERA</t>
  </si>
  <si>
    <t>739012165102</t>
  </si>
  <si>
    <t>9905466124</t>
  </si>
  <si>
    <t>8638</t>
  </si>
  <si>
    <t>Gunadhar sahis</t>
  </si>
  <si>
    <t>HCK074288</t>
  </si>
  <si>
    <t>5685</t>
  </si>
  <si>
    <t>Reena Sharma</t>
  </si>
  <si>
    <t>514524739965</t>
  </si>
  <si>
    <t>8083813721</t>
  </si>
  <si>
    <t>27-09-2024</t>
  </si>
  <si>
    <t>HCK074293</t>
  </si>
  <si>
    <t>5686</t>
  </si>
  <si>
    <t>SHABANA PERWEEN</t>
  </si>
  <si>
    <t>521482822125</t>
  </si>
  <si>
    <t>8797211820</t>
  </si>
  <si>
    <t>HCK074294</t>
  </si>
  <si>
    <t>267049099111</t>
  </si>
  <si>
    <t>5687</t>
  </si>
  <si>
    <t>LULU SINGH</t>
  </si>
  <si>
    <t>suren munda</t>
  </si>
  <si>
    <t>28-09-2024</t>
  </si>
  <si>
    <t>HCK074297</t>
  </si>
  <si>
    <t>5690</t>
  </si>
  <si>
    <t>Rosy Young</t>
  </si>
  <si>
    <t>313172529055</t>
  </si>
  <si>
    <t>7209516447</t>
  </si>
  <si>
    <t>HCK074298</t>
  </si>
  <si>
    <t>5691</t>
  </si>
  <si>
    <t>pratima banerjee</t>
  </si>
  <si>
    <t>362164538920</t>
  </si>
  <si>
    <t>9470566995</t>
  </si>
  <si>
    <t>HCK074299</t>
  </si>
  <si>
    <t>5692</t>
  </si>
  <si>
    <t>Pooja Pathak</t>
  </si>
  <si>
    <t>602292958991</t>
  </si>
  <si>
    <t>7004750151</t>
  </si>
  <si>
    <t>kalawati dervi</t>
  </si>
  <si>
    <t>suman sharma</t>
  </si>
  <si>
    <t>kalyani singh</t>
  </si>
  <si>
    <t>naina devi</t>
  </si>
  <si>
    <t>bijay lohar</t>
  </si>
  <si>
    <t>sunita sharma</t>
  </si>
  <si>
    <t>2856</t>
  </si>
  <si>
    <t>aksara raj</t>
  </si>
  <si>
    <t>vidya jha</t>
  </si>
  <si>
    <t>mallika for self</t>
  </si>
  <si>
    <t>slef</t>
  </si>
  <si>
    <t>cash withdrawl</t>
  </si>
  <si>
    <t>HCK074304</t>
  </si>
  <si>
    <t>Shabnam Sultana</t>
  </si>
  <si>
    <t>668658506685</t>
  </si>
  <si>
    <t>5693</t>
  </si>
  <si>
    <t>30-09-20254</t>
  </si>
  <si>
    <t>Sunita choudhary</t>
  </si>
  <si>
    <t>HCK074310</t>
  </si>
  <si>
    <t>5694</t>
  </si>
  <si>
    <t>Kajori Mukherjee</t>
  </si>
  <si>
    <t>850231868499</t>
  </si>
  <si>
    <t>8092773135</t>
  </si>
  <si>
    <t>HCK074311</t>
  </si>
  <si>
    <t>5695</t>
  </si>
  <si>
    <t>591537547708</t>
  </si>
  <si>
    <t>7870239781</t>
  </si>
  <si>
    <t>Ranjan kumar Mukherjee</t>
  </si>
  <si>
    <t>HCK074312</t>
  </si>
  <si>
    <t>5696</t>
  </si>
  <si>
    <t>Puja Das</t>
  </si>
  <si>
    <t>387486519720</t>
  </si>
  <si>
    <t>8936022478</t>
  </si>
  <si>
    <t>HCK074313</t>
  </si>
  <si>
    <t>01-6380</t>
  </si>
  <si>
    <t>Rohit Karmakar</t>
  </si>
  <si>
    <t>998852288545</t>
  </si>
  <si>
    <t>8809984803</t>
  </si>
  <si>
    <t>1880-o</t>
  </si>
  <si>
    <t>ashika singh</t>
  </si>
  <si>
    <t>HCK074315</t>
  </si>
  <si>
    <t>5697</t>
  </si>
  <si>
    <t>Suraiya Bano</t>
  </si>
  <si>
    <t>256391287548</t>
  </si>
  <si>
    <t>8092713730</t>
  </si>
  <si>
    <t>HCK074319</t>
  </si>
  <si>
    <t>5698</t>
  </si>
  <si>
    <t>Shabana Perween</t>
  </si>
  <si>
    <t>341131931990</t>
  </si>
  <si>
    <t>9279237715</t>
  </si>
  <si>
    <t>01-10-2024</t>
  </si>
  <si>
    <t>AKASH RAM</t>
  </si>
  <si>
    <t>7209483044</t>
  </si>
  <si>
    <t>GIVEN</t>
  </si>
  <si>
    <t>HCK074324</t>
  </si>
  <si>
    <t>5699</t>
  </si>
  <si>
    <t>Sandhya namta</t>
  </si>
  <si>
    <t>463945029067</t>
  </si>
  <si>
    <t>8051224996</t>
  </si>
  <si>
    <t>HCK074325</t>
  </si>
  <si>
    <t>5700</t>
  </si>
  <si>
    <t>Bebi Namata</t>
  </si>
  <si>
    <t>949088192089</t>
  </si>
  <si>
    <t>gosto bihari mahato</t>
  </si>
  <si>
    <t>10031-O</t>
  </si>
  <si>
    <t>8789623055</t>
  </si>
  <si>
    <t>02-10-2024</t>
  </si>
  <si>
    <t>sri ram dwivedi</t>
  </si>
  <si>
    <t>HCK074329</t>
  </si>
  <si>
    <t>5701</t>
  </si>
  <si>
    <t>Nazia Perveen</t>
  </si>
  <si>
    <t>HCK074330</t>
  </si>
  <si>
    <t>5702</t>
  </si>
  <si>
    <t>Mantasha Mumtaz</t>
  </si>
  <si>
    <t>554436237366</t>
  </si>
  <si>
    <t>7759875286</t>
  </si>
  <si>
    <t>HCK074331</t>
  </si>
  <si>
    <t>5703</t>
  </si>
  <si>
    <t>Sanil sagufta</t>
  </si>
  <si>
    <t>Mobussherin Mumtaz</t>
  </si>
  <si>
    <t>HCK074336</t>
  </si>
  <si>
    <t>5704</t>
  </si>
  <si>
    <t>Mifzalah Mumtaz</t>
  </si>
  <si>
    <t>438899235367</t>
  </si>
  <si>
    <t>03-10-2024</t>
  </si>
  <si>
    <t>HCK074338</t>
  </si>
  <si>
    <t>5705</t>
  </si>
  <si>
    <t>9162524706</t>
  </si>
  <si>
    <t>734034670210</t>
  </si>
  <si>
    <t>Ashish Kumar Mridha</t>
  </si>
  <si>
    <t>04-10-2024</t>
  </si>
  <si>
    <t>HCK074339</t>
  </si>
  <si>
    <t>5706</t>
  </si>
  <si>
    <t>jobarani gope</t>
  </si>
  <si>
    <t>HCK074341</t>
  </si>
  <si>
    <t>5707</t>
  </si>
  <si>
    <t>Runi Devi</t>
  </si>
  <si>
    <t>9304663502</t>
  </si>
  <si>
    <t>296271427759</t>
  </si>
  <si>
    <t>50D</t>
  </si>
  <si>
    <t>kanal mandal</t>
  </si>
  <si>
    <t>Sambhu kumar Bose</t>
  </si>
  <si>
    <t>HCK074346</t>
  </si>
  <si>
    <t>5709</t>
  </si>
  <si>
    <t>Rambha mahant</t>
  </si>
  <si>
    <t>400605806047</t>
  </si>
  <si>
    <t>6204247140</t>
  </si>
  <si>
    <t>HCK074347</t>
  </si>
  <si>
    <t>5710</t>
  </si>
  <si>
    <t>Rinku kumari</t>
  </si>
  <si>
    <t>05-10-2024</t>
  </si>
  <si>
    <t>durgamani sardar</t>
  </si>
  <si>
    <t>milk</t>
  </si>
  <si>
    <t>Aanchal Ravidas</t>
  </si>
  <si>
    <t>416673926721</t>
  </si>
  <si>
    <t>06-10-2024</t>
  </si>
  <si>
    <t>raj kishor gope</t>
  </si>
  <si>
    <t>2050</t>
  </si>
  <si>
    <t>HCK066949</t>
  </si>
  <si>
    <t>TILKABASTI</t>
  </si>
  <si>
    <t>Md taushif alam</t>
  </si>
  <si>
    <t>07-10-2024</t>
  </si>
  <si>
    <t>4654</t>
  </si>
  <si>
    <t>Sangeeta Devi</t>
  </si>
  <si>
    <t>HCK074354</t>
  </si>
  <si>
    <t>5711</t>
  </si>
  <si>
    <t>Sushma Oraon</t>
  </si>
  <si>
    <t>8789545250</t>
  </si>
  <si>
    <t>HCK074355</t>
  </si>
  <si>
    <t>5712</t>
  </si>
  <si>
    <t>9508179835</t>
  </si>
  <si>
    <t>HCK074356</t>
  </si>
  <si>
    <t>5713</t>
  </si>
  <si>
    <t>7633021541</t>
  </si>
  <si>
    <t>HCK074357</t>
  </si>
  <si>
    <t>5714</t>
  </si>
  <si>
    <t>9572500977</t>
  </si>
  <si>
    <t>HCK074358</t>
  </si>
  <si>
    <t>Arpita Mukherjee Chatterjee</t>
  </si>
  <si>
    <t>8617676513</t>
  </si>
  <si>
    <t>5715</t>
  </si>
  <si>
    <t>01-6402</t>
  </si>
  <si>
    <t>Anjum Perween</t>
  </si>
  <si>
    <t>913950312171</t>
  </si>
  <si>
    <t>Priyanka Kumari</t>
  </si>
  <si>
    <t>823751746653</t>
  </si>
  <si>
    <t>781864123033</t>
  </si>
  <si>
    <t>924818477587</t>
  </si>
  <si>
    <t>224101777458</t>
  </si>
  <si>
    <t>447169712275</t>
  </si>
  <si>
    <t>HCK074361</t>
  </si>
  <si>
    <t>5716</t>
  </si>
  <si>
    <t>Deepa Gope</t>
  </si>
  <si>
    <t>9279150783</t>
  </si>
  <si>
    <t>date</t>
  </si>
  <si>
    <t>particularas</t>
  </si>
  <si>
    <t>prakash kumar pandey</t>
  </si>
  <si>
    <t>lakshmi singh</t>
  </si>
  <si>
    <t>online</t>
  </si>
  <si>
    <t>08-10-2024</t>
  </si>
  <si>
    <t>8210963493</t>
  </si>
  <si>
    <t>HCK074368</t>
  </si>
  <si>
    <t>5720</t>
  </si>
  <si>
    <t>Aliya Fatma</t>
  </si>
  <si>
    <t>7250663380</t>
  </si>
  <si>
    <t>652520572905</t>
  </si>
  <si>
    <t>shilpi devi</t>
  </si>
  <si>
    <t>HCK074373</t>
  </si>
  <si>
    <t>5722</t>
  </si>
  <si>
    <t>Habu Mal</t>
  </si>
  <si>
    <t>9709213162</t>
  </si>
  <si>
    <t>294134674979</t>
  </si>
  <si>
    <t>Jai Nath singh</t>
  </si>
  <si>
    <t>KAHKASAN PERWEEN</t>
  </si>
  <si>
    <t>1262</t>
  </si>
  <si>
    <t>durga gorai</t>
  </si>
  <si>
    <t>self cash</t>
  </si>
  <si>
    <t>nazia perween</t>
  </si>
  <si>
    <t>HCK074371</t>
  </si>
  <si>
    <t>HCK074372</t>
  </si>
  <si>
    <t>5723</t>
  </si>
  <si>
    <t>ujala Dhibar</t>
  </si>
  <si>
    <t>735655898813</t>
  </si>
  <si>
    <t>6201215780</t>
  </si>
  <si>
    <t>5724</t>
  </si>
  <si>
    <t>Tarannum Khtaoon</t>
  </si>
  <si>
    <t>09-10-2024</t>
  </si>
  <si>
    <t>comoprt-24</t>
  </si>
  <si>
    <t>HCK074375</t>
  </si>
  <si>
    <t>5725</t>
  </si>
  <si>
    <t>SHAHNAZ PERVEEN</t>
  </si>
  <si>
    <t>727581644815</t>
  </si>
  <si>
    <t>8092878183</t>
  </si>
  <si>
    <t>Manisha mandal</t>
  </si>
  <si>
    <t>anl singh</t>
  </si>
  <si>
    <t>10-10-2024</t>
  </si>
  <si>
    <t>akash munda</t>
  </si>
  <si>
    <t>mbihar</t>
  </si>
  <si>
    <t>pooja kumari</t>
  </si>
  <si>
    <t>HCK074377</t>
  </si>
  <si>
    <t>5727</t>
  </si>
  <si>
    <t>Shagufta Parveen</t>
  </si>
  <si>
    <t>204793642223</t>
  </si>
  <si>
    <t>9572785365</t>
  </si>
  <si>
    <t>HCK074378</t>
  </si>
  <si>
    <t>5728</t>
  </si>
  <si>
    <t>893939692477</t>
  </si>
  <si>
    <t>7991192776</t>
  </si>
  <si>
    <t>HCK074382</t>
  </si>
  <si>
    <t>441091296625</t>
  </si>
  <si>
    <t>Syed Jawed Akhtar</t>
  </si>
  <si>
    <t>Nazbun nisha</t>
  </si>
  <si>
    <t>856523617403</t>
  </si>
  <si>
    <t>14-10-2024</t>
  </si>
  <si>
    <t>6380</t>
  </si>
  <si>
    <t>HCK074387</t>
  </si>
  <si>
    <t>6414</t>
  </si>
  <si>
    <t>6204598858</t>
  </si>
  <si>
    <t>5729</t>
  </si>
  <si>
    <t>akash  munda</t>
  </si>
  <si>
    <t>reshma parveen</t>
  </si>
  <si>
    <t>particular</t>
  </si>
  <si>
    <t>amout</t>
  </si>
  <si>
    <t>balance</t>
  </si>
  <si>
    <t>HCK074388</t>
  </si>
  <si>
    <t>5730</t>
  </si>
  <si>
    <t>Punam</t>
  </si>
  <si>
    <t>687038907135</t>
  </si>
  <si>
    <t>15-10-2024</t>
  </si>
  <si>
    <t>HCK074389</t>
  </si>
  <si>
    <t>5731</t>
  </si>
  <si>
    <t>Farhana Perween</t>
  </si>
  <si>
    <t>879319191740</t>
  </si>
  <si>
    <t>9229160275</t>
  </si>
  <si>
    <t>HCK074391</t>
  </si>
  <si>
    <t>5732</t>
  </si>
  <si>
    <t>Sweta Kumari jha</t>
  </si>
  <si>
    <t>776938282368</t>
  </si>
  <si>
    <t>9234263272</t>
  </si>
  <si>
    <t>ratna sandil</t>
  </si>
  <si>
    <t>HCK074394</t>
  </si>
  <si>
    <t>5733</t>
  </si>
  <si>
    <t>Sandhya Gorai</t>
  </si>
  <si>
    <t>7091535413</t>
  </si>
  <si>
    <t>Pintu kumar</t>
  </si>
  <si>
    <t>16-10-2024</t>
  </si>
  <si>
    <t>HCK074400</t>
  </si>
  <si>
    <t>5734</t>
  </si>
  <si>
    <t>Sumitra Devi</t>
  </si>
  <si>
    <t>808924321349</t>
  </si>
  <si>
    <t>8789766769</t>
  </si>
  <si>
    <t>425</t>
  </si>
  <si>
    <t>HCK074402</t>
  </si>
  <si>
    <t>5735</t>
  </si>
  <si>
    <t>Jahana Khatoon</t>
  </si>
  <si>
    <t>6203185767</t>
  </si>
  <si>
    <t>HCK074403</t>
  </si>
  <si>
    <t>5737</t>
  </si>
  <si>
    <t>SHAKILA BEGAM</t>
  </si>
  <si>
    <t>553422211404</t>
  </si>
  <si>
    <t>9234730854</t>
  </si>
  <si>
    <t>Deven Mahato</t>
  </si>
  <si>
    <t>Girija devi</t>
  </si>
  <si>
    <t>sushmita santra</t>
  </si>
  <si>
    <t>shankar singh laya</t>
  </si>
  <si>
    <t>17-10-2024</t>
  </si>
  <si>
    <t>anita devi</t>
  </si>
  <si>
    <t>nittu devi</t>
  </si>
  <si>
    <t>HCK074409</t>
  </si>
  <si>
    <t>5738</t>
  </si>
  <si>
    <t>844066258555</t>
  </si>
  <si>
    <t>7857007305</t>
  </si>
  <si>
    <t>HCK074410</t>
  </si>
  <si>
    <t>5739</t>
  </si>
  <si>
    <t>Iffat Perween</t>
  </si>
  <si>
    <t>875842898863</t>
  </si>
  <si>
    <t>8863044060</t>
  </si>
  <si>
    <t>8463</t>
  </si>
  <si>
    <t>saraswti das</t>
  </si>
  <si>
    <t>renu footware</t>
  </si>
  <si>
    <t>02-105</t>
  </si>
  <si>
    <t>mallika-1685</t>
  </si>
  <si>
    <t>18-10-2024</t>
  </si>
  <si>
    <t>526221266635</t>
  </si>
  <si>
    <t>5688</t>
  </si>
  <si>
    <t>19-10-2024</t>
  </si>
  <si>
    <t>kalpana devi</t>
  </si>
  <si>
    <t>Shamima bano</t>
  </si>
  <si>
    <t>HCK074416</t>
  </si>
  <si>
    <t>5741</t>
  </si>
  <si>
    <t>398257911593</t>
  </si>
  <si>
    <t>9263720508</t>
  </si>
  <si>
    <t>Rina das</t>
  </si>
  <si>
    <t>21-10-2024</t>
  </si>
  <si>
    <t>Nagma Khatoon</t>
  </si>
  <si>
    <t>Surodhani gorai</t>
  </si>
  <si>
    <t>HCK074420</t>
  </si>
  <si>
    <t>5742</t>
  </si>
  <si>
    <t>Nazia Hasan</t>
  </si>
  <si>
    <t>511546202655</t>
  </si>
  <si>
    <t>8092526835</t>
  </si>
  <si>
    <t>HCK074421</t>
  </si>
  <si>
    <t>5743</t>
  </si>
  <si>
    <t>Doddi Mahendra Rao</t>
  </si>
  <si>
    <t>22-10-2024</t>
  </si>
  <si>
    <t>1071</t>
  </si>
  <si>
    <t>Premsila devi</t>
  </si>
  <si>
    <t>2925</t>
  </si>
  <si>
    <t>rajesh kumar singh</t>
  </si>
  <si>
    <t>6425</t>
  </si>
  <si>
    <t>23-10-2024</t>
  </si>
  <si>
    <t>HCK074428</t>
  </si>
  <si>
    <t>5744</t>
  </si>
  <si>
    <t>238064012216</t>
  </si>
  <si>
    <t>8235432639</t>
  </si>
  <si>
    <t>Ratna Gounder</t>
  </si>
  <si>
    <t>HCK074429</t>
  </si>
  <si>
    <t>HCK074431</t>
  </si>
  <si>
    <t>5745</t>
  </si>
  <si>
    <t>5746</t>
  </si>
  <si>
    <t>Sairun Khatoon</t>
  </si>
  <si>
    <t>583034674386</t>
  </si>
  <si>
    <t>8603698303</t>
  </si>
  <si>
    <t>9955465637</t>
  </si>
  <si>
    <t>941736369172</t>
  </si>
  <si>
    <t>Bina Mahanti</t>
  </si>
  <si>
    <t>HCK074432</t>
  </si>
  <si>
    <t>6445</t>
  </si>
  <si>
    <t>Badal Sen</t>
  </si>
  <si>
    <t>6202057081</t>
  </si>
  <si>
    <t>Anita devi</t>
  </si>
  <si>
    <t>24-10-2024</t>
  </si>
  <si>
    <t>HCK074434</t>
  </si>
  <si>
    <t>5747</t>
  </si>
  <si>
    <t>SHREYA Mahanti</t>
  </si>
  <si>
    <t>927273272592</t>
  </si>
  <si>
    <t>HCK074435</t>
  </si>
  <si>
    <t>5748</t>
  </si>
  <si>
    <t>Nirmal Mitra</t>
  </si>
  <si>
    <t>7004297443</t>
  </si>
  <si>
    <t>HCK074436</t>
  </si>
  <si>
    <t>6447</t>
  </si>
  <si>
    <t>Saptomi Tudu</t>
  </si>
  <si>
    <t>6204167221</t>
  </si>
  <si>
    <t>8427</t>
  </si>
  <si>
    <t>Chhotu kumar</t>
  </si>
  <si>
    <t>dilip yadav</t>
  </si>
  <si>
    <t>`7485836251</t>
  </si>
  <si>
    <t>sushma oraon</t>
  </si>
  <si>
    <t>HCK074438</t>
  </si>
  <si>
    <t>HCK074440</t>
  </si>
  <si>
    <t>5749</t>
  </si>
  <si>
    <t>5750</t>
  </si>
  <si>
    <t>Aliya Khan</t>
  </si>
  <si>
    <t>Nazneen shahida khanam</t>
  </si>
  <si>
    <t>781278904188</t>
  </si>
  <si>
    <t>9931500497</t>
  </si>
  <si>
    <t>6287727579</t>
  </si>
  <si>
    <t>504287809764</t>
  </si>
  <si>
    <t>26-10-2024</t>
  </si>
  <si>
    <t>jvgb</t>
  </si>
  <si>
    <t>Saptomi Soren</t>
  </si>
  <si>
    <t>pushpam singh-6500</t>
  </si>
  <si>
    <t>0106</t>
  </si>
  <si>
    <t>munu karmakar</t>
  </si>
  <si>
    <t>wajda khatoon</t>
  </si>
  <si>
    <t>Angoori Naaz</t>
  </si>
  <si>
    <t>rangali sahis</t>
  </si>
  <si>
    <t>28-10-2024</t>
  </si>
  <si>
    <t>7667703995</t>
  </si>
  <si>
    <t>350356236521</t>
  </si>
  <si>
    <t>48118100020658</t>
  </si>
  <si>
    <t>New</t>
  </si>
  <si>
    <t>01-1465</t>
  </si>
  <si>
    <t>Chanda Kumari</t>
  </si>
  <si>
    <t>INDUS</t>
  </si>
  <si>
    <t>SAHINA KHATOON</t>
  </si>
  <si>
    <t>HCK074444</t>
  </si>
  <si>
    <t>30-10-20245</t>
  </si>
  <si>
    <t>5751</t>
  </si>
  <si>
    <t>Priyanka Aditya</t>
  </si>
  <si>
    <t>714317006125</t>
  </si>
  <si>
    <t>7255008842</t>
  </si>
  <si>
    <t>HCK074445</t>
  </si>
  <si>
    <t>HALEEMA KHATON</t>
  </si>
  <si>
    <t>Joydeb Mondal</t>
  </si>
  <si>
    <t>Joydev mondal</t>
  </si>
  <si>
    <t>Radha devi</t>
  </si>
  <si>
    <t>HCK074446</t>
  </si>
  <si>
    <t>5752</t>
  </si>
  <si>
    <t>Sulekha Lohar</t>
  </si>
  <si>
    <t>466391138416</t>
  </si>
  <si>
    <t>9031253110</t>
  </si>
  <si>
    <t>HCK074447</t>
  </si>
  <si>
    <t>5753</t>
  </si>
  <si>
    <t>7359326798</t>
  </si>
  <si>
    <t>Sandhyarani Sardar</t>
  </si>
  <si>
    <t>944985936109</t>
  </si>
  <si>
    <t>Sunia gope</t>
  </si>
  <si>
    <t>Akash munda</t>
  </si>
  <si>
    <t>01-10031</t>
  </si>
  <si>
    <t>Gosto Bihari Mahato</t>
  </si>
  <si>
    <t>2663-01-3033</t>
  </si>
  <si>
    <t>S shva lingam</t>
  </si>
  <si>
    <t>01-101</t>
  </si>
  <si>
    <t>Alok tiwari</t>
  </si>
  <si>
    <t>01-11-2024</t>
  </si>
  <si>
    <t>HCK074449</t>
  </si>
  <si>
    <t>5754</t>
  </si>
  <si>
    <t>Rukhsar Ara</t>
  </si>
  <si>
    <t>7643057466</t>
  </si>
  <si>
    <t>HCK074450</t>
  </si>
  <si>
    <t>Indronil Biswas</t>
  </si>
  <si>
    <t>6454</t>
  </si>
  <si>
    <t>549574588091</t>
  </si>
  <si>
    <t>987672011011</t>
  </si>
  <si>
    <t>jiten lohar</t>
  </si>
  <si>
    <t>01-105</t>
  </si>
  <si>
    <t>5757</t>
  </si>
  <si>
    <t>Ritesh Mukhi</t>
  </si>
  <si>
    <t>595229517681</t>
  </si>
  <si>
    <t>9102133626</t>
  </si>
  <si>
    <t>pradep kr pandey</t>
  </si>
  <si>
    <t>04-11-2024</t>
  </si>
  <si>
    <t>Md Taushif alam</t>
  </si>
  <si>
    <t>PUTUL BISWAS</t>
  </si>
  <si>
    <t>05-11-2024</t>
  </si>
  <si>
    <t>Sahina Khatoon</t>
  </si>
  <si>
    <t>HCK074460</t>
  </si>
  <si>
    <t>5758</t>
  </si>
  <si>
    <t>Sakina Khatoon</t>
  </si>
  <si>
    <t xml:space="preserve">  686482890424</t>
  </si>
  <si>
    <t>9523420045</t>
  </si>
  <si>
    <t>HCK074461</t>
  </si>
  <si>
    <t>5759</t>
  </si>
  <si>
    <t>522307882348</t>
  </si>
  <si>
    <t>9508149905</t>
  </si>
  <si>
    <t>compor-24</t>
  </si>
  <si>
    <t>md shahid</t>
  </si>
  <si>
    <t>comort-50</t>
  </si>
  <si>
    <t>kanchan devi</t>
  </si>
  <si>
    <t>06-11-2024</t>
  </si>
  <si>
    <t>1237</t>
  </si>
  <si>
    <t>Deva karmakar</t>
  </si>
  <si>
    <t>pramila devi</t>
  </si>
  <si>
    <t>Madhuri mahato</t>
  </si>
  <si>
    <t>Rina Das</t>
  </si>
  <si>
    <t>HCK074463</t>
  </si>
  <si>
    <t>5761</t>
  </si>
  <si>
    <t>Debobrto mukherjee</t>
  </si>
  <si>
    <t>958191312360</t>
  </si>
  <si>
    <t>7070992551</t>
  </si>
  <si>
    <t>08-11-2024</t>
  </si>
  <si>
    <t>09-11-2024</t>
  </si>
  <si>
    <t>105</t>
  </si>
  <si>
    <t>Ratni devi</t>
  </si>
  <si>
    <t>Sumita sahu</t>
  </si>
  <si>
    <t>HCK074465</t>
  </si>
  <si>
    <t>5763</t>
  </si>
  <si>
    <t>Sanjeet Karmakar</t>
  </si>
  <si>
    <t>HCK074466</t>
  </si>
  <si>
    <t>6460</t>
  </si>
  <si>
    <t>8651910193</t>
  </si>
  <si>
    <t>HCK074467</t>
  </si>
  <si>
    <t>5764</t>
  </si>
  <si>
    <t>Mamta Barik</t>
  </si>
  <si>
    <t>HCK074469</t>
  </si>
  <si>
    <t>6461</t>
  </si>
  <si>
    <t>8235274426</t>
  </si>
  <si>
    <t>Purushottam Narayan Pandey</t>
  </si>
  <si>
    <t>846432124168</t>
  </si>
  <si>
    <t>Mehtab Ansari</t>
  </si>
  <si>
    <t>750325019296</t>
  </si>
  <si>
    <t>734484755582</t>
  </si>
  <si>
    <t>HCK074473</t>
  </si>
  <si>
    <t>5766</t>
  </si>
  <si>
    <t>Sazda Parwin</t>
  </si>
  <si>
    <t>907295933146</t>
  </si>
  <si>
    <t>9234446173</t>
  </si>
  <si>
    <t>4840</t>
  </si>
  <si>
    <t>haleema-8000</t>
  </si>
  <si>
    <t>HCK074474</t>
  </si>
  <si>
    <t>5767</t>
  </si>
  <si>
    <t>Ashfia Haidry</t>
  </si>
  <si>
    <t>463121185729</t>
  </si>
  <si>
    <t>7209826269</t>
  </si>
  <si>
    <t>2613</t>
  </si>
  <si>
    <t>0425</t>
  </si>
  <si>
    <t>Taramuni sharma</t>
  </si>
  <si>
    <t>HCK074475</t>
  </si>
  <si>
    <t>5768</t>
  </si>
  <si>
    <t>Shazia Hassan</t>
  </si>
  <si>
    <t>372997149141</t>
  </si>
  <si>
    <t>8235290416</t>
  </si>
  <si>
    <t>SHANI FATMA</t>
  </si>
  <si>
    <t>Sanjeet kr pandey</t>
  </si>
  <si>
    <t>01-0106</t>
  </si>
  <si>
    <t>Munu karmakar</t>
  </si>
  <si>
    <t>batuk chaitanya brahmachri</t>
  </si>
  <si>
    <t>renu devi</t>
  </si>
  <si>
    <t>mina tudu</t>
  </si>
  <si>
    <t>Laxmi mardi</t>
  </si>
  <si>
    <t>balika pramanik</t>
  </si>
  <si>
    <t>AWDH KUMAR</t>
  </si>
  <si>
    <t>1019</t>
  </si>
  <si>
    <t>Gurunam Singh</t>
  </si>
  <si>
    <t>5626</t>
  </si>
  <si>
    <t>yasmin khatton</t>
  </si>
  <si>
    <t>HCK074476</t>
  </si>
  <si>
    <t>5769</t>
  </si>
  <si>
    <t>641800680652</t>
  </si>
  <si>
    <t>7667690704</t>
  </si>
  <si>
    <t>15-11-2024</t>
  </si>
  <si>
    <t>HCK074477</t>
  </si>
  <si>
    <t>5770</t>
  </si>
  <si>
    <t>Suman Singh</t>
  </si>
  <si>
    <t>342587463291</t>
  </si>
  <si>
    <t>sanjeev kr prasasd</t>
  </si>
  <si>
    <t>HCK074478</t>
  </si>
  <si>
    <t>5771</t>
  </si>
  <si>
    <t>Anisha Khatun</t>
  </si>
  <si>
    <t>9122427927</t>
  </si>
  <si>
    <t>HCK074479</t>
  </si>
  <si>
    <t>5772</t>
  </si>
  <si>
    <t>Tapos Bhattacharjee</t>
  </si>
  <si>
    <t>494962141563</t>
  </si>
  <si>
    <t>8789071495</t>
  </si>
  <si>
    <t>Rakesh kumar singh</t>
  </si>
  <si>
    <t>Shanti Rani Mahato</t>
  </si>
  <si>
    <t>martha murmu</t>
  </si>
  <si>
    <t>sunia sharma</t>
  </si>
  <si>
    <t>HCK074483</t>
  </si>
  <si>
    <t>Pobita Dhibar</t>
  </si>
  <si>
    <t>676491596036</t>
  </si>
  <si>
    <t>6202148848</t>
  </si>
  <si>
    <t>5776</t>
  </si>
  <si>
    <t>8797065348</t>
  </si>
  <si>
    <t>vijay lohar</t>
  </si>
  <si>
    <t>HCK074484</t>
  </si>
  <si>
    <t>5777</t>
  </si>
  <si>
    <t>Rekha Nandi</t>
  </si>
  <si>
    <t>408594354835</t>
  </si>
  <si>
    <t>jgb</t>
  </si>
  <si>
    <t>Swapna Banerjee</t>
  </si>
  <si>
    <t>sanjay kr banerjee</t>
  </si>
  <si>
    <t>HCK074485</t>
  </si>
  <si>
    <t>5778</t>
  </si>
  <si>
    <t>Mohammad Hafiz Fazal</t>
  </si>
  <si>
    <t>842303388561</t>
  </si>
  <si>
    <t>9852379569</t>
  </si>
  <si>
    <t>HCK074486</t>
  </si>
  <si>
    <t>5779</t>
  </si>
  <si>
    <t>Zakia Mahir</t>
  </si>
  <si>
    <t>851687036120</t>
  </si>
  <si>
    <t>HCK074487</t>
  </si>
  <si>
    <t>5780</t>
  </si>
  <si>
    <t>Narottam sahu</t>
  </si>
  <si>
    <t>336402212075</t>
  </si>
  <si>
    <t>7079058995</t>
  </si>
  <si>
    <t>HCK074488</t>
  </si>
  <si>
    <t>5781</t>
  </si>
  <si>
    <t>Pushpa Lohar</t>
  </si>
  <si>
    <t>nisha karmakar</t>
  </si>
  <si>
    <t>HCK074489</t>
  </si>
  <si>
    <t>5782</t>
  </si>
  <si>
    <t>Haider Ali Ansari</t>
  </si>
  <si>
    <t>454645670541</t>
  </si>
  <si>
    <t>8797946284</t>
  </si>
  <si>
    <t>HCK074494</t>
  </si>
  <si>
    <t>5784</t>
  </si>
  <si>
    <t>428078983323</t>
  </si>
  <si>
    <t>HCK074495</t>
  </si>
  <si>
    <t>Safeena Wasim</t>
  </si>
  <si>
    <t>358476855145</t>
  </si>
  <si>
    <t>9279360116</t>
  </si>
  <si>
    <t>6467</t>
  </si>
  <si>
    <t>HCK074496</t>
  </si>
  <si>
    <t>5785</t>
  </si>
  <si>
    <t>8797928393</t>
  </si>
  <si>
    <t>438746494659</t>
  </si>
  <si>
    <t>rAJ nandini mukhi</t>
  </si>
  <si>
    <t>kajal kumari</t>
  </si>
  <si>
    <t>RaJ nandini mukhi</t>
  </si>
  <si>
    <t>LAXMI DEVI</t>
  </si>
  <si>
    <t>anuj das</t>
  </si>
  <si>
    <t>19-11-2024</t>
  </si>
  <si>
    <t>HCK074501</t>
  </si>
  <si>
    <t>5788</t>
  </si>
  <si>
    <t>Firdausa Khatoon</t>
  </si>
  <si>
    <t>412025714210</t>
  </si>
  <si>
    <t>chhanda chatterjee</t>
  </si>
  <si>
    <t>20-11-2024</t>
  </si>
  <si>
    <t>HCK074503</t>
  </si>
  <si>
    <t>6469</t>
  </si>
  <si>
    <t>Durga Das</t>
  </si>
  <si>
    <t>358011322108</t>
  </si>
  <si>
    <t>sanjeet</t>
  </si>
  <si>
    <t>durga das</t>
  </si>
  <si>
    <t>sampa sen</t>
  </si>
  <si>
    <t>sanjeet das</t>
  </si>
  <si>
    <t>sanil shagufta</t>
  </si>
  <si>
    <t>soni devi</t>
  </si>
  <si>
    <t>3508</t>
  </si>
  <si>
    <t>renu das</t>
  </si>
  <si>
    <t>4534</t>
  </si>
  <si>
    <t>HCK069809</t>
  </si>
  <si>
    <t>443897979927</t>
  </si>
  <si>
    <t>SARJAMDA</t>
  </si>
  <si>
    <t>21-11-2024</t>
  </si>
  <si>
    <t>81-0881</t>
  </si>
  <si>
    <t>parvati tio</t>
  </si>
  <si>
    <t>0933</t>
  </si>
  <si>
    <t>sanchari kachhap</t>
  </si>
  <si>
    <t>cash with</t>
  </si>
  <si>
    <t>smscharge</t>
  </si>
  <si>
    <t>suspense from bank side</t>
  </si>
  <si>
    <t>kruna devi</t>
  </si>
  <si>
    <t>cmp-05</t>
  </si>
  <si>
    <t>sanjit karmakar</t>
  </si>
  <si>
    <t>HCK066933</t>
  </si>
  <si>
    <t>GUNADHAR CHARMKAR</t>
  </si>
  <si>
    <t>690149584388</t>
  </si>
  <si>
    <t>6200537820</t>
  </si>
  <si>
    <t>15-12-2023</t>
  </si>
  <si>
    <t>HCK073082</t>
  </si>
  <si>
    <t>22-11-2024</t>
  </si>
  <si>
    <t>HCK074513</t>
  </si>
  <si>
    <t>5792</t>
  </si>
  <si>
    <t>JYOTI KUMARI</t>
  </si>
  <si>
    <t>489626604188</t>
  </si>
  <si>
    <t>RINA DEVI</t>
  </si>
  <si>
    <t>CASH-3475</t>
  </si>
  <si>
    <t>Lina chel</t>
  </si>
  <si>
    <t>sripati mahtao</t>
  </si>
  <si>
    <t>sanjeet kumar</t>
  </si>
  <si>
    <t>HCK074514</t>
  </si>
  <si>
    <t>5793</t>
  </si>
  <si>
    <t>9204401979</t>
  </si>
  <si>
    <t>225563426370</t>
  </si>
  <si>
    <t>mosarrat khatoon</t>
  </si>
  <si>
    <t>HCK074516</t>
  </si>
  <si>
    <t>5795</t>
  </si>
  <si>
    <t>Raquia Khatoon</t>
  </si>
  <si>
    <t>01-031986</t>
  </si>
  <si>
    <t>770384164226</t>
  </si>
  <si>
    <t>9835417745</t>
  </si>
  <si>
    <t>HCK074518</t>
  </si>
  <si>
    <t>5797</t>
  </si>
  <si>
    <t>Radha Patra</t>
  </si>
  <si>
    <t>268436043877</t>
  </si>
  <si>
    <t>9279602339</t>
  </si>
  <si>
    <t>HCK074519</t>
  </si>
  <si>
    <t>5798</t>
  </si>
  <si>
    <t>Shama Praween</t>
  </si>
  <si>
    <t>627584241350</t>
  </si>
  <si>
    <t>7209444760</t>
  </si>
  <si>
    <t>soma mahato</t>
  </si>
  <si>
    <t>24-11-2024</t>
  </si>
  <si>
    <t>HCK074520</t>
  </si>
  <si>
    <t>5799</t>
  </si>
  <si>
    <t>Zarina Khatoon</t>
  </si>
  <si>
    <t>725080151448</t>
  </si>
  <si>
    <t>9110188773</t>
  </si>
  <si>
    <t>SUREN MUNDA</t>
  </si>
  <si>
    <t>rupa singh</t>
  </si>
  <si>
    <t>25-11-2024</t>
  </si>
  <si>
    <t>krishna thakur</t>
  </si>
  <si>
    <t>Wajda khatoon</t>
  </si>
  <si>
    <t>HCK074521</t>
  </si>
  <si>
    <t>5800</t>
  </si>
  <si>
    <t>Sazia Tabassum</t>
  </si>
  <si>
    <t>Pushpa sahu</t>
  </si>
  <si>
    <t>HCK068745</t>
  </si>
  <si>
    <t>HCK074524</t>
  </si>
  <si>
    <t>5801</t>
  </si>
  <si>
    <t>Fahima Khatoon</t>
  </si>
  <si>
    <t>661848212312</t>
  </si>
  <si>
    <t>6209241518</t>
  </si>
  <si>
    <t>Khushbu devi</t>
  </si>
  <si>
    <t>HCK074526</t>
  </si>
  <si>
    <t>5802</t>
  </si>
  <si>
    <t>Saraswati Gope</t>
  </si>
  <si>
    <t>566145398279</t>
  </si>
  <si>
    <t>9229270917</t>
  </si>
  <si>
    <t>anita singh</t>
  </si>
  <si>
    <t>bob-1750</t>
  </si>
  <si>
    <t>81-0272</t>
  </si>
  <si>
    <t>Anita kumari karmakar</t>
  </si>
  <si>
    <t>mithila lohar</t>
  </si>
  <si>
    <t>HCK074528</t>
  </si>
  <si>
    <t>Kushum Durge</t>
  </si>
  <si>
    <t>5803</t>
  </si>
  <si>
    <t>845018542688</t>
  </si>
  <si>
    <t>6299297957</t>
  </si>
  <si>
    <t>HCK074529</t>
  </si>
  <si>
    <t>HCK074530</t>
  </si>
  <si>
    <t>5804</t>
  </si>
  <si>
    <t>Baby rakshit</t>
  </si>
  <si>
    <t>6481</t>
  </si>
  <si>
    <t>Aashiqui Kumari</t>
  </si>
  <si>
    <t>849664667193</t>
  </si>
  <si>
    <t>6204568497</t>
  </si>
  <si>
    <t>HCK074531</t>
  </si>
  <si>
    <t>6482</t>
  </si>
  <si>
    <t>81-0182</t>
  </si>
  <si>
    <t>soma sarkar</t>
  </si>
  <si>
    <t>HCK074532</t>
  </si>
  <si>
    <t>5805</t>
  </si>
  <si>
    <t>Puitu mahato</t>
  </si>
  <si>
    <t>9608125331</t>
  </si>
  <si>
    <t>265212284664</t>
  </si>
  <si>
    <t>386492434630</t>
  </si>
  <si>
    <t>9203562187</t>
  </si>
  <si>
    <t>HCK074533</t>
  </si>
  <si>
    <t>6483</t>
  </si>
  <si>
    <t>Sharia Nasrah</t>
  </si>
  <si>
    <t>224885662930</t>
  </si>
  <si>
    <t>7488270961</t>
  </si>
  <si>
    <t>bob-up-gramin</t>
  </si>
  <si>
    <t>roshan</t>
  </si>
  <si>
    <t>02-00105</t>
  </si>
  <si>
    <t>2765</t>
  </si>
  <si>
    <t>Tarannum nigar</t>
  </si>
  <si>
    <t>HCK067264</t>
  </si>
  <si>
    <t>Durga moni sardar</t>
  </si>
  <si>
    <t>HCK074537</t>
  </si>
  <si>
    <t>5806</t>
  </si>
  <si>
    <t>Kaniz Fatma</t>
  </si>
  <si>
    <t>9661506142</t>
  </si>
  <si>
    <t>717686872514</t>
  </si>
  <si>
    <t>HCK074539</t>
  </si>
  <si>
    <t>Rajni Thapliyal</t>
  </si>
  <si>
    <t>955489604702</t>
  </si>
  <si>
    <t>9570173003</t>
  </si>
  <si>
    <t>5807</t>
  </si>
  <si>
    <t>PANO GAGRAI</t>
  </si>
  <si>
    <t>KARTAR SINGH</t>
  </si>
  <si>
    <t>saptomi soren</t>
  </si>
  <si>
    <t>4170</t>
  </si>
  <si>
    <t>HCK074540</t>
  </si>
  <si>
    <t>26-11-2024</t>
  </si>
  <si>
    <t>5808</t>
  </si>
  <si>
    <t>Shazia Perween</t>
  </si>
  <si>
    <t>234547351301</t>
  </si>
  <si>
    <t>7870245182</t>
  </si>
  <si>
    <t>angoori naaz</t>
  </si>
  <si>
    <t>1403</t>
  </si>
  <si>
    <t>Sujata jana</t>
  </si>
  <si>
    <t>1404</t>
  </si>
  <si>
    <t>HCK074541</t>
  </si>
  <si>
    <t>613262636502</t>
  </si>
  <si>
    <t>9955782444</t>
  </si>
  <si>
    <t>Sama Parveen ansari</t>
  </si>
  <si>
    <t>5809</t>
  </si>
  <si>
    <t>Shobha Mahato</t>
  </si>
  <si>
    <t>HCK074542</t>
  </si>
  <si>
    <t>5810</t>
  </si>
  <si>
    <t>9234866613</t>
  </si>
  <si>
    <t>HCK074543</t>
  </si>
  <si>
    <t>5811</t>
  </si>
  <si>
    <t>7209525881</t>
  </si>
  <si>
    <t>276499992860</t>
  </si>
  <si>
    <t>HCK066279</t>
  </si>
  <si>
    <t>1798</t>
  </si>
  <si>
    <t>ARCHANA Tewary</t>
  </si>
  <si>
    <t>HCK074544</t>
  </si>
  <si>
    <t>5812</t>
  </si>
  <si>
    <t>Sayyada Khtoon</t>
  </si>
  <si>
    <t>600403507912</t>
  </si>
  <si>
    <t>HCK074545</t>
  </si>
  <si>
    <t>5813</t>
  </si>
  <si>
    <t>Kuraisa Khatoon</t>
  </si>
  <si>
    <t>939578099656</t>
  </si>
  <si>
    <t>8102034055</t>
  </si>
  <si>
    <t>27-11-2024</t>
  </si>
  <si>
    <t>rajendra kumar</t>
  </si>
  <si>
    <t xml:space="preserve">Pintu </t>
  </si>
  <si>
    <t>5814</t>
  </si>
  <si>
    <t>HCK074546</t>
  </si>
  <si>
    <t>Ankur Thapliyal</t>
  </si>
  <si>
    <t>257617465124</t>
  </si>
  <si>
    <t>9560454473</t>
  </si>
  <si>
    <t>Ritu gorai</t>
  </si>
  <si>
    <t>5076</t>
  </si>
  <si>
    <t>Anstka Munda</t>
  </si>
  <si>
    <t>HCK067828</t>
  </si>
  <si>
    <t>3327</t>
  </si>
  <si>
    <t>LAXMI KARUA</t>
  </si>
  <si>
    <t>HCK074555</t>
  </si>
  <si>
    <t>5816</t>
  </si>
  <si>
    <t>600939461307</t>
  </si>
  <si>
    <t>6209661708</t>
  </si>
  <si>
    <t>HCK074557</t>
  </si>
  <si>
    <t>5817</t>
  </si>
  <si>
    <t>Nirmal rakshit</t>
  </si>
  <si>
    <t>442847848031</t>
  </si>
  <si>
    <t>8092724158</t>
  </si>
  <si>
    <t>HCK074559</t>
  </si>
  <si>
    <t>5819</t>
  </si>
  <si>
    <t>Ayesha Haque</t>
  </si>
  <si>
    <t>730390107986</t>
  </si>
  <si>
    <t>7209936993</t>
  </si>
  <si>
    <t>7859031210</t>
  </si>
  <si>
    <t>withdrawal 3076</t>
  </si>
  <si>
    <t>HCK074561</t>
  </si>
  <si>
    <t>5821</t>
  </si>
  <si>
    <t>Rina Sen</t>
  </si>
  <si>
    <t>777390626057</t>
  </si>
  <si>
    <t>7903856411</t>
  </si>
  <si>
    <t>28-11-2024</t>
  </si>
  <si>
    <t>NAAZ PERWEEN</t>
  </si>
  <si>
    <t>29-11-2024</t>
  </si>
  <si>
    <t>HCK074562</t>
  </si>
  <si>
    <t>5822</t>
  </si>
  <si>
    <t>Sujata Sarkar</t>
  </si>
  <si>
    <t>HCK074563</t>
  </si>
  <si>
    <t>HCK070445</t>
  </si>
  <si>
    <t>4728</t>
  </si>
  <si>
    <t>MANGAL MACHCHHUWA</t>
  </si>
  <si>
    <t>5823</t>
  </si>
  <si>
    <t>Sutapa Sarkar</t>
  </si>
  <si>
    <t>576301117143</t>
  </si>
  <si>
    <t>8877086800</t>
  </si>
  <si>
    <t>9304534279</t>
  </si>
  <si>
    <t>369637583278</t>
  </si>
  <si>
    <t>2438</t>
  </si>
  <si>
    <t>sumitra gorai</t>
  </si>
  <si>
    <t>HCK066939</t>
  </si>
  <si>
    <t>BIRSANAGAR</t>
  </si>
  <si>
    <t>Sangita sharma</t>
  </si>
  <si>
    <t>HCK074566</t>
  </si>
  <si>
    <t>5824</t>
  </si>
  <si>
    <t>837201557678</t>
  </si>
  <si>
    <t>HCK074567</t>
  </si>
  <si>
    <t>5825</t>
  </si>
  <si>
    <t>9263348630</t>
  </si>
  <si>
    <t>7808561119</t>
  </si>
  <si>
    <t>HCK074570</t>
  </si>
  <si>
    <t>240609376362</t>
  </si>
  <si>
    <t>6498</t>
  </si>
  <si>
    <t>Sitamuni Soren</t>
  </si>
  <si>
    <t>Lakshman Goswami</t>
  </si>
  <si>
    <t>356902032170</t>
  </si>
  <si>
    <t>30-11-2024</t>
  </si>
  <si>
    <t>Nikhil kumar singh</t>
  </si>
  <si>
    <t>HCK074574</t>
  </si>
  <si>
    <t>5828</t>
  </si>
  <si>
    <t>Ajmeri khatun</t>
  </si>
  <si>
    <t>787685015674</t>
  </si>
  <si>
    <t>7765917721</t>
  </si>
  <si>
    <t>chd for self</t>
  </si>
  <si>
    <t>opening balance</t>
  </si>
  <si>
    <t>01-12-2024</t>
  </si>
  <si>
    <t>Renu Footwear</t>
  </si>
  <si>
    <t>01-1101</t>
  </si>
  <si>
    <t>BOB-10031</t>
  </si>
  <si>
    <t>GOSTO BIHARI MAHATO</t>
  </si>
  <si>
    <t>FERHIN PERWEEN</t>
  </si>
  <si>
    <t>Chandrakala Devi Mummy</t>
  </si>
  <si>
    <t>02-12-2024</t>
  </si>
  <si>
    <t>3432</t>
  </si>
  <si>
    <t>suku lohar</t>
  </si>
  <si>
    <t>1607</t>
  </si>
  <si>
    <t>saraswati soren</t>
  </si>
  <si>
    <t>5222</t>
  </si>
  <si>
    <t>Pradip kumar panda</t>
  </si>
  <si>
    <t>HCK074579</t>
  </si>
  <si>
    <t>5831</t>
  </si>
  <si>
    <t>Kumari Chanchal</t>
  </si>
  <si>
    <t>8709007002</t>
  </si>
  <si>
    <t>HCK074580</t>
  </si>
  <si>
    <t>BOB-8306</t>
  </si>
  <si>
    <t>KRISHNA TUDU</t>
  </si>
  <si>
    <t>HCK074581</t>
  </si>
  <si>
    <t>5832</t>
  </si>
  <si>
    <t>5833</t>
  </si>
  <si>
    <t>230437211039</t>
  </si>
  <si>
    <t>6299364699</t>
  </si>
  <si>
    <t>Meena sharma</t>
  </si>
  <si>
    <t>530565780408</t>
  </si>
  <si>
    <t>9031736901</t>
  </si>
  <si>
    <t>Kumari neha sharma</t>
  </si>
  <si>
    <t>jrgb</t>
  </si>
  <si>
    <t>pano tantubai</t>
  </si>
  <si>
    <t>1398</t>
  </si>
  <si>
    <t>AMRITA KUMRAI MUNDA</t>
  </si>
  <si>
    <t>Gulafshan parween</t>
  </si>
  <si>
    <t>2551</t>
  </si>
  <si>
    <t>HCK067050</t>
  </si>
  <si>
    <t>2699</t>
  </si>
  <si>
    <t>Bandana Mall</t>
  </si>
  <si>
    <t>HCK074583</t>
  </si>
  <si>
    <t>5834</t>
  </si>
  <si>
    <t>HCK074584</t>
  </si>
  <si>
    <t>5835</t>
  </si>
  <si>
    <t>959716380017</t>
  </si>
  <si>
    <t>9534130282</t>
  </si>
  <si>
    <t>Sargira khatoon</t>
  </si>
  <si>
    <t>HCK074586</t>
  </si>
  <si>
    <t>5837</t>
  </si>
  <si>
    <t>Rukshana Bano</t>
  </si>
  <si>
    <t>656558975115</t>
  </si>
  <si>
    <t>8797630616</t>
  </si>
  <si>
    <t>956426942118</t>
  </si>
  <si>
    <t>Gulnaz Begum</t>
  </si>
  <si>
    <t>701981522973</t>
  </si>
  <si>
    <t>8092344554</t>
  </si>
  <si>
    <t>327385315999</t>
  </si>
  <si>
    <t>03-12-2024</t>
  </si>
  <si>
    <t>7667129102</t>
  </si>
  <si>
    <t>191101-13924</t>
  </si>
  <si>
    <t>Rabina Bibi</t>
  </si>
  <si>
    <t>1972</t>
  </si>
  <si>
    <t>777</t>
  </si>
  <si>
    <t>anjali gorai</t>
  </si>
  <si>
    <t>HCK074587</t>
  </si>
  <si>
    <t>5838</t>
  </si>
  <si>
    <t>216878987364</t>
  </si>
  <si>
    <t>8092850557</t>
  </si>
  <si>
    <t>Rizwana Perween</t>
  </si>
  <si>
    <t>angoori</t>
  </si>
  <si>
    <t>HCK074589</t>
  </si>
  <si>
    <t>5840</t>
  </si>
  <si>
    <t>Nasreen Begum</t>
  </si>
  <si>
    <t>214330268131</t>
  </si>
  <si>
    <t>05-105</t>
  </si>
  <si>
    <t>4491</t>
  </si>
  <si>
    <t>pintu-5000</t>
  </si>
  <si>
    <t>HCK074592</t>
  </si>
  <si>
    <t>6505</t>
  </si>
  <si>
    <t>Gangi Haribina</t>
  </si>
  <si>
    <t>581933108772</t>
  </si>
  <si>
    <t>jyoti devi</t>
  </si>
  <si>
    <t>HCK074596</t>
  </si>
  <si>
    <t>5844</t>
  </si>
  <si>
    <t>Sabana Rani</t>
  </si>
  <si>
    <t>802796046280</t>
  </si>
  <si>
    <t>9661078995</t>
  </si>
  <si>
    <t>HCK074597</t>
  </si>
  <si>
    <t>5845</t>
  </si>
  <si>
    <t>Mrinal Priyanshu</t>
  </si>
  <si>
    <t>HCK074598</t>
  </si>
  <si>
    <t>5846</t>
  </si>
  <si>
    <t>630858060723</t>
  </si>
  <si>
    <t>9835347933</t>
  </si>
  <si>
    <t>543842801879</t>
  </si>
  <si>
    <t>04-12-2024</t>
  </si>
  <si>
    <t>02-0105</t>
  </si>
  <si>
    <t>????????</t>
  </si>
  <si>
    <t>2214</t>
  </si>
  <si>
    <t>Asfa Musarrat</t>
  </si>
  <si>
    <t>HCK074604</t>
  </si>
  <si>
    <t>5850</t>
  </si>
  <si>
    <t>Altama Perween</t>
  </si>
  <si>
    <t>974621420578</t>
  </si>
  <si>
    <t>jusna devi</t>
  </si>
  <si>
    <t>saraswati gope</t>
  </si>
  <si>
    <t>padma lochan mahato</t>
  </si>
  <si>
    <t>9102315101</t>
  </si>
  <si>
    <t>HCK074606</t>
  </si>
  <si>
    <t>5851</t>
  </si>
  <si>
    <t>908615995150</t>
  </si>
  <si>
    <t>HCK074608</t>
  </si>
  <si>
    <t>5852</t>
  </si>
  <si>
    <t>Kalpana Mahato</t>
  </si>
  <si>
    <t>583393647474</t>
  </si>
  <si>
    <t>9835193168</t>
  </si>
  <si>
    <t>2037</t>
  </si>
  <si>
    <t>sunita prasad</t>
  </si>
  <si>
    <t>HCK074611</t>
  </si>
  <si>
    <t>5854</t>
  </si>
  <si>
    <t>Rekha Mandal</t>
  </si>
  <si>
    <t>HCK074612</t>
  </si>
  <si>
    <t>5855</t>
  </si>
  <si>
    <t>Milan Mahato</t>
  </si>
  <si>
    <t>978512671575</t>
  </si>
  <si>
    <t>9771759164</t>
  </si>
  <si>
    <t>06-12-2024</t>
  </si>
  <si>
    <t>HCK074613</t>
  </si>
  <si>
    <t>9430155615</t>
  </si>
  <si>
    <t>918254315093</t>
  </si>
  <si>
    <t>5856</t>
  </si>
  <si>
    <t>Subhashish Bhattacharjee</t>
  </si>
  <si>
    <t>Deba Karmakar</t>
  </si>
  <si>
    <t>HCK074616</t>
  </si>
  <si>
    <t>5857</t>
  </si>
  <si>
    <t>CHHOTU KUMAR</t>
  </si>
  <si>
    <t>257644959119</t>
  </si>
  <si>
    <t>7631031554</t>
  </si>
  <si>
    <t>BABY Bhattacharjee</t>
  </si>
  <si>
    <t>HCK074615</t>
  </si>
  <si>
    <t>5858</t>
  </si>
  <si>
    <t>Sandharani Mahato</t>
  </si>
  <si>
    <t>232258459876</t>
  </si>
  <si>
    <t>9955344713</t>
  </si>
  <si>
    <t>HCK074618</t>
  </si>
  <si>
    <t>5860</t>
  </si>
  <si>
    <t>Sweta Singh</t>
  </si>
  <si>
    <t>495583367509</t>
  </si>
  <si>
    <t>7209145149</t>
  </si>
  <si>
    <t>8521073131</t>
  </si>
  <si>
    <t>nimai jamura</t>
  </si>
  <si>
    <t>4785</t>
  </si>
  <si>
    <t>Abdul hasib</t>
  </si>
  <si>
    <t>tabrej khan</t>
  </si>
  <si>
    <t>sunita devi</t>
  </si>
  <si>
    <t>comport-50 for tranfrt to  105</t>
  </si>
  <si>
    <t>5861</t>
  </si>
  <si>
    <t>Mafruza Khatoon</t>
  </si>
  <si>
    <t>335588464005</t>
  </si>
  <si>
    <t>9234016917</t>
  </si>
  <si>
    <t>HCK072086</t>
  </si>
  <si>
    <t>delivered</t>
  </si>
  <si>
    <t>Deshbandhu mahato</t>
  </si>
  <si>
    <t>07-12-2024</t>
  </si>
  <si>
    <t>anju devi</t>
  </si>
  <si>
    <t>09-12-2024</t>
  </si>
  <si>
    <t>9508176816</t>
  </si>
  <si>
    <t>1478</t>
  </si>
  <si>
    <t>HCK074623</t>
  </si>
  <si>
    <t>5863</t>
  </si>
  <si>
    <t>Vijay Francis</t>
  </si>
  <si>
    <t>307595704874</t>
  </si>
  <si>
    <t>8092876760</t>
  </si>
  <si>
    <t>Pushpa patro</t>
  </si>
  <si>
    <t>3447</t>
  </si>
  <si>
    <t>champa gorai</t>
  </si>
  <si>
    <t>10-12-2024</t>
  </si>
  <si>
    <t>HCK074624</t>
  </si>
  <si>
    <t>5864</t>
  </si>
  <si>
    <t>Shahin Afreen</t>
  </si>
  <si>
    <t>Najmun Nisha</t>
  </si>
  <si>
    <t>HCK074625</t>
  </si>
  <si>
    <t>5865</t>
  </si>
  <si>
    <t>Nini Karua</t>
  </si>
  <si>
    <t>347620843903</t>
  </si>
  <si>
    <t>6203657143</t>
  </si>
  <si>
    <t>Sangit Dvi</t>
  </si>
  <si>
    <t>Debi Bhattacharjee</t>
  </si>
  <si>
    <t>namita mahato</t>
  </si>
  <si>
    <t>deva karmakar</t>
  </si>
  <si>
    <t>11-12-2024</t>
  </si>
  <si>
    <t>7739333839</t>
  </si>
  <si>
    <t>924014394644</t>
  </si>
  <si>
    <t>3335</t>
  </si>
  <si>
    <t>HCK066095</t>
  </si>
  <si>
    <t>1614</t>
  </si>
  <si>
    <t>HCK066102</t>
  </si>
  <si>
    <t>HCK074626</t>
  </si>
  <si>
    <t>PRADIP KR PANDA</t>
  </si>
  <si>
    <t>5866</t>
  </si>
  <si>
    <t>Gauhar Yasmin</t>
  </si>
  <si>
    <t>9525986940</t>
  </si>
  <si>
    <t>8084799918</t>
  </si>
  <si>
    <t>753421946084</t>
  </si>
  <si>
    <t>3705</t>
  </si>
  <si>
    <t>lalbabu gupta</t>
  </si>
  <si>
    <t>chhotu kumar</t>
  </si>
  <si>
    <t>211281-5700</t>
  </si>
  <si>
    <t>rekha devi</t>
  </si>
  <si>
    <t>Parwati besra</t>
  </si>
  <si>
    <t>Renu Footwear-3500</t>
  </si>
  <si>
    <t>cash withdrawal-self</t>
  </si>
  <si>
    <t>12-12-2024</t>
  </si>
  <si>
    <t>shakti patra</t>
  </si>
  <si>
    <t>0849</t>
  </si>
  <si>
    <t>panda</t>
  </si>
  <si>
    <t>nikhil kumar singh</t>
  </si>
  <si>
    <t>kala hansdah</t>
  </si>
  <si>
    <t>Saroj Sharma</t>
  </si>
  <si>
    <t>HCK067831</t>
  </si>
  <si>
    <t>3330</t>
  </si>
  <si>
    <t>HCK065556</t>
  </si>
  <si>
    <t>1134</t>
  </si>
  <si>
    <t>Fultushi begum</t>
  </si>
  <si>
    <t>suran munda</t>
  </si>
  <si>
    <t>191101-1916</t>
  </si>
  <si>
    <t>191181-3467</t>
  </si>
  <si>
    <t>13-12-2024</t>
  </si>
  <si>
    <t>9931092805</t>
  </si>
  <si>
    <t>4665</t>
  </si>
  <si>
    <t>binati bala mahato</t>
  </si>
  <si>
    <t>HCK074633</t>
  </si>
  <si>
    <t>5867</t>
  </si>
  <si>
    <t>Ayesha Hussain</t>
  </si>
  <si>
    <t>874570322003</t>
  </si>
  <si>
    <t>8210403101</t>
  </si>
  <si>
    <t>HCK074634</t>
  </si>
  <si>
    <t>5868</t>
  </si>
  <si>
    <t>sk Asad Alam</t>
  </si>
  <si>
    <t>591166746626</t>
  </si>
  <si>
    <t>471560595043</t>
  </si>
  <si>
    <t>9279905122</t>
  </si>
  <si>
    <t>HCK074638</t>
  </si>
  <si>
    <t>5870</t>
  </si>
  <si>
    <t>Firdaus Ghazali</t>
  </si>
  <si>
    <t>9135207627</t>
  </si>
  <si>
    <t>770888796520</t>
  </si>
  <si>
    <t>14-12-2024</t>
  </si>
  <si>
    <t>HCK074639</t>
  </si>
  <si>
    <t>1105</t>
  </si>
  <si>
    <t>5871</t>
  </si>
  <si>
    <t>Shahina Perween</t>
  </si>
  <si>
    <t>HCK074640</t>
  </si>
  <si>
    <t>Ria Kumari</t>
  </si>
  <si>
    <t>5872</t>
  </si>
  <si>
    <t>820115173302</t>
  </si>
  <si>
    <t>8539925690</t>
  </si>
  <si>
    <t>8092878115</t>
  </si>
  <si>
    <t>shamresh kumar</t>
  </si>
  <si>
    <t>cnr</t>
  </si>
  <si>
    <t>mohammad muslim</t>
  </si>
  <si>
    <t>HCK074641</t>
  </si>
  <si>
    <t>5873</t>
  </si>
  <si>
    <t>Anjali Saha</t>
  </si>
  <si>
    <t>492773355730</t>
  </si>
  <si>
    <t>9431970571</t>
  </si>
  <si>
    <t>16-12-2024</t>
  </si>
  <si>
    <t>HCL066472</t>
  </si>
  <si>
    <t>8434671966</t>
  </si>
  <si>
    <t>766343998416</t>
  </si>
  <si>
    <t>17-12-2024</t>
  </si>
  <si>
    <t>HCK074647</t>
  </si>
  <si>
    <t>5875</t>
  </si>
  <si>
    <t>Algam Firdous</t>
  </si>
  <si>
    <t>578830928900</t>
  </si>
  <si>
    <t>7870265361</t>
  </si>
  <si>
    <t>01-6469</t>
  </si>
  <si>
    <t>2738</t>
  </si>
  <si>
    <t>Laxmi Sahis</t>
  </si>
  <si>
    <t>pudhpsmqqq</t>
  </si>
  <si>
    <t>Pabita Dhibar</t>
  </si>
  <si>
    <t>18-12-2024</t>
  </si>
  <si>
    <t>renu football</t>
  </si>
  <si>
    <t>depotiseted</t>
  </si>
  <si>
    <t>rafique</t>
  </si>
  <si>
    <t>panchami mahato</t>
  </si>
  <si>
    <t>renu footwear</t>
  </si>
  <si>
    <t>sapan pal</t>
  </si>
  <si>
    <t>mallika-500</t>
  </si>
  <si>
    <t>CASH</t>
  </si>
  <si>
    <t>rupa munda</t>
  </si>
  <si>
    <t>aarti devi</t>
  </si>
  <si>
    <t>NAZBUN NSHA</t>
  </si>
  <si>
    <t>sadhna devi</t>
  </si>
  <si>
    <t>HCK074659</t>
  </si>
  <si>
    <t>7249477643</t>
  </si>
  <si>
    <t>221674501576</t>
  </si>
  <si>
    <t>Hira Singh</t>
  </si>
  <si>
    <t>5878</t>
  </si>
  <si>
    <t>Dinesh prasad singh</t>
  </si>
  <si>
    <t>Durga Gorai</t>
  </si>
  <si>
    <t>parwati mudna</t>
  </si>
  <si>
    <t>Saraswati gope</t>
  </si>
  <si>
    <t>Bob</t>
  </si>
  <si>
    <t>1750</t>
  </si>
  <si>
    <t>Anita singh</t>
  </si>
  <si>
    <t>Suman mishra</t>
  </si>
  <si>
    <t>Roshni munda</t>
  </si>
  <si>
    <t>4208</t>
  </si>
  <si>
    <t>Neha kumari</t>
  </si>
  <si>
    <t>81-0738</t>
  </si>
  <si>
    <t>1395</t>
  </si>
  <si>
    <t>reshma kachhap</t>
  </si>
  <si>
    <t>HCK074661</t>
  </si>
  <si>
    <t>5880</t>
  </si>
  <si>
    <t>Mohammad Jamal Hussain</t>
  </si>
  <si>
    <t>917696674786</t>
  </si>
  <si>
    <t>9939503385</t>
  </si>
  <si>
    <t>ajay hembram</t>
  </si>
  <si>
    <t>191101-16436</t>
  </si>
  <si>
    <t>Jesmin khatun</t>
  </si>
  <si>
    <t>25-12-2024</t>
  </si>
  <si>
    <t>rt=mdl</t>
  </si>
  <si>
    <t>ashok yadav</t>
  </si>
  <si>
    <t>sunil mahato</t>
  </si>
  <si>
    <t>JYOTSNA SOY</t>
  </si>
  <si>
    <t>HCK074675</t>
  </si>
  <si>
    <t>5881</t>
  </si>
  <si>
    <t>Dipika Nag</t>
  </si>
  <si>
    <t>610663105062</t>
  </si>
  <si>
    <t>8539906772</t>
  </si>
  <si>
    <t>sanjit mahato</t>
  </si>
  <si>
    <t>najmun Nisa</t>
  </si>
  <si>
    <t>HCK074677</t>
  </si>
  <si>
    <t>HCK074678</t>
  </si>
  <si>
    <t>5882</t>
  </si>
  <si>
    <t>5883</t>
  </si>
  <si>
    <t>9304001756</t>
  </si>
  <si>
    <t>HCK074679</t>
  </si>
  <si>
    <t>5884</t>
  </si>
  <si>
    <t>Jyoti Kumari</t>
  </si>
  <si>
    <t>HCK065816</t>
  </si>
  <si>
    <t>NAYA BASTI</t>
  </si>
  <si>
    <t>1337</t>
  </si>
  <si>
    <t>Rakhi Gorai</t>
  </si>
  <si>
    <t>Deborato mukherjee</t>
  </si>
  <si>
    <t>HCK074680</t>
  </si>
  <si>
    <t>5885</t>
  </si>
  <si>
    <t>Manu</t>
  </si>
  <si>
    <t>8210206450</t>
  </si>
  <si>
    <t>769114338935</t>
  </si>
  <si>
    <t>333831004446</t>
  </si>
  <si>
    <t>384709835197</t>
  </si>
  <si>
    <t>705681585228</t>
  </si>
  <si>
    <t>HCK074683</t>
  </si>
  <si>
    <t>5886</t>
  </si>
  <si>
    <t>Kesari Tudu</t>
  </si>
  <si>
    <t>584604313947</t>
  </si>
  <si>
    <t>6204271630</t>
  </si>
  <si>
    <t>fulkumari devi</t>
  </si>
  <si>
    <t>27-12-2024</t>
  </si>
  <si>
    <t>28-12-2024</t>
  </si>
  <si>
    <t>29-12-2024</t>
  </si>
  <si>
    <t>30-12-2024</t>
  </si>
  <si>
    <t>jaso dvi</t>
  </si>
  <si>
    <t>266701-10031</t>
  </si>
  <si>
    <t>shobha devi</t>
  </si>
  <si>
    <t>shabnam Khatoon</t>
  </si>
  <si>
    <t>Surendra Nath  Mahato</t>
  </si>
  <si>
    <t>Dipa munda</t>
  </si>
  <si>
    <t>Pradip kumar munda</t>
  </si>
  <si>
    <t>nazbu nisha</t>
  </si>
  <si>
    <t>HCK074708</t>
  </si>
  <si>
    <t>5887</t>
  </si>
  <si>
    <t>13-06-1998</t>
  </si>
  <si>
    <t>8797595220</t>
  </si>
  <si>
    <t>6200145812</t>
  </si>
  <si>
    <t>Debjit Ghanty</t>
  </si>
  <si>
    <t>Debjit Ghanti</t>
  </si>
  <si>
    <t>655023455644</t>
  </si>
  <si>
    <t xml:space="preserve">rajesh sen </t>
  </si>
  <si>
    <t>mrinal</t>
  </si>
  <si>
    <t>HCK074711</t>
  </si>
  <si>
    <t>5888</t>
  </si>
  <si>
    <t>02-0364</t>
  </si>
  <si>
    <t>amresh</t>
  </si>
  <si>
    <t>HCK074712</t>
  </si>
  <si>
    <t>5889</t>
  </si>
  <si>
    <t>9064022251</t>
  </si>
  <si>
    <t>dhibar</t>
  </si>
  <si>
    <t>rabina bibi</t>
  </si>
  <si>
    <t>HCK074713</t>
  </si>
  <si>
    <t>5890</t>
  </si>
  <si>
    <t>8434705400</t>
  </si>
  <si>
    <t>385845567967</t>
  </si>
  <si>
    <t>28-11-1996</t>
  </si>
  <si>
    <t>Shagufta Halim</t>
  </si>
  <si>
    <t>532645307478</t>
  </si>
  <si>
    <t>191101-10776</t>
  </si>
  <si>
    <t>jahrul sk</t>
  </si>
  <si>
    <t>Rakhi mahato</t>
  </si>
  <si>
    <t>Monika Bhadur</t>
  </si>
  <si>
    <t>07-01-2025</t>
  </si>
  <si>
    <t>6202231083</t>
  </si>
  <si>
    <t>Debrato mukherjee</t>
  </si>
  <si>
    <t>saroj sharma</t>
  </si>
  <si>
    <t>2662</t>
  </si>
  <si>
    <t>Parwati Besra</t>
  </si>
  <si>
    <t>Rrummana Khatun</t>
  </si>
  <si>
    <t>Shahina perween</t>
  </si>
  <si>
    <t>Farida Khatun</t>
  </si>
  <si>
    <t>Sangita kumari</t>
  </si>
  <si>
    <t>3499</t>
  </si>
  <si>
    <t>NEHA PERWEEN</t>
  </si>
  <si>
    <t>CASH WITHDRAWAL</t>
  </si>
  <si>
    <t>Reshma kachhap</t>
  </si>
  <si>
    <t>sadaf perween</t>
  </si>
  <si>
    <t>Mithila lohar</t>
  </si>
  <si>
    <t>Sayra khatoon</t>
  </si>
  <si>
    <t>4720</t>
  </si>
  <si>
    <t>zeenat perween</t>
  </si>
  <si>
    <t>durga mani sardar</t>
  </si>
  <si>
    <t>1881</t>
  </si>
  <si>
    <t>Munni devi</t>
  </si>
  <si>
    <t>1370</t>
  </si>
  <si>
    <t>Mantosh Rajwar</t>
  </si>
  <si>
    <t>Saraswati das</t>
  </si>
  <si>
    <t>AKASH MUNDA</t>
  </si>
  <si>
    <t>304</t>
  </si>
  <si>
    <t>gramin bank</t>
  </si>
  <si>
    <t>ANJALI GORAI</t>
  </si>
  <si>
    <t>3160</t>
  </si>
  <si>
    <t>Jayanti pramanik</t>
  </si>
  <si>
    <t>346</t>
  </si>
  <si>
    <t>Sima Khatun</t>
  </si>
  <si>
    <t>4076</t>
  </si>
  <si>
    <t>Binni Durge</t>
  </si>
  <si>
    <t>Nitu Devi</t>
  </si>
  <si>
    <t>5708</t>
  </si>
  <si>
    <t>Afsana khatun</t>
  </si>
  <si>
    <t>Afreen parveen</t>
  </si>
  <si>
    <t>01-5208</t>
  </si>
  <si>
    <t>Renuka kaur</t>
  </si>
  <si>
    <t>Sushma oraon</t>
  </si>
  <si>
    <t>1940</t>
  </si>
  <si>
    <t>Nahida khaton</t>
  </si>
  <si>
    <t>afsa musarrat</t>
  </si>
  <si>
    <t>Nazia perween</t>
  </si>
  <si>
    <t>1464</t>
  </si>
  <si>
    <t>Dolan pramanik</t>
  </si>
  <si>
    <t>nazbun nisha</t>
  </si>
  <si>
    <t>fahima khatoon</t>
  </si>
  <si>
    <t>najmun nisha</t>
  </si>
  <si>
    <t>Pramila devi</t>
  </si>
  <si>
    <t>HCK074724</t>
  </si>
  <si>
    <t>5894</t>
  </si>
  <si>
    <t>Iphat Jahan</t>
  </si>
  <si>
    <t>964003766298</t>
  </si>
  <si>
    <t>3083</t>
  </si>
  <si>
    <t>Alpana das</t>
  </si>
  <si>
    <t>chand for gungun</t>
  </si>
  <si>
    <t>SHOBHA KARMAKAR</t>
  </si>
  <si>
    <t>JAHAN KHTOON</t>
  </si>
  <si>
    <t>NAZMA KHATOON</t>
  </si>
  <si>
    <t>1336</t>
  </si>
  <si>
    <t>Sarathi karmakar</t>
  </si>
  <si>
    <t>3744</t>
  </si>
  <si>
    <t>Babita panigrahi</t>
  </si>
  <si>
    <t>4071</t>
  </si>
  <si>
    <t>karuna devi</t>
  </si>
  <si>
    <t>HCK074726</t>
  </si>
  <si>
    <t>5895</t>
  </si>
  <si>
    <t>Aladi Karmakar</t>
  </si>
  <si>
    <t>HCK074727</t>
  </si>
  <si>
    <t>5896</t>
  </si>
  <si>
    <t>7061499610</t>
  </si>
  <si>
    <t>229653956044</t>
  </si>
  <si>
    <t>Soni Kumari</t>
  </si>
  <si>
    <t>HCK074728</t>
  </si>
  <si>
    <t>5897</t>
  </si>
  <si>
    <t>Priyanka kumari</t>
  </si>
  <si>
    <t>1252</t>
  </si>
  <si>
    <t>Manisha das</t>
  </si>
  <si>
    <t>Sunita prasad</t>
  </si>
  <si>
    <t>Premshila devi</t>
  </si>
  <si>
    <t>Pushpa Patro</t>
  </si>
  <si>
    <t>shilpa gorai</t>
  </si>
  <si>
    <t>863690202357</t>
  </si>
  <si>
    <t>Bindu singh</t>
  </si>
  <si>
    <t>763669929953</t>
  </si>
  <si>
    <t>883812021280</t>
  </si>
  <si>
    <t>8789147017</t>
  </si>
  <si>
    <t>01-1819</t>
  </si>
  <si>
    <t>niyamaton nisha</t>
  </si>
  <si>
    <t>devbrato mukkherjee</t>
  </si>
  <si>
    <t>tabrez khan</t>
  </si>
  <si>
    <t>0182</t>
  </si>
  <si>
    <t>Soma sarkar</t>
  </si>
  <si>
    <t>110</t>
  </si>
  <si>
    <t>Puja sarkar</t>
  </si>
  <si>
    <t xml:space="preserve">Y </t>
  </si>
  <si>
    <t>Sabina Perwen</t>
  </si>
  <si>
    <t>1243</t>
  </si>
  <si>
    <t>MALTI SINGH</t>
  </si>
  <si>
    <t>HCK074730</t>
  </si>
  <si>
    <t>5898</t>
  </si>
  <si>
    <t>Durgawati Devi</t>
  </si>
  <si>
    <t>475187819869</t>
  </si>
  <si>
    <t>9939143002</t>
  </si>
  <si>
    <t>Shanti Fatma</t>
  </si>
  <si>
    <t>Supriya Manna</t>
  </si>
  <si>
    <t>3314</t>
  </si>
  <si>
    <t>5760</t>
  </si>
  <si>
    <t>Sukhdev mukhi</t>
  </si>
  <si>
    <t>sujata gorai</t>
  </si>
  <si>
    <t>Yasmin Khatoon</t>
  </si>
  <si>
    <t>Sunita devi</t>
  </si>
  <si>
    <t>1977</t>
  </si>
  <si>
    <t>Sbambhu kumar bose</t>
  </si>
  <si>
    <t>Suku lohar</t>
  </si>
  <si>
    <t>Sbhobha karmakar</t>
  </si>
  <si>
    <t>2684</t>
  </si>
  <si>
    <t>Jobarani Gope</t>
  </si>
  <si>
    <t>chnu lohar</t>
  </si>
  <si>
    <t>2478</t>
  </si>
  <si>
    <t>Bina Gope</t>
  </si>
  <si>
    <t>namita  mahato</t>
  </si>
  <si>
    <t>Santi munda</t>
  </si>
  <si>
    <t>angoori naz</t>
  </si>
  <si>
    <t>ayesha hussain</t>
  </si>
  <si>
    <t>Saraswati soren</t>
  </si>
  <si>
    <t>SAMA PARVEEN ANSARI</t>
  </si>
  <si>
    <t>HCK074733</t>
  </si>
  <si>
    <t>5900</t>
  </si>
  <si>
    <t>Banhi Sikha Das</t>
  </si>
  <si>
    <t>281277191024</t>
  </si>
  <si>
    <t>7061034016</t>
  </si>
  <si>
    <t>LI</t>
  </si>
  <si>
    <t>HCK074735</t>
  </si>
  <si>
    <t>5901</t>
  </si>
  <si>
    <t>Ayushi Das</t>
  </si>
  <si>
    <t>umesh mahato</t>
  </si>
  <si>
    <t>ABHISHEK GORAI</t>
  </si>
  <si>
    <t>4754</t>
  </si>
  <si>
    <t>Sangeta maity</t>
  </si>
  <si>
    <t>LM</t>
  </si>
  <si>
    <t>HCK074736</t>
  </si>
  <si>
    <t>5902</t>
  </si>
  <si>
    <t>Amin Ahmad</t>
  </si>
  <si>
    <t>857134998693</t>
  </si>
  <si>
    <t>9572013491</t>
  </si>
  <si>
    <t>shakuntala devi</t>
  </si>
  <si>
    <t>hena perveen</t>
  </si>
  <si>
    <t>HCK074737</t>
  </si>
  <si>
    <t>5903</t>
  </si>
  <si>
    <t>Baban Pandey</t>
  </si>
  <si>
    <t>800058185422</t>
  </si>
  <si>
    <t>9263723141</t>
  </si>
  <si>
    <t>15-01-2025</t>
  </si>
  <si>
    <t>9939692399</t>
  </si>
  <si>
    <t>Anita Mandal</t>
  </si>
  <si>
    <t>Shabnam perween</t>
  </si>
  <si>
    <t>3000due</t>
  </si>
  <si>
    <t>1569</t>
  </si>
  <si>
    <t>Rupa ghosh</t>
  </si>
  <si>
    <t>1467</t>
  </si>
  <si>
    <t>Sumitra devi</t>
  </si>
  <si>
    <t>2581</t>
  </si>
  <si>
    <t>Asma begum</t>
  </si>
  <si>
    <t>3872</t>
  </si>
  <si>
    <t>Mamta priya dutta</t>
  </si>
  <si>
    <t>Aladi karmakar</t>
  </si>
  <si>
    <t>debobrato mukherjee</t>
  </si>
  <si>
    <t>HCK074744</t>
  </si>
  <si>
    <t>5904</t>
  </si>
  <si>
    <t>6299103775</t>
  </si>
  <si>
    <t>Khushboo kumari</t>
  </si>
  <si>
    <t>payel mitra</t>
  </si>
  <si>
    <t>Aarti devi</t>
  </si>
  <si>
    <t>Sarawati Gope</t>
  </si>
  <si>
    <t>cmp-50</t>
  </si>
  <si>
    <t>Renu munda</t>
  </si>
  <si>
    <t>HCK074746</t>
  </si>
  <si>
    <t>5905</t>
  </si>
  <si>
    <t>7903293845</t>
  </si>
  <si>
    <t>849</t>
  </si>
  <si>
    <t>Kshakti Patra</t>
  </si>
  <si>
    <t>4143</t>
  </si>
  <si>
    <t>Sanil shagufta</t>
  </si>
  <si>
    <t>s</t>
  </si>
  <si>
    <t>Rakhi gorai</t>
  </si>
  <si>
    <t>HCK074748</t>
  </si>
  <si>
    <t>5906</t>
  </si>
  <si>
    <t>Rukhsar Begum</t>
  </si>
  <si>
    <t>9241626110</t>
  </si>
  <si>
    <t>346247960544</t>
  </si>
  <si>
    <t>pushpam singh-3500</t>
  </si>
  <si>
    <t>Mangal machhuwa</t>
  </si>
  <si>
    <t>Ilas machhuwa</t>
  </si>
  <si>
    <t>Jamsher ansari</t>
  </si>
  <si>
    <t>547701-12179</t>
  </si>
  <si>
    <t>2207</t>
  </si>
  <si>
    <t>SUMIT JAISWAL</t>
  </si>
  <si>
    <t>Aasma khatoon</t>
  </si>
  <si>
    <t>rekha ran imahato</t>
  </si>
  <si>
    <t>Anjali gorai</t>
  </si>
  <si>
    <t>dipak gorai</t>
  </si>
  <si>
    <t>girja devi</t>
  </si>
  <si>
    <t>02-000105</t>
  </si>
  <si>
    <t>4741</t>
  </si>
  <si>
    <t>due</t>
  </si>
  <si>
    <t>Gelhi dhibar</t>
  </si>
  <si>
    <t>HCK074752</t>
  </si>
  <si>
    <t>5907</t>
  </si>
  <si>
    <t>Pragya</t>
  </si>
  <si>
    <t>9709086117</t>
  </si>
  <si>
    <t>HCK074754</t>
  </si>
  <si>
    <t>5908</t>
  </si>
  <si>
    <t>Nishat Anjum</t>
  </si>
  <si>
    <t>345135421984</t>
  </si>
  <si>
    <t>9471723782</t>
  </si>
  <si>
    <t>6201062371</t>
  </si>
  <si>
    <t>aloka mahato</t>
  </si>
  <si>
    <t>3366</t>
  </si>
  <si>
    <t>wrong deposited</t>
  </si>
  <si>
    <t>824184415822</t>
  </si>
  <si>
    <t>Susma oraon</t>
  </si>
  <si>
    <t>21-01-2025</t>
  </si>
  <si>
    <t>mini karmakar</t>
  </si>
  <si>
    <t>dilip das</t>
  </si>
  <si>
    <t>sanjit mahto</t>
  </si>
  <si>
    <t>sujata sardar</t>
  </si>
  <si>
    <t>75d</t>
  </si>
  <si>
    <t>reoti devi</t>
  </si>
  <si>
    <t>Reboti nayak</t>
  </si>
  <si>
    <t>2049</t>
  </si>
  <si>
    <t>4472</t>
  </si>
  <si>
    <t>Sulochana sahis</t>
  </si>
  <si>
    <t>mamta sardar</t>
  </si>
  <si>
    <t>shabnam perween</t>
  </si>
  <si>
    <t>4492</t>
  </si>
  <si>
    <t>Shyam pada chel</t>
  </si>
  <si>
    <t>25-01-2025</t>
  </si>
  <si>
    <t>403222539246</t>
  </si>
  <si>
    <t>Ritu Giri</t>
  </si>
  <si>
    <t>4735</t>
  </si>
  <si>
    <t>Deepa gope</t>
  </si>
  <si>
    <t>HCK074767</t>
  </si>
  <si>
    <t>5911</t>
  </si>
  <si>
    <t>Gulnaj khatoon</t>
  </si>
  <si>
    <t>8797767401</t>
  </si>
  <si>
    <t>6202582548</t>
  </si>
  <si>
    <t>0364</t>
  </si>
  <si>
    <t>nikhil kr singh</t>
  </si>
  <si>
    <t>4734</t>
  </si>
  <si>
    <t>Nilam devi</t>
  </si>
  <si>
    <t>Krishna das</t>
  </si>
  <si>
    <t>4790</t>
  </si>
  <si>
    <t>4155</t>
  </si>
  <si>
    <t>deo krishna choudhary</t>
  </si>
  <si>
    <t>12401-2122</t>
  </si>
  <si>
    <t>Bishnu dev sah</t>
  </si>
  <si>
    <t>5912</t>
  </si>
  <si>
    <t>Kalosona Patra</t>
  </si>
  <si>
    <t>9523908137</t>
  </si>
  <si>
    <t>377212199473</t>
  </si>
  <si>
    <t>15-05-1-58</t>
  </si>
  <si>
    <t>Kalosona patra</t>
  </si>
  <si>
    <t>HCK074770</t>
  </si>
  <si>
    <t>moti singh</t>
  </si>
  <si>
    <t>4291</t>
  </si>
  <si>
    <t>Puja jena</t>
  </si>
  <si>
    <t>5918</t>
  </si>
  <si>
    <t>5913</t>
  </si>
  <si>
    <t>HCK074771</t>
  </si>
  <si>
    <t>451587375843</t>
  </si>
  <si>
    <t>7549039503</t>
  </si>
  <si>
    <t>HCK074773</t>
  </si>
  <si>
    <t>5914</t>
  </si>
  <si>
    <t>Laxmi Das</t>
  </si>
  <si>
    <t>976787404126</t>
  </si>
  <si>
    <t>7739947756</t>
  </si>
  <si>
    <t>Suku Lohar</t>
  </si>
  <si>
    <t>1685</t>
  </si>
  <si>
    <t>28-01-2025</t>
  </si>
  <si>
    <t>1278</t>
  </si>
  <si>
    <t>noor jahan</t>
  </si>
  <si>
    <t>2432</t>
  </si>
  <si>
    <t>com-50</t>
  </si>
  <si>
    <t>JAYDEV DAS</t>
  </si>
  <si>
    <t>Lakshmi Singh</t>
  </si>
  <si>
    <t>sapna banerjee</t>
  </si>
  <si>
    <t>HCK074776</t>
  </si>
  <si>
    <t>5915</t>
  </si>
  <si>
    <t>Wandana Devi</t>
  </si>
  <si>
    <t>730224198667</t>
  </si>
  <si>
    <t>6299759049</t>
  </si>
  <si>
    <t>Ranjit rajak</t>
  </si>
  <si>
    <t>Binati bala mahato</t>
  </si>
  <si>
    <t>HCK074783</t>
  </si>
  <si>
    <t>5917</t>
  </si>
  <si>
    <t>Gyanti Devi</t>
  </si>
  <si>
    <t>357215089259</t>
  </si>
  <si>
    <t>6204568494</t>
  </si>
  <si>
    <t>31-01-2025</t>
  </si>
  <si>
    <t>HCK074786</t>
  </si>
  <si>
    <t>Krishna Prasad</t>
  </si>
  <si>
    <t>994376243130</t>
  </si>
  <si>
    <t>9523283062</t>
  </si>
  <si>
    <t>md abdullah</t>
  </si>
  <si>
    <t>Renu footwear</t>
  </si>
  <si>
    <t>01-02-2025</t>
  </si>
  <si>
    <t>samara lohar</t>
  </si>
  <si>
    <t>Pradeep kr panda</t>
  </si>
  <si>
    <t>933</t>
  </si>
  <si>
    <t>Sanchari Kachhap</t>
  </si>
  <si>
    <t>182</t>
  </si>
  <si>
    <t>HCK074798</t>
  </si>
  <si>
    <t>5923</t>
  </si>
  <si>
    <t>Rukaiya Khatoon</t>
  </si>
  <si>
    <t>370190697852</t>
  </si>
  <si>
    <t>9065813286</t>
  </si>
  <si>
    <t>PUITU MAHATO</t>
  </si>
  <si>
    <t>COMPO-50</t>
  </si>
  <si>
    <t>HCK074799</t>
  </si>
  <si>
    <t>anguri naz</t>
  </si>
  <si>
    <t>hira mani devi</t>
  </si>
  <si>
    <t>Runi devi</t>
  </si>
  <si>
    <t>bhala das</t>
  </si>
  <si>
    <t>sunia devi</t>
  </si>
  <si>
    <t>5924</t>
  </si>
  <si>
    <t>Naushaba Khatoon</t>
  </si>
  <si>
    <t>sahana khatoon</t>
  </si>
  <si>
    <t>rehana khatoon</t>
  </si>
  <si>
    <t>04-02-2025</t>
  </si>
  <si>
    <t>05-02-2025</t>
  </si>
  <si>
    <t>devbrato mukherjee</t>
  </si>
  <si>
    <t>kuni nag</t>
  </si>
  <si>
    <t>sulekha lohar</t>
  </si>
  <si>
    <t>Sudebigorai</t>
  </si>
  <si>
    <t>gelhi dhibar</t>
  </si>
  <si>
    <t>NIYAMATON NISA</t>
  </si>
  <si>
    <t>Rita devi</t>
  </si>
  <si>
    <t>HCK074814</t>
  </si>
  <si>
    <t>5927</t>
  </si>
  <si>
    <t>Deepak Karmakar</t>
  </si>
  <si>
    <t>800716972483</t>
  </si>
  <si>
    <t>6203885284</t>
  </si>
  <si>
    <t>USHA SINGH</t>
  </si>
  <si>
    <t>ALOK DAS</t>
  </si>
  <si>
    <t>HCK074818</t>
  </si>
  <si>
    <t>9572561375</t>
  </si>
  <si>
    <t>5929</t>
  </si>
  <si>
    <t>V Om Gounder</t>
  </si>
  <si>
    <t>704331524926</t>
  </si>
  <si>
    <t>bishnu dev sah</t>
  </si>
  <si>
    <t>2122-o</t>
  </si>
  <si>
    <t>Pradip kr panda</t>
  </si>
  <si>
    <t>Saroj Sarma</t>
  </si>
  <si>
    <t>alomgir seikh</t>
  </si>
  <si>
    <t>HCK074820</t>
  </si>
  <si>
    <t>Nishant Bandiya</t>
  </si>
  <si>
    <t>6203242047</t>
  </si>
  <si>
    <t>257305786176</t>
  </si>
  <si>
    <t>5930</t>
  </si>
  <si>
    <t>Piru murmu</t>
  </si>
  <si>
    <t>HCK074821</t>
  </si>
  <si>
    <t>271351175500</t>
  </si>
  <si>
    <t>9279013618</t>
  </si>
  <si>
    <t>5931</t>
  </si>
  <si>
    <t>DASO PINGUA</t>
  </si>
  <si>
    <t>taramuni sharma</t>
  </si>
  <si>
    <t>Sbambhu banerjee</t>
  </si>
  <si>
    <t>Bhagyabati pramanik</t>
  </si>
  <si>
    <t>2148</t>
  </si>
  <si>
    <t>d mukherjee</t>
  </si>
  <si>
    <t>701282642461</t>
  </si>
  <si>
    <t>9693574198</t>
  </si>
  <si>
    <t>12-02-2025</t>
  </si>
  <si>
    <t>PRAMILA DEVI</t>
  </si>
  <si>
    <t>sneha maity</t>
  </si>
  <si>
    <t>prwati besra</t>
  </si>
  <si>
    <t>biram tudu</t>
  </si>
  <si>
    <t>shagufta perween</t>
  </si>
  <si>
    <t>Sunil kr prasad</t>
  </si>
  <si>
    <t>707</t>
  </si>
  <si>
    <t>Rabiya khatoon</t>
  </si>
  <si>
    <t>HCK074827</t>
  </si>
  <si>
    <t>5932</t>
  </si>
  <si>
    <t>Basanti karmakar</t>
  </si>
  <si>
    <t>879928422535</t>
  </si>
  <si>
    <t>7903566625</t>
  </si>
  <si>
    <t>PRAKASH MUKHI</t>
  </si>
  <si>
    <t>HCK074828</t>
  </si>
  <si>
    <t>5933</t>
  </si>
  <si>
    <t>863637109760</t>
  </si>
  <si>
    <t>7260832634</t>
  </si>
  <si>
    <t>purnima kumari</t>
  </si>
  <si>
    <t>13-02-2025</t>
  </si>
  <si>
    <t>Pradeep Kumar singh</t>
  </si>
  <si>
    <t>savitri devi</t>
  </si>
  <si>
    <t>14-02-2025</t>
  </si>
  <si>
    <t>pradep kr panda</t>
  </si>
  <si>
    <t>alam sk</t>
  </si>
  <si>
    <t>shreya maity</t>
  </si>
  <si>
    <t>laxmi murmu</t>
  </si>
  <si>
    <t>saraswatu das</t>
  </si>
  <si>
    <t>sunita mahato</t>
  </si>
  <si>
    <t>comort0-50</t>
  </si>
  <si>
    <t>Roshni Munda</t>
  </si>
  <si>
    <t>renu munda</t>
  </si>
  <si>
    <t>HCK074838</t>
  </si>
  <si>
    <t>5936</t>
  </si>
  <si>
    <t>9934188102</t>
  </si>
  <si>
    <t>532733689138</t>
  </si>
  <si>
    <t>rajkumar bhagat</t>
  </si>
  <si>
    <t>pooja jana</t>
  </si>
  <si>
    <t>Umesh mahato</t>
  </si>
  <si>
    <t>2608</t>
  </si>
  <si>
    <t>HCK074840</t>
  </si>
  <si>
    <t>5937</t>
  </si>
  <si>
    <t>Seema Guria</t>
  </si>
  <si>
    <t>aladi karmakar</t>
  </si>
  <si>
    <t>Saquib Ali</t>
  </si>
  <si>
    <t>344784547953</t>
  </si>
  <si>
    <t>HCK074843</t>
  </si>
  <si>
    <t>6206264516</t>
  </si>
  <si>
    <t>5938</t>
  </si>
  <si>
    <t>1290</t>
  </si>
  <si>
    <t>2312</t>
  </si>
  <si>
    <t>Asha Besara</t>
  </si>
  <si>
    <t>HCK074844</t>
  </si>
  <si>
    <t>5939</t>
  </si>
  <si>
    <t>8789495320</t>
  </si>
  <si>
    <t>Rohit Kumar</t>
  </si>
  <si>
    <t>916243712873</t>
  </si>
  <si>
    <t>Jeevanand Prajapati</t>
  </si>
  <si>
    <t>775698088528</t>
  </si>
  <si>
    <t>3609</t>
  </si>
  <si>
    <t>Soni devi</t>
  </si>
  <si>
    <t>mukesh kumar</t>
  </si>
  <si>
    <t>abhishek gupa</t>
  </si>
  <si>
    <t>18-02-2025</t>
  </si>
  <si>
    <t>Nirmal chandra rakshit</t>
  </si>
  <si>
    <t>baby rakshit</t>
  </si>
  <si>
    <t>pujti kumar</t>
  </si>
  <si>
    <t>HCK074850</t>
  </si>
  <si>
    <t>5941</t>
  </si>
  <si>
    <t>7979837430</t>
  </si>
  <si>
    <t>Amina khatoon</t>
  </si>
  <si>
    <t>sumitra devi</t>
  </si>
  <si>
    <t>1317</t>
  </si>
  <si>
    <t>Shanti devi</t>
  </si>
  <si>
    <t>HCK074857</t>
  </si>
  <si>
    <t>5942</t>
  </si>
  <si>
    <t>8580102903</t>
  </si>
  <si>
    <t>CHHANDA  CHATTERJEE</t>
  </si>
  <si>
    <t>HCK074858</t>
  </si>
  <si>
    <t>5943</t>
  </si>
  <si>
    <t>Pranab kumar roy</t>
  </si>
  <si>
    <t>9031356730</t>
  </si>
  <si>
    <t>HCK074859</t>
  </si>
  <si>
    <t>5944</t>
  </si>
  <si>
    <t>7783818931</t>
  </si>
  <si>
    <t>Prashant Gorai</t>
  </si>
  <si>
    <t>19-02-2025</t>
  </si>
  <si>
    <t>Mamta Devi</t>
  </si>
  <si>
    <t>862883462109</t>
  </si>
  <si>
    <t>HCK074862</t>
  </si>
  <si>
    <t>5946</t>
  </si>
  <si>
    <t>273640913508</t>
  </si>
  <si>
    <t>Bijendra Kumar singh</t>
  </si>
  <si>
    <t>cx</t>
  </si>
  <si>
    <t>namita gorai</t>
  </si>
  <si>
    <t>HCK074865</t>
  </si>
  <si>
    <t>5947</t>
  </si>
  <si>
    <t>9507753931</t>
  </si>
  <si>
    <t>20-02-2025</t>
  </si>
  <si>
    <t>3869</t>
  </si>
  <si>
    <t>mira devi</t>
  </si>
  <si>
    <t>21-02-2025</t>
  </si>
  <si>
    <t>211367481159</t>
  </si>
  <si>
    <t>Roshni mUnda</t>
  </si>
  <si>
    <t>gaurav kr singh</t>
  </si>
  <si>
    <t>pushpa patro</t>
  </si>
  <si>
    <t>gourav kr singh</t>
  </si>
  <si>
    <t>chash withdrawl</t>
  </si>
  <si>
    <t>1528</t>
  </si>
  <si>
    <t>madhyabihar</t>
  </si>
  <si>
    <t>b k pandey</t>
  </si>
  <si>
    <t>mobussharin Mumtaz</t>
  </si>
  <si>
    <t>Mifzalah mumtaz</t>
  </si>
  <si>
    <t>HCK074871</t>
  </si>
  <si>
    <t>5949</t>
  </si>
  <si>
    <t>Babita Bhaskar</t>
  </si>
  <si>
    <t>9234509354</t>
  </si>
  <si>
    <t>naina</t>
  </si>
  <si>
    <t>Gaju Ravidas</t>
  </si>
  <si>
    <t>indi oversea</t>
  </si>
  <si>
    <t>05-0026</t>
  </si>
  <si>
    <t>sobha karmakar</t>
  </si>
  <si>
    <t>Kaniz fatma</t>
  </si>
  <si>
    <t>CHD</t>
  </si>
  <si>
    <t>1115</t>
  </si>
  <si>
    <t>Jitendra kr ray</t>
  </si>
  <si>
    <t>HCK074875</t>
  </si>
  <si>
    <t>Prakash Rajak</t>
  </si>
  <si>
    <t>5953</t>
  </si>
  <si>
    <t>7061536908</t>
  </si>
  <si>
    <t>389636623411</t>
  </si>
  <si>
    <t>rinadas</t>
  </si>
  <si>
    <t>HCK074876</t>
  </si>
  <si>
    <t>27-02-202</t>
  </si>
  <si>
    <t>5954</t>
  </si>
  <si>
    <t>Gunjan Devi</t>
  </si>
  <si>
    <t>HCK074877</t>
  </si>
  <si>
    <t>5955</t>
  </si>
  <si>
    <t>Pratham Basuri</t>
  </si>
  <si>
    <t>693321625404</t>
  </si>
  <si>
    <t>9031504619</t>
  </si>
  <si>
    <t>9334200296</t>
  </si>
  <si>
    <t>Farhin Perween</t>
  </si>
  <si>
    <t>Seema guria</t>
  </si>
  <si>
    <t>cash dpoo</t>
  </si>
  <si>
    <t>cas withdrawal</t>
  </si>
  <si>
    <t>Siva karmakar</t>
  </si>
  <si>
    <t>5576</t>
  </si>
  <si>
    <t>Arman khan</t>
  </si>
  <si>
    <t>Niyamton nisha</t>
  </si>
  <si>
    <t>8761</t>
  </si>
  <si>
    <t>Debobrato mukherjee</t>
  </si>
  <si>
    <t>3354</t>
  </si>
  <si>
    <t>3460</t>
  </si>
  <si>
    <t>Pano Gagrai</t>
  </si>
  <si>
    <t>04-03-2025</t>
  </si>
  <si>
    <t>284081-41233</t>
  </si>
  <si>
    <t>Santosh</t>
  </si>
  <si>
    <t>81-110</t>
  </si>
  <si>
    <t>Roshan kumar mandal</t>
  </si>
  <si>
    <t>Raj Nandani mukhi</t>
  </si>
  <si>
    <t>05-26</t>
  </si>
  <si>
    <t>p</t>
  </si>
  <si>
    <t>sujeet kumar</t>
  </si>
  <si>
    <t>10-03-2024</t>
  </si>
  <si>
    <t>YOGESHWARI KUMARI</t>
  </si>
  <si>
    <t>UJMA</t>
  </si>
  <si>
    <t>HCK074904</t>
  </si>
  <si>
    <t>5961</t>
  </si>
  <si>
    <t>7870807222</t>
  </si>
  <si>
    <t>Sheela Das</t>
  </si>
  <si>
    <t>subhashi das</t>
  </si>
  <si>
    <t>Tabrez khan</t>
  </si>
  <si>
    <t>05</t>
  </si>
  <si>
    <t>overseas</t>
  </si>
  <si>
    <t>gaju ravidas</t>
  </si>
  <si>
    <t>19110100012215</t>
  </si>
  <si>
    <t>firdosi bibi</t>
  </si>
  <si>
    <t>sakina khatoon</t>
  </si>
  <si>
    <t>neha Kumari</t>
  </si>
  <si>
    <t>pratham basuri</t>
  </si>
  <si>
    <t>Sudebi gorai</t>
  </si>
  <si>
    <t>Sanjib kumar ghosh</t>
  </si>
  <si>
    <t>04-10</t>
  </si>
  <si>
    <t>vijay sandil</t>
  </si>
  <si>
    <t>Sanil shagufa</t>
  </si>
  <si>
    <t>4277</t>
  </si>
  <si>
    <t>Naina Koleth</t>
  </si>
  <si>
    <t>657</t>
  </si>
  <si>
    <t>Sefali gorai</t>
  </si>
  <si>
    <t>961</t>
  </si>
  <si>
    <t>Alok Kumar Das</t>
  </si>
  <si>
    <t>1448</t>
  </si>
  <si>
    <t>Pinki das</t>
  </si>
  <si>
    <t>1191</t>
  </si>
  <si>
    <t>seema karmakar</t>
  </si>
  <si>
    <t>50</t>
  </si>
  <si>
    <t>HCK074908</t>
  </si>
  <si>
    <t>5963</t>
  </si>
  <si>
    <t>Manisha srivastava</t>
  </si>
  <si>
    <t>Angoori naaz</t>
  </si>
  <si>
    <t>sadaf</t>
  </si>
  <si>
    <t>lalbihari sah</t>
  </si>
  <si>
    <t>2314</t>
  </si>
  <si>
    <t>Anshu besra</t>
  </si>
  <si>
    <t>Rikta Majumdar</t>
  </si>
  <si>
    <t>HCK074909</t>
  </si>
  <si>
    <t>5964</t>
  </si>
  <si>
    <t>9471704897</t>
  </si>
  <si>
    <t>prakash rajak</t>
  </si>
  <si>
    <t>Ankita Karwa</t>
  </si>
  <si>
    <t>465772516778</t>
  </si>
  <si>
    <t>Manisha Srivastava</t>
  </si>
  <si>
    <t>01-6158</t>
  </si>
  <si>
    <t>shreyashree sahu</t>
  </si>
  <si>
    <t>HCK074910</t>
  </si>
  <si>
    <t>5965</t>
  </si>
  <si>
    <t>Sunil Mahato</t>
  </si>
  <si>
    <t>Kahkasanparween</t>
  </si>
  <si>
    <t>1582</t>
  </si>
  <si>
    <t>Talat Parveen</t>
  </si>
  <si>
    <t>savitiri singh</t>
  </si>
  <si>
    <t>asma khatoun</t>
  </si>
  <si>
    <t>kalyani ruhidas</t>
  </si>
  <si>
    <t>4823</t>
  </si>
  <si>
    <t>Mamoni Das</t>
  </si>
  <si>
    <t>HCK074911</t>
  </si>
  <si>
    <t>5966</t>
  </si>
  <si>
    <t>Ranjeet Kaur</t>
  </si>
  <si>
    <t>930752602166</t>
  </si>
  <si>
    <t>8709825417</t>
  </si>
  <si>
    <t>Sangeeta Maity</t>
  </si>
  <si>
    <t>0</t>
  </si>
  <si>
    <t>143801-2514</t>
  </si>
  <si>
    <t>Haladhar singh</t>
  </si>
  <si>
    <t>gurubari karmakar</t>
  </si>
  <si>
    <t>1662</t>
  </si>
  <si>
    <t>Mamta Mahato</t>
  </si>
  <si>
    <t>3576</t>
  </si>
  <si>
    <t>Swapna Kar mukherjee</t>
  </si>
  <si>
    <t>Afsana Khatoon</t>
  </si>
  <si>
    <t>Shobha devi</t>
  </si>
  <si>
    <t>1917</t>
  </si>
  <si>
    <t>Puja Sarkar</t>
  </si>
  <si>
    <t>sujata Jana</t>
  </si>
  <si>
    <t>2271</t>
  </si>
  <si>
    <t>Jamuna Devi</t>
  </si>
  <si>
    <t>Shazia hassan</t>
  </si>
  <si>
    <t>Prerna Mishra</t>
  </si>
  <si>
    <t>3789</t>
  </si>
  <si>
    <t>2682</t>
  </si>
  <si>
    <t>Asha devi</t>
  </si>
  <si>
    <t>3809</t>
  </si>
  <si>
    <t>Puja Shaw</t>
  </si>
  <si>
    <t>pmjjy+pmsy</t>
  </si>
  <si>
    <t>5331</t>
  </si>
  <si>
    <t>01-6467</t>
  </si>
  <si>
    <t>safeena wasim</t>
  </si>
  <si>
    <t>5568</t>
  </si>
  <si>
    <t>Indu Machua</t>
  </si>
  <si>
    <t>3187</t>
  </si>
  <si>
    <t>Vidya Kumari</t>
  </si>
  <si>
    <t>566</t>
  </si>
  <si>
    <t>Renuka paul</t>
  </si>
  <si>
    <t>afsana khatoon</t>
  </si>
  <si>
    <t>SIMA KHATUN</t>
  </si>
  <si>
    <t>HCK074912</t>
  </si>
  <si>
    <t>5967</t>
  </si>
  <si>
    <t>Daljit Singh</t>
  </si>
  <si>
    <t>9204859837</t>
  </si>
  <si>
    <t>Daljit singh</t>
  </si>
  <si>
    <t>Aasma Begum</t>
  </si>
  <si>
    <t>2615</t>
  </si>
  <si>
    <t>4829</t>
  </si>
  <si>
    <t>143881-3374</t>
  </si>
  <si>
    <t>Sambhu kumar bose</t>
  </si>
  <si>
    <t>2303</t>
  </si>
  <si>
    <t>Mamta Triputhy</t>
  </si>
  <si>
    <t>2117</t>
  </si>
  <si>
    <t>HCK074916</t>
  </si>
  <si>
    <t>5968</t>
  </si>
  <si>
    <t>Ashok kumar sahu</t>
  </si>
  <si>
    <t>19-03-2025</t>
  </si>
  <si>
    <t>mamta lohar</t>
  </si>
  <si>
    <t>Pinky devi</t>
  </si>
  <si>
    <t>Ashok Kumar sahu</t>
  </si>
  <si>
    <t>685405089022</t>
  </si>
  <si>
    <t>Sunita gorai</t>
  </si>
  <si>
    <t>HCK074921</t>
  </si>
  <si>
    <t>5969</t>
  </si>
  <si>
    <t>Bina Lohar</t>
  </si>
  <si>
    <t>930959275313</t>
  </si>
  <si>
    <t>9204494701</t>
  </si>
  <si>
    <t>20-03-2025</t>
  </si>
  <si>
    <t>usha pramanik</t>
  </si>
  <si>
    <t>Seema karmakar</t>
  </si>
  <si>
    <t>Gayatri Mahato</t>
  </si>
  <si>
    <t>437209238070</t>
  </si>
  <si>
    <t>886321527</t>
  </si>
  <si>
    <t>HCK074926</t>
  </si>
  <si>
    <t>6683</t>
  </si>
  <si>
    <t>Jai Dev Aich</t>
  </si>
  <si>
    <t>511967771653</t>
  </si>
  <si>
    <t>8797855179</t>
  </si>
  <si>
    <t>shamapad das</t>
  </si>
  <si>
    <t>21-03-2025</t>
  </si>
  <si>
    <t>Suman sharma</t>
  </si>
  <si>
    <t>Mukesh kumar</t>
  </si>
  <si>
    <t>Saiba perween</t>
  </si>
  <si>
    <t>jamuna ram</t>
  </si>
  <si>
    <t>chunu lohar</t>
  </si>
  <si>
    <t>chad</t>
  </si>
  <si>
    <t>HCK074931</t>
  </si>
  <si>
    <t>5971</t>
  </si>
  <si>
    <t>03-02-1994</t>
  </si>
  <si>
    <t>Devdath Mukhi</t>
  </si>
  <si>
    <t>675151585301</t>
  </si>
  <si>
    <t>9608745615</t>
  </si>
  <si>
    <t>HCK074932</t>
  </si>
  <si>
    <t>5972</t>
  </si>
  <si>
    <t>995507815818</t>
  </si>
  <si>
    <t>9337177834</t>
  </si>
  <si>
    <t>azmeri khatoon</t>
  </si>
  <si>
    <t>DIPAK GORAI</t>
  </si>
  <si>
    <t>2838</t>
  </si>
  <si>
    <t>Karuna devi</t>
  </si>
  <si>
    <t>24-03-2025</t>
  </si>
  <si>
    <t>650237839877</t>
  </si>
  <si>
    <t>8102142228</t>
  </si>
  <si>
    <t>3569</t>
  </si>
  <si>
    <t>uma devi</t>
  </si>
  <si>
    <t>HCK074933</t>
  </si>
  <si>
    <t>5974</t>
  </si>
  <si>
    <t>Manashi Ghosh</t>
  </si>
  <si>
    <t>9234065880</t>
  </si>
  <si>
    <t>969453384890</t>
  </si>
  <si>
    <t>HCK074934</t>
  </si>
  <si>
    <t>5975</t>
  </si>
  <si>
    <t>Sujit Sharma</t>
  </si>
  <si>
    <t>303115190684</t>
  </si>
  <si>
    <t>7903278568</t>
  </si>
  <si>
    <t>mukesh karmakar</t>
  </si>
  <si>
    <t>Shiva karmakar</t>
  </si>
  <si>
    <t>01-5704</t>
  </si>
  <si>
    <t>HCK074936</t>
  </si>
  <si>
    <t>5976</t>
  </si>
  <si>
    <t>Rupali Mahato</t>
  </si>
  <si>
    <t>803806706766</t>
  </si>
  <si>
    <t>9534103771</t>
  </si>
  <si>
    <t>8709564611</t>
  </si>
  <si>
    <t>25-03-2025</t>
  </si>
  <si>
    <t>HCK074938</t>
  </si>
  <si>
    <t>5977</t>
  </si>
  <si>
    <t>Sangita Singh</t>
  </si>
  <si>
    <t>599315472195</t>
  </si>
  <si>
    <t>9431345719</t>
  </si>
  <si>
    <t>HCK074939</t>
  </si>
  <si>
    <t>HCK074940</t>
  </si>
  <si>
    <t>5978</t>
  </si>
  <si>
    <t>5979</t>
  </si>
  <si>
    <t>Sitangshu Shekhar Sen</t>
  </si>
  <si>
    <t>Sagarika Sen</t>
  </si>
  <si>
    <t>9097285084</t>
  </si>
  <si>
    <t>sree Tabbsum</t>
  </si>
  <si>
    <t>HCK074942</t>
  </si>
  <si>
    <t>5980</t>
  </si>
  <si>
    <t>Ridhi Mukhi</t>
  </si>
  <si>
    <t>266868530107</t>
  </si>
  <si>
    <t>8863812632</t>
  </si>
  <si>
    <t>888109902937</t>
  </si>
  <si>
    <t>579114434496</t>
  </si>
  <si>
    <t>25-03-2024</t>
  </si>
  <si>
    <t>Sagrika sen</t>
  </si>
  <si>
    <t>5958</t>
  </si>
  <si>
    <t>s.s. sen</t>
  </si>
  <si>
    <t>3847</t>
  </si>
  <si>
    <t>Mini karmakar</t>
  </si>
  <si>
    <t>aisha parween</t>
  </si>
  <si>
    <t>2342</t>
  </si>
  <si>
    <t>Abhishek ran</t>
  </si>
  <si>
    <t>nazma khatoon</t>
  </si>
  <si>
    <t>puja sarkra</t>
  </si>
  <si>
    <t>HCK074952</t>
  </si>
  <si>
    <t>9470281512</t>
  </si>
  <si>
    <t>875861403940</t>
  </si>
  <si>
    <t>Md Shahid</t>
  </si>
  <si>
    <t>01-6695</t>
  </si>
  <si>
    <t>Purnima kumari</t>
  </si>
  <si>
    <t>5389</t>
  </si>
  <si>
    <t>Sadhna kumari</t>
  </si>
  <si>
    <t>29-03-2025</t>
  </si>
  <si>
    <t>parwati munda</t>
  </si>
  <si>
    <t>SMS CHARGE</t>
  </si>
  <si>
    <t>ridhi mukhi</t>
  </si>
  <si>
    <t>1756</t>
  </si>
  <si>
    <t>Manita Das</t>
  </si>
  <si>
    <t>427931960640</t>
  </si>
  <si>
    <t>31-03-2025</t>
  </si>
  <si>
    <t>vidya kumari</t>
  </si>
  <si>
    <t>01-1019</t>
  </si>
  <si>
    <t>Gurunam singh</t>
  </si>
  <si>
    <t>01-346</t>
  </si>
  <si>
    <t>Anit Devi</t>
  </si>
  <si>
    <t>Saquib ali</t>
  </si>
  <si>
    <t>SANJAY KUMAR</t>
  </si>
  <si>
    <t>HCK074953</t>
  </si>
  <si>
    <t>5983</t>
  </si>
  <si>
    <t>286694761114</t>
  </si>
  <si>
    <t>9102294858</t>
  </si>
  <si>
    <t>revived</t>
  </si>
  <si>
    <t>3087</t>
  </si>
  <si>
    <t>Thandra devi das</t>
  </si>
  <si>
    <t>02-04-2025</t>
  </si>
  <si>
    <t>1936</t>
  </si>
  <si>
    <t>Kriti singh</t>
  </si>
  <si>
    <t>gupa gorai</t>
  </si>
  <si>
    <t>shashank kumar sinha</t>
  </si>
  <si>
    <t>Binodini devi</t>
  </si>
  <si>
    <t>Shimodri gorai</t>
  </si>
  <si>
    <t>ashok karmakar</t>
  </si>
  <si>
    <t>HCK074954</t>
  </si>
  <si>
    <t>5984</t>
  </si>
  <si>
    <t>Kawish Ahmad</t>
  </si>
  <si>
    <t>239356209124</t>
  </si>
  <si>
    <t>Anshu Besra</t>
  </si>
  <si>
    <t>Kawish Jawaid Ahmad</t>
  </si>
  <si>
    <t>27-03-2025</t>
  </si>
  <si>
    <t>25-03-202</t>
  </si>
  <si>
    <t>Shanil sagufta-1300</t>
  </si>
  <si>
    <t>Kesari tudu</t>
  </si>
  <si>
    <t>04-04-2025</t>
  </si>
  <si>
    <t>Shabana Shahin-5000</t>
  </si>
  <si>
    <t>Kala hansda</t>
  </si>
  <si>
    <t>HCK074966</t>
  </si>
  <si>
    <t>5986</t>
  </si>
  <si>
    <t>Amulya Mahato</t>
  </si>
  <si>
    <t>832029013308</t>
  </si>
  <si>
    <t>7762946903</t>
  </si>
  <si>
    <t>Sarla Devi</t>
  </si>
  <si>
    <t>1484</t>
  </si>
  <si>
    <t>Basmoti ruhidas</t>
  </si>
  <si>
    <t>Sanju paul</t>
  </si>
  <si>
    <t>1580</t>
  </si>
  <si>
    <t>Suresh bhumij</t>
  </si>
  <si>
    <t>Durga munda</t>
  </si>
  <si>
    <t>munni devi</t>
  </si>
  <si>
    <t>Sujeet kumar</t>
  </si>
  <si>
    <t>05-04-2025</t>
  </si>
  <si>
    <t>md akram ansari</t>
  </si>
  <si>
    <t>5207</t>
  </si>
  <si>
    <t>Rambha Devi</t>
  </si>
  <si>
    <t>HCK074971</t>
  </si>
  <si>
    <t>Malti Munda</t>
  </si>
  <si>
    <t>5988</t>
  </si>
  <si>
    <t>sima khatun</t>
  </si>
  <si>
    <t>laxmi gorai</t>
  </si>
  <si>
    <t>01-6482</t>
  </si>
  <si>
    <t>Rohit munda</t>
  </si>
  <si>
    <t>sanil sagufta</t>
  </si>
  <si>
    <t>HCK074980</t>
  </si>
  <si>
    <t>CMPORT</t>
  </si>
  <si>
    <t>sumitra Devi</t>
  </si>
  <si>
    <t>753278044368</t>
  </si>
  <si>
    <t>10-04-2025</t>
  </si>
  <si>
    <t>5990</t>
  </si>
  <si>
    <t>Lakhan Singh</t>
  </si>
  <si>
    <t>8406889913</t>
  </si>
  <si>
    <t>HCK074983</t>
  </si>
  <si>
    <t>5993</t>
  </si>
  <si>
    <t>Nazia Parween</t>
  </si>
  <si>
    <t>543415818548</t>
  </si>
  <si>
    <t>9608607903</t>
  </si>
  <si>
    <t>rikta majumdar</t>
  </si>
  <si>
    <t>iob</t>
  </si>
  <si>
    <t>gita devi</t>
  </si>
  <si>
    <t>HCK074984</t>
  </si>
  <si>
    <t>5994</t>
  </si>
  <si>
    <t>Laxmi Bodra</t>
  </si>
  <si>
    <t>834088061059</t>
  </si>
  <si>
    <t>8757658223</t>
  </si>
  <si>
    <t>HCK074985</t>
  </si>
  <si>
    <t>5995</t>
  </si>
  <si>
    <t>rani devi</t>
  </si>
  <si>
    <t>01-7729</t>
  </si>
  <si>
    <t>Shahruba Ara</t>
  </si>
  <si>
    <t>Neha Kumri</t>
  </si>
  <si>
    <t>533227512700</t>
  </si>
  <si>
    <t>11079</t>
  </si>
  <si>
    <t>Ashok kumar pandey</t>
  </si>
  <si>
    <t>HCK074986</t>
  </si>
  <si>
    <t>5996</t>
  </si>
  <si>
    <t>Chandni perween</t>
  </si>
  <si>
    <t>15-0-2025</t>
  </si>
  <si>
    <t>Ayesha Hque</t>
  </si>
  <si>
    <t>jayanti pramanik</t>
  </si>
  <si>
    <t>pushpam-3000+1000</t>
  </si>
  <si>
    <t>moti sing</t>
  </si>
  <si>
    <t>to pay-4000</t>
  </si>
  <si>
    <t>HCK074995</t>
  </si>
  <si>
    <t>5999</t>
  </si>
  <si>
    <t>Pari Arshi</t>
  </si>
  <si>
    <t>588469496305</t>
  </si>
  <si>
    <t>HCK074996</t>
  </si>
  <si>
    <t>Maya Jaiswal</t>
  </si>
  <si>
    <t>6204760109</t>
  </si>
  <si>
    <t>Chandani Perween</t>
  </si>
  <si>
    <t>949802126010</t>
  </si>
  <si>
    <t>303907279530</t>
  </si>
  <si>
    <t>367240852830</t>
  </si>
  <si>
    <t>17-04-2025</t>
  </si>
  <si>
    <t>8862918442</t>
  </si>
  <si>
    <t>Chandani perween</t>
  </si>
  <si>
    <t>to pay-2000</t>
  </si>
  <si>
    <t>HCK075005</t>
  </si>
  <si>
    <t>6001</t>
  </si>
  <si>
    <t>8092243055</t>
  </si>
  <si>
    <t>SEEMA GUDIA</t>
  </si>
  <si>
    <t>Indu tiwari</t>
  </si>
  <si>
    <t>730475636976</t>
  </si>
  <si>
    <t>6206</t>
  </si>
  <si>
    <t>2754</t>
  </si>
  <si>
    <t>9334997042</t>
  </si>
  <si>
    <t>bharati Jha</t>
  </si>
  <si>
    <t>Renu das</t>
  </si>
  <si>
    <t>pushpam singh-5000</t>
  </si>
  <si>
    <t>shashank kr sinha</t>
  </si>
  <si>
    <t>18-04-2025</t>
  </si>
  <si>
    <t>RIKTA MAJUMDAR</t>
  </si>
  <si>
    <t>ritu giri</t>
  </si>
  <si>
    <t>Sumitra gorai</t>
  </si>
  <si>
    <t>ahida khatun</t>
  </si>
  <si>
    <t>HCK075017</t>
  </si>
  <si>
    <t>6003</t>
  </si>
  <si>
    <t>9798210892</t>
  </si>
  <si>
    <t>Srija Banerjee</t>
  </si>
  <si>
    <t>lalbihari upta</t>
  </si>
  <si>
    <t>555679795002</t>
  </si>
  <si>
    <t>Raj Nandani Mukhi</t>
  </si>
  <si>
    <t>HCK075019</t>
  </si>
  <si>
    <t>6004</t>
  </si>
  <si>
    <t>8409995843</t>
  </si>
  <si>
    <t>Shankar munda</t>
  </si>
  <si>
    <t>Nazma khaton</t>
  </si>
  <si>
    <t>HCK075027</t>
  </si>
  <si>
    <t>6006</t>
  </si>
  <si>
    <t>6341117281</t>
  </si>
  <si>
    <t>881</t>
  </si>
  <si>
    <t>Parvati tio</t>
  </si>
  <si>
    <t>Sarita sharma</t>
  </si>
  <si>
    <t>HCK075028</t>
  </si>
  <si>
    <t>Suren munda</t>
  </si>
  <si>
    <t>6299431638</t>
  </si>
  <si>
    <t>863865322850</t>
  </si>
  <si>
    <t>6007</t>
  </si>
  <si>
    <t>23-04-2025</t>
  </si>
  <si>
    <t>990260296758</t>
  </si>
  <si>
    <t>214266037305</t>
  </si>
  <si>
    <t>Mangli devi</t>
  </si>
  <si>
    <t>Rupa kumari</t>
  </si>
  <si>
    <t>Ridghi mukhi</t>
  </si>
  <si>
    <t>HCK075030</t>
  </si>
  <si>
    <t>6008</t>
  </si>
  <si>
    <t>Vivek Mani sharma</t>
  </si>
  <si>
    <t>559451683052</t>
  </si>
  <si>
    <t>7488235562</t>
  </si>
  <si>
    <t>25-04-2025</t>
  </si>
  <si>
    <t>lakhan singh</t>
  </si>
  <si>
    <t>Gulafshan parwen</t>
  </si>
  <si>
    <t>HCK075031</t>
  </si>
  <si>
    <t>6009</t>
  </si>
  <si>
    <t>Triweni nath tiwari</t>
  </si>
  <si>
    <t>954329878005</t>
  </si>
  <si>
    <t>Saroj sharma</t>
  </si>
  <si>
    <t>shivkumar pandey</t>
  </si>
  <si>
    <t>10678</t>
  </si>
  <si>
    <t>shubham pandey</t>
  </si>
  <si>
    <t>26-04-2025</t>
  </si>
  <si>
    <t>Afsana khatoon</t>
  </si>
  <si>
    <t>ndus</t>
  </si>
  <si>
    <t>saraswati suna</t>
  </si>
  <si>
    <t>namita das</t>
  </si>
  <si>
    <t>HCK075036</t>
  </si>
  <si>
    <t>6011</t>
  </si>
  <si>
    <t>7667627501</t>
  </si>
  <si>
    <t>Sunita kumari</t>
  </si>
  <si>
    <t>tabarakh hussain</t>
  </si>
  <si>
    <t>barun kr singh</t>
  </si>
  <si>
    <t>28-04-2025</t>
  </si>
  <si>
    <t>Pradeep panda</t>
  </si>
  <si>
    <t>rafique islam</t>
  </si>
  <si>
    <t>kundan kumra bhagat</t>
  </si>
  <si>
    <t>Mamoni das</t>
  </si>
  <si>
    <t>HCK075040</t>
  </si>
  <si>
    <t>6013</t>
  </si>
  <si>
    <t>laxmi das</t>
  </si>
  <si>
    <t>Mamuni nandi</t>
  </si>
  <si>
    <t>124</t>
  </si>
  <si>
    <t>Nishat khatoon</t>
  </si>
  <si>
    <t>mamta priya dutta</t>
  </si>
  <si>
    <t>Sulekh lohar</t>
  </si>
  <si>
    <t>750617606105</t>
  </si>
  <si>
    <t>01-05-2025</t>
  </si>
  <si>
    <t>gosto bihri mahto</t>
  </si>
  <si>
    <t>HCK075044</t>
  </si>
  <si>
    <t>6014</t>
  </si>
  <si>
    <t>Dharmesber Das</t>
  </si>
  <si>
    <t>338782930374</t>
  </si>
  <si>
    <t>8252981071</t>
  </si>
  <si>
    <t>HCK075045</t>
  </si>
  <si>
    <t>6015</t>
  </si>
  <si>
    <t>sanjay kr prasasd</t>
  </si>
  <si>
    <t>02*-105</t>
  </si>
  <si>
    <t>421534389429</t>
  </si>
  <si>
    <t>shankar munda</t>
  </si>
  <si>
    <t>Tabjez khan</t>
  </si>
  <si>
    <t>cmport-50</t>
  </si>
  <si>
    <t>radhika rani mahato</t>
  </si>
  <si>
    <t>6012</t>
  </si>
  <si>
    <t>Lakhi gorai</t>
  </si>
  <si>
    <t>Jitni devi</t>
  </si>
  <si>
    <t>7209604882</t>
  </si>
  <si>
    <t>Moushmi besra</t>
  </si>
  <si>
    <t>01-5668</t>
  </si>
  <si>
    <t>Vidya kumari</t>
  </si>
  <si>
    <t>HCK075052</t>
  </si>
  <si>
    <t>Gurpreet Kaur Babrah</t>
  </si>
  <si>
    <t>7209950247</t>
  </si>
  <si>
    <t>983980496674</t>
  </si>
  <si>
    <t>laxmi bodra</t>
  </si>
  <si>
    <t>compor</t>
  </si>
  <si>
    <t>renu</t>
  </si>
  <si>
    <t>HCK075055</t>
  </si>
  <si>
    <t>6016</t>
  </si>
  <si>
    <t>01-6752</t>
  </si>
  <si>
    <t>Himansu Kumar</t>
  </si>
  <si>
    <t>870520120876</t>
  </si>
  <si>
    <t>7209594439</t>
  </si>
  <si>
    <t>2233</t>
  </si>
  <si>
    <t>Soma pal</t>
  </si>
  <si>
    <t>06-05-2025</t>
  </si>
  <si>
    <t>Vivek kr sharma</t>
  </si>
  <si>
    <t>deshbandhu mahato</t>
  </si>
  <si>
    <t>bhagyabati pramanik</t>
  </si>
  <si>
    <t>6752</t>
  </si>
  <si>
    <t>Himanshu Kumari</t>
  </si>
  <si>
    <t>07-05-2025</t>
  </si>
  <si>
    <t>01-6066</t>
  </si>
  <si>
    <t>Anup mal</t>
  </si>
  <si>
    <t>HCK075057</t>
  </si>
  <si>
    <t>6018</t>
  </si>
  <si>
    <t>naziya praveen</t>
  </si>
  <si>
    <t>9931574394</t>
  </si>
  <si>
    <t>laxmi karua</t>
  </si>
  <si>
    <t>Sksdh munfs</t>
  </si>
  <si>
    <t>piru murmu</t>
  </si>
  <si>
    <t>pradip panda</t>
  </si>
  <si>
    <t>08-05-2025</t>
  </si>
  <si>
    <t>652453593927</t>
  </si>
  <si>
    <t>Nisha kumari</t>
  </si>
  <si>
    <t>md afjal</t>
  </si>
  <si>
    <t>HCK075062</t>
  </si>
  <si>
    <t>6020</t>
  </si>
  <si>
    <t>Bimalendra choubey</t>
  </si>
  <si>
    <t>Mamita Das</t>
  </si>
  <si>
    <t>Shabnam khatoon</t>
  </si>
  <si>
    <t>01-00101</t>
  </si>
  <si>
    <t>alok tiwary</t>
  </si>
  <si>
    <t>02-*00051</t>
  </si>
  <si>
    <t>Tabarakh hussain</t>
  </si>
  <si>
    <t>nil kanth pan</t>
  </si>
  <si>
    <t>jawahar lal mahato</t>
  </si>
  <si>
    <t>nirmal chandra rakshit</t>
  </si>
  <si>
    <t>mukesh karmakarm</t>
  </si>
  <si>
    <t>14-05-2025</t>
  </si>
  <si>
    <t>2122-O</t>
  </si>
  <si>
    <t>HCK075072</t>
  </si>
  <si>
    <t>6024</t>
  </si>
  <si>
    <t>8409053063</t>
  </si>
  <si>
    <t>ranjit rajak</t>
  </si>
  <si>
    <t>777958620647</t>
  </si>
  <si>
    <t>Md Nasim Ansari</t>
  </si>
  <si>
    <t>15-05-2025</t>
  </si>
  <si>
    <t>1911-5677</t>
  </si>
  <si>
    <t>sakina khatun</t>
  </si>
  <si>
    <t>2489</t>
  </si>
  <si>
    <t>Purnima pramanik</t>
  </si>
  <si>
    <t>md faisal hussin</t>
  </si>
  <si>
    <t>416937011599</t>
  </si>
  <si>
    <t>775593369061</t>
  </si>
  <si>
    <t>Seema gudiya</t>
  </si>
  <si>
    <t>Shilpa gorai</t>
  </si>
  <si>
    <t>HCK075080</t>
  </si>
  <si>
    <t>6027</t>
  </si>
  <si>
    <t>Sangita Dubey</t>
  </si>
  <si>
    <t>9798359375</t>
  </si>
  <si>
    <t>986823187165</t>
  </si>
  <si>
    <t>8987738225</t>
  </si>
  <si>
    <t>353562852998</t>
  </si>
  <si>
    <t>Bimalendra Choubey</t>
  </si>
  <si>
    <t>HCK075084</t>
  </si>
  <si>
    <t>17-05-2025</t>
  </si>
  <si>
    <t>NILKANH pan</t>
  </si>
  <si>
    <t>01-6765</t>
  </si>
  <si>
    <t>Md Sahil</t>
  </si>
  <si>
    <t>805178298253</t>
  </si>
  <si>
    <t>Neelam devi</t>
  </si>
  <si>
    <t>jainav khatun</t>
  </si>
  <si>
    <t>HCK075086</t>
  </si>
  <si>
    <t>01-6767</t>
  </si>
  <si>
    <t>ANJAN KR MAHATO</t>
  </si>
  <si>
    <t>JGB</t>
  </si>
  <si>
    <t>SANJIT KUMAR PANDEY</t>
  </si>
  <si>
    <t>Anjan Kumar Mahato</t>
  </si>
  <si>
    <t>402754568825</t>
  </si>
  <si>
    <t>9771527967</t>
  </si>
  <si>
    <t>Pobita dhibar</t>
  </si>
  <si>
    <t>Parmeshwar Ruhidas</t>
  </si>
  <si>
    <t>881063740324</t>
  </si>
  <si>
    <t>18-05-2025</t>
  </si>
  <si>
    <t>Parmeshwar ruhidas</t>
  </si>
  <si>
    <t>Dharmesber das</t>
  </si>
  <si>
    <t>6205840921</t>
  </si>
  <si>
    <t>C</t>
  </si>
  <si>
    <t>8463-O</t>
  </si>
  <si>
    <t>pushpam-6000</t>
  </si>
  <si>
    <t>puitu mahto</t>
  </si>
  <si>
    <t>Seema gudiya-7700 +3000</t>
  </si>
  <si>
    <t>Ganesh Das</t>
  </si>
  <si>
    <t>nilkanth pan</t>
  </si>
  <si>
    <t>Ratna pramanik</t>
  </si>
  <si>
    <t>sulochana sahis</t>
  </si>
  <si>
    <t>2528</t>
  </si>
  <si>
    <t>Pratima kundu</t>
  </si>
  <si>
    <t>bijaylohar</t>
  </si>
  <si>
    <t>pinki das</t>
  </si>
  <si>
    <t>81-5222</t>
  </si>
  <si>
    <t>Putul jana</t>
  </si>
  <si>
    <t>HCK075104</t>
  </si>
  <si>
    <t>6033</t>
  </si>
  <si>
    <t>Kamal</t>
  </si>
  <si>
    <t>Babi Munda</t>
  </si>
  <si>
    <t>624865543845</t>
  </si>
  <si>
    <t>6202260457</t>
  </si>
  <si>
    <t xml:space="preserve"> boi</t>
  </si>
  <si>
    <t>yogeshwari kumari</t>
  </si>
  <si>
    <t>seema gudia</t>
  </si>
  <si>
    <t>Mamta tripurthy</t>
  </si>
  <si>
    <t>HCK075110</t>
  </si>
  <si>
    <t>md faisal hussain</t>
  </si>
  <si>
    <t>deogi soren</t>
  </si>
  <si>
    <t>Swapan kumar mahto</t>
  </si>
  <si>
    <t>6787</t>
  </si>
  <si>
    <t>Mangal singh</t>
  </si>
  <si>
    <t>407171774511</t>
  </si>
  <si>
    <t>YY</t>
  </si>
  <si>
    <t>HCK075112</t>
  </si>
  <si>
    <t>6789</t>
  </si>
  <si>
    <t>Praveen kumar singh</t>
  </si>
  <si>
    <t>7903878035</t>
  </si>
  <si>
    <t>301317837599</t>
  </si>
  <si>
    <t>81-124</t>
  </si>
  <si>
    <t>opening B/c</t>
  </si>
  <si>
    <t>nitesh</t>
  </si>
  <si>
    <t>Avadhesh sah</t>
  </si>
  <si>
    <t>budheshwar oraon</t>
  </si>
  <si>
    <t>9430348568</t>
  </si>
  <si>
    <t>shakila begum</t>
  </si>
  <si>
    <t>Neha perween</t>
  </si>
  <si>
    <t>seema guria</t>
  </si>
  <si>
    <t>sushma orao</t>
  </si>
  <si>
    <t>Bilasi sardar</t>
  </si>
  <si>
    <t>bishnu singjh</t>
  </si>
  <si>
    <t>Alok kumar das</t>
  </si>
  <si>
    <t>Dilip das</t>
  </si>
  <si>
    <t>bebi munda</t>
  </si>
  <si>
    <t>05-06-2025</t>
  </si>
  <si>
    <t>suman sardar</t>
  </si>
  <si>
    <t>HCK075132</t>
  </si>
  <si>
    <t>6041</t>
  </si>
  <si>
    <t>818148839744</t>
  </si>
  <si>
    <t>9097984185</t>
  </si>
  <si>
    <t>Aloka Lohar</t>
  </si>
  <si>
    <t>02-236</t>
  </si>
  <si>
    <t>manoj sahu</t>
  </si>
  <si>
    <t>Bebi munda</t>
  </si>
  <si>
    <t>md nasim ansari</t>
  </si>
  <si>
    <t>mamta mahapara</t>
  </si>
  <si>
    <t>06-06-2025</t>
  </si>
  <si>
    <t>renu foot</t>
  </si>
  <si>
    <t>rajesh kr singh</t>
  </si>
  <si>
    <t>indian</t>
  </si>
  <si>
    <t>savitri gorai</t>
  </si>
  <si>
    <t>scbi</t>
  </si>
  <si>
    <t>sunil kumar mandal</t>
  </si>
  <si>
    <t>ranjan adevi</t>
  </si>
  <si>
    <t>seem gudia</t>
  </si>
  <si>
    <t>Bibi munda</t>
  </si>
  <si>
    <t>spice</t>
  </si>
  <si>
    <t>HCK075141</t>
  </si>
  <si>
    <t>6043</t>
  </si>
  <si>
    <t>Rajkumari devi</t>
  </si>
  <si>
    <t>chhanda chateerjee</t>
  </si>
  <si>
    <t>yasoda kumrai</t>
  </si>
  <si>
    <t>IOSB</t>
  </si>
  <si>
    <t>RAJU RAVIDAS</t>
  </si>
  <si>
    <t>HCK075142</t>
  </si>
  <si>
    <t>6044</t>
  </si>
  <si>
    <t>Shiv karmakar</t>
  </si>
  <si>
    <t>9110016904</t>
  </si>
  <si>
    <t>491386008567</t>
  </si>
  <si>
    <t>SOUMEN DAS</t>
  </si>
  <si>
    <t>Gulafsan perween</t>
  </si>
  <si>
    <t>HCK075143</t>
  </si>
  <si>
    <t>HCK075144</t>
  </si>
  <si>
    <t>viv</t>
  </si>
  <si>
    <t>sanil shafugta</t>
  </si>
  <si>
    <t>SAGUFTA PERWEEN</t>
  </si>
  <si>
    <t>Doan pramanik</t>
  </si>
  <si>
    <t>mandira roy</t>
  </si>
  <si>
    <t>6045</t>
  </si>
  <si>
    <t>Sutana praveen</t>
  </si>
  <si>
    <t>sultana praveen</t>
  </si>
  <si>
    <t>12-06-2025</t>
  </si>
  <si>
    <t>811628252048</t>
  </si>
  <si>
    <t>9608620429</t>
  </si>
  <si>
    <t>Durga mudna</t>
  </si>
  <si>
    <t>535</t>
  </si>
  <si>
    <t>13-06-2025</t>
  </si>
  <si>
    <t>5916</t>
  </si>
  <si>
    <t>HCK075149</t>
  </si>
  <si>
    <t>subhadra karmakar</t>
  </si>
  <si>
    <t>sefali gorai</t>
  </si>
  <si>
    <t>suraj pramanik</t>
  </si>
  <si>
    <t>6808</t>
  </si>
  <si>
    <t>Laxmi devi</t>
  </si>
  <si>
    <t>shobha giri</t>
  </si>
  <si>
    <t>5789</t>
  </si>
  <si>
    <t>Gulnaz fatma</t>
  </si>
  <si>
    <t>14-06-2025</t>
  </si>
  <si>
    <t>210876202194</t>
  </si>
  <si>
    <t>UMESH MAHATO</t>
  </si>
  <si>
    <t>mahendra patro</t>
  </si>
  <si>
    <t>HCK075155</t>
  </si>
  <si>
    <t>Anil Kumar pANDEY</t>
  </si>
  <si>
    <t>844264103301</t>
  </si>
  <si>
    <t>9572479515</t>
  </si>
  <si>
    <t>16-06-2025</t>
  </si>
  <si>
    <t>1608</t>
  </si>
  <si>
    <t>9031051826</t>
  </si>
  <si>
    <t>6047</t>
  </si>
  <si>
    <t>shubham Kumar</t>
  </si>
  <si>
    <t>Shubham Kumar</t>
  </si>
  <si>
    <t>bo</t>
  </si>
  <si>
    <t>399584957783</t>
  </si>
  <si>
    <t>deepak kumar oraon</t>
  </si>
  <si>
    <t>183</t>
  </si>
  <si>
    <t>Sumitra sardar</t>
  </si>
  <si>
    <t>juni sradar</t>
  </si>
  <si>
    <t>priyanka gupta</t>
  </si>
  <si>
    <t>aisha perween</t>
  </si>
  <si>
    <t>faridun nisha</t>
  </si>
  <si>
    <t>Pano gagrai</t>
  </si>
  <si>
    <t>lalabu gupta</t>
  </si>
  <si>
    <t>6812</t>
  </si>
  <si>
    <t>pADMIni naik</t>
  </si>
  <si>
    <t>HCK075156</t>
  </si>
  <si>
    <t>Padmini naik</t>
  </si>
  <si>
    <t>7070858806</t>
  </si>
  <si>
    <t>996550254625</t>
  </si>
  <si>
    <t>bhola kr pandey</t>
  </si>
  <si>
    <t>sangeet devi</t>
  </si>
  <si>
    <t>Laxmi karua</t>
  </si>
  <si>
    <t>20-06--2025</t>
  </si>
  <si>
    <t>Prerna mishra</t>
  </si>
  <si>
    <t>Priyanka chalak</t>
  </si>
  <si>
    <t>20-06-2025</t>
  </si>
  <si>
    <t>6767</t>
  </si>
  <si>
    <t>HCK075159</t>
  </si>
  <si>
    <t>6049</t>
  </si>
  <si>
    <t>Tabish anwar</t>
  </si>
  <si>
    <t>8709590179</t>
  </si>
  <si>
    <t>HCK075160</t>
  </si>
  <si>
    <t>6050</t>
  </si>
  <si>
    <t>9263472422</t>
  </si>
  <si>
    <t>36216265762</t>
  </si>
  <si>
    <t>342156176435</t>
  </si>
  <si>
    <t>AKHTAR KHAN</t>
  </si>
  <si>
    <t>01-6812</t>
  </si>
  <si>
    <t>yashmin khatoon</t>
  </si>
  <si>
    <t>asmat ara</t>
  </si>
  <si>
    <t>21-06-2025</t>
  </si>
  <si>
    <t>Savitta Karmakar</t>
  </si>
  <si>
    <t>HCK075162</t>
  </si>
  <si>
    <t>MANOJ KUMAR</t>
  </si>
  <si>
    <t>6051</t>
  </si>
  <si>
    <t>MALLIKA LOHAR</t>
  </si>
  <si>
    <t>tarin ravida</t>
  </si>
  <si>
    <t>bilasi kour</t>
  </si>
  <si>
    <t>1570</t>
  </si>
  <si>
    <t>Rita das</t>
  </si>
  <si>
    <t>Mallika lohar</t>
  </si>
  <si>
    <t>555082332018</t>
  </si>
  <si>
    <t>firoza khatoon</t>
  </si>
  <si>
    <t>lalita devi</t>
  </si>
  <si>
    <t>sobha giri</t>
  </si>
  <si>
    <t>364</t>
  </si>
  <si>
    <t>23-06-2025</t>
  </si>
  <si>
    <t>HCK075167</t>
  </si>
  <si>
    <t>6052</t>
  </si>
  <si>
    <t>9334828491</t>
  </si>
  <si>
    <t>Ranjan tripathi</t>
  </si>
  <si>
    <t>Manisa das</t>
  </si>
  <si>
    <t>suresh kumar</t>
  </si>
  <si>
    <t>Shaktidhar tripathi</t>
  </si>
  <si>
    <t>Dharmshila devi</t>
  </si>
  <si>
    <t>25-06-2025</t>
  </si>
  <si>
    <t>604+9</t>
  </si>
  <si>
    <t>HCK066496</t>
  </si>
  <si>
    <t>GHORABANDHA</t>
  </si>
  <si>
    <t>1995</t>
  </si>
  <si>
    <t>Pinki gorai</t>
  </si>
  <si>
    <t>218881-1403</t>
  </si>
  <si>
    <t>jugsalai</t>
  </si>
  <si>
    <t>757012073415</t>
  </si>
  <si>
    <t>debjieet ghanty</t>
  </si>
  <si>
    <t>HCK075172</t>
  </si>
  <si>
    <t>6054</t>
  </si>
  <si>
    <t>Ajay Pandey</t>
  </si>
  <si>
    <t>7739384498</t>
  </si>
  <si>
    <t>625385696841</t>
  </si>
  <si>
    <t>sonu kumar</t>
  </si>
  <si>
    <t>NISHA KUMARI</t>
  </si>
  <si>
    <t>pinru kumar</t>
  </si>
  <si>
    <t>Pradeep kumra panda</t>
  </si>
  <si>
    <t>purul</t>
  </si>
  <si>
    <t>1358</t>
  </si>
  <si>
    <t>tutun khamri</t>
  </si>
  <si>
    <t>sandip kumar</t>
  </si>
  <si>
    <t>6325</t>
  </si>
  <si>
    <t>rajeev ranjan prasad</t>
  </si>
  <si>
    <t>JAGDISH BARIK</t>
  </si>
  <si>
    <t>GHANSHYAM JHA</t>
  </si>
  <si>
    <t>KAJAL RAVIDA</t>
  </si>
  <si>
    <t>6825</t>
  </si>
  <si>
    <t>HCK075178</t>
  </si>
  <si>
    <t>8603922619</t>
  </si>
  <si>
    <t>Akash Chandra rohidas</t>
  </si>
  <si>
    <t>yy</t>
  </si>
  <si>
    <t>renu footwer</t>
  </si>
  <si>
    <t>Md nasim ansari</t>
  </si>
  <si>
    <t>Gosto bihari mahato</t>
  </si>
  <si>
    <t>05-24</t>
  </si>
  <si>
    <t>Chanda kumari</t>
  </si>
  <si>
    <t>Manisha devi</t>
  </si>
  <si>
    <t>jyotsna sardar</t>
  </si>
  <si>
    <t>ghanshyam jha</t>
  </si>
  <si>
    <t>PUJA SHAW</t>
  </si>
  <si>
    <t>Aloka lohar</t>
  </si>
  <si>
    <t>Rupali mahato</t>
  </si>
  <si>
    <t>HCK075181</t>
  </si>
  <si>
    <t>6057</t>
  </si>
  <si>
    <t>Shubhendu Mahato</t>
  </si>
  <si>
    <t>9835782258</t>
  </si>
  <si>
    <t>613535907801</t>
  </si>
  <si>
    <t>4834</t>
  </si>
  <si>
    <t>shashank pathak</t>
  </si>
  <si>
    <t>1874</t>
  </si>
  <si>
    <t>Shanti modak</t>
  </si>
  <si>
    <t>Puitu Mahato</t>
  </si>
  <si>
    <t>HCK075183</t>
  </si>
  <si>
    <t>Susmita Kumari singh</t>
  </si>
  <si>
    <t>9304362027</t>
  </si>
  <si>
    <t>595984392732</t>
  </si>
  <si>
    <t>6058</t>
  </si>
  <si>
    <t>03-07-2025</t>
  </si>
  <si>
    <t>HCK075185</t>
  </si>
  <si>
    <t>6059</t>
  </si>
  <si>
    <t>Prakash horo</t>
  </si>
  <si>
    <t>6204115338</t>
  </si>
  <si>
    <t>489581348329</t>
  </si>
  <si>
    <t>625173703863</t>
  </si>
  <si>
    <t>01-6789</t>
  </si>
  <si>
    <t>HCK075186</t>
  </si>
  <si>
    <t>6060</t>
  </si>
  <si>
    <t>Rina devi</t>
  </si>
  <si>
    <t>9508548529</t>
  </si>
  <si>
    <t>815147337141</t>
  </si>
  <si>
    <t>722</t>
  </si>
  <si>
    <t>Rajeev harldhar</t>
  </si>
  <si>
    <t>721</t>
  </si>
  <si>
    <t>mamoni halder</t>
  </si>
  <si>
    <t>dolan pramanik</t>
  </si>
  <si>
    <t>Juni sardar</t>
  </si>
  <si>
    <t>jagadish barik</t>
  </si>
  <si>
    <t>05-07-2025</t>
  </si>
  <si>
    <t>1510</t>
  </si>
  <si>
    <t>Hina sardar</t>
  </si>
  <si>
    <t>HCK075188</t>
  </si>
  <si>
    <t>6061</t>
  </si>
  <si>
    <t>9939806654</t>
  </si>
  <si>
    <t>2065</t>
  </si>
  <si>
    <t>SANTOSHI DEVI</t>
  </si>
  <si>
    <t>874352212065</t>
  </si>
  <si>
    <t>Mamta devi</t>
  </si>
  <si>
    <t>822</t>
  </si>
  <si>
    <t>ramdas tudu</t>
  </si>
  <si>
    <t>nitu devi</t>
  </si>
  <si>
    <t>salani</t>
  </si>
  <si>
    <t>81-0043</t>
  </si>
  <si>
    <t>Nagmani kumari</t>
  </si>
  <si>
    <t>muskan perween</t>
  </si>
  <si>
    <t>nisha kumari</t>
  </si>
  <si>
    <t>4821</t>
  </si>
  <si>
    <t>abhishek gorai</t>
  </si>
  <si>
    <t>Champa devi</t>
  </si>
  <si>
    <t>3059</t>
  </si>
  <si>
    <t>Gargi dutta</t>
  </si>
  <si>
    <t xml:space="preserve">shashank </t>
  </si>
  <si>
    <t>sanjeev kumar prasad</t>
  </si>
  <si>
    <t>266701-11079</t>
  </si>
  <si>
    <t>ashok kr pandey</t>
  </si>
  <si>
    <t>samp sen</t>
  </si>
  <si>
    <t>puja sarkar</t>
  </si>
  <si>
    <t>2693</t>
  </si>
  <si>
    <t>Mamta Nath</t>
  </si>
  <si>
    <t>nahida khatoon</t>
  </si>
  <si>
    <t>HCK075197</t>
  </si>
  <si>
    <t>6840</t>
  </si>
  <si>
    <t>Md sher mohammad</t>
  </si>
  <si>
    <t>9234262021</t>
  </si>
  <si>
    <t>841692819453</t>
  </si>
  <si>
    <t>pradip kumar pnda</t>
  </si>
  <si>
    <t>disc</t>
  </si>
  <si>
    <t>geeta</t>
  </si>
  <si>
    <t>seema guriya</t>
  </si>
  <si>
    <t>rashmi behera</t>
  </si>
  <si>
    <t>kisamri</t>
  </si>
  <si>
    <t>3497</t>
  </si>
  <si>
    <t>3494</t>
  </si>
  <si>
    <t>mala gorai</t>
  </si>
  <si>
    <t>arman khan</t>
  </si>
  <si>
    <t>4771</t>
  </si>
  <si>
    <t>shamima bano</t>
  </si>
  <si>
    <t>01-6788</t>
  </si>
  <si>
    <t>bela prajapati</t>
  </si>
  <si>
    <t>Sangeeta maity</t>
  </si>
  <si>
    <t>jhantu gope</t>
  </si>
  <si>
    <t>afsana khaoon</t>
  </si>
  <si>
    <t>Nutan devi</t>
  </si>
  <si>
    <t>2830</t>
  </si>
  <si>
    <t>HCK075204</t>
  </si>
  <si>
    <t>6202</t>
  </si>
  <si>
    <t>Piu chandra</t>
  </si>
  <si>
    <t>3089</t>
  </si>
  <si>
    <t>Tanushree Pal</t>
  </si>
  <si>
    <t>1460</t>
  </si>
  <si>
    <t>susplense</t>
  </si>
  <si>
    <t>15-07-2025</t>
  </si>
  <si>
    <t>01-6840</t>
  </si>
  <si>
    <t>3546</t>
  </si>
  <si>
    <t>sunita kumari sinha</t>
  </si>
  <si>
    <t>pst</t>
  </si>
  <si>
    <t>1776</t>
  </si>
  <si>
    <t>Annu karmakar</t>
  </si>
  <si>
    <t>1281</t>
  </si>
  <si>
    <t>Lakhi karmakar</t>
  </si>
  <si>
    <t>2176</t>
  </si>
  <si>
    <t>Batasi gorai</t>
  </si>
  <si>
    <t>17--07-2025</t>
  </si>
  <si>
    <t>2908</t>
  </si>
  <si>
    <t>Durga sahu</t>
  </si>
  <si>
    <t>bhola kumar pandey</t>
  </si>
  <si>
    <t>rebati nayak</t>
  </si>
  <si>
    <t>6063</t>
  </si>
  <si>
    <t>Faizal</t>
  </si>
  <si>
    <t>6062</t>
  </si>
  <si>
    <t>413420642201</t>
  </si>
  <si>
    <t>8797264873</t>
  </si>
  <si>
    <t>342355413072</t>
  </si>
  <si>
    <t>shyam pada chel</t>
  </si>
  <si>
    <t>mrs s p chel</t>
  </si>
  <si>
    <t>alisha perween</t>
  </si>
  <si>
    <t>pujati kumari</t>
  </si>
  <si>
    <t>anjali kumari</t>
  </si>
  <si>
    <t>babli ghosh</t>
  </si>
  <si>
    <t>Abhijit bera</t>
  </si>
  <si>
    <t>Gandheswari gorai</t>
  </si>
  <si>
    <t>rumpa gorai</t>
  </si>
  <si>
    <t>dolly devi</t>
  </si>
  <si>
    <t>Kanta ekka</t>
  </si>
  <si>
    <t>Girija Devi</t>
  </si>
  <si>
    <t>prakash dhibar</t>
  </si>
  <si>
    <t>santosh ghpta</t>
  </si>
  <si>
    <t>akash chandra rohidas</t>
  </si>
  <si>
    <t>debjit ghanty</t>
  </si>
  <si>
    <t>jitendra kumr ray</t>
  </si>
  <si>
    <t>bhuja wala beta</t>
  </si>
  <si>
    <t>IDBI</t>
  </si>
  <si>
    <t>MANGLI LOHAR</t>
  </si>
  <si>
    <t>sarthi devi</t>
  </si>
  <si>
    <t>HCK075210</t>
  </si>
  <si>
    <t>21-07-2025</t>
  </si>
  <si>
    <t>18-07-2025</t>
  </si>
  <si>
    <t>HCK075226</t>
  </si>
  <si>
    <t>Indrajeet Kumar</t>
  </si>
  <si>
    <t>6202096446</t>
  </si>
  <si>
    <t>490773264323</t>
  </si>
  <si>
    <t>Indrajeet kumar</t>
  </si>
  <si>
    <t>81-43</t>
  </si>
  <si>
    <t>Tarabbum jabin</t>
  </si>
  <si>
    <t>r uma gounder</t>
  </si>
  <si>
    <t>3388-O</t>
  </si>
  <si>
    <t>vikash kumar</t>
  </si>
  <si>
    <t>23-07-2025</t>
  </si>
  <si>
    <t>ulas machhuwa</t>
  </si>
  <si>
    <t>mangal machhchhuawa</t>
  </si>
  <si>
    <t>dipak oraon</t>
  </si>
  <si>
    <t>Kajal karmakar</t>
  </si>
  <si>
    <t>HCK075227</t>
  </si>
  <si>
    <t>DBT</t>
  </si>
  <si>
    <t>6065</t>
  </si>
  <si>
    <t>HASINA KHATOON</t>
  </si>
  <si>
    <t>774552785968</t>
  </si>
  <si>
    <t>9097852392</t>
  </si>
  <si>
    <t>70502342244</t>
  </si>
  <si>
    <t>Dipali giri</t>
  </si>
  <si>
    <t>anshu ranjita dungdung</t>
  </si>
  <si>
    <t>yogeshwari kumri</t>
  </si>
  <si>
    <t>HCK075228</t>
  </si>
  <si>
    <t>Kajal Pandey</t>
  </si>
  <si>
    <t>342526725324</t>
  </si>
  <si>
    <t>7209029500</t>
  </si>
  <si>
    <t>HCK075229</t>
  </si>
  <si>
    <t>6067</t>
  </si>
  <si>
    <t>Ramdev jaiswal</t>
  </si>
  <si>
    <t>767274855354</t>
  </si>
  <si>
    <t>6204696708</t>
  </si>
  <si>
    <t>SUNITA SHARMA</t>
  </si>
  <si>
    <t>bablu thakur</t>
  </si>
  <si>
    <t>Anjana Gorai</t>
  </si>
  <si>
    <t>durga munda</t>
  </si>
  <si>
    <t>meera byar</t>
  </si>
  <si>
    <t>26-07-2025</t>
  </si>
  <si>
    <t>HCK075231</t>
  </si>
  <si>
    <t>6069</t>
  </si>
  <si>
    <t>Hablu Ali</t>
  </si>
  <si>
    <t>8987707406</t>
  </si>
  <si>
    <t>510713340597</t>
  </si>
  <si>
    <t>ANGOORI NAZ</t>
  </si>
  <si>
    <t>Alpana Das</t>
  </si>
  <si>
    <t>Thanda devi das</t>
  </si>
  <si>
    <t>m faisal hussain</t>
  </si>
  <si>
    <t>sazia</t>
  </si>
  <si>
    <t>Yasmin khatoon</t>
  </si>
  <si>
    <t>Rani devi</t>
  </si>
  <si>
    <t>Kajal pandey</t>
  </si>
  <si>
    <t>05-0002</t>
  </si>
  <si>
    <t>02-000024</t>
  </si>
  <si>
    <t>reshma bano</t>
  </si>
  <si>
    <t>HCK075240</t>
  </si>
  <si>
    <t>6070</t>
  </si>
  <si>
    <t>9903055883</t>
  </si>
  <si>
    <t>9155556962</t>
  </si>
  <si>
    <t>833847038425</t>
  </si>
  <si>
    <t>Jyotsna soy</t>
  </si>
  <si>
    <t>29-07-2025</t>
  </si>
  <si>
    <t>10-02-199</t>
  </si>
  <si>
    <t>14388-3869</t>
  </si>
  <si>
    <t>umesh mahato-galudih</t>
  </si>
  <si>
    <t>shivani kumari</t>
  </si>
  <si>
    <t>kajal dey</t>
  </si>
  <si>
    <t>sk asad alam</t>
  </si>
  <si>
    <t>Md nadim ansari</t>
  </si>
  <si>
    <t>Dolly devi</t>
  </si>
  <si>
    <t>sujata jana</t>
  </si>
  <si>
    <t>poste</t>
  </si>
  <si>
    <t>kiran devi</t>
  </si>
  <si>
    <t>pradeep kr panda</t>
  </si>
  <si>
    <t>mamta nath</t>
  </si>
  <si>
    <t>1240</t>
  </si>
  <si>
    <t>Ranjan devi</t>
  </si>
  <si>
    <t>Pano tantubai</t>
  </si>
  <si>
    <t>sumam raj</t>
  </si>
  <si>
    <t>sujit kumar</t>
  </si>
  <si>
    <t>Jayanti Pramanik</t>
  </si>
  <si>
    <t>10031</t>
  </si>
  <si>
    <t>ghanshya gorai</t>
  </si>
  <si>
    <t>HCK075261</t>
  </si>
  <si>
    <t>6075</t>
  </si>
  <si>
    <t>9204912873</t>
  </si>
  <si>
    <t>Munni Kumari</t>
  </si>
  <si>
    <t>ARMAN KHAN</t>
  </si>
  <si>
    <t>Ganesh panda</t>
  </si>
  <si>
    <t>meharun nisha</t>
  </si>
  <si>
    <t>4667</t>
  </si>
  <si>
    <t>Aasma tabassum</t>
  </si>
  <si>
    <t>4065</t>
  </si>
  <si>
    <t>d k choudhary</t>
  </si>
  <si>
    <t>mrs aich</t>
  </si>
  <si>
    <t>bi</t>
  </si>
  <si>
    <t>pintu pal</t>
  </si>
  <si>
    <t>DK CHOUDHRAY</t>
  </si>
  <si>
    <t>cash depsotie</t>
  </si>
  <si>
    <t xml:space="preserve">Rita purty </t>
  </si>
  <si>
    <t>bilasi  kour</t>
  </si>
  <si>
    <t>papiya banerjee</t>
  </si>
  <si>
    <t>Rupa singh</t>
  </si>
  <si>
    <t>uma</t>
  </si>
  <si>
    <t>ogb</t>
  </si>
  <si>
    <t>surendra kaur</t>
  </si>
  <si>
    <t>geeta devi</t>
  </si>
  <si>
    <t>ajay pandey</t>
  </si>
  <si>
    <t>560</t>
  </si>
  <si>
    <t>Karuna bose</t>
  </si>
  <si>
    <t>HCK075275</t>
  </si>
  <si>
    <t>01-6901</t>
  </si>
  <si>
    <t>9155117033</t>
  </si>
  <si>
    <t>6901</t>
  </si>
  <si>
    <t>MOHAMMAD WASIM KAIF</t>
  </si>
  <si>
    <t>pinki kumari rawani</t>
  </si>
  <si>
    <t>r uma</t>
  </si>
  <si>
    <t>mahendra patra</t>
  </si>
  <si>
    <t>purnawan murmu</t>
  </si>
  <si>
    <t>460431774950</t>
  </si>
  <si>
    <t>Mohamnmad wasim kaif</t>
  </si>
  <si>
    <t>08-08-2025</t>
  </si>
  <si>
    <t>avadhesh sah</t>
  </si>
  <si>
    <t>mamoni das</t>
  </si>
  <si>
    <t>priya chalak</t>
  </si>
  <si>
    <t>01-6903</t>
  </si>
  <si>
    <t>imrana begum</t>
  </si>
  <si>
    <t>yasmin khatoon</t>
  </si>
  <si>
    <t>DBT OK</t>
  </si>
  <si>
    <t>malti hansda</t>
  </si>
  <si>
    <t>kamal chanda mahato</t>
  </si>
  <si>
    <t>Babita bhaskar</t>
  </si>
  <si>
    <t>Shakuntala devi</t>
  </si>
  <si>
    <t>2736</t>
  </si>
  <si>
    <t>Laxmi sahis</t>
  </si>
  <si>
    <t>binod sahis</t>
  </si>
  <si>
    <t>manoj kumar</t>
  </si>
  <si>
    <t>6076</t>
  </si>
  <si>
    <t>704894011703</t>
  </si>
  <si>
    <t>Sujit sharma</t>
  </si>
  <si>
    <t>Radha patra</t>
  </si>
  <si>
    <t>2040</t>
  </si>
  <si>
    <t>jyoti pramanik</t>
  </si>
  <si>
    <t>rakhi gorai</t>
  </si>
  <si>
    <t>Laxmi gorai</t>
  </si>
  <si>
    <t>suman raj</t>
  </si>
  <si>
    <t xml:space="preserve">cash </t>
  </si>
  <si>
    <t>tannu das</t>
  </si>
  <si>
    <t>Akash chandra rohidas</t>
  </si>
  <si>
    <t>nazmun nisa</t>
  </si>
  <si>
    <t>Shitla tripathy</t>
  </si>
  <si>
    <t>HCK075287</t>
  </si>
  <si>
    <t>6078</t>
  </si>
  <si>
    <t>HARSH SHARMA</t>
  </si>
  <si>
    <t>9973015528</t>
  </si>
  <si>
    <t>md sher mohammad</t>
  </si>
  <si>
    <t>572681078299</t>
  </si>
  <si>
    <t>om prakash</t>
  </si>
  <si>
    <t>dharamdev singh</t>
  </si>
  <si>
    <t>sudebi gorai</t>
  </si>
  <si>
    <t>santi munda</t>
  </si>
  <si>
    <t>1253</t>
  </si>
  <si>
    <t>Rita bose</t>
  </si>
  <si>
    <t>Ghanshyam Jha</t>
  </si>
  <si>
    <t>2405</t>
  </si>
  <si>
    <t>Mamta triputhy</t>
  </si>
  <si>
    <t>4049</t>
  </si>
  <si>
    <t>Urmila devi</t>
  </si>
  <si>
    <t>4016</t>
  </si>
  <si>
    <t>Neeru sona</t>
  </si>
  <si>
    <t>Ajay pandey</t>
  </si>
  <si>
    <t>tusharkanti bagish</t>
  </si>
  <si>
    <t>USHA SUNANI</t>
  </si>
  <si>
    <t>19-08-2025</t>
  </si>
  <si>
    <t>7783091984</t>
  </si>
  <si>
    <t>HCK075294</t>
  </si>
  <si>
    <t>6079</t>
  </si>
  <si>
    <t>Raju Gorai</t>
  </si>
  <si>
    <t>9341948554</t>
  </si>
  <si>
    <t>4855</t>
  </si>
  <si>
    <t>Puja karmakar</t>
  </si>
  <si>
    <t>1883</t>
  </si>
  <si>
    <t>jule singh</t>
  </si>
  <si>
    <t>2188-1403</t>
  </si>
  <si>
    <t>448124420294</t>
  </si>
  <si>
    <t>rupa ghosh</t>
  </si>
  <si>
    <t>3490</t>
  </si>
  <si>
    <t>Puja rani dey</t>
  </si>
  <si>
    <t>arati devi</t>
  </si>
  <si>
    <t>HCK075296</t>
  </si>
  <si>
    <t>219459974588</t>
  </si>
  <si>
    <t>9199056294</t>
  </si>
  <si>
    <t>6080</t>
  </si>
  <si>
    <t>Ghanshyam Gorai</t>
  </si>
  <si>
    <t>81-5356</t>
  </si>
  <si>
    <t>rita bhattacharjee</t>
  </si>
  <si>
    <t>01-5356</t>
  </si>
  <si>
    <t>jiten gope</t>
  </si>
  <si>
    <t>rita bose</t>
  </si>
  <si>
    <t>HCK075300</t>
  </si>
  <si>
    <t>6081</t>
  </si>
  <si>
    <t>Naru Gorai</t>
  </si>
  <si>
    <t>247620269849</t>
  </si>
  <si>
    <t>naru gorai</t>
  </si>
  <si>
    <t>shyampad das</t>
  </si>
  <si>
    <t>Shanti munda</t>
  </si>
  <si>
    <t>maya devi pandey</t>
  </si>
  <si>
    <t>md faisal hssin</t>
  </si>
  <si>
    <t>2468</t>
  </si>
  <si>
    <t>MEENA DEVI</t>
  </si>
  <si>
    <t>1462</t>
  </si>
  <si>
    <t>Rani karmakar</t>
  </si>
  <si>
    <t>alpana das</t>
  </si>
  <si>
    <t>fgiven</t>
  </si>
  <si>
    <t>Ritu giri</t>
  </si>
  <si>
    <t>3672</t>
  </si>
  <si>
    <t>Viram tudu</t>
  </si>
  <si>
    <t>baleshwar singh</t>
  </si>
  <si>
    <t>priyaka murmu</t>
  </si>
  <si>
    <t>mangli lohar</t>
  </si>
  <si>
    <t>4141</t>
  </si>
  <si>
    <t>Sewati sahu</t>
  </si>
  <si>
    <t>FARUDIN NISHA</t>
  </si>
  <si>
    <t>prity kumari</t>
  </si>
  <si>
    <t>Tarannum jabin</t>
  </si>
  <si>
    <t>sumanti dvi</t>
  </si>
  <si>
    <t>HCK075307</t>
  </si>
  <si>
    <t>01-6927</t>
  </si>
  <si>
    <t>28-08-2025</t>
  </si>
  <si>
    <t>8092249242</t>
  </si>
  <si>
    <t>64887628978</t>
  </si>
  <si>
    <t>FSD</t>
  </si>
  <si>
    <t>Kiran Sinha</t>
  </si>
  <si>
    <t>2655</t>
  </si>
  <si>
    <t>Rumpa gorai</t>
  </si>
  <si>
    <t>binodini devi</t>
  </si>
  <si>
    <t>2553</t>
  </si>
  <si>
    <t>kavita gorai</t>
  </si>
  <si>
    <t>gurucharan gorai</t>
  </si>
  <si>
    <t>santoshi devi</t>
  </si>
  <si>
    <t>HCK075314</t>
  </si>
  <si>
    <t>6082</t>
  </si>
  <si>
    <t>8084491272</t>
  </si>
  <si>
    <t>Priyanka murmu</t>
  </si>
  <si>
    <t>mr ray</t>
  </si>
  <si>
    <t>460963098836</t>
  </si>
  <si>
    <t>29-08-2025</t>
  </si>
  <si>
    <t>1770</t>
  </si>
  <si>
    <t>HCK075316</t>
  </si>
  <si>
    <t>6086</t>
  </si>
  <si>
    <t>Priti Tantubai</t>
  </si>
  <si>
    <t>8434700235</t>
  </si>
  <si>
    <t>638090503685</t>
  </si>
  <si>
    <t>Priti tantubai</t>
  </si>
  <si>
    <t>renu bodra</t>
  </si>
  <si>
    <t>sunita prasads</t>
  </si>
  <si>
    <t>Shoha karmakar</t>
  </si>
  <si>
    <t>jahana khatoon</t>
  </si>
  <si>
    <t>01-39040</t>
  </si>
  <si>
    <t>ismotara khaton</t>
  </si>
  <si>
    <t>arman khan-3000</t>
  </si>
  <si>
    <t>02-364</t>
  </si>
  <si>
    <t>binti bala mahato</t>
  </si>
  <si>
    <t>shagufa siddiqui</t>
  </si>
  <si>
    <t>shahina perween</t>
  </si>
  <si>
    <t>vgb</t>
  </si>
  <si>
    <t>savitri singh</t>
  </si>
  <si>
    <t>Mr rai</t>
  </si>
  <si>
    <t>HCK075327</t>
  </si>
  <si>
    <t>6087</t>
  </si>
  <si>
    <t>Sabiya Begum</t>
  </si>
  <si>
    <t>8797597329</t>
  </si>
  <si>
    <t>203244498982</t>
  </si>
  <si>
    <t>sunita mahatso</t>
  </si>
  <si>
    <t>Tanushree pal</t>
  </si>
  <si>
    <t>HCK075328</t>
  </si>
  <si>
    <t>6088</t>
  </si>
  <si>
    <t>renu foot wear</t>
  </si>
  <si>
    <t>441683870837</t>
  </si>
  <si>
    <t>SUMITA SAHU</t>
  </si>
  <si>
    <t>Sima khatun</t>
  </si>
  <si>
    <t>afsa mussarat</t>
  </si>
  <si>
    <t>03-09-2025</t>
  </si>
  <si>
    <t>01-09-2025</t>
  </si>
  <si>
    <t>3179</t>
  </si>
  <si>
    <t>6089</t>
  </si>
  <si>
    <t>Jugun Begum</t>
  </si>
  <si>
    <t>7366974544</t>
  </si>
  <si>
    <t>Ranju dei</t>
  </si>
  <si>
    <t>ramesh kumar pandey</t>
  </si>
  <si>
    <t>asha devi</t>
  </si>
  <si>
    <t>4146</t>
  </si>
  <si>
    <t>SUSMITA KUMARI SINGH</t>
  </si>
  <si>
    <t>ENQUIRY</t>
  </si>
  <si>
    <t>HCK075332</t>
  </si>
  <si>
    <t>6090</t>
  </si>
  <si>
    <t>8084017957</t>
  </si>
  <si>
    <t>582984234284</t>
  </si>
  <si>
    <t>Naveen kumar singh</t>
  </si>
  <si>
    <t>naveen kumar singh</t>
  </si>
  <si>
    <t>4698</t>
  </si>
  <si>
    <t>Riya kjumari</t>
  </si>
  <si>
    <t>shashank  kumar sinha</t>
  </si>
  <si>
    <t>shahinba perwen</t>
  </si>
  <si>
    <t>2771</t>
  </si>
  <si>
    <t>Madhumita ghosh</t>
  </si>
  <si>
    <t>BILASI KOUR</t>
  </si>
  <si>
    <t>BINOY DEB</t>
  </si>
  <si>
    <t>Poly deb</t>
  </si>
  <si>
    <t>RAMBHA DEVI</t>
  </si>
  <si>
    <t>hellema khatoom</t>
  </si>
  <si>
    <t>HCK075334</t>
  </si>
  <si>
    <t>6091</t>
  </si>
  <si>
    <t>9430778390</t>
  </si>
  <si>
    <t>421687301763</t>
  </si>
  <si>
    <t>NARAYAN VENUGOPALAN NAIR</t>
  </si>
  <si>
    <t>HCK075335</t>
  </si>
  <si>
    <t>6092</t>
  </si>
  <si>
    <t>Leeka v nair</t>
  </si>
  <si>
    <t>8092225067</t>
  </si>
  <si>
    <t>06-09-2025</t>
  </si>
  <si>
    <t>sulekh lohar</t>
  </si>
  <si>
    <t>338821903548</t>
  </si>
  <si>
    <t>HCK075331</t>
  </si>
  <si>
    <t>HCK075337</t>
  </si>
  <si>
    <t>ARJUN SINGH</t>
  </si>
  <si>
    <t xml:space="preserve"> COMPORT</t>
  </si>
  <si>
    <t>09-09-2025</t>
  </si>
  <si>
    <t>6093</t>
  </si>
  <si>
    <t>saraswati Das</t>
  </si>
  <si>
    <t>batasi gorai</t>
  </si>
  <si>
    <t>Khuhboo kumari</t>
  </si>
  <si>
    <t>mamta triputhy</t>
  </si>
  <si>
    <t>mamata mahatatra</t>
  </si>
  <si>
    <t>janmejay jena</t>
  </si>
  <si>
    <t>HCK075354</t>
  </si>
  <si>
    <t>01-6958</t>
  </si>
  <si>
    <t>9334350823</t>
  </si>
  <si>
    <t>la mandal</t>
  </si>
  <si>
    <t>usha sunani</t>
  </si>
  <si>
    <t>pustam mahato</t>
  </si>
  <si>
    <t>sarita sharma</t>
  </si>
  <si>
    <t>407667059311</t>
  </si>
  <si>
    <t>10-09-2025</t>
  </si>
  <si>
    <t>Aditya kumar Jha</t>
  </si>
  <si>
    <t>414114643592</t>
  </si>
  <si>
    <t>729260251879</t>
  </si>
  <si>
    <t>11-09-2025</t>
  </si>
  <si>
    <t>leela v nair</t>
  </si>
  <si>
    <t>PUSHPAM SINGH(1000)</t>
  </si>
  <si>
    <t>Kajal dey</t>
  </si>
  <si>
    <t>9155594474</t>
  </si>
  <si>
    <t>12-09-2025</t>
  </si>
  <si>
    <t>Aditya kr jha</t>
  </si>
  <si>
    <t>HCK075358</t>
  </si>
  <si>
    <t>6094</t>
  </si>
  <si>
    <t>Bina Devi</t>
  </si>
  <si>
    <t>349996128201</t>
  </si>
  <si>
    <t>9204356790</t>
  </si>
  <si>
    <t>SUJEET KUMAR</t>
  </si>
  <si>
    <t>asama begum</t>
  </si>
  <si>
    <t>Pradeep kumar panda</t>
  </si>
  <si>
    <t>HCK075361</t>
  </si>
  <si>
    <t>Shuli Giri</t>
  </si>
  <si>
    <t>662306143323</t>
  </si>
  <si>
    <t>6095</t>
  </si>
  <si>
    <t>8092543653</t>
  </si>
  <si>
    <t>SHULI GIRI</t>
  </si>
  <si>
    <t>HCK075370</t>
  </si>
  <si>
    <t>6096</t>
  </si>
  <si>
    <t>Basant shrivastava</t>
  </si>
  <si>
    <t>331341334895</t>
  </si>
  <si>
    <t>Malti munda</t>
  </si>
  <si>
    <t>HCK075371</t>
  </si>
  <si>
    <t>6097</t>
  </si>
  <si>
    <t>13-09-2025</t>
  </si>
  <si>
    <t>riya kumari</t>
  </si>
  <si>
    <t>HCK075372</t>
  </si>
  <si>
    <t>6098</t>
  </si>
  <si>
    <t>928053628416</t>
  </si>
  <si>
    <t>Rekha devi</t>
  </si>
  <si>
    <t>juni sardar</t>
  </si>
  <si>
    <t>sumitra sardar</t>
  </si>
  <si>
    <t>anita mahato</t>
  </si>
  <si>
    <t>2320</t>
  </si>
  <si>
    <t>Khatoon bibi</t>
  </si>
  <si>
    <t>jahana khtoon</t>
  </si>
  <si>
    <t>nazma khtoon</t>
  </si>
  <si>
    <t>HCK075375</t>
  </si>
  <si>
    <t>01-6970</t>
  </si>
  <si>
    <t>Rukaiya Yashmin</t>
  </si>
  <si>
    <t>8797595848</t>
  </si>
  <si>
    <t>402549822078</t>
  </si>
  <si>
    <t>rukaiya yashmin</t>
  </si>
  <si>
    <t>Dipa lohar</t>
  </si>
  <si>
    <t>deepali gorai</t>
  </si>
  <si>
    <t>8092551852</t>
  </si>
  <si>
    <t>Soma mahato</t>
  </si>
  <si>
    <t>kesari tudu</t>
  </si>
  <si>
    <t>2038</t>
  </si>
  <si>
    <t>Laxmi pramanik</t>
  </si>
  <si>
    <t>Jyoti pramanik</t>
  </si>
  <si>
    <t>santosh shah</t>
  </si>
  <si>
    <t>prasenjit murmu</t>
  </si>
  <si>
    <t>HCK075382</t>
  </si>
  <si>
    <t>6099</t>
  </si>
  <si>
    <t>Mahiba Haque</t>
  </si>
  <si>
    <t>7004752901</t>
  </si>
  <si>
    <t>714034066284</t>
  </si>
  <si>
    <t>b oi</t>
  </si>
  <si>
    <t>gayatri mahato</t>
  </si>
  <si>
    <t>17-09-2025</t>
  </si>
  <si>
    <t>18-09-2025</t>
  </si>
  <si>
    <t>IONPD2774B</t>
  </si>
  <si>
    <t>champa devi</t>
  </si>
  <si>
    <t>anjana gorai</t>
  </si>
  <si>
    <t>933056121193</t>
  </si>
  <si>
    <t>GVXPD1685N</t>
  </si>
  <si>
    <t>HCK075385</t>
  </si>
  <si>
    <t>6101</t>
  </si>
  <si>
    <t>Ankita Kumari</t>
  </si>
  <si>
    <t>707041951209</t>
  </si>
  <si>
    <t>9934180013</t>
  </si>
  <si>
    <t>ankita kumari</t>
  </si>
  <si>
    <t>9735</t>
  </si>
  <si>
    <t>gopal chandra mahato</t>
  </si>
  <si>
    <t>1655</t>
  </si>
  <si>
    <t>Chanchala pandey</t>
  </si>
  <si>
    <t>HCK075386</t>
  </si>
  <si>
    <t>01-6978</t>
  </si>
  <si>
    <t>6290248925</t>
  </si>
  <si>
    <t>Dhaneswar jena</t>
  </si>
  <si>
    <t>907796049227</t>
  </si>
  <si>
    <t>ASXPJ5020A</t>
  </si>
  <si>
    <t>19-09-2025</t>
  </si>
  <si>
    <t>talat parveen</t>
  </si>
  <si>
    <t>vishnu viruli</t>
  </si>
  <si>
    <t>ASHOK KARMAKAR</t>
  </si>
  <si>
    <t>nasreen begum</t>
  </si>
  <si>
    <t>HCK075389</t>
  </si>
  <si>
    <t>6103</t>
  </si>
  <si>
    <t>Alkama perween</t>
  </si>
  <si>
    <t>6317</t>
  </si>
  <si>
    <t>mallika lohar</t>
  </si>
  <si>
    <t>6978</t>
  </si>
  <si>
    <t>dhaneswar Jena</t>
  </si>
  <si>
    <t>20-09-2025</t>
  </si>
  <si>
    <t>6104</t>
  </si>
  <si>
    <t>keshar anisha</t>
  </si>
  <si>
    <t>sonia karwa</t>
  </si>
  <si>
    <t>Keshar Anisha</t>
  </si>
  <si>
    <t>9113462304</t>
  </si>
  <si>
    <t>531799673434</t>
  </si>
  <si>
    <t>tanuja khatoon</t>
  </si>
  <si>
    <t>jobarni Gobi</t>
  </si>
  <si>
    <t>Minati bala mahato</t>
  </si>
  <si>
    <t>archana tewary</t>
  </si>
  <si>
    <t>330052478083</t>
  </si>
  <si>
    <t>9798696674</t>
  </si>
  <si>
    <t>JZHPD5264G</t>
  </si>
  <si>
    <t>22-09-2025</t>
  </si>
  <si>
    <t>putul jana</t>
  </si>
  <si>
    <t>5689</t>
  </si>
  <si>
    <t>reshmi kumari</t>
  </si>
  <si>
    <t>sourav</t>
  </si>
  <si>
    <t>neha choubey</t>
  </si>
  <si>
    <t>rohit munda</t>
  </si>
  <si>
    <t>PARVATI HO</t>
  </si>
  <si>
    <t>laxmi sahis</t>
  </si>
  <si>
    <t>jyoshna roy</t>
  </si>
  <si>
    <t>bhawani machua</t>
  </si>
  <si>
    <t>manisa das</t>
  </si>
  <si>
    <t>SUDEBI GORAI</t>
  </si>
  <si>
    <t>tulsi manna</t>
  </si>
  <si>
    <t>rupa kumari</t>
  </si>
  <si>
    <t>6110</t>
  </si>
  <si>
    <t>SHAHLA PERWEEN</t>
  </si>
  <si>
    <t>MANGLI DEVI</t>
  </si>
  <si>
    <t>deepak Lohar</t>
  </si>
  <si>
    <t>434830323296</t>
  </si>
  <si>
    <t>9973096464</t>
  </si>
  <si>
    <t>rita devi</t>
  </si>
  <si>
    <t>HCK075403</t>
  </si>
  <si>
    <t>6111</t>
  </si>
  <si>
    <t>SONI KUMARI</t>
  </si>
  <si>
    <t>684236546642</t>
  </si>
  <si>
    <t>7209950245</t>
  </si>
  <si>
    <t>EUYPP9142L</t>
  </si>
  <si>
    <t>HCK075402</t>
  </si>
  <si>
    <t>puja rani dey</t>
  </si>
  <si>
    <t>angita soren</t>
  </si>
  <si>
    <t>budheshwar mahato</t>
  </si>
  <si>
    <t>laxmi mahato</t>
  </si>
  <si>
    <t>HCK075408</t>
  </si>
  <si>
    <t>6113</t>
  </si>
  <si>
    <t>26-09-2025</t>
  </si>
  <si>
    <t>Rumi Khatoon</t>
  </si>
  <si>
    <t>9264261411</t>
  </si>
  <si>
    <t>HCK075409</t>
  </si>
  <si>
    <t>6114</t>
  </si>
  <si>
    <t>Huzaifa khan</t>
  </si>
  <si>
    <t>farida khatun</t>
  </si>
  <si>
    <t>Rupma gorai</t>
  </si>
  <si>
    <t>Pano Tanubai</t>
  </si>
  <si>
    <t>4402</t>
  </si>
  <si>
    <t>lfrida</t>
  </si>
  <si>
    <t>teboty nayak</t>
  </si>
  <si>
    <t>ranjeet kumar mahato</t>
  </si>
  <si>
    <t>aasha devi</t>
  </si>
  <si>
    <t>koshor mahto</t>
  </si>
  <si>
    <t>neeru sona</t>
  </si>
  <si>
    <t>Prernsa mishra</t>
  </si>
  <si>
    <t>moti</t>
  </si>
  <si>
    <t>3956</t>
  </si>
  <si>
    <t>tannu kumari</t>
  </si>
  <si>
    <t>29-09-2025</t>
  </si>
  <si>
    <t>OZTPK2471K</t>
  </si>
  <si>
    <t>KBVPK5647H</t>
  </si>
  <si>
    <t>736215166855</t>
  </si>
  <si>
    <t>709247371551</t>
  </si>
  <si>
    <t>sunita sardar</t>
  </si>
  <si>
    <t>khushboo kumari</t>
  </si>
  <si>
    <t>puspanjali mahato</t>
  </si>
  <si>
    <t>kishor mahto</t>
  </si>
  <si>
    <t>4859</t>
  </si>
  <si>
    <t>gayatri karmakar</t>
  </si>
  <si>
    <t>SREE TABASSUM</t>
  </si>
  <si>
    <t>mukta samad</t>
  </si>
  <si>
    <t>kartik rajak</t>
  </si>
  <si>
    <t>30-09-2025</t>
  </si>
  <si>
    <t>kajal dev</t>
  </si>
  <si>
    <t>akash chandra ravidas</t>
  </si>
  <si>
    <t>HCK075420</t>
  </si>
  <si>
    <t>6115</t>
  </si>
  <si>
    <t>851063413815</t>
  </si>
  <si>
    <t>8797592416</t>
  </si>
  <si>
    <t>OKZPK9319F</t>
  </si>
  <si>
    <t>9115</t>
  </si>
  <si>
    <t>NEHA KUMARI</t>
  </si>
  <si>
    <t>ASMAT ARA</t>
  </si>
  <si>
    <t>HCK075422</t>
  </si>
  <si>
    <t>6116</t>
  </si>
  <si>
    <t>301325166990</t>
  </si>
  <si>
    <t>mrxpk7323q</t>
  </si>
  <si>
    <t>MANISHA KUMARI</t>
  </si>
  <si>
    <t>HCK075423</t>
  </si>
  <si>
    <t>6117</t>
  </si>
  <si>
    <t>Nikky Kumari</t>
  </si>
  <si>
    <t>nikky kumari</t>
  </si>
  <si>
    <t>anarkali devi</t>
  </si>
  <si>
    <t>MAMONI DAS</t>
  </si>
  <si>
    <t>43</t>
  </si>
  <si>
    <t>NAGMANI KUMR</t>
  </si>
  <si>
    <t>HCK075424</t>
  </si>
  <si>
    <t>6118</t>
  </si>
  <si>
    <t>Tarannum Parween</t>
  </si>
  <si>
    <t>6387171035</t>
  </si>
  <si>
    <t>928017473685</t>
  </si>
  <si>
    <t>IISPP5316L</t>
  </si>
  <si>
    <t>FAHIN PERWEEN</t>
  </si>
  <si>
    <t>TARANNUM PARWEEN</t>
  </si>
  <si>
    <t>SONI DEVI</t>
  </si>
  <si>
    <t>SUNITA MAHATO</t>
  </si>
  <si>
    <t>sunita munda</t>
  </si>
  <si>
    <t>04-10-2025</t>
  </si>
  <si>
    <t>shani fatma</t>
  </si>
  <si>
    <t>kajal mujhi</t>
  </si>
  <si>
    <t>288886026205</t>
  </si>
  <si>
    <t>7542062236</t>
  </si>
  <si>
    <t>HCK075427</t>
  </si>
  <si>
    <t>6119</t>
  </si>
  <si>
    <t>8987964956</t>
  </si>
  <si>
    <t>Antima Kumari</t>
  </si>
  <si>
    <t>Antima kumari</t>
  </si>
  <si>
    <t>5065</t>
  </si>
  <si>
    <t>mamata mahapatra</t>
  </si>
  <si>
    <t>2588</t>
  </si>
  <si>
    <t>gulafshan parween</t>
  </si>
  <si>
    <t>06-10-2025</t>
  </si>
  <si>
    <t>760225454035</t>
  </si>
  <si>
    <t>CFUPD5503G</t>
  </si>
  <si>
    <t>baldev singh</t>
  </si>
  <si>
    <t>jyoti kumari</t>
  </si>
  <si>
    <t>daisy jha</t>
  </si>
  <si>
    <t>seema gudiya</t>
  </si>
  <si>
    <t>bob-Out</t>
  </si>
  <si>
    <t>2986</t>
  </si>
  <si>
    <t>Lalita lall</t>
  </si>
  <si>
    <t>varti devi</t>
  </si>
  <si>
    <t>isha singh</t>
  </si>
  <si>
    <t>shobha mahto</t>
  </si>
  <si>
    <t>08-10-2025</t>
  </si>
  <si>
    <t>ANJANA GORAI</t>
  </si>
  <si>
    <t>VBIJAY LOHAR</t>
  </si>
  <si>
    <t>wajiha khatoon</t>
  </si>
  <si>
    <t>pradip panda3200</t>
  </si>
  <si>
    <t>pushpa mahato</t>
  </si>
  <si>
    <t>shabnam sultana</t>
  </si>
  <si>
    <t>rajesh seen</t>
  </si>
  <si>
    <t>6026</t>
  </si>
  <si>
    <t>sumit karua</t>
  </si>
  <si>
    <t>tushal kanti bagis</t>
  </si>
  <si>
    <t>thandra devi das</t>
  </si>
  <si>
    <t>3622</t>
  </si>
  <si>
    <t>1817</t>
  </si>
  <si>
    <t>savita karmakar</t>
  </si>
  <si>
    <t>HCK075411</t>
  </si>
  <si>
    <t>6126</t>
  </si>
  <si>
    <t>Tania Roy</t>
  </si>
  <si>
    <t>487334148146</t>
  </si>
  <si>
    <t>CEJPR2110F</t>
  </si>
  <si>
    <t>CHANDRAKALA</t>
  </si>
  <si>
    <t>sanita dhibar</t>
  </si>
  <si>
    <t>23896</t>
  </si>
  <si>
    <t>mampi sahu</t>
  </si>
  <si>
    <t>swarb singh</t>
  </si>
  <si>
    <t>babia devi</t>
  </si>
  <si>
    <t>HCK075448</t>
  </si>
  <si>
    <t>HCK075449</t>
  </si>
  <si>
    <t>6127</t>
  </si>
  <si>
    <t>01-7008</t>
  </si>
  <si>
    <t>NITU DEVI</t>
  </si>
  <si>
    <t>8210502835</t>
  </si>
  <si>
    <t>GULAM SARWAR ANSARI</t>
  </si>
  <si>
    <t>MD SHAHNAWAZ ANSARI</t>
  </si>
  <si>
    <t>Md shahnawaz ansari</t>
  </si>
  <si>
    <t>ghulam sarwar ansari</t>
  </si>
  <si>
    <t>6203295691</t>
  </si>
  <si>
    <t>884647411676</t>
  </si>
  <si>
    <t>453326522810</t>
  </si>
  <si>
    <t>AZWPA5304L</t>
  </si>
  <si>
    <t>EVPPA7895M</t>
  </si>
  <si>
    <t>BOOKED</t>
  </si>
  <si>
    <t>14-10-2025</t>
  </si>
  <si>
    <t>pinky kumari rawani</t>
  </si>
  <si>
    <t>Bilasi SARDAR</t>
  </si>
  <si>
    <t>bhawani muchua</t>
  </si>
  <si>
    <t>3374</t>
  </si>
  <si>
    <t>Lakshmi singh</t>
  </si>
  <si>
    <t>HCK075454</t>
  </si>
  <si>
    <t>15-10-2025</t>
  </si>
  <si>
    <t>Nitu devi</t>
  </si>
  <si>
    <t>6128</t>
  </si>
  <si>
    <t>M kamla rao</t>
  </si>
  <si>
    <t>209268046922</t>
  </si>
  <si>
    <t>8660443739</t>
  </si>
  <si>
    <t>m kamal rao</t>
  </si>
  <si>
    <t>8797110215(S)</t>
  </si>
  <si>
    <t>SANGITA KUMARI</t>
  </si>
  <si>
    <t>Jule singh</t>
  </si>
  <si>
    <t>mamta tripurthy</t>
  </si>
  <si>
    <t>=</t>
  </si>
  <si>
    <t>shanshank kumar sinha</t>
  </si>
  <si>
    <t>JAYPRAKASH TANTUBAUY</t>
  </si>
  <si>
    <t>sama parveen ansari</t>
  </si>
  <si>
    <t>QWVPS9363B</t>
  </si>
  <si>
    <t>8538973840</t>
  </si>
  <si>
    <t>Ayesha haque</t>
  </si>
  <si>
    <t>dinesh mahto</t>
  </si>
  <si>
    <t>idus</t>
  </si>
  <si>
    <t>Chandamukhi soni</t>
  </si>
  <si>
    <t>roksana khatun</t>
  </si>
  <si>
    <t>Supriy bano</t>
  </si>
  <si>
    <t>Gurmukh singh</t>
  </si>
  <si>
    <t>Sector@2</t>
  </si>
  <si>
    <t>1985</t>
  </si>
  <si>
    <t>samresh kumar</t>
  </si>
  <si>
    <t>1601</t>
  </si>
  <si>
    <t>sanjay Das</t>
  </si>
  <si>
    <t>bhojay soren</t>
  </si>
  <si>
    <t>Seema Paul</t>
  </si>
  <si>
    <t>1458</t>
  </si>
  <si>
    <t>Shabnam Khatoon</t>
  </si>
  <si>
    <t>ramaydeo dam</t>
  </si>
  <si>
    <t>namita goswami</t>
  </si>
  <si>
    <t>mamni karmakar</t>
  </si>
  <si>
    <t>Tannu das</t>
  </si>
  <si>
    <t>jayanti mahato</t>
  </si>
  <si>
    <t>19-10-2025</t>
  </si>
  <si>
    <t>4799</t>
  </si>
  <si>
    <t>nisha rajak</t>
  </si>
  <si>
    <t>mangli lohra</t>
  </si>
  <si>
    <t>5230</t>
  </si>
  <si>
    <t>manju singh</t>
  </si>
  <si>
    <t>20d</t>
  </si>
  <si>
    <t>SHANKAR SINGH LAYA</t>
  </si>
  <si>
    <t>295</t>
  </si>
  <si>
    <t>YASHODA KUMARI</t>
  </si>
  <si>
    <t>23-10-2025</t>
  </si>
  <si>
    <t>9470353182</t>
  </si>
  <si>
    <t>3328</t>
  </si>
  <si>
    <t>priyanka murmu</t>
  </si>
  <si>
    <t>nayak</t>
  </si>
  <si>
    <t>urmila devi</t>
  </si>
  <si>
    <t>Archana tewary</t>
  </si>
  <si>
    <t>HCK075467</t>
  </si>
  <si>
    <t>6130</t>
  </si>
  <si>
    <t>Komal Tutti</t>
  </si>
  <si>
    <t>6206553462</t>
  </si>
  <si>
    <t>HCK075468</t>
  </si>
  <si>
    <t>01-7022</t>
  </si>
  <si>
    <t>aruna kumari</t>
  </si>
  <si>
    <t>komal tutti</t>
  </si>
  <si>
    <t>bilasi sardar</t>
  </si>
  <si>
    <t>anshu ranjita dunggung</t>
  </si>
  <si>
    <t>0307</t>
  </si>
  <si>
    <t>24-10-2025</t>
  </si>
  <si>
    <t>Aruna Kumari</t>
  </si>
  <si>
    <t>992401319506</t>
  </si>
  <si>
    <t>gayatri  mahato</t>
  </si>
  <si>
    <t>somnath</t>
  </si>
  <si>
    <t>ajay sah</t>
  </si>
  <si>
    <t>lalbihari gupta-893708640079</t>
  </si>
  <si>
    <t>Akash Rohidas</t>
  </si>
  <si>
    <t>RENU FOOTWARE</t>
  </si>
  <si>
    <t>SABINA PERWEEN</t>
  </si>
  <si>
    <t>463828970655</t>
  </si>
  <si>
    <t>9334076705</t>
  </si>
  <si>
    <t>7022</t>
  </si>
  <si>
    <t>Aruna KUmari</t>
  </si>
  <si>
    <t>25-10-2025</t>
  </si>
  <si>
    <t>FYTPK1481F</t>
  </si>
  <si>
    <t>Anju devi</t>
  </si>
  <si>
    <t>kismati</t>
  </si>
  <si>
    <t>0923</t>
  </si>
  <si>
    <t>Suendu gorai</t>
  </si>
  <si>
    <t>LAKHI GORAI</t>
  </si>
  <si>
    <t>parvati Tio</t>
  </si>
  <si>
    <t>HCK075469</t>
  </si>
  <si>
    <t>01-7023</t>
  </si>
  <si>
    <t>Prakash Gorai</t>
  </si>
  <si>
    <t>755013203319</t>
  </si>
  <si>
    <t>8210188051</t>
  </si>
  <si>
    <t>7023</t>
  </si>
  <si>
    <t>dinesh mahato</t>
  </si>
  <si>
    <t>shyam kumar mahato</t>
  </si>
  <si>
    <t>putul biswal</t>
  </si>
  <si>
    <t>SHEFALI RANA</t>
  </si>
  <si>
    <t>gulafshan perween</t>
  </si>
  <si>
    <t>CHANCHALA LPANDEY</t>
  </si>
  <si>
    <t>HCK075471</t>
  </si>
  <si>
    <t>SHYAMPADA CHEL</t>
  </si>
  <si>
    <t>MINA TUDU</t>
  </si>
  <si>
    <t>6131</t>
  </si>
  <si>
    <t>253718038298</t>
  </si>
  <si>
    <t>IUAPK5834C</t>
  </si>
  <si>
    <t>meena sharma</t>
  </si>
  <si>
    <t>kumari chanchala</t>
  </si>
  <si>
    <t>01-11-2025</t>
  </si>
  <si>
    <t>31-11-2025</t>
  </si>
  <si>
    <t>DDAPG4784B</t>
  </si>
  <si>
    <t>JAHANA KHATOON</t>
  </si>
  <si>
    <t>OYTPK827E</t>
  </si>
  <si>
    <t>RAKESH KR SINGH</t>
  </si>
  <si>
    <t>mosarrat Khatoon</t>
  </si>
  <si>
    <t>929</t>
  </si>
  <si>
    <t>papa</t>
  </si>
  <si>
    <t>akash chandra ruhidas</t>
  </si>
  <si>
    <t>PGB</t>
  </si>
  <si>
    <t>SURENDER KAUR</t>
  </si>
  <si>
    <t>6107</t>
  </si>
  <si>
    <t>basudev pramanik</t>
  </si>
  <si>
    <t>tushar kanti bagis</t>
  </si>
  <si>
    <t>sakro murmu</t>
  </si>
  <si>
    <t>amisha deogam</t>
  </si>
  <si>
    <t>03-11-2025</t>
  </si>
  <si>
    <t>tarannum perween</t>
  </si>
  <si>
    <t>pradip kumar panda</t>
  </si>
  <si>
    <t>4278</t>
  </si>
  <si>
    <t>Nasreen Perween</t>
  </si>
  <si>
    <t>3038</t>
  </si>
  <si>
    <t>RANJEET KUMAR MAHATO</t>
  </si>
  <si>
    <t>kajal pandey</t>
  </si>
  <si>
    <t>676741337035</t>
  </si>
  <si>
    <t>SLDPS8131Q</t>
  </si>
  <si>
    <t>7061998024</t>
  </si>
  <si>
    <t>SULOCHANA SAHIS</t>
  </si>
  <si>
    <t>Baby kumari</t>
  </si>
  <si>
    <t>sangeet maity</t>
  </si>
  <si>
    <t>rabi shankar dey</t>
  </si>
  <si>
    <t>HCK075475</t>
  </si>
  <si>
    <t>SANGIGA KUAMRI</t>
  </si>
  <si>
    <t>2439-1883</t>
  </si>
  <si>
    <t>batuk chetan</t>
  </si>
  <si>
    <t>pushpa sahu</t>
  </si>
  <si>
    <t>cahs</t>
  </si>
  <si>
    <t>JEVPM0360F</t>
  </si>
  <si>
    <t>9060846051</t>
  </si>
  <si>
    <t>734732972686</t>
  </si>
  <si>
    <t>HCK075506</t>
  </si>
  <si>
    <t>Afrin Khatoon</t>
  </si>
  <si>
    <t>6139</t>
  </si>
  <si>
    <t>711330610617</t>
  </si>
  <si>
    <t>9304191681</t>
  </si>
  <si>
    <t>IXXPP1072B</t>
  </si>
  <si>
    <t>AFRIN PERWEEN</t>
  </si>
  <si>
    <t>Sanjay das</t>
  </si>
  <si>
    <t>bgb</t>
  </si>
  <si>
    <t>seema guraa</t>
  </si>
  <si>
    <t>puja kumari</t>
  </si>
  <si>
    <t>JYOTI PRAMANIK</t>
  </si>
  <si>
    <t>puja rani dev</t>
  </si>
  <si>
    <t>PRAKASH DHIBAR</t>
  </si>
  <si>
    <t>srinarayan mahato</t>
  </si>
  <si>
    <t>01-7028</t>
  </si>
  <si>
    <t>04-11-2025</t>
  </si>
  <si>
    <t>HCK075508</t>
  </si>
  <si>
    <t>Guriya sandil</t>
  </si>
  <si>
    <t>6141</t>
  </si>
  <si>
    <t>9508164839</t>
  </si>
  <si>
    <t>Afrin pearween</t>
  </si>
  <si>
    <t>15-11-2025</t>
  </si>
  <si>
    <t>14-11-2025</t>
  </si>
  <si>
    <t>bhim chaudhari</t>
  </si>
  <si>
    <t>3010</t>
  </si>
  <si>
    <t>Prity kumari</t>
  </si>
  <si>
    <t>prakash</t>
  </si>
  <si>
    <t>04-0010</t>
  </si>
  <si>
    <t>0-00050</t>
  </si>
  <si>
    <t>sanjay kumar</t>
  </si>
  <si>
    <t>HCK075509</t>
  </si>
  <si>
    <t>Rekha kumari</t>
  </si>
  <si>
    <t>9263222905</t>
  </si>
  <si>
    <t>6142</t>
  </si>
  <si>
    <t>Rekha kumarui</t>
  </si>
  <si>
    <t>HCK075511</t>
  </si>
  <si>
    <t>6143</t>
  </si>
  <si>
    <t>Rozy perween</t>
  </si>
  <si>
    <t>6395239697</t>
  </si>
  <si>
    <t>PRADEEP KUMAR PANDA</t>
  </si>
  <si>
    <t>828627386843</t>
  </si>
  <si>
    <t>17-11-2025</t>
  </si>
  <si>
    <t>HCK075514</t>
  </si>
  <si>
    <t>6144</t>
  </si>
  <si>
    <t>SHANKAR KARMAKAR</t>
  </si>
  <si>
    <t>9153862571</t>
  </si>
  <si>
    <t>698977026416</t>
  </si>
  <si>
    <t>kumari chanchal</t>
  </si>
  <si>
    <t>ALOKA MAHATO</t>
  </si>
  <si>
    <t>rozy perween</t>
  </si>
  <si>
    <t>141</t>
  </si>
  <si>
    <t>HCK075521</t>
  </si>
  <si>
    <t>6146</t>
  </si>
  <si>
    <t>MOUSAMI BENARJEE</t>
  </si>
  <si>
    <t>665544719221</t>
  </si>
  <si>
    <t>7209116493</t>
  </si>
  <si>
    <t>mousami banerjee</t>
  </si>
  <si>
    <t>1490</t>
  </si>
  <si>
    <t>1958</t>
  </si>
  <si>
    <t>dipali giri</t>
  </si>
  <si>
    <t>basanti gorai</t>
  </si>
  <si>
    <t>HCK075522</t>
  </si>
  <si>
    <t>6147</t>
  </si>
  <si>
    <t>Sandhya kumari</t>
  </si>
  <si>
    <t>866057113446</t>
  </si>
  <si>
    <t>9304210299</t>
  </si>
  <si>
    <t>785</t>
  </si>
  <si>
    <t>18-11-2025</t>
  </si>
  <si>
    <t>18-11-2024</t>
  </si>
  <si>
    <t>R</t>
  </si>
  <si>
    <t>budeshwar oraon</t>
  </si>
  <si>
    <t>0043</t>
  </si>
  <si>
    <t>nagmani kumar</t>
  </si>
  <si>
    <t>568431970096</t>
  </si>
  <si>
    <t>19-11-2025</t>
  </si>
  <si>
    <t>chand rasid</t>
  </si>
  <si>
    <t>soma pal</t>
  </si>
  <si>
    <t>PNHb</t>
  </si>
  <si>
    <t>HCK075529</t>
  </si>
  <si>
    <t>6148</t>
  </si>
  <si>
    <t>397806145702</t>
  </si>
  <si>
    <t>9304643982</t>
  </si>
  <si>
    <t>anjum ara</t>
  </si>
  <si>
    <t>Rjeev halder</t>
  </si>
  <si>
    <t>Malati das</t>
  </si>
  <si>
    <t>neha devi</t>
  </si>
  <si>
    <t>114</t>
  </si>
  <si>
    <t>jhhunnu devi</t>
  </si>
  <si>
    <t>gosto bighari mahato</t>
  </si>
  <si>
    <t>parwati tiu</t>
  </si>
  <si>
    <t>HCK075535</t>
  </si>
  <si>
    <t>6149</t>
  </si>
  <si>
    <t>20-11-2025</t>
  </si>
  <si>
    <t>Shazmeen Khatoon</t>
  </si>
  <si>
    <t>659083775610</t>
  </si>
  <si>
    <t>7079185885</t>
  </si>
  <si>
    <t>OPRPK7496L</t>
  </si>
  <si>
    <t>SHAZMEEN KHATOON</t>
  </si>
  <si>
    <t>Ritu mahato</t>
  </si>
  <si>
    <t>HCK075536</t>
  </si>
  <si>
    <t>6150</t>
  </si>
  <si>
    <t>SUBI Khatoon</t>
  </si>
  <si>
    <t>7079200424</t>
  </si>
  <si>
    <t>Subi khatoon</t>
  </si>
  <si>
    <t>768843468460</t>
  </si>
  <si>
    <t>chanchala pandey</t>
  </si>
  <si>
    <t>pramod singh</t>
  </si>
  <si>
    <t>HCK075538</t>
  </si>
  <si>
    <t>6151</t>
  </si>
  <si>
    <t>Rani Begum</t>
  </si>
  <si>
    <t>9031184509</t>
  </si>
  <si>
    <t>785565747464</t>
  </si>
  <si>
    <t>GELPR7225R</t>
  </si>
  <si>
    <t>710964854772</t>
  </si>
  <si>
    <t>HCK075540</t>
  </si>
  <si>
    <t>6152</t>
  </si>
  <si>
    <t>Lakkhi mahato</t>
  </si>
  <si>
    <t>989478533503</t>
  </si>
  <si>
    <t>7903212726</t>
  </si>
  <si>
    <t>IXUPM1612R</t>
  </si>
  <si>
    <t>21-11-2025</t>
  </si>
  <si>
    <t>puitu mahato</t>
  </si>
  <si>
    <t>ranju devi</t>
  </si>
  <si>
    <t>alka mahato</t>
  </si>
  <si>
    <t>22-11-2025</t>
  </si>
  <si>
    <t>6788</t>
  </si>
  <si>
    <t>HCK075542</t>
  </si>
  <si>
    <t>6153</t>
  </si>
  <si>
    <t>GYIPP4924A</t>
  </si>
  <si>
    <t>650507685496</t>
  </si>
  <si>
    <t>9199954569</t>
  </si>
  <si>
    <t>mamta devi</t>
  </si>
  <si>
    <t>ANJU DEVI</t>
  </si>
  <si>
    <t>HCK075543</t>
  </si>
  <si>
    <t>24-11-2025</t>
  </si>
  <si>
    <t>rani begum</t>
  </si>
  <si>
    <t>HCK075544</t>
  </si>
  <si>
    <t>t</t>
  </si>
  <si>
    <t>SUMITRA GORAI</t>
  </si>
  <si>
    <t>6154</t>
  </si>
  <si>
    <t>6155</t>
  </si>
  <si>
    <t>RAMASHISH PATHAK</t>
  </si>
  <si>
    <t>Nazneen Khatoon</t>
  </si>
  <si>
    <t>544362509830</t>
  </si>
  <si>
    <t>nazneen khatoon</t>
  </si>
  <si>
    <t>HCK075547</t>
  </si>
  <si>
    <t>6158</t>
  </si>
  <si>
    <t>balahari das</t>
  </si>
  <si>
    <t>Malti das</t>
  </si>
  <si>
    <t>HCK075550</t>
  </si>
  <si>
    <t>6160</t>
  </si>
  <si>
    <t>Smita Kumari</t>
  </si>
  <si>
    <t>201495966099</t>
  </si>
  <si>
    <t>6203405335</t>
  </si>
  <si>
    <t>PHUPK2625K</t>
  </si>
  <si>
    <t>Biswajit Biswas</t>
  </si>
  <si>
    <t>474249947093</t>
  </si>
  <si>
    <t>8210336477</t>
  </si>
  <si>
    <t>Biswajit biswas</t>
  </si>
  <si>
    <t>HCK075553</t>
  </si>
  <si>
    <t>6161</t>
  </si>
  <si>
    <t>BASANTI KARMAKAR</t>
  </si>
  <si>
    <t>540951019841</t>
  </si>
  <si>
    <t>9608543477</t>
  </si>
  <si>
    <t>7856950310</t>
  </si>
  <si>
    <t>DOLAN PRAMANIK</t>
  </si>
  <si>
    <t>BASANTI KARMAAR</t>
  </si>
  <si>
    <t>ppost</t>
  </si>
  <si>
    <t>debaprasad mandal</t>
  </si>
  <si>
    <t>25-11-2025</t>
  </si>
  <si>
    <t>Lakhi mahato</t>
  </si>
  <si>
    <t>Mala dey</t>
  </si>
  <si>
    <t>basanti karmak</t>
  </si>
  <si>
    <t>HCK075558</t>
  </si>
  <si>
    <t>6163</t>
  </si>
  <si>
    <t>Nisha singh</t>
  </si>
  <si>
    <t>9572683905</t>
  </si>
  <si>
    <t>26-11-2025</t>
  </si>
  <si>
    <t>HCK075559</t>
  </si>
  <si>
    <t>6164</t>
  </si>
  <si>
    <t>Sarita  Karmakar</t>
  </si>
  <si>
    <t>9263896469</t>
  </si>
  <si>
    <t>HCK075560</t>
  </si>
  <si>
    <t>01-7076</t>
  </si>
  <si>
    <t>Munmun paul</t>
  </si>
  <si>
    <t>7979963663</t>
  </si>
  <si>
    <t>DEV KUMARI DEVI</t>
  </si>
  <si>
    <t>USHA PERIPHERAL</t>
  </si>
  <si>
    <t>HCK075562</t>
  </si>
  <si>
    <t>6165</t>
  </si>
  <si>
    <t>7859096038</t>
  </si>
  <si>
    <t>PWLPK2567Q</t>
  </si>
  <si>
    <t>HCK075563</t>
  </si>
  <si>
    <t>6166</t>
  </si>
  <si>
    <t>REENA SARKAR</t>
  </si>
  <si>
    <t>582764927849</t>
  </si>
  <si>
    <t>7870807330</t>
  </si>
  <si>
    <t>HCK075564</t>
  </si>
  <si>
    <t>6167</t>
  </si>
  <si>
    <t>995620342598</t>
  </si>
  <si>
    <t>8434725441</t>
  </si>
  <si>
    <t>6168</t>
  </si>
  <si>
    <t>mUskan kumari</t>
  </si>
  <si>
    <t>8603403933</t>
  </si>
  <si>
    <t>579017060076</t>
  </si>
  <si>
    <t>6206344407</t>
  </si>
  <si>
    <t>222810412211</t>
  </si>
  <si>
    <t>503460977182</t>
  </si>
  <si>
    <t>Khushbu karmakar</t>
  </si>
  <si>
    <t>HCK075565</t>
  </si>
  <si>
    <t>676532583477</t>
  </si>
  <si>
    <t>27-11-2025</t>
  </si>
  <si>
    <t>Reena sarkar</t>
  </si>
  <si>
    <t>Baby Kumari</t>
  </si>
  <si>
    <t>HCK075570</t>
  </si>
  <si>
    <t>420162884737</t>
  </si>
  <si>
    <t>AVSPD5082E</t>
  </si>
  <si>
    <t>6170</t>
  </si>
  <si>
    <t>punam tudu</t>
  </si>
  <si>
    <t>306801140216</t>
  </si>
  <si>
    <t>2880</t>
  </si>
  <si>
    <t>HCK075574</t>
  </si>
  <si>
    <t>6171</t>
  </si>
  <si>
    <t>Nutan Sinha</t>
  </si>
  <si>
    <t>330359724241</t>
  </si>
  <si>
    <t>8709904033</t>
  </si>
  <si>
    <t>nazma khaon</t>
  </si>
  <si>
    <t>28-11-2025</t>
  </si>
  <si>
    <t>HCK075575</t>
  </si>
  <si>
    <t>6172</t>
  </si>
  <si>
    <t>Tamanna Khatoon</t>
  </si>
  <si>
    <t>634836635140</t>
  </si>
  <si>
    <t>8797021988</t>
  </si>
  <si>
    <t>JMUPK6408M</t>
  </si>
  <si>
    <t>manju devi</t>
  </si>
  <si>
    <t>225362139909</t>
  </si>
  <si>
    <t>shefali rana</t>
  </si>
  <si>
    <t>2539</t>
  </si>
  <si>
    <t>kanta ekka</t>
  </si>
  <si>
    <t>29-11-2025</t>
  </si>
  <si>
    <t>shivam kumar</t>
  </si>
  <si>
    <t>Lalita lal</t>
  </si>
  <si>
    <t>bhim choudhary</t>
  </si>
  <si>
    <t>rani kisku</t>
  </si>
  <si>
    <t>rani kumari</t>
  </si>
  <si>
    <t>02-15</t>
  </si>
  <si>
    <t>HCK075579</t>
  </si>
  <si>
    <t>6173</t>
  </si>
  <si>
    <t>Latika pramanik</t>
  </si>
  <si>
    <t>486803154970</t>
  </si>
  <si>
    <t>9031905307</t>
  </si>
  <si>
    <t>FOEPP6053M</t>
  </si>
  <si>
    <t>gosto bihrai mahato</t>
  </si>
  <si>
    <t>Tanuja khatoon</t>
  </si>
  <si>
    <t>nazia parween</t>
  </si>
  <si>
    <t>durga mahato</t>
  </si>
  <si>
    <t>9798255647</t>
  </si>
  <si>
    <t>MZAPS0521H</t>
  </si>
  <si>
    <t>01-6787</t>
  </si>
  <si>
    <t>Mangal Singh</t>
  </si>
  <si>
    <t>HCK075582</t>
  </si>
  <si>
    <t>6179</t>
  </si>
  <si>
    <t>9288684705</t>
  </si>
  <si>
    <t>Sana Naaz</t>
  </si>
  <si>
    <t>248850937012</t>
  </si>
  <si>
    <t>DTIPN1138J</t>
  </si>
  <si>
    <t>chand(MF)</t>
  </si>
  <si>
    <t>1236</t>
  </si>
  <si>
    <t>Robbari sigh</t>
  </si>
  <si>
    <t>HCK075584</t>
  </si>
  <si>
    <t>HCK075586</t>
  </si>
  <si>
    <t>6180</t>
  </si>
  <si>
    <t>6181</t>
  </si>
  <si>
    <t>LAXMI</t>
  </si>
  <si>
    <t>691986759843</t>
  </si>
  <si>
    <t>CBWPL1064Q</t>
  </si>
  <si>
    <t>7903721579</t>
  </si>
  <si>
    <t>Aadri Gorai</t>
  </si>
  <si>
    <t>ashok kkumar ojha</t>
  </si>
  <si>
    <t>rup kanti devi</t>
  </si>
  <si>
    <t>bhim choudhury</t>
  </si>
  <si>
    <t>mamta mandal</t>
  </si>
  <si>
    <t>Mangal Machchhua</t>
  </si>
  <si>
    <t>nasreen parween</t>
  </si>
  <si>
    <t>6176</t>
  </si>
  <si>
    <t>03-12-2025</t>
  </si>
  <si>
    <t>01-12-2025</t>
  </si>
  <si>
    <t>medicine</t>
  </si>
  <si>
    <t>61701</t>
  </si>
  <si>
    <t>04-12-2025</t>
  </si>
  <si>
    <t>656260304401</t>
  </si>
  <si>
    <t>HCK075600</t>
  </si>
  <si>
    <t>Md ekram</t>
  </si>
  <si>
    <t>01-7097</t>
  </si>
  <si>
    <t>Md Ekram</t>
  </si>
  <si>
    <t>363712036018</t>
  </si>
  <si>
    <t>HCK075602</t>
  </si>
  <si>
    <t>6185</t>
  </si>
  <si>
    <t>RASHMI KUMARI</t>
  </si>
  <si>
    <t>327300275105</t>
  </si>
  <si>
    <t>9973674825</t>
  </si>
  <si>
    <t>IDBPK9776F</t>
  </si>
  <si>
    <t>puspa mahato</t>
  </si>
  <si>
    <t>05-12-2025</t>
  </si>
  <si>
    <t>umesh Mahato</t>
  </si>
  <si>
    <t>angurbala sahu</t>
  </si>
  <si>
    <t>pradep panda</t>
  </si>
  <si>
    <t>699</t>
  </si>
  <si>
    <t>jainul ali</t>
  </si>
  <si>
    <t>dhiraj kumar</t>
  </si>
  <si>
    <t>lulekha lohar</t>
  </si>
  <si>
    <t>MD SHAHID</t>
  </si>
  <si>
    <t>Ayesha Haqu</t>
  </si>
  <si>
    <t>Mahiba haque</t>
  </si>
  <si>
    <t>vishal kumar mishra</t>
  </si>
  <si>
    <t>shakila bano</t>
  </si>
  <si>
    <t>2317</t>
  </si>
  <si>
    <t>BABLI GHOSH</t>
  </si>
  <si>
    <t>shabana perween</t>
  </si>
  <si>
    <t>HCK075612</t>
  </si>
  <si>
    <t>7070882996</t>
  </si>
  <si>
    <t>6186</t>
  </si>
  <si>
    <t>SUSHMA DAS</t>
  </si>
  <si>
    <t>1378</t>
  </si>
  <si>
    <t>SARASWATI DAS</t>
  </si>
  <si>
    <t>lakshmi devi</t>
  </si>
  <si>
    <t>dharmendra kumar singh</t>
  </si>
  <si>
    <t>6205156277</t>
  </si>
  <si>
    <t>rita purty</t>
  </si>
  <si>
    <t>CMPRT</t>
  </si>
  <si>
    <t>HCK075615</t>
  </si>
  <si>
    <t>6187</t>
  </si>
  <si>
    <t>Rahul kumar singh</t>
  </si>
  <si>
    <t>6205066695</t>
  </si>
  <si>
    <t>11-12-2025</t>
  </si>
  <si>
    <t>02-12-2025</t>
  </si>
  <si>
    <t>10-12-2025</t>
  </si>
  <si>
    <t>kesri tudu</t>
  </si>
  <si>
    <t>HCK075618</t>
  </si>
  <si>
    <t>6188</t>
  </si>
  <si>
    <t>Vikas Kumar</t>
  </si>
  <si>
    <t>bhim chaudhary</t>
  </si>
  <si>
    <t>rinku devi</t>
  </si>
  <si>
    <t>basanti karmakar</t>
  </si>
  <si>
    <t>HCK075635</t>
  </si>
  <si>
    <t>6189</t>
  </si>
  <si>
    <t>SHAGUN MAHAPATRA</t>
  </si>
  <si>
    <t>9835668488</t>
  </si>
  <si>
    <t>JDVPM8446R</t>
  </si>
  <si>
    <t>15-12-20265</t>
  </si>
  <si>
    <t>Niyamaton nisha</t>
  </si>
  <si>
    <t>HCK075639</t>
  </si>
  <si>
    <t>PRATIMA KUNDU</t>
  </si>
  <si>
    <t>6190</t>
  </si>
  <si>
    <t>ASHA DAS</t>
  </si>
  <si>
    <t>Asha das</t>
  </si>
  <si>
    <t>9798461104</t>
  </si>
  <si>
    <t>900818541643</t>
  </si>
  <si>
    <t>ILTPD2968E</t>
  </si>
  <si>
    <t>HCK075642</t>
  </si>
  <si>
    <t>6191</t>
  </si>
  <si>
    <t>a Uma Kumari</t>
  </si>
  <si>
    <t>8789646667</t>
  </si>
  <si>
    <t>57532</t>
  </si>
  <si>
    <t>A Uma Kumari</t>
  </si>
  <si>
    <t>HCK075643</t>
  </si>
  <si>
    <t>6192</t>
  </si>
  <si>
    <t>9905930850</t>
  </si>
  <si>
    <t>Mohit Karmakar</t>
  </si>
  <si>
    <t>HCK075644</t>
  </si>
  <si>
    <t>6193</t>
  </si>
  <si>
    <t>Md rehan asgar</t>
  </si>
  <si>
    <t>8083815940</t>
  </si>
  <si>
    <t>81022848567(7362084707)</t>
  </si>
  <si>
    <t>16-12-2025</t>
  </si>
  <si>
    <t>md ekram</t>
  </si>
  <si>
    <t>SUNITA DEVI</t>
  </si>
  <si>
    <t>motilal chaudhri</t>
  </si>
  <si>
    <t>HCK075645</t>
  </si>
  <si>
    <t>6194</t>
  </si>
  <si>
    <t>Mobassrin Khan</t>
  </si>
  <si>
    <t>6200770418</t>
  </si>
  <si>
    <t>15-12-2025</t>
  </si>
  <si>
    <t>14-12-2025</t>
  </si>
  <si>
    <t>259017093870</t>
  </si>
  <si>
    <t>IJLPK6883B</t>
  </si>
  <si>
    <t>820836016016</t>
  </si>
  <si>
    <t>976072905984</t>
  </si>
  <si>
    <t>BNEPK7687R</t>
  </si>
  <si>
    <t>504485770806</t>
  </si>
  <si>
    <t>589370039490</t>
  </si>
  <si>
    <t>BKLPK8734R</t>
  </si>
  <si>
    <t>8409012508</t>
  </si>
  <si>
    <t>17-12-2025</t>
  </si>
  <si>
    <t>HCK075652</t>
  </si>
  <si>
    <t>9508495838</t>
  </si>
  <si>
    <t>6197</t>
  </si>
  <si>
    <t>Anjali kumari</t>
  </si>
  <si>
    <t>HCK075653</t>
  </si>
  <si>
    <t>6198</t>
  </si>
  <si>
    <t>aaRAV Kumar</t>
  </si>
  <si>
    <t>753682443388</t>
  </si>
  <si>
    <t>HCK075654</t>
  </si>
  <si>
    <t>6199</t>
  </si>
  <si>
    <t>564649307969</t>
  </si>
  <si>
    <t>Anuj kumar</t>
  </si>
  <si>
    <t>6695</t>
  </si>
  <si>
    <t>canarabank</t>
  </si>
  <si>
    <t>kamal narayan singh</t>
  </si>
  <si>
    <t>shabanam sultana</t>
  </si>
  <si>
    <t>294072668217</t>
  </si>
  <si>
    <t>PIMPK0880B</t>
  </si>
  <si>
    <t>HCK075657</t>
  </si>
  <si>
    <t>Koshalya devi</t>
  </si>
  <si>
    <t>9508154458</t>
  </si>
  <si>
    <t>KPNPD7960G</t>
  </si>
  <si>
    <t>6200</t>
  </si>
  <si>
    <t>18-12-2025</t>
  </si>
  <si>
    <t>SARASWATI SOREN</t>
  </si>
  <si>
    <t>Bela prajapati</t>
  </si>
  <si>
    <t>917047509480</t>
  </si>
  <si>
    <t>19-12-2025</t>
  </si>
  <si>
    <t>9000W</t>
  </si>
  <si>
    <t>658770748649</t>
  </si>
  <si>
    <t>HCK075660</t>
  </si>
  <si>
    <t>6201</t>
  </si>
  <si>
    <t>8409996022</t>
  </si>
  <si>
    <t>9229399679</t>
  </si>
  <si>
    <t>Md Kaif Alam</t>
  </si>
  <si>
    <t>734548221764</t>
  </si>
  <si>
    <t>rebaroy</t>
  </si>
  <si>
    <t>5363</t>
  </si>
  <si>
    <t>Lakshya sharma</t>
  </si>
  <si>
    <t>HCK075669</t>
  </si>
  <si>
    <t>PANDA</t>
  </si>
  <si>
    <t>6203</t>
  </si>
  <si>
    <t>Saanvi</t>
  </si>
  <si>
    <t>9386297991</t>
  </si>
  <si>
    <t>775830656075</t>
  </si>
  <si>
    <t>20-12-2025</t>
  </si>
  <si>
    <t>pramila</t>
  </si>
  <si>
    <t>suman mishra</t>
  </si>
  <si>
    <t>shikha tete</t>
  </si>
  <si>
    <t>7369070422</t>
  </si>
  <si>
    <t>ROBBARI SINHG</t>
  </si>
  <si>
    <t xml:space="preserve">koshlaya </t>
  </si>
  <si>
    <t>hameeda perween</t>
  </si>
  <si>
    <t>9234932471</t>
  </si>
  <si>
    <t>25-12-2025</t>
  </si>
  <si>
    <t>24-12-2025</t>
  </si>
  <si>
    <t>24-08-2025</t>
  </si>
  <si>
    <t>3167</t>
  </si>
  <si>
    <t>badri narayan singh</t>
  </si>
  <si>
    <t>7044</t>
  </si>
  <si>
    <t>parmila ravidas</t>
  </si>
  <si>
    <t>munjera khatoon</t>
  </si>
  <si>
    <t>Paint</t>
  </si>
  <si>
    <t>parwati besra</t>
  </si>
  <si>
    <t>30-12-2025</t>
  </si>
  <si>
    <t>durga sahu</t>
  </si>
  <si>
    <t>HCK075682</t>
  </si>
  <si>
    <t>01-7130</t>
  </si>
  <si>
    <t>Ratnesh kumar singh</t>
  </si>
  <si>
    <t>HRLPR7632L</t>
  </si>
  <si>
    <t>BABY KUMARI</t>
  </si>
  <si>
    <t>01-01-2026</t>
  </si>
  <si>
    <t>Cash withdrawal</t>
  </si>
  <si>
    <t>akhtar Khan</t>
  </si>
  <si>
    <t>428033337080</t>
  </si>
  <si>
    <t>9204251044</t>
  </si>
  <si>
    <t>CMXPS8674P</t>
  </si>
  <si>
    <t>cash depo</t>
  </si>
  <si>
    <t>HCK075685</t>
  </si>
  <si>
    <t>Rakesh Mahato</t>
  </si>
  <si>
    <t>309967069831</t>
  </si>
  <si>
    <t>8340316314</t>
  </si>
  <si>
    <t>EXPPM7553C</t>
  </si>
  <si>
    <t>rajesh kumar singjh</t>
  </si>
  <si>
    <t>Sulekha lohar</t>
  </si>
  <si>
    <t>02-0024</t>
  </si>
  <si>
    <t>nazia parveen</t>
  </si>
  <si>
    <t>Rambha devi</t>
  </si>
  <si>
    <t>2457</t>
  </si>
  <si>
    <t>JAMUMA PAUL</t>
  </si>
  <si>
    <t>thanda devi das</t>
  </si>
  <si>
    <t>shabana PERWEEN</t>
  </si>
  <si>
    <t>jahan khatoon</t>
  </si>
  <si>
    <t>Nazma khatoon</t>
  </si>
  <si>
    <t>Puja kumari</t>
  </si>
  <si>
    <t>shashi bhushan verma</t>
  </si>
  <si>
    <t>haleem  Khatoon</t>
  </si>
  <si>
    <t>Rajeev harlder</t>
  </si>
  <si>
    <t>HCK075691</t>
  </si>
  <si>
    <t>Bindu Mandal</t>
  </si>
  <si>
    <t>7979071821</t>
  </si>
  <si>
    <t>639187873085</t>
  </si>
  <si>
    <t>6209</t>
  </si>
  <si>
    <t>HCK075692</t>
  </si>
  <si>
    <t>06-01-2026</t>
  </si>
  <si>
    <t>6210</t>
  </si>
  <si>
    <t>Ananya Kumari</t>
  </si>
  <si>
    <t>9798366015</t>
  </si>
  <si>
    <t>minta devi-1000</t>
  </si>
  <si>
    <t>Anisha khatun</t>
  </si>
  <si>
    <t>lalita lall</t>
  </si>
  <si>
    <t>Manju singh</t>
  </si>
  <si>
    <t>08-01-2026</t>
  </si>
  <si>
    <t>07-01-2026</t>
  </si>
  <si>
    <t>435524920039</t>
  </si>
  <si>
    <t xml:space="preserve">VIKASH </t>
  </si>
  <si>
    <t>HCK075697</t>
  </si>
  <si>
    <t>6211</t>
  </si>
  <si>
    <t>Md Wasim</t>
  </si>
  <si>
    <t>959662422241</t>
  </si>
  <si>
    <t>ACHPW4839J</t>
  </si>
  <si>
    <t>Jobarani gope</t>
  </si>
  <si>
    <t>sabina perween</t>
  </si>
  <si>
    <t>Yashoda kumari</t>
  </si>
  <si>
    <t>mosarratr khatoon</t>
  </si>
  <si>
    <t>postq</t>
  </si>
  <si>
    <t>Tannu kumari</t>
  </si>
  <si>
    <t>jgbn</t>
  </si>
  <si>
    <t>urmila Devi</t>
  </si>
  <si>
    <t>soma mahaTA</t>
  </si>
  <si>
    <t>pintu kumaR</t>
  </si>
  <si>
    <t>5580</t>
  </si>
  <si>
    <t>BHANUMATI SINGH</t>
  </si>
  <si>
    <t>4914</t>
  </si>
  <si>
    <t>SURU SINGH</t>
  </si>
  <si>
    <t>6213</t>
  </si>
  <si>
    <t>12-01-2026</t>
  </si>
  <si>
    <t>Bidyut Paul</t>
  </si>
  <si>
    <t>407324413446</t>
  </si>
  <si>
    <t>9162965446</t>
  </si>
  <si>
    <t>7979989960</t>
  </si>
  <si>
    <t>13-01-2026</t>
  </si>
  <si>
    <t>Bidyut paul</t>
  </si>
  <si>
    <t>Nasreen perween</t>
  </si>
  <si>
    <t>440681-5719</t>
  </si>
  <si>
    <t>babli kumari</t>
  </si>
  <si>
    <t>shama beguam</t>
  </si>
  <si>
    <t>anjali sarkar</t>
  </si>
  <si>
    <t>6201765592</t>
  </si>
  <si>
    <t>anita devi-4000</t>
  </si>
  <si>
    <t>9931721146</t>
  </si>
  <si>
    <t>15-01-2026</t>
  </si>
  <si>
    <t>HCK075698</t>
  </si>
  <si>
    <t>HCK075770</t>
  </si>
  <si>
    <t>6214</t>
  </si>
  <si>
    <t>MD FEROJ ANSARI</t>
  </si>
  <si>
    <t>bilasi kaur</t>
  </si>
  <si>
    <t>jaya sport</t>
  </si>
  <si>
    <t>0709</t>
  </si>
  <si>
    <t>Biswajit paul</t>
  </si>
  <si>
    <t>17-01-2026</t>
  </si>
  <si>
    <t>Md Feroj Ansari</t>
  </si>
  <si>
    <t>323051933545</t>
  </si>
  <si>
    <t>7557755037</t>
  </si>
  <si>
    <t xml:space="preserve"> 1972</t>
  </si>
  <si>
    <t>18-01-2026</t>
  </si>
  <si>
    <t>shashank</t>
  </si>
  <si>
    <t>bandhan soni</t>
  </si>
  <si>
    <t>6218</t>
  </si>
  <si>
    <t>Saurab khan</t>
  </si>
  <si>
    <t>gurmukh singh</t>
  </si>
  <si>
    <t>bhim choudhuri</t>
  </si>
  <si>
    <t>6219</t>
  </si>
  <si>
    <t>ADIL ANSARI</t>
  </si>
  <si>
    <t>aloka garait</t>
  </si>
  <si>
    <t>girija devi</t>
  </si>
  <si>
    <t>1876</t>
  </si>
  <si>
    <t>saroj singh</t>
  </si>
  <si>
    <t>HCK075723</t>
  </si>
  <si>
    <t>HCK075721</t>
  </si>
  <si>
    <t>6220</t>
  </si>
  <si>
    <t>366108329421</t>
  </si>
  <si>
    <t>8969392016</t>
  </si>
  <si>
    <t>cmp-24</t>
  </si>
  <si>
    <t>santosh</t>
  </si>
  <si>
    <t>laxmi</t>
  </si>
  <si>
    <t>AKASH MUDNA</t>
  </si>
  <si>
    <t xml:space="preserve">CASH </t>
  </si>
  <si>
    <t xml:space="preserve">                                                                                            </t>
  </si>
  <si>
    <t>dolon pramanik</t>
  </si>
  <si>
    <t>4340</t>
  </si>
  <si>
    <t>birju baskey</t>
  </si>
  <si>
    <t>Shahla perween</t>
  </si>
  <si>
    <t>kamalnarayan singh</t>
  </si>
  <si>
    <t>ramayan mahato</t>
  </si>
  <si>
    <t>Babli Kumari</t>
  </si>
  <si>
    <t>Shyampada chel</t>
  </si>
  <si>
    <t>CC05-24</t>
  </si>
  <si>
    <t>Kiran sinha</t>
  </si>
  <si>
    <t>angulrbala sahu</t>
  </si>
  <si>
    <t>8674847581</t>
  </si>
  <si>
    <t>shilpi gorai</t>
  </si>
  <si>
    <t>Mamoni halder</t>
  </si>
  <si>
    <t>sonia karua</t>
  </si>
  <si>
    <t>HCK075737</t>
  </si>
  <si>
    <t>6263</t>
  </si>
  <si>
    <t>589988307820</t>
  </si>
  <si>
    <t>9341047266</t>
  </si>
  <si>
    <t>QZAPK1648K</t>
  </si>
  <si>
    <t>PNGRAMIN</t>
  </si>
  <si>
    <t>comoort 24</t>
  </si>
  <si>
    <t>Robbari singh</t>
  </si>
  <si>
    <t>Adil Ansari</t>
  </si>
  <si>
    <t>863301-4391</t>
  </si>
  <si>
    <t>salma khaTOON</t>
  </si>
  <si>
    <t>SABNAM KHATOON</t>
  </si>
  <si>
    <t>SEEMA GUDIYA</t>
  </si>
  <si>
    <t>suresh bhimij</t>
  </si>
  <si>
    <t>360887518282</t>
  </si>
  <si>
    <t>7480878281</t>
  </si>
  <si>
    <t>31-01-2026</t>
  </si>
  <si>
    <t>9102411744</t>
  </si>
  <si>
    <t>HCK075740</t>
  </si>
  <si>
    <t>Karuna Devi</t>
  </si>
  <si>
    <t>4554</t>
  </si>
  <si>
    <t>satrughan kumar</t>
  </si>
  <si>
    <t>9523190555</t>
  </si>
  <si>
    <t>sunil kumar prasads</t>
  </si>
  <si>
    <t>1438-2514</t>
  </si>
  <si>
    <t>lakhi karmakar</t>
  </si>
  <si>
    <t>6224</t>
  </si>
  <si>
    <t>Joshana bhumij</t>
  </si>
  <si>
    <t>288510585819</t>
  </si>
  <si>
    <t>8697515272</t>
  </si>
  <si>
    <t>IGCPB4129P</t>
  </si>
  <si>
    <t>Joshana Bhumij</t>
  </si>
  <si>
    <t>compo-50</t>
  </si>
  <si>
    <t>HCK075744</t>
  </si>
  <si>
    <t>babli</t>
  </si>
  <si>
    <t>priti sinha</t>
  </si>
  <si>
    <t>02-02-2026</t>
  </si>
  <si>
    <t>Aliya parween</t>
  </si>
  <si>
    <t>Aruna kumari</t>
  </si>
  <si>
    <t>HALEEMA</t>
  </si>
  <si>
    <t>01-6325</t>
  </si>
  <si>
    <t>rajeev ranjan prasasd</t>
  </si>
  <si>
    <t>prabha devi</t>
  </si>
  <si>
    <t>sunitad devi</t>
  </si>
  <si>
    <t>6226</t>
  </si>
  <si>
    <t>Om Prakash Verma</t>
  </si>
  <si>
    <t>241473285098</t>
  </si>
  <si>
    <t>7992239686</t>
  </si>
  <si>
    <t>AAPPV8161N</t>
  </si>
  <si>
    <t>01-6683</t>
  </si>
  <si>
    <t>Jay dev aich</t>
  </si>
  <si>
    <t>nasreen begam</t>
  </si>
  <si>
    <t>niti laguri</t>
  </si>
  <si>
    <t>ratni gagrai</t>
  </si>
  <si>
    <t>miten das</t>
  </si>
  <si>
    <t>04-02-2026</t>
  </si>
  <si>
    <t>03-02-2026</t>
  </si>
  <si>
    <t>joshna bhumij</t>
  </si>
  <si>
    <t>6223</t>
  </si>
  <si>
    <t>2868</t>
  </si>
  <si>
    <t>HCK075749</t>
  </si>
  <si>
    <t>375137000670</t>
  </si>
  <si>
    <t>Sk Ayub Ali</t>
  </si>
  <si>
    <t>6227</t>
  </si>
  <si>
    <t>FWVPA4486C</t>
  </si>
  <si>
    <t>962748366222</t>
  </si>
  <si>
    <t>9798940108</t>
  </si>
  <si>
    <t>05-02-2026</t>
  </si>
  <si>
    <t>Puity Mahato</t>
  </si>
  <si>
    <t>nitima sinku</t>
  </si>
  <si>
    <t>8797353178</t>
  </si>
  <si>
    <t>Aarav kumar</t>
  </si>
  <si>
    <t>Anuj Kumar</t>
  </si>
  <si>
    <t>06-02-2026</t>
  </si>
  <si>
    <t>Kalpana Mudi</t>
  </si>
  <si>
    <t>MANI gorai</t>
  </si>
  <si>
    <t>farvendra kumar</t>
  </si>
  <si>
    <t>9204732627</t>
  </si>
  <si>
    <t>HCK075758</t>
  </si>
  <si>
    <t>6228</t>
  </si>
  <si>
    <t>ANJANA KUMARI</t>
  </si>
  <si>
    <t>9113172013</t>
  </si>
  <si>
    <t>SHASHANK</t>
  </si>
  <si>
    <t>SOMA MAHATA</t>
  </si>
  <si>
    <t>KISHOR MAHTO</t>
  </si>
  <si>
    <t>8235427912</t>
  </si>
  <si>
    <t>9852921442</t>
  </si>
  <si>
    <t>ghanashyam jha</t>
  </si>
  <si>
    <t>santoshi gorai</t>
  </si>
  <si>
    <t>7250446945</t>
  </si>
  <si>
    <t>9955207438</t>
  </si>
  <si>
    <t>Babli kumari</t>
  </si>
  <si>
    <t>760</t>
  </si>
  <si>
    <t>Meer byar</t>
  </si>
  <si>
    <t>HCK075765</t>
  </si>
  <si>
    <t>6231</t>
  </si>
  <si>
    <t>priya lohar</t>
  </si>
  <si>
    <t>280405725998</t>
  </si>
  <si>
    <t>8002091933</t>
  </si>
  <si>
    <t>comport50</t>
  </si>
  <si>
    <t>robbari singh</t>
  </si>
  <si>
    <t>rajiv kumar</t>
  </si>
  <si>
    <t>Basudev pramanik</t>
  </si>
  <si>
    <t>HCK075766</t>
  </si>
  <si>
    <t>6232</t>
  </si>
  <si>
    <t>Papia Ghosh</t>
  </si>
  <si>
    <t>7209755635</t>
  </si>
  <si>
    <t>565</t>
  </si>
  <si>
    <t>chandeshwari pd singh</t>
  </si>
  <si>
    <t>cmprt-24</t>
  </si>
  <si>
    <t>13-02-2026</t>
  </si>
  <si>
    <t>07-02-2026</t>
  </si>
  <si>
    <t>md Taushif  Alam</t>
  </si>
  <si>
    <t>bimala gorai</t>
  </si>
  <si>
    <t>LAKKHI MAHATO</t>
  </si>
  <si>
    <t>HCK075772</t>
  </si>
  <si>
    <t>Jyoti Das</t>
  </si>
  <si>
    <t>538146502590</t>
  </si>
  <si>
    <t>9229363395</t>
  </si>
  <si>
    <t>6234</t>
  </si>
  <si>
    <t>aloka gorai</t>
  </si>
  <si>
    <t>435041779580</t>
  </si>
  <si>
    <t>17-02-2026</t>
  </si>
  <si>
    <t>18-02-2026</t>
  </si>
  <si>
    <t>HCK075776</t>
  </si>
  <si>
    <t>294617872957</t>
  </si>
  <si>
    <t>JDNPM8287G</t>
  </si>
  <si>
    <t>SARSWTI MAHATO</t>
  </si>
  <si>
    <t>01-7189</t>
  </si>
  <si>
    <t>Amulya mahato</t>
  </si>
  <si>
    <t>GXQPM3856R</t>
  </si>
  <si>
    <t>19-02-2026</t>
  </si>
  <si>
    <t>1179</t>
  </si>
  <si>
    <t>dilip kumar mahato</t>
  </si>
  <si>
    <t>bela prajapati-4500</t>
  </si>
  <si>
    <t>nishat khatoon</t>
  </si>
  <si>
    <t>7970497876</t>
  </si>
  <si>
    <t>md muslim</t>
  </si>
  <si>
    <t>Umesh Mahato</t>
  </si>
  <si>
    <t>sanjay das</t>
  </si>
  <si>
    <t>kamal mahato</t>
  </si>
  <si>
    <t>3374-0</t>
  </si>
  <si>
    <t>santoshi gupta</t>
  </si>
  <si>
    <t>bGB</t>
  </si>
  <si>
    <t>dulari devi</t>
  </si>
  <si>
    <t>laxamina devi</t>
  </si>
  <si>
    <t>dayanand mahato</t>
  </si>
  <si>
    <t>yashoda Kumari</t>
  </si>
  <si>
    <t>HCK075794</t>
  </si>
  <si>
    <t>BINIOD KUMAR</t>
  </si>
  <si>
    <t>MEERA BYAR</t>
  </si>
  <si>
    <t>01-7205</t>
  </si>
  <si>
    <t>996495037141</t>
  </si>
  <si>
    <t>8018678116</t>
  </si>
  <si>
    <t>BBWPN7200F</t>
  </si>
  <si>
    <t>jagakalia nath</t>
  </si>
  <si>
    <t>monica doyle</t>
  </si>
  <si>
    <t>507311516044</t>
  </si>
  <si>
    <t>4112</t>
  </si>
  <si>
    <t>abhjishek gupta</t>
  </si>
  <si>
    <t>SAROJ SHARMA</t>
  </si>
  <si>
    <t>nasreen perween</t>
  </si>
  <si>
    <t>25-02-2026</t>
  </si>
  <si>
    <t>9334427860</t>
  </si>
  <si>
    <t>Pinki Gorai</t>
  </si>
  <si>
    <t>mangal mahato</t>
  </si>
  <si>
    <t>Mohammad muslim</t>
  </si>
  <si>
    <t>asha das</t>
  </si>
  <si>
    <t>Lakhi Karmakar</t>
  </si>
  <si>
    <t>HCK075800</t>
  </si>
  <si>
    <t>6237</t>
  </si>
  <si>
    <t>7070882983</t>
  </si>
  <si>
    <t>Dhrub kumar mishra</t>
  </si>
  <si>
    <t>27-02-2026</t>
  </si>
  <si>
    <t>7205</t>
  </si>
  <si>
    <t>Papiya Das</t>
  </si>
  <si>
    <t>24-02-2026</t>
  </si>
  <si>
    <t>rajeev kumar prasad</t>
  </si>
  <si>
    <t>jyoti das</t>
  </si>
  <si>
    <t>HCK064909</t>
  </si>
  <si>
    <t>MAMTA DEVI</t>
  </si>
  <si>
    <t>comport 50</t>
  </si>
  <si>
    <t>bobn</t>
  </si>
  <si>
    <t>Rabi shankar dey</t>
  </si>
  <si>
    <t>AARTI DEVI</t>
  </si>
  <si>
    <t>JYOTI DAS</t>
  </si>
  <si>
    <t>Nazma Khatun</t>
  </si>
  <si>
    <t>Jahana khatoon</t>
  </si>
  <si>
    <t>bebee singh</t>
  </si>
  <si>
    <t>Mamta tripathy</t>
  </si>
  <si>
    <t>soma SARKAR</t>
  </si>
  <si>
    <t>8092402403</t>
  </si>
  <si>
    <t>ashutosh mahato</t>
  </si>
  <si>
    <t>comportr</t>
  </si>
  <si>
    <t>pintu kumari</t>
  </si>
  <si>
    <t>vardan oraon</t>
  </si>
  <si>
    <t xml:space="preserve">post </t>
  </si>
  <si>
    <t>jitender kr rai</t>
  </si>
  <si>
    <t>Lalita Lal</t>
  </si>
  <si>
    <t>basmoti ruhidas</t>
  </si>
  <si>
    <t>mini devi</t>
  </si>
  <si>
    <t>ramavati devi</t>
  </si>
  <si>
    <t>1831</t>
  </si>
  <si>
    <t>mangli tudu</t>
  </si>
  <si>
    <t>tribhuwan kumar singh</t>
  </si>
  <si>
    <t>UPGB</t>
  </si>
  <si>
    <t>IMAM ALI</t>
  </si>
  <si>
    <t>IBS</t>
  </si>
  <si>
    <t>dharmendra kr singh</t>
  </si>
  <si>
    <t>naagi gadsara</t>
  </si>
  <si>
    <t>SHABNAM PERWEEN</t>
  </si>
  <si>
    <t>ioc</t>
  </si>
  <si>
    <t>DD-sonmandap</t>
  </si>
  <si>
    <t>81-0565</t>
  </si>
  <si>
    <t>chandreswari pd singh</t>
  </si>
  <si>
    <t>madho hansda</t>
  </si>
  <si>
    <t>jagakalia naag</t>
  </si>
  <si>
    <t>DILIP KUMAR MAHATO</t>
  </si>
  <si>
    <t>gungu</t>
  </si>
  <si>
    <t>bimla gorai</t>
  </si>
  <si>
    <t>Aarav Kumar</t>
  </si>
  <si>
    <t>REBA ROY</t>
  </si>
  <si>
    <t>prerna mishra</t>
  </si>
  <si>
    <t>khushboo kumari-5000</t>
  </si>
  <si>
    <t>Khushi singh mura</t>
  </si>
  <si>
    <t>SEEMA GURIYA</t>
  </si>
  <si>
    <t>HALEEMA Khatoon</t>
  </si>
  <si>
    <t>Prakash kumar nayak</t>
  </si>
  <si>
    <t>jyotsna manna</t>
  </si>
  <si>
    <t>arti devi</t>
  </si>
  <si>
    <t>440681-5149</t>
  </si>
  <si>
    <t>HCK075828</t>
  </si>
  <si>
    <t>6243</t>
  </si>
  <si>
    <t>Amit Sahis</t>
  </si>
  <si>
    <t>205716521640</t>
  </si>
  <si>
    <t>7209371904</t>
  </si>
  <si>
    <t>shabana shahin</t>
  </si>
  <si>
    <t>anjali sarkaR</t>
  </si>
  <si>
    <t>fee</t>
  </si>
  <si>
    <t>caution</t>
  </si>
  <si>
    <t>book</t>
  </si>
  <si>
    <t>hostel</t>
  </si>
  <si>
    <t>Mesh</t>
  </si>
  <si>
    <t>debi munda</t>
  </si>
  <si>
    <t>Sanjana shree</t>
  </si>
  <si>
    <t>HCK075846</t>
  </si>
  <si>
    <t>6245</t>
  </si>
  <si>
    <t>7739345808</t>
  </si>
  <si>
    <t>Gita Devi</t>
  </si>
  <si>
    <t>891566181705</t>
  </si>
  <si>
    <t>24-03-2026</t>
  </si>
  <si>
    <t>19-03-2026</t>
  </si>
  <si>
    <t>sHEELA Das</t>
  </si>
  <si>
    <t>11-03-2026</t>
  </si>
  <si>
    <t>766155221211</t>
  </si>
  <si>
    <t>sheela das</t>
  </si>
  <si>
    <t>mangli devi</t>
  </si>
  <si>
    <t>obb</t>
  </si>
  <si>
    <t>farmendra kumar</t>
  </si>
  <si>
    <t>mamata mahaPATRA</t>
  </si>
  <si>
    <t>Pallabi tewary</t>
  </si>
  <si>
    <t>0346</t>
  </si>
  <si>
    <t>mahwish</t>
  </si>
  <si>
    <t>SANTOSH GUPTA</t>
  </si>
  <si>
    <t>cc24</t>
  </si>
  <si>
    <t>5146</t>
  </si>
  <si>
    <t>sunil ray</t>
  </si>
  <si>
    <t>gold</t>
  </si>
  <si>
    <t>b-50</t>
  </si>
  <si>
    <t>spice+SBI+CANARA</t>
  </si>
  <si>
    <t>OD</t>
  </si>
  <si>
    <t>biswajit nayak</t>
  </si>
  <si>
    <t>937024613500</t>
  </si>
  <si>
    <t>Tel. Bill-600</t>
  </si>
  <si>
    <t>02-050</t>
  </si>
  <si>
    <t>comprort</t>
  </si>
  <si>
    <t>OPENING BALANCE</t>
  </si>
  <si>
    <t>mado hansda</t>
  </si>
  <si>
    <t>asian johnson mundu</t>
  </si>
  <si>
    <t>sudeep horo</t>
  </si>
  <si>
    <t>Lakhi KaRMAKAR</t>
  </si>
  <si>
    <t>HCK075854</t>
  </si>
  <si>
    <t>5388</t>
  </si>
  <si>
    <t>CHANDA KUMARI</t>
  </si>
  <si>
    <t>HCK075855</t>
  </si>
  <si>
    <t>9162776957</t>
  </si>
  <si>
    <t>6248</t>
  </si>
  <si>
    <t>6249</t>
  </si>
  <si>
    <t>Samsad Khan</t>
  </si>
  <si>
    <t>446741265633</t>
  </si>
  <si>
    <t>Kashmira Begum</t>
  </si>
  <si>
    <t>268113396593</t>
  </si>
  <si>
    <t>JCSPB7639M</t>
  </si>
  <si>
    <t>short</t>
  </si>
  <si>
    <t>aarav kumar</t>
  </si>
  <si>
    <t>Kavita gorai</t>
  </si>
  <si>
    <t>mrs jaydev</t>
  </si>
  <si>
    <t>2625</t>
  </si>
  <si>
    <t>furniture</t>
  </si>
  <si>
    <t>pramila Devi</t>
  </si>
  <si>
    <t>puiti mahato</t>
  </si>
  <si>
    <t>HCK075864</t>
  </si>
  <si>
    <t>HCK075865</t>
  </si>
  <si>
    <t>248981-3388</t>
  </si>
  <si>
    <t>sabanam khatoon</t>
  </si>
  <si>
    <t>01-7257</t>
  </si>
  <si>
    <t>01-7258</t>
  </si>
  <si>
    <t>Pranob Das</t>
  </si>
  <si>
    <t>07-04-2026</t>
  </si>
  <si>
    <t>9631474724</t>
  </si>
  <si>
    <t>948896974690</t>
  </si>
  <si>
    <t>03-04-2026</t>
  </si>
  <si>
    <t>30-03-2026</t>
  </si>
  <si>
    <t>AKPPR2959C</t>
  </si>
  <si>
    <t>824547441551</t>
  </si>
  <si>
    <t>AKJPD4182D</t>
  </si>
  <si>
    <t>Sanjit kr rakshit</t>
  </si>
  <si>
    <t>sanjib kr rakshit</t>
  </si>
  <si>
    <t>8092602165</t>
  </si>
  <si>
    <t>Sanjib kr rakshit</t>
  </si>
  <si>
    <t>4406-5149</t>
  </si>
  <si>
    <t>amit sahis</t>
  </si>
  <si>
    <t>01-894</t>
  </si>
  <si>
    <t>248981-1958</t>
  </si>
  <si>
    <t>SARSWATI BHUMIJ</t>
  </si>
  <si>
    <t>6207328681</t>
  </si>
  <si>
    <t>BATASI GORAI</t>
  </si>
  <si>
    <t>01-6825</t>
  </si>
  <si>
    <t>akash ruhidas</t>
  </si>
  <si>
    <t>HCK075882</t>
  </si>
  <si>
    <t>Binod Kumar Sharma</t>
  </si>
  <si>
    <t>255597603835</t>
  </si>
  <si>
    <t>9955371908</t>
  </si>
  <si>
    <t>AEIPS3093K</t>
  </si>
  <si>
    <t>01-7269</t>
  </si>
  <si>
    <t>PUJA RANI DEY</t>
  </si>
  <si>
    <t>saraswati Gope</t>
  </si>
  <si>
    <t>groww</t>
  </si>
  <si>
    <t>4719</t>
  </si>
  <si>
    <t>ashok sahu</t>
  </si>
  <si>
    <t>pasudev prama;nik</t>
  </si>
  <si>
    <t>4406-5719</t>
  </si>
  <si>
    <t>rani gorai</t>
  </si>
  <si>
    <t>mr dey</t>
  </si>
  <si>
    <t>HCK075890</t>
  </si>
  <si>
    <t>6252</t>
  </si>
  <si>
    <t>Purvi Kumari</t>
  </si>
  <si>
    <t>Nazma Khaton</t>
  </si>
  <si>
    <t>jahana khaTOON</t>
  </si>
  <si>
    <t>Gayatri karmakar</t>
  </si>
  <si>
    <t>10-04-2026</t>
  </si>
  <si>
    <t>11-04-2026</t>
  </si>
  <si>
    <t>981788153308</t>
  </si>
  <si>
    <t>Gulnaz begum</t>
  </si>
  <si>
    <t>Pramila ravidas</t>
  </si>
  <si>
    <t>tabrez</t>
  </si>
  <si>
    <t>ramay deogam</t>
  </si>
  <si>
    <t>DRESS</t>
  </si>
  <si>
    <t>RENU FOOTWEAR</t>
  </si>
  <si>
    <t>radhika  Rani Mahato</t>
  </si>
  <si>
    <t>13-04-2026</t>
  </si>
  <si>
    <t>rambha devi</t>
  </si>
  <si>
    <t>JANA BANK</t>
  </si>
  <si>
    <t>AFSANA KHATOON</t>
  </si>
  <si>
    <t>sangeeta maity</t>
  </si>
  <si>
    <t>HCK075902</t>
  </si>
  <si>
    <t>6254</t>
  </si>
  <si>
    <t>RUKMI MAJHI</t>
  </si>
  <si>
    <t>601914733014</t>
  </si>
  <si>
    <t>8252278574</t>
  </si>
  <si>
    <t>9631648885</t>
  </si>
  <si>
    <t>611078606875</t>
  </si>
  <si>
    <t>HCK075903</t>
  </si>
  <si>
    <t>873795844559</t>
  </si>
  <si>
    <t>7209120370</t>
  </si>
  <si>
    <t>DLAPD0016B</t>
  </si>
  <si>
    <t>durga moni sardar</t>
  </si>
  <si>
    <t>7284</t>
  </si>
  <si>
    <t>01-7284</t>
  </si>
  <si>
    <t>sanginta devi</t>
  </si>
  <si>
    <t>15-04-2025</t>
  </si>
  <si>
    <t>15-04-2026</t>
  </si>
  <si>
    <t>ramashish pathak</t>
  </si>
  <si>
    <t>Khuku Mahapatra</t>
  </si>
  <si>
    <t>Anjana kumari</t>
  </si>
  <si>
    <t>1654</t>
  </si>
  <si>
    <t>Gayatri devi</t>
  </si>
  <si>
    <t>1644</t>
  </si>
  <si>
    <t>sunita ho</t>
  </si>
  <si>
    <t>yatri nivas</t>
  </si>
  <si>
    <t>16-04-2026</t>
  </si>
  <si>
    <t>12-04-2026</t>
  </si>
  <si>
    <t>shikha</t>
  </si>
  <si>
    <t>HCK075912</t>
  </si>
  <si>
    <t>pradeep kumar singh</t>
  </si>
  <si>
    <t>sanaka mahato</t>
  </si>
  <si>
    <t>01-7293</t>
  </si>
  <si>
    <t>HCK075913</t>
  </si>
  <si>
    <t>6255</t>
  </si>
  <si>
    <t>Sanaka Mahato</t>
  </si>
  <si>
    <t>341249987529</t>
  </si>
  <si>
    <t>FIVPM8585E</t>
  </si>
  <si>
    <t>9471746948</t>
  </si>
  <si>
    <t>7654999746</t>
  </si>
  <si>
    <t>Anuj Giri</t>
  </si>
  <si>
    <t>581444129502</t>
  </si>
  <si>
    <t>3520</t>
  </si>
  <si>
    <t>subash kumar</t>
  </si>
  <si>
    <t>Parvati tiu</t>
  </si>
  <si>
    <t>tannu Kumari</t>
  </si>
  <si>
    <t>mukesh</t>
  </si>
  <si>
    <t>HCK075923</t>
  </si>
  <si>
    <t>9162997465</t>
  </si>
  <si>
    <t>17-04-2026</t>
  </si>
  <si>
    <t>HCK075924</t>
  </si>
  <si>
    <t>MANJU DEVI</t>
  </si>
  <si>
    <t>6257</t>
  </si>
  <si>
    <t>Subham sahu</t>
  </si>
  <si>
    <t>6258</t>
  </si>
  <si>
    <t>Rajnandini Sharma</t>
  </si>
  <si>
    <t>babu lal yadav</t>
  </si>
  <si>
    <t>priyanka kumari</t>
  </si>
  <si>
    <t>8987933358</t>
  </si>
  <si>
    <t>19-04-2026</t>
  </si>
  <si>
    <t>HCK075926</t>
  </si>
  <si>
    <t>Vishal kumar mahato</t>
  </si>
  <si>
    <t>406086726831</t>
  </si>
  <si>
    <t>8797119160</t>
  </si>
  <si>
    <t>6259</t>
  </si>
  <si>
    <t>18-04-2026</t>
  </si>
  <si>
    <t>HCK075930</t>
  </si>
  <si>
    <t>685</t>
  </si>
  <si>
    <t>6260</t>
  </si>
  <si>
    <t>SANA YAZDANI</t>
  </si>
  <si>
    <t>BINATI BALA MAHATO</t>
  </si>
  <si>
    <t>SWARN SINGH</t>
  </si>
  <si>
    <t>smt mahato</t>
  </si>
  <si>
    <t>bob-burma</t>
  </si>
  <si>
    <t>Binodini</t>
  </si>
  <si>
    <t>21-04-2026</t>
  </si>
  <si>
    <t>883935893801</t>
  </si>
  <si>
    <t>7488178951</t>
  </si>
  <si>
    <t>Jyoti das</t>
  </si>
  <si>
    <t>PUSHPA SAHU</t>
  </si>
  <si>
    <t>DURGA SAHU</t>
  </si>
  <si>
    <t>0961</t>
  </si>
  <si>
    <t>22-04-2026</t>
  </si>
  <si>
    <t>lalita lass</t>
  </si>
  <si>
    <t>22-04-2023</t>
  </si>
  <si>
    <t>shubham sahu</t>
  </si>
  <si>
    <t>576503252910</t>
  </si>
  <si>
    <t>Konda nayek</t>
  </si>
  <si>
    <t>HCK075940</t>
  </si>
  <si>
    <t>HCK075941</t>
  </si>
  <si>
    <t>6261</t>
  </si>
  <si>
    <t>7315</t>
  </si>
  <si>
    <t>Aditya Srivastava</t>
  </si>
  <si>
    <t>8797008625</t>
  </si>
  <si>
    <t>robbaRI SINGH</t>
  </si>
  <si>
    <t>rahul prasasd</t>
  </si>
  <si>
    <t>Mira devi</t>
  </si>
  <si>
    <t>anjana kumari</t>
  </si>
  <si>
    <t>Rajnandini sharma</t>
  </si>
  <si>
    <t>751872829310</t>
  </si>
  <si>
    <t>27-04-2026</t>
  </si>
  <si>
    <t>HCK075943</t>
  </si>
  <si>
    <t>6262</t>
  </si>
  <si>
    <t>SAMARPIT ROYCHAKRABORTY</t>
  </si>
  <si>
    <t>831043774219</t>
  </si>
  <si>
    <t>Shagufta praween</t>
  </si>
  <si>
    <t>047-05-2001</t>
  </si>
  <si>
    <t>741041251043</t>
  </si>
  <si>
    <t>7782992590</t>
  </si>
  <si>
    <t>7047916103</t>
  </si>
  <si>
    <t>28-04-2026</t>
  </si>
  <si>
    <t>26-04-2026</t>
  </si>
  <si>
    <t>karmachari ram</t>
  </si>
  <si>
    <t>samarpit roychakraborty</t>
  </si>
  <si>
    <t>comport-50 for renu foot6000</t>
  </si>
  <si>
    <t>Puiti mahato</t>
  </si>
  <si>
    <t>Rukmi Majhi</t>
  </si>
  <si>
    <t>anil murmu</t>
  </si>
  <si>
    <t>blazer</t>
  </si>
  <si>
    <t>gun dress</t>
  </si>
  <si>
    <t>akama perween</t>
  </si>
  <si>
    <t>tarannum nigar</t>
  </si>
  <si>
    <t>kalpana mudi</t>
  </si>
  <si>
    <t>jitendra kr rai</t>
  </si>
  <si>
    <t>card</t>
  </si>
  <si>
    <t>HCK075959</t>
  </si>
  <si>
    <t>7326</t>
  </si>
  <si>
    <t>01-7326</t>
  </si>
  <si>
    <t>SAVITRI SINGH</t>
  </si>
  <si>
    <t>Bishwajeet gope</t>
  </si>
  <si>
    <t>455912774134</t>
  </si>
  <si>
    <t>9155648212</t>
  </si>
  <si>
    <t>ALCPG8832F</t>
  </si>
  <si>
    <t>gulnaz begum</t>
  </si>
  <si>
    <t>mamoni haldar</t>
  </si>
  <si>
    <t>7321014203</t>
  </si>
  <si>
    <t>mangal machhua</t>
  </si>
  <si>
    <t>07-05-2026</t>
  </si>
  <si>
    <t>06-05-2026</t>
  </si>
  <si>
    <t>jameela KHATUN</t>
  </si>
  <si>
    <t>JEWELLARY</t>
  </si>
  <si>
    <t>CHHOTU</t>
  </si>
  <si>
    <t>CHOTI</t>
  </si>
  <si>
    <t>DHUL</t>
  </si>
  <si>
    <t>PUNAM</t>
  </si>
  <si>
    <t>EXP</t>
  </si>
  <si>
    <t>RCPT</t>
  </si>
  <si>
    <t>BALANCE</t>
  </si>
  <si>
    <t>GIFT</t>
  </si>
  <si>
    <t>LOAN</t>
  </si>
  <si>
    <t>SANTOSH</t>
  </si>
  <si>
    <t>MANOJ</t>
  </si>
  <si>
    <t>SONMANDAP</t>
  </si>
  <si>
    <t>CC-24</t>
  </si>
  <si>
    <t>CHAND-MUTUAL</t>
  </si>
  <si>
    <t xml:space="preserve">FURNITURE </t>
  </si>
  <si>
    <t>CARD</t>
  </si>
  <si>
    <t>Dress</t>
  </si>
  <si>
    <t>HCK075969</t>
  </si>
  <si>
    <t>6271</t>
  </si>
  <si>
    <t>7209607233</t>
  </si>
  <si>
    <t>81-1556</t>
  </si>
  <si>
    <t>Indra mahato</t>
  </si>
  <si>
    <t>HCK075970</t>
  </si>
  <si>
    <t>6272</t>
  </si>
  <si>
    <t>Tannu Kumari</t>
  </si>
  <si>
    <t>Anushka kumari</t>
  </si>
  <si>
    <t>gosto mahato</t>
  </si>
  <si>
    <t>singh mura</t>
  </si>
  <si>
    <t>Rani lkarmakar</t>
  </si>
  <si>
    <t>PARVATYI TIU</t>
  </si>
  <si>
    <t>roksana khaTUN</t>
  </si>
  <si>
    <t>374521540310</t>
  </si>
  <si>
    <t>599496401722</t>
  </si>
  <si>
    <t>Anuhka kumari</t>
  </si>
  <si>
    <t>11-05-2026</t>
  </si>
  <si>
    <t>12-05-2026</t>
  </si>
  <si>
    <t>laxmi sashi</t>
  </si>
  <si>
    <t>babita bhaskar</t>
  </si>
  <si>
    <t>rita purti</t>
  </si>
  <si>
    <t>CABPT4023R</t>
  </si>
  <si>
    <t>9122296490</t>
  </si>
  <si>
    <t>manita kumari</t>
  </si>
  <si>
    <t>priyanta kumari</t>
  </si>
  <si>
    <t>shyamapada das</t>
  </si>
  <si>
    <t>Hina Sarda;r</t>
  </si>
  <si>
    <t>Bhanumati singh</t>
  </si>
  <si>
    <t>dular ramv</t>
  </si>
  <si>
    <t>sangita tarai</t>
  </si>
  <si>
    <t>6295329869</t>
  </si>
  <si>
    <t>HCK075994</t>
  </si>
  <si>
    <t>9931660265</t>
  </si>
  <si>
    <t>6277</t>
  </si>
  <si>
    <t>HCK075997</t>
  </si>
  <si>
    <t>6278</t>
  </si>
  <si>
    <t>Ashraf Ansari</t>
  </si>
  <si>
    <t>7004595602</t>
  </si>
  <si>
    <t>357384667257</t>
  </si>
  <si>
    <t>Dipali Pramanik</t>
  </si>
  <si>
    <t>26-05-2026</t>
  </si>
  <si>
    <t>933769151205</t>
  </si>
  <si>
    <t>HCK075998</t>
  </si>
  <si>
    <t>8825211512</t>
  </si>
  <si>
    <t>Ramavati devi</t>
  </si>
  <si>
    <t>laxmi singh</t>
  </si>
  <si>
    <t>6279</t>
  </si>
  <si>
    <t>872448493958</t>
  </si>
  <si>
    <t>04-06-2026</t>
  </si>
  <si>
    <t>1671</t>
  </si>
  <si>
    <t>chaya sen</t>
  </si>
  <si>
    <t>ashok kumar shah</t>
  </si>
  <si>
    <t>HCK076022</t>
  </si>
  <si>
    <t>6281</t>
  </si>
  <si>
    <t>Mannu Rajak</t>
  </si>
  <si>
    <t>963792736687</t>
  </si>
  <si>
    <t>HIRPR5794E</t>
  </si>
  <si>
    <t>6365</t>
  </si>
  <si>
    <t>sumitra bhagat</t>
  </si>
  <si>
    <t>ashraf ansari</t>
  </si>
  <si>
    <t>05-06-2026</t>
  </si>
  <si>
    <t>04-05-2026</t>
  </si>
  <si>
    <t>9229123324</t>
  </si>
  <si>
    <t>06-06-2026</t>
  </si>
  <si>
    <t>05-06-2056</t>
  </si>
  <si>
    <t>HCK076024</t>
  </si>
  <si>
    <t>7376085176</t>
  </si>
  <si>
    <t>993232339291</t>
  </si>
  <si>
    <t>Jumman Khan</t>
  </si>
  <si>
    <t>01-7377</t>
  </si>
  <si>
    <t>jayaprakash trantubay</t>
  </si>
  <si>
    <t>HCK076031</t>
  </si>
  <si>
    <t>6282</t>
  </si>
  <si>
    <t>Ratnav goswami</t>
  </si>
  <si>
    <t>817115413074</t>
  </si>
  <si>
    <t>9631515116</t>
  </si>
  <si>
    <t>08-06-2026</t>
  </si>
  <si>
    <t>HCK076032</t>
  </si>
  <si>
    <t>Binod Singh</t>
  </si>
  <si>
    <t>8002883477</t>
  </si>
  <si>
    <t>BKIPS9172A</t>
  </si>
  <si>
    <t>538156121286</t>
  </si>
  <si>
    <t>01-7379</t>
  </si>
  <si>
    <t>roshni pramanakik</t>
  </si>
  <si>
    <t>HCK076036</t>
  </si>
  <si>
    <t>Mridul sahu</t>
  </si>
  <si>
    <t>6284</t>
  </si>
  <si>
    <t>Jumman khan</t>
  </si>
  <si>
    <t>anil mahato</t>
  </si>
  <si>
    <t>9608023483</t>
  </si>
  <si>
    <t>LAL MANDAL</t>
  </si>
  <si>
    <t>RATNI DEVI</t>
  </si>
  <si>
    <t>HCK076045</t>
  </si>
  <si>
    <t>6286</t>
  </si>
  <si>
    <t>UTTAM CHAKRABORTY</t>
  </si>
  <si>
    <t>6285</t>
  </si>
  <si>
    <t>Jayati chakraborty</t>
  </si>
  <si>
    <t>8051139929</t>
  </si>
  <si>
    <t>433979400916</t>
  </si>
  <si>
    <t>596142955327</t>
  </si>
  <si>
    <t>jayati chakraborty</t>
  </si>
  <si>
    <t>10-06-2026</t>
  </si>
  <si>
    <t>11-06-2026</t>
  </si>
  <si>
    <t>3053</t>
  </si>
  <si>
    <t>Gurmeet kaur</t>
  </si>
  <si>
    <t>dharmu murmu</t>
  </si>
  <si>
    <t>4156</t>
  </si>
  <si>
    <t>HCK076050</t>
  </si>
  <si>
    <t>ROSHAN KUMAR</t>
  </si>
  <si>
    <t>443289705885</t>
  </si>
  <si>
    <t>9204453109</t>
  </si>
  <si>
    <t>qeypk3227m</t>
  </si>
  <si>
    <t>baBITA BHASKAR</t>
  </si>
  <si>
    <t>12-06-2026</t>
  </si>
  <si>
    <t>6287</t>
  </si>
  <si>
    <t>ubio</t>
  </si>
  <si>
    <t>binod singh</t>
  </si>
  <si>
    <t>ravi gorai</t>
  </si>
  <si>
    <t>manab kumbhkar</t>
  </si>
  <si>
    <t>mohd jabir</t>
  </si>
  <si>
    <t>13-06-2026</t>
  </si>
  <si>
    <t>pratap singh</t>
  </si>
  <si>
    <t>karuna kumari</t>
  </si>
  <si>
    <t>sabir ansari</t>
  </si>
  <si>
    <t>chandan mahato</t>
  </si>
  <si>
    <t>loan</t>
  </si>
  <si>
    <t>interest</t>
  </si>
  <si>
    <t>akhtar khan</t>
  </si>
  <si>
    <t>HCK076060</t>
  </si>
  <si>
    <t>6289</t>
  </si>
  <si>
    <t>SAHIL RAJ</t>
  </si>
  <si>
    <t>622334667457</t>
  </si>
  <si>
    <t>9470971442</t>
  </si>
  <si>
    <t>IESPR2984Q</t>
  </si>
  <si>
    <t>To Pai</t>
  </si>
  <si>
    <t>Paid</t>
  </si>
  <si>
    <t>educatin loan</t>
  </si>
  <si>
    <t>06-001953</t>
  </si>
  <si>
    <t>BINOD KUMAR</t>
  </si>
  <si>
    <t>md jabir</t>
  </si>
  <si>
    <t>jyotima</t>
  </si>
  <si>
    <t>shazia khatoon</t>
  </si>
  <si>
    <t>SHUBHAM</t>
  </si>
  <si>
    <t>FURNITURE</t>
  </si>
  <si>
    <t>rita das</t>
  </si>
  <si>
    <t>17-06-2026</t>
  </si>
  <si>
    <t>16-06-2026</t>
  </si>
  <si>
    <t>MAYAWATI</t>
  </si>
  <si>
    <t>bbqpl1580g</t>
  </si>
  <si>
    <t>9931321832</t>
  </si>
  <si>
    <t>HCK076064</t>
  </si>
  <si>
    <t>6290</t>
  </si>
  <si>
    <t>20-06-2026</t>
  </si>
  <si>
    <t>7480892003</t>
  </si>
  <si>
    <t>Kushboo parween</t>
  </si>
  <si>
    <t>pooja sandil</t>
  </si>
  <si>
    <t>Riya kumari</t>
  </si>
  <si>
    <t>HCK076067</t>
  </si>
  <si>
    <t>pankaj mishra</t>
  </si>
  <si>
    <t>HCK076072</t>
  </si>
  <si>
    <t>6291</t>
  </si>
  <si>
    <t>JAYANTI PRAMANIK</t>
  </si>
  <si>
    <t>6292</t>
  </si>
  <si>
    <t>sk sahil</t>
  </si>
  <si>
    <t>969290445925</t>
  </si>
  <si>
    <t>9117705753</t>
  </si>
  <si>
    <t>AFMPZ2650L</t>
  </si>
  <si>
    <t>9296434396</t>
  </si>
  <si>
    <t>844520689343</t>
  </si>
  <si>
    <t>RIXPK7210L</t>
  </si>
  <si>
    <t>266640053740</t>
  </si>
  <si>
    <t>GLCPP9418N</t>
  </si>
  <si>
    <t>ESHA KUMARI</t>
  </si>
  <si>
    <t>22-06-2026</t>
  </si>
  <si>
    <t>23-06-2026</t>
  </si>
  <si>
    <t>Lalita Lall</t>
  </si>
  <si>
    <t>Kakon sahu</t>
  </si>
  <si>
    <t>Ashok sahu</t>
  </si>
  <si>
    <t>kiran sinha</t>
  </si>
  <si>
    <t>BOM</t>
  </si>
  <si>
    <t>DHARMSHILA</t>
  </si>
  <si>
    <t>SHAKTI DHAR TRIPATHI</t>
  </si>
  <si>
    <t>ios</t>
  </si>
  <si>
    <t>n nair</t>
  </si>
  <si>
    <t>SONIa karua</t>
  </si>
  <si>
    <t>indianbank</t>
  </si>
  <si>
    <t>kalachand routh</t>
  </si>
  <si>
    <t>URMILA DEVI</t>
  </si>
  <si>
    <t>NA</t>
  </si>
  <si>
    <t>286645780625</t>
  </si>
  <si>
    <t>caterer-450</t>
  </si>
  <si>
    <t>cateer-150</t>
  </si>
  <si>
    <t>home tent</t>
  </si>
  <si>
    <t>camera</t>
  </si>
  <si>
    <t>event</t>
  </si>
  <si>
    <t>myself</t>
  </si>
  <si>
    <t>deco</t>
  </si>
  <si>
    <t>s patra</t>
  </si>
  <si>
    <t>27-06-2026</t>
  </si>
  <si>
    <t>NISHAT KHATOON</t>
  </si>
  <si>
    <t>RITA DEVI</t>
  </si>
  <si>
    <t>ROBBARI SINGH</t>
  </si>
  <si>
    <t>HCK076084</t>
  </si>
  <si>
    <t>9263623644</t>
  </si>
  <si>
    <t>263862858818</t>
  </si>
  <si>
    <t>SHAGUFTA PARWEEN</t>
  </si>
  <si>
    <t>6293</t>
  </si>
  <si>
    <t>Shagufta parween</t>
  </si>
  <si>
    <t>HCK076085</t>
  </si>
  <si>
    <t>9153072334</t>
  </si>
  <si>
    <t>6294</t>
  </si>
  <si>
    <t>rupa ghash</t>
  </si>
  <si>
    <t>shobha singh</t>
  </si>
  <si>
    <t>HCK076091</t>
  </si>
  <si>
    <t>6295</t>
  </si>
  <si>
    <t>SANSKRITI MUNDA</t>
  </si>
  <si>
    <t>853990672</t>
  </si>
  <si>
    <t>329247737198</t>
  </si>
  <si>
    <t>ASMA BEGAM</t>
  </si>
  <si>
    <t>JULE SINGH</t>
  </si>
  <si>
    <t>Shyamapad Das</t>
  </si>
  <si>
    <t>openign balance</t>
  </si>
  <si>
    <t>haladhar singh</t>
  </si>
  <si>
    <t>madhumita das</t>
  </si>
  <si>
    <t>Bhagwan gope</t>
  </si>
  <si>
    <t>599599188099</t>
  </si>
  <si>
    <t>01-07-2026</t>
  </si>
  <si>
    <t>30-06-2026</t>
  </si>
  <si>
    <t>30-06-2006</t>
  </si>
  <si>
    <t>SOMBARI MAJHI</t>
  </si>
  <si>
    <t>jainab pravin</t>
  </si>
  <si>
    <t>RENU FOOT</t>
  </si>
  <si>
    <t>RAMAVATI DEVI</t>
  </si>
  <si>
    <t>Dipali Giri</t>
  </si>
  <si>
    <t>lina chel</t>
  </si>
  <si>
    <t>mr. chel</t>
  </si>
  <si>
    <t>100</t>
  </si>
  <si>
    <t>aruna gupta</t>
  </si>
  <si>
    <t>2030</t>
  </si>
  <si>
    <t>HCK076127</t>
  </si>
  <si>
    <t>bhushboo</t>
  </si>
  <si>
    <t>1100</t>
  </si>
  <si>
    <t>kala hansda</t>
  </si>
  <si>
    <t>3000</t>
  </si>
  <si>
    <t>15000</t>
  </si>
  <si>
    <t>7200</t>
  </si>
  <si>
    <t>2500</t>
  </si>
  <si>
    <t>13000</t>
  </si>
  <si>
    <t>1500</t>
  </si>
  <si>
    <t>kaniz fatma</t>
  </si>
  <si>
    <t>HCK076135</t>
  </si>
  <si>
    <t>25000</t>
  </si>
  <si>
    <t>algam firdos</t>
  </si>
  <si>
    <t>Shagufta Parween</t>
  </si>
  <si>
    <t>20000</t>
  </si>
  <si>
    <t>900</t>
  </si>
  <si>
    <t>6300</t>
  </si>
  <si>
    <t>anupama bagchi</t>
  </si>
  <si>
    <t>376946840194</t>
  </si>
  <si>
    <t>7004753360</t>
  </si>
  <si>
    <t>AOFPB7571D</t>
  </si>
  <si>
    <t>30000</t>
  </si>
  <si>
    <t>2244</t>
  </si>
  <si>
    <t>bhabani dutta</t>
  </si>
  <si>
    <t>bhagwan gope</t>
  </si>
  <si>
    <t>800</t>
  </si>
  <si>
    <t>HCK076142</t>
  </si>
  <si>
    <t>6302</t>
  </si>
  <si>
    <t>255244621272</t>
  </si>
  <si>
    <t>9304722087</t>
  </si>
  <si>
    <t>892670545748</t>
  </si>
  <si>
    <t>18000</t>
  </si>
  <si>
    <t>rupa gorai</t>
  </si>
  <si>
    <t>HCK076144</t>
  </si>
  <si>
    <t>6303</t>
  </si>
  <si>
    <t>Gurucharan Mahato</t>
  </si>
  <si>
    <t>1563</t>
  </si>
  <si>
    <t>rajendra prasad poddar</t>
  </si>
  <si>
    <t>kanak prabha mahato</t>
  </si>
  <si>
    <t>babli kumari-5000+1000</t>
  </si>
  <si>
    <t>santosh kr gupta</t>
  </si>
  <si>
    <t>9000</t>
  </si>
  <si>
    <t>7000</t>
  </si>
  <si>
    <t>HCK076148</t>
  </si>
  <si>
    <t>6304</t>
  </si>
  <si>
    <t>Rameshwar prasad</t>
  </si>
  <si>
    <t>8789456428</t>
  </si>
  <si>
    <t>ratni garai</t>
  </si>
  <si>
    <t>TarannumNigar</t>
  </si>
  <si>
    <t>1200</t>
  </si>
  <si>
    <t>01-670</t>
  </si>
  <si>
    <t>lovekush saw</t>
  </si>
  <si>
    <t>6548</t>
  </si>
  <si>
    <t>kashmira begum</t>
  </si>
  <si>
    <t>950</t>
  </si>
  <si>
    <t>1900</t>
  </si>
  <si>
    <t>21-07-2026</t>
  </si>
  <si>
    <t>16-07-2026</t>
  </si>
  <si>
    <t>HCK076151</t>
  </si>
  <si>
    <t>7903993568</t>
  </si>
  <si>
    <t>Zunaid Ahmad</t>
  </si>
  <si>
    <t>6305</t>
  </si>
  <si>
    <t>18-07-2026</t>
  </si>
  <si>
    <t>ram nivas</t>
  </si>
  <si>
    <t>3100</t>
  </si>
  <si>
    <t>397822760901</t>
  </si>
  <si>
    <t>22-07-2026</t>
  </si>
  <si>
    <t>20-07-2026</t>
  </si>
  <si>
    <t>7276</t>
  </si>
  <si>
    <t>munki karmakar</t>
  </si>
  <si>
    <t>4500</t>
  </si>
  <si>
    <t>473143317290</t>
  </si>
  <si>
    <t>460838325527</t>
  </si>
  <si>
    <t>Junaid Ahmad</t>
  </si>
  <si>
    <t>200</t>
  </si>
  <si>
    <t>8000</t>
  </si>
  <si>
    <t>24000</t>
  </si>
  <si>
    <t>cash deposiced</t>
  </si>
  <si>
    <t>SOMA MAHATO</t>
  </si>
  <si>
    <t>700</t>
  </si>
  <si>
    <t>sabnam khatoon</t>
  </si>
  <si>
    <t>3200</t>
  </si>
  <si>
    <t>400</t>
  </si>
  <si>
    <t>5951</t>
  </si>
  <si>
    <t>YASMIN KHATOON</t>
  </si>
  <si>
    <t>4794</t>
  </si>
  <si>
    <t>3573</t>
  </si>
  <si>
    <t>savitri ghosh</t>
  </si>
  <si>
    <t>sazia khatoon</t>
  </si>
  <si>
    <t>Manisa Das</t>
  </si>
  <si>
    <t>malobika ashna</t>
  </si>
  <si>
    <t>HCK076166</t>
  </si>
  <si>
    <t>6306</t>
  </si>
  <si>
    <t>Abdul Zaid</t>
  </si>
  <si>
    <t>906024594704</t>
  </si>
  <si>
    <t>7319808833</t>
  </si>
  <si>
    <t>mousumi sahu</t>
  </si>
  <si>
    <t>7700</t>
  </si>
  <si>
    <t>HCK076167</t>
  </si>
  <si>
    <t>6307</t>
  </si>
  <si>
    <t>B K PANDEY</t>
  </si>
  <si>
    <t>9304547853</t>
  </si>
  <si>
    <t>249225388074</t>
  </si>
  <si>
    <t>11000</t>
  </si>
  <si>
    <t>BGB</t>
  </si>
  <si>
    <t>300</t>
  </si>
  <si>
    <t>renuka singh</t>
  </si>
  <si>
    <t>Genesh mahato</t>
  </si>
  <si>
    <t>bhanumati singh</t>
  </si>
  <si>
    <t>suru singh</t>
  </si>
  <si>
    <t>ob</t>
  </si>
  <si>
    <t>03-08-2026</t>
  </si>
  <si>
    <t>01-08-2026</t>
  </si>
  <si>
    <t>4406-7276</t>
  </si>
  <si>
    <t>01-23896</t>
  </si>
  <si>
    <t>ALADI KARMAKAR</t>
  </si>
  <si>
    <t>RITA BOSE</t>
  </si>
  <si>
    <t>2735</t>
  </si>
  <si>
    <t>4539</t>
  </si>
  <si>
    <t>pushpam singh-7000</t>
  </si>
  <si>
    <t>anuj kumar</t>
  </si>
  <si>
    <t>HCK076182</t>
  </si>
  <si>
    <t>SANJU KUMARI</t>
  </si>
  <si>
    <t>6299755365</t>
  </si>
  <si>
    <t>HCK076184</t>
  </si>
  <si>
    <t>6309</t>
  </si>
  <si>
    <t>6310</t>
  </si>
  <si>
    <t>RUPA CHAKARBORTY</t>
  </si>
  <si>
    <t>bhushboo kumari</t>
  </si>
  <si>
    <t>HCK076187</t>
  </si>
  <si>
    <t>6311</t>
  </si>
  <si>
    <t>8340587671</t>
  </si>
  <si>
    <t>Kashmir Singh</t>
  </si>
  <si>
    <t>khushbu kumari</t>
  </si>
  <si>
    <t>rita mahali</t>
  </si>
  <si>
    <t>12-08-2026</t>
  </si>
  <si>
    <t>10-08-2026</t>
  </si>
  <si>
    <t>215636751250</t>
  </si>
  <si>
    <t>shakila begam</t>
  </si>
  <si>
    <t>6727.76</t>
  </si>
  <si>
    <t xml:space="preserve">sanjana </t>
  </si>
  <si>
    <t>PUJA SARKAR</t>
  </si>
  <si>
    <t>HCK076194</t>
  </si>
  <si>
    <t>6314</t>
  </si>
  <si>
    <t>SAMEN SAHU</t>
  </si>
  <si>
    <t>9162997464</t>
  </si>
  <si>
    <t>rohitmunda</t>
  </si>
  <si>
    <t>11-08-2026</t>
  </si>
  <si>
    <t>13-08-2026</t>
  </si>
  <si>
    <t>14-08-2026</t>
  </si>
  <si>
    <t>rani goai</t>
  </si>
  <si>
    <t>497935865230</t>
  </si>
  <si>
    <t>sadhana das</t>
  </si>
  <si>
    <t>Rajendra prasad poddar</t>
  </si>
  <si>
    <t>santan mahato</t>
  </si>
  <si>
    <t>HCK076203</t>
  </si>
  <si>
    <t>6315</t>
  </si>
  <si>
    <t>Kingshu Rakshit</t>
  </si>
  <si>
    <t>02-10-2001</t>
  </si>
  <si>
    <t>19-08-2026</t>
  </si>
  <si>
    <t>870308944</t>
  </si>
  <si>
    <t>kingshu rakshit</t>
  </si>
  <si>
    <t>7257</t>
  </si>
  <si>
    <t>sanjib kumar rakshit</t>
  </si>
  <si>
    <t>Suru Singh</t>
  </si>
  <si>
    <t>abhishek</t>
  </si>
  <si>
    <t>ful kumari divi</t>
  </si>
  <si>
    <t>HCK076207</t>
  </si>
  <si>
    <t>SB623210108293</t>
  </si>
  <si>
    <t>6316</t>
  </si>
  <si>
    <t>PUSHPA DEVI</t>
  </si>
  <si>
    <t>9234590218</t>
  </si>
  <si>
    <t>shambhu kumar bose</t>
  </si>
  <si>
    <t>kala haNSDA</t>
  </si>
  <si>
    <t>amit sahis-2000</t>
  </si>
  <si>
    <t>SHITLA GORAI</t>
  </si>
  <si>
    <t>Lina Chel</t>
  </si>
  <si>
    <t>HCK076224</t>
  </si>
  <si>
    <t>6319</t>
  </si>
  <si>
    <t>Nand kishore bhagat</t>
  </si>
  <si>
    <t>805064364172</t>
  </si>
  <si>
    <t>ABCPB1685P</t>
  </si>
  <si>
    <t>29-08-2026</t>
  </si>
  <si>
    <t>HCK076247</t>
  </si>
  <si>
    <t>7903972260</t>
  </si>
  <si>
    <t>Md Jami Khan</t>
  </si>
  <si>
    <t>gurucharan mahato</t>
  </si>
  <si>
    <t>HCK076250</t>
  </si>
  <si>
    <t>09-09-2026</t>
  </si>
  <si>
    <t>6327</t>
  </si>
  <si>
    <t>Akash Das</t>
  </si>
  <si>
    <t>879000623881</t>
  </si>
  <si>
    <t>300513961853</t>
  </si>
  <si>
    <t>LEXPD3459N</t>
  </si>
  <si>
    <t>foroza khatoon</t>
  </si>
  <si>
    <t>sushila devi</t>
  </si>
  <si>
    <t>DURGA MANI SARDAR</t>
  </si>
  <si>
    <t>shankar karmakar</t>
  </si>
  <si>
    <t>MANJU SINGH</t>
  </si>
  <si>
    <t>ritu kumari</t>
  </si>
  <si>
    <t>rajendra prasaads poddar</t>
  </si>
  <si>
    <t>binod kumar</t>
  </si>
  <si>
    <t>jana</t>
  </si>
  <si>
    <t>jhunnu devi</t>
  </si>
  <si>
    <t>SHABNAM KHATOON</t>
  </si>
  <si>
    <t>casjh withdrawal</t>
  </si>
  <si>
    <t>Alok Nath das</t>
  </si>
  <si>
    <t>aladi karmaKAR</t>
  </si>
  <si>
    <t>ANJALI SARKAR</t>
  </si>
  <si>
    <t>Jyoshna roy</t>
  </si>
  <si>
    <t>7476</t>
  </si>
  <si>
    <t>md shadil nazim</t>
  </si>
  <si>
    <t xml:space="preserve">Durga Moni </t>
  </si>
  <si>
    <t>29936</t>
  </si>
  <si>
    <t>mahesh patro</t>
  </si>
  <si>
    <t>kashmia begum</t>
  </si>
  <si>
    <t>gautam kumar</t>
  </si>
  <si>
    <t>caas withdrawal</t>
  </si>
  <si>
    <t>HCK076282</t>
  </si>
  <si>
    <t>6330</t>
  </si>
  <si>
    <t>sangita puran</t>
  </si>
  <si>
    <t>433876361243</t>
  </si>
  <si>
    <t>9204405296</t>
  </si>
  <si>
    <t>JHUPP32A14H</t>
  </si>
  <si>
    <t>HCK076285</t>
  </si>
  <si>
    <t>6331</t>
  </si>
  <si>
    <t>ADITYA MISHRA</t>
  </si>
  <si>
    <t>800281556387</t>
  </si>
  <si>
    <t>KPJPM6672C</t>
  </si>
  <si>
    <t>goutam monther</t>
  </si>
  <si>
    <t>=I9374-5627.76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</si>
</sst>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[$-14009]dd/mm/yyyy;@"/>
  </numFmts>
  <fonts count="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212529"/>
      <name val="Times New Roman"/>
      <family val="1"/>
    </font>
    <font>
      <sz val="11"/>
      <color rgb="FF212529"/>
      <name val="Times New Roman"/>
      <family val="1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212529"/>
      <name val="Source Sans Pro"/>
      <family val="2"/>
    </font>
    <font>
      <b/>
      <sz val="14"/>
      <color rgb="FF000000"/>
      <name val="Times New Roman"/>
      <family val="1"/>
    </font>
    <font>
      <sz val="11"/>
      <color rgb="FFED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3" borderId="0" xfId="0" applyFill="1"/>
    <xf numFmtId="0" fontId="7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7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center"/>
    </xf>
    <xf numFmtId="2" fontId="7" fillId="0" borderId="0" xfId="0" applyNumberFormat="1" applyFont="1"/>
    <xf numFmtId="2" fontId="8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14" fontId="7" fillId="0" borderId="0" xfId="0" applyNumberFormat="1" applyFont="1"/>
    <xf numFmtId="0" fontId="0" fillId="5" borderId="0" xfId="0" applyFill="1"/>
    <xf numFmtId="1" fontId="4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0" fillId="0" borderId="0" xfId="0" applyNumberFormat="1"/>
    <xf numFmtId="14" fontId="14" fillId="0" borderId="0" xfId="0" applyNumberFormat="1" applyFont="1" applyAlignment="1">
      <alignment horizontal="center"/>
    </xf>
    <xf numFmtId="49" fontId="12" fillId="0" borderId="0" xfId="0" applyNumberFormat="1" applyFont="1"/>
    <xf numFmtId="1" fontId="14" fillId="0" borderId="0" xfId="0" applyNumberFormat="1" applyFont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center"/>
    </xf>
    <xf numFmtId="0" fontId="19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2" fontId="10" fillId="0" borderId="0" xfId="0" applyNumberFormat="1" applyFont="1" applyAlignment="1">
      <alignment horizontal="center"/>
    </xf>
    <xf numFmtId="2" fontId="10" fillId="3" borderId="0" xfId="0" applyNumberFormat="1" applyFont="1" applyFill="1" applyAlignment="1">
      <alignment horizontal="center"/>
    </xf>
    <xf numFmtId="0" fontId="8" fillId="0" borderId="0" xfId="0" applyFont="1"/>
    <xf numFmtId="49" fontId="0" fillId="3" borderId="0" xfId="0" applyNumberFormat="1" applyFill="1" applyAlignment="1">
      <alignment horizontal="center"/>
    </xf>
    <xf numFmtId="9" fontId="0" fillId="0" borderId="0" xfId="0" applyNumberFormat="1"/>
    <xf numFmtId="8" fontId="0" fillId="0" borderId="0" xfId="0" applyNumberFormat="1"/>
    <xf numFmtId="0" fontId="16" fillId="0" borderId="0" xfId="1" applyAlignment="1">
      <alignment horizontal="left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2" fontId="20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7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0" fillId="5" borderId="0" xfId="0" applyFill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right"/>
    </xf>
    <xf numFmtId="2" fontId="0" fillId="5" borderId="0" xfId="0" applyNumberFormat="1" applyFill="1" applyAlignment="1">
      <alignment horizontal="right"/>
    </xf>
    <xf numFmtId="2" fontId="0" fillId="5" borderId="0" xfId="0" applyNumberFormat="1" applyFill="1"/>
    <xf numFmtId="49" fontId="0" fillId="5" borderId="0" xfId="0" applyNumberFormat="1" applyFill="1" applyAlignment="1">
      <alignment horizontal="right"/>
    </xf>
    <xf numFmtId="17" fontId="0" fillId="0" borderId="0" xfId="0" applyNumberFormat="1" applyAlignment="1">
      <alignment horizontal="center"/>
    </xf>
    <xf numFmtId="0" fontId="16" fillId="0" borderId="0" xfId="1"/>
    <xf numFmtId="0" fontId="16" fillId="0" borderId="0" xfId="1" applyAlignment="1">
      <alignment horizontal="right"/>
    </xf>
    <xf numFmtId="8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17" fontId="0" fillId="0" borderId="0" xfId="0" applyNumberForma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7" fillId="0" borderId="0" xfId="0" applyFont="1"/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1" xfId="0" applyFont="1" applyBorder="1" applyAlignment="1">
      <alignment horizontal="left"/>
    </xf>
    <xf numFmtId="0" fontId="0" fillId="5" borderId="0" xfId="0" applyFill="1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3" borderId="0" xfId="0" applyFont="1" applyFill="1"/>
    <xf numFmtId="0" fontId="20" fillId="3" borderId="0" xfId="0" applyFont="1" applyFill="1" applyAlignment="1">
      <alignment horizontal="right"/>
    </xf>
    <xf numFmtId="0" fontId="0" fillId="6" borderId="0" xfId="0" applyFill="1"/>
    <xf numFmtId="0" fontId="22" fillId="0" borderId="0" xfId="0" applyFont="1"/>
    <xf numFmtId="0" fontId="7" fillId="5" borderId="0" xfId="0" applyFont="1" applyFill="1"/>
    <xf numFmtId="8" fontId="0" fillId="5" borderId="0" xfId="0" applyNumberFormat="1" applyFill="1" applyAlignment="1">
      <alignment horizontal="center"/>
    </xf>
    <xf numFmtId="8" fontId="7" fillId="5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8" fontId="7" fillId="0" borderId="0" xfId="0" applyNumberFormat="1" applyFont="1" applyAlignment="1">
      <alignment horizontal="right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7" fillId="3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left"/>
    </xf>
    <xf numFmtId="8" fontId="2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8" fontId="1" fillId="0" borderId="0" xfId="0" applyNumberFormat="1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5" xfId="0" applyFont="1" applyBorder="1"/>
    <xf numFmtId="0" fontId="0" fillId="0" borderId="7" xfId="0" applyBorder="1"/>
    <xf numFmtId="0" fontId="0" fillId="0" borderId="8" xfId="0" applyBorder="1"/>
    <xf numFmtId="8" fontId="25" fillId="0" borderId="0" xfId="0" applyNumberFormat="1" applyFont="1" applyAlignment="1">
      <alignment horizontal="right"/>
    </xf>
    <xf numFmtId="8" fontId="2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/>
    </xf>
    <xf numFmtId="0" fontId="7" fillId="3" borderId="0" xfId="0" applyFont="1" applyFill="1"/>
    <xf numFmtId="8" fontId="7" fillId="0" borderId="0" xfId="0" applyNumberFormat="1" applyFont="1"/>
    <xf numFmtId="49" fontId="8" fillId="0" borderId="0" xfId="0" applyNumberFormat="1" applyFont="1" applyAlignment="1">
      <alignment horizontal="left"/>
    </xf>
    <xf numFmtId="8" fontId="0" fillId="0" borderId="0" xfId="0" applyNumberFormat="1" applyAlignment="1">
      <alignment horizontal="center"/>
    </xf>
    <xf numFmtId="8" fontId="7" fillId="0" borderId="0" xfId="0" applyNumberFormat="1" applyFont="1" applyAlignment="1">
      <alignment horizont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49" fontId="0" fillId="3" borderId="0" xfId="0" applyNumberFormat="1" applyFill="1" applyAlignment="1">
      <alignment horizontal="left"/>
    </xf>
    <xf numFmtId="0" fontId="7" fillId="3" borderId="0" xfId="0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8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quotePrefix="1" applyAlignment="1">
      <alignment horizontal="right"/>
    </xf>
    <xf numFmtId="6" fontId="0" fillId="0" borderId="0" xfId="0" applyNumberFormat="1"/>
    <xf numFmtId="6" fontId="4" fillId="0" borderId="0" xfId="0" applyNumberFormat="1" applyFont="1"/>
    <xf numFmtId="8" fontId="1" fillId="0" borderId="0" xfId="0" applyNumberFormat="1" applyFont="1"/>
    <xf numFmtId="0" fontId="0" fillId="5" borderId="0" xfId="0" quotePrefix="1" applyFill="1" applyAlignment="1">
      <alignment horizontal="right"/>
    </xf>
    <xf numFmtId="0" fontId="1" fillId="0" borderId="0" xfId="0" quotePrefix="1" applyFont="1" applyAlignment="1">
      <alignment horizontal="right"/>
    </xf>
    <xf numFmtId="49" fontId="0" fillId="0" borderId="1" xfId="0" applyNumberFormat="1" applyBorder="1" applyAlignment="1">
      <alignment horizontal="center"/>
    </xf>
    <xf numFmtId="49" fontId="13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center"/>
    </xf>
    <xf numFmtId="49" fontId="28" fillId="0" borderId="0" xfId="0" applyNumberFormat="1" applyFont="1" applyAlignment="1">
      <alignment horizontal="center"/>
    </xf>
    <xf numFmtId="0" fontId="0" fillId="3" borderId="0" xfId="0" quotePrefix="1" applyFill="1" applyAlignment="1">
      <alignment horizontal="right"/>
    </xf>
    <xf numFmtId="1" fontId="30" fillId="0" borderId="0" xfId="0" applyNumberFormat="1" applyFont="1"/>
    <xf numFmtId="17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49" fontId="7" fillId="5" borderId="0" xfId="0" applyNumberFormat="1" applyFont="1" applyFill="1"/>
    <xf numFmtId="43" fontId="0" fillId="0" borderId="0" xfId="0" applyNumberFormat="1" applyAlignment="1">
      <alignment horizontal="right"/>
    </xf>
    <xf numFmtId="43" fontId="0" fillId="0" borderId="0" xfId="0" applyNumberFormat="1"/>
    <xf numFmtId="43" fontId="2" fillId="0" borderId="0" xfId="0" applyNumberFormat="1" applyFont="1"/>
    <xf numFmtId="43" fontId="0" fillId="5" borderId="0" xfId="0" applyNumberFormat="1" applyFill="1" applyAlignment="1">
      <alignment horizontal="center"/>
    </xf>
    <xf numFmtId="43" fontId="1" fillId="0" borderId="0" xfId="0" applyNumberFormat="1" applyFont="1"/>
    <xf numFmtId="0" fontId="15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1"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-0.24994659260841701"/>
        </patternFill>
      </fill>
    </dxf>
    <dxf>
      <font>
        <color rgb="FFC00000"/>
      </font>
      <fill>
        <patternFill>
          <bgColor theme="9" tint="-0.24994659260841701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FFFF00"/>
        </patternFill>
      </fill>
    </dxf>
    <dxf>
      <font>
        <color rgb="FF002060"/>
      </font>
      <fill>
        <patternFill>
          <bgColor rgb="FFFFFF0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C00000"/>
      </font>
      <fill>
        <patternFill>
          <bgColor theme="9" tint="-0.24994659260841701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C0000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theme="9" tint="-0.24994659260841701"/>
        </patternFill>
      </fill>
    </dxf>
    <dxf>
      <font>
        <b/>
        <i val="0"/>
        <color rgb="FFC00000"/>
      </font>
      <fill>
        <patternFill>
          <bgColor theme="9" tint="-0.24994659260841701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FFFF00"/>
      </font>
      <fill>
        <patternFill>
          <bgColor rgb="FF00B0F0"/>
        </patternFill>
      </fill>
    </dxf>
    <dxf>
      <font>
        <color rgb="FFC00000"/>
      </font>
      <fill>
        <patternFill>
          <bgColor theme="9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untun@19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P2528"/>
  <sheetViews>
    <sheetView zoomScale="115" zoomScaleNormal="115" workbookViewId="0">
      <pane ySplit="1" topLeftCell="A290" activePane="bottomLeft" state="frozen"/>
      <selection pane="bottomLeft" activeCell="A304" sqref="A304"/>
    </sheetView>
  </sheetViews>
  <sheetFormatPr defaultColWidth="9.109375" defaultRowHeight="15.6" x14ac:dyDescent="0.3"/>
  <cols>
    <col min="1" max="2" width="17.6640625" customWidth="1"/>
    <col min="3" max="3" width="11.88671875" style="4" customWidth="1"/>
    <col min="4" max="4" width="7.88671875" style="11" customWidth="1"/>
    <col min="5" max="5" width="17.21875" style="11" customWidth="1"/>
    <col min="6" max="6" width="14.109375" style="11" customWidth="1"/>
    <col min="7" max="7" width="25.44140625" style="7" customWidth="1"/>
    <col min="8" max="8" width="12.33203125" style="7" customWidth="1"/>
    <col min="9" max="9" width="13.44140625" style="47" customWidth="1"/>
    <col min="10" max="10" width="12" style="4" customWidth="1"/>
    <col min="11" max="11" width="7.44140625" style="4" customWidth="1"/>
    <col min="12" max="12" width="15.44140625" style="11" customWidth="1"/>
    <col min="13" max="14" width="12.88671875" style="11" customWidth="1"/>
    <col min="15" max="15" width="11.88671875" style="4" customWidth="1"/>
    <col min="16" max="16" width="13.33203125" style="4" customWidth="1"/>
    <col min="17" max="17" width="12.33203125" style="4" customWidth="1"/>
    <col min="18" max="18" width="17" style="4" customWidth="1"/>
    <col min="19" max="19" width="11.109375" style="4" customWidth="1"/>
    <col min="20" max="20" width="14" customWidth="1"/>
  </cols>
  <sheetData>
    <row r="1" spans="1:19" x14ac:dyDescent="0.3">
      <c r="A1" t="s">
        <v>1556</v>
      </c>
      <c r="C1" s="12" t="s">
        <v>39</v>
      </c>
      <c r="D1" s="14" t="s">
        <v>36</v>
      </c>
      <c r="E1" s="14" t="s">
        <v>2852</v>
      </c>
      <c r="F1" s="14" t="s">
        <v>8945</v>
      </c>
      <c r="G1" s="13" t="s">
        <v>1</v>
      </c>
      <c r="H1" s="13"/>
      <c r="I1" s="12" t="s">
        <v>1175</v>
      </c>
      <c r="J1" s="12" t="s">
        <v>42</v>
      </c>
      <c r="K1" s="12" t="s">
        <v>1147</v>
      </c>
      <c r="L1" s="14" t="s">
        <v>37</v>
      </c>
      <c r="M1" s="14" t="s">
        <v>5934</v>
      </c>
      <c r="N1" s="14" t="s">
        <v>38</v>
      </c>
      <c r="O1" s="24">
        <v>12</v>
      </c>
      <c r="P1" s="12">
        <v>420</v>
      </c>
      <c r="Q1" s="12" t="s">
        <v>17</v>
      </c>
      <c r="R1" s="12" t="s">
        <v>40</v>
      </c>
      <c r="S1" s="4" t="s">
        <v>38</v>
      </c>
    </row>
    <row r="2" spans="1:19" x14ac:dyDescent="0.3">
      <c r="D2" s="11">
        <v>264</v>
      </c>
      <c r="G2" s="7" t="s">
        <v>54</v>
      </c>
      <c r="J2" t="s">
        <v>46</v>
      </c>
      <c r="O2" s="4" t="s">
        <v>14</v>
      </c>
      <c r="P2" s="4" t="s">
        <v>14</v>
      </c>
      <c r="Q2" s="4" t="s">
        <v>14</v>
      </c>
      <c r="R2" s="4" t="s">
        <v>14</v>
      </c>
    </row>
    <row r="3" spans="1:19" x14ac:dyDescent="0.3">
      <c r="D3" s="11">
        <v>300</v>
      </c>
      <c r="G3" s="7" t="s">
        <v>55</v>
      </c>
      <c r="J3" t="s">
        <v>45</v>
      </c>
      <c r="O3" s="4" t="s">
        <v>14</v>
      </c>
      <c r="P3" s="4" t="s">
        <v>14</v>
      </c>
    </row>
    <row r="4" spans="1:19" x14ac:dyDescent="0.3">
      <c r="D4" s="11">
        <v>302</v>
      </c>
      <c r="G4" s="7" t="s">
        <v>56</v>
      </c>
      <c r="J4" t="s">
        <v>44</v>
      </c>
      <c r="O4" s="4" t="s">
        <v>14</v>
      </c>
      <c r="P4" s="4" t="s">
        <v>14</v>
      </c>
    </row>
    <row r="5" spans="1:19" x14ac:dyDescent="0.3">
      <c r="C5" s="3">
        <v>43106</v>
      </c>
      <c r="D5" s="11">
        <v>304</v>
      </c>
      <c r="G5" s="7" t="s">
        <v>57</v>
      </c>
      <c r="J5" t="s">
        <v>1161</v>
      </c>
      <c r="L5" s="11" t="s">
        <v>41</v>
      </c>
    </row>
    <row r="6" spans="1:19" x14ac:dyDescent="0.3">
      <c r="C6" s="3">
        <v>43116</v>
      </c>
      <c r="D6" s="11">
        <v>305</v>
      </c>
      <c r="G6" s="7" t="s">
        <v>58</v>
      </c>
      <c r="J6"/>
      <c r="L6" s="11" t="s">
        <v>1174</v>
      </c>
      <c r="M6" s="11" t="s">
        <v>1173</v>
      </c>
    </row>
    <row r="7" spans="1:19" x14ac:dyDescent="0.3">
      <c r="C7" s="3">
        <v>43116</v>
      </c>
      <c r="D7" s="11">
        <v>311</v>
      </c>
      <c r="G7" s="7" t="s">
        <v>59</v>
      </c>
      <c r="J7"/>
    </row>
    <row r="8" spans="1:19" x14ac:dyDescent="0.3">
      <c r="C8" s="3">
        <v>43116</v>
      </c>
      <c r="D8" s="11">
        <v>336</v>
      </c>
      <c r="G8" s="7" t="s">
        <v>60</v>
      </c>
      <c r="J8"/>
    </row>
    <row r="9" spans="1:19" x14ac:dyDescent="0.3">
      <c r="C9" s="3">
        <v>43117</v>
      </c>
      <c r="D9" s="11">
        <v>339</v>
      </c>
      <c r="G9" s="7" t="s">
        <v>61</v>
      </c>
      <c r="J9"/>
    </row>
    <row r="10" spans="1:19" x14ac:dyDescent="0.3">
      <c r="C10" s="3">
        <v>43157</v>
      </c>
      <c r="D10" s="11">
        <v>346</v>
      </c>
      <c r="G10" s="7" t="s">
        <v>62</v>
      </c>
      <c r="J10" t="s">
        <v>43</v>
      </c>
    </row>
    <row r="11" spans="1:19" x14ac:dyDescent="0.3">
      <c r="D11" s="11">
        <v>353</v>
      </c>
      <c r="G11" s="7" t="s">
        <v>63</v>
      </c>
      <c r="J11" t="s">
        <v>44</v>
      </c>
      <c r="L11" s="11" t="s">
        <v>1166</v>
      </c>
      <c r="M11" s="11" t="s">
        <v>1165</v>
      </c>
      <c r="R11" s="4" t="s">
        <v>16</v>
      </c>
    </row>
    <row r="12" spans="1:19" x14ac:dyDescent="0.3">
      <c r="C12" s="3">
        <v>43171</v>
      </c>
      <c r="D12" s="11">
        <v>356</v>
      </c>
      <c r="G12" s="7" t="s">
        <v>64</v>
      </c>
      <c r="J12"/>
    </row>
    <row r="13" spans="1:19" x14ac:dyDescent="0.3">
      <c r="C13" s="3">
        <v>43174</v>
      </c>
      <c r="D13" s="11">
        <v>357</v>
      </c>
      <c r="G13" s="7" t="s">
        <v>47</v>
      </c>
      <c r="J13" t="s">
        <v>43</v>
      </c>
      <c r="M13" s="11" t="s">
        <v>48</v>
      </c>
    </row>
    <row r="14" spans="1:19" x14ac:dyDescent="0.3">
      <c r="C14" s="3">
        <v>43174</v>
      </c>
      <c r="D14" s="11">
        <v>359</v>
      </c>
      <c r="G14" s="7" t="s">
        <v>49</v>
      </c>
      <c r="J14"/>
    </row>
    <row r="15" spans="1:19" x14ac:dyDescent="0.3">
      <c r="C15" s="3">
        <v>43178</v>
      </c>
      <c r="D15" s="11">
        <v>362</v>
      </c>
      <c r="G15" s="7" t="s">
        <v>50</v>
      </c>
      <c r="J15"/>
      <c r="M15" s="11" t="s">
        <v>51</v>
      </c>
    </row>
    <row r="16" spans="1:19" x14ac:dyDescent="0.3">
      <c r="C16" s="3">
        <v>43182</v>
      </c>
      <c r="D16" s="11">
        <v>366</v>
      </c>
      <c r="G16" s="7" t="s">
        <v>52</v>
      </c>
      <c r="J16"/>
      <c r="M16" s="11" t="s">
        <v>53</v>
      </c>
    </row>
    <row r="17" spans="4:14" x14ac:dyDescent="0.3">
      <c r="D17" s="11">
        <v>367</v>
      </c>
      <c r="G17" s="16" t="s">
        <v>65</v>
      </c>
      <c r="H17" s="16"/>
      <c r="I17" s="57"/>
      <c r="J17"/>
      <c r="L17" s="15"/>
      <c r="M17" s="15">
        <v>8709778351</v>
      </c>
      <c r="N17" s="15"/>
    </row>
    <row r="18" spans="4:14" x14ac:dyDescent="0.3">
      <c r="D18" s="11">
        <v>368</v>
      </c>
      <c r="G18" s="16" t="s">
        <v>66</v>
      </c>
      <c r="H18" s="16"/>
      <c r="I18" s="57"/>
      <c r="J18"/>
      <c r="L18" s="15"/>
      <c r="M18" s="15">
        <v>8987909128</v>
      </c>
      <c r="N18" s="15"/>
    </row>
    <row r="19" spans="4:14" x14ac:dyDescent="0.3">
      <c r="D19" s="11">
        <v>369</v>
      </c>
      <c r="G19" s="16" t="s">
        <v>67</v>
      </c>
      <c r="H19" s="16"/>
      <c r="I19" s="57"/>
      <c r="J19"/>
      <c r="L19" s="15"/>
      <c r="M19" s="15"/>
      <c r="N19" s="15"/>
    </row>
    <row r="20" spans="4:14" x14ac:dyDescent="0.3">
      <c r="D20" s="11">
        <v>370</v>
      </c>
      <c r="G20" s="16" t="s">
        <v>68</v>
      </c>
      <c r="H20" s="16"/>
      <c r="I20" s="57"/>
      <c r="J20"/>
      <c r="L20" s="15"/>
      <c r="M20" s="15"/>
      <c r="N20" s="15"/>
    </row>
    <row r="21" spans="4:14" x14ac:dyDescent="0.3">
      <c r="D21" s="11">
        <v>371</v>
      </c>
      <c r="G21" s="16" t="s">
        <v>69</v>
      </c>
      <c r="H21" s="16"/>
      <c r="I21" s="57"/>
      <c r="J21"/>
      <c r="L21" s="15"/>
      <c r="M21" s="15">
        <v>8271603334</v>
      </c>
      <c r="N21" s="15"/>
    </row>
    <row r="22" spans="4:14" x14ac:dyDescent="0.3">
      <c r="D22" s="11">
        <v>373</v>
      </c>
      <c r="G22" s="16" t="s">
        <v>70</v>
      </c>
      <c r="H22" s="16"/>
      <c r="I22" s="57"/>
      <c r="J22"/>
      <c r="L22" s="15"/>
      <c r="M22" s="15">
        <v>7091997572</v>
      </c>
      <c r="N22" s="15"/>
    </row>
    <row r="23" spans="4:14" x14ac:dyDescent="0.3">
      <c r="D23" s="11">
        <v>374</v>
      </c>
      <c r="G23" s="16" t="s">
        <v>18</v>
      </c>
      <c r="H23" s="16"/>
      <c r="I23" s="57"/>
      <c r="J23"/>
      <c r="L23" s="15">
        <v>927240431168</v>
      </c>
      <c r="M23" s="15"/>
      <c r="N23" s="15"/>
    </row>
    <row r="24" spans="4:14" x14ac:dyDescent="0.3">
      <c r="D24" s="11">
        <v>375</v>
      </c>
      <c r="G24" s="16" t="s">
        <v>71</v>
      </c>
      <c r="H24" s="16"/>
      <c r="I24" s="57"/>
      <c r="J24"/>
      <c r="L24" s="15"/>
      <c r="M24" s="15"/>
      <c r="N24" s="15"/>
    </row>
    <row r="25" spans="4:14" x14ac:dyDescent="0.3">
      <c r="D25" s="11">
        <v>376</v>
      </c>
      <c r="G25" s="16" t="s">
        <v>72</v>
      </c>
      <c r="H25" s="16"/>
      <c r="I25" s="57"/>
      <c r="J25"/>
      <c r="L25" s="15"/>
      <c r="M25" s="15"/>
      <c r="N25" s="15"/>
    </row>
    <row r="26" spans="4:14" x14ac:dyDescent="0.3">
      <c r="D26" s="11">
        <v>378</v>
      </c>
      <c r="G26" s="16" t="s">
        <v>73</v>
      </c>
      <c r="H26" s="16"/>
      <c r="I26" s="57"/>
      <c r="J26"/>
      <c r="L26" s="15"/>
      <c r="M26" s="15"/>
      <c r="N26" s="15"/>
    </row>
    <row r="27" spans="4:14" x14ac:dyDescent="0.3">
      <c r="D27" s="11">
        <v>383</v>
      </c>
      <c r="G27" s="16" t="s">
        <v>74</v>
      </c>
      <c r="H27" s="16"/>
      <c r="I27" s="57"/>
      <c r="J27"/>
      <c r="L27" s="15"/>
      <c r="M27" s="15">
        <v>9934182239</v>
      </c>
      <c r="N27" s="15"/>
    </row>
    <row r="28" spans="4:14" x14ac:dyDescent="0.3">
      <c r="D28" s="11">
        <v>384</v>
      </c>
      <c r="G28" s="16" t="s">
        <v>75</v>
      </c>
      <c r="H28" s="16"/>
      <c r="I28" s="57"/>
      <c r="J28"/>
      <c r="L28" s="15"/>
      <c r="M28" s="15">
        <v>9060230821</v>
      </c>
      <c r="N28" s="15"/>
    </row>
    <row r="29" spans="4:14" x14ac:dyDescent="0.3">
      <c r="D29" s="11">
        <v>385</v>
      </c>
      <c r="G29" s="16" t="s">
        <v>76</v>
      </c>
      <c r="H29" s="16"/>
      <c r="I29" s="57"/>
      <c r="J29"/>
      <c r="L29" s="15"/>
      <c r="M29" s="15">
        <v>8235004989</v>
      </c>
      <c r="N29" s="15"/>
    </row>
    <row r="30" spans="4:14" x14ac:dyDescent="0.3">
      <c r="D30" s="11">
        <v>386</v>
      </c>
      <c r="G30" s="16" t="s">
        <v>77</v>
      </c>
      <c r="H30" s="16"/>
      <c r="I30" s="57"/>
      <c r="J30"/>
      <c r="L30" s="15"/>
      <c r="M30" s="15">
        <v>8092600148</v>
      </c>
      <c r="N30" s="15"/>
    </row>
    <row r="31" spans="4:14" x14ac:dyDescent="0.3">
      <c r="D31" s="11">
        <v>387</v>
      </c>
      <c r="G31" s="16" t="s">
        <v>78</v>
      </c>
      <c r="H31" s="16"/>
      <c r="I31" s="57"/>
      <c r="J31"/>
      <c r="L31" s="15"/>
      <c r="M31" s="15">
        <v>8877025735</v>
      </c>
      <c r="N31" s="15"/>
    </row>
    <row r="32" spans="4:14" x14ac:dyDescent="0.3">
      <c r="D32" s="11">
        <v>388</v>
      </c>
      <c r="G32" s="16" t="s">
        <v>79</v>
      </c>
      <c r="H32" s="16"/>
      <c r="I32" s="57"/>
      <c r="J32"/>
      <c r="L32" s="15"/>
      <c r="M32" s="15">
        <v>7209870436</v>
      </c>
      <c r="N32" s="15"/>
    </row>
    <row r="33" spans="4:17" x14ac:dyDescent="0.3">
      <c r="D33" s="11">
        <v>389</v>
      </c>
      <c r="G33" s="16" t="s">
        <v>80</v>
      </c>
      <c r="H33" s="16"/>
      <c r="I33" s="57"/>
      <c r="J33"/>
      <c r="L33" s="15"/>
      <c r="M33" s="15">
        <v>7209704639</v>
      </c>
      <c r="N33" s="15"/>
      <c r="O33" s="4" t="s">
        <v>16</v>
      </c>
      <c r="P33" s="4" t="s">
        <v>16</v>
      </c>
    </row>
    <row r="34" spans="4:17" x14ac:dyDescent="0.3">
      <c r="D34" s="11">
        <v>394</v>
      </c>
      <c r="G34" s="16" t="s">
        <v>81</v>
      </c>
      <c r="H34" s="16"/>
      <c r="I34" s="57"/>
      <c r="J34"/>
      <c r="L34" s="15"/>
      <c r="M34" s="15"/>
      <c r="N34" s="15"/>
    </row>
    <row r="35" spans="4:17" x14ac:dyDescent="0.3">
      <c r="D35" s="11">
        <v>399</v>
      </c>
      <c r="G35" s="16" t="s">
        <v>83</v>
      </c>
      <c r="H35" s="16"/>
      <c r="I35" s="57"/>
      <c r="J35"/>
      <c r="L35" s="15"/>
      <c r="M35" s="15">
        <v>8092173343</v>
      </c>
      <c r="N35" s="15"/>
    </row>
    <row r="36" spans="4:17" x14ac:dyDescent="0.3">
      <c r="D36" s="11">
        <v>401</v>
      </c>
      <c r="G36" s="16" t="s">
        <v>82</v>
      </c>
      <c r="H36" s="16"/>
      <c r="I36" s="57"/>
      <c r="J36"/>
      <c r="L36" s="15"/>
      <c r="M36" s="15">
        <v>8809234620</v>
      </c>
      <c r="N36" s="15"/>
      <c r="O36" s="4" t="s">
        <v>16</v>
      </c>
      <c r="P36" s="4" t="s">
        <v>16</v>
      </c>
      <c r="Q36" s="4" t="s">
        <v>16</v>
      </c>
    </row>
    <row r="37" spans="4:17" x14ac:dyDescent="0.3">
      <c r="D37" s="11">
        <v>414</v>
      </c>
      <c r="G37" s="16" t="s">
        <v>84</v>
      </c>
      <c r="H37" s="16"/>
      <c r="I37" s="57"/>
      <c r="J37"/>
      <c r="L37" s="15"/>
      <c r="M37" s="15"/>
      <c r="N37" s="15"/>
    </row>
    <row r="38" spans="4:17" x14ac:dyDescent="0.3">
      <c r="D38" s="11">
        <v>451</v>
      </c>
      <c r="G38" s="16" t="s">
        <v>85</v>
      </c>
      <c r="H38" s="16"/>
      <c r="I38" s="57"/>
      <c r="J38"/>
      <c r="L38" s="15"/>
      <c r="M38" s="15"/>
      <c r="N38" s="15"/>
    </row>
    <row r="39" spans="4:17" x14ac:dyDescent="0.3">
      <c r="D39" s="11">
        <v>456</v>
      </c>
      <c r="G39" s="16" t="s">
        <v>86</v>
      </c>
      <c r="H39" s="16"/>
      <c r="I39" s="57"/>
      <c r="J39"/>
      <c r="L39" s="15"/>
      <c r="M39" s="15"/>
      <c r="N39" s="15"/>
    </row>
    <row r="40" spans="4:17" x14ac:dyDescent="0.3">
      <c r="D40" s="11">
        <v>458</v>
      </c>
      <c r="G40" s="16" t="s">
        <v>87</v>
      </c>
      <c r="H40" s="16"/>
      <c r="I40" s="57"/>
      <c r="J40"/>
      <c r="L40" s="15"/>
      <c r="M40" s="15"/>
      <c r="N40" s="15"/>
    </row>
    <row r="41" spans="4:17" x14ac:dyDescent="0.3">
      <c r="D41" s="11">
        <v>459</v>
      </c>
      <c r="G41" s="16" t="s">
        <v>88</v>
      </c>
      <c r="H41" s="16"/>
      <c r="I41" s="57"/>
      <c r="J41"/>
      <c r="L41" s="15"/>
      <c r="M41" s="15"/>
      <c r="N41" s="15"/>
    </row>
    <row r="42" spans="4:17" x14ac:dyDescent="0.3">
      <c r="D42" s="11">
        <v>475</v>
      </c>
      <c r="G42" s="16" t="s">
        <v>89</v>
      </c>
      <c r="H42" s="16"/>
      <c r="I42" s="57"/>
      <c r="J42"/>
      <c r="L42" s="15"/>
      <c r="M42" s="15"/>
      <c r="N42" s="15"/>
    </row>
    <row r="43" spans="4:17" x14ac:dyDescent="0.3">
      <c r="D43" s="11">
        <v>476</v>
      </c>
      <c r="G43" s="16" t="s">
        <v>90</v>
      </c>
      <c r="H43" s="16"/>
      <c r="I43" s="57"/>
      <c r="J43"/>
      <c r="L43" s="15">
        <v>202977932732</v>
      </c>
      <c r="M43" s="15"/>
      <c r="N43" s="15"/>
    </row>
    <row r="44" spans="4:17" x14ac:dyDescent="0.3">
      <c r="D44" s="11">
        <v>477</v>
      </c>
      <c r="G44" s="16" t="s">
        <v>91</v>
      </c>
      <c r="H44" s="16"/>
      <c r="I44" s="57"/>
      <c r="J44"/>
      <c r="L44" s="15"/>
      <c r="M44" s="15"/>
      <c r="N44" s="15"/>
    </row>
    <row r="45" spans="4:17" x14ac:dyDescent="0.3">
      <c r="D45" s="11">
        <v>488</v>
      </c>
      <c r="G45" s="16" t="s">
        <v>92</v>
      </c>
      <c r="H45" s="16"/>
      <c r="I45" s="57"/>
      <c r="J45"/>
      <c r="L45" s="15">
        <v>724354845583</v>
      </c>
      <c r="M45" s="15">
        <v>9060547379</v>
      </c>
      <c r="N45" s="15"/>
    </row>
    <row r="46" spans="4:17" x14ac:dyDescent="0.3">
      <c r="D46" s="11">
        <v>503</v>
      </c>
      <c r="G46" s="16" t="s">
        <v>2</v>
      </c>
      <c r="H46" s="16"/>
      <c r="I46" s="57"/>
      <c r="J46"/>
      <c r="L46" s="15">
        <v>731435964243</v>
      </c>
      <c r="M46" s="15"/>
      <c r="N46" s="15"/>
    </row>
    <row r="47" spans="4:17" x14ac:dyDescent="0.3">
      <c r="D47" s="11">
        <v>504</v>
      </c>
      <c r="G47" s="16" t="s">
        <v>93</v>
      </c>
      <c r="H47" s="16"/>
      <c r="I47" s="57"/>
      <c r="J47"/>
      <c r="L47" s="15">
        <v>576293161966</v>
      </c>
      <c r="M47" s="15"/>
      <c r="N47" s="15"/>
    </row>
    <row r="48" spans="4:17" x14ac:dyDescent="0.3">
      <c r="D48" s="11">
        <v>517</v>
      </c>
      <c r="G48" s="16" t="s">
        <v>3</v>
      </c>
      <c r="H48" s="16"/>
      <c r="I48" s="57"/>
      <c r="J48"/>
      <c r="L48" s="15">
        <v>423699481043</v>
      </c>
      <c r="M48" s="15">
        <v>8809409532</v>
      </c>
      <c r="N48" s="15"/>
    </row>
    <row r="49" spans="4:16" x14ac:dyDescent="0.3">
      <c r="D49" s="11">
        <v>518</v>
      </c>
      <c r="G49" s="16" t="s">
        <v>94</v>
      </c>
      <c r="H49" s="16"/>
      <c r="I49" s="57"/>
      <c r="J49"/>
      <c r="L49" s="15">
        <v>417092564883</v>
      </c>
      <c r="M49" s="15"/>
      <c r="N49" s="15"/>
      <c r="O49" s="4" t="s">
        <v>16</v>
      </c>
      <c r="P49" s="4" t="s">
        <v>16</v>
      </c>
    </row>
    <row r="50" spans="4:16" x14ac:dyDescent="0.3">
      <c r="D50" s="11">
        <v>526</v>
      </c>
      <c r="G50" s="16" t="s">
        <v>5</v>
      </c>
      <c r="H50" s="16"/>
      <c r="I50" s="57"/>
      <c r="J50"/>
      <c r="L50" s="15">
        <v>412074051647</v>
      </c>
      <c r="M50" s="15">
        <v>9234011403</v>
      </c>
      <c r="N50" s="15"/>
    </row>
    <row r="51" spans="4:16" x14ac:dyDescent="0.3">
      <c r="D51" s="11">
        <v>527</v>
      </c>
      <c r="G51" s="16" t="s">
        <v>6</v>
      </c>
      <c r="H51" s="16"/>
      <c r="I51" s="57"/>
      <c r="J51"/>
      <c r="L51" s="15">
        <v>412153327436</v>
      </c>
      <c r="M51" s="15">
        <v>7979981167</v>
      </c>
      <c r="N51" s="15"/>
    </row>
    <row r="52" spans="4:16" x14ac:dyDescent="0.3">
      <c r="D52" s="11">
        <v>532</v>
      </c>
      <c r="G52" s="16" t="s">
        <v>7</v>
      </c>
      <c r="H52" s="16"/>
      <c r="I52" s="57"/>
      <c r="J52"/>
      <c r="L52" s="15">
        <v>340550909635</v>
      </c>
      <c r="M52" s="15">
        <v>9931472073</v>
      </c>
      <c r="N52" s="15"/>
    </row>
    <row r="53" spans="4:16" x14ac:dyDescent="0.3">
      <c r="D53" s="11">
        <v>533</v>
      </c>
      <c r="G53" s="16" t="s">
        <v>8</v>
      </c>
      <c r="H53" s="16"/>
      <c r="I53" s="57"/>
      <c r="J53"/>
      <c r="L53" s="15">
        <v>931326842950</v>
      </c>
      <c r="M53" s="15">
        <v>9279472061</v>
      </c>
      <c r="N53" s="15"/>
    </row>
    <row r="54" spans="4:16" x14ac:dyDescent="0.3">
      <c r="D54" s="11">
        <v>534</v>
      </c>
      <c r="G54" s="16" t="s">
        <v>9</v>
      </c>
      <c r="H54" s="16"/>
      <c r="I54" s="57"/>
      <c r="J54"/>
      <c r="L54" s="15">
        <v>216434242478</v>
      </c>
      <c r="M54" s="15"/>
      <c r="N54" s="15"/>
    </row>
    <row r="55" spans="4:16" x14ac:dyDescent="0.3">
      <c r="D55" s="11">
        <v>535</v>
      </c>
      <c r="G55" s="16" t="s">
        <v>10</v>
      </c>
      <c r="H55" s="16"/>
      <c r="I55" s="57"/>
      <c r="J55"/>
      <c r="L55" s="15">
        <v>296430780764</v>
      </c>
      <c r="M55" s="15">
        <v>7209525716</v>
      </c>
      <c r="N55" s="15"/>
    </row>
    <row r="56" spans="4:16" x14ac:dyDescent="0.3">
      <c r="D56" s="11">
        <v>536</v>
      </c>
      <c r="G56" s="16" t="s">
        <v>95</v>
      </c>
      <c r="H56" s="16"/>
      <c r="I56" s="57"/>
      <c r="J56"/>
      <c r="L56" s="15">
        <v>834773776470</v>
      </c>
      <c r="M56" s="15">
        <v>9204707695</v>
      </c>
      <c r="N56" s="15"/>
    </row>
    <row r="57" spans="4:16" x14ac:dyDescent="0.3">
      <c r="D57" s="11">
        <v>537</v>
      </c>
      <c r="G57" s="16" t="s">
        <v>11</v>
      </c>
      <c r="H57" s="16"/>
      <c r="I57" s="57"/>
      <c r="J57"/>
      <c r="L57" s="15">
        <v>898770625418</v>
      </c>
      <c r="M57" s="15">
        <v>8651634111</v>
      </c>
      <c r="N57" s="15"/>
    </row>
    <row r="58" spans="4:16" x14ac:dyDescent="0.3">
      <c r="D58" s="11">
        <v>545</v>
      </c>
      <c r="G58" s="16" t="s">
        <v>13</v>
      </c>
      <c r="H58" s="16"/>
      <c r="I58" s="57"/>
      <c r="J58"/>
      <c r="L58" s="15">
        <v>886478773555</v>
      </c>
      <c r="M58" s="15">
        <v>9572923483</v>
      </c>
      <c r="N58" s="15"/>
    </row>
    <row r="59" spans="4:16" x14ac:dyDescent="0.3">
      <c r="D59" s="11">
        <v>603</v>
      </c>
      <c r="G59" s="16" t="s">
        <v>96</v>
      </c>
      <c r="H59" s="16"/>
      <c r="I59" s="57"/>
      <c r="J59"/>
      <c r="L59" s="15"/>
      <c r="M59" s="15">
        <v>6205658028</v>
      </c>
      <c r="N59" s="15"/>
    </row>
    <row r="60" spans="4:16" x14ac:dyDescent="0.3">
      <c r="D60" s="11">
        <v>608</v>
      </c>
      <c r="G60" s="16" t="s">
        <v>12</v>
      </c>
      <c r="H60" s="16"/>
      <c r="I60" s="57"/>
      <c r="J60"/>
      <c r="L60" s="15">
        <v>344029927236</v>
      </c>
      <c r="M60" s="15">
        <v>7061151401</v>
      </c>
      <c r="N60" s="15"/>
    </row>
    <row r="61" spans="4:16" x14ac:dyDescent="0.3">
      <c r="D61" s="11">
        <v>609</v>
      </c>
      <c r="G61" s="16" t="s">
        <v>97</v>
      </c>
      <c r="H61" s="16"/>
      <c r="I61" s="57"/>
      <c r="J61"/>
      <c r="L61" s="15"/>
      <c r="M61" s="15"/>
      <c r="N61" s="15"/>
    </row>
    <row r="62" spans="4:16" x14ac:dyDescent="0.3">
      <c r="D62" s="11">
        <v>617</v>
      </c>
      <c r="G62" s="16" t="s">
        <v>98</v>
      </c>
      <c r="H62" s="16"/>
      <c r="I62" s="57"/>
      <c r="J62"/>
      <c r="L62" s="15"/>
      <c r="M62" s="15">
        <v>9576851029</v>
      </c>
      <c r="N62" s="15"/>
    </row>
    <row r="63" spans="4:16" x14ac:dyDescent="0.3">
      <c r="D63" s="11">
        <v>620</v>
      </c>
      <c r="G63" s="16" t="s">
        <v>99</v>
      </c>
      <c r="H63" s="16"/>
      <c r="I63" s="57"/>
      <c r="J63"/>
      <c r="L63" s="15"/>
      <c r="M63" s="15"/>
      <c r="N63" s="15"/>
    </row>
    <row r="64" spans="4:16" x14ac:dyDescent="0.3">
      <c r="D64" s="11">
        <v>630</v>
      </c>
      <c r="G64" s="16" t="s">
        <v>100</v>
      </c>
      <c r="H64" s="16"/>
      <c r="I64" s="57"/>
      <c r="J64"/>
      <c r="L64" s="15">
        <v>288174197824</v>
      </c>
      <c r="M64" s="15">
        <v>7764887844</v>
      </c>
      <c r="N64" s="15"/>
    </row>
    <row r="65" spans="1:16" x14ac:dyDescent="0.3">
      <c r="D65" s="11">
        <v>631</v>
      </c>
      <c r="G65" s="16" t="s">
        <v>101</v>
      </c>
      <c r="H65" s="16"/>
      <c r="I65" s="57"/>
      <c r="J65"/>
      <c r="L65" s="15">
        <v>427861508449</v>
      </c>
      <c r="M65" s="15">
        <v>7368900638</v>
      </c>
      <c r="N65" s="15"/>
    </row>
    <row r="66" spans="1:16" x14ac:dyDescent="0.3">
      <c r="D66" s="11">
        <v>635</v>
      </c>
      <c r="G66" s="16" t="s">
        <v>102</v>
      </c>
      <c r="H66" s="16"/>
      <c r="I66" s="57"/>
      <c r="J66"/>
      <c r="L66" s="15">
        <v>542591450295</v>
      </c>
      <c r="M66" s="15">
        <v>8860735383</v>
      </c>
      <c r="N66" s="15"/>
    </row>
    <row r="67" spans="1:16" x14ac:dyDescent="0.3">
      <c r="D67" s="11">
        <v>642</v>
      </c>
      <c r="G67" s="16" t="s">
        <v>103</v>
      </c>
      <c r="H67" s="16"/>
      <c r="I67" s="57"/>
      <c r="J67"/>
      <c r="L67" s="15">
        <v>743623451242</v>
      </c>
      <c r="M67" s="15">
        <v>6201227394</v>
      </c>
      <c r="N67" s="15"/>
    </row>
    <row r="68" spans="1:16" x14ac:dyDescent="0.3">
      <c r="D68" s="11">
        <v>652</v>
      </c>
      <c r="G68" s="16" t="s">
        <v>104</v>
      </c>
      <c r="H68" s="16"/>
      <c r="I68" s="57"/>
      <c r="J68"/>
      <c r="L68" s="15">
        <v>671910882459</v>
      </c>
      <c r="M68" s="15">
        <v>7488075196</v>
      </c>
      <c r="N68" s="15"/>
    </row>
    <row r="69" spans="1:16" x14ac:dyDescent="0.3">
      <c r="D69" s="11">
        <v>663</v>
      </c>
      <c r="G69" s="16" t="s">
        <v>105</v>
      </c>
      <c r="H69" s="16"/>
      <c r="I69" s="57"/>
      <c r="J69"/>
      <c r="L69" s="15">
        <v>428497844329</v>
      </c>
      <c r="M69" s="15">
        <v>9547154556</v>
      </c>
      <c r="N69" s="15"/>
    </row>
    <row r="70" spans="1:16" x14ac:dyDescent="0.3">
      <c r="A70" t="s">
        <v>4892</v>
      </c>
      <c r="D70" s="11" t="s">
        <v>4184</v>
      </c>
      <c r="G70" s="16" t="s">
        <v>2554</v>
      </c>
      <c r="H70" s="16"/>
      <c r="I70" s="57"/>
      <c r="J70"/>
      <c r="L70" s="15">
        <v>955373244726</v>
      </c>
      <c r="M70" s="15"/>
      <c r="N70" s="15"/>
    </row>
    <row r="71" spans="1:16" x14ac:dyDescent="0.3">
      <c r="D71" s="11">
        <v>672</v>
      </c>
      <c r="G71" s="16" t="s">
        <v>20</v>
      </c>
      <c r="H71" s="16"/>
      <c r="I71" s="57"/>
      <c r="J71"/>
      <c r="L71" s="15">
        <v>983694244451</v>
      </c>
      <c r="M71" s="15">
        <v>9234950455</v>
      </c>
      <c r="N71" s="15"/>
    </row>
    <row r="72" spans="1:16" x14ac:dyDescent="0.3">
      <c r="D72" s="11">
        <v>675</v>
      </c>
      <c r="G72" s="16" t="s">
        <v>106</v>
      </c>
      <c r="H72" s="16"/>
      <c r="I72" s="57"/>
      <c r="J72"/>
      <c r="L72" s="15">
        <v>238998459439</v>
      </c>
      <c r="M72" s="15">
        <v>7292826382</v>
      </c>
      <c r="N72" s="15"/>
    </row>
    <row r="73" spans="1:16" x14ac:dyDescent="0.3">
      <c r="D73" s="11">
        <v>682</v>
      </c>
      <c r="G73" s="16" t="s">
        <v>108</v>
      </c>
      <c r="H73" s="16"/>
      <c r="I73" s="57"/>
      <c r="J73"/>
      <c r="L73" s="15">
        <v>536682524018</v>
      </c>
      <c r="M73" s="15">
        <v>7209915280</v>
      </c>
      <c r="N73" s="15"/>
    </row>
    <row r="74" spans="1:16" x14ac:dyDescent="0.3">
      <c r="D74" s="11">
        <v>686</v>
      </c>
      <c r="G74" s="16" t="s">
        <v>107</v>
      </c>
      <c r="H74" s="16"/>
      <c r="I74" s="57"/>
      <c r="J74"/>
      <c r="L74" s="15">
        <v>563889910048</v>
      </c>
      <c r="M74" s="15">
        <v>8092286813</v>
      </c>
      <c r="N74" s="15"/>
    </row>
    <row r="75" spans="1:16" x14ac:dyDescent="0.3">
      <c r="D75" s="11">
        <v>691</v>
      </c>
      <c r="G75" s="16" t="s">
        <v>109</v>
      </c>
      <c r="H75" s="16"/>
      <c r="I75" s="57"/>
      <c r="J75"/>
      <c r="L75" s="15">
        <v>690243895638</v>
      </c>
      <c r="M75" s="15">
        <v>8210808013</v>
      </c>
      <c r="N75" s="15"/>
    </row>
    <row r="76" spans="1:16" x14ac:dyDescent="0.3">
      <c r="D76" s="11">
        <v>692</v>
      </c>
      <c r="G76" s="16" t="s">
        <v>110</v>
      </c>
      <c r="H76" s="16"/>
      <c r="I76" s="57"/>
      <c r="J76"/>
      <c r="L76" s="15">
        <v>364530062672</v>
      </c>
      <c r="M76" s="15"/>
      <c r="N76" s="15"/>
    </row>
    <row r="77" spans="1:16" x14ac:dyDescent="0.3">
      <c r="D77" s="11">
        <v>693</v>
      </c>
      <c r="G77" s="16" t="s">
        <v>22</v>
      </c>
      <c r="H77" s="16"/>
      <c r="I77" s="57"/>
      <c r="J77"/>
      <c r="L77" s="15">
        <v>875229943210</v>
      </c>
      <c r="M77" s="15">
        <v>8969721943</v>
      </c>
      <c r="N77" s="15"/>
      <c r="O77" s="4" t="s">
        <v>16</v>
      </c>
      <c r="P77" s="4" t="s">
        <v>16</v>
      </c>
    </row>
    <row r="78" spans="1:16" x14ac:dyDescent="0.3">
      <c r="D78" s="11">
        <v>701</v>
      </c>
      <c r="G78" s="16" t="s">
        <v>111</v>
      </c>
      <c r="H78" s="16"/>
      <c r="I78" s="57"/>
      <c r="J78"/>
      <c r="L78" s="15">
        <v>577001320354</v>
      </c>
      <c r="M78" s="15">
        <v>9263500926</v>
      </c>
      <c r="N78" s="15"/>
    </row>
    <row r="79" spans="1:16" x14ac:dyDescent="0.3">
      <c r="D79" s="11">
        <v>710</v>
      </c>
      <c r="G79" s="16" t="s">
        <v>112</v>
      </c>
      <c r="H79" s="16"/>
      <c r="I79" s="57"/>
      <c r="J79"/>
      <c r="L79" s="15">
        <v>400495219991</v>
      </c>
      <c r="M79" s="15">
        <v>9931361887</v>
      </c>
      <c r="N79" s="15"/>
    </row>
    <row r="80" spans="1:16" x14ac:dyDescent="0.3">
      <c r="D80" s="11">
        <v>725</v>
      </c>
      <c r="G80" s="16" t="s">
        <v>113</v>
      </c>
      <c r="H80" s="16"/>
      <c r="I80" s="57"/>
      <c r="J80"/>
      <c r="L80" s="15">
        <v>791154501974</v>
      </c>
      <c r="M80" s="15">
        <v>8434842956</v>
      </c>
      <c r="N80" s="15"/>
    </row>
    <row r="81" spans="4:14" x14ac:dyDescent="0.3">
      <c r="D81" s="11">
        <v>729</v>
      </c>
      <c r="G81" s="16" t="s">
        <v>23</v>
      </c>
      <c r="H81" s="16"/>
      <c r="I81" s="57"/>
      <c r="J81"/>
      <c r="L81" s="15">
        <v>645378638386</v>
      </c>
      <c r="M81" s="15">
        <v>7488553379</v>
      </c>
      <c r="N81" s="15"/>
    </row>
    <row r="82" spans="4:14" x14ac:dyDescent="0.3">
      <c r="D82" s="11">
        <v>730</v>
      </c>
      <c r="G82" s="16" t="s">
        <v>114</v>
      </c>
      <c r="H82" s="16"/>
      <c r="I82" s="57"/>
      <c r="J82"/>
      <c r="L82" s="15">
        <v>800424763883</v>
      </c>
      <c r="M82" s="15">
        <v>7209249819</v>
      </c>
      <c r="N82" s="15"/>
    </row>
    <row r="83" spans="4:14" x14ac:dyDescent="0.3">
      <c r="D83" s="11">
        <v>737</v>
      </c>
      <c r="G83" s="16" t="s">
        <v>119</v>
      </c>
      <c r="H83" s="16"/>
      <c r="I83" s="57"/>
      <c r="J83"/>
      <c r="L83" s="15"/>
      <c r="M83" s="15"/>
      <c r="N83" s="15"/>
    </row>
    <row r="84" spans="4:14" x14ac:dyDescent="0.3">
      <c r="D84" s="11">
        <v>738</v>
      </c>
      <c r="G84" s="16" t="s">
        <v>120</v>
      </c>
      <c r="H84" s="16"/>
      <c r="I84" s="57"/>
      <c r="J84"/>
      <c r="L84" s="15"/>
      <c r="M84" s="15"/>
      <c r="N84" s="15"/>
    </row>
    <row r="85" spans="4:14" x14ac:dyDescent="0.3">
      <c r="D85" s="11">
        <v>743</v>
      </c>
      <c r="G85" s="16" t="s">
        <v>21</v>
      </c>
      <c r="H85" s="16"/>
      <c r="I85" s="57"/>
      <c r="J85"/>
      <c r="L85" s="15"/>
      <c r="M85" s="15"/>
      <c r="N85" s="15"/>
    </row>
    <row r="86" spans="4:14" x14ac:dyDescent="0.3">
      <c r="D86" s="11">
        <v>755</v>
      </c>
      <c r="G86" s="16" t="s">
        <v>115</v>
      </c>
      <c r="H86" s="16"/>
      <c r="I86" s="57"/>
      <c r="J86"/>
      <c r="L86" s="15">
        <v>343532565639</v>
      </c>
      <c r="M86" s="15">
        <v>9123275378</v>
      </c>
      <c r="N86" s="15"/>
    </row>
    <row r="87" spans="4:14" x14ac:dyDescent="0.3">
      <c r="D87" s="11">
        <v>757</v>
      </c>
      <c r="G87" s="16" t="s">
        <v>116</v>
      </c>
      <c r="H87" s="16"/>
      <c r="I87" s="57"/>
      <c r="J87"/>
      <c r="L87" s="15">
        <v>461985371951</v>
      </c>
      <c r="M87" s="15">
        <v>8677959513</v>
      </c>
      <c r="N87" s="15"/>
    </row>
    <row r="88" spans="4:14" x14ac:dyDescent="0.3">
      <c r="D88" s="11">
        <v>760</v>
      </c>
      <c r="G88" s="16" t="s">
        <v>117</v>
      </c>
      <c r="H88" s="16"/>
      <c r="I88" s="57"/>
      <c r="J88"/>
      <c r="L88" s="15">
        <v>618469117317</v>
      </c>
      <c r="M88" s="15">
        <v>7061533847</v>
      </c>
      <c r="N88" s="15"/>
    </row>
    <row r="89" spans="4:14" x14ac:dyDescent="0.3">
      <c r="D89" s="11">
        <v>761</v>
      </c>
      <c r="G89" s="16" t="s">
        <v>118</v>
      </c>
      <c r="H89" s="16"/>
      <c r="I89" s="57"/>
      <c r="J89"/>
      <c r="L89" s="15">
        <v>623774586366</v>
      </c>
      <c r="M89" s="15">
        <v>7586984459</v>
      </c>
      <c r="N89" s="15"/>
    </row>
    <row r="90" spans="4:14" x14ac:dyDescent="0.3">
      <c r="D90" s="11">
        <v>765</v>
      </c>
      <c r="G90" s="16" t="s">
        <v>121</v>
      </c>
      <c r="H90" s="16"/>
      <c r="I90" s="57"/>
      <c r="J90"/>
      <c r="L90" s="15">
        <v>345936337700</v>
      </c>
      <c r="M90" s="15">
        <v>7586984459</v>
      </c>
      <c r="N90" s="15"/>
    </row>
    <row r="91" spans="4:14" x14ac:dyDescent="0.3">
      <c r="D91" s="11">
        <v>766</v>
      </c>
      <c r="G91" s="16" t="s">
        <v>122</v>
      </c>
      <c r="H91" s="16"/>
      <c r="I91" s="57"/>
      <c r="J91"/>
      <c r="L91" s="15">
        <v>782606181847</v>
      </c>
      <c r="M91" s="15">
        <v>8207351848</v>
      </c>
      <c r="N91" s="15"/>
    </row>
    <row r="92" spans="4:14" x14ac:dyDescent="0.3">
      <c r="D92" s="11">
        <v>767</v>
      </c>
      <c r="G92" s="16" t="s">
        <v>123</v>
      </c>
      <c r="H92" s="16"/>
      <c r="I92" s="57"/>
      <c r="J92"/>
      <c r="L92" s="15">
        <v>421314203571</v>
      </c>
      <c r="M92" s="15">
        <v>7970867850</v>
      </c>
      <c r="N92" s="15"/>
    </row>
    <row r="93" spans="4:14" x14ac:dyDescent="0.3">
      <c r="D93" s="11">
        <v>768</v>
      </c>
      <c r="G93" s="16" t="s">
        <v>124</v>
      </c>
      <c r="H93" s="16"/>
      <c r="I93" s="57"/>
      <c r="J93"/>
      <c r="L93" s="15">
        <v>249234020000</v>
      </c>
      <c r="M93" s="15">
        <v>9122187552</v>
      </c>
      <c r="N93" s="15"/>
    </row>
    <row r="94" spans="4:14" x14ac:dyDescent="0.3">
      <c r="D94" s="11">
        <v>769</v>
      </c>
      <c r="G94" s="16" t="s">
        <v>125</v>
      </c>
      <c r="H94" s="16"/>
      <c r="I94" s="57"/>
      <c r="J94"/>
      <c r="L94" s="15">
        <v>334297598867</v>
      </c>
      <c r="M94" s="15">
        <v>9204695909</v>
      </c>
      <c r="N94" s="15"/>
    </row>
    <row r="95" spans="4:14" x14ac:dyDescent="0.3">
      <c r="D95" s="11">
        <v>770</v>
      </c>
      <c r="G95" s="16" t="s">
        <v>126</v>
      </c>
      <c r="H95" s="16"/>
      <c r="I95" s="57"/>
      <c r="J95"/>
      <c r="L95" s="15">
        <v>782657899612</v>
      </c>
      <c r="M95" s="15">
        <v>9031721398</v>
      </c>
      <c r="N95" s="15"/>
    </row>
    <row r="96" spans="4:14" x14ac:dyDescent="0.3">
      <c r="D96" s="11">
        <v>771</v>
      </c>
      <c r="G96" s="16" t="s">
        <v>127</v>
      </c>
      <c r="H96" s="16"/>
      <c r="I96" s="57"/>
      <c r="J96"/>
      <c r="L96" s="15">
        <v>383956411124</v>
      </c>
      <c r="M96" s="15">
        <v>7764991432</v>
      </c>
      <c r="N96" s="15"/>
    </row>
    <row r="97" spans="4:14" x14ac:dyDescent="0.3">
      <c r="D97" s="11" t="s">
        <v>2997</v>
      </c>
      <c r="G97" s="16" t="s">
        <v>128</v>
      </c>
      <c r="H97" s="16"/>
      <c r="I97" s="57"/>
      <c r="J97"/>
      <c r="L97" s="15">
        <v>980180335163</v>
      </c>
      <c r="M97" s="15">
        <v>7061332900</v>
      </c>
      <c r="N97" s="15"/>
    </row>
    <row r="98" spans="4:14" x14ac:dyDescent="0.3">
      <c r="D98" s="11">
        <v>773</v>
      </c>
      <c r="G98" s="16" t="s">
        <v>129</v>
      </c>
      <c r="H98" s="16"/>
      <c r="I98" s="57"/>
      <c r="J98"/>
      <c r="L98" s="15">
        <v>257391818118</v>
      </c>
      <c r="M98" s="15"/>
      <c r="N98" s="15"/>
    </row>
    <row r="99" spans="4:14" x14ac:dyDescent="0.3">
      <c r="D99" s="11">
        <v>851</v>
      </c>
      <c r="G99" s="16" t="s">
        <v>130</v>
      </c>
      <c r="H99" s="16"/>
      <c r="I99" s="57"/>
      <c r="J99"/>
      <c r="L99" s="15">
        <v>262447420513</v>
      </c>
      <c r="M99" s="15">
        <v>8434145500</v>
      </c>
      <c r="N99" s="15"/>
    </row>
    <row r="100" spans="4:14" x14ac:dyDescent="0.3">
      <c r="D100" s="11">
        <v>894</v>
      </c>
      <c r="G100" s="16" t="s">
        <v>131</v>
      </c>
      <c r="H100" s="16"/>
      <c r="I100" s="57"/>
      <c r="J100"/>
      <c r="L100" s="15"/>
      <c r="M100" s="15"/>
      <c r="N100" s="15"/>
    </row>
    <row r="101" spans="4:14" x14ac:dyDescent="0.3">
      <c r="D101" s="11">
        <v>896</v>
      </c>
      <c r="G101" s="16" t="s">
        <v>132</v>
      </c>
      <c r="H101" s="16"/>
      <c r="I101" s="57"/>
      <c r="J101"/>
      <c r="L101" s="15">
        <v>268934236045</v>
      </c>
      <c r="M101" s="15">
        <v>8789598219</v>
      </c>
      <c r="N101" s="15"/>
    </row>
    <row r="102" spans="4:14" x14ac:dyDescent="0.3">
      <c r="D102" s="11">
        <v>914</v>
      </c>
      <c r="G102" s="16" t="s">
        <v>133</v>
      </c>
      <c r="H102" s="16"/>
      <c r="I102" s="57"/>
      <c r="J102"/>
      <c r="L102" s="15">
        <v>203549715077</v>
      </c>
      <c r="M102" s="15">
        <v>9162327479</v>
      </c>
      <c r="N102" s="15"/>
    </row>
    <row r="103" spans="4:14" x14ac:dyDescent="0.3">
      <c r="D103" s="11">
        <v>916</v>
      </c>
      <c r="G103" s="16" t="s">
        <v>24</v>
      </c>
      <c r="H103" s="16"/>
      <c r="I103" s="57"/>
      <c r="J103"/>
      <c r="L103" s="15">
        <v>996086388102</v>
      </c>
      <c r="M103" s="15">
        <v>7004909358</v>
      </c>
      <c r="N103" s="15"/>
    </row>
    <row r="104" spans="4:14" x14ac:dyDescent="0.3">
      <c r="D104" s="11">
        <v>917</v>
      </c>
      <c r="G104" s="16" t="s">
        <v>134</v>
      </c>
      <c r="H104" s="16"/>
      <c r="I104" s="57"/>
      <c r="J104"/>
      <c r="L104" s="15">
        <v>408084263295</v>
      </c>
      <c r="M104" s="15">
        <v>6202326010</v>
      </c>
      <c r="N104" s="15"/>
    </row>
    <row r="105" spans="4:14" x14ac:dyDescent="0.3">
      <c r="D105" s="11">
        <v>921</v>
      </c>
      <c r="G105" s="16" t="s">
        <v>25</v>
      </c>
      <c r="H105" s="16"/>
      <c r="I105" s="57"/>
      <c r="J105"/>
      <c r="L105" s="15">
        <v>603292725468</v>
      </c>
      <c r="M105" s="15">
        <v>9263632105</v>
      </c>
      <c r="N105" s="15"/>
    </row>
    <row r="106" spans="4:14" x14ac:dyDescent="0.3">
      <c r="D106" s="11">
        <v>922</v>
      </c>
      <c r="G106" s="16" t="s">
        <v>135</v>
      </c>
      <c r="H106" s="16"/>
      <c r="I106" s="57"/>
      <c r="J106"/>
      <c r="L106" s="15">
        <v>577776566696</v>
      </c>
      <c r="M106" s="15">
        <v>7717778309</v>
      </c>
      <c r="N106" s="15"/>
    </row>
    <row r="107" spans="4:14" x14ac:dyDescent="0.3">
      <c r="D107" s="11">
        <v>923</v>
      </c>
      <c r="G107" s="16" t="s">
        <v>136</v>
      </c>
      <c r="H107" s="16"/>
      <c r="I107" s="57"/>
      <c r="J107"/>
      <c r="L107" s="15">
        <v>924843698876</v>
      </c>
      <c r="M107" s="15">
        <v>7368044317</v>
      </c>
      <c r="N107" s="15"/>
    </row>
    <row r="108" spans="4:14" x14ac:dyDescent="0.3">
      <c r="D108" s="11">
        <v>926</v>
      </c>
      <c r="G108" s="16" t="s">
        <v>137</v>
      </c>
      <c r="H108" s="16"/>
      <c r="I108" s="57"/>
      <c r="J108"/>
      <c r="L108" s="15">
        <v>718191812777</v>
      </c>
      <c r="M108" s="15">
        <v>9097585066</v>
      </c>
      <c r="N108" s="15"/>
    </row>
    <row r="109" spans="4:14" x14ac:dyDescent="0.3">
      <c r="D109" s="11">
        <v>928</v>
      </c>
      <c r="G109" s="16" t="s">
        <v>138</v>
      </c>
      <c r="H109" s="16"/>
      <c r="I109" s="57"/>
      <c r="J109"/>
      <c r="L109" s="15">
        <v>793742954000</v>
      </c>
      <c r="M109" s="15">
        <v>7070287943</v>
      </c>
      <c r="N109" s="15"/>
    </row>
    <row r="110" spans="4:14" x14ac:dyDescent="0.3">
      <c r="D110" s="11">
        <v>929</v>
      </c>
      <c r="G110" s="16" t="s">
        <v>139</v>
      </c>
      <c r="H110" s="16"/>
      <c r="I110" s="57"/>
      <c r="J110"/>
      <c r="L110" s="15">
        <v>466696079759</v>
      </c>
      <c r="M110" s="15">
        <v>9204976811</v>
      </c>
      <c r="N110" s="15"/>
    </row>
    <row r="111" spans="4:14" x14ac:dyDescent="0.3">
      <c r="D111" s="11">
        <v>930</v>
      </c>
      <c r="G111" s="16" t="s">
        <v>26</v>
      </c>
      <c r="H111" s="16"/>
      <c r="I111" s="57"/>
      <c r="J111"/>
      <c r="L111" s="15">
        <v>287221248121</v>
      </c>
      <c r="M111" s="15">
        <v>9798657458</v>
      </c>
      <c r="N111" s="15"/>
    </row>
    <row r="112" spans="4:14" x14ac:dyDescent="0.3">
      <c r="D112" s="11">
        <v>931</v>
      </c>
      <c r="G112" s="16" t="s">
        <v>140</v>
      </c>
      <c r="H112" s="16"/>
      <c r="I112" s="57"/>
      <c r="J112"/>
      <c r="L112" s="15">
        <v>917954525739</v>
      </c>
      <c r="M112" s="15">
        <v>8651954029</v>
      </c>
      <c r="N112" s="15"/>
    </row>
    <row r="113" spans="1:17" x14ac:dyDescent="0.3">
      <c r="A113" t="s">
        <v>10281</v>
      </c>
      <c r="C113" s="3">
        <v>42569</v>
      </c>
      <c r="D113" s="11">
        <v>934</v>
      </c>
      <c r="G113" s="16" t="s">
        <v>28</v>
      </c>
      <c r="H113" s="16"/>
      <c r="I113" s="57">
        <v>36925</v>
      </c>
      <c r="J113"/>
      <c r="L113" s="15">
        <v>893138744978</v>
      </c>
      <c r="M113" s="15">
        <v>7903697661</v>
      </c>
      <c r="N113" s="15"/>
    </row>
    <row r="114" spans="1:17" x14ac:dyDescent="0.3">
      <c r="D114" s="11">
        <v>935</v>
      </c>
      <c r="G114" s="16" t="s">
        <v>27</v>
      </c>
      <c r="H114" s="16"/>
      <c r="I114" s="57"/>
      <c r="J114"/>
      <c r="L114" s="15">
        <v>706635215714</v>
      </c>
      <c r="M114" s="15">
        <v>6205971764</v>
      </c>
      <c r="N114" s="15"/>
    </row>
    <row r="115" spans="1:17" x14ac:dyDescent="0.3">
      <c r="D115" s="11">
        <v>940</v>
      </c>
      <c r="G115" s="16" t="s">
        <v>141</v>
      </c>
      <c r="H115" s="16"/>
      <c r="I115" s="57"/>
      <c r="J115"/>
      <c r="L115" s="15">
        <v>479659624061</v>
      </c>
      <c r="M115" s="15">
        <v>8092201640</v>
      </c>
      <c r="N115" s="15"/>
    </row>
    <row r="116" spans="1:17" x14ac:dyDescent="0.3">
      <c r="D116" s="11">
        <v>944</v>
      </c>
      <c r="G116" s="16" t="s">
        <v>142</v>
      </c>
      <c r="H116" s="16"/>
      <c r="I116" s="57"/>
      <c r="J116" t="s">
        <v>1146</v>
      </c>
      <c r="L116" s="15">
        <v>924289369584</v>
      </c>
      <c r="M116" s="15">
        <v>7079861101</v>
      </c>
      <c r="N116" s="15"/>
      <c r="O116" s="4" t="s">
        <v>16</v>
      </c>
      <c r="P116" s="4" t="s">
        <v>16</v>
      </c>
    </row>
    <row r="117" spans="1:17" x14ac:dyDescent="0.3">
      <c r="D117" s="11">
        <v>960</v>
      </c>
      <c r="G117" s="16" t="s">
        <v>143</v>
      </c>
      <c r="H117" s="16"/>
      <c r="I117" s="57"/>
      <c r="J117"/>
      <c r="L117" s="15"/>
      <c r="M117" s="15"/>
      <c r="N117" s="15"/>
    </row>
    <row r="118" spans="1:17" x14ac:dyDescent="0.3">
      <c r="D118" s="11">
        <v>964</v>
      </c>
      <c r="G118" s="16" t="s">
        <v>144</v>
      </c>
      <c r="H118" s="16"/>
      <c r="I118" s="57"/>
      <c r="J118"/>
      <c r="L118" s="15">
        <v>346527488542</v>
      </c>
      <c r="M118" s="15">
        <v>9334181654</v>
      </c>
      <c r="N118" s="15"/>
      <c r="O118" s="4" t="s">
        <v>16</v>
      </c>
      <c r="P118" s="4" t="s">
        <v>16</v>
      </c>
    </row>
    <row r="119" spans="1:17" x14ac:dyDescent="0.3">
      <c r="D119" s="11">
        <v>966</v>
      </c>
      <c r="G119" s="16" t="s">
        <v>31</v>
      </c>
      <c r="H119" s="16"/>
      <c r="I119" s="57"/>
      <c r="J119"/>
      <c r="L119" s="15"/>
      <c r="M119" s="15"/>
      <c r="N119" s="15"/>
    </row>
    <row r="120" spans="1:17" x14ac:dyDescent="0.3">
      <c r="D120" s="11">
        <v>969</v>
      </c>
      <c r="G120" s="16" t="s">
        <v>32</v>
      </c>
      <c r="H120" s="16"/>
      <c r="I120" s="57"/>
      <c r="J120"/>
      <c r="L120" s="15"/>
      <c r="M120" s="15"/>
      <c r="N120" s="15"/>
    </row>
    <row r="121" spans="1:17" x14ac:dyDescent="0.3">
      <c r="D121" s="11">
        <v>984</v>
      </c>
      <c r="G121" s="16" t="s">
        <v>33</v>
      </c>
      <c r="H121" s="16"/>
      <c r="I121" s="57"/>
      <c r="J121"/>
      <c r="L121" s="15">
        <v>376938917717</v>
      </c>
      <c r="M121" s="15">
        <v>7004209776</v>
      </c>
      <c r="N121" s="15"/>
      <c r="O121" s="4" t="s">
        <v>16</v>
      </c>
      <c r="Q121" s="4">
        <v>5000</v>
      </c>
    </row>
    <row r="122" spans="1:17" x14ac:dyDescent="0.3">
      <c r="D122" s="11">
        <v>989</v>
      </c>
      <c r="G122" s="16" t="s">
        <v>145</v>
      </c>
      <c r="H122" s="16"/>
      <c r="I122" s="57"/>
      <c r="J122"/>
      <c r="L122" s="15">
        <v>629430596123</v>
      </c>
      <c r="M122" s="15">
        <v>7050312952</v>
      </c>
      <c r="N122" s="15"/>
    </row>
    <row r="123" spans="1:17" x14ac:dyDescent="0.3">
      <c r="D123" s="11">
        <v>995</v>
      </c>
      <c r="G123" s="16" t="s">
        <v>146</v>
      </c>
      <c r="H123" s="16"/>
      <c r="I123" s="57"/>
      <c r="J123"/>
      <c r="L123" s="15">
        <v>318133820961</v>
      </c>
      <c r="M123" s="15">
        <v>9204112528</v>
      </c>
      <c r="N123" s="15"/>
    </row>
    <row r="124" spans="1:17" x14ac:dyDescent="0.3">
      <c r="D124" s="11">
        <v>1005</v>
      </c>
      <c r="G124" s="16" t="s">
        <v>147</v>
      </c>
      <c r="H124" s="16"/>
      <c r="I124" s="57"/>
      <c r="J124"/>
      <c r="L124" s="15">
        <v>353896785197</v>
      </c>
      <c r="M124" s="15">
        <v>9031213781</v>
      </c>
      <c r="N124" s="15"/>
    </row>
    <row r="125" spans="1:17" x14ac:dyDescent="0.3">
      <c r="D125" s="11">
        <v>1013</v>
      </c>
      <c r="G125" s="16" t="s">
        <v>148</v>
      </c>
      <c r="H125" s="16"/>
      <c r="I125" s="57"/>
      <c r="J125"/>
      <c r="L125" s="15">
        <v>309584736918</v>
      </c>
      <c r="M125" s="15">
        <v>8252012323</v>
      </c>
      <c r="N125" s="15"/>
    </row>
    <row r="126" spans="1:17" x14ac:dyDescent="0.3">
      <c r="D126" s="11">
        <v>1014</v>
      </c>
      <c r="G126" s="16" t="s">
        <v>149</v>
      </c>
      <c r="H126" s="16"/>
      <c r="I126" s="57"/>
      <c r="J126"/>
      <c r="L126" s="15">
        <v>511328396516</v>
      </c>
      <c r="M126" s="15">
        <v>7903121089</v>
      </c>
      <c r="N126" s="15"/>
    </row>
    <row r="127" spans="1:17" x14ac:dyDescent="0.3">
      <c r="D127" s="11">
        <v>1019</v>
      </c>
      <c r="G127" s="16" t="s">
        <v>150</v>
      </c>
      <c r="H127" s="16"/>
      <c r="I127" s="57"/>
      <c r="J127"/>
      <c r="L127" s="15">
        <v>944633431261</v>
      </c>
      <c r="M127" s="15">
        <v>9693731966</v>
      </c>
      <c r="N127" s="15"/>
    </row>
    <row r="128" spans="1:17" x14ac:dyDescent="0.3">
      <c r="D128" s="11">
        <v>1020</v>
      </c>
      <c r="G128" s="16" t="s">
        <v>151</v>
      </c>
      <c r="H128" s="16"/>
      <c r="I128" s="57"/>
      <c r="J128"/>
      <c r="L128" s="15">
        <v>269052253006</v>
      </c>
      <c r="M128" s="15">
        <v>9110947409</v>
      </c>
      <c r="N128" s="15"/>
    </row>
    <row r="129" spans="4:14" x14ac:dyDescent="0.3">
      <c r="D129" s="11">
        <v>1033</v>
      </c>
      <c r="G129" s="16" t="s">
        <v>152</v>
      </c>
      <c r="H129" s="16"/>
      <c r="I129" s="57"/>
      <c r="J129"/>
      <c r="L129" s="15">
        <v>793170096827</v>
      </c>
      <c r="M129" s="15">
        <v>7488419015</v>
      </c>
      <c r="N129" s="15"/>
    </row>
    <row r="130" spans="4:14" x14ac:dyDescent="0.3">
      <c r="D130" s="11">
        <v>1034</v>
      </c>
      <c r="G130" s="16" t="s">
        <v>153</v>
      </c>
      <c r="H130" s="16"/>
      <c r="I130" s="57"/>
      <c r="J130"/>
      <c r="L130" s="15"/>
      <c r="M130" s="15"/>
      <c r="N130" s="15"/>
    </row>
    <row r="131" spans="4:14" x14ac:dyDescent="0.3">
      <c r="D131" s="11">
        <v>1038</v>
      </c>
      <c r="G131" s="16" t="s">
        <v>155</v>
      </c>
      <c r="H131" s="16"/>
      <c r="I131" s="57"/>
      <c r="J131"/>
      <c r="L131" s="15">
        <v>546841229657</v>
      </c>
      <c r="M131" s="15"/>
      <c r="N131" s="15"/>
    </row>
    <row r="132" spans="4:14" x14ac:dyDescent="0.3">
      <c r="D132" s="11">
        <v>1039</v>
      </c>
      <c r="G132" s="16" t="s">
        <v>154</v>
      </c>
      <c r="H132" s="16"/>
      <c r="I132" s="57"/>
      <c r="J132"/>
      <c r="L132" s="15"/>
      <c r="M132" s="15"/>
      <c r="N132" s="15"/>
    </row>
    <row r="133" spans="4:14" x14ac:dyDescent="0.3">
      <c r="D133" s="11">
        <v>1054</v>
      </c>
      <c r="G133" s="16" t="s">
        <v>156</v>
      </c>
      <c r="H133" s="16"/>
      <c r="I133" s="57"/>
      <c r="J133"/>
      <c r="L133" s="15">
        <v>491633775866</v>
      </c>
      <c r="M133" s="15">
        <v>9431526395</v>
      </c>
      <c r="N133" s="15"/>
    </row>
    <row r="134" spans="4:14" x14ac:dyDescent="0.3">
      <c r="D134" s="11">
        <v>1057</v>
      </c>
      <c r="G134" s="16" t="s">
        <v>34</v>
      </c>
      <c r="H134" s="16"/>
      <c r="I134" s="57"/>
      <c r="J134"/>
      <c r="L134" s="15"/>
      <c r="M134" s="15">
        <v>7209980122</v>
      </c>
      <c r="N134" s="15"/>
    </row>
    <row r="135" spans="4:14" x14ac:dyDescent="0.3">
      <c r="D135" s="11">
        <v>1058</v>
      </c>
      <c r="G135" s="16" t="s">
        <v>35</v>
      </c>
      <c r="H135" s="16"/>
      <c r="I135" s="57"/>
      <c r="J135"/>
      <c r="L135" s="15">
        <v>795702194157</v>
      </c>
      <c r="M135" s="15">
        <v>7488940536</v>
      </c>
      <c r="N135" s="15"/>
    </row>
    <row r="136" spans="4:14" x14ac:dyDescent="0.3">
      <c r="D136" s="11">
        <v>1059</v>
      </c>
      <c r="G136" s="16" t="s">
        <v>157</v>
      </c>
      <c r="H136" s="16"/>
      <c r="I136" s="57"/>
      <c r="J136"/>
      <c r="L136" s="15">
        <v>647642564623</v>
      </c>
      <c r="M136" s="15">
        <v>7759038609</v>
      </c>
      <c r="N136" s="15"/>
    </row>
    <row r="137" spans="4:14" x14ac:dyDescent="0.3">
      <c r="D137" s="11">
        <v>1063</v>
      </c>
      <c r="G137" s="16" t="s">
        <v>158</v>
      </c>
      <c r="H137" s="16"/>
      <c r="I137" s="57"/>
      <c r="J137"/>
      <c r="L137" s="15">
        <v>480026548548</v>
      </c>
      <c r="M137" s="15">
        <v>9523472991</v>
      </c>
      <c r="N137" s="15"/>
    </row>
    <row r="138" spans="4:14" x14ac:dyDescent="0.3">
      <c r="D138" s="11">
        <v>1067</v>
      </c>
      <c r="G138" s="16" t="s">
        <v>159</v>
      </c>
      <c r="H138" s="16"/>
      <c r="I138" s="57"/>
      <c r="J138"/>
      <c r="L138" s="15">
        <v>788463148624</v>
      </c>
      <c r="M138" s="15">
        <v>8271824846</v>
      </c>
      <c r="N138" s="15"/>
    </row>
    <row r="139" spans="4:14" x14ac:dyDescent="0.3">
      <c r="D139" s="11">
        <v>1068</v>
      </c>
      <c r="G139" s="16" t="s">
        <v>160</v>
      </c>
      <c r="H139" s="16"/>
      <c r="I139" s="57"/>
      <c r="J139"/>
      <c r="L139" s="15">
        <v>393337722379</v>
      </c>
      <c r="M139" s="15"/>
      <c r="N139" s="15"/>
    </row>
    <row r="140" spans="4:14" x14ac:dyDescent="0.3">
      <c r="D140" s="11">
        <v>1076</v>
      </c>
      <c r="G140" s="16" t="s">
        <v>161</v>
      </c>
      <c r="H140" s="16"/>
      <c r="I140" s="57"/>
      <c r="J140"/>
      <c r="L140" s="15">
        <v>541052357471</v>
      </c>
      <c r="M140" s="15"/>
      <c r="N140" s="15"/>
    </row>
    <row r="141" spans="4:14" x14ac:dyDescent="0.3">
      <c r="D141" s="11">
        <v>1077</v>
      </c>
      <c r="G141" s="16" t="s">
        <v>162</v>
      </c>
      <c r="H141" s="16"/>
      <c r="I141" s="57"/>
      <c r="J141"/>
      <c r="L141" s="15"/>
      <c r="M141" s="15"/>
      <c r="N141" s="15"/>
    </row>
    <row r="142" spans="4:14" x14ac:dyDescent="0.3">
      <c r="D142" s="11">
        <v>1099</v>
      </c>
      <c r="G142" s="16" t="s">
        <v>163</v>
      </c>
      <c r="H142" s="16"/>
      <c r="I142" s="57"/>
      <c r="J142"/>
      <c r="L142" s="15">
        <v>610078120884</v>
      </c>
      <c r="M142" s="15"/>
      <c r="N142" s="15"/>
    </row>
    <row r="143" spans="4:14" x14ac:dyDescent="0.3">
      <c r="D143" s="11">
        <v>1101</v>
      </c>
      <c r="G143" s="16" t="s">
        <v>164</v>
      </c>
      <c r="H143" s="16"/>
      <c r="I143" s="57"/>
      <c r="J143"/>
      <c r="L143" s="15">
        <v>576031597596</v>
      </c>
      <c r="M143" s="15">
        <v>620765592</v>
      </c>
      <c r="N143" s="15"/>
    </row>
    <row r="144" spans="4:14" x14ac:dyDescent="0.3">
      <c r="D144" s="11">
        <v>1102</v>
      </c>
      <c r="G144" s="16" t="s">
        <v>165</v>
      </c>
      <c r="H144" s="16"/>
      <c r="I144" s="57"/>
      <c r="J144"/>
      <c r="L144" s="15"/>
      <c r="M144" s="15"/>
      <c r="N144" s="15"/>
    </row>
    <row r="145" spans="1:18" x14ac:dyDescent="0.3">
      <c r="D145" s="11">
        <v>1103</v>
      </c>
      <c r="G145" s="16" t="s">
        <v>166</v>
      </c>
      <c r="H145" s="16"/>
      <c r="I145" s="57"/>
      <c r="J145"/>
      <c r="L145" s="15"/>
      <c r="M145" s="15"/>
      <c r="N145" s="15"/>
    </row>
    <row r="146" spans="1:18" x14ac:dyDescent="0.3">
      <c r="D146" s="11">
        <v>1107</v>
      </c>
      <c r="G146" s="16" t="s">
        <v>22</v>
      </c>
      <c r="H146" s="16"/>
      <c r="I146" s="57"/>
      <c r="J146"/>
      <c r="L146" s="15">
        <v>663581583740</v>
      </c>
      <c r="M146" s="15">
        <v>7488535413</v>
      </c>
      <c r="N146" s="15"/>
      <c r="O146" s="4" t="s">
        <v>14</v>
      </c>
      <c r="P146" s="4" t="s">
        <v>16</v>
      </c>
      <c r="Q146" s="4" t="s">
        <v>16</v>
      </c>
      <c r="R146" s="4" t="s">
        <v>16</v>
      </c>
    </row>
    <row r="147" spans="1:18" x14ac:dyDescent="0.3">
      <c r="D147" s="11">
        <v>1111</v>
      </c>
      <c r="G147" s="16" t="s">
        <v>167</v>
      </c>
      <c r="H147" s="16"/>
      <c r="I147" s="57"/>
      <c r="J147"/>
      <c r="L147" s="15">
        <v>934050004580</v>
      </c>
      <c r="M147" s="15">
        <v>6203034658</v>
      </c>
      <c r="N147" s="15"/>
      <c r="O147" s="4" t="s">
        <v>16</v>
      </c>
      <c r="P147" s="4" t="s">
        <v>16</v>
      </c>
    </row>
    <row r="148" spans="1:18" x14ac:dyDescent="0.3">
      <c r="D148" s="11">
        <v>1113</v>
      </c>
      <c r="G148" s="16" t="s">
        <v>168</v>
      </c>
      <c r="H148" s="16"/>
      <c r="I148" s="57"/>
      <c r="J148"/>
      <c r="L148" s="15">
        <v>711843671795</v>
      </c>
      <c r="M148" s="15">
        <v>9572457158</v>
      </c>
      <c r="N148" s="15"/>
      <c r="O148" s="4" t="s">
        <v>16</v>
      </c>
      <c r="Q148" s="4" t="s">
        <v>16</v>
      </c>
    </row>
    <row r="149" spans="1:18" x14ac:dyDescent="0.3">
      <c r="C149" s="3">
        <v>43874</v>
      </c>
      <c r="D149" s="11">
        <v>1114</v>
      </c>
      <c r="G149" s="16" t="s">
        <v>169</v>
      </c>
      <c r="H149" s="16"/>
      <c r="I149" s="57"/>
      <c r="J149"/>
      <c r="L149" s="15">
        <v>757178615421</v>
      </c>
      <c r="M149" s="15">
        <v>8102490894</v>
      </c>
      <c r="N149" s="15"/>
      <c r="O149" s="4" t="s">
        <v>16</v>
      </c>
      <c r="P149" s="4" t="s">
        <v>16</v>
      </c>
    </row>
    <row r="150" spans="1:18" x14ac:dyDescent="0.3">
      <c r="D150" s="11">
        <v>1115</v>
      </c>
      <c r="G150" s="16" t="s">
        <v>170</v>
      </c>
      <c r="H150" s="16"/>
      <c r="I150" s="57"/>
      <c r="J150"/>
      <c r="L150" s="15">
        <v>812875985901</v>
      </c>
      <c r="M150" s="15">
        <v>9835552756</v>
      </c>
      <c r="N150" s="15"/>
      <c r="O150" s="4" t="s">
        <v>16</v>
      </c>
      <c r="P150" s="4" t="s">
        <v>16</v>
      </c>
      <c r="R150" s="4" t="s">
        <v>16</v>
      </c>
    </row>
    <row r="151" spans="1:18" x14ac:dyDescent="0.3">
      <c r="D151" s="11">
        <v>1117</v>
      </c>
      <c r="G151" s="16" t="s">
        <v>171</v>
      </c>
      <c r="H151" s="16"/>
      <c r="I151" s="57"/>
      <c r="J151"/>
      <c r="L151" s="15">
        <v>464476925403</v>
      </c>
      <c r="M151" s="15">
        <v>9771542664</v>
      </c>
      <c r="N151" s="15"/>
      <c r="O151" s="4" t="s">
        <v>16</v>
      </c>
      <c r="P151" s="4" t="s">
        <v>16</v>
      </c>
    </row>
    <row r="152" spans="1:18" x14ac:dyDescent="0.3">
      <c r="D152" s="11">
        <v>1123</v>
      </c>
      <c r="G152" s="16" t="s">
        <v>172</v>
      </c>
      <c r="H152" s="16"/>
      <c r="I152" s="57"/>
      <c r="J152"/>
      <c r="L152" s="15">
        <v>943536387920</v>
      </c>
      <c r="M152" s="15">
        <v>6202900720</v>
      </c>
      <c r="N152" s="15"/>
      <c r="O152" s="4" t="s">
        <v>16</v>
      </c>
      <c r="P152" s="4" t="s">
        <v>16</v>
      </c>
    </row>
    <row r="153" spans="1:18" x14ac:dyDescent="0.3">
      <c r="D153" s="11">
        <v>1125</v>
      </c>
      <c r="G153" s="16" t="s">
        <v>173</v>
      </c>
      <c r="H153" s="16"/>
      <c r="I153" s="57"/>
      <c r="J153"/>
      <c r="L153" s="15">
        <v>320812956884</v>
      </c>
      <c r="M153" s="15"/>
      <c r="N153" s="15"/>
    </row>
    <row r="154" spans="1:18" x14ac:dyDescent="0.3">
      <c r="D154" s="11">
        <v>1126</v>
      </c>
      <c r="G154" s="16" t="s">
        <v>174</v>
      </c>
      <c r="H154" s="16"/>
      <c r="I154" s="57"/>
      <c r="J154"/>
      <c r="L154" s="15">
        <v>396877752527</v>
      </c>
      <c r="M154" s="15">
        <v>6201319163</v>
      </c>
      <c r="N154" s="15"/>
      <c r="O154" s="4" t="s">
        <v>16</v>
      </c>
      <c r="P154" s="4" t="s">
        <v>16</v>
      </c>
    </row>
    <row r="155" spans="1:18" x14ac:dyDescent="0.3">
      <c r="D155" s="11">
        <v>1127</v>
      </c>
      <c r="G155" s="16" t="s">
        <v>175</v>
      </c>
      <c r="H155" s="16"/>
      <c r="I155" s="57"/>
      <c r="J155"/>
      <c r="L155" s="15">
        <v>535564176759</v>
      </c>
      <c r="M155" s="15">
        <v>8434705239</v>
      </c>
      <c r="N155" s="15"/>
    </row>
    <row r="156" spans="1:18" x14ac:dyDescent="0.3">
      <c r="D156" s="11">
        <v>1129</v>
      </c>
      <c r="G156" s="16" t="s">
        <v>176</v>
      </c>
      <c r="H156" s="16"/>
      <c r="I156" s="57"/>
      <c r="J156"/>
      <c r="L156" s="15">
        <v>973657681266</v>
      </c>
      <c r="M156" s="15">
        <v>7250604462</v>
      </c>
      <c r="N156" s="15"/>
    </row>
    <row r="157" spans="1:18" x14ac:dyDescent="0.3">
      <c r="D157" s="11">
        <v>1130</v>
      </c>
      <c r="G157" s="16" t="s">
        <v>177</v>
      </c>
      <c r="H157" s="16"/>
      <c r="I157" s="57"/>
      <c r="J157"/>
      <c r="L157" s="15">
        <v>414982908001</v>
      </c>
      <c r="M157" s="15">
        <v>7352929995</v>
      </c>
      <c r="N157" s="15"/>
      <c r="O157" s="4" t="s">
        <v>16</v>
      </c>
    </row>
    <row r="158" spans="1:18" x14ac:dyDescent="0.3">
      <c r="D158" s="11">
        <v>1131</v>
      </c>
      <c r="G158" s="16" t="s">
        <v>178</v>
      </c>
      <c r="H158" s="16"/>
      <c r="I158" s="57"/>
      <c r="J158"/>
      <c r="L158" s="15">
        <v>401583538171</v>
      </c>
      <c r="M158" s="15">
        <v>7209786317</v>
      </c>
      <c r="N158" s="15"/>
      <c r="O158" s="4" t="s">
        <v>16</v>
      </c>
    </row>
    <row r="159" spans="1:18" x14ac:dyDescent="0.3">
      <c r="A159" t="s">
        <v>7052</v>
      </c>
      <c r="C159" s="3">
        <v>43892</v>
      </c>
      <c r="D159" s="11">
        <v>1134</v>
      </c>
      <c r="G159" s="16" t="s">
        <v>179</v>
      </c>
      <c r="H159" s="16"/>
      <c r="I159" s="57"/>
      <c r="J159" t="s">
        <v>6808</v>
      </c>
      <c r="K159" s="4">
        <v>200</v>
      </c>
      <c r="L159" s="15">
        <v>808372739693</v>
      </c>
      <c r="M159" s="15">
        <v>8084040650</v>
      </c>
      <c r="N159" s="15"/>
      <c r="R159" s="4" t="s">
        <v>16</v>
      </c>
    </row>
    <row r="160" spans="1:18" x14ac:dyDescent="0.3">
      <c r="D160" s="11">
        <v>1135</v>
      </c>
      <c r="G160" s="16" t="s">
        <v>180</v>
      </c>
      <c r="H160" s="16"/>
      <c r="I160" s="57"/>
      <c r="J160"/>
      <c r="L160" s="15"/>
      <c r="M160" s="15">
        <v>8102147187</v>
      </c>
      <c r="N160" s="15"/>
    </row>
    <row r="161" spans="3:15" x14ac:dyDescent="0.3">
      <c r="D161" s="11">
        <v>1144</v>
      </c>
      <c r="G161" s="16" t="s">
        <v>181</v>
      </c>
      <c r="H161" s="16"/>
      <c r="I161" s="57"/>
      <c r="J161"/>
      <c r="L161" s="15"/>
      <c r="M161" s="15"/>
      <c r="N161" s="15"/>
    </row>
    <row r="162" spans="3:15" x14ac:dyDescent="0.3">
      <c r="D162" s="11">
        <v>1145</v>
      </c>
      <c r="G162" s="16" t="s">
        <v>182</v>
      </c>
      <c r="H162" s="16"/>
      <c r="I162" s="57"/>
      <c r="J162"/>
      <c r="L162" s="15"/>
      <c r="M162" s="15"/>
      <c r="N162" s="15"/>
    </row>
    <row r="163" spans="3:15" x14ac:dyDescent="0.3">
      <c r="D163" s="11">
        <v>1147</v>
      </c>
      <c r="G163" s="16" t="s">
        <v>183</v>
      </c>
      <c r="H163" s="16"/>
      <c r="I163" s="57"/>
      <c r="J163"/>
      <c r="L163" s="15">
        <v>992066667458</v>
      </c>
      <c r="M163" s="15">
        <v>7762938839</v>
      </c>
      <c r="N163" s="15"/>
    </row>
    <row r="164" spans="3:15" x14ac:dyDescent="0.3">
      <c r="C164" s="3">
        <v>43911</v>
      </c>
      <c r="D164" s="11">
        <v>1152</v>
      </c>
      <c r="G164" s="16" t="s">
        <v>184</v>
      </c>
      <c r="H164" s="16"/>
      <c r="I164" s="57"/>
      <c r="J164"/>
      <c r="L164" s="15"/>
      <c r="M164" s="15"/>
      <c r="N164" s="15"/>
    </row>
    <row r="165" spans="3:15" x14ac:dyDescent="0.3">
      <c r="C165" s="3">
        <v>43925</v>
      </c>
      <c r="D165" s="11">
        <v>1157</v>
      </c>
      <c r="G165" s="16" t="s">
        <v>185</v>
      </c>
      <c r="H165" s="16"/>
      <c r="I165" s="57"/>
      <c r="J165"/>
      <c r="L165" s="15">
        <v>595356099923</v>
      </c>
      <c r="M165" s="15">
        <v>9709262158</v>
      </c>
      <c r="N165" s="15"/>
    </row>
    <row r="166" spans="3:15" x14ac:dyDescent="0.3">
      <c r="C166" s="3">
        <v>43927</v>
      </c>
      <c r="D166" s="11">
        <v>1159</v>
      </c>
      <c r="G166" s="16" t="s">
        <v>186</v>
      </c>
      <c r="H166" s="16"/>
      <c r="I166" s="57"/>
      <c r="J166"/>
      <c r="L166" s="15">
        <v>431983361524</v>
      </c>
      <c r="M166" s="15">
        <v>8706699036</v>
      </c>
      <c r="N166" s="15"/>
    </row>
    <row r="167" spans="3:15" x14ac:dyDescent="0.3">
      <c r="C167" s="3">
        <v>43928</v>
      </c>
      <c r="D167" s="11">
        <v>1164</v>
      </c>
      <c r="G167" s="16" t="s">
        <v>187</v>
      </c>
      <c r="H167" s="16"/>
      <c r="I167" s="57"/>
      <c r="J167"/>
      <c r="L167" s="15">
        <v>680587092605</v>
      </c>
      <c r="M167" s="15">
        <v>7209962169</v>
      </c>
      <c r="N167" s="15"/>
      <c r="O167" s="4" t="s">
        <v>16</v>
      </c>
    </row>
    <row r="168" spans="3:15" x14ac:dyDescent="0.3">
      <c r="C168" s="3">
        <v>43930</v>
      </c>
      <c r="D168" s="11">
        <v>1166</v>
      </c>
      <c r="G168" s="16" t="s">
        <v>188</v>
      </c>
      <c r="H168" s="16"/>
      <c r="I168" s="57"/>
      <c r="J168"/>
      <c r="L168" s="15">
        <v>375748530937</v>
      </c>
      <c r="M168" s="15"/>
      <c r="N168" s="15"/>
    </row>
    <row r="169" spans="3:15" x14ac:dyDescent="0.3">
      <c r="C169" s="3">
        <v>43930</v>
      </c>
      <c r="D169" s="11">
        <v>1167</v>
      </c>
      <c r="G169" s="16" t="s">
        <v>189</v>
      </c>
      <c r="H169" s="16"/>
      <c r="I169" s="57"/>
      <c r="J169"/>
      <c r="L169" s="15">
        <v>952228841392</v>
      </c>
      <c r="M169" s="15">
        <v>8092307233</v>
      </c>
      <c r="N169" s="15"/>
    </row>
    <row r="170" spans="3:15" x14ac:dyDescent="0.3">
      <c r="C170" s="3">
        <v>43930</v>
      </c>
      <c r="D170" s="11">
        <v>1168</v>
      </c>
      <c r="G170" s="16" t="s">
        <v>190</v>
      </c>
      <c r="H170" s="16"/>
      <c r="I170" s="57"/>
      <c r="J170"/>
      <c r="L170" s="15">
        <v>491788372949</v>
      </c>
      <c r="M170" s="15">
        <v>9234559793</v>
      </c>
      <c r="N170" s="15"/>
    </row>
    <row r="171" spans="3:15" x14ac:dyDescent="0.3">
      <c r="C171" s="3">
        <v>43930</v>
      </c>
      <c r="D171" s="11">
        <v>1169</v>
      </c>
      <c r="G171" s="16" t="s">
        <v>108</v>
      </c>
      <c r="H171" s="16"/>
      <c r="I171" s="57"/>
      <c r="J171"/>
      <c r="L171" s="15">
        <v>852566709035</v>
      </c>
      <c r="M171" s="15">
        <v>7209978924</v>
      </c>
      <c r="N171" s="15"/>
    </row>
    <row r="172" spans="3:15" x14ac:dyDescent="0.3">
      <c r="C172" s="3">
        <v>43931</v>
      </c>
      <c r="D172" s="11">
        <v>1179</v>
      </c>
      <c r="G172" s="16" t="s">
        <v>191</v>
      </c>
      <c r="H172" s="16"/>
      <c r="I172" s="57"/>
      <c r="J172"/>
      <c r="L172" s="15">
        <v>515721573707</v>
      </c>
      <c r="M172" s="15"/>
      <c r="N172" s="15"/>
    </row>
    <row r="173" spans="3:15" x14ac:dyDescent="0.3">
      <c r="C173" s="3">
        <v>43931</v>
      </c>
      <c r="D173" s="11">
        <v>1181</v>
      </c>
      <c r="G173" s="16" t="s">
        <v>192</v>
      </c>
      <c r="H173" s="16"/>
      <c r="I173" s="57"/>
      <c r="J173"/>
      <c r="L173" s="15"/>
      <c r="M173" s="15"/>
      <c r="N173" s="15"/>
    </row>
    <row r="174" spans="3:15" x14ac:dyDescent="0.3">
      <c r="C174" s="3">
        <v>43931</v>
      </c>
      <c r="D174" s="11">
        <v>1182</v>
      </c>
      <c r="G174" s="16" t="s">
        <v>193</v>
      </c>
      <c r="H174" s="16"/>
      <c r="I174" s="57"/>
      <c r="J174"/>
      <c r="L174" s="15"/>
      <c r="M174" s="15"/>
      <c r="N174" s="15"/>
    </row>
    <row r="175" spans="3:15" x14ac:dyDescent="0.3">
      <c r="C175" s="3">
        <v>43931</v>
      </c>
      <c r="D175" s="11">
        <v>1183</v>
      </c>
      <c r="G175" s="16" t="s">
        <v>194</v>
      </c>
      <c r="H175" s="16"/>
      <c r="I175" s="57"/>
      <c r="J175"/>
      <c r="L175" s="15"/>
      <c r="M175" s="15">
        <v>9113454571</v>
      </c>
      <c r="N175" s="15"/>
    </row>
    <row r="176" spans="3:15" x14ac:dyDescent="0.3">
      <c r="C176" s="3">
        <v>43931</v>
      </c>
      <c r="D176" s="11">
        <v>1184</v>
      </c>
      <c r="G176" s="16" t="s">
        <v>195</v>
      </c>
      <c r="H176" s="16"/>
      <c r="I176" s="57"/>
      <c r="J176"/>
      <c r="L176" s="15"/>
      <c r="M176" s="15">
        <v>8092339286</v>
      </c>
      <c r="N176" s="15"/>
    </row>
    <row r="177" spans="3:16" x14ac:dyDescent="0.3">
      <c r="C177" s="3">
        <v>43931</v>
      </c>
      <c r="D177" s="11">
        <v>1185</v>
      </c>
      <c r="G177" s="16" t="s">
        <v>196</v>
      </c>
      <c r="H177" s="16"/>
      <c r="I177" s="57"/>
      <c r="J177"/>
      <c r="L177" s="15"/>
      <c r="M177" s="15"/>
      <c r="N177" s="15"/>
    </row>
    <row r="178" spans="3:16" x14ac:dyDescent="0.3">
      <c r="C178" s="3">
        <v>43935</v>
      </c>
      <c r="D178" s="11">
        <v>1212</v>
      </c>
      <c r="G178" s="16" t="s">
        <v>197</v>
      </c>
      <c r="H178" s="16"/>
      <c r="I178" s="57"/>
      <c r="J178"/>
      <c r="L178" s="15">
        <v>216516591968</v>
      </c>
      <c r="M178" s="15"/>
      <c r="N178" s="15"/>
    </row>
    <row r="179" spans="3:16" x14ac:dyDescent="0.3">
      <c r="C179" s="3">
        <v>43935</v>
      </c>
      <c r="D179" s="11">
        <v>1226</v>
      </c>
      <c r="G179" s="16" t="s">
        <v>198</v>
      </c>
      <c r="H179" s="16"/>
      <c r="I179" s="57"/>
      <c r="J179"/>
      <c r="L179" s="15">
        <v>572815144076</v>
      </c>
      <c r="M179" s="15">
        <v>8084708709</v>
      </c>
      <c r="N179" s="15"/>
    </row>
    <row r="180" spans="3:16" x14ac:dyDescent="0.3">
      <c r="C180" s="3">
        <v>43935</v>
      </c>
      <c r="D180" s="11">
        <v>1228</v>
      </c>
      <c r="G180" s="16" t="s">
        <v>199</v>
      </c>
      <c r="H180" s="16"/>
      <c r="I180" s="57"/>
      <c r="J180"/>
      <c r="L180" s="15">
        <v>788540471635</v>
      </c>
      <c r="M180" s="15">
        <v>6202524668</v>
      </c>
      <c r="N180" s="15"/>
    </row>
    <row r="181" spans="3:16" x14ac:dyDescent="0.3">
      <c r="C181" s="3">
        <v>43935</v>
      </c>
      <c r="D181" s="11">
        <v>1229</v>
      </c>
      <c r="G181" s="16" t="s">
        <v>200</v>
      </c>
      <c r="H181" s="16"/>
      <c r="I181" s="57"/>
      <c r="J181"/>
      <c r="L181" s="15">
        <v>539852797176</v>
      </c>
      <c r="M181" s="15">
        <v>8340588639</v>
      </c>
      <c r="N181" s="15"/>
    </row>
    <row r="182" spans="3:16" x14ac:dyDescent="0.3">
      <c r="C182" s="3">
        <v>43936</v>
      </c>
      <c r="D182" s="11">
        <v>1232</v>
      </c>
      <c r="G182" s="16" t="s">
        <v>201</v>
      </c>
      <c r="H182" s="16"/>
      <c r="I182" s="57"/>
      <c r="J182"/>
      <c r="L182" s="15">
        <v>299260397632</v>
      </c>
      <c r="M182" s="15">
        <v>7319733055</v>
      </c>
      <c r="N182" s="15"/>
    </row>
    <row r="183" spans="3:16" x14ac:dyDescent="0.3">
      <c r="C183" s="3">
        <v>43936</v>
      </c>
      <c r="D183" s="11">
        <v>1234</v>
      </c>
      <c r="G183" s="16" t="s">
        <v>202</v>
      </c>
      <c r="H183" s="16"/>
      <c r="I183" s="57"/>
      <c r="J183"/>
      <c r="L183" s="15">
        <v>300999874888</v>
      </c>
      <c r="M183" s="15">
        <v>7857020224</v>
      </c>
      <c r="N183" s="15"/>
    </row>
    <row r="184" spans="3:16" x14ac:dyDescent="0.3">
      <c r="C184" s="3">
        <v>43936</v>
      </c>
      <c r="D184" s="11">
        <v>1236</v>
      </c>
      <c r="G184" s="16" t="s">
        <v>203</v>
      </c>
      <c r="H184" s="16"/>
      <c r="I184" s="57"/>
      <c r="J184"/>
      <c r="L184" s="15">
        <v>749220225262</v>
      </c>
      <c r="M184" s="15">
        <v>7050490036</v>
      </c>
      <c r="N184" s="15"/>
      <c r="O184" s="3">
        <v>46200</v>
      </c>
      <c r="P184" s="3">
        <v>46200</v>
      </c>
    </row>
    <row r="185" spans="3:16" x14ac:dyDescent="0.3">
      <c r="C185" s="3">
        <v>43936</v>
      </c>
      <c r="D185" s="11">
        <v>1237</v>
      </c>
      <c r="G185" s="16" t="s">
        <v>204</v>
      </c>
      <c r="H185" s="16"/>
      <c r="I185" s="57"/>
      <c r="J185" t="s">
        <v>1169</v>
      </c>
      <c r="L185" s="15">
        <v>556035443700</v>
      </c>
      <c r="M185" s="15">
        <v>9304675025</v>
      </c>
      <c r="N185" s="15"/>
    </row>
    <row r="186" spans="3:16" x14ac:dyDescent="0.3">
      <c r="C186" s="3">
        <v>43936</v>
      </c>
      <c r="D186" s="11">
        <v>1238</v>
      </c>
      <c r="G186" s="16" t="s">
        <v>205</v>
      </c>
      <c r="H186" s="16"/>
      <c r="I186" s="57"/>
      <c r="J186"/>
      <c r="L186" s="15">
        <v>736608713269</v>
      </c>
      <c r="M186" s="15">
        <v>9708668937</v>
      </c>
      <c r="N186" s="15"/>
    </row>
    <row r="187" spans="3:16" x14ac:dyDescent="0.3">
      <c r="C187" s="3">
        <v>43936</v>
      </c>
      <c r="D187" s="11">
        <v>1239</v>
      </c>
      <c r="G187" s="16" t="s">
        <v>206</v>
      </c>
      <c r="H187" s="16"/>
      <c r="I187" s="57"/>
      <c r="J187"/>
      <c r="L187" s="15">
        <v>633194665913</v>
      </c>
      <c r="M187" s="15">
        <v>8521090352</v>
      </c>
      <c r="N187" s="15"/>
    </row>
    <row r="188" spans="3:16" x14ac:dyDescent="0.3">
      <c r="C188" s="3">
        <v>43936</v>
      </c>
      <c r="D188" s="11">
        <v>1240</v>
      </c>
      <c r="G188" s="16" t="s">
        <v>207</v>
      </c>
      <c r="H188" s="16"/>
      <c r="I188" s="57"/>
      <c r="J188"/>
      <c r="L188" s="15">
        <v>281399456837</v>
      </c>
      <c r="M188" s="15">
        <v>8340350871</v>
      </c>
      <c r="N188" s="15"/>
    </row>
    <row r="189" spans="3:16" x14ac:dyDescent="0.3">
      <c r="C189" s="3">
        <v>43936</v>
      </c>
      <c r="D189" s="11">
        <v>1241</v>
      </c>
      <c r="G189" s="16" t="s">
        <v>209</v>
      </c>
      <c r="H189" s="16"/>
      <c r="I189" s="57"/>
      <c r="J189"/>
      <c r="L189" s="15">
        <v>902961704976</v>
      </c>
      <c r="M189" s="15">
        <v>9852391147</v>
      </c>
      <c r="N189" s="15"/>
    </row>
    <row r="190" spans="3:16" x14ac:dyDescent="0.3">
      <c r="C190" s="3">
        <v>43936</v>
      </c>
      <c r="D190" s="11">
        <v>1242</v>
      </c>
      <c r="G190" s="16" t="s">
        <v>208</v>
      </c>
      <c r="H190" s="16"/>
      <c r="I190" s="57"/>
      <c r="J190"/>
      <c r="L190" s="15">
        <v>743471829053</v>
      </c>
      <c r="M190" s="15"/>
      <c r="N190" s="15"/>
    </row>
    <row r="191" spans="3:16" x14ac:dyDescent="0.3">
      <c r="C191" s="3">
        <v>43937</v>
      </c>
      <c r="D191" s="11">
        <v>1249</v>
      </c>
      <c r="G191" s="16" t="s">
        <v>210</v>
      </c>
      <c r="H191" s="16"/>
      <c r="I191" s="57"/>
      <c r="J191"/>
      <c r="L191" s="15">
        <v>820842479445</v>
      </c>
      <c r="M191" s="15">
        <v>8083558968</v>
      </c>
      <c r="N191" s="15"/>
    </row>
    <row r="192" spans="3:16" x14ac:dyDescent="0.3">
      <c r="C192" s="3">
        <v>43937</v>
      </c>
      <c r="D192" s="11">
        <v>1250</v>
      </c>
      <c r="G192" s="16" t="s">
        <v>211</v>
      </c>
      <c r="H192" s="16"/>
      <c r="I192" s="57"/>
      <c r="J192"/>
      <c r="L192" s="15">
        <v>699769052344</v>
      </c>
      <c r="M192" s="15"/>
      <c r="N192" s="15"/>
    </row>
    <row r="193" spans="3:18" x14ac:dyDescent="0.3">
      <c r="C193" s="3">
        <v>43937</v>
      </c>
      <c r="D193" s="11">
        <v>1251</v>
      </c>
      <c r="G193" s="16" t="s">
        <v>212</v>
      </c>
      <c r="H193" s="16"/>
      <c r="I193" s="57"/>
      <c r="J193"/>
      <c r="L193" s="15">
        <v>791802131358</v>
      </c>
      <c r="M193" s="15">
        <v>9570121244</v>
      </c>
      <c r="N193" s="15"/>
    </row>
    <row r="194" spans="3:18" x14ac:dyDescent="0.3">
      <c r="C194" s="3">
        <v>43937</v>
      </c>
      <c r="D194" s="11">
        <v>1254</v>
      </c>
      <c r="G194" s="16" t="s">
        <v>213</v>
      </c>
      <c r="H194" s="16"/>
      <c r="I194" s="57"/>
      <c r="J194"/>
      <c r="L194" s="15">
        <v>237946563885</v>
      </c>
      <c r="M194" s="15">
        <v>7488927596</v>
      </c>
      <c r="N194" s="15"/>
    </row>
    <row r="195" spans="3:18" x14ac:dyDescent="0.3">
      <c r="C195" s="3">
        <v>43937</v>
      </c>
      <c r="D195" s="11">
        <v>1256</v>
      </c>
      <c r="G195" s="16" t="s">
        <v>214</v>
      </c>
      <c r="H195" s="16"/>
      <c r="I195" s="57"/>
      <c r="J195"/>
      <c r="L195" s="15">
        <v>956984615158</v>
      </c>
      <c r="M195" s="15">
        <v>8797319767</v>
      </c>
      <c r="N195" s="15"/>
    </row>
    <row r="196" spans="3:18" x14ac:dyDescent="0.3">
      <c r="C196" s="3">
        <v>43937</v>
      </c>
      <c r="D196" s="11">
        <v>1258</v>
      </c>
      <c r="G196" s="16" t="s">
        <v>215</v>
      </c>
      <c r="H196" s="16"/>
      <c r="I196" s="57"/>
      <c r="J196"/>
      <c r="L196" s="15">
        <v>576031597596</v>
      </c>
      <c r="M196" s="15">
        <v>9279260095</v>
      </c>
      <c r="N196" s="15"/>
    </row>
    <row r="197" spans="3:18" x14ac:dyDescent="0.3">
      <c r="C197" s="3">
        <v>43937</v>
      </c>
      <c r="D197" s="11">
        <v>1261</v>
      </c>
      <c r="G197" s="16" t="s">
        <v>216</v>
      </c>
      <c r="H197" s="16"/>
      <c r="I197" s="57"/>
      <c r="J197"/>
      <c r="L197" s="15">
        <v>742077425965</v>
      </c>
      <c r="M197" s="15">
        <v>7379583291</v>
      </c>
      <c r="N197" s="15"/>
    </row>
    <row r="198" spans="3:18" x14ac:dyDescent="0.3">
      <c r="C198" s="3">
        <v>43937</v>
      </c>
      <c r="D198" s="11">
        <v>1263</v>
      </c>
      <c r="G198" s="16" t="s">
        <v>217</v>
      </c>
      <c r="H198" s="16"/>
      <c r="I198" s="57"/>
      <c r="J198"/>
      <c r="L198" s="15">
        <v>333864245589</v>
      </c>
      <c r="M198" s="15">
        <v>7004965335</v>
      </c>
      <c r="N198" s="15"/>
    </row>
    <row r="199" spans="3:18" x14ac:dyDescent="0.3">
      <c r="C199" s="3">
        <v>43938</v>
      </c>
      <c r="D199" s="11">
        <v>1272</v>
      </c>
      <c r="G199" s="16" t="s">
        <v>218</v>
      </c>
      <c r="H199" s="16"/>
      <c r="I199" s="57"/>
      <c r="J199"/>
      <c r="L199" s="15">
        <v>483590717308</v>
      </c>
      <c r="M199" s="15">
        <v>9204373219</v>
      </c>
      <c r="N199" s="15"/>
    </row>
    <row r="200" spans="3:18" x14ac:dyDescent="0.3">
      <c r="C200" s="3">
        <v>43938</v>
      </c>
      <c r="D200" s="11">
        <v>1275</v>
      </c>
      <c r="G200" s="16" t="s">
        <v>219</v>
      </c>
      <c r="H200" s="16"/>
      <c r="I200" s="57"/>
      <c r="J200"/>
      <c r="L200" s="15">
        <v>937075675698</v>
      </c>
      <c r="M200" s="15">
        <v>9934946357</v>
      </c>
      <c r="N200" s="15"/>
    </row>
    <row r="201" spans="3:18" x14ac:dyDescent="0.3">
      <c r="C201" s="3">
        <v>43938</v>
      </c>
      <c r="D201" s="11">
        <v>1276</v>
      </c>
      <c r="G201" s="16" t="s">
        <v>220</v>
      </c>
      <c r="H201" s="16"/>
      <c r="I201" s="57"/>
      <c r="J201"/>
      <c r="L201" s="15">
        <v>379563297786</v>
      </c>
      <c r="M201" s="15">
        <v>7206497570</v>
      </c>
      <c r="N201" s="15"/>
    </row>
    <row r="202" spans="3:18" x14ac:dyDescent="0.3">
      <c r="C202" s="3">
        <v>43938</v>
      </c>
      <c r="D202" s="11">
        <v>1279</v>
      </c>
      <c r="G202" s="16" t="s">
        <v>221</v>
      </c>
      <c r="H202" s="16"/>
      <c r="I202" s="57"/>
      <c r="J202"/>
      <c r="L202" s="15">
        <v>311206830033</v>
      </c>
      <c r="M202" s="15"/>
      <c r="N202" s="15"/>
    </row>
    <row r="203" spans="3:18" x14ac:dyDescent="0.3">
      <c r="C203" s="3">
        <v>43938</v>
      </c>
      <c r="D203" s="11">
        <v>1280</v>
      </c>
      <c r="G203" s="16" t="s">
        <v>222</v>
      </c>
      <c r="H203" s="16"/>
      <c r="I203" s="57"/>
      <c r="J203"/>
      <c r="L203" s="15">
        <v>665228644610</v>
      </c>
      <c r="M203" s="15">
        <v>8434700160</v>
      </c>
      <c r="N203" s="15"/>
    </row>
    <row r="204" spans="3:18" x14ac:dyDescent="0.3">
      <c r="C204" s="3">
        <v>43938</v>
      </c>
      <c r="D204" s="11">
        <v>1282</v>
      </c>
      <c r="G204" s="16" t="s">
        <v>223</v>
      </c>
      <c r="H204" s="16"/>
      <c r="I204" s="57"/>
      <c r="J204"/>
      <c r="L204" s="15">
        <v>572753591149</v>
      </c>
      <c r="M204" s="15">
        <v>8092402403</v>
      </c>
      <c r="N204" s="15"/>
    </row>
    <row r="205" spans="3:18" x14ac:dyDescent="0.3">
      <c r="C205" s="3">
        <v>43938</v>
      </c>
      <c r="D205" s="11">
        <v>1286</v>
      </c>
      <c r="G205" s="16" t="s">
        <v>224</v>
      </c>
      <c r="H205" s="16"/>
      <c r="I205" s="57"/>
      <c r="J205"/>
      <c r="L205" s="15">
        <v>401739609807</v>
      </c>
      <c r="M205" s="15">
        <v>7050195042</v>
      </c>
      <c r="N205" s="15"/>
    </row>
    <row r="206" spans="3:18" x14ac:dyDescent="0.3">
      <c r="C206" s="3">
        <v>43938</v>
      </c>
      <c r="D206" s="11">
        <v>1290</v>
      </c>
      <c r="G206" s="16" t="s">
        <v>225</v>
      </c>
      <c r="H206" s="16"/>
      <c r="I206" s="57"/>
      <c r="J206"/>
      <c r="L206" s="15">
        <v>439507827970</v>
      </c>
      <c r="M206" s="15">
        <v>9693949599</v>
      </c>
      <c r="N206" s="15"/>
      <c r="R206" s="4" t="s">
        <v>1551</v>
      </c>
    </row>
    <row r="207" spans="3:18" x14ac:dyDescent="0.3">
      <c r="C207" s="3">
        <v>43938</v>
      </c>
      <c r="D207" s="11">
        <v>1292</v>
      </c>
      <c r="G207" s="16" t="s">
        <v>226</v>
      </c>
      <c r="H207" s="16"/>
      <c r="I207" s="57"/>
      <c r="J207"/>
      <c r="L207" s="15">
        <v>643862303002</v>
      </c>
      <c r="M207" s="15">
        <v>8210431967</v>
      </c>
      <c r="N207" s="15"/>
    </row>
    <row r="208" spans="3:18" x14ac:dyDescent="0.3">
      <c r="C208" s="3">
        <v>43938</v>
      </c>
      <c r="D208" s="11">
        <v>1295</v>
      </c>
      <c r="G208" s="16" t="s">
        <v>227</v>
      </c>
      <c r="H208" s="16"/>
      <c r="I208" s="57"/>
      <c r="J208"/>
      <c r="L208" s="15">
        <v>698012813946</v>
      </c>
      <c r="M208" s="15">
        <v>8409954513</v>
      </c>
      <c r="N208" s="15"/>
    </row>
    <row r="209" spans="3:16" x14ac:dyDescent="0.3">
      <c r="C209" s="3">
        <v>43938</v>
      </c>
      <c r="D209" s="11">
        <v>1298</v>
      </c>
      <c r="G209" s="16" t="s">
        <v>228</v>
      </c>
      <c r="H209" s="16"/>
      <c r="I209" s="57"/>
      <c r="J209"/>
      <c r="L209" s="15">
        <v>665831406572</v>
      </c>
      <c r="M209" s="15"/>
      <c r="N209" s="15"/>
    </row>
    <row r="210" spans="3:16" x14ac:dyDescent="0.3">
      <c r="C210" s="3">
        <v>43939</v>
      </c>
      <c r="D210" s="11">
        <v>1306</v>
      </c>
      <c r="G210" s="16" t="s">
        <v>231</v>
      </c>
      <c r="H210" s="16"/>
      <c r="I210" s="57"/>
      <c r="J210"/>
      <c r="L210" s="15">
        <v>512061635538</v>
      </c>
      <c r="M210" s="15">
        <v>6202644238</v>
      </c>
      <c r="N210" s="15"/>
    </row>
    <row r="211" spans="3:16" x14ac:dyDescent="0.3">
      <c r="C211" s="3">
        <v>43939</v>
      </c>
      <c r="D211" s="11">
        <v>1307</v>
      </c>
      <c r="G211" s="16" t="s">
        <v>230</v>
      </c>
      <c r="H211" s="16"/>
      <c r="I211" s="57"/>
      <c r="J211"/>
      <c r="L211" s="15">
        <v>239849076610</v>
      </c>
      <c r="M211" s="15">
        <v>8861552600</v>
      </c>
      <c r="N211" s="15"/>
    </row>
    <row r="212" spans="3:16" x14ac:dyDescent="0.3">
      <c r="C212" s="3">
        <v>43939</v>
      </c>
      <c r="D212" s="11">
        <v>1309</v>
      </c>
      <c r="G212" s="16" t="s">
        <v>229</v>
      </c>
      <c r="H212" s="16"/>
      <c r="I212" s="57"/>
      <c r="J212"/>
      <c r="L212" s="15">
        <v>466847371272</v>
      </c>
      <c r="M212" s="15">
        <v>7739230189</v>
      </c>
      <c r="N212" s="15"/>
    </row>
    <row r="213" spans="3:16" x14ac:dyDescent="0.3">
      <c r="C213" s="3">
        <v>43939</v>
      </c>
      <c r="D213" s="11">
        <v>1311</v>
      </c>
      <c r="G213" s="16" t="s">
        <v>232</v>
      </c>
      <c r="H213" s="16"/>
      <c r="I213" s="57"/>
      <c r="J213"/>
      <c r="L213" s="15">
        <v>840695623541</v>
      </c>
      <c r="M213" s="15">
        <v>9905664678</v>
      </c>
      <c r="N213" s="15"/>
    </row>
    <row r="214" spans="3:16" x14ac:dyDescent="0.3">
      <c r="C214" s="3">
        <v>43939</v>
      </c>
      <c r="D214" s="11">
        <v>1312</v>
      </c>
      <c r="G214" s="16" t="s">
        <v>233</v>
      </c>
      <c r="H214" s="16"/>
      <c r="I214" s="57"/>
      <c r="J214"/>
      <c r="L214" s="15">
        <v>486381129702</v>
      </c>
      <c r="M214" s="15">
        <v>7209444763</v>
      </c>
      <c r="N214" s="15"/>
    </row>
    <row r="215" spans="3:16" x14ac:dyDescent="0.3">
      <c r="C215" s="3">
        <v>43939</v>
      </c>
      <c r="D215" s="11">
        <v>1313</v>
      </c>
      <c r="G215" s="16" t="s">
        <v>212</v>
      </c>
      <c r="H215" s="16"/>
      <c r="I215" s="57"/>
      <c r="J215"/>
      <c r="L215" s="15">
        <v>264851200423</v>
      </c>
      <c r="M215" s="15">
        <v>9162165527</v>
      </c>
      <c r="N215" s="15"/>
    </row>
    <row r="216" spans="3:16" x14ac:dyDescent="0.3">
      <c r="C216" s="3">
        <v>43939</v>
      </c>
      <c r="D216" s="11">
        <v>1315</v>
      </c>
      <c r="G216" s="16" t="s">
        <v>262</v>
      </c>
      <c r="H216" s="16"/>
      <c r="I216" s="57"/>
      <c r="J216"/>
      <c r="L216" s="15">
        <v>416427178761</v>
      </c>
      <c r="M216" s="15">
        <v>9334985926</v>
      </c>
      <c r="N216" s="15"/>
    </row>
    <row r="217" spans="3:16" x14ac:dyDescent="0.3">
      <c r="C217" s="3">
        <v>43939</v>
      </c>
      <c r="D217" s="11">
        <v>1317</v>
      </c>
      <c r="G217" s="16" t="s">
        <v>234</v>
      </c>
      <c r="H217" s="16"/>
      <c r="I217" s="57"/>
      <c r="J217"/>
      <c r="L217" s="15">
        <v>334941829238</v>
      </c>
      <c r="M217" s="15">
        <v>7488497053</v>
      </c>
      <c r="N217" s="15"/>
    </row>
    <row r="218" spans="3:16" x14ac:dyDescent="0.3">
      <c r="C218" s="3">
        <v>43939</v>
      </c>
      <c r="D218" s="11">
        <v>1319</v>
      </c>
      <c r="G218" s="16" t="s">
        <v>235</v>
      </c>
      <c r="H218" s="16"/>
      <c r="I218" s="57"/>
      <c r="J218"/>
      <c r="L218" s="15">
        <v>677983970445</v>
      </c>
      <c r="M218" s="15">
        <v>8002668157</v>
      </c>
      <c r="N218" s="15"/>
    </row>
    <row r="219" spans="3:16" x14ac:dyDescent="0.3">
      <c r="C219" s="3">
        <v>43939</v>
      </c>
      <c r="D219" s="11">
        <v>1320</v>
      </c>
      <c r="G219" s="16" t="s">
        <v>236</v>
      </c>
      <c r="H219" s="16"/>
      <c r="I219" s="57"/>
      <c r="J219"/>
      <c r="L219" s="15">
        <v>658764880549</v>
      </c>
      <c r="M219" s="15">
        <v>8797940075</v>
      </c>
      <c r="N219" s="15"/>
    </row>
    <row r="220" spans="3:16" x14ac:dyDescent="0.3">
      <c r="C220" s="3">
        <v>43939</v>
      </c>
      <c r="D220" s="11">
        <v>1322</v>
      </c>
      <c r="G220" s="16" t="s">
        <v>237</v>
      </c>
      <c r="H220" s="16"/>
      <c r="I220" s="57"/>
      <c r="J220"/>
      <c r="L220" s="15">
        <v>253754366918</v>
      </c>
      <c r="M220" s="15">
        <v>7070054556</v>
      </c>
      <c r="N220" s="15"/>
    </row>
    <row r="221" spans="3:16" x14ac:dyDescent="0.3">
      <c r="C221" s="3">
        <v>43939</v>
      </c>
      <c r="D221" s="11">
        <v>1326</v>
      </c>
      <c r="G221" s="16" t="s">
        <v>263</v>
      </c>
      <c r="H221" s="16"/>
      <c r="I221" s="57"/>
      <c r="J221"/>
      <c r="L221" s="15">
        <v>448866445330</v>
      </c>
      <c r="M221" s="15">
        <v>9279468532</v>
      </c>
      <c r="N221" s="15"/>
    </row>
    <row r="222" spans="3:16" x14ac:dyDescent="0.3">
      <c r="C222" s="3">
        <v>43939</v>
      </c>
      <c r="D222" s="11">
        <v>1327</v>
      </c>
      <c r="G222" s="16" t="s">
        <v>238</v>
      </c>
      <c r="H222" s="16"/>
      <c r="I222" s="57"/>
      <c r="J222"/>
      <c r="L222" s="15">
        <v>516084611605</v>
      </c>
      <c r="M222" s="15">
        <v>9508109510</v>
      </c>
      <c r="N222" s="15"/>
      <c r="O222" s="4" t="s">
        <v>16</v>
      </c>
      <c r="P222" s="4" t="s">
        <v>16</v>
      </c>
    </row>
    <row r="223" spans="3:16" x14ac:dyDescent="0.3">
      <c r="C223" s="3">
        <v>43939</v>
      </c>
      <c r="D223" s="11">
        <v>1329</v>
      </c>
      <c r="G223" s="16" t="s">
        <v>239</v>
      </c>
      <c r="H223" s="16"/>
      <c r="I223" s="57"/>
      <c r="J223"/>
      <c r="L223" s="15">
        <v>354345283794</v>
      </c>
      <c r="M223" s="15">
        <v>6204075275</v>
      </c>
      <c r="N223" s="15"/>
    </row>
    <row r="224" spans="3:16" x14ac:dyDescent="0.3">
      <c r="C224" s="3">
        <v>43939</v>
      </c>
      <c r="D224" s="11">
        <v>1331</v>
      </c>
      <c r="G224" s="16" t="s">
        <v>240</v>
      </c>
      <c r="H224" s="16"/>
      <c r="I224" s="57"/>
      <c r="J224"/>
      <c r="L224" s="15">
        <v>909628220391</v>
      </c>
      <c r="M224" s="15">
        <v>8969479009</v>
      </c>
      <c r="N224" s="15"/>
    </row>
    <row r="225" spans="1:18" x14ac:dyDescent="0.3">
      <c r="C225" s="3">
        <v>43939</v>
      </c>
      <c r="D225" s="11">
        <v>1332</v>
      </c>
      <c r="G225" s="16" t="s">
        <v>253</v>
      </c>
      <c r="H225" s="16"/>
      <c r="I225" s="57"/>
      <c r="J225"/>
      <c r="L225" s="15">
        <v>900362792482</v>
      </c>
      <c r="M225" s="15">
        <v>7992338651</v>
      </c>
      <c r="N225" s="15"/>
    </row>
    <row r="226" spans="1:18" x14ac:dyDescent="0.3">
      <c r="C226" s="3">
        <v>43939</v>
      </c>
      <c r="D226" s="11">
        <v>1334</v>
      </c>
      <c r="G226" s="16" t="s">
        <v>254</v>
      </c>
      <c r="H226" s="16"/>
      <c r="I226" s="57"/>
      <c r="J226"/>
      <c r="L226" s="15">
        <v>546576587960</v>
      </c>
      <c r="M226" s="15">
        <v>6299327742</v>
      </c>
      <c r="N226" s="15"/>
    </row>
    <row r="227" spans="1:18" x14ac:dyDescent="0.3">
      <c r="C227" s="3">
        <v>43939</v>
      </c>
      <c r="D227" s="11">
        <v>1336</v>
      </c>
      <c r="G227" s="16" t="s">
        <v>255</v>
      </c>
      <c r="H227" s="16"/>
      <c r="I227" s="57"/>
      <c r="J227"/>
      <c r="L227" s="15">
        <v>752158589014</v>
      </c>
      <c r="M227" s="15">
        <v>8873500209</v>
      </c>
      <c r="N227" s="15"/>
    </row>
    <row r="228" spans="1:18" x14ac:dyDescent="0.3">
      <c r="A228" t="s">
        <v>7172</v>
      </c>
      <c r="C228" s="3">
        <v>43939</v>
      </c>
      <c r="D228" s="11">
        <v>1337</v>
      </c>
      <c r="G228" s="16" t="s">
        <v>256</v>
      </c>
      <c r="H228" s="16"/>
      <c r="I228" s="57">
        <v>35836</v>
      </c>
      <c r="J228" t="s">
        <v>7173</v>
      </c>
      <c r="L228" s="15">
        <v>977200166369</v>
      </c>
      <c r="M228" s="15">
        <v>9199811332</v>
      </c>
      <c r="N228" s="15"/>
      <c r="R228" s="4" t="s">
        <v>16</v>
      </c>
    </row>
    <row r="229" spans="1:18" x14ac:dyDescent="0.3">
      <c r="C229" s="3">
        <v>43939</v>
      </c>
      <c r="D229" s="11">
        <v>1339</v>
      </c>
      <c r="G229" s="16" t="s">
        <v>257</v>
      </c>
      <c r="H229" s="16"/>
      <c r="I229" s="57"/>
      <c r="J229"/>
      <c r="L229" s="15">
        <v>329140062284</v>
      </c>
      <c r="M229" s="15">
        <v>6203359628</v>
      </c>
      <c r="N229" s="15"/>
    </row>
    <row r="230" spans="1:18" x14ac:dyDescent="0.3">
      <c r="C230" s="3">
        <v>43939</v>
      </c>
      <c r="D230" s="11">
        <v>1342</v>
      </c>
      <c r="G230" s="16" t="s">
        <v>258</v>
      </c>
      <c r="H230" s="16"/>
      <c r="I230" s="57"/>
      <c r="J230"/>
      <c r="L230" s="15">
        <v>247370416356</v>
      </c>
      <c r="M230" s="15">
        <v>7633966747</v>
      </c>
      <c r="N230" s="15"/>
    </row>
    <row r="231" spans="1:18" x14ac:dyDescent="0.3">
      <c r="C231" s="3">
        <v>43939</v>
      </c>
      <c r="D231" s="11">
        <v>1343</v>
      </c>
      <c r="G231" s="16" t="s">
        <v>10</v>
      </c>
      <c r="H231" s="16"/>
      <c r="I231" s="57"/>
      <c r="J231"/>
      <c r="L231" s="15">
        <v>571449897800</v>
      </c>
      <c r="M231" s="15">
        <v>7209660967</v>
      </c>
      <c r="N231" s="15"/>
    </row>
    <row r="232" spans="1:18" x14ac:dyDescent="0.3">
      <c r="A232" t="s">
        <v>4740</v>
      </c>
      <c r="C232" s="3">
        <v>43939</v>
      </c>
      <c r="D232" s="11">
        <v>1345</v>
      </c>
      <c r="G232" s="16" t="s">
        <v>259</v>
      </c>
      <c r="H232" s="16"/>
      <c r="I232" s="57">
        <v>29931</v>
      </c>
      <c r="J232"/>
      <c r="L232" s="15">
        <v>980617938649</v>
      </c>
      <c r="M232" s="15">
        <v>9304588126</v>
      </c>
      <c r="N232" s="15"/>
      <c r="R232" s="4" t="s">
        <v>16</v>
      </c>
    </row>
    <row r="233" spans="1:18" x14ac:dyDescent="0.3">
      <c r="C233" s="3">
        <v>43939</v>
      </c>
      <c r="D233" s="11">
        <v>1347</v>
      </c>
      <c r="G233" s="16" t="s">
        <v>260</v>
      </c>
      <c r="H233" s="16"/>
      <c r="I233" s="57"/>
      <c r="J233"/>
      <c r="L233" s="15">
        <v>784024983785</v>
      </c>
      <c r="M233" s="15">
        <v>8469399355</v>
      </c>
      <c r="N233" s="15"/>
    </row>
    <row r="234" spans="1:18" x14ac:dyDescent="0.3">
      <c r="C234" s="3">
        <v>43939</v>
      </c>
      <c r="D234" s="11">
        <v>1348</v>
      </c>
      <c r="G234" s="16" t="s">
        <v>261</v>
      </c>
      <c r="H234" s="16"/>
      <c r="I234" s="57"/>
      <c r="J234"/>
      <c r="L234" s="15">
        <v>575095788761</v>
      </c>
      <c r="M234" s="15">
        <v>9334985926</v>
      </c>
      <c r="N234" s="15"/>
    </row>
    <row r="235" spans="1:18" x14ac:dyDescent="0.3">
      <c r="C235" s="3">
        <v>43939</v>
      </c>
      <c r="D235" s="11">
        <v>1349</v>
      </c>
      <c r="G235" s="16" t="s">
        <v>241</v>
      </c>
      <c r="H235" s="16"/>
      <c r="I235" s="57"/>
      <c r="J235"/>
      <c r="L235" s="15">
        <v>312017625423</v>
      </c>
      <c r="M235" s="15">
        <v>7209532047</v>
      </c>
      <c r="N235" s="15"/>
    </row>
    <row r="236" spans="1:18" x14ac:dyDescent="0.3">
      <c r="C236" s="3">
        <v>43939</v>
      </c>
      <c r="D236" s="11">
        <v>1351</v>
      </c>
      <c r="G236" s="16" t="s">
        <v>242</v>
      </c>
      <c r="H236" s="16"/>
      <c r="I236" s="57"/>
      <c r="J236"/>
      <c r="L236" s="15">
        <v>532699195692</v>
      </c>
      <c r="M236" s="15">
        <v>9234394529</v>
      </c>
      <c r="N236" s="15"/>
    </row>
    <row r="237" spans="1:18" x14ac:dyDescent="0.3">
      <c r="C237" s="3">
        <v>43939</v>
      </c>
      <c r="D237" s="11">
        <v>1354</v>
      </c>
      <c r="G237" s="16" t="s">
        <v>243</v>
      </c>
      <c r="H237" s="16"/>
      <c r="I237" s="57"/>
      <c r="J237"/>
      <c r="L237" s="15">
        <v>323267091000</v>
      </c>
      <c r="M237" s="15">
        <v>8235232604</v>
      </c>
      <c r="N237" s="15"/>
    </row>
    <row r="238" spans="1:18" x14ac:dyDescent="0.3">
      <c r="C238" s="3">
        <v>43939</v>
      </c>
      <c r="D238" s="11">
        <v>1357</v>
      </c>
      <c r="G238" s="16" t="s">
        <v>244</v>
      </c>
      <c r="H238" s="16"/>
      <c r="I238" s="57"/>
      <c r="J238"/>
      <c r="L238" s="15">
        <v>792254326797</v>
      </c>
      <c r="M238" s="15">
        <v>7808466709</v>
      </c>
      <c r="N238" s="15"/>
    </row>
    <row r="239" spans="1:18" x14ac:dyDescent="0.3">
      <c r="C239" s="3">
        <v>43939</v>
      </c>
      <c r="D239" s="11">
        <v>1358</v>
      </c>
      <c r="G239" s="16" t="s">
        <v>245</v>
      </c>
      <c r="H239" s="16"/>
      <c r="I239" s="57"/>
      <c r="J239"/>
      <c r="L239" s="15">
        <v>409255063604</v>
      </c>
      <c r="M239" s="15">
        <v>7488925533</v>
      </c>
      <c r="N239" s="15"/>
    </row>
    <row r="240" spans="1:18" x14ac:dyDescent="0.3">
      <c r="C240" s="3">
        <v>43939</v>
      </c>
      <c r="D240" s="11">
        <v>1360</v>
      </c>
      <c r="G240" s="16" t="s">
        <v>246</v>
      </c>
      <c r="H240" s="16"/>
      <c r="I240" s="57"/>
      <c r="J240"/>
      <c r="L240" s="15">
        <v>938346257146</v>
      </c>
      <c r="M240" s="15">
        <v>8210267942</v>
      </c>
      <c r="N240" s="15"/>
    </row>
    <row r="241" spans="3:18" x14ac:dyDescent="0.3">
      <c r="C241" s="3">
        <v>43939</v>
      </c>
      <c r="D241" s="11">
        <v>1361</v>
      </c>
      <c r="G241" s="16" t="s">
        <v>247</v>
      </c>
      <c r="H241" s="16"/>
      <c r="I241" s="57"/>
      <c r="J241"/>
      <c r="L241" s="15">
        <v>653213992239</v>
      </c>
      <c r="M241" s="15">
        <v>7260821524</v>
      </c>
      <c r="N241" s="15"/>
    </row>
    <row r="242" spans="3:18" x14ac:dyDescent="0.3">
      <c r="C242" s="3">
        <v>43939</v>
      </c>
      <c r="D242" s="11">
        <v>1363</v>
      </c>
      <c r="G242" s="16" t="s">
        <v>248</v>
      </c>
      <c r="H242" s="16"/>
      <c r="I242" s="57"/>
      <c r="J242"/>
      <c r="L242" s="15">
        <v>998041181622</v>
      </c>
      <c r="M242" s="15">
        <v>6204597241</v>
      </c>
      <c r="N242" s="15"/>
    </row>
    <row r="243" spans="3:18" x14ac:dyDescent="0.3">
      <c r="C243" s="3">
        <v>43939</v>
      </c>
      <c r="D243" s="11">
        <v>1364</v>
      </c>
      <c r="G243" s="16" t="s">
        <v>249</v>
      </c>
      <c r="H243" s="16"/>
      <c r="I243" s="57"/>
      <c r="J243"/>
      <c r="L243" s="15">
        <v>245052082388</v>
      </c>
      <c r="M243" s="15">
        <v>6201575916</v>
      </c>
      <c r="N243" s="15"/>
    </row>
    <row r="244" spans="3:18" x14ac:dyDescent="0.3">
      <c r="C244" s="3">
        <v>43939</v>
      </c>
      <c r="D244" s="11">
        <v>1367</v>
      </c>
      <c r="G244" s="16" t="s">
        <v>250</v>
      </c>
      <c r="H244" s="16"/>
      <c r="I244" s="57"/>
      <c r="J244"/>
      <c r="L244" s="15">
        <v>659916455683</v>
      </c>
      <c r="M244" s="15">
        <v>9263162318</v>
      </c>
      <c r="N244" s="15"/>
    </row>
    <row r="245" spans="3:18" x14ac:dyDescent="0.3">
      <c r="C245" s="3">
        <v>43939</v>
      </c>
      <c r="D245" s="11">
        <v>1367</v>
      </c>
      <c r="G245" s="16" t="s">
        <v>250</v>
      </c>
      <c r="H245" s="16"/>
      <c r="I245" s="57"/>
      <c r="J245"/>
      <c r="L245" s="15">
        <v>659916455683</v>
      </c>
      <c r="M245" s="15">
        <v>9263162318</v>
      </c>
      <c r="N245" s="15"/>
    </row>
    <row r="246" spans="3:18" x14ac:dyDescent="0.3">
      <c r="C246" s="3">
        <v>43939</v>
      </c>
      <c r="D246" s="11">
        <v>1369</v>
      </c>
      <c r="G246" s="16" t="s">
        <v>251</v>
      </c>
      <c r="H246" s="16"/>
      <c r="I246" s="57"/>
      <c r="J246"/>
      <c r="L246" s="15">
        <v>613392065346</v>
      </c>
      <c r="M246" s="15">
        <v>9263853469</v>
      </c>
      <c r="N246" s="15"/>
    </row>
    <row r="247" spans="3:18" x14ac:dyDescent="0.3">
      <c r="C247" s="3">
        <v>43939</v>
      </c>
      <c r="D247" s="11">
        <v>1369</v>
      </c>
      <c r="G247" s="16" t="s">
        <v>251</v>
      </c>
      <c r="H247" s="16"/>
      <c r="I247" s="57"/>
      <c r="J247"/>
      <c r="L247" s="15">
        <v>613392065346</v>
      </c>
      <c r="M247" s="15">
        <v>9263853469</v>
      </c>
      <c r="N247" s="15"/>
    </row>
    <row r="248" spans="3:18" x14ac:dyDescent="0.3">
      <c r="C248" s="3">
        <v>43939</v>
      </c>
      <c r="D248" s="11">
        <v>1370</v>
      </c>
      <c r="G248" s="16" t="s">
        <v>252</v>
      </c>
      <c r="H248" s="16"/>
      <c r="I248" s="57"/>
      <c r="J248"/>
      <c r="L248" s="15">
        <v>323363754539</v>
      </c>
      <c r="M248" s="15">
        <v>8092116186</v>
      </c>
      <c r="N248" s="15"/>
      <c r="R248" s="4" t="s">
        <v>16</v>
      </c>
    </row>
    <row r="249" spans="3:18" x14ac:dyDescent="0.3">
      <c r="C249" s="3">
        <v>43939</v>
      </c>
      <c r="D249" s="11">
        <v>1372</v>
      </c>
      <c r="G249" s="16" t="s">
        <v>4</v>
      </c>
      <c r="H249" s="16"/>
      <c r="I249" s="57"/>
      <c r="J249"/>
      <c r="L249" s="15">
        <v>989154501529</v>
      </c>
      <c r="M249" s="15"/>
      <c r="N249" s="15"/>
    </row>
    <row r="250" spans="3:18" x14ac:dyDescent="0.3">
      <c r="C250" s="4" t="s">
        <v>1148</v>
      </c>
      <c r="D250" s="11">
        <v>1398</v>
      </c>
      <c r="G250" s="16" t="s">
        <v>264</v>
      </c>
      <c r="H250" s="16"/>
      <c r="I250" s="57"/>
      <c r="J250"/>
      <c r="L250" s="15">
        <v>781112932017</v>
      </c>
      <c r="M250" s="15">
        <v>7903697661</v>
      </c>
      <c r="N250" s="15"/>
    </row>
    <row r="251" spans="3:18" x14ac:dyDescent="0.3">
      <c r="C251" s="4" t="s">
        <v>1148</v>
      </c>
      <c r="D251" s="11">
        <v>1399</v>
      </c>
      <c r="G251" s="16" t="s">
        <v>265</v>
      </c>
      <c r="H251" s="16"/>
      <c r="I251" s="57"/>
      <c r="J251"/>
      <c r="L251" s="15">
        <v>219475141497</v>
      </c>
      <c r="M251" s="15">
        <v>9234405170</v>
      </c>
      <c r="N251" s="15"/>
    </row>
    <row r="252" spans="3:18" x14ac:dyDescent="0.3">
      <c r="C252" s="4" t="s">
        <v>1148</v>
      </c>
      <c r="D252" s="11">
        <v>1400</v>
      </c>
      <c r="G252" s="16" t="s">
        <v>266</v>
      </c>
      <c r="H252" s="16"/>
      <c r="I252" s="57"/>
      <c r="J252"/>
      <c r="L252" s="15">
        <v>637715227701</v>
      </c>
      <c r="M252" s="15">
        <v>8797779940</v>
      </c>
      <c r="N252" s="15"/>
    </row>
    <row r="253" spans="3:18" x14ac:dyDescent="0.3">
      <c r="C253" s="4" t="s">
        <v>1148</v>
      </c>
      <c r="D253" s="11">
        <v>1401</v>
      </c>
      <c r="G253" s="16" t="s">
        <v>129</v>
      </c>
      <c r="H253" s="16"/>
      <c r="I253" s="57"/>
      <c r="J253"/>
      <c r="L253" s="15">
        <v>950715483393</v>
      </c>
      <c r="M253" s="15">
        <v>70339892239</v>
      </c>
      <c r="N253" s="15"/>
    </row>
    <row r="254" spans="3:18" x14ac:dyDescent="0.3">
      <c r="C254" s="4" t="s">
        <v>1148</v>
      </c>
      <c r="D254" s="11">
        <v>1403</v>
      </c>
      <c r="G254" s="16" t="s">
        <v>267</v>
      </c>
      <c r="H254" s="16"/>
      <c r="I254" s="57"/>
      <c r="J254"/>
      <c r="L254" s="15">
        <v>804165847068</v>
      </c>
      <c r="M254" s="15">
        <v>8102503670</v>
      </c>
      <c r="N254" s="15"/>
    </row>
    <row r="255" spans="3:18" x14ac:dyDescent="0.3">
      <c r="C255" s="4" t="s">
        <v>1148</v>
      </c>
      <c r="D255" s="11">
        <v>1404</v>
      </c>
      <c r="G255" s="16" t="s">
        <v>268</v>
      </c>
      <c r="H255" s="16"/>
      <c r="I255" s="57"/>
      <c r="J255"/>
      <c r="L255" s="15">
        <v>319177572918</v>
      </c>
      <c r="M255" s="15">
        <v>8102503670</v>
      </c>
      <c r="N255" s="15"/>
    </row>
    <row r="256" spans="3:18" x14ac:dyDescent="0.3">
      <c r="C256" s="4" t="s">
        <v>1148</v>
      </c>
      <c r="D256" s="11">
        <v>1405</v>
      </c>
      <c r="G256" s="16" t="s">
        <v>269</v>
      </c>
      <c r="H256" s="16"/>
      <c r="I256" s="57"/>
      <c r="J256"/>
      <c r="L256" s="15">
        <v>915907994880</v>
      </c>
      <c r="M256" s="15">
        <v>9504333554</v>
      </c>
      <c r="N256" s="15"/>
    </row>
    <row r="257" spans="3:18" x14ac:dyDescent="0.3">
      <c r="C257" s="4" t="s">
        <v>1148</v>
      </c>
      <c r="D257" s="11">
        <v>1406</v>
      </c>
      <c r="G257" s="16" t="s">
        <v>270</v>
      </c>
      <c r="H257" s="16"/>
      <c r="I257" s="57"/>
      <c r="J257"/>
      <c r="L257" s="15">
        <v>451158110297</v>
      </c>
      <c r="M257" s="15">
        <v>8114582110</v>
      </c>
      <c r="N257" s="15"/>
    </row>
    <row r="258" spans="3:18" x14ac:dyDescent="0.3">
      <c r="C258" s="4" t="s">
        <v>1148</v>
      </c>
      <c r="D258" s="11">
        <v>1408</v>
      </c>
      <c r="G258" s="16" t="s">
        <v>271</v>
      </c>
      <c r="H258" s="16"/>
      <c r="I258" s="57"/>
      <c r="J258"/>
      <c r="L258" s="15">
        <v>245416195765</v>
      </c>
      <c r="M258" s="15">
        <v>6201275149</v>
      </c>
      <c r="N258" s="15"/>
    </row>
    <row r="259" spans="3:18" x14ac:dyDescent="0.3">
      <c r="C259" s="4" t="s">
        <v>1148</v>
      </c>
      <c r="D259" s="11">
        <v>1409</v>
      </c>
      <c r="G259" s="16" t="s">
        <v>272</v>
      </c>
      <c r="H259" s="16"/>
      <c r="I259" s="57"/>
      <c r="J259"/>
      <c r="L259" s="15">
        <v>323930623873</v>
      </c>
      <c r="M259" s="15">
        <v>7546054325</v>
      </c>
      <c r="N259" s="15"/>
      <c r="R259" s="4" t="s">
        <v>14</v>
      </c>
    </row>
    <row r="260" spans="3:18" x14ac:dyDescent="0.3">
      <c r="C260" s="4" t="s">
        <v>1148</v>
      </c>
      <c r="D260" s="11">
        <v>1412</v>
      </c>
      <c r="G260" s="16" t="s">
        <v>273</v>
      </c>
      <c r="H260" s="16"/>
      <c r="I260" s="57"/>
      <c r="J260"/>
      <c r="L260" s="15">
        <v>658523773887</v>
      </c>
      <c r="M260" s="15">
        <v>7004011366</v>
      </c>
      <c r="N260" s="15"/>
    </row>
    <row r="261" spans="3:18" x14ac:dyDescent="0.3">
      <c r="C261" s="4" t="s">
        <v>1148</v>
      </c>
      <c r="D261" s="11">
        <v>1413</v>
      </c>
      <c r="G261" s="16" t="s">
        <v>274</v>
      </c>
      <c r="H261" s="16"/>
      <c r="I261" s="57"/>
      <c r="J261"/>
      <c r="L261" s="15">
        <v>951575699516</v>
      </c>
      <c r="M261" s="15">
        <v>9097136766</v>
      </c>
      <c r="N261" s="15"/>
    </row>
    <row r="262" spans="3:18" x14ac:dyDescent="0.3">
      <c r="C262" s="4" t="s">
        <v>1148</v>
      </c>
      <c r="D262" s="11">
        <v>1414</v>
      </c>
      <c r="G262" s="16" t="s">
        <v>275</v>
      </c>
      <c r="H262" s="16"/>
      <c r="I262" s="57"/>
      <c r="J262"/>
      <c r="L262" s="15">
        <v>277638922709</v>
      </c>
      <c r="M262" s="15">
        <v>8797591636</v>
      </c>
      <c r="N262" s="15"/>
    </row>
    <row r="263" spans="3:18" x14ac:dyDescent="0.3">
      <c r="C263" s="4" t="s">
        <v>1148</v>
      </c>
      <c r="D263" s="11">
        <v>1415</v>
      </c>
      <c r="G263" s="16" t="s">
        <v>276</v>
      </c>
      <c r="H263" s="16"/>
      <c r="I263" s="57"/>
      <c r="J263"/>
      <c r="L263" s="15">
        <v>294416614163</v>
      </c>
      <c r="M263" s="15">
        <v>8092278258</v>
      </c>
      <c r="N263" s="15"/>
    </row>
    <row r="264" spans="3:18" x14ac:dyDescent="0.3">
      <c r="C264" s="4" t="s">
        <v>1148</v>
      </c>
      <c r="D264" s="11">
        <v>1417</v>
      </c>
      <c r="G264" s="16" t="s">
        <v>277</v>
      </c>
      <c r="H264" s="16"/>
      <c r="I264" s="57"/>
      <c r="J264"/>
      <c r="L264" s="15">
        <v>647818809943</v>
      </c>
      <c r="M264" s="15">
        <v>91335566716</v>
      </c>
      <c r="N264" s="15"/>
    </row>
    <row r="265" spans="3:18" x14ac:dyDescent="0.3">
      <c r="C265" s="4" t="s">
        <v>1148</v>
      </c>
      <c r="D265" s="11">
        <v>1419</v>
      </c>
      <c r="G265" s="16" t="s">
        <v>278</v>
      </c>
      <c r="H265" s="16"/>
      <c r="I265" s="57"/>
      <c r="J265"/>
      <c r="L265" s="15">
        <v>569284458530</v>
      </c>
      <c r="M265" s="15">
        <v>6206750858</v>
      </c>
      <c r="N265" s="15"/>
    </row>
    <row r="266" spans="3:18" x14ac:dyDescent="0.3">
      <c r="C266" s="4" t="s">
        <v>1148</v>
      </c>
      <c r="D266" s="11">
        <v>1420</v>
      </c>
      <c r="G266" s="16" t="s">
        <v>279</v>
      </c>
      <c r="H266" s="16"/>
      <c r="I266" s="57"/>
      <c r="J266"/>
      <c r="L266" s="15">
        <v>434797232323</v>
      </c>
      <c r="M266" s="15">
        <v>8271860168</v>
      </c>
      <c r="N266" s="15"/>
    </row>
    <row r="267" spans="3:18" x14ac:dyDescent="0.3">
      <c r="C267" s="4" t="s">
        <v>1148</v>
      </c>
      <c r="D267" s="11">
        <v>1421</v>
      </c>
      <c r="G267" s="16" t="s">
        <v>280</v>
      </c>
      <c r="H267" s="16"/>
      <c r="I267" s="57"/>
      <c r="J267"/>
      <c r="L267" s="15">
        <v>211653245046</v>
      </c>
      <c r="M267" s="15">
        <v>9835983164</v>
      </c>
      <c r="N267" s="15"/>
    </row>
    <row r="268" spans="3:18" x14ac:dyDescent="0.3">
      <c r="C268" s="4" t="s">
        <v>1148</v>
      </c>
      <c r="D268" s="11">
        <v>1423</v>
      </c>
      <c r="G268" s="16" t="s">
        <v>281</v>
      </c>
      <c r="H268" s="16"/>
      <c r="I268" s="57"/>
      <c r="J268"/>
      <c r="L268" s="15">
        <v>654462093672</v>
      </c>
      <c r="M268" s="15">
        <v>7903829348</v>
      </c>
      <c r="N268" s="15"/>
    </row>
    <row r="269" spans="3:18" x14ac:dyDescent="0.3">
      <c r="C269" s="4" t="s">
        <v>1148</v>
      </c>
      <c r="D269" s="11">
        <v>1424</v>
      </c>
      <c r="G269" s="16" t="s">
        <v>282</v>
      </c>
      <c r="H269" s="16"/>
      <c r="I269" s="57"/>
      <c r="J269"/>
      <c r="L269" s="15">
        <v>456238645702</v>
      </c>
      <c r="M269" s="15">
        <v>8809593090</v>
      </c>
      <c r="N269" s="15"/>
    </row>
    <row r="270" spans="3:18" x14ac:dyDescent="0.3">
      <c r="C270" s="4" t="s">
        <v>1148</v>
      </c>
      <c r="D270" s="11">
        <v>1426</v>
      </c>
      <c r="G270" s="16" t="s">
        <v>283</v>
      </c>
      <c r="H270" s="16"/>
      <c r="I270" s="57"/>
      <c r="J270"/>
      <c r="L270" s="15">
        <v>555065263525</v>
      </c>
      <c r="M270" s="15">
        <v>7667578778</v>
      </c>
      <c r="N270" s="15"/>
    </row>
    <row r="271" spans="3:18" x14ac:dyDescent="0.3">
      <c r="C271" s="4" t="s">
        <v>1148</v>
      </c>
      <c r="D271" s="11">
        <v>1428</v>
      </c>
      <c r="G271" s="16" t="s">
        <v>284</v>
      </c>
      <c r="H271" s="16"/>
      <c r="I271" s="57"/>
      <c r="J271"/>
      <c r="L271" s="15">
        <v>950633188102</v>
      </c>
      <c r="M271" s="15"/>
      <c r="N271" s="15"/>
    </row>
    <row r="272" spans="3:18" x14ac:dyDescent="0.3">
      <c r="C272" s="4" t="s">
        <v>1148</v>
      </c>
      <c r="D272" s="11">
        <v>1429</v>
      </c>
      <c r="G272" s="16" t="s">
        <v>285</v>
      </c>
      <c r="H272" s="16"/>
      <c r="I272" s="57"/>
      <c r="J272"/>
      <c r="L272" s="15">
        <v>752751296151</v>
      </c>
      <c r="M272" s="15">
        <v>8825102958</v>
      </c>
      <c r="N272" s="15"/>
    </row>
    <row r="273" spans="3:14" x14ac:dyDescent="0.3">
      <c r="C273" s="4" t="s">
        <v>1148</v>
      </c>
      <c r="D273" s="11">
        <v>1431</v>
      </c>
      <c r="G273" s="16" t="s">
        <v>286</v>
      </c>
      <c r="H273" s="16"/>
      <c r="I273" s="57"/>
      <c r="J273"/>
      <c r="L273" s="15">
        <v>854788042144</v>
      </c>
      <c r="M273" s="15">
        <v>6200119464</v>
      </c>
      <c r="N273" s="15"/>
    </row>
    <row r="274" spans="3:14" x14ac:dyDescent="0.3">
      <c r="C274" s="4" t="s">
        <v>1148</v>
      </c>
      <c r="D274" s="11">
        <v>1433</v>
      </c>
      <c r="G274" s="16" t="s">
        <v>287</v>
      </c>
      <c r="H274" s="16"/>
      <c r="I274" s="57"/>
      <c r="J274"/>
      <c r="L274" s="15">
        <v>296815898192</v>
      </c>
      <c r="M274" s="15">
        <v>8292195466</v>
      </c>
      <c r="N274" s="15"/>
    </row>
    <row r="275" spans="3:14" x14ac:dyDescent="0.3">
      <c r="C275" s="4" t="s">
        <v>1148</v>
      </c>
      <c r="D275" s="11">
        <v>1435</v>
      </c>
      <c r="G275" s="16" t="s">
        <v>288</v>
      </c>
      <c r="H275" s="16"/>
      <c r="I275" s="57"/>
      <c r="J275"/>
      <c r="L275" s="15">
        <v>496059537298</v>
      </c>
      <c r="M275" s="15">
        <v>9431320401</v>
      </c>
      <c r="N275" s="15"/>
    </row>
    <row r="276" spans="3:14" x14ac:dyDescent="0.3">
      <c r="C276" s="4" t="s">
        <v>1148</v>
      </c>
      <c r="D276" s="11">
        <v>1436</v>
      </c>
      <c r="G276" s="16" t="s">
        <v>289</v>
      </c>
      <c r="H276" s="16"/>
      <c r="I276" s="57"/>
      <c r="J276"/>
      <c r="L276" s="15">
        <v>928885327436</v>
      </c>
      <c r="M276" s="15">
        <v>7295815713</v>
      </c>
      <c r="N276" s="15"/>
    </row>
    <row r="277" spans="3:14" x14ac:dyDescent="0.3">
      <c r="C277" s="4" t="s">
        <v>1148</v>
      </c>
      <c r="D277" s="11">
        <v>1439</v>
      </c>
      <c r="G277" s="16" t="s">
        <v>290</v>
      </c>
      <c r="H277" s="16"/>
      <c r="I277" s="57"/>
      <c r="J277"/>
      <c r="L277" s="15">
        <v>990026878348</v>
      </c>
      <c r="M277" s="15">
        <v>8340362589</v>
      </c>
      <c r="N277" s="15"/>
    </row>
    <row r="278" spans="3:14" x14ac:dyDescent="0.3">
      <c r="C278" s="4" t="s">
        <v>1148</v>
      </c>
      <c r="D278" s="11">
        <v>1441</v>
      </c>
      <c r="G278" s="16" t="s">
        <v>291</v>
      </c>
      <c r="H278" s="16"/>
      <c r="I278" s="57"/>
      <c r="J278"/>
      <c r="L278" s="15">
        <v>282411407996</v>
      </c>
      <c r="M278" s="15">
        <v>7667514325</v>
      </c>
      <c r="N278" s="15"/>
    </row>
    <row r="279" spans="3:14" x14ac:dyDescent="0.3">
      <c r="C279" s="4" t="s">
        <v>1148</v>
      </c>
      <c r="D279" s="11">
        <v>1442</v>
      </c>
      <c r="G279" s="16" t="s">
        <v>292</v>
      </c>
      <c r="H279" s="16"/>
      <c r="I279" s="57"/>
      <c r="J279"/>
      <c r="L279" s="15">
        <v>648054173265</v>
      </c>
      <c r="M279" s="15">
        <v>7295815713</v>
      </c>
      <c r="N279" s="15"/>
    </row>
    <row r="280" spans="3:14" x14ac:dyDescent="0.3">
      <c r="C280" s="4" t="s">
        <v>1148</v>
      </c>
      <c r="D280" s="11">
        <v>1445</v>
      </c>
      <c r="G280" s="16" t="s">
        <v>293</v>
      </c>
      <c r="H280" s="16"/>
      <c r="I280" s="57"/>
      <c r="J280"/>
      <c r="L280" s="15">
        <v>477234993172</v>
      </c>
      <c r="M280" s="15">
        <v>7349895796</v>
      </c>
      <c r="N280" s="15"/>
    </row>
    <row r="281" spans="3:14" x14ac:dyDescent="0.3">
      <c r="C281" s="4" t="s">
        <v>1148</v>
      </c>
      <c r="D281" s="11">
        <v>1446</v>
      </c>
      <c r="G281" s="16" t="s">
        <v>294</v>
      </c>
      <c r="H281" s="16"/>
      <c r="I281" s="57"/>
      <c r="J281"/>
      <c r="L281" s="15">
        <v>693673473018</v>
      </c>
      <c r="M281" s="15">
        <v>8235356149</v>
      </c>
      <c r="N281" s="15"/>
    </row>
    <row r="282" spans="3:14" x14ac:dyDescent="0.3">
      <c r="C282" s="4" t="s">
        <v>1148</v>
      </c>
      <c r="D282" s="11">
        <v>1448</v>
      </c>
      <c r="G282" s="16" t="s">
        <v>295</v>
      </c>
      <c r="H282" s="16"/>
      <c r="I282" s="57"/>
      <c r="J282"/>
      <c r="L282" s="15">
        <v>951248930061</v>
      </c>
      <c r="M282" s="15">
        <v>8936871128</v>
      </c>
      <c r="N282" s="15"/>
    </row>
    <row r="283" spans="3:14" x14ac:dyDescent="0.3">
      <c r="C283" s="4" t="s">
        <v>1148</v>
      </c>
      <c r="D283" s="11">
        <v>1451</v>
      </c>
      <c r="G283" s="16" t="s">
        <v>296</v>
      </c>
      <c r="H283" s="16"/>
      <c r="I283" s="57"/>
      <c r="J283"/>
      <c r="L283" s="15">
        <v>583841757565</v>
      </c>
      <c r="M283" s="15">
        <v>7909063958</v>
      </c>
      <c r="N283" s="15"/>
    </row>
    <row r="284" spans="3:14" x14ac:dyDescent="0.3">
      <c r="C284" s="3">
        <v>43942</v>
      </c>
      <c r="D284" s="11">
        <v>1453</v>
      </c>
      <c r="G284" s="16" t="s">
        <v>298</v>
      </c>
      <c r="H284" s="16"/>
      <c r="I284" s="57"/>
      <c r="J284"/>
      <c r="L284" s="15"/>
      <c r="M284" s="15"/>
      <c r="N284" s="15"/>
    </row>
    <row r="285" spans="3:14" x14ac:dyDescent="0.3">
      <c r="C285" s="3">
        <v>43942</v>
      </c>
      <c r="D285" s="11">
        <v>1456</v>
      </c>
      <c r="G285" s="16" t="s">
        <v>299</v>
      </c>
      <c r="H285" s="16"/>
      <c r="I285" s="57"/>
      <c r="J285"/>
      <c r="L285" s="15"/>
      <c r="M285" s="15"/>
      <c r="N285" s="15"/>
    </row>
    <row r="286" spans="3:14" x14ac:dyDescent="0.3">
      <c r="C286" s="3">
        <v>43942</v>
      </c>
      <c r="D286" s="11">
        <v>1457</v>
      </c>
      <c r="G286" s="16" t="s">
        <v>300</v>
      </c>
      <c r="H286" s="16"/>
      <c r="I286" s="57"/>
      <c r="J286"/>
      <c r="L286" s="15"/>
      <c r="M286" s="15"/>
      <c r="N286" s="15"/>
    </row>
    <row r="287" spans="3:14" x14ac:dyDescent="0.3">
      <c r="D287" s="11">
        <v>1457</v>
      </c>
      <c r="G287" s="16" t="s">
        <v>317</v>
      </c>
      <c r="H287" s="16"/>
      <c r="I287" s="57"/>
      <c r="J287"/>
      <c r="L287" s="15">
        <v>905053653021</v>
      </c>
      <c r="M287" s="15">
        <v>8092303017</v>
      </c>
      <c r="N287" s="15"/>
    </row>
    <row r="288" spans="3:14" x14ac:dyDescent="0.3">
      <c r="C288" s="3">
        <v>43942</v>
      </c>
      <c r="D288" s="11">
        <v>1459</v>
      </c>
      <c r="G288" s="16" t="s">
        <v>301</v>
      </c>
      <c r="H288" s="16"/>
      <c r="I288" s="57"/>
      <c r="J288"/>
      <c r="L288" s="15">
        <v>946086020725</v>
      </c>
      <c r="M288" s="15">
        <v>9031905035</v>
      </c>
      <c r="N288" s="15"/>
    </row>
    <row r="289" spans="3:18" x14ac:dyDescent="0.3">
      <c r="C289" s="3">
        <v>43942</v>
      </c>
      <c r="D289" s="11">
        <v>1461</v>
      </c>
      <c r="G289" s="16" t="s">
        <v>302</v>
      </c>
      <c r="H289" s="16"/>
      <c r="I289" s="57"/>
      <c r="J289"/>
      <c r="L289" s="15"/>
      <c r="M289" s="15"/>
      <c r="N289" s="15"/>
    </row>
    <row r="290" spans="3:18" x14ac:dyDescent="0.3">
      <c r="C290" s="3">
        <v>43942</v>
      </c>
      <c r="D290" s="11">
        <v>1462</v>
      </c>
      <c r="G290" s="16" t="s">
        <v>303</v>
      </c>
      <c r="H290" s="16"/>
      <c r="I290" s="57"/>
      <c r="J290"/>
      <c r="L290" s="15">
        <v>804486359969</v>
      </c>
      <c r="M290" s="15">
        <v>7209584843</v>
      </c>
      <c r="N290" s="15"/>
    </row>
    <row r="291" spans="3:18" x14ac:dyDescent="0.3">
      <c r="C291" s="3">
        <v>43942</v>
      </c>
      <c r="D291" s="11">
        <v>1464</v>
      </c>
      <c r="G291" s="16" t="s">
        <v>304</v>
      </c>
      <c r="H291" s="16"/>
      <c r="I291" s="57"/>
      <c r="J291"/>
      <c r="L291" s="15">
        <v>971398964469</v>
      </c>
      <c r="M291" s="15"/>
      <c r="N291" s="15"/>
    </row>
    <row r="292" spans="3:18" x14ac:dyDescent="0.3">
      <c r="C292" s="3">
        <v>43942</v>
      </c>
      <c r="D292" s="11">
        <v>1466</v>
      </c>
      <c r="G292" s="16" t="s">
        <v>305</v>
      </c>
      <c r="H292" s="16"/>
      <c r="I292" s="57"/>
      <c r="J292"/>
      <c r="L292" s="15"/>
      <c r="M292" s="15"/>
      <c r="N292" s="15"/>
    </row>
    <row r="293" spans="3:18" x14ac:dyDescent="0.3">
      <c r="C293" s="3">
        <v>43942</v>
      </c>
      <c r="D293" s="11">
        <v>1468</v>
      </c>
      <c r="G293" s="16" t="s">
        <v>306</v>
      </c>
      <c r="H293" s="16"/>
      <c r="I293" s="57"/>
      <c r="J293"/>
      <c r="L293" s="15">
        <v>369141857281</v>
      </c>
      <c r="M293" s="15"/>
      <c r="N293" s="15"/>
    </row>
    <row r="294" spans="3:18" x14ac:dyDescent="0.3">
      <c r="C294" s="3">
        <v>43942</v>
      </c>
      <c r="D294" s="11">
        <v>1470</v>
      </c>
      <c r="G294" s="16" t="s">
        <v>307</v>
      </c>
      <c r="H294" s="16"/>
      <c r="I294" s="57"/>
      <c r="J294"/>
      <c r="L294" s="15"/>
      <c r="M294" s="15"/>
      <c r="N294" s="15"/>
    </row>
    <row r="295" spans="3:18" x14ac:dyDescent="0.3">
      <c r="C295" s="3">
        <v>43942</v>
      </c>
      <c r="D295" s="11">
        <v>1471</v>
      </c>
      <c r="G295" s="16" t="s">
        <v>308</v>
      </c>
      <c r="H295" s="16"/>
      <c r="I295" s="57"/>
      <c r="J295"/>
      <c r="L295" s="15"/>
      <c r="M295" s="15"/>
      <c r="N295" s="15"/>
    </row>
    <row r="296" spans="3:18" x14ac:dyDescent="0.3">
      <c r="C296" s="3">
        <v>43942</v>
      </c>
      <c r="D296" s="11">
        <v>1473</v>
      </c>
      <c r="G296" s="16" t="s">
        <v>309</v>
      </c>
      <c r="H296" s="16"/>
      <c r="I296" s="57"/>
      <c r="J296" t="s">
        <v>1167</v>
      </c>
      <c r="K296" s="4">
        <v>500</v>
      </c>
      <c r="L296" s="15">
        <v>330207183236</v>
      </c>
      <c r="M296" s="15">
        <v>8936012595</v>
      </c>
      <c r="N296" s="15"/>
      <c r="R296" s="4" t="s">
        <v>16</v>
      </c>
    </row>
    <row r="297" spans="3:18" x14ac:dyDescent="0.3">
      <c r="C297" s="3">
        <v>43942</v>
      </c>
      <c r="D297" s="11">
        <v>1475</v>
      </c>
      <c r="G297" s="16" t="s">
        <v>310</v>
      </c>
      <c r="H297" s="16"/>
      <c r="I297" s="57"/>
      <c r="J297" t="s">
        <v>1167</v>
      </c>
      <c r="K297" s="4">
        <v>500</v>
      </c>
      <c r="L297" s="15">
        <v>355904278084</v>
      </c>
      <c r="M297" s="15">
        <v>8789704557</v>
      </c>
      <c r="N297" s="15"/>
      <c r="R297" s="4" t="s">
        <v>16</v>
      </c>
    </row>
    <row r="298" spans="3:18" x14ac:dyDescent="0.3">
      <c r="C298" s="3">
        <v>43942</v>
      </c>
      <c r="D298" s="11">
        <v>1477</v>
      </c>
      <c r="G298" s="16" t="s">
        <v>311</v>
      </c>
      <c r="H298" s="16"/>
      <c r="I298" s="57"/>
      <c r="J298"/>
      <c r="K298" s="4">
        <v>500</v>
      </c>
      <c r="L298" s="15"/>
      <c r="M298" s="15"/>
      <c r="N298" s="15"/>
    </row>
    <row r="299" spans="3:18" x14ac:dyDescent="0.3">
      <c r="C299" s="3">
        <v>43942</v>
      </c>
      <c r="D299" s="11">
        <v>1479</v>
      </c>
      <c r="G299" s="16" t="s">
        <v>312</v>
      </c>
      <c r="H299" s="16"/>
      <c r="I299" s="57"/>
      <c r="J299"/>
      <c r="L299" s="15"/>
      <c r="M299" s="15"/>
      <c r="N299" s="15"/>
    </row>
    <row r="300" spans="3:18" x14ac:dyDescent="0.3">
      <c r="C300" s="3">
        <v>43942</v>
      </c>
      <c r="D300" s="11">
        <v>1482</v>
      </c>
      <c r="G300" s="16" t="s">
        <v>313</v>
      </c>
      <c r="H300" s="16"/>
      <c r="I300" s="57"/>
      <c r="J300"/>
      <c r="L300" s="15"/>
      <c r="M300" s="15"/>
      <c r="N300" s="15"/>
    </row>
    <row r="301" spans="3:18" x14ac:dyDescent="0.3">
      <c r="C301" s="3">
        <v>43942</v>
      </c>
      <c r="D301" s="11">
        <v>1484</v>
      </c>
      <c r="G301" s="16" t="s">
        <v>314</v>
      </c>
      <c r="H301" s="16"/>
      <c r="I301" s="57"/>
      <c r="J301"/>
      <c r="L301" s="15"/>
      <c r="M301" s="15"/>
      <c r="N301" s="15"/>
    </row>
    <row r="302" spans="3:18" x14ac:dyDescent="0.3">
      <c r="C302" s="3">
        <v>43942</v>
      </c>
      <c r="D302" s="11">
        <v>1486</v>
      </c>
      <c r="G302" s="16" t="s">
        <v>315</v>
      </c>
      <c r="H302" s="16"/>
      <c r="I302" s="57"/>
      <c r="J302"/>
      <c r="L302" s="15">
        <v>277515867017</v>
      </c>
      <c r="M302" s="15">
        <v>7209787688</v>
      </c>
      <c r="N302" s="15"/>
    </row>
    <row r="303" spans="3:18" x14ac:dyDescent="0.3">
      <c r="C303" s="3">
        <v>43942</v>
      </c>
      <c r="D303" s="11">
        <v>1488</v>
      </c>
      <c r="G303" s="16" t="s">
        <v>316</v>
      </c>
      <c r="H303" s="16"/>
      <c r="I303" s="57"/>
      <c r="J303"/>
      <c r="L303" s="15">
        <v>580593383164</v>
      </c>
      <c r="M303" s="15">
        <v>8540847269</v>
      </c>
      <c r="N303" s="15"/>
    </row>
    <row r="304" spans="3:18" x14ac:dyDescent="0.3">
      <c r="C304" s="3">
        <v>43942</v>
      </c>
      <c r="D304" s="11">
        <v>1490</v>
      </c>
      <c r="G304" s="16" t="s">
        <v>179</v>
      </c>
      <c r="H304" s="16"/>
      <c r="I304" s="57"/>
      <c r="J304"/>
      <c r="L304" s="15"/>
      <c r="M304" s="15"/>
      <c r="N304" s="15"/>
    </row>
    <row r="305" spans="3:14" x14ac:dyDescent="0.3">
      <c r="C305" s="3">
        <v>43943</v>
      </c>
      <c r="D305" s="11">
        <v>1499</v>
      </c>
      <c r="G305" s="16" t="s">
        <v>318</v>
      </c>
      <c r="H305" s="16"/>
      <c r="I305" s="57"/>
      <c r="J305"/>
      <c r="L305" s="15">
        <v>401409500429</v>
      </c>
      <c r="M305" s="15">
        <v>9801615690</v>
      </c>
      <c r="N305" s="15"/>
    </row>
    <row r="306" spans="3:14" x14ac:dyDescent="0.3">
      <c r="C306" s="3">
        <v>43943</v>
      </c>
      <c r="D306" s="11">
        <v>1500</v>
      </c>
      <c r="G306" s="16" t="s">
        <v>324</v>
      </c>
      <c r="H306" s="16"/>
      <c r="I306" s="57"/>
      <c r="J306"/>
      <c r="L306" s="15">
        <v>308747404117</v>
      </c>
      <c r="M306" s="15">
        <v>7870281986</v>
      </c>
      <c r="N306" s="15"/>
    </row>
    <row r="307" spans="3:14" x14ac:dyDescent="0.3">
      <c r="C307" s="3">
        <v>43943</v>
      </c>
      <c r="D307" s="11">
        <v>1501</v>
      </c>
      <c r="G307" s="16" t="s">
        <v>319</v>
      </c>
      <c r="H307" s="16"/>
      <c r="I307" s="57"/>
      <c r="J307"/>
      <c r="L307" s="15">
        <v>921110718493</v>
      </c>
      <c r="M307" s="15">
        <v>7209801225</v>
      </c>
      <c r="N307" s="15"/>
    </row>
    <row r="308" spans="3:14" x14ac:dyDescent="0.3">
      <c r="C308" s="3">
        <v>43943</v>
      </c>
      <c r="D308" s="11">
        <v>1502</v>
      </c>
      <c r="G308" s="16" t="s">
        <v>320</v>
      </c>
      <c r="H308" s="16"/>
      <c r="I308" s="57"/>
      <c r="J308"/>
      <c r="L308" s="15">
        <v>636730367931</v>
      </c>
      <c r="M308" s="15">
        <v>9534148477</v>
      </c>
      <c r="N308" s="15"/>
    </row>
    <row r="309" spans="3:14" x14ac:dyDescent="0.3">
      <c r="C309" s="3">
        <v>43943</v>
      </c>
      <c r="D309" s="11">
        <v>1503</v>
      </c>
      <c r="G309" s="16" t="s">
        <v>321</v>
      </c>
      <c r="H309" s="16"/>
      <c r="I309" s="57"/>
      <c r="J309"/>
      <c r="L309" s="15">
        <v>652362941682</v>
      </c>
      <c r="M309" s="15">
        <v>8709525197</v>
      </c>
      <c r="N309" s="15"/>
    </row>
    <row r="310" spans="3:14" x14ac:dyDescent="0.3">
      <c r="C310" s="3">
        <v>43943</v>
      </c>
      <c r="D310" s="11">
        <v>1504</v>
      </c>
      <c r="G310" s="16" t="s">
        <v>322</v>
      </c>
      <c r="H310" s="16"/>
      <c r="I310" s="57"/>
      <c r="J310"/>
      <c r="L310" s="15">
        <v>813050393553</v>
      </c>
      <c r="M310" s="15">
        <v>7070955899</v>
      </c>
      <c r="N310" s="15"/>
    </row>
    <row r="311" spans="3:14" x14ac:dyDescent="0.3">
      <c r="C311" s="3">
        <v>43943</v>
      </c>
      <c r="D311" s="11">
        <v>1505</v>
      </c>
      <c r="G311" s="16" t="s">
        <v>323</v>
      </c>
      <c r="H311" s="16"/>
      <c r="I311" s="57"/>
      <c r="J311"/>
      <c r="L311" s="15">
        <v>464569722436</v>
      </c>
      <c r="M311" s="15">
        <v>8580241064</v>
      </c>
      <c r="N311" s="15"/>
    </row>
    <row r="312" spans="3:14" x14ac:dyDescent="0.3">
      <c r="C312" s="3">
        <v>43943</v>
      </c>
      <c r="D312" s="11">
        <v>1508</v>
      </c>
      <c r="G312" s="16" t="s">
        <v>325</v>
      </c>
      <c r="H312" s="16"/>
      <c r="I312" s="57"/>
      <c r="J312"/>
      <c r="L312" s="15">
        <v>765426375169</v>
      </c>
      <c r="M312" s="15">
        <v>9708022268</v>
      </c>
      <c r="N312" s="15"/>
    </row>
    <row r="313" spans="3:14" x14ac:dyDescent="0.3">
      <c r="C313" s="3">
        <v>43943</v>
      </c>
      <c r="D313" s="11">
        <v>1509</v>
      </c>
      <c r="G313" s="16" t="s">
        <v>326</v>
      </c>
      <c r="H313" s="16"/>
      <c r="I313" s="57"/>
      <c r="J313"/>
      <c r="L313" s="15">
        <v>208093639454</v>
      </c>
      <c r="M313" s="15">
        <v>9709347756</v>
      </c>
      <c r="N313" s="15"/>
    </row>
    <row r="314" spans="3:14" x14ac:dyDescent="0.3">
      <c r="C314" s="3">
        <v>43943</v>
      </c>
      <c r="D314" s="11">
        <v>1510</v>
      </c>
      <c r="G314" s="16" t="s">
        <v>327</v>
      </c>
      <c r="H314" s="16"/>
      <c r="I314" s="57"/>
      <c r="J314"/>
      <c r="L314" s="15">
        <v>682679020558</v>
      </c>
      <c r="M314" s="15">
        <v>8789113547</v>
      </c>
      <c r="N314" s="15"/>
    </row>
    <row r="315" spans="3:14" x14ac:dyDescent="0.3">
      <c r="C315" s="3">
        <v>43943</v>
      </c>
      <c r="D315" s="11">
        <v>1511</v>
      </c>
      <c r="G315" s="16" t="s">
        <v>328</v>
      </c>
      <c r="H315" s="16"/>
      <c r="I315" s="57"/>
      <c r="J315"/>
      <c r="L315" s="15">
        <v>755609849085</v>
      </c>
      <c r="M315" s="15">
        <v>6200117529</v>
      </c>
      <c r="N315" s="15"/>
    </row>
    <row r="316" spans="3:14" x14ac:dyDescent="0.3">
      <c r="C316" s="3">
        <v>43943</v>
      </c>
      <c r="D316" s="11">
        <v>1513</v>
      </c>
      <c r="G316" s="16" t="s">
        <v>329</v>
      </c>
      <c r="H316" s="16"/>
      <c r="I316" s="57"/>
      <c r="J316"/>
      <c r="L316" s="15">
        <v>511852896466</v>
      </c>
      <c r="M316" s="15">
        <v>9504115577</v>
      </c>
      <c r="N316" s="15"/>
    </row>
    <row r="317" spans="3:14" x14ac:dyDescent="0.3">
      <c r="C317" s="3">
        <v>43943</v>
      </c>
      <c r="D317" s="11">
        <v>1514</v>
      </c>
      <c r="G317" s="16" t="s">
        <v>330</v>
      </c>
      <c r="H317" s="16"/>
      <c r="I317" s="57"/>
      <c r="J317"/>
      <c r="L317" s="15">
        <v>421553023356</v>
      </c>
      <c r="M317" s="15">
        <v>9162546757</v>
      </c>
      <c r="N317" s="15"/>
    </row>
    <row r="318" spans="3:14" x14ac:dyDescent="0.3">
      <c r="C318" s="3">
        <v>43943</v>
      </c>
      <c r="D318" s="11">
        <v>1516</v>
      </c>
      <c r="G318" s="16" t="s">
        <v>331</v>
      </c>
      <c r="H318" s="16"/>
      <c r="I318" s="57"/>
      <c r="J318"/>
      <c r="L318" s="15">
        <v>337837753875</v>
      </c>
      <c r="M318" s="15">
        <v>7209782324</v>
      </c>
      <c r="N318" s="15"/>
    </row>
    <row r="319" spans="3:14" x14ac:dyDescent="0.3">
      <c r="C319" s="3">
        <v>43943</v>
      </c>
      <c r="D319" s="11">
        <v>1518</v>
      </c>
      <c r="G319" s="16" t="s">
        <v>332</v>
      </c>
      <c r="H319" s="16"/>
      <c r="I319" s="57"/>
      <c r="J319"/>
      <c r="L319" s="15">
        <v>614411907887</v>
      </c>
      <c r="M319" s="15">
        <v>9693547843</v>
      </c>
      <c r="N319" s="15"/>
    </row>
    <row r="320" spans="3:14" x14ac:dyDescent="0.3">
      <c r="C320" s="3">
        <v>43943</v>
      </c>
      <c r="D320" s="11">
        <v>1523</v>
      </c>
      <c r="G320" s="16" t="s">
        <v>333</v>
      </c>
      <c r="H320" s="16"/>
      <c r="I320" s="57"/>
      <c r="J320"/>
      <c r="L320" s="15">
        <v>585114490109</v>
      </c>
      <c r="M320" s="15">
        <v>6206363107</v>
      </c>
      <c r="N320" s="15"/>
    </row>
    <row r="321" spans="3:16" x14ac:dyDescent="0.3">
      <c r="C321" s="3">
        <v>43943</v>
      </c>
      <c r="D321" s="11">
        <v>1527</v>
      </c>
      <c r="G321" s="16" t="s">
        <v>334</v>
      </c>
      <c r="H321" s="16"/>
      <c r="I321" s="57"/>
      <c r="J321"/>
      <c r="L321" s="15">
        <v>494571832312</v>
      </c>
      <c r="M321" s="15">
        <v>8674950261</v>
      </c>
      <c r="N321" s="15"/>
    </row>
    <row r="322" spans="3:16" x14ac:dyDescent="0.3">
      <c r="C322" s="3">
        <v>43943</v>
      </c>
      <c r="D322" s="11">
        <v>1528</v>
      </c>
      <c r="G322" s="16" t="s">
        <v>335</v>
      </c>
      <c r="H322" s="16"/>
      <c r="I322" s="57"/>
      <c r="J322"/>
      <c r="L322" s="15">
        <v>249425959647</v>
      </c>
      <c r="M322" s="15">
        <v>7979906718</v>
      </c>
      <c r="N322" s="15"/>
    </row>
    <row r="323" spans="3:16" x14ac:dyDescent="0.3">
      <c r="C323" s="3">
        <v>43943</v>
      </c>
      <c r="D323" s="11">
        <v>1530</v>
      </c>
      <c r="G323" s="16" t="s">
        <v>336</v>
      </c>
      <c r="H323" s="16"/>
      <c r="I323" s="57"/>
      <c r="J323"/>
      <c r="L323" s="15">
        <v>323438773069</v>
      </c>
      <c r="M323" s="15">
        <v>9279494534</v>
      </c>
      <c r="N323" s="15"/>
    </row>
    <row r="324" spans="3:16" x14ac:dyDescent="0.3">
      <c r="C324" s="3">
        <v>43943</v>
      </c>
      <c r="D324" s="11">
        <v>1531</v>
      </c>
      <c r="G324" s="16" t="s">
        <v>297</v>
      </c>
      <c r="H324" s="16"/>
      <c r="I324" s="57"/>
      <c r="J324"/>
      <c r="L324" s="15">
        <v>870357558515</v>
      </c>
      <c r="M324" s="15">
        <v>9931802939</v>
      </c>
      <c r="N324" s="15"/>
    </row>
    <row r="325" spans="3:16" x14ac:dyDescent="0.3">
      <c r="C325" s="3">
        <v>43943</v>
      </c>
      <c r="D325" s="11">
        <v>1531</v>
      </c>
      <c r="G325" s="16" t="s">
        <v>297</v>
      </c>
      <c r="H325" s="16"/>
      <c r="I325" s="57"/>
      <c r="J325"/>
      <c r="L325" s="15">
        <v>870357558515</v>
      </c>
      <c r="M325" s="15">
        <v>9931802939</v>
      </c>
      <c r="N325" s="15"/>
    </row>
    <row r="326" spans="3:16" x14ac:dyDescent="0.3">
      <c r="C326" s="3">
        <v>43943</v>
      </c>
      <c r="D326" s="11">
        <v>1533</v>
      </c>
      <c r="G326" s="16" t="s">
        <v>337</v>
      </c>
      <c r="H326" s="16"/>
      <c r="I326" s="57"/>
      <c r="J326"/>
      <c r="L326" s="15">
        <v>384809460416</v>
      </c>
      <c r="M326" s="15">
        <v>8797935601</v>
      </c>
      <c r="N326" s="15"/>
    </row>
    <row r="327" spans="3:16" x14ac:dyDescent="0.3">
      <c r="C327" s="3">
        <v>43943</v>
      </c>
      <c r="D327" s="11">
        <v>1535</v>
      </c>
      <c r="G327" s="16" t="s">
        <v>338</v>
      </c>
      <c r="H327" s="16"/>
      <c r="I327" s="57"/>
      <c r="J327"/>
      <c r="L327" s="15">
        <v>892278551590</v>
      </c>
      <c r="M327" s="15">
        <v>9199462458</v>
      </c>
      <c r="N327" s="15"/>
    </row>
    <row r="328" spans="3:16" x14ac:dyDescent="0.3">
      <c r="C328" s="3">
        <v>43943</v>
      </c>
      <c r="D328" s="11">
        <v>1538</v>
      </c>
      <c r="G328" s="16" t="s">
        <v>339</v>
      </c>
      <c r="H328" s="16"/>
      <c r="I328" s="57"/>
      <c r="J328"/>
      <c r="L328" s="15">
        <v>704688647438</v>
      </c>
      <c r="M328" s="15">
        <v>7903830136</v>
      </c>
      <c r="N328" s="15"/>
    </row>
    <row r="329" spans="3:16" x14ac:dyDescent="0.3">
      <c r="C329" s="3">
        <v>43943</v>
      </c>
      <c r="D329" s="11">
        <v>1539</v>
      </c>
      <c r="G329" s="16" t="s">
        <v>340</v>
      </c>
      <c r="H329" s="16"/>
      <c r="I329" s="57"/>
      <c r="J329"/>
      <c r="L329" s="15">
        <v>573091473414</v>
      </c>
      <c r="M329" s="15">
        <v>8757991916</v>
      </c>
      <c r="N329" s="15"/>
    </row>
    <row r="330" spans="3:16" x14ac:dyDescent="0.3">
      <c r="C330" s="3">
        <v>43943</v>
      </c>
      <c r="D330" s="11">
        <v>1540</v>
      </c>
      <c r="G330" s="16" t="s">
        <v>341</v>
      </c>
      <c r="H330" s="16"/>
      <c r="I330" s="57"/>
      <c r="J330"/>
      <c r="L330" s="15">
        <v>366216000536</v>
      </c>
      <c r="M330" s="15">
        <v>9031906291</v>
      </c>
      <c r="N330" s="15"/>
    </row>
    <row r="331" spans="3:16" x14ac:dyDescent="0.3">
      <c r="C331" s="3">
        <v>43943</v>
      </c>
      <c r="D331" s="11">
        <v>1543</v>
      </c>
      <c r="G331" s="16" t="s">
        <v>342</v>
      </c>
      <c r="H331" s="16"/>
      <c r="I331" s="57"/>
      <c r="J331"/>
      <c r="L331" s="15">
        <v>974602448920</v>
      </c>
      <c r="M331" s="15">
        <v>9304538696</v>
      </c>
      <c r="N331" s="15"/>
    </row>
    <row r="332" spans="3:16" x14ac:dyDescent="0.3">
      <c r="C332" s="3">
        <v>43943</v>
      </c>
      <c r="D332" s="11">
        <v>1544</v>
      </c>
      <c r="G332" s="16" t="s">
        <v>343</v>
      </c>
      <c r="H332" s="16"/>
      <c r="I332" s="57"/>
      <c r="J332"/>
      <c r="L332" s="15">
        <v>990015357573</v>
      </c>
      <c r="M332" s="15">
        <v>8092028595</v>
      </c>
      <c r="N332" s="15"/>
    </row>
    <row r="333" spans="3:16" x14ac:dyDescent="0.3">
      <c r="C333" s="3">
        <v>43943</v>
      </c>
      <c r="D333" s="11">
        <v>1549</v>
      </c>
      <c r="G333" s="16" t="s">
        <v>344</v>
      </c>
      <c r="H333" s="16"/>
      <c r="I333" s="57"/>
      <c r="J333"/>
      <c r="L333" s="15">
        <v>227038804553</v>
      </c>
      <c r="M333" s="15">
        <v>7485067169</v>
      </c>
      <c r="N333" s="15"/>
    </row>
    <row r="334" spans="3:16" x14ac:dyDescent="0.3">
      <c r="C334" s="3">
        <v>43943</v>
      </c>
      <c r="D334" s="11">
        <v>1552</v>
      </c>
      <c r="G334" s="16" t="s">
        <v>345</v>
      </c>
      <c r="H334" s="16"/>
      <c r="I334" s="57"/>
      <c r="J334" t="s">
        <v>1211</v>
      </c>
      <c r="L334" s="15">
        <v>498468088612</v>
      </c>
      <c r="M334" s="15">
        <v>9263458852</v>
      </c>
      <c r="N334" s="15"/>
      <c r="P334" s="3">
        <v>44016</v>
      </c>
    </row>
    <row r="335" spans="3:16" x14ac:dyDescent="0.3">
      <c r="C335" s="3">
        <v>43943</v>
      </c>
      <c r="D335" s="11">
        <v>1555</v>
      </c>
      <c r="G335" s="16" t="s">
        <v>346</v>
      </c>
      <c r="H335" s="16"/>
      <c r="I335" s="57"/>
      <c r="J335"/>
      <c r="L335" s="15">
        <v>233068088612</v>
      </c>
      <c r="M335" s="15">
        <v>9135877532</v>
      </c>
      <c r="N335" s="15"/>
    </row>
    <row r="336" spans="3:16" x14ac:dyDescent="0.3">
      <c r="C336" s="3">
        <v>43943</v>
      </c>
      <c r="D336" s="11">
        <v>1558</v>
      </c>
      <c r="G336" s="16" t="s">
        <v>347</v>
      </c>
      <c r="H336" s="16"/>
      <c r="I336" s="57"/>
      <c r="J336"/>
      <c r="L336" s="15">
        <v>314913502092</v>
      </c>
      <c r="M336" s="15">
        <v>9931723895</v>
      </c>
      <c r="N336" s="15"/>
    </row>
    <row r="337" spans="3:14" x14ac:dyDescent="0.3">
      <c r="C337" s="3">
        <v>43943</v>
      </c>
      <c r="D337" s="11">
        <v>1559</v>
      </c>
      <c r="G337" s="16" t="s">
        <v>348</v>
      </c>
      <c r="H337" s="16"/>
      <c r="I337" s="57"/>
      <c r="J337"/>
      <c r="L337" s="15">
        <v>977741520865</v>
      </c>
      <c r="M337" s="15">
        <v>9262673895</v>
      </c>
      <c r="N337" s="15"/>
    </row>
    <row r="338" spans="3:14" x14ac:dyDescent="0.3">
      <c r="C338" s="3">
        <v>43943</v>
      </c>
      <c r="D338" s="11">
        <v>1560</v>
      </c>
      <c r="G338" s="16" t="s">
        <v>175</v>
      </c>
      <c r="H338" s="16"/>
      <c r="I338" s="57"/>
      <c r="J338"/>
      <c r="L338" s="15">
        <v>739528574762</v>
      </c>
      <c r="M338" s="15">
        <v>7903858875</v>
      </c>
      <c r="N338" s="15"/>
    </row>
    <row r="339" spans="3:14" x14ac:dyDescent="0.3">
      <c r="C339" s="3">
        <v>43943</v>
      </c>
      <c r="D339" s="11">
        <v>1561</v>
      </c>
      <c r="G339" s="16" t="s">
        <v>349</v>
      </c>
      <c r="H339" s="16"/>
      <c r="I339" s="57"/>
      <c r="J339"/>
      <c r="L339" s="15">
        <v>403100192332</v>
      </c>
      <c r="M339" s="15">
        <v>7903029789</v>
      </c>
      <c r="N339" s="15"/>
    </row>
    <row r="340" spans="3:14" x14ac:dyDescent="0.3">
      <c r="C340" s="3">
        <v>43943</v>
      </c>
      <c r="D340" s="11">
        <v>1563</v>
      </c>
      <c r="G340" s="16" t="s">
        <v>350</v>
      </c>
      <c r="H340" s="16"/>
      <c r="I340" s="57"/>
      <c r="J340"/>
      <c r="L340" s="15">
        <v>522932609844</v>
      </c>
      <c r="M340" s="15">
        <v>6201691486</v>
      </c>
      <c r="N340" s="15"/>
    </row>
    <row r="341" spans="3:14" x14ac:dyDescent="0.3">
      <c r="C341" s="3">
        <v>43943</v>
      </c>
      <c r="D341" s="11">
        <v>1564</v>
      </c>
      <c r="G341" s="16" t="s">
        <v>351</v>
      </c>
      <c r="H341" s="16"/>
      <c r="I341" s="57"/>
      <c r="J341"/>
      <c r="L341" s="15">
        <v>632347033441</v>
      </c>
      <c r="M341" s="15">
        <v>6206544462</v>
      </c>
      <c r="N341" s="15"/>
    </row>
    <row r="342" spans="3:14" x14ac:dyDescent="0.3">
      <c r="C342" s="3">
        <v>44035</v>
      </c>
      <c r="D342" s="11">
        <v>1568</v>
      </c>
      <c r="G342" s="16" t="s">
        <v>352</v>
      </c>
      <c r="H342" s="16"/>
      <c r="I342" s="57"/>
      <c r="J342"/>
      <c r="L342" s="15">
        <v>424581778670</v>
      </c>
      <c r="M342" s="15">
        <v>8102033882</v>
      </c>
      <c r="N342" s="15"/>
    </row>
    <row r="343" spans="3:14" x14ac:dyDescent="0.3">
      <c r="C343" s="3">
        <v>44035</v>
      </c>
      <c r="D343" s="11">
        <v>1569</v>
      </c>
      <c r="G343" s="16" t="s">
        <v>353</v>
      </c>
      <c r="H343" s="16"/>
      <c r="I343" s="57"/>
      <c r="J343"/>
      <c r="L343" s="15">
        <v>289452896503</v>
      </c>
      <c r="M343" s="15">
        <v>8434701798</v>
      </c>
      <c r="N343" s="15"/>
    </row>
    <row r="344" spans="3:14" x14ac:dyDescent="0.3">
      <c r="C344" s="3">
        <v>44035</v>
      </c>
      <c r="D344" s="11">
        <v>1570</v>
      </c>
      <c r="G344" s="16" t="s">
        <v>354</v>
      </c>
      <c r="H344" s="16"/>
      <c r="I344" s="57"/>
      <c r="J344"/>
      <c r="L344" s="15">
        <v>594931727772</v>
      </c>
      <c r="M344" s="15">
        <v>7209634139</v>
      </c>
      <c r="N344" s="15"/>
    </row>
    <row r="345" spans="3:14" x14ac:dyDescent="0.3">
      <c r="C345" s="3">
        <v>44035</v>
      </c>
      <c r="D345" s="11">
        <v>1572</v>
      </c>
      <c r="G345" s="16" t="s">
        <v>355</v>
      </c>
      <c r="H345" s="16"/>
      <c r="I345" s="57"/>
      <c r="J345"/>
      <c r="L345" s="15">
        <v>604151281775</v>
      </c>
      <c r="M345" s="15">
        <v>809261053</v>
      </c>
      <c r="N345" s="15"/>
    </row>
    <row r="346" spans="3:14" x14ac:dyDescent="0.3">
      <c r="C346" s="3">
        <v>44035</v>
      </c>
      <c r="D346" s="11">
        <v>1573</v>
      </c>
      <c r="G346" s="16" t="s">
        <v>356</v>
      </c>
      <c r="H346" s="16"/>
      <c r="I346" s="57"/>
      <c r="J346"/>
      <c r="L346" s="15">
        <v>220713032834</v>
      </c>
      <c r="M346" s="15">
        <v>9097560723</v>
      </c>
      <c r="N346" s="15"/>
    </row>
    <row r="347" spans="3:14" x14ac:dyDescent="0.3">
      <c r="C347" s="3">
        <v>44035</v>
      </c>
      <c r="D347" s="11">
        <v>1575</v>
      </c>
      <c r="G347" s="16" t="s">
        <v>357</v>
      </c>
      <c r="H347" s="16"/>
      <c r="I347" s="57"/>
      <c r="J347"/>
      <c r="L347" s="15">
        <v>577108604497</v>
      </c>
      <c r="M347" s="15">
        <v>9931502728</v>
      </c>
      <c r="N347" s="15"/>
    </row>
    <row r="348" spans="3:14" x14ac:dyDescent="0.3">
      <c r="C348" s="3">
        <v>44035</v>
      </c>
      <c r="D348" s="11">
        <v>1577</v>
      </c>
      <c r="G348" s="16" t="s">
        <v>358</v>
      </c>
      <c r="H348" s="16"/>
      <c r="I348" s="57"/>
      <c r="J348"/>
      <c r="L348" s="15">
        <v>705074125128</v>
      </c>
      <c r="M348" s="15">
        <v>6202271270</v>
      </c>
      <c r="N348" s="15"/>
    </row>
    <row r="349" spans="3:14" x14ac:dyDescent="0.3">
      <c r="C349" s="3">
        <v>44035</v>
      </c>
      <c r="D349" s="11">
        <v>1578</v>
      </c>
      <c r="G349" s="16" t="s">
        <v>359</v>
      </c>
      <c r="H349" s="16"/>
      <c r="I349" s="57"/>
      <c r="J349"/>
      <c r="L349" s="15">
        <v>439084605457</v>
      </c>
      <c r="M349" s="15">
        <v>7909030352</v>
      </c>
      <c r="N349" s="15"/>
    </row>
    <row r="350" spans="3:14" x14ac:dyDescent="0.3">
      <c r="C350" s="3">
        <v>44035</v>
      </c>
      <c r="D350" s="11">
        <v>1580</v>
      </c>
      <c r="G350" s="16" t="s">
        <v>360</v>
      </c>
      <c r="H350" s="16"/>
      <c r="I350" s="57"/>
      <c r="J350"/>
      <c r="L350" s="15">
        <v>564684837594</v>
      </c>
      <c r="M350" s="15">
        <v>6200618967</v>
      </c>
      <c r="N350" s="15"/>
    </row>
    <row r="351" spans="3:14" x14ac:dyDescent="0.3">
      <c r="C351" s="3">
        <v>44035</v>
      </c>
      <c r="D351" s="11">
        <v>1582</v>
      </c>
      <c r="G351" s="16" t="s">
        <v>361</v>
      </c>
      <c r="H351" s="16"/>
      <c r="I351" s="57"/>
      <c r="J351"/>
      <c r="L351" s="15">
        <v>281757786467</v>
      </c>
      <c r="M351" s="15">
        <v>6202438417</v>
      </c>
      <c r="N351" s="15"/>
    </row>
    <row r="352" spans="3:14" x14ac:dyDescent="0.3">
      <c r="C352" s="3">
        <v>44035</v>
      </c>
      <c r="D352" s="11">
        <v>1584</v>
      </c>
      <c r="G352" s="16" t="s">
        <v>362</v>
      </c>
      <c r="H352" s="16"/>
      <c r="I352" s="57"/>
      <c r="J352"/>
      <c r="L352" s="15">
        <v>354102936863</v>
      </c>
      <c r="M352" s="15">
        <v>9631473782</v>
      </c>
      <c r="N352" s="15"/>
    </row>
    <row r="353" spans="1:14" x14ac:dyDescent="0.3">
      <c r="C353" s="3">
        <v>44035</v>
      </c>
      <c r="D353" s="11">
        <v>1585</v>
      </c>
      <c r="G353" s="16" t="s">
        <v>363</v>
      </c>
      <c r="H353" s="16"/>
      <c r="I353" s="57"/>
      <c r="J353"/>
      <c r="L353" s="15">
        <v>682978880181</v>
      </c>
      <c r="M353" s="15">
        <v>7992351176</v>
      </c>
      <c r="N353" s="15"/>
    </row>
    <row r="354" spans="1:14" x14ac:dyDescent="0.3">
      <c r="C354" s="3">
        <v>44035</v>
      </c>
      <c r="D354" s="11">
        <v>1586</v>
      </c>
      <c r="G354" s="16" t="s">
        <v>364</v>
      </c>
      <c r="H354" s="16"/>
      <c r="I354" s="57"/>
      <c r="J354"/>
      <c r="L354" s="15">
        <v>904527034977</v>
      </c>
      <c r="M354" s="15">
        <v>7763884551</v>
      </c>
      <c r="N354" s="15"/>
    </row>
    <row r="355" spans="1:14" x14ac:dyDescent="0.3">
      <c r="C355" s="3">
        <v>44035</v>
      </c>
      <c r="D355" s="11">
        <v>1587</v>
      </c>
      <c r="G355" s="16" t="s">
        <v>365</v>
      </c>
      <c r="H355" s="16"/>
      <c r="I355" s="57"/>
      <c r="J355"/>
      <c r="L355" s="15">
        <v>596052930052</v>
      </c>
      <c r="M355" s="15">
        <v>7992351176</v>
      </c>
      <c r="N355" s="15"/>
    </row>
    <row r="356" spans="1:14" x14ac:dyDescent="0.3">
      <c r="C356" s="3">
        <v>44035</v>
      </c>
      <c r="D356" s="11">
        <v>1589</v>
      </c>
      <c r="G356" s="16" t="s">
        <v>366</v>
      </c>
      <c r="H356" s="16"/>
      <c r="I356" s="57"/>
      <c r="J356"/>
      <c r="L356" s="15">
        <v>283521996492</v>
      </c>
      <c r="M356" s="15">
        <v>9334797919</v>
      </c>
      <c r="N356" s="15"/>
    </row>
    <row r="357" spans="1:14" x14ac:dyDescent="0.3">
      <c r="C357" s="3">
        <v>44035</v>
      </c>
      <c r="D357" s="11">
        <v>1591</v>
      </c>
      <c r="G357" s="16" t="s">
        <v>367</v>
      </c>
      <c r="H357" s="16"/>
      <c r="I357" s="57"/>
      <c r="J357"/>
      <c r="L357" s="15">
        <v>957417226742</v>
      </c>
      <c r="M357" s="15">
        <v>9304690362</v>
      </c>
      <c r="N357" s="15"/>
    </row>
    <row r="358" spans="1:14" x14ac:dyDescent="0.3">
      <c r="C358" s="3">
        <v>44035</v>
      </c>
      <c r="D358" s="11">
        <v>1593</v>
      </c>
      <c r="G358" s="16" t="s">
        <v>368</v>
      </c>
      <c r="H358" s="16"/>
      <c r="I358" s="57"/>
      <c r="J358"/>
      <c r="L358" s="15">
        <v>821733423993</v>
      </c>
      <c r="M358" s="15">
        <v>8340798659</v>
      </c>
      <c r="N358" s="15"/>
    </row>
    <row r="359" spans="1:14" x14ac:dyDescent="0.3">
      <c r="C359" s="3">
        <v>44035</v>
      </c>
      <c r="D359" s="11">
        <v>1595</v>
      </c>
      <c r="G359" s="16" t="s">
        <v>369</v>
      </c>
      <c r="H359" s="16"/>
      <c r="I359" s="57"/>
      <c r="J359"/>
      <c r="L359" s="15">
        <v>544069093384</v>
      </c>
      <c r="M359" s="15">
        <v>7319634292</v>
      </c>
      <c r="N359" s="15"/>
    </row>
    <row r="360" spans="1:14" x14ac:dyDescent="0.3">
      <c r="C360" s="3">
        <v>44035</v>
      </c>
      <c r="D360" s="11">
        <v>1596</v>
      </c>
      <c r="G360" s="16" t="s">
        <v>370</v>
      </c>
      <c r="H360" s="16"/>
      <c r="I360" s="57"/>
      <c r="J360"/>
      <c r="L360" s="15">
        <v>539357763425</v>
      </c>
      <c r="M360" s="15">
        <v>8292996345</v>
      </c>
      <c r="N360" s="15"/>
    </row>
    <row r="361" spans="1:14" x14ac:dyDescent="0.3">
      <c r="C361" s="3">
        <v>44035</v>
      </c>
      <c r="D361" s="11">
        <v>1597</v>
      </c>
      <c r="G361" s="16" t="s">
        <v>371</v>
      </c>
      <c r="H361" s="16"/>
      <c r="I361" s="57"/>
      <c r="J361"/>
      <c r="L361" s="15">
        <v>407430407231</v>
      </c>
      <c r="M361" s="15">
        <v>7070361149</v>
      </c>
      <c r="N361" s="15"/>
    </row>
    <row r="362" spans="1:14" x14ac:dyDescent="0.3">
      <c r="C362" s="3">
        <v>44035</v>
      </c>
      <c r="D362" s="11">
        <v>1601</v>
      </c>
      <c r="G362" s="16" t="s">
        <v>372</v>
      </c>
      <c r="H362" s="16"/>
      <c r="I362" s="57"/>
      <c r="J362"/>
      <c r="L362" s="15">
        <v>586031319285</v>
      </c>
      <c r="M362" s="15">
        <v>7209811286</v>
      </c>
      <c r="N362" s="15"/>
    </row>
    <row r="363" spans="1:14" x14ac:dyDescent="0.3">
      <c r="C363" s="3">
        <v>44035</v>
      </c>
      <c r="D363" s="11">
        <v>1604</v>
      </c>
      <c r="G363" s="16" t="s">
        <v>373</v>
      </c>
      <c r="H363" s="16"/>
      <c r="I363" s="57"/>
      <c r="J363"/>
      <c r="L363" s="15">
        <v>661757075927</v>
      </c>
      <c r="M363" s="15">
        <v>8085371471</v>
      </c>
      <c r="N363" s="15"/>
    </row>
    <row r="364" spans="1:14" x14ac:dyDescent="0.3">
      <c r="C364" s="3">
        <v>44035</v>
      </c>
      <c r="D364" s="11">
        <v>1607</v>
      </c>
      <c r="G364" s="16" t="s">
        <v>374</v>
      </c>
      <c r="H364" s="16"/>
      <c r="I364" s="57"/>
      <c r="J364"/>
      <c r="L364" s="15">
        <v>895036514842</v>
      </c>
      <c r="M364" s="15">
        <v>8434668600</v>
      </c>
      <c r="N364" s="15"/>
    </row>
    <row r="365" spans="1:14" x14ac:dyDescent="0.3">
      <c r="C365" s="3">
        <v>44035</v>
      </c>
      <c r="D365" s="11">
        <v>1611</v>
      </c>
      <c r="G365" s="16" t="s">
        <v>375</v>
      </c>
      <c r="H365" s="16"/>
      <c r="I365" s="57"/>
      <c r="J365"/>
      <c r="L365" s="15">
        <v>993703146843</v>
      </c>
      <c r="M365" s="15">
        <v>7631045059</v>
      </c>
      <c r="N365" s="15"/>
    </row>
    <row r="366" spans="1:14" x14ac:dyDescent="0.3">
      <c r="C366" s="3">
        <v>44035</v>
      </c>
      <c r="D366" s="11">
        <v>1613</v>
      </c>
      <c r="G366" s="16" t="s">
        <v>376</v>
      </c>
      <c r="H366" s="16"/>
      <c r="I366" s="57"/>
      <c r="J366"/>
      <c r="L366" s="15">
        <v>376505639200</v>
      </c>
      <c r="M366" s="15">
        <v>8210600370</v>
      </c>
      <c r="N366" s="15"/>
    </row>
    <row r="367" spans="1:14" x14ac:dyDescent="0.3">
      <c r="A367" t="s">
        <v>7025</v>
      </c>
      <c r="C367" s="3">
        <v>44035</v>
      </c>
      <c r="D367" s="11">
        <v>1614</v>
      </c>
      <c r="G367" s="16" t="s">
        <v>377</v>
      </c>
      <c r="H367" s="16"/>
      <c r="I367" s="57"/>
      <c r="J367"/>
      <c r="L367" s="15">
        <v>989347235912</v>
      </c>
      <c r="M367" s="15">
        <v>9534168330</v>
      </c>
      <c r="N367" s="15"/>
    </row>
    <row r="368" spans="1:14" x14ac:dyDescent="0.3">
      <c r="C368" s="3">
        <v>44035</v>
      </c>
      <c r="D368" s="11">
        <v>1617</v>
      </c>
      <c r="G368" s="16" t="s">
        <v>378</v>
      </c>
      <c r="H368" s="16"/>
      <c r="I368" s="57"/>
      <c r="J368"/>
      <c r="L368" s="15">
        <v>754616887829</v>
      </c>
      <c r="M368" s="15">
        <v>9801461096</v>
      </c>
      <c r="N368" s="15"/>
    </row>
    <row r="369" spans="1:14" x14ac:dyDescent="0.3">
      <c r="C369" s="3">
        <v>44035</v>
      </c>
      <c r="D369" s="11">
        <v>1618</v>
      </c>
      <c r="G369" s="16" t="s">
        <v>379</v>
      </c>
      <c r="H369" s="16"/>
      <c r="I369" s="57"/>
      <c r="J369"/>
      <c r="L369" s="15">
        <v>845441065834</v>
      </c>
      <c r="M369" s="15"/>
      <c r="N369" s="15"/>
    </row>
    <row r="370" spans="1:14" x14ac:dyDescent="0.3">
      <c r="A370" t="s">
        <v>7027</v>
      </c>
      <c r="C370" s="3">
        <v>44035</v>
      </c>
      <c r="D370" s="11">
        <v>1621</v>
      </c>
      <c r="G370" s="16" t="s">
        <v>380</v>
      </c>
      <c r="H370" s="16"/>
      <c r="I370" s="57"/>
      <c r="J370"/>
      <c r="L370" s="15">
        <v>566872755513</v>
      </c>
      <c r="M370" s="15">
        <v>7484999452</v>
      </c>
      <c r="N370" s="15"/>
    </row>
    <row r="371" spans="1:14" x14ac:dyDescent="0.3">
      <c r="C371" s="3">
        <v>44035</v>
      </c>
      <c r="D371" s="11">
        <v>1623</v>
      </c>
      <c r="G371" s="16" t="s">
        <v>381</v>
      </c>
      <c r="H371" s="16"/>
      <c r="I371" s="57"/>
      <c r="J371"/>
      <c r="L371" s="15">
        <v>635147495907</v>
      </c>
      <c r="M371" s="15">
        <v>9031707650</v>
      </c>
      <c r="N371" s="15"/>
    </row>
    <row r="372" spans="1:14" x14ac:dyDescent="0.3">
      <c r="C372" s="3">
        <v>44035</v>
      </c>
      <c r="D372" s="11">
        <v>1624</v>
      </c>
      <c r="G372" s="16" t="s">
        <v>382</v>
      </c>
      <c r="H372" s="16"/>
      <c r="I372" s="57"/>
      <c r="J372"/>
      <c r="L372" s="15">
        <v>790878048420</v>
      </c>
      <c r="M372" s="15">
        <v>8210233172</v>
      </c>
      <c r="N372" s="15"/>
    </row>
    <row r="373" spans="1:14" x14ac:dyDescent="0.3">
      <c r="C373" s="3">
        <v>44035</v>
      </c>
      <c r="D373" s="11">
        <v>1627</v>
      </c>
      <c r="G373" s="16" t="s">
        <v>383</v>
      </c>
      <c r="H373" s="16"/>
      <c r="I373" s="57"/>
      <c r="J373"/>
      <c r="L373" s="15">
        <v>378886779760</v>
      </c>
      <c r="M373" s="15">
        <v>7004478788</v>
      </c>
      <c r="N373" s="15"/>
    </row>
    <row r="374" spans="1:14" x14ac:dyDescent="0.3">
      <c r="C374" s="3">
        <v>44035</v>
      </c>
      <c r="D374" s="11">
        <v>1628</v>
      </c>
      <c r="G374" s="16" t="s">
        <v>369</v>
      </c>
      <c r="H374" s="16"/>
      <c r="I374" s="57"/>
      <c r="J374"/>
      <c r="L374" s="15">
        <v>832037656794</v>
      </c>
      <c r="M374" s="15">
        <v>7992380825</v>
      </c>
      <c r="N374" s="15"/>
    </row>
    <row r="375" spans="1:14" x14ac:dyDescent="0.3">
      <c r="C375" s="3">
        <v>44035</v>
      </c>
      <c r="D375" s="11">
        <v>1630</v>
      </c>
      <c r="G375" s="16" t="s">
        <v>384</v>
      </c>
      <c r="H375" s="16"/>
      <c r="I375" s="57"/>
      <c r="J375"/>
      <c r="L375" s="15">
        <v>498085116803</v>
      </c>
      <c r="M375" s="15">
        <v>9031394432</v>
      </c>
      <c r="N375" s="15"/>
    </row>
    <row r="376" spans="1:14" x14ac:dyDescent="0.3">
      <c r="C376" s="3">
        <v>44035</v>
      </c>
      <c r="D376" s="11">
        <v>1632</v>
      </c>
      <c r="G376" s="16" t="s">
        <v>385</v>
      </c>
      <c r="H376" s="16"/>
      <c r="I376" s="57"/>
      <c r="J376"/>
      <c r="L376" s="15">
        <v>327306672293</v>
      </c>
      <c r="M376" s="15">
        <v>6204294669</v>
      </c>
      <c r="N376" s="15"/>
    </row>
    <row r="377" spans="1:14" x14ac:dyDescent="0.3">
      <c r="C377" s="3">
        <v>44035</v>
      </c>
      <c r="D377" s="11">
        <v>1634</v>
      </c>
      <c r="G377" s="16" t="s">
        <v>386</v>
      </c>
      <c r="H377" s="16"/>
      <c r="I377" s="57"/>
      <c r="J377"/>
      <c r="L377" s="15">
        <v>674051947991</v>
      </c>
      <c r="M377" s="15">
        <v>8102125251</v>
      </c>
      <c r="N377" s="15"/>
    </row>
    <row r="378" spans="1:14" x14ac:dyDescent="0.3">
      <c r="C378" s="3">
        <v>44035</v>
      </c>
      <c r="D378" s="11">
        <v>1636</v>
      </c>
      <c r="G378" s="16" t="s">
        <v>387</v>
      </c>
      <c r="H378" s="16"/>
      <c r="I378" s="57"/>
      <c r="J378"/>
      <c r="L378" s="15">
        <v>515605391576</v>
      </c>
      <c r="M378" s="15">
        <v>7543854789</v>
      </c>
      <c r="N378" s="15"/>
    </row>
    <row r="379" spans="1:14" x14ac:dyDescent="0.3">
      <c r="C379" s="3">
        <v>44035</v>
      </c>
      <c r="D379" s="11">
        <v>1637</v>
      </c>
      <c r="G379" s="16" t="s">
        <v>192</v>
      </c>
      <c r="H379" s="16"/>
      <c r="I379" s="57"/>
      <c r="J379"/>
      <c r="L379" s="15">
        <v>822665888234</v>
      </c>
      <c r="M379" s="15">
        <v>6206918113</v>
      </c>
      <c r="N379" s="15"/>
    </row>
    <row r="380" spans="1:14" x14ac:dyDescent="0.3">
      <c r="C380" s="3">
        <v>44035</v>
      </c>
      <c r="D380" s="11">
        <v>1640</v>
      </c>
      <c r="G380" s="16" t="s">
        <v>388</v>
      </c>
      <c r="H380" s="16"/>
      <c r="I380" s="57"/>
      <c r="J380"/>
      <c r="L380" s="15">
        <v>248875698064</v>
      </c>
      <c r="M380" s="15">
        <v>7209950245</v>
      </c>
      <c r="N380" s="15"/>
    </row>
    <row r="381" spans="1:14" x14ac:dyDescent="0.3">
      <c r="C381" s="3">
        <v>44035</v>
      </c>
      <c r="D381" s="11">
        <v>1642</v>
      </c>
      <c r="G381" s="16" t="s">
        <v>389</v>
      </c>
      <c r="H381" s="16"/>
      <c r="I381" s="57"/>
      <c r="J381"/>
      <c r="L381" s="15">
        <v>233109851203</v>
      </c>
      <c r="M381" s="15">
        <v>8002726662</v>
      </c>
      <c r="N381" s="15"/>
    </row>
    <row r="382" spans="1:14" x14ac:dyDescent="0.3">
      <c r="C382" s="3">
        <v>44035</v>
      </c>
      <c r="D382" s="11">
        <v>1643</v>
      </c>
      <c r="G382" s="16" t="s">
        <v>390</v>
      </c>
      <c r="H382" s="16"/>
      <c r="I382" s="57"/>
      <c r="J382"/>
      <c r="L382" s="15">
        <v>879171434005</v>
      </c>
      <c r="M382" s="15">
        <v>7209442966</v>
      </c>
      <c r="N382" s="15"/>
    </row>
    <row r="383" spans="1:14" x14ac:dyDescent="0.3">
      <c r="C383" s="3">
        <v>44035</v>
      </c>
      <c r="D383" s="11">
        <v>1645</v>
      </c>
      <c r="G383" s="16" t="s">
        <v>391</v>
      </c>
      <c r="H383" s="16"/>
      <c r="I383" s="57"/>
      <c r="J383"/>
      <c r="L383" s="15">
        <v>806709981013</v>
      </c>
      <c r="M383" s="15">
        <v>7488096552</v>
      </c>
      <c r="N383" s="15"/>
    </row>
    <row r="384" spans="1:14" x14ac:dyDescent="0.3">
      <c r="C384" s="3">
        <v>43947</v>
      </c>
      <c r="D384" s="11">
        <v>1748</v>
      </c>
      <c r="G384" s="16" t="s">
        <v>392</v>
      </c>
      <c r="H384" s="16"/>
      <c r="I384" s="57"/>
      <c r="J384"/>
      <c r="L384" s="15">
        <v>326800394889</v>
      </c>
      <c r="M384" s="15">
        <v>628786302</v>
      </c>
      <c r="N384" s="15"/>
    </row>
    <row r="385" spans="3:18" x14ac:dyDescent="0.3">
      <c r="C385" s="3">
        <v>43947</v>
      </c>
      <c r="D385" s="11">
        <v>1749</v>
      </c>
      <c r="G385" s="16" t="s">
        <v>393</v>
      </c>
      <c r="H385" s="16"/>
      <c r="I385" s="57"/>
      <c r="J385"/>
      <c r="L385" s="15">
        <v>946705384200</v>
      </c>
      <c r="M385" s="15">
        <v>8797831300</v>
      </c>
      <c r="N385" s="15"/>
    </row>
    <row r="386" spans="3:18" x14ac:dyDescent="0.3">
      <c r="C386" s="3">
        <v>43947</v>
      </c>
      <c r="D386" s="11">
        <v>1750</v>
      </c>
      <c r="G386" s="16" t="s">
        <v>394</v>
      </c>
      <c r="H386" s="16"/>
      <c r="I386" s="57"/>
      <c r="J386"/>
      <c r="L386" s="15">
        <v>486957609307</v>
      </c>
      <c r="M386" s="15">
        <v>9798733091</v>
      </c>
      <c r="N386" s="15"/>
    </row>
    <row r="387" spans="3:18" x14ac:dyDescent="0.3">
      <c r="C387" s="3">
        <v>43947</v>
      </c>
      <c r="D387" s="11">
        <v>1753</v>
      </c>
      <c r="G387" s="16" t="s">
        <v>395</v>
      </c>
      <c r="H387" s="16"/>
      <c r="I387" s="57"/>
      <c r="J387"/>
      <c r="L387" s="15">
        <v>635475006790</v>
      </c>
      <c r="M387" s="15">
        <v>9113752676</v>
      </c>
      <c r="N387" s="15"/>
    </row>
    <row r="388" spans="3:18" x14ac:dyDescent="0.3">
      <c r="C388" s="3">
        <v>43947</v>
      </c>
      <c r="D388" s="11">
        <v>1754</v>
      </c>
      <c r="G388" s="16" t="s">
        <v>396</v>
      </c>
      <c r="H388" s="16"/>
      <c r="I388" s="57"/>
      <c r="J388"/>
      <c r="L388" s="15">
        <v>880158244280</v>
      </c>
      <c r="M388" s="15">
        <v>8002279102</v>
      </c>
      <c r="N388" s="15"/>
    </row>
    <row r="389" spans="3:18" x14ac:dyDescent="0.3">
      <c r="C389" s="3">
        <v>43947</v>
      </c>
      <c r="D389" s="11">
        <v>1755</v>
      </c>
      <c r="G389" s="16" t="s">
        <v>303</v>
      </c>
      <c r="H389" s="16"/>
      <c r="I389" s="57"/>
      <c r="J389"/>
      <c r="L389" s="15">
        <v>201197697084</v>
      </c>
      <c r="M389" s="15">
        <v>9162536654</v>
      </c>
      <c r="N389" s="15"/>
    </row>
    <row r="390" spans="3:18" x14ac:dyDescent="0.3">
      <c r="C390" s="3">
        <v>43947</v>
      </c>
      <c r="D390" s="11">
        <v>1756</v>
      </c>
      <c r="G390" s="16" t="s">
        <v>397</v>
      </c>
      <c r="H390" s="16"/>
      <c r="I390" s="57"/>
      <c r="J390"/>
      <c r="L390" s="15">
        <v>637737535690</v>
      </c>
      <c r="M390" s="15">
        <v>8210926195</v>
      </c>
      <c r="N390" s="15"/>
    </row>
    <row r="391" spans="3:18" x14ac:dyDescent="0.3">
      <c r="C391" s="3">
        <v>43947</v>
      </c>
      <c r="D391" s="11">
        <v>1758</v>
      </c>
      <c r="G391" s="16" t="s">
        <v>398</v>
      </c>
      <c r="H391" s="16"/>
      <c r="I391" s="57"/>
      <c r="J391"/>
      <c r="L391" s="15">
        <v>637737535690</v>
      </c>
      <c r="M391" s="15">
        <v>8210926195</v>
      </c>
      <c r="N391" s="15"/>
    </row>
    <row r="392" spans="3:18" x14ac:dyDescent="0.3">
      <c r="C392" s="3">
        <v>43947</v>
      </c>
      <c r="D392" s="11">
        <v>1760</v>
      </c>
      <c r="G392" s="16" t="s">
        <v>368</v>
      </c>
      <c r="H392" s="16"/>
      <c r="I392" s="57"/>
      <c r="J392"/>
      <c r="L392" s="15">
        <v>458917656899</v>
      </c>
      <c r="M392" s="15">
        <v>9279734621</v>
      </c>
      <c r="N392" s="15"/>
    </row>
    <row r="393" spans="3:18" x14ac:dyDescent="0.3">
      <c r="C393" s="3">
        <v>43947</v>
      </c>
      <c r="D393" s="11">
        <v>1761</v>
      </c>
      <c r="G393" s="16" t="s">
        <v>220</v>
      </c>
      <c r="H393" s="16"/>
      <c r="I393" s="57"/>
      <c r="J393"/>
      <c r="L393" s="15">
        <v>321029701406</v>
      </c>
      <c r="M393" s="15">
        <v>8092633008</v>
      </c>
      <c r="N393" s="15"/>
    </row>
    <row r="394" spans="3:18" x14ac:dyDescent="0.3">
      <c r="C394" s="3">
        <v>43947</v>
      </c>
      <c r="D394" s="11">
        <v>1764</v>
      </c>
      <c r="G394" s="16" t="s">
        <v>399</v>
      </c>
      <c r="H394" s="16"/>
      <c r="I394" s="57"/>
      <c r="J394"/>
      <c r="L394" s="15">
        <v>632043571594</v>
      </c>
      <c r="M394" s="15">
        <v>9031039676</v>
      </c>
      <c r="N394" s="15"/>
    </row>
    <row r="395" spans="3:18" x14ac:dyDescent="0.3">
      <c r="C395" s="3">
        <v>43947</v>
      </c>
      <c r="D395" s="11">
        <v>1766</v>
      </c>
      <c r="G395" s="16" t="s">
        <v>400</v>
      </c>
      <c r="H395" s="16"/>
      <c r="I395" s="57"/>
      <c r="J395"/>
      <c r="L395" s="15">
        <v>737227718327</v>
      </c>
      <c r="M395" s="15">
        <v>8797792618</v>
      </c>
      <c r="N395" s="15"/>
    </row>
    <row r="396" spans="3:18" x14ac:dyDescent="0.3">
      <c r="C396" s="3">
        <v>43947</v>
      </c>
      <c r="D396" s="11">
        <v>1767</v>
      </c>
      <c r="G396" s="16" t="s">
        <v>401</v>
      </c>
      <c r="H396" s="16"/>
      <c r="I396" s="57"/>
      <c r="J396"/>
      <c r="L396" s="15">
        <v>635894582944</v>
      </c>
      <c r="M396" s="15">
        <v>7667871768</v>
      </c>
      <c r="N396" s="15"/>
      <c r="O396" s="4" t="s">
        <v>16</v>
      </c>
      <c r="P396" s="4" t="s">
        <v>7331</v>
      </c>
      <c r="Q396" s="4" t="s">
        <v>19</v>
      </c>
      <c r="R396" s="4" t="s">
        <v>19</v>
      </c>
    </row>
    <row r="397" spans="3:18" x14ac:dyDescent="0.3">
      <c r="C397" s="3">
        <v>43947</v>
      </c>
      <c r="D397" s="11">
        <v>1768</v>
      </c>
      <c r="G397" s="16" t="s">
        <v>1573</v>
      </c>
      <c r="H397" s="16"/>
      <c r="I397" s="57"/>
      <c r="J397"/>
      <c r="L397" s="15">
        <v>571063450038</v>
      </c>
      <c r="M397" s="15">
        <v>6200455335</v>
      </c>
      <c r="N397" s="15"/>
    </row>
    <row r="398" spans="3:18" x14ac:dyDescent="0.3">
      <c r="C398" s="3">
        <v>43947</v>
      </c>
      <c r="D398" s="11">
        <v>1770</v>
      </c>
      <c r="G398" s="16" t="s">
        <v>402</v>
      </c>
      <c r="H398" s="16"/>
      <c r="I398" s="57"/>
      <c r="J398"/>
      <c r="L398" s="15">
        <v>343683505314</v>
      </c>
      <c r="M398" s="15">
        <v>7209830554</v>
      </c>
      <c r="N398" s="15"/>
    </row>
    <row r="399" spans="3:18" x14ac:dyDescent="0.3">
      <c r="C399" s="3">
        <v>43947</v>
      </c>
      <c r="D399" s="11">
        <v>1772</v>
      </c>
      <c r="G399" s="16" t="s">
        <v>403</v>
      </c>
      <c r="H399" s="16"/>
      <c r="I399" s="57"/>
      <c r="J399"/>
      <c r="L399" s="15">
        <v>566148522530</v>
      </c>
      <c r="M399" s="15">
        <v>6201299769</v>
      </c>
      <c r="N399" s="15"/>
    </row>
    <row r="400" spans="3:18" x14ac:dyDescent="0.3">
      <c r="C400" s="3">
        <v>43947</v>
      </c>
      <c r="D400" s="11">
        <v>1773</v>
      </c>
      <c r="G400" s="16" t="s">
        <v>404</v>
      </c>
      <c r="H400" s="16"/>
      <c r="I400" s="57"/>
      <c r="J400"/>
      <c r="L400" s="15">
        <v>253348677354</v>
      </c>
      <c r="M400" s="15">
        <v>9263310602</v>
      </c>
      <c r="N400" s="15"/>
    </row>
    <row r="401" spans="1:14" x14ac:dyDescent="0.3">
      <c r="C401" s="3">
        <v>43947</v>
      </c>
      <c r="D401" s="11">
        <v>1778</v>
      </c>
      <c r="G401" s="16" t="s">
        <v>405</v>
      </c>
      <c r="H401" s="16"/>
      <c r="I401" s="57"/>
      <c r="J401"/>
      <c r="L401" s="15">
        <v>676484077570</v>
      </c>
      <c r="M401" s="15">
        <v>7061499610</v>
      </c>
      <c r="N401" s="15"/>
    </row>
    <row r="402" spans="1:14" x14ac:dyDescent="0.3">
      <c r="C402" s="3">
        <v>43947</v>
      </c>
      <c r="D402" s="11">
        <v>1779</v>
      </c>
      <c r="G402" s="16" t="s">
        <v>406</v>
      </c>
      <c r="H402" s="16"/>
      <c r="I402" s="57"/>
      <c r="J402"/>
      <c r="L402" s="15">
        <v>498289958527</v>
      </c>
      <c r="M402" s="15">
        <v>8434501140</v>
      </c>
      <c r="N402" s="15"/>
    </row>
    <row r="403" spans="1:14" x14ac:dyDescent="0.3">
      <c r="C403" s="3">
        <v>43947</v>
      </c>
      <c r="D403" s="11">
        <v>1781</v>
      </c>
      <c r="G403" s="16" t="s">
        <v>407</v>
      </c>
      <c r="H403" s="16"/>
      <c r="I403" s="57"/>
      <c r="J403"/>
      <c r="L403" s="15">
        <v>235182880101</v>
      </c>
      <c r="M403" s="15">
        <v>9031904908</v>
      </c>
      <c r="N403" s="15"/>
    </row>
    <row r="404" spans="1:14" x14ac:dyDescent="0.3">
      <c r="C404" s="3">
        <v>43947</v>
      </c>
      <c r="D404" s="11">
        <v>1782</v>
      </c>
      <c r="G404" s="16" t="s">
        <v>408</v>
      </c>
      <c r="H404" s="16"/>
      <c r="I404" s="57"/>
      <c r="J404"/>
      <c r="L404" s="15">
        <v>438628180076</v>
      </c>
      <c r="M404" s="15">
        <v>9110936837</v>
      </c>
      <c r="N404" s="15"/>
    </row>
    <row r="405" spans="1:14" x14ac:dyDescent="0.3">
      <c r="C405" s="3">
        <v>43947</v>
      </c>
      <c r="D405" s="11">
        <v>1783</v>
      </c>
      <c r="G405" s="16" t="s">
        <v>409</v>
      </c>
      <c r="H405" s="16"/>
      <c r="I405" s="57"/>
      <c r="J405"/>
      <c r="L405" s="15">
        <v>579359010621</v>
      </c>
      <c r="M405" s="15">
        <v>9263598198</v>
      </c>
      <c r="N405" s="15"/>
    </row>
    <row r="406" spans="1:14" x14ac:dyDescent="0.3">
      <c r="C406" s="3">
        <v>43947</v>
      </c>
      <c r="D406" s="11">
        <v>1784</v>
      </c>
      <c r="G406" s="16" t="s">
        <v>410</v>
      </c>
      <c r="H406" s="16"/>
      <c r="I406" s="57"/>
      <c r="J406"/>
      <c r="L406" s="15">
        <v>341303224393</v>
      </c>
      <c r="M406" s="15">
        <v>7261026600</v>
      </c>
      <c r="N406" s="15"/>
    </row>
    <row r="407" spans="1:14" x14ac:dyDescent="0.3">
      <c r="C407" s="3">
        <v>43947</v>
      </c>
      <c r="D407" s="11">
        <v>1785</v>
      </c>
      <c r="G407" s="16" t="s">
        <v>411</v>
      </c>
      <c r="H407" s="16"/>
      <c r="I407" s="57"/>
      <c r="J407"/>
      <c r="L407" s="15">
        <v>869888900269</v>
      </c>
      <c r="M407" s="15">
        <v>9234334855</v>
      </c>
      <c r="N407" s="15"/>
    </row>
    <row r="408" spans="1:14" x14ac:dyDescent="0.3">
      <c r="C408" s="3">
        <v>43947</v>
      </c>
      <c r="D408" s="11">
        <v>1787</v>
      </c>
      <c r="G408" s="16" t="s">
        <v>412</v>
      </c>
      <c r="H408" s="16"/>
      <c r="I408" s="57"/>
      <c r="J408"/>
      <c r="L408" s="15">
        <v>507427141286</v>
      </c>
      <c r="M408" s="15">
        <v>9234275322</v>
      </c>
      <c r="N408" s="15"/>
    </row>
    <row r="409" spans="1:14" x14ac:dyDescent="0.3">
      <c r="C409" s="3">
        <v>43947</v>
      </c>
      <c r="D409" s="11">
        <v>1788</v>
      </c>
      <c r="G409" s="16" t="s">
        <v>413</v>
      </c>
      <c r="H409" s="16"/>
      <c r="I409" s="57"/>
      <c r="J409"/>
      <c r="L409" s="15">
        <v>549445410835</v>
      </c>
      <c r="M409" s="15">
        <v>6204980169</v>
      </c>
      <c r="N409" s="15"/>
    </row>
    <row r="410" spans="1:14" x14ac:dyDescent="0.3">
      <c r="C410" s="3">
        <v>43947</v>
      </c>
      <c r="D410" s="11">
        <v>1789</v>
      </c>
      <c r="G410" s="16" t="s">
        <v>414</v>
      </c>
      <c r="H410" s="16"/>
      <c r="I410" s="57"/>
      <c r="J410"/>
      <c r="L410" s="15">
        <v>326739420269</v>
      </c>
      <c r="M410" s="15">
        <v>9534009898</v>
      </c>
      <c r="N410" s="15"/>
    </row>
    <row r="411" spans="1:14" x14ac:dyDescent="0.3">
      <c r="C411" s="3">
        <v>43947</v>
      </c>
      <c r="D411" s="11">
        <v>1791</v>
      </c>
      <c r="G411" s="16" t="s">
        <v>415</v>
      </c>
      <c r="H411" s="16"/>
      <c r="I411" s="57"/>
      <c r="J411"/>
      <c r="L411" s="15">
        <v>569629558465</v>
      </c>
      <c r="M411" s="15">
        <v>8709352781</v>
      </c>
      <c r="N411" s="15"/>
    </row>
    <row r="412" spans="1:14" x14ac:dyDescent="0.3">
      <c r="C412" s="3">
        <v>43947</v>
      </c>
      <c r="D412" s="11">
        <v>1792</v>
      </c>
      <c r="G412" s="16" t="s">
        <v>416</v>
      </c>
      <c r="H412" s="16"/>
      <c r="I412" s="57"/>
      <c r="J412"/>
      <c r="L412" s="15">
        <v>902447556352</v>
      </c>
      <c r="M412" s="15">
        <v>7634890531</v>
      </c>
      <c r="N412" s="15"/>
    </row>
    <row r="413" spans="1:14" x14ac:dyDescent="0.3">
      <c r="C413" s="3">
        <v>43947</v>
      </c>
      <c r="D413" s="11">
        <v>1793</v>
      </c>
      <c r="G413" s="16" t="s">
        <v>417</v>
      </c>
      <c r="H413" s="16"/>
      <c r="I413" s="57"/>
      <c r="J413"/>
      <c r="L413" s="15">
        <v>218961621758</v>
      </c>
      <c r="M413" s="15">
        <v>6202277408</v>
      </c>
      <c r="N413" s="15"/>
    </row>
    <row r="414" spans="1:14" x14ac:dyDescent="0.3">
      <c r="C414" s="3">
        <v>43947</v>
      </c>
      <c r="D414" s="11">
        <v>1795</v>
      </c>
      <c r="G414" s="16" t="s">
        <v>418</v>
      </c>
      <c r="H414" s="16"/>
      <c r="I414" s="57"/>
      <c r="J414"/>
      <c r="L414" s="15">
        <v>225097594017</v>
      </c>
      <c r="M414" s="15">
        <v>7091556658</v>
      </c>
      <c r="N414" s="15"/>
    </row>
    <row r="415" spans="1:14" x14ac:dyDescent="0.3">
      <c r="A415" t="s">
        <v>6742</v>
      </c>
      <c r="C415" s="3">
        <v>43947</v>
      </c>
      <c r="D415" s="11">
        <v>1798</v>
      </c>
      <c r="G415" s="16" t="s">
        <v>419</v>
      </c>
      <c r="H415" s="16"/>
      <c r="I415" s="57"/>
      <c r="J415"/>
      <c r="L415" s="15">
        <v>240859792944</v>
      </c>
      <c r="M415" s="15">
        <v>7488587795</v>
      </c>
      <c r="N415" s="15"/>
    </row>
    <row r="416" spans="1:14" x14ac:dyDescent="0.3">
      <c r="C416" s="3">
        <v>43947</v>
      </c>
      <c r="D416" s="11">
        <v>1800</v>
      </c>
      <c r="G416" s="16" t="s">
        <v>420</v>
      </c>
      <c r="H416" s="16"/>
      <c r="I416" s="57"/>
      <c r="J416"/>
      <c r="L416" s="15">
        <v>482179472553</v>
      </c>
      <c r="M416" s="15">
        <v>9304174094</v>
      </c>
      <c r="N416" s="15"/>
    </row>
    <row r="417" spans="3:14" x14ac:dyDescent="0.3">
      <c r="C417" s="3">
        <v>43947</v>
      </c>
      <c r="D417" s="11">
        <v>1801</v>
      </c>
      <c r="G417" s="16" t="s">
        <v>421</v>
      </c>
      <c r="H417" s="16"/>
      <c r="I417" s="57"/>
      <c r="J417"/>
      <c r="L417" s="15">
        <v>907940899415</v>
      </c>
      <c r="M417" s="15">
        <v>8936066644</v>
      </c>
      <c r="N417" s="15"/>
    </row>
    <row r="418" spans="3:14" x14ac:dyDescent="0.3">
      <c r="C418" s="3">
        <v>43947</v>
      </c>
      <c r="D418" s="11">
        <v>1802</v>
      </c>
      <c r="G418" s="16" t="s">
        <v>422</v>
      </c>
      <c r="H418" s="16"/>
      <c r="I418" s="57"/>
      <c r="J418"/>
      <c r="L418" s="15">
        <v>675098182636</v>
      </c>
      <c r="M418" s="15">
        <v>7319799947</v>
      </c>
      <c r="N418" s="15"/>
    </row>
    <row r="419" spans="3:14" x14ac:dyDescent="0.3">
      <c r="C419" s="3">
        <v>43947</v>
      </c>
      <c r="D419" s="11">
        <v>1803</v>
      </c>
      <c r="G419" s="16" t="s">
        <v>423</v>
      </c>
      <c r="H419" s="16"/>
      <c r="I419" s="57"/>
      <c r="J419"/>
      <c r="L419" s="15">
        <v>357864424408</v>
      </c>
      <c r="M419" s="15">
        <v>7631019420</v>
      </c>
      <c r="N419" s="15"/>
    </row>
    <row r="420" spans="3:14" x14ac:dyDescent="0.3">
      <c r="C420" s="3">
        <v>43947</v>
      </c>
      <c r="D420" s="11">
        <v>1805</v>
      </c>
      <c r="G420" s="16" t="s">
        <v>424</v>
      </c>
      <c r="H420" s="16"/>
      <c r="I420" s="57"/>
      <c r="J420"/>
      <c r="L420" s="15">
        <v>530732425118</v>
      </c>
      <c r="M420" s="15">
        <v>9931128012</v>
      </c>
      <c r="N420" s="15"/>
    </row>
    <row r="421" spans="3:14" x14ac:dyDescent="0.3">
      <c r="C421" s="3">
        <v>43947</v>
      </c>
      <c r="D421" s="11">
        <v>1806</v>
      </c>
      <c r="G421" s="16" t="s">
        <v>425</v>
      </c>
      <c r="H421" s="16"/>
      <c r="I421" s="57"/>
      <c r="J421"/>
      <c r="L421" s="15">
        <v>280102643382</v>
      </c>
      <c r="M421" s="15">
        <v>6205277263</v>
      </c>
      <c r="N421" s="15"/>
    </row>
    <row r="422" spans="3:14" x14ac:dyDescent="0.3">
      <c r="C422" s="3">
        <v>43947</v>
      </c>
      <c r="D422" s="11">
        <v>1808</v>
      </c>
      <c r="G422" s="16" t="s">
        <v>426</v>
      </c>
      <c r="H422" s="16"/>
      <c r="I422" s="57"/>
      <c r="J422"/>
      <c r="L422" s="15">
        <v>737211675644</v>
      </c>
      <c r="M422" s="15">
        <v>6206341184</v>
      </c>
      <c r="N422" s="15"/>
    </row>
    <row r="423" spans="3:14" x14ac:dyDescent="0.3">
      <c r="C423" s="3">
        <v>43947</v>
      </c>
      <c r="D423" s="11">
        <v>1809</v>
      </c>
      <c r="G423" s="16" t="s">
        <v>427</v>
      </c>
      <c r="H423" s="16"/>
      <c r="I423" s="57"/>
      <c r="J423"/>
      <c r="L423" s="15">
        <v>547485080433</v>
      </c>
      <c r="M423" s="15">
        <v>9693032138</v>
      </c>
      <c r="N423" s="15"/>
    </row>
    <row r="424" spans="3:14" x14ac:dyDescent="0.3">
      <c r="C424" s="3">
        <v>43947</v>
      </c>
      <c r="D424" s="11">
        <v>1811</v>
      </c>
      <c r="G424" s="16" t="s">
        <v>428</v>
      </c>
      <c r="H424" s="16"/>
      <c r="I424" s="57"/>
      <c r="J424"/>
      <c r="L424" s="15">
        <v>667836656645</v>
      </c>
      <c r="M424" s="15">
        <v>7783001927</v>
      </c>
      <c r="N424" s="15"/>
    </row>
    <row r="425" spans="3:14" x14ac:dyDescent="0.3">
      <c r="C425" s="3">
        <v>43947</v>
      </c>
      <c r="D425" s="11">
        <v>1813</v>
      </c>
      <c r="G425" s="16" t="s">
        <v>429</v>
      </c>
      <c r="H425" s="16"/>
      <c r="I425" s="57"/>
      <c r="J425"/>
      <c r="L425" s="15">
        <v>434346673675</v>
      </c>
      <c r="M425" s="15">
        <v>7903823498</v>
      </c>
      <c r="N425" s="15"/>
    </row>
    <row r="426" spans="3:14" x14ac:dyDescent="0.3">
      <c r="C426" s="3">
        <v>43947</v>
      </c>
      <c r="D426" s="11">
        <v>1814</v>
      </c>
      <c r="G426" s="16" t="s">
        <v>430</v>
      </c>
      <c r="H426" s="16"/>
      <c r="I426" s="57"/>
      <c r="J426"/>
      <c r="L426" s="15">
        <v>516091699031</v>
      </c>
      <c r="M426" s="15">
        <v>8092588421</v>
      </c>
      <c r="N426" s="15"/>
    </row>
    <row r="427" spans="3:14" x14ac:dyDescent="0.3">
      <c r="C427" s="3">
        <v>43947</v>
      </c>
      <c r="D427" s="11">
        <v>1815</v>
      </c>
      <c r="G427" s="16" t="s">
        <v>194</v>
      </c>
      <c r="H427" s="16"/>
      <c r="I427" s="57"/>
      <c r="J427"/>
      <c r="L427" s="15">
        <v>541787460245</v>
      </c>
      <c r="M427" s="15">
        <v>6201321813</v>
      </c>
      <c r="N427" s="15"/>
    </row>
    <row r="428" spans="3:14" x14ac:dyDescent="0.3">
      <c r="C428" s="3">
        <v>43947</v>
      </c>
      <c r="D428" s="11">
        <v>1816</v>
      </c>
      <c r="G428" s="16" t="s">
        <v>431</v>
      </c>
      <c r="H428" s="16"/>
      <c r="I428" s="57"/>
      <c r="J428"/>
      <c r="L428" s="15">
        <v>972624755250</v>
      </c>
      <c r="M428" s="15">
        <v>9031139124</v>
      </c>
      <c r="N428" s="15"/>
    </row>
    <row r="429" spans="3:14" x14ac:dyDescent="0.3">
      <c r="C429" s="3">
        <v>43947</v>
      </c>
      <c r="D429" s="11">
        <v>1817</v>
      </c>
      <c r="G429" s="16" t="s">
        <v>432</v>
      </c>
      <c r="H429" s="16"/>
      <c r="I429" s="57"/>
      <c r="J429"/>
      <c r="L429" s="15">
        <v>828203399148</v>
      </c>
      <c r="M429" s="15">
        <v>8210662155</v>
      </c>
      <c r="N429" s="15"/>
    </row>
    <row r="430" spans="3:14" x14ac:dyDescent="0.3">
      <c r="C430" s="3">
        <v>43947</v>
      </c>
      <c r="D430" s="11">
        <v>1819</v>
      </c>
      <c r="G430" s="16" t="s">
        <v>433</v>
      </c>
      <c r="H430" s="16"/>
      <c r="I430" s="57"/>
      <c r="J430"/>
      <c r="L430" s="15">
        <v>888546216474</v>
      </c>
      <c r="M430" s="15">
        <v>9631423170</v>
      </c>
      <c r="N430" s="15"/>
    </row>
    <row r="431" spans="3:14" x14ac:dyDescent="0.3">
      <c r="C431" s="3">
        <v>43947</v>
      </c>
      <c r="D431" s="11">
        <v>1820</v>
      </c>
      <c r="G431" s="16" t="s">
        <v>434</v>
      </c>
      <c r="H431" s="16"/>
      <c r="I431" s="57"/>
      <c r="J431"/>
      <c r="L431" s="15">
        <v>404238027508</v>
      </c>
      <c r="M431" s="15">
        <v>6202145788</v>
      </c>
      <c r="N431" s="15"/>
    </row>
    <row r="432" spans="3:14" x14ac:dyDescent="0.3">
      <c r="C432" s="3">
        <v>43947</v>
      </c>
      <c r="D432" s="11">
        <v>1822</v>
      </c>
      <c r="G432" s="16" t="s">
        <v>435</v>
      </c>
      <c r="H432" s="16"/>
      <c r="I432" s="57"/>
      <c r="J432"/>
      <c r="L432" s="15">
        <v>849242889909</v>
      </c>
      <c r="M432" s="15">
        <v>7061650748</v>
      </c>
      <c r="N432" s="15"/>
    </row>
    <row r="433" spans="3:14" x14ac:dyDescent="0.3">
      <c r="C433" s="3">
        <v>43947</v>
      </c>
      <c r="D433" s="11">
        <v>1824</v>
      </c>
      <c r="G433" s="16" t="s">
        <v>436</v>
      </c>
      <c r="H433" s="16"/>
      <c r="I433" s="57"/>
      <c r="J433"/>
      <c r="L433" s="15">
        <v>614624378365</v>
      </c>
      <c r="M433" s="15">
        <v>8187929668</v>
      </c>
      <c r="N433" s="15"/>
    </row>
    <row r="434" spans="3:14" x14ac:dyDescent="0.3">
      <c r="C434" s="3">
        <v>43947</v>
      </c>
      <c r="D434" s="11">
        <v>1825</v>
      </c>
      <c r="G434" s="16" t="s">
        <v>437</v>
      </c>
      <c r="H434" s="16"/>
      <c r="I434" s="57"/>
      <c r="J434"/>
      <c r="L434" s="15">
        <v>318903552013</v>
      </c>
      <c r="M434" s="15">
        <v>6205032210</v>
      </c>
      <c r="N434" s="15"/>
    </row>
    <row r="435" spans="3:14" x14ac:dyDescent="0.3">
      <c r="C435" s="3">
        <v>43947</v>
      </c>
      <c r="D435" s="11">
        <v>1827</v>
      </c>
      <c r="G435" s="16" t="s">
        <v>438</v>
      </c>
      <c r="H435" s="16"/>
      <c r="I435" s="57"/>
      <c r="J435"/>
      <c r="L435" s="15">
        <v>747973061469</v>
      </c>
      <c r="M435" s="15">
        <v>8581065810</v>
      </c>
      <c r="N435" s="15"/>
    </row>
    <row r="436" spans="3:14" x14ac:dyDescent="0.3">
      <c r="C436" s="3">
        <v>43947</v>
      </c>
      <c r="D436" s="11">
        <v>1828</v>
      </c>
      <c r="G436" s="16" t="s">
        <v>439</v>
      </c>
      <c r="H436" s="16"/>
      <c r="I436" s="57"/>
      <c r="J436"/>
      <c r="L436" s="15">
        <v>207964434700</v>
      </c>
      <c r="M436" s="15">
        <v>9334168030</v>
      </c>
      <c r="N436" s="15"/>
    </row>
    <row r="437" spans="3:14" x14ac:dyDescent="0.3">
      <c r="C437" s="3">
        <v>43947</v>
      </c>
      <c r="D437" s="11">
        <v>1829</v>
      </c>
      <c r="G437" s="16" t="s">
        <v>191</v>
      </c>
      <c r="H437" s="16"/>
      <c r="I437" s="57"/>
      <c r="J437"/>
      <c r="L437" s="15">
        <v>598702594282</v>
      </c>
      <c r="M437" s="15">
        <v>8340781943</v>
      </c>
      <c r="N437" s="15"/>
    </row>
    <row r="438" spans="3:14" x14ac:dyDescent="0.3">
      <c r="C438" s="3">
        <v>43947</v>
      </c>
      <c r="D438" s="11">
        <v>1830</v>
      </c>
      <c r="G438" s="16" t="s">
        <v>440</v>
      </c>
      <c r="H438" s="16"/>
      <c r="I438" s="57"/>
      <c r="J438" t="s">
        <v>1154</v>
      </c>
      <c r="K438" s="4">
        <v>100</v>
      </c>
      <c r="L438" s="15">
        <v>469742898575</v>
      </c>
      <c r="M438" s="15">
        <v>9709971371</v>
      </c>
      <c r="N438" s="15"/>
    </row>
    <row r="439" spans="3:14" x14ac:dyDescent="0.3">
      <c r="C439" s="3">
        <v>43947</v>
      </c>
      <c r="D439" s="11">
        <v>1831</v>
      </c>
      <c r="G439" s="16" t="s">
        <v>441</v>
      </c>
      <c r="H439" s="16"/>
      <c r="I439" s="57"/>
      <c r="J439"/>
      <c r="L439" s="15">
        <v>686699936281</v>
      </c>
      <c r="M439" s="15">
        <v>7033988520</v>
      </c>
      <c r="N439" s="15"/>
    </row>
    <row r="440" spans="3:14" x14ac:dyDescent="0.3">
      <c r="C440" s="3">
        <v>43947</v>
      </c>
      <c r="D440" s="11">
        <v>1833</v>
      </c>
      <c r="G440" s="16" t="s">
        <v>442</v>
      </c>
      <c r="H440" s="16"/>
      <c r="I440" s="57"/>
      <c r="J440"/>
      <c r="L440" s="15">
        <v>524475760976</v>
      </c>
      <c r="M440" s="15">
        <v>8809363682</v>
      </c>
      <c r="N440" s="15"/>
    </row>
    <row r="441" spans="3:14" x14ac:dyDescent="0.3">
      <c r="C441" s="3">
        <v>43947</v>
      </c>
      <c r="D441" s="11">
        <v>1834</v>
      </c>
      <c r="G441" s="16" t="s">
        <v>443</v>
      </c>
      <c r="H441" s="16"/>
      <c r="I441" s="57"/>
      <c r="J441"/>
      <c r="L441" s="15">
        <v>499965185785</v>
      </c>
      <c r="M441" s="15">
        <v>8340191227</v>
      </c>
      <c r="N441" s="15"/>
    </row>
    <row r="442" spans="3:14" x14ac:dyDescent="0.3">
      <c r="C442" s="3">
        <v>43947</v>
      </c>
      <c r="D442" s="11">
        <v>1849</v>
      </c>
      <c r="G442" s="16" t="s">
        <v>444</v>
      </c>
      <c r="H442" s="16"/>
      <c r="I442" s="57"/>
      <c r="J442"/>
      <c r="L442" s="15">
        <v>794084530690</v>
      </c>
      <c r="M442" s="15">
        <v>8092687141</v>
      </c>
      <c r="N442" s="15"/>
    </row>
    <row r="443" spans="3:14" x14ac:dyDescent="0.3">
      <c r="C443" s="3">
        <v>43947</v>
      </c>
      <c r="D443" s="11">
        <v>1850</v>
      </c>
      <c r="G443" s="16" t="s">
        <v>387</v>
      </c>
      <c r="H443" s="16"/>
      <c r="I443" s="57"/>
      <c r="J443"/>
      <c r="L443" s="15">
        <v>759809858126</v>
      </c>
      <c r="M443" s="15">
        <v>8210711404</v>
      </c>
      <c r="N443" s="15"/>
    </row>
    <row r="444" spans="3:14" x14ac:dyDescent="0.3">
      <c r="C444" s="3">
        <v>43947</v>
      </c>
      <c r="D444" s="11">
        <v>1852</v>
      </c>
      <c r="G444" s="16" t="s">
        <v>445</v>
      </c>
      <c r="H444" s="16"/>
      <c r="I444" s="57"/>
      <c r="J444"/>
      <c r="L444" s="15">
        <v>448401703782</v>
      </c>
      <c r="M444" s="15">
        <v>9204544384</v>
      </c>
      <c r="N444" s="15"/>
    </row>
    <row r="445" spans="3:14" x14ac:dyDescent="0.3">
      <c r="C445" s="3">
        <v>43947</v>
      </c>
      <c r="D445" s="11">
        <v>1854</v>
      </c>
      <c r="G445" s="16" t="s">
        <v>225</v>
      </c>
      <c r="H445" s="16"/>
      <c r="I445" s="57"/>
      <c r="J445"/>
      <c r="L445" s="15">
        <v>238944716492</v>
      </c>
      <c r="M445" s="15">
        <v>9102332598</v>
      </c>
      <c r="N445" s="15"/>
    </row>
    <row r="446" spans="3:14" x14ac:dyDescent="0.3">
      <c r="C446" s="3">
        <v>43947</v>
      </c>
      <c r="D446" s="11">
        <v>1855</v>
      </c>
      <c r="G446" s="16" t="s">
        <v>446</v>
      </c>
      <c r="H446" s="16"/>
      <c r="I446" s="57"/>
      <c r="J446"/>
      <c r="L446" s="15">
        <v>514253321012</v>
      </c>
      <c r="M446" s="15">
        <v>6299163170</v>
      </c>
      <c r="N446" s="15"/>
    </row>
    <row r="447" spans="3:14" x14ac:dyDescent="0.3">
      <c r="C447" s="3">
        <v>43947</v>
      </c>
      <c r="D447" s="11">
        <v>1863</v>
      </c>
      <c r="G447" s="16" t="s">
        <v>447</v>
      </c>
      <c r="H447" s="16"/>
      <c r="I447" s="57"/>
      <c r="J447"/>
      <c r="L447" s="15">
        <v>922243414872</v>
      </c>
      <c r="M447" s="15">
        <v>9470577899</v>
      </c>
      <c r="N447" s="15"/>
    </row>
    <row r="448" spans="3:14" x14ac:dyDescent="0.3">
      <c r="C448" s="3">
        <v>43950</v>
      </c>
      <c r="D448" s="11">
        <v>1881</v>
      </c>
      <c r="G448" s="16" t="s">
        <v>99</v>
      </c>
      <c r="H448" s="16"/>
      <c r="I448" s="57"/>
      <c r="J448"/>
      <c r="L448" s="15">
        <v>369534862105</v>
      </c>
      <c r="M448" s="15">
        <v>7631310395</v>
      </c>
      <c r="N448" s="15"/>
    </row>
    <row r="449" spans="3:14" x14ac:dyDescent="0.3">
      <c r="C449" s="3">
        <v>43950</v>
      </c>
      <c r="D449" s="11">
        <v>1882</v>
      </c>
      <c r="G449" s="16" t="s">
        <v>448</v>
      </c>
      <c r="H449" s="16"/>
      <c r="I449" s="57"/>
      <c r="J449"/>
      <c r="L449" s="15">
        <v>302606578732</v>
      </c>
      <c r="M449" s="15">
        <v>6202447176</v>
      </c>
      <c r="N449" s="15"/>
    </row>
    <row r="450" spans="3:14" x14ac:dyDescent="0.3">
      <c r="C450" s="3">
        <v>43950</v>
      </c>
      <c r="D450" s="11">
        <v>1883</v>
      </c>
      <c r="G450" s="16" t="s">
        <v>449</v>
      </c>
      <c r="H450" s="16"/>
      <c r="I450" s="57"/>
      <c r="J450"/>
      <c r="L450" s="15">
        <v>563649948732</v>
      </c>
      <c r="M450" s="15">
        <v>6202880322</v>
      </c>
      <c r="N450" s="15"/>
    </row>
    <row r="451" spans="3:14" x14ac:dyDescent="0.3">
      <c r="C451" s="3">
        <v>43950</v>
      </c>
      <c r="D451" s="11">
        <v>1884</v>
      </c>
      <c r="G451" s="16" t="s">
        <v>450</v>
      </c>
      <c r="H451" s="16"/>
      <c r="I451" s="57"/>
      <c r="J451"/>
      <c r="L451" s="15">
        <v>944868120015</v>
      </c>
      <c r="M451" s="15">
        <v>6203393305</v>
      </c>
      <c r="N451" s="15"/>
    </row>
    <row r="452" spans="3:14" x14ac:dyDescent="0.3">
      <c r="C452" s="3">
        <v>43950</v>
      </c>
      <c r="D452" s="11">
        <v>1885</v>
      </c>
      <c r="G452" s="16" t="s">
        <v>451</v>
      </c>
      <c r="H452" s="16"/>
      <c r="I452" s="57"/>
      <c r="J452"/>
      <c r="L452" s="15">
        <v>782108220861</v>
      </c>
      <c r="M452" s="15">
        <v>7209261340</v>
      </c>
      <c r="N452" s="15"/>
    </row>
    <row r="453" spans="3:14" x14ac:dyDescent="0.3">
      <c r="C453" s="3">
        <v>43950</v>
      </c>
      <c r="D453" s="11">
        <v>1886</v>
      </c>
      <c r="G453" s="16" t="s">
        <v>452</v>
      </c>
      <c r="H453" s="16"/>
      <c r="I453" s="57"/>
      <c r="J453"/>
      <c r="L453" s="15">
        <v>551940226738</v>
      </c>
      <c r="M453" s="15">
        <v>6204332120</v>
      </c>
      <c r="N453" s="15"/>
    </row>
    <row r="454" spans="3:14" x14ac:dyDescent="0.3">
      <c r="C454" s="3">
        <v>43950</v>
      </c>
      <c r="D454" s="11">
        <v>1887</v>
      </c>
      <c r="G454" s="16" t="s">
        <v>453</v>
      </c>
      <c r="H454" s="16"/>
      <c r="I454" s="57"/>
      <c r="J454"/>
      <c r="L454" s="15">
        <v>206279528373</v>
      </c>
      <c r="M454" s="15">
        <v>7209600112</v>
      </c>
      <c r="N454" s="15"/>
    </row>
    <row r="455" spans="3:14" x14ac:dyDescent="0.3">
      <c r="C455" s="3">
        <v>43950</v>
      </c>
      <c r="D455" s="11">
        <v>1888</v>
      </c>
      <c r="G455" s="16" t="s">
        <v>454</v>
      </c>
      <c r="H455" s="16"/>
      <c r="I455" s="57"/>
      <c r="J455"/>
      <c r="L455" s="15">
        <v>904711874590</v>
      </c>
      <c r="M455" s="15">
        <v>9279723559</v>
      </c>
      <c r="N455" s="15"/>
    </row>
    <row r="456" spans="3:14" x14ac:dyDescent="0.3">
      <c r="C456" s="3">
        <v>43950</v>
      </c>
      <c r="D456" s="11">
        <v>1889</v>
      </c>
      <c r="G456" s="16" t="s">
        <v>455</v>
      </c>
      <c r="H456" s="16"/>
      <c r="I456" s="57"/>
      <c r="J456"/>
      <c r="L456" s="15">
        <v>814601190923</v>
      </c>
      <c r="M456" s="15">
        <v>6204375061</v>
      </c>
      <c r="N456" s="15"/>
    </row>
    <row r="457" spans="3:14" x14ac:dyDescent="0.3">
      <c r="C457" s="3">
        <v>43950</v>
      </c>
      <c r="D457" s="11">
        <v>1890</v>
      </c>
      <c r="G457" s="16" t="s">
        <v>456</v>
      </c>
      <c r="H457" s="16"/>
      <c r="I457" s="17">
        <v>32294</v>
      </c>
      <c r="J457"/>
      <c r="L457" s="15">
        <v>824547016499</v>
      </c>
      <c r="M457" s="15">
        <v>8235232493</v>
      </c>
      <c r="N457" s="15"/>
    </row>
    <row r="458" spans="3:14" x14ac:dyDescent="0.3">
      <c r="C458" s="3">
        <v>43950</v>
      </c>
      <c r="D458" s="11">
        <v>1891</v>
      </c>
      <c r="G458" s="16" t="s">
        <v>457</v>
      </c>
      <c r="H458" s="16"/>
      <c r="I458" s="57"/>
      <c r="J458"/>
      <c r="L458" s="15">
        <v>602718601875</v>
      </c>
      <c r="M458" s="15">
        <v>9031398273</v>
      </c>
      <c r="N458" s="15"/>
    </row>
    <row r="459" spans="3:14" x14ac:dyDescent="0.3">
      <c r="C459" s="3">
        <v>43950</v>
      </c>
      <c r="D459" s="11">
        <v>1892</v>
      </c>
      <c r="G459" s="16" t="s">
        <v>458</v>
      </c>
      <c r="H459" s="16"/>
      <c r="I459" s="57"/>
      <c r="J459"/>
      <c r="L459" s="15">
        <v>670590102714</v>
      </c>
      <c r="M459" s="15">
        <v>7992286091</v>
      </c>
      <c r="N459" s="15"/>
    </row>
    <row r="460" spans="3:14" x14ac:dyDescent="0.3">
      <c r="C460" s="3">
        <v>43950</v>
      </c>
      <c r="D460" s="11">
        <v>1893</v>
      </c>
      <c r="G460" s="16" t="s">
        <v>459</v>
      </c>
      <c r="H460" s="16"/>
      <c r="I460" s="57"/>
      <c r="J460"/>
      <c r="L460" s="15">
        <v>813149910276</v>
      </c>
      <c r="M460" s="15">
        <v>8797673970</v>
      </c>
      <c r="N460" s="15"/>
    </row>
    <row r="461" spans="3:14" x14ac:dyDescent="0.3">
      <c r="C461" s="3">
        <v>43950</v>
      </c>
      <c r="D461" s="11">
        <v>1894</v>
      </c>
      <c r="G461" s="16" t="s">
        <v>460</v>
      </c>
      <c r="H461" s="16"/>
      <c r="I461" s="57"/>
      <c r="J461"/>
      <c r="L461" s="15">
        <v>528333402344</v>
      </c>
      <c r="M461" s="15">
        <v>8228811777</v>
      </c>
      <c r="N461" s="15"/>
    </row>
    <row r="462" spans="3:14" x14ac:dyDescent="0.3">
      <c r="C462" s="3">
        <v>43950</v>
      </c>
      <c r="D462" s="11">
        <v>1895</v>
      </c>
      <c r="G462" s="16" t="s">
        <v>461</v>
      </c>
      <c r="H462" s="16"/>
      <c r="I462" s="57"/>
      <c r="J462"/>
      <c r="L462" s="15">
        <v>986017332826</v>
      </c>
      <c r="M462" s="15">
        <v>9934072904</v>
      </c>
      <c r="N462" s="15"/>
    </row>
    <row r="463" spans="3:14" x14ac:dyDescent="0.3">
      <c r="C463" s="3">
        <v>43950</v>
      </c>
      <c r="D463" s="11">
        <v>1898</v>
      </c>
      <c r="G463" s="16" t="s">
        <v>462</v>
      </c>
      <c r="H463" s="16"/>
      <c r="I463" s="57"/>
      <c r="J463"/>
      <c r="L463" s="15">
        <v>801981226057</v>
      </c>
      <c r="M463" s="15">
        <v>7979780632</v>
      </c>
      <c r="N463" s="15"/>
    </row>
    <row r="464" spans="3:14" x14ac:dyDescent="0.3">
      <c r="C464" s="3">
        <v>43950</v>
      </c>
      <c r="D464" s="11" t="s">
        <v>1548</v>
      </c>
      <c r="G464" s="16" t="s">
        <v>463</v>
      </c>
      <c r="H464" s="16"/>
      <c r="I464" s="57"/>
      <c r="J464"/>
      <c r="L464" s="15">
        <v>824835928365</v>
      </c>
      <c r="M464" s="15">
        <v>7654999370</v>
      </c>
      <c r="N464" s="15"/>
    </row>
    <row r="465" spans="3:14" x14ac:dyDescent="0.3">
      <c r="C465" s="3">
        <v>43950</v>
      </c>
      <c r="D465" s="11">
        <v>1901</v>
      </c>
      <c r="G465" s="16" t="s">
        <v>464</v>
      </c>
      <c r="H465" s="16"/>
      <c r="I465" s="57"/>
      <c r="J465"/>
      <c r="L465" s="15">
        <v>316753576350</v>
      </c>
      <c r="M465" s="15">
        <v>8235656203</v>
      </c>
      <c r="N465" s="15"/>
    </row>
    <row r="466" spans="3:14" x14ac:dyDescent="0.3">
      <c r="C466" s="3">
        <v>43950</v>
      </c>
      <c r="D466" s="11">
        <v>1902</v>
      </c>
      <c r="G466" s="16" t="s">
        <v>225</v>
      </c>
      <c r="H466" s="16"/>
      <c r="I466" s="57"/>
      <c r="J466"/>
      <c r="L466" s="15">
        <v>496875950301</v>
      </c>
      <c r="M466" s="15">
        <v>6203004262</v>
      </c>
      <c r="N466" s="15"/>
    </row>
    <row r="467" spans="3:14" x14ac:dyDescent="0.3">
      <c r="C467" s="3">
        <v>43950</v>
      </c>
      <c r="D467" s="11">
        <v>1903</v>
      </c>
      <c r="G467" s="16" t="s">
        <v>465</v>
      </c>
      <c r="H467" s="16"/>
      <c r="I467" s="57"/>
      <c r="J467"/>
      <c r="L467" s="15">
        <v>848605168978</v>
      </c>
      <c r="M467" s="15">
        <v>6200014906</v>
      </c>
      <c r="N467" s="15"/>
    </row>
    <row r="468" spans="3:14" x14ac:dyDescent="0.3">
      <c r="C468" s="3">
        <v>43950</v>
      </c>
      <c r="D468" s="11">
        <v>1905</v>
      </c>
      <c r="G468" s="16" t="s">
        <v>466</v>
      </c>
      <c r="H468" s="16"/>
      <c r="I468" s="57"/>
      <c r="J468"/>
      <c r="L468" s="15">
        <v>437704291016</v>
      </c>
      <c r="M468" s="15">
        <v>9835075551</v>
      </c>
      <c r="N468" s="15"/>
    </row>
    <row r="469" spans="3:14" x14ac:dyDescent="0.3">
      <c r="C469" s="3">
        <v>43950</v>
      </c>
      <c r="D469" s="11">
        <v>1906</v>
      </c>
      <c r="G469" s="16" t="s">
        <v>467</v>
      </c>
      <c r="H469" s="16"/>
      <c r="I469" s="57"/>
      <c r="J469"/>
      <c r="L469" s="15">
        <v>288472849283</v>
      </c>
      <c r="M469" s="15">
        <v>6205505607</v>
      </c>
      <c r="N469" s="15"/>
    </row>
    <row r="470" spans="3:14" x14ac:dyDescent="0.3">
      <c r="C470" s="3">
        <v>43950</v>
      </c>
      <c r="D470" s="11">
        <v>1909</v>
      </c>
      <c r="G470" s="16" t="s">
        <v>468</v>
      </c>
      <c r="H470" s="16"/>
      <c r="I470" s="57"/>
      <c r="J470"/>
      <c r="L470" s="15">
        <v>352013366619</v>
      </c>
      <c r="M470" s="15">
        <v>9263293122</v>
      </c>
      <c r="N470" s="15"/>
    </row>
    <row r="471" spans="3:14" x14ac:dyDescent="0.3">
      <c r="C471" s="3">
        <v>43950</v>
      </c>
      <c r="D471" s="11">
        <v>1910</v>
      </c>
      <c r="G471" s="16" t="s">
        <v>469</v>
      </c>
      <c r="H471" s="16"/>
      <c r="I471" s="57"/>
      <c r="J471"/>
      <c r="L471" s="15">
        <v>859311970886</v>
      </c>
      <c r="M471" s="15">
        <v>9334450932</v>
      </c>
      <c r="N471" s="15"/>
    </row>
    <row r="472" spans="3:14" x14ac:dyDescent="0.3">
      <c r="C472" s="3">
        <v>43950</v>
      </c>
      <c r="D472" s="11">
        <v>1911</v>
      </c>
      <c r="G472" s="16" t="s">
        <v>470</v>
      </c>
      <c r="H472" s="16"/>
      <c r="I472" s="57"/>
      <c r="J472"/>
      <c r="L472" s="15">
        <v>829093807207</v>
      </c>
      <c r="M472" s="15">
        <v>7061889052</v>
      </c>
      <c r="N472" s="15"/>
    </row>
    <row r="473" spans="3:14" x14ac:dyDescent="0.3">
      <c r="C473" s="3">
        <v>43950</v>
      </c>
      <c r="D473" s="11">
        <v>1912</v>
      </c>
      <c r="G473" s="16" t="s">
        <v>471</v>
      </c>
      <c r="H473" s="16"/>
      <c r="I473" s="57"/>
      <c r="J473"/>
      <c r="L473" s="15">
        <v>855081206111</v>
      </c>
      <c r="M473" s="15">
        <v>9931335897</v>
      </c>
      <c r="N473" s="15"/>
    </row>
    <row r="474" spans="3:14" x14ac:dyDescent="0.3">
      <c r="C474" s="3">
        <v>43950</v>
      </c>
      <c r="D474" s="11">
        <v>1913</v>
      </c>
      <c r="G474" s="16" t="s">
        <v>472</v>
      </c>
      <c r="H474" s="16"/>
      <c r="I474" s="57"/>
      <c r="J474"/>
      <c r="L474" s="15">
        <v>926001873104</v>
      </c>
      <c r="M474" s="15">
        <v>8102353096</v>
      </c>
      <c r="N474" s="15"/>
    </row>
    <row r="475" spans="3:14" x14ac:dyDescent="0.3">
      <c r="C475" s="3">
        <v>43950</v>
      </c>
      <c r="D475" s="11">
        <v>1914</v>
      </c>
      <c r="G475" s="16" t="s">
        <v>473</v>
      </c>
      <c r="H475" s="16"/>
      <c r="I475" s="57"/>
      <c r="J475"/>
      <c r="L475" s="15">
        <v>849881497235</v>
      </c>
      <c r="M475" s="15">
        <v>9263349780</v>
      </c>
      <c r="N475" s="15"/>
    </row>
    <row r="476" spans="3:14" x14ac:dyDescent="0.3">
      <c r="C476" s="3">
        <v>43950</v>
      </c>
      <c r="D476" s="11">
        <v>1915</v>
      </c>
      <c r="G476" s="16" t="s">
        <v>474</v>
      </c>
      <c r="H476" s="16"/>
      <c r="I476" s="57"/>
      <c r="J476"/>
      <c r="L476" s="15">
        <v>929198334745</v>
      </c>
      <c r="M476" s="15">
        <v>6203534989</v>
      </c>
      <c r="N476" s="15"/>
    </row>
    <row r="477" spans="3:14" x14ac:dyDescent="0.3">
      <c r="C477" s="3">
        <v>43950</v>
      </c>
      <c r="D477" s="11">
        <v>1916</v>
      </c>
      <c r="G477" s="16" t="s">
        <v>475</v>
      </c>
      <c r="H477" s="16"/>
      <c r="I477" s="57"/>
      <c r="J477"/>
      <c r="L477" s="15">
        <v>386265767939</v>
      </c>
      <c r="M477" s="15">
        <v>9801828792</v>
      </c>
      <c r="N477" s="15"/>
    </row>
    <row r="478" spans="3:14" x14ac:dyDescent="0.3">
      <c r="C478" s="3">
        <v>43950</v>
      </c>
      <c r="D478" s="11">
        <v>1917</v>
      </c>
      <c r="G478" s="16" t="s">
        <v>476</v>
      </c>
      <c r="H478" s="16"/>
      <c r="I478" s="57"/>
      <c r="J478"/>
      <c r="L478" s="15">
        <v>367417751235</v>
      </c>
      <c r="M478" s="15">
        <v>6200258754</v>
      </c>
      <c r="N478" s="15"/>
    </row>
    <row r="479" spans="3:14" x14ac:dyDescent="0.3">
      <c r="C479" s="3">
        <v>43951</v>
      </c>
      <c r="D479" s="11">
        <v>1920</v>
      </c>
      <c r="G479" s="16" t="s">
        <v>477</v>
      </c>
      <c r="H479" s="16"/>
      <c r="I479" s="57"/>
      <c r="J479"/>
      <c r="L479" s="15">
        <v>583254842817</v>
      </c>
      <c r="M479" s="15">
        <v>7209392491</v>
      </c>
      <c r="N479" s="15"/>
    </row>
    <row r="480" spans="3:14" x14ac:dyDescent="0.3">
      <c r="C480" s="3">
        <v>43951</v>
      </c>
      <c r="D480" s="11">
        <v>1921</v>
      </c>
      <c r="G480" s="16" t="s">
        <v>478</v>
      </c>
      <c r="H480" s="16"/>
      <c r="I480" s="57"/>
      <c r="J480"/>
      <c r="L480" s="15">
        <v>883760543340</v>
      </c>
      <c r="M480" s="15">
        <v>7903007733</v>
      </c>
      <c r="N480" s="15"/>
    </row>
    <row r="481" spans="3:14" x14ac:dyDescent="0.3">
      <c r="C481" s="3">
        <v>43951</v>
      </c>
      <c r="D481" s="11">
        <v>1922</v>
      </c>
      <c r="G481" s="16" t="s">
        <v>479</v>
      </c>
      <c r="H481" s="16"/>
      <c r="I481" s="57"/>
      <c r="J481"/>
      <c r="L481" s="15">
        <v>937209851866</v>
      </c>
      <c r="M481" s="15">
        <v>8797582019</v>
      </c>
      <c r="N481" s="15"/>
    </row>
    <row r="482" spans="3:14" x14ac:dyDescent="0.3">
      <c r="C482" s="3">
        <v>43951</v>
      </c>
      <c r="D482" s="11">
        <v>1925</v>
      </c>
      <c r="G482" s="16" t="s">
        <v>480</v>
      </c>
      <c r="H482" s="16"/>
      <c r="I482" s="57"/>
      <c r="J482"/>
      <c r="L482" s="15">
        <v>642846787844</v>
      </c>
      <c r="M482" s="15">
        <v>6206278090</v>
      </c>
      <c r="N482" s="15"/>
    </row>
    <row r="483" spans="3:14" x14ac:dyDescent="0.3">
      <c r="C483" s="3">
        <v>43951</v>
      </c>
      <c r="D483" s="11">
        <v>1926</v>
      </c>
      <c r="G483" s="16" t="s">
        <v>481</v>
      </c>
      <c r="H483" s="16"/>
      <c r="I483" s="57"/>
      <c r="J483"/>
      <c r="L483" s="15">
        <v>733628405667</v>
      </c>
      <c r="M483" s="15">
        <v>7292895380</v>
      </c>
      <c r="N483" s="15"/>
    </row>
    <row r="484" spans="3:14" x14ac:dyDescent="0.3">
      <c r="C484" s="3">
        <v>43951</v>
      </c>
      <c r="D484" s="11">
        <v>1928</v>
      </c>
      <c r="G484" s="16" t="s">
        <v>482</v>
      </c>
      <c r="H484" s="16"/>
      <c r="I484" s="57"/>
      <c r="J484"/>
      <c r="L484" s="15">
        <v>732390096456</v>
      </c>
      <c r="M484" s="15">
        <v>7667508287</v>
      </c>
      <c r="N484" s="15"/>
    </row>
    <row r="485" spans="3:14" x14ac:dyDescent="0.3">
      <c r="C485" s="3">
        <v>43951</v>
      </c>
      <c r="D485" s="11">
        <v>1929</v>
      </c>
      <c r="G485" s="16" t="s">
        <v>483</v>
      </c>
      <c r="H485" s="16"/>
      <c r="I485" s="57"/>
      <c r="J485"/>
      <c r="L485" s="15">
        <v>558705760491</v>
      </c>
      <c r="M485" s="15">
        <v>8287867176</v>
      </c>
      <c r="N485" s="15"/>
    </row>
    <row r="486" spans="3:14" x14ac:dyDescent="0.3">
      <c r="C486" s="3">
        <v>43951</v>
      </c>
      <c r="D486" s="11">
        <v>1930</v>
      </c>
      <c r="G486" s="16" t="s">
        <v>484</v>
      </c>
      <c r="H486" s="16"/>
      <c r="I486" s="57"/>
      <c r="J486"/>
      <c r="L486" s="15">
        <v>711264824019</v>
      </c>
      <c r="M486" s="15">
        <v>6207188708</v>
      </c>
      <c r="N486" s="15"/>
    </row>
    <row r="487" spans="3:14" x14ac:dyDescent="0.3">
      <c r="C487" s="3">
        <v>43951</v>
      </c>
      <c r="D487" s="11">
        <v>1931</v>
      </c>
      <c r="G487" s="16" t="s">
        <v>485</v>
      </c>
      <c r="H487" s="16"/>
      <c r="I487" s="57"/>
      <c r="J487"/>
      <c r="L487" s="15">
        <v>533361030897</v>
      </c>
      <c r="M487" s="15">
        <v>9525112613</v>
      </c>
      <c r="N487" s="15"/>
    </row>
    <row r="488" spans="3:14" x14ac:dyDescent="0.3">
      <c r="C488" s="3">
        <v>43951</v>
      </c>
      <c r="D488" s="11">
        <v>1932</v>
      </c>
      <c r="G488" s="16" t="s">
        <v>486</v>
      </c>
      <c r="H488" s="16"/>
      <c r="I488" s="57"/>
      <c r="J488"/>
      <c r="L488" s="15">
        <v>710819724554</v>
      </c>
      <c r="M488" s="15">
        <v>7250264131</v>
      </c>
      <c r="N488" s="15"/>
    </row>
    <row r="489" spans="3:14" x14ac:dyDescent="0.3">
      <c r="C489" s="3">
        <v>43951</v>
      </c>
      <c r="D489" s="11">
        <v>1934</v>
      </c>
      <c r="G489" s="16" t="s">
        <v>487</v>
      </c>
      <c r="H489" s="16"/>
      <c r="I489" s="57"/>
      <c r="J489"/>
      <c r="L489" s="15">
        <v>587114735304</v>
      </c>
      <c r="M489" s="15">
        <v>9060980476</v>
      </c>
      <c r="N489" s="15"/>
    </row>
    <row r="490" spans="3:14" x14ac:dyDescent="0.3">
      <c r="C490" s="3">
        <v>43951</v>
      </c>
      <c r="D490" s="11">
        <v>1938</v>
      </c>
      <c r="G490" s="16" t="s">
        <v>488</v>
      </c>
      <c r="H490" s="16"/>
      <c r="I490" s="57"/>
      <c r="J490"/>
      <c r="L490" s="15">
        <v>269330515527</v>
      </c>
      <c r="M490" s="15">
        <v>8434646898</v>
      </c>
      <c r="N490" s="15"/>
    </row>
    <row r="491" spans="3:14" x14ac:dyDescent="0.3">
      <c r="C491" s="3">
        <v>43951</v>
      </c>
      <c r="D491" s="11">
        <v>1940</v>
      </c>
      <c r="G491" s="16" t="s">
        <v>489</v>
      </c>
      <c r="H491" s="16"/>
      <c r="I491" s="57"/>
      <c r="J491"/>
      <c r="L491" s="15">
        <v>795734482810</v>
      </c>
      <c r="M491" s="15">
        <v>7557755037</v>
      </c>
      <c r="N491" s="15"/>
    </row>
    <row r="492" spans="3:14" x14ac:dyDescent="0.3">
      <c r="C492" s="3">
        <v>43951</v>
      </c>
      <c r="D492" s="11">
        <v>1942</v>
      </c>
      <c r="G492" s="16" t="s">
        <v>490</v>
      </c>
      <c r="H492" s="16"/>
      <c r="I492" s="57"/>
      <c r="J492"/>
      <c r="L492" s="15">
        <v>745196993630</v>
      </c>
      <c r="M492" s="15">
        <v>8710039497</v>
      </c>
      <c r="N492" s="15"/>
    </row>
    <row r="493" spans="3:14" x14ac:dyDescent="0.3">
      <c r="C493" s="3">
        <v>43951</v>
      </c>
      <c r="D493" s="11">
        <v>1944</v>
      </c>
      <c r="G493" s="16" t="s">
        <v>491</v>
      </c>
      <c r="H493" s="16"/>
      <c r="I493" s="57"/>
      <c r="J493"/>
      <c r="L493" s="15">
        <v>771549676955</v>
      </c>
      <c r="M493" s="15">
        <v>9123479082</v>
      </c>
      <c r="N493" s="15"/>
    </row>
    <row r="494" spans="3:14" x14ac:dyDescent="0.3">
      <c r="C494" s="3">
        <v>43951</v>
      </c>
      <c r="D494" s="11">
        <v>1945</v>
      </c>
      <c r="G494" s="16" t="s">
        <v>492</v>
      </c>
      <c r="H494" s="16"/>
      <c r="I494" s="57"/>
      <c r="J494"/>
      <c r="L494" s="15">
        <v>836739775875</v>
      </c>
      <c r="M494" s="15">
        <v>6205908083</v>
      </c>
      <c r="N494" s="15"/>
    </row>
    <row r="495" spans="3:14" x14ac:dyDescent="0.3">
      <c r="C495" s="3">
        <v>43951</v>
      </c>
      <c r="D495" s="11">
        <v>1947</v>
      </c>
      <c r="G495" s="16" t="s">
        <v>493</v>
      </c>
      <c r="H495" s="16"/>
      <c r="I495" s="57"/>
      <c r="J495"/>
      <c r="L495" s="15">
        <v>281119035669</v>
      </c>
      <c r="M495" s="15">
        <v>8709357819</v>
      </c>
      <c r="N495" s="15"/>
    </row>
    <row r="496" spans="3:14" x14ac:dyDescent="0.3">
      <c r="C496" s="3">
        <v>43951</v>
      </c>
      <c r="D496" s="11">
        <v>1948</v>
      </c>
      <c r="G496" s="16" t="s">
        <v>494</v>
      </c>
      <c r="H496" s="16"/>
      <c r="I496" s="57"/>
      <c r="J496"/>
      <c r="L496" s="15">
        <v>241119806512</v>
      </c>
      <c r="M496" s="15">
        <v>6205771614</v>
      </c>
      <c r="N496" s="15"/>
    </row>
    <row r="497" spans="1:14" x14ac:dyDescent="0.3">
      <c r="C497" s="3">
        <v>43951</v>
      </c>
      <c r="D497" s="11">
        <v>1950</v>
      </c>
      <c r="G497" s="16" t="s">
        <v>495</v>
      </c>
      <c r="H497" s="16"/>
      <c r="I497" s="57"/>
      <c r="J497"/>
      <c r="L497" s="15">
        <v>803357444164</v>
      </c>
      <c r="M497" s="15">
        <v>8271187781</v>
      </c>
      <c r="N497" s="15"/>
    </row>
    <row r="498" spans="1:14" x14ac:dyDescent="0.3">
      <c r="C498" s="3">
        <v>43951</v>
      </c>
      <c r="D498" s="11">
        <v>1953</v>
      </c>
      <c r="G498" s="16" t="s">
        <v>496</v>
      </c>
      <c r="H498" s="16"/>
      <c r="I498" s="57"/>
      <c r="J498" t="s">
        <v>1159</v>
      </c>
      <c r="K498" s="4">
        <v>100</v>
      </c>
      <c r="L498" s="15">
        <v>973798727377</v>
      </c>
      <c r="M498" s="15">
        <v>6203365885</v>
      </c>
      <c r="N498" s="15"/>
    </row>
    <row r="499" spans="1:14" x14ac:dyDescent="0.3">
      <c r="C499" s="3">
        <v>43951</v>
      </c>
      <c r="D499" s="11">
        <v>1954</v>
      </c>
      <c r="G499" s="16" t="s">
        <v>497</v>
      </c>
      <c r="H499" s="16"/>
      <c r="I499" s="57"/>
      <c r="J499" t="s">
        <v>1158</v>
      </c>
      <c r="K499" s="4">
        <v>100</v>
      </c>
      <c r="L499" s="15">
        <v>629735817332</v>
      </c>
      <c r="M499" s="15">
        <v>6205471371</v>
      </c>
      <c r="N499" s="15"/>
    </row>
    <row r="500" spans="1:14" x14ac:dyDescent="0.3">
      <c r="C500" s="3">
        <v>43951</v>
      </c>
      <c r="D500" s="11">
        <v>1957</v>
      </c>
      <c r="G500" s="16" t="s">
        <v>498</v>
      </c>
      <c r="H500" s="16"/>
      <c r="I500" s="57"/>
      <c r="J500"/>
      <c r="L500" s="15">
        <v>216132883459</v>
      </c>
      <c r="M500" s="15">
        <v>9955362241</v>
      </c>
      <c r="N500" s="15"/>
    </row>
    <row r="501" spans="1:14" x14ac:dyDescent="0.3">
      <c r="C501" s="3">
        <v>43951</v>
      </c>
      <c r="D501" s="11">
        <v>1958</v>
      </c>
      <c r="G501" s="16" t="s">
        <v>499</v>
      </c>
      <c r="H501" s="16"/>
      <c r="I501" s="57"/>
      <c r="J501"/>
      <c r="L501" s="15">
        <v>556871851256</v>
      </c>
      <c r="M501" s="15">
        <v>7033628673</v>
      </c>
      <c r="N501" s="15"/>
    </row>
    <row r="502" spans="1:14" x14ac:dyDescent="0.3">
      <c r="C502" s="3">
        <v>43951</v>
      </c>
      <c r="D502" s="11">
        <v>1959</v>
      </c>
      <c r="G502" s="16" t="s">
        <v>500</v>
      </c>
      <c r="H502" s="16"/>
      <c r="I502" s="57"/>
      <c r="J502"/>
      <c r="L502" s="15">
        <v>979491639513</v>
      </c>
      <c r="M502" s="15">
        <v>8340239496</v>
      </c>
      <c r="N502" s="15"/>
    </row>
    <row r="503" spans="1:14" x14ac:dyDescent="0.3">
      <c r="C503" s="3">
        <v>43951</v>
      </c>
      <c r="D503" s="11">
        <v>1961</v>
      </c>
      <c r="G503" s="16" t="s">
        <v>501</v>
      </c>
      <c r="H503" s="16"/>
      <c r="I503" s="57"/>
      <c r="J503"/>
      <c r="L503" s="15">
        <v>612060912293</v>
      </c>
      <c r="M503" s="15">
        <v>8092658128</v>
      </c>
      <c r="N503" s="15"/>
    </row>
    <row r="504" spans="1:14" x14ac:dyDescent="0.3">
      <c r="C504" s="3">
        <v>43951</v>
      </c>
      <c r="D504" s="11">
        <v>1962</v>
      </c>
      <c r="G504" s="16" t="s">
        <v>502</v>
      </c>
      <c r="H504" s="16"/>
      <c r="I504" s="57"/>
      <c r="J504"/>
      <c r="L504" s="15">
        <v>915622950926</v>
      </c>
      <c r="M504" s="15">
        <v>9334619959</v>
      </c>
      <c r="N504" s="15"/>
    </row>
    <row r="505" spans="1:14" x14ac:dyDescent="0.3">
      <c r="C505" s="3">
        <v>43951</v>
      </c>
      <c r="D505" s="11">
        <v>1964</v>
      </c>
      <c r="G505" s="16" t="s">
        <v>503</v>
      </c>
      <c r="H505" s="16"/>
      <c r="I505" s="57"/>
      <c r="J505"/>
      <c r="L505" s="15">
        <v>234936487611</v>
      </c>
      <c r="M505" s="15">
        <v>8409371937</v>
      </c>
      <c r="N505" s="15"/>
    </row>
    <row r="506" spans="1:14" x14ac:dyDescent="0.3">
      <c r="C506" s="3">
        <v>43951</v>
      </c>
      <c r="D506" s="11">
        <v>1965</v>
      </c>
      <c r="G506" s="16" t="s">
        <v>504</v>
      </c>
      <c r="H506" s="16"/>
      <c r="I506" s="57"/>
      <c r="J506"/>
      <c r="L506" s="15">
        <v>524673640030</v>
      </c>
      <c r="M506" s="15">
        <v>8271187781</v>
      </c>
      <c r="N506" s="15"/>
    </row>
    <row r="507" spans="1:14" x14ac:dyDescent="0.3">
      <c r="C507" s="3">
        <v>43951</v>
      </c>
      <c r="D507" s="11">
        <v>1966</v>
      </c>
      <c r="G507" s="16" t="s">
        <v>505</v>
      </c>
      <c r="H507" s="16"/>
      <c r="I507" s="57"/>
      <c r="J507"/>
      <c r="L507" s="15">
        <v>762795781974</v>
      </c>
      <c r="M507" s="15">
        <v>7488085286</v>
      </c>
      <c r="N507" s="15"/>
    </row>
    <row r="508" spans="1:14" x14ac:dyDescent="0.3">
      <c r="C508" s="3">
        <v>43951</v>
      </c>
      <c r="D508" s="11">
        <v>1967</v>
      </c>
      <c r="G508" s="16" t="s">
        <v>506</v>
      </c>
      <c r="H508" s="16"/>
      <c r="I508" s="57"/>
      <c r="J508"/>
      <c r="L508" s="15">
        <v>960651688540</v>
      </c>
      <c r="M508" s="15">
        <v>6205495182</v>
      </c>
      <c r="N508" s="15"/>
    </row>
    <row r="509" spans="1:14" x14ac:dyDescent="0.3">
      <c r="C509" s="3">
        <v>43951</v>
      </c>
      <c r="D509" s="11">
        <v>1969</v>
      </c>
      <c r="G509" s="16" t="s">
        <v>507</v>
      </c>
      <c r="H509" s="16"/>
      <c r="I509" s="57"/>
      <c r="J509"/>
      <c r="L509" s="15">
        <v>364246031314</v>
      </c>
      <c r="M509" s="15">
        <v>7209648621</v>
      </c>
      <c r="N509" s="15"/>
    </row>
    <row r="510" spans="1:14" x14ac:dyDescent="0.3">
      <c r="C510" s="3">
        <v>43951</v>
      </c>
      <c r="D510" s="11">
        <v>1971</v>
      </c>
      <c r="G510" s="16" t="s">
        <v>508</v>
      </c>
      <c r="H510" s="16"/>
      <c r="I510" s="57"/>
      <c r="J510"/>
      <c r="L510" s="15">
        <v>200329089928</v>
      </c>
      <c r="M510" s="15">
        <v>9693188030</v>
      </c>
      <c r="N510" s="15"/>
    </row>
    <row r="511" spans="1:14" x14ac:dyDescent="0.3">
      <c r="A511" t="s">
        <v>7098</v>
      </c>
      <c r="C511" s="3">
        <v>43951</v>
      </c>
      <c r="D511" s="11">
        <v>1972</v>
      </c>
      <c r="G511" s="16" t="s">
        <v>509</v>
      </c>
      <c r="H511" s="16"/>
      <c r="I511" s="57"/>
      <c r="J511" t="s">
        <v>4956</v>
      </c>
      <c r="L511" s="15">
        <v>928358407057</v>
      </c>
      <c r="M511" s="15">
        <v>7488385720</v>
      </c>
      <c r="N511" s="15"/>
    </row>
    <row r="512" spans="1:14" x14ac:dyDescent="0.3">
      <c r="C512" s="3">
        <v>43951</v>
      </c>
      <c r="D512" s="11">
        <v>1973</v>
      </c>
      <c r="G512" s="16" t="s">
        <v>510</v>
      </c>
      <c r="H512" s="16"/>
      <c r="I512" s="57"/>
      <c r="J512"/>
      <c r="L512" s="15">
        <v>347377946289</v>
      </c>
      <c r="M512" s="15">
        <v>8674803069</v>
      </c>
      <c r="N512" s="15"/>
    </row>
    <row r="513" spans="3:18" x14ac:dyDescent="0.3">
      <c r="C513" s="3">
        <v>43951</v>
      </c>
      <c r="D513" s="11">
        <v>1975</v>
      </c>
      <c r="G513" s="16" t="s">
        <v>511</v>
      </c>
      <c r="H513" s="16"/>
      <c r="I513" s="57"/>
      <c r="J513"/>
      <c r="L513" s="15">
        <v>976670000389</v>
      </c>
      <c r="M513" s="15">
        <v>7209980860</v>
      </c>
      <c r="N513" s="15"/>
      <c r="R513" s="4" t="s">
        <v>16</v>
      </c>
    </row>
    <row r="514" spans="3:18" x14ac:dyDescent="0.3">
      <c r="C514" s="3">
        <v>43951</v>
      </c>
      <c r="D514" s="11">
        <v>1976</v>
      </c>
      <c r="G514" s="16" t="s">
        <v>512</v>
      </c>
      <c r="H514" s="16"/>
      <c r="I514" s="57"/>
      <c r="J514"/>
      <c r="L514" s="15">
        <v>837820579195</v>
      </c>
      <c r="M514" s="15">
        <v>9204267336</v>
      </c>
      <c r="N514" s="15"/>
    </row>
    <row r="515" spans="3:18" x14ac:dyDescent="0.3">
      <c r="C515" s="3">
        <v>43951</v>
      </c>
      <c r="D515" s="11">
        <v>1977</v>
      </c>
      <c r="G515" s="16" t="s">
        <v>513</v>
      </c>
      <c r="H515" s="16"/>
      <c r="I515" s="57"/>
      <c r="J515"/>
      <c r="L515" s="15">
        <v>207286705333</v>
      </c>
      <c r="M515" s="15">
        <v>9204024939</v>
      </c>
      <c r="N515" s="15"/>
    </row>
    <row r="516" spans="3:18" x14ac:dyDescent="0.3">
      <c r="C516" s="3">
        <v>43951</v>
      </c>
      <c r="D516" s="11">
        <v>1978</v>
      </c>
      <c r="G516" s="16" t="s">
        <v>514</v>
      </c>
      <c r="H516" s="16"/>
      <c r="I516" s="57"/>
      <c r="J516"/>
      <c r="L516" s="15">
        <v>787741946794</v>
      </c>
      <c r="M516" s="15">
        <v>7209469367</v>
      </c>
      <c r="N516" s="15"/>
    </row>
    <row r="517" spans="3:18" x14ac:dyDescent="0.3">
      <c r="C517" s="3">
        <v>43951</v>
      </c>
      <c r="D517" s="11">
        <v>1979</v>
      </c>
      <c r="G517" s="18" t="s">
        <v>515</v>
      </c>
      <c r="H517" s="18"/>
      <c r="I517" s="58"/>
      <c r="J517" t="s">
        <v>1149</v>
      </c>
      <c r="K517" s="4">
        <v>100</v>
      </c>
      <c r="L517" s="15">
        <v>663941280372</v>
      </c>
      <c r="M517" s="15">
        <v>7079945884</v>
      </c>
      <c r="N517" s="15"/>
    </row>
    <row r="518" spans="3:18" x14ac:dyDescent="0.3">
      <c r="C518" s="3">
        <v>43951</v>
      </c>
      <c r="D518" s="11">
        <v>1980</v>
      </c>
      <c r="G518" s="16" t="s">
        <v>516</v>
      </c>
      <c r="H518" s="16"/>
      <c r="I518" s="57"/>
      <c r="J518"/>
      <c r="L518" s="15">
        <v>286696859789</v>
      </c>
      <c r="M518" s="15">
        <v>9031907145</v>
      </c>
      <c r="N518" s="15"/>
    </row>
    <row r="519" spans="3:18" x14ac:dyDescent="0.3">
      <c r="C519" s="3">
        <v>43951</v>
      </c>
      <c r="D519" s="11">
        <v>1981</v>
      </c>
      <c r="G519" s="16" t="s">
        <v>517</v>
      </c>
      <c r="H519" s="16"/>
      <c r="I519" s="57"/>
      <c r="J519"/>
      <c r="L519" s="15">
        <v>974679783820</v>
      </c>
      <c r="M519" s="15">
        <v>7209119953</v>
      </c>
      <c r="N519" s="15"/>
    </row>
    <row r="520" spans="3:18" x14ac:dyDescent="0.3">
      <c r="C520" s="3">
        <v>43951</v>
      </c>
      <c r="D520" s="11">
        <v>1982</v>
      </c>
      <c r="G520" s="16" t="s">
        <v>518</v>
      </c>
      <c r="H520" s="16"/>
      <c r="I520" s="57"/>
      <c r="J520"/>
      <c r="L520" s="15">
        <v>430482847778</v>
      </c>
      <c r="M520" s="15">
        <v>9199343945</v>
      </c>
      <c r="N520" s="15"/>
    </row>
    <row r="521" spans="3:18" x14ac:dyDescent="0.3">
      <c r="C521" s="3">
        <v>43951</v>
      </c>
      <c r="D521" s="11">
        <v>1983</v>
      </c>
      <c r="G521" s="16" t="s">
        <v>519</v>
      </c>
      <c r="H521" s="16"/>
      <c r="I521" s="57"/>
      <c r="J521"/>
      <c r="L521" s="15">
        <v>347439870394</v>
      </c>
      <c r="M521" s="15">
        <v>8987706330</v>
      </c>
      <c r="N521" s="15"/>
    </row>
    <row r="522" spans="3:18" x14ac:dyDescent="0.3">
      <c r="C522" s="3">
        <v>43951</v>
      </c>
      <c r="D522" s="11">
        <v>1984</v>
      </c>
      <c r="G522" s="16" t="s">
        <v>520</v>
      </c>
      <c r="H522" s="16"/>
      <c r="I522" s="57"/>
      <c r="J522"/>
      <c r="L522" s="15">
        <v>227055289305</v>
      </c>
      <c r="M522" s="15">
        <v>9304176990</v>
      </c>
      <c r="N522" s="15"/>
    </row>
    <row r="523" spans="3:18" x14ac:dyDescent="0.3">
      <c r="C523" s="3">
        <v>43951</v>
      </c>
      <c r="D523" s="11">
        <v>1985</v>
      </c>
      <c r="G523" s="16" t="s">
        <v>521</v>
      </c>
      <c r="H523" s="16"/>
      <c r="I523" s="57"/>
      <c r="J523"/>
      <c r="L523" s="15">
        <v>782796089823</v>
      </c>
      <c r="M523" s="15">
        <v>9693813410</v>
      </c>
      <c r="N523" s="15"/>
    </row>
    <row r="524" spans="3:18" x14ac:dyDescent="0.3">
      <c r="C524" s="3">
        <v>43951</v>
      </c>
      <c r="D524" s="11">
        <v>1987</v>
      </c>
      <c r="G524" s="16" t="s">
        <v>522</v>
      </c>
      <c r="H524" s="16"/>
      <c r="I524" s="57"/>
      <c r="J524"/>
      <c r="L524" s="15">
        <v>660793307466</v>
      </c>
      <c r="M524" s="15">
        <v>9097401134</v>
      </c>
      <c r="N524" s="15"/>
    </row>
    <row r="525" spans="3:18" x14ac:dyDescent="0.3">
      <c r="C525" s="3">
        <v>43951</v>
      </c>
      <c r="D525" s="11">
        <v>1988</v>
      </c>
      <c r="G525" s="16" t="s">
        <v>523</v>
      </c>
      <c r="H525" s="16"/>
      <c r="I525" s="57"/>
      <c r="J525"/>
      <c r="L525" s="15">
        <v>984136936604</v>
      </c>
      <c r="M525" s="15">
        <v>7209302446</v>
      </c>
      <c r="N525" s="15"/>
    </row>
    <row r="526" spans="3:18" x14ac:dyDescent="0.3">
      <c r="C526" s="3">
        <v>43951</v>
      </c>
      <c r="D526" s="11">
        <v>1990</v>
      </c>
      <c r="G526" s="16" t="s">
        <v>524</v>
      </c>
      <c r="H526" s="16"/>
      <c r="I526" s="57"/>
      <c r="J526"/>
      <c r="L526" s="15">
        <v>415350622310</v>
      </c>
      <c r="M526" s="15">
        <v>9835489204</v>
      </c>
      <c r="N526" s="15"/>
    </row>
    <row r="527" spans="3:18" x14ac:dyDescent="0.3">
      <c r="C527" s="3">
        <v>43951</v>
      </c>
      <c r="D527" s="11">
        <v>1992</v>
      </c>
      <c r="G527" s="16" t="s">
        <v>525</v>
      </c>
      <c r="H527" s="16"/>
      <c r="I527" s="57"/>
      <c r="J527"/>
      <c r="L527" s="15">
        <v>264042345817</v>
      </c>
      <c r="M527" s="15">
        <v>9534028993</v>
      </c>
      <c r="N527" s="15"/>
    </row>
    <row r="528" spans="3:18" x14ac:dyDescent="0.3">
      <c r="C528" s="3">
        <v>43951</v>
      </c>
      <c r="D528" s="11">
        <v>1993</v>
      </c>
      <c r="G528" s="16" t="s">
        <v>526</v>
      </c>
      <c r="H528" s="16"/>
      <c r="I528" s="57"/>
      <c r="J528"/>
      <c r="L528" s="15">
        <v>488933052093</v>
      </c>
      <c r="M528" s="15">
        <v>9102726810</v>
      </c>
      <c r="N528" s="15"/>
    </row>
    <row r="529" spans="1:15" x14ac:dyDescent="0.3">
      <c r="A529" t="s">
        <v>8527</v>
      </c>
      <c r="C529" s="3">
        <v>43951</v>
      </c>
      <c r="D529" s="11">
        <v>1995</v>
      </c>
      <c r="G529" s="16" t="s">
        <v>527</v>
      </c>
      <c r="H529" s="16"/>
      <c r="I529" s="57"/>
      <c r="J529" t="s">
        <v>8528</v>
      </c>
      <c r="L529" s="15">
        <v>617076971578</v>
      </c>
      <c r="M529" s="15">
        <v>9608327198</v>
      </c>
      <c r="N529" s="15"/>
    </row>
    <row r="530" spans="1:15" x14ac:dyDescent="0.3">
      <c r="C530" s="3">
        <v>43951</v>
      </c>
      <c r="D530" s="11">
        <v>1998</v>
      </c>
      <c r="G530" s="16" t="s">
        <v>528</v>
      </c>
      <c r="H530" s="16"/>
      <c r="I530" s="57"/>
      <c r="J530"/>
      <c r="L530" s="15">
        <v>458476873340</v>
      </c>
      <c r="M530" s="15">
        <v>9939889613</v>
      </c>
      <c r="N530" s="15"/>
    </row>
    <row r="531" spans="1:15" x14ac:dyDescent="0.3">
      <c r="C531" s="3">
        <v>43951</v>
      </c>
      <c r="D531" s="11">
        <v>1999</v>
      </c>
      <c r="G531" s="16" t="s">
        <v>529</v>
      </c>
      <c r="H531" s="16"/>
      <c r="I531" s="57"/>
      <c r="J531"/>
      <c r="L531" s="15">
        <v>541993911117</v>
      </c>
      <c r="M531" s="15">
        <v>9304534774</v>
      </c>
      <c r="N531" s="15"/>
    </row>
    <row r="532" spans="1:15" x14ac:dyDescent="0.3">
      <c r="C532" s="3">
        <v>43951</v>
      </c>
      <c r="D532" s="11">
        <v>2002</v>
      </c>
      <c r="G532" s="16" t="s">
        <v>530</v>
      </c>
      <c r="H532" s="16"/>
      <c r="I532" s="57"/>
      <c r="J532"/>
      <c r="L532" s="15">
        <v>997812458497</v>
      </c>
      <c r="M532" s="15">
        <v>7352712391</v>
      </c>
      <c r="N532" s="15"/>
    </row>
    <row r="533" spans="1:15" x14ac:dyDescent="0.3">
      <c r="C533" s="3">
        <v>43951</v>
      </c>
      <c r="D533" s="11">
        <v>2003</v>
      </c>
      <c r="G533" s="16" t="s">
        <v>531</v>
      </c>
      <c r="H533" s="16"/>
      <c r="I533" s="57"/>
      <c r="J533"/>
      <c r="L533" s="15">
        <v>472271152169</v>
      </c>
      <c r="M533" s="15">
        <v>9507188627</v>
      </c>
      <c r="N533" s="15"/>
    </row>
    <row r="534" spans="1:15" x14ac:dyDescent="0.3">
      <c r="C534" s="3">
        <v>43951</v>
      </c>
      <c r="D534" s="11">
        <v>2006</v>
      </c>
      <c r="G534" s="16" t="s">
        <v>532</v>
      </c>
      <c r="H534" s="16"/>
      <c r="I534" s="57"/>
      <c r="J534" t="s">
        <v>1159</v>
      </c>
      <c r="L534" s="15">
        <v>781860773386</v>
      </c>
      <c r="M534" s="15">
        <v>9608327198</v>
      </c>
      <c r="N534" s="15"/>
      <c r="O534" s="3">
        <v>44000</v>
      </c>
    </row>
    <row r="535" spans="1:15" x14ac:dyDescent="0.3">
      <c r="C535" s="3">
        <v>43951</v>
      </c>
      <c r="D535" s="11">
        <v>2009</v>
      </c>
      <c r="G535" s="16" t="s">
        <v>533</v>
      </c>
      <c r="H535" s="16"/>
      <c r="I535" s="57"/>
      <c r="J535"/>
      <c r="L535" s="15">
        <v>426044324964</v>
      </c>
      <c r="M535" s="15">
        <v>9031335800</v>
      </c>
      <c r="N535" s="15"/>
    </row>
    <row r="536" spans="1:15" x14ac:dyDescent="0.3">
      <c r="C536" s="3">
        <v>43951</v>
      </c>
      <c r="D536" s="11">
        <v>2010</v>
      </c>
      <c r="G536" s="16" t="s">
        <v>534</v>
      </c>
      <c r="H536" s="16"/>
      <c r="I536" s="57"/>
      <c r="J536"/>
      <c r="L536" s="15">
        <v>942973982382</v>
      </c>
      <c r="M536" s="15">
        <v>8789680880</v>
      </c>
      <c r="N536" s="15"/>
    </row>
    <row r="537" spans="1:15" x14ac:dyDescent="0.3">
      <c r="C537" s="3">
        <v>43951</v>
      </c>
      <c r="D537" s="11">
        <v>2012</v>
      </c>
      <c r="G537" s="16" t="s">
        <v>535</v>
      </c>
      <c r="H537" s="16"/>
      <c r="I537" s="57"/>
      <c r="J537"/>
      <c r="L537" s="15">
        <v>550004379785</v>
      </c>
      <c r="M537" s="15">
        <v>8797590067</v>
      </c>
      <c r="N537" s="15"/>
    </row>
    <row r="538" spans="1:15" x14ac:dyDescent="0.3">
      <c r="C538" s="3">
        <v>43951</v>
      </c>
      <c r="D538" s="11">
        <v>2013</v>
      </c>
      <c r="G538" s="16" t="s">
        <v>536</v>
      </c>
      <c r="H538" s="16"/>
      <c r="I538" s="57"/>
      <c r="J538"/>
      <c r="L538" s="15">
        <v>278849792561</v>
      </c>
      <c r="M538" s="15">
        <v>7209249441</v>
      </c>
      <c r="N538" s="15"/>
    </row>
    <row r="539" spans="1:15" x14ac:dyDescent="0.3">
      <c r="C539" s="3">
        <v>43952</v>
      </c>
      <c r="D539" s="11">
        <v>2023</v>
      </c>
      <c r="G539" s="16" t="s">
        <v>537</v>
      </c>
      <c r="H539" s="16"/>
      <c r="I539" s="57"/>
      <c r="J539"/>
      <c r="L539" s="15">
        <v>427127003355</v>
      </c>
      <c r="M539" s="15">
        <v>930467489</v>
      </c>
      <c r="N539" s="15"/>
    </row>
    <row r="540" spans="1:15" x14ac:dyDescent="0.3">
      <c r="C540" s="3">
        <v>43952</v>
      </c>
      <c r="D540" s="11">
        <v>2024</v>
      </c>
      <c r="G540" s="16" t="s">
        <v>538</v>
      </c>
      <c r="H540" s="16"/>
      <c r="I540" s="57"/>
      <c r="J540"/>
      <c r="L540" s="15">
        <v>997519604512</v>
      </c>
      <c r="M540" s="15">
        <v>9123103571</v>
      </c>
      <c r="N540" s="15"/>
    </row>
    <row r="541" spans="1:15" x14ac:dyDescent="0.3">
      <c r="C541" s="3">
        <v>43952</v>
      </c>
      <c r="D541" s="11">
        <v>2025</v>
      </c>
      <c r="G541" s="16" t="s">
        <v>539</v>
      </c>
      <c r="H541" s="16"/>
      <c r="I541" s="57"/>
      <c r="J541"/>
      <c r="L541" s="15">
        <v>982511804615</v>
      </c>
      <c r="M541" s="15">
        <v>8092673271</v>
      </c>
      <c r="N541" s="15"/>
    </row>
    <row r="542" spans="1:15" x14ac:dyDescent="0.3">
      <c r="C542" s="3">
        <v>43952</v>
      </c>
      <c r="D542" s="11">
        <v>2026</v>
      </c>
      <c r="G542" s="16" t="s">
        <v>540</v>
      </c>
      <c r="H542" s="16"/>
      <c r="I542" s="57"/>
      <c r="J542"/>
      <c r="L542" s="15">
        <v>849235899142</v>
      </c>
      <c r="M542" s="15">
        <v>748891798</v>
      </c>
      <c r="N542" s="15"/>
    </row>
    <row r="543" spans="1:15" x14ac:dyDescent="0.3">
      <c r="C543" s="3">
        <v>43952</v>
      </c>
      <c r="D543" s="11">
        <v>2027</v>
      </c>
      <c r="G543" s="16" t="s">
        <v>387</v>
      </c>
      <c r="H543" s="16"/>
      <c r="I543" s="57"/>
      <c r="J543"/>
      <c r="L543" s="15">
        <v>229766218947</v>
      </c>
      <c r="M543" s="15">
        <v>7209442927</v>
      </c>
      <c r="N543" s="15"/>
    </row>
    <row r="544" spans="1:15" x14ac:dyDescent="0.3">
      <c r="C544" s="3">
        <v>43952</v>
      </c>
      <c r="D544" s="11">
        <v>2028</v>
      </c>
      <c r="G544" s="16" t="s">
        <v>541</v>
      </c>
      <c r="H544" s="16"/>
      <c r="I544" s="57"/>
      <c r="J544"/>
      <c r="L544" s="15">
        <v>959560945730</v>
      </c>
      <c r="M544" s="15">
        <v>8092703035</v>
      </c>
      <c r="N544" s="15"/>
    </row>
    <row r="545" spans="1:14" x14ac:dyDescent="0.3">
      <c r="C545" s="3">
        <v>43952</v>
      </c>
      <c r="D545" s="11">
        <v>2029</v>
      </c>
      <c r="G545" s="16" t="s">
        <v>542</v>
      </c>
      <c r="H545" s="16"/>
      <c r="I545" s="57"/>
      <c r="J545"/>
      <c r="L545" s="15">
        <v>972024883185</v>
      </c>
      <c r="M545" s="15">
        <v>9905055987</v>
      </c>
      <c r="N545" s="15"/>
    </row>
    <row r="546" spans="1:14" x14ac:dyDescent="0.3">
      <c r="C546" s="3">
        <v>43952</v>
      </c>
      <c r="D546" s="11">
        <v>2030</v>
      </c>
      <c r="G546" s="16" t="s">
        <v>543</v>
      </c>
      <c r="H546" s="16"/>
      <c r="I546" s="57"/>
      <c r="J546"/>
      <c r="L546" s="15">
        <v>972639239659</v>
      </c>
      <c r="M546" s="15">
        <v>6396496308</v>
      </c>
      <c r="N546" s="15"/>
    </row>
    <row r="547" spans="1:14" x14ac:dyDescent="0.3">
      <c r="C547" s="3">
        <v>43952</v>
      </c>
      <c r="D547" s="11">
        <v>2032</v>
      </c>
      <c r="G547" s="16" t="s">
        <v>544</v>
      </c>
      <c r="H547" s="16"/>
      <c r="I547" s="57"/>
      <c r="J547"/>
      <c r="L547" s="15">
        <v>208187618091</v>
      </c>
      <c r="M547" s="15">
        <v>9334882577</v>
      </c>
      <c r="N547" s="15"/>
    </row>
    <row r="548" spans="1:14" x14ac:dyDescent="0.3">
      <c r="C548" s="3">
        <v>43952</v>
      </c>
      <c r="D548" s="11">
        <v>2033</v>
      </c>
      <c r="G548" s="16" t="s">
        <v>545</v>
      </c>
      <c r="H548" s="16"/>
      <c r="I548" s="57"/>
      <c r="J548"/>
      <c r="L548" s="15">
        <v>300567091569</v>
      </c>
      <c r="M548" s="15">
        <v>8789894681</v>
      </c>
      <c r="N548" s="15"/>
    </row>
    <row r="549" spans="1:14" x14ac:dyDescent="0.3">
      <c r="C549" s="3">
        <v>43952</v>
      </c>
      <c r="D549" s="11">
        <v>2037</v>
      </c>
      <c r="G549" s="16" t="s">
        <v>546</v>
      </c>
      <c r="H549" s="16"/>
      <c r="I549" s="57"/>
      <c r="J549"/>
      <c r="L549" s="15">
        <v>726127257415</v>
      </c>
      <c r="M549" s="15">
        <v>6200678165</v>
      </c>
      <c r="N549" s="15"/>
    </row>
    <row r="550" spans="1:14" x14ac:dyDescent="0.3">
      <c r="C550" s="3">
        <v>43952</v>
      </c>
      <c r="D550" s="11">
        <v>2038</v>
      </c>
      <c r="G550" s="16" t="s">
        <v>547</v>
      </c>
      <c r="H550" s="16"/>
      <c r="I550" s="57"/>
      <c r="J550"/>
      <c r="L550" s="15">
        <v>926185582379</v>
      </c>
      <c r="M550" s="15">
        <v>7209836937</v>
      </c>
      <c r="N550" s="15"/>
    </row>
    <row r="551" spans="1:14" x14ac:dyDescent="0.3">
      <c r="C551" s="3">
        <v>43952</v>
      </c>
      <c r="D551" s="11">
        <v>2040</v>
      </c>
      <c r="G551" s="16" t="s">
        <v>548</v>
      </c>
      <c r="H551" s="16"/>
      <c r="I551" s="57"/>
      <c r="J551"/>
      <c r="L551" s="15">
        <v>271348460395</v>
      </c>
      <c r="M551" s="15">
        <v>8521178538</v>
      </c>
      <c r="N551" s="15"/>
    </row>
    <row r="552" spans="1:14" x14ac:dyDescent="0.3">
      <c r="C552" s="3">
        <v>43952</v>
      </c>
      <c r="D552" s="11">
        <v>2042</v>
      </c>
      <c r="G552" s="16" t="s">
        <v>549</v>
      </c>
      <c r="H552" s="16"/>
      <c r="I552" s="57"/>
      <c r="J552"/>
      <c r="L552" s="15">
        <v>416059324874</v>
      </c>
      <c r="M552" s="15">
        <v>8210035066</v>
      </c>
      <c r="N552" s="15"/>
    </row>
    <row r="553" spans="1:14" x14ac:dyDescent="0.3">
      <c r="C553" s="3">
        <v>43952</v>
      </c>
      <c r="D553" s="11">
        <v>2044</v>
      </c>
      <c r="G553" s="16" t="s">
        <v>550</v>
      </c>
      <c r="H553" s="16"/>
      <c r="I553" s="57"/>
      <c r="J553"/>
      <c r="L553" s="15">
        <v>241974562804</v>
      </c>
      <c r="M553" s="15">
        <v>9523123610</v>
      </c>
      <c r="N553" s="15"/>
    </row>
    <row r="554" spans="1:14" x14ac:dyDescent="0.3">
      <c r="C554" s="3">
        <v>43952</v>
      </c>
      <c r="D554" s="11">
        <v>2045</v>
      </c>
      <c r="G554" s="16" t="s">
        <v>551</v>
      </c>
      <c r="H554" s="16"/>
      <c r="I554" s="57"/>
      <c r="J554"/>
      <c r="L554" s="15">
        <v>484735426915</v>
      </c>
      <c r="M554" s="15">
        <v>6204964723</v>
      </c>
      <c r="N554" s="15"/>
    </row>
    <row r="555" spans="1:14" x14ac:dyDescent="0.3">
      <c r="C555" s="3">
        <v>43952</v>
      </c>
      <c r="D555" s="11">
        <v>2046</v>
      </c>
      <c r="G555" s="16" t="s">
        <v>552</v>
      </c>
      <c r="H555" s="16"/>
      <c r="I555" s="57"/>
      <c r="J555"/>
      <c r="L555" s="15">
        <v>306414605632</v>
      </c>
      <c r="M555" s="15">
        <v>6204069239</v>
      </c>
      <c r="N555" s="15"/>
    </row>
    <row r="556" spans="1:14" x14ac:dyDescent="0.3">
      <c r="C556" s="3">
        <v>43952</v>
      </c>
      <c r="D556" s="11">
        <v>2048</v>
      </c>
      <c r="G556" s="16" t="s">
        <v>553</v>
      </c>
      <c r="H556" s="16"/>
      <c r="I556" s="57"/>
      <c r="J556"/>
      <c r="L556" s="15">
        <v>996399062261</v>
      </c>
      <c r="M556" s="15">
        <v>9279375236</v>
      </c>
      <c r="N556" s="15"/>
    </row>
    <row r="557" spans="1:14" x14ac:dyDescent="0.3">
      <c r="A557" t="s">
        <v>6098</v>
      </c>
      <c r="C557" s="3">
        <v>43952</v>
      </c>
      <c r="D557" s="11">
        <v>2049</v>
      </c>
      <c r="G557" s="16" t="s">
        <v>2275</v>
      </c>
      <c r="H557" s="16"/>
      <c r="I557" s="57"/>
      <c r="J557" t="s">
        <v>6099</v>
      </c>
      <c r="L557" s="15">
        <v>908937667205</v>
      </c>
      <c r="M557" s="15">
        <v>7209288061</v>
      </c>
      <c r="N557" s="15"/>
    </row>
    <row r="558" spans="1:14" x14ac:dyDescent="0.3">
      <c r="C558" s="3">
        <v>43956</v>
      </c>
      <c r="D558" s="11" t="s">
        <v>6097</v>
      </c>
      <c r="G558" s="16" t="s">
        <v>706</v>
      </c>
      <c r="H558" s="16"/>
      <c r="I558" s="57"/>
      <c r="J558"/>
      <c r="L558" s="15">
        <v>739388084029</v>
      </c>
      <c r="M558" s="15">
        <v>7903011662</v>
      </c>
      <c r="N558" s="15"/>
    </row>
    <row r="559" spans="1:14" x14ac:dyDescent="0.3">
      <c r="C559" s="3">
        <v>43952</v>
      </c>
      <c r="D559" s="11">
        <v>2051</v>
      </c>
      <c r="G559" s="16" t="s">
        <v>554</v>
      </c>
      <c r="H559" s="16"/>
      <c r="I559" s="57"/>
      <c r="J559"/>
      <c r="L559" s="15">
        <v>332292694228</v>
      </c>
      <c r="M559" s="15">
        <v>7209643045</v>
      </c>
      <c r="N559" s="15"/>
    </row>
    <row r="560" spans="1:14" x14ac:dyDescent="0.3">
      <c r="C560" s="3">
        <v>43952</v>
      </c>
      <c r="D560" s="11">
        <v>2053</v>
      </c>
      <c r="G560" s="16" t="s">
        <v>555</v>
      </c>
      <c r="H560" s="16"/>
      <c r="I560" s="57"/>
      <c r="J560"/>
      <c r="L560" s="15">
        <v>544827056449</v>
      </c>
      <c r="M560" s="15">
        <v>6204179903</v>
      </c>
      <c r="N560" s="15"/>
    </row>
    <row r="561" spans="3:14" x14ac:dyDescent="0.3">
      <c r="C561" s="3">
        <v>43952</v>
      </c>
      <c r="D561" s="11">
        <v>2054</v>
      </c>
      <c r="G561" s="18" t="s">
        <v>556</v>
      </c>
      <c r="H561" s="18"/>
      <c r="I561" s="58"/>
      <c r="J561" t="s">
        <v>1168</v>
      </c>
      <c r="K561" s="4">
        <v>100</v>
      </c>
      <c r="L561" s="15">
        <v>738953520841</v>
      </c>
      <c r="M561" s="15">
        <v>7667213918</v>
      </c>
      <c r="N561" s="15"/>
    </row>
    <row r="562" spans="3:14" x14ac:dyDescent="0.3">
      <c r="C562" s="3">
        <v>43952</v>
      </c>
      <c r="D562" s="11">
        <v>2056</v>
      </c>
      <c r="G562" s="16" t="s">
        <v>557</v>
      </c>
      <c r="H562" s="16"/>
      <c r="I562" s="57"/>
      <c r="J562"/>
      <c r="L562" s="15">
        <v>805639489317</v>
      </c>
      <c r="M562" s="15">
        <v>8709878295</v>
      </c>
      <c r="N562" s="15"/>
    </row>
    <row r="563" spans="3:14" x14ac:dyDescent="0.3">
      <c r="C563" s="3">
        <v>43952</v>
      </c>
      <c r="D563" s="11">
        <v>2058</v>
      </c>
      <c r="G563" s="16" t="s">
        <v>558</v>
      </c>
      <c r="H563" s="16"/>
      <c r="I563" s="57"/>
      <c r="J563"/>
      <c r="L563" s="15">
        <v>805639489317</v>
      </c>
      <c r="M563" s="15">
        <v>9031967169</v>
      </c>
      <c r="N563" s="15"/>
    </row>
    <row r="564" spans="3:14" x14ac:dyDescent="0.3">
      <c r="C564" s="3">
        <v>43952</v>
      </c>
      <c r="D564" s="11">
        <v>2060</v>
      </c>
      <c r="G564" s="16" t="s">
        <v>559</v>
      </c>
      <c r="H564" s="16"/>
      <c r="I564" s="57"/>
      <c r="J564"/>
      <c r="L564" s="15">
        <v>360905424356</v>
      </c>
      <c r="M564" s="15">
        <v>7209736439</v>
      </c>
      <c r="N564" s="15"/>
    </row>
    <row r="565" spans="3:14" x14ac:dyDescent="0.3">
      <c r="C565" s="3">
        <v>43952</v>
      </c>
      <c r="D565" s="11">
        <v>2062</v>
      </c>
      <c r="G565" s="16" t="s">
        <v>560</v>
      </c>
      <c r="H565" s="16"/>
      <c r="I565" s="57"/>
      <c r="J565"/>
      <c r="L565" s="15">
        <v>939074305608</v>
      </c>
      <c r="M565" s="15">
        <v>9905184352</v>
      </c>
      <c r="N565" s="15"/>
    </row>
    <row r="566" spans="3:14" x14ac:dyDescent="0.3">
      <c r="C566" s="3">
        <v>43952</v>
      </c>
      <c r="D566" s="11">
        <v>2063</v>
      </c>
      <c r="G566" s="16" t="s">
        <v>561</v>
      </c>
      <c r="H566" s="16"/>
      <c r="I566" s="57"/>
      <c r="J566"/>
      <c r="L566" s="15">
        <v>304466677444</v>
      </c>
      <c r="M566" s="15">
        <v>6200878149</v>
      </c>
      <c r="N566" s="15"/>
    </row>
    <row r="567" spans="3:14" x14ac:dyDescent="0.3">
      <c r="C567" s="3">
        <v>43952</v>
      </c>
      <c r="D567" s="11">
        <v>2064</v>
      </c>
      <c r="G567" s="16" t="s">
        <v>562</v>
      </c>
      <c r="H567" s="16"/>
      <c r="I567" s="57"/>
      <c r="J567"/>
      <c r="L567" s="15">
        <v>250519254274</v>
      </c>
      <c r="M567" s="15">
        <v>6207538624</v>
      </c>
      <c r="N567" s="15"/>
    </row>
    <row r="568" spans="3:14" x14ac:dyDescent="0.3">
      <c r="C568" s="3">
        <v>43952</v>
      </c>
      <c r="D568" s="11">
        <v>2066</v>
      </c>
      <c r="G568" s="16" t="s">
        <v>563</v>
      </c>
      <c r="H568" s="16"/>
      <c r="I568" s="57"/>
      <c r="J568"/>
      <c r="L568" s="15">
        <v>335909636600</v>
      </c>
      <c r="M568" s="15"/>
      <c r="N568" s="15"/>
    </row>
    <row r="569" spans="3:14" x14ac:dyDescent="0.3">
      <c r="C569" s="3">
        <v>43952</v>
      </c>
      <c r="D569" s="11">
        <v>2068</v>
      </c>
      <c r="G569" s="16" t="s">
        <v>508</v>
      </c>
      <c r="H569" s="16"/>
      <c r="I569" s="57"/>
      <c r="J569"/>
      <c r="L569" s="15">
        <v>734458555826</v>
      </c>
      <c r="M569" s="15">
        <v>9110971263</v>
      </c>
      <c r="N569" s="15"/>
    </row>
    <row r="570" spans="3:14" x14ac:dyDescent="0.3">
      <c r="C570" s="3">
        <v>43952</v>
      </c>
      <c r="D570" s="11">
        <v>2069</v>
      </c>
      <c r="G570" s="16" t="s">
        <v>564</v>
      </c>
      <c r="H570" s="16"/>
      <c r="I570" s="57"/>
      <c r="J570"/>
      <c r="L570" s="15">
        <v>251715995571</v>
      </c>
      <c r="M570" s="15">
        <v>7488948181</v>
      </c>
      <c r="N570" s="15"/>
    </row>
    <row r="571" spans="3:14" x14ac:dyDescent="0.3">
      <c r="C571" s="3">
        <v>43952</v>
      </c>
      <c r="D571" s="11">
        <v>2071</v>
      </c>
      <c r="G571" s="16" t="s">
        <v>311</v>
      </c>
      <c r="H571" s="16"/>
      <c r="I571" s="57"/>
      <c r="J571"/>
      <c r="L571" s="15">
        <v>733446693365</v>
      </c>
      <c r="M571" s="15"/>
      <c r="N571" s="15"/>
    </row>
    <row r="572" spans="3:14" x14ac:dyDescent="0.3">
      <c r="C572" s="3">
        <v>43952</v>
      </c>
      <c r="D572" s="11">
        <v>2072</v>
      </c>
      <c r="G572" s="16" t="s">
        <v>565</v>
      </c>
      <c r="H572" s="16"/>
      <c r="I572" s="57"/>
      <c r="J572"/>
      <c r="K572" s="4">
        <v>100</v>
      </c>
      <c r="L572" s="15">
        <v>728266218614</v>
      </c>
      <c r="M572" s="15">
        <v>9507632763</v>
      </c>
      <c r="N572" s="15"/>
    </row>
    <row r="573" spans="3:14" x14ac:dyDescent="0.3">
      <c r="C573" s="3">
        <v>43952</v>
      </c>
      <c r="D573" s="11">
        <v>2073</v>
      </c>
      <c r="G573" s="16" t="s">
        <v>566</v>
      </c>
      <c r="H573" s="16"/>
      <c r="I573" s="57"/>
      <c r="J573"/>
      <c r="L573" s="15">
        <v>761780012369</v>
      </c>
      <c r="M573" s="15">
        <v>9162908841</v>
      </c>
      <c r="N573" s="15"/>
    </row>
    <row r="574" spans="3:14" x14ac:dyDescent="0.3">
      <c r="C574" s="3">
        <v>43952</v>
      </c>
      <c r="D574" s="11">
        <v>2076</v>
      </c>
      <c r="G574" s="16" t="s">
        <v>567</v>
      </c>
      <c r="H574" s="16"/>
      <c r="I574" s="57"/>
      <c r="J574" t="s">
        <v>1167</v>
      </c>
      <c r="K574" s="19">
        <v>500</v>
      </c>
      <c r="L574" s="15">
        <v>805569426994</v>
      </c>
      <c r="M574" s="15">
        <v>7209989738</v>
      </c>
      <c r="N574" s="15"/>
    </row>
    <row r="575" spans="3:14" x14ac:dyDescent="0.3">
      <c r="C575" s="3">
        <v>43952</v>
      </c>
      <c r="D575" s="11">
        <v>2077</v>
      </c>
      <c r="G575" s="16" t="s">
        <v>568</v>
      </c>
      <c r="H575" s="16"/>
      <c r="I575" s="57"/>
      <c r="J575"/>
      <c r="L575" s="15">
        <v>928559646678</v>
      </c>
      <c r="M575" s="15">
        <v>6200076880</v>
      </c>
      <c r="N575" s="15"/>
    </row>
    <row r="576" spans="3:14" x14ac:dyDescent="0.3">
      <c r="C576" s="3">
        <v>43952</v>
      </c>
      <c r="D576" s="11">
        <v>2080</v>
      </c>
      <c r="G576" s="16" t="s">
        <v>569</v>
      </c>
      <c r="H576" s="16"/>
      <c r="I576" s="57"/>
      <c r="J576"/>
      <c r="L576" s="15">
        <v>792592146427</v>
      </c>
      <c r="M576" s="15"/>
      <c r="N576" s="15"/>
    </row>
    <row r="577" spans="1:18" x14ac:dyDescent="0.3">
      <c r="C577" s="3">
        <v>43952</v>
      </c>
      <c r="D577" s="11">
        <v>2081</v>
      </c>
      <c r="G577" s="16" t="s">
        <v>570</v>
      </c>
      <c r="H577" s="16"/>
      <c r="I577" s="57"/>
      <c r="J577" t="s">
        <v>1159</v>
      </c>
      <c r="K577" s="4">
        <v>100</v>
      </c>
      <c r="L577" s="15">
        <v>473751660536</v>
      </c>
      <c r="M577" s="15">
        <v>8709734623</v>
      </c>
      <c r="N577" s="15"/>
    </row>
    <row r="578" spans="1:18" x14ac:dyDescent="0.3">
      <c r="C578" s="3">
        <v>43952</v>
      </c>
      <c r="D578" s="11">
        <v>2086</v>
      </c>
      <c r="G578" s="16" t="s">
        <v>571</v>
      </c>
      <c r="H578" s="16"/>
      <c r="I578" s="57"/>
      <c r="J578"/>
      <c r="L578" s="15">
        <v>865260557176</v>
      </c>
      <c r="M578" s="15">
        <v>7209807805</v>
      </c>
      <c r="N578" s="15"/>
    </row>
    <row r="579" spans="1:18" x14ac:dyDescent="0.3">
      <c r="C579" s="3">
        <v>43952</v>
      </c>
      <c r="D579" s="11">
        <v>2087</v>
      </c>
      <c r="G579" s="16" t="s">
        <v>572</v>
      </c>
      <c r="H579" s="16"/>
      <c r="I579" s="57"/>
      <c r="J579"/>
      <c r="L579" s="15">
        <v>335751890563</v>
      </c>
      <c r="M579" s="15">
        <v>8092278084</v>
      </c>
      <c r="N579" s="15"/>
    </row>
    <row r="580" spans="1:18" x14ac:dyDescent="0.3">
      <c r="A580" t="s">
        <v>4918</v>
      </c>
      <c r="C580" s="3">
        <v>43952</v>
      </c>
      <c r="D580" s="11">
        <v>2089</v>
      </c>
      <c r="G580" s="16" t="s">
        <v>573</v>
      </c>
      <c r="H580" s="16"/>
      <c r="I580" s="57"/>
      <c r="J580"/>
      <c r="L580" s="15">
        <v>665647879469</v>
      </c>
      <c r="M580" s="15">
        <v>9234399241</v>
      </c>
      <c r="N580" s="15"/>
    </row>
    <row r="581" spans="1:18" x14ac:dyDescent="0.3">
      <c r="C581" s="3">
        <v>43952</v>
      </c>
      <c r="D581" s="11">
        <v>2092</v>
      </c>
      <c r="G581" s="16" t="s">
        <v>574</v>
      </c>
      <c r="H581" s="16"/>
      <c r="I581" s="57"/>
      <c r="J581"/>
      <c r="L581" s="15">
        <v>468700484819</v>
      </c>
      <c r="M581" s="15">
        <v>7858092082</v>
      </c>
      <c r="N581" s="15"/>
    </row>
    <row r="582" spans="1:18" x14ac:dyDescent="0.3">
      <c r="C582" s="3">
        <v>43952</v>
      </c>
      <c r="D582" s="11">
        <v>2095</v>
      </c>
      <c r="G582" s="16" t="s">
        <v>575</v>
      </c>
      <c r="H582" s="16"/>
      <c r="I582" s="57"/>
      <c r="J582"/>
      <c r="L582" s="15">
        <v>254710267780</v>
      </c>
      <c r="M582" s="15">
        <v>9097181187</v>
      </c>
      <c r="N582" s="15"/>
    </row>
    <row r="583" spans="1:18" x14ac:dyDescent="0.3">
      <c r="C583" s="3">
        <v>43952</v>
      </c>
      <c r="D583" s="11">
        <v>2097</v>
      </c>
      <c r="G583" s="16" t="s">
        <v>2645</v>
      </c>
      <c r="H583" s="16"/>
      <c r="I583" s="57"/>
      <c r="J583"/>
      <c r="L583" s="15">
        <v>201732259520</v>
      </c>
      <c r="M583" s="15">
        <v>6204740245</v>
      </c>
      <c r="N583" s="15"/>
    </row>
    <row r="584" spans="1:18" x14ac:dyDescent="0.3">
      <c r="C584" s="3">
        <v>43952</v>
      </c>
      <c r="D584" s="11">
        <v>2098</v>
      </c>
      <c r="G584" s="16" t="s">
        <v>576</v>
      </c>
      <c r="H584" s="16"/>
      <c r="I584" s="57"/>
      <c r="J584" t="s">
        <v>1149</v>
      </c>
      <c r="K584" s="4">
        <v>200</v>
      </c>
      <c r="L584" s="15">
        <v>297173620774</v>
      </c>
      <c r="M584" s="15">
        <v>7209950247</v>
      </c>
      <c r="N584" s="15"/>
      <c r="R584" s="4" t="s">
        <v>16</v>
      </c>
    </row>
    <row r="585" spans="1:18" x14ac:dyDescent="0.3">
      <c r="C585" s="3">
        <v>43952</v>
      </c>
      <c r="D585" s="11">
        <v>2100</v>
      </c>
      <c r="G585" s="16" t="s">
        <v>577</v>
      </c>
      <c r="H585" s="16"/>
      <c r="I585" s="57"/>
      <c r="J585"/>
      <c r="L585" s="15">
        <v>697403822844</v>
      </c>
      <c r="M585" s="15">
        <v>8092635915</v>
      </c>
      <c r="N585" s="15"/>
    </row>
    <row r="586" spans="1:18" x14ac:dyDescent="0.3">
      <c r="C586" s="3">
        <v>43952</v>
      </c>
      <c r="D586" s="11">
        <v>2101</v>
      </c>
      <c r="G586" s="16" t="s">
        <v>578</v>
      </c>
      <c r="H586" s="16"/>
      <c r="I586" s="57"/>
      <c r="J586"/>
      <c r="L586" s="15">
        <v>641257898393</v>
      </c>
      <c r="M586" s="15">
        <v>7970808598</v>
      </c>
      <c r="N586" s="15"/>
    </row>
    <row r="587" spans="1:18" x14ac:dyDescent="0.3">
      <c r="C587" s="3">
        <v>43952</v>
      </c>
      <c r="D587" s="11">
        <v>2103</v>
      </c>
      <c r="G587" s="16" t="s">
        <v>579</v>
      </c>
      <c r="H587" s="16"/>
      <c r="I587" s="57"/>
      <c r="J587"/>
      <c r="L587" s="15">
        <v>622256646972</v>
      </c>
      <c r="M587" s="15">
        <v>8294845081</v>
      </c>
      <c r="N587" s="15"/>
    </row>
    <row r="588" spans="1:18" x14ac:dyDescent="0.3">
      <c r="C588" s="3">
        <v>43952</v>
      </c>
      <c r="D588" s="11">
        <v>2104</v>
      </c>
      <c r="G588" s="16" t="s">
        <v>580</v>
      </c>
      <c r="H588" s="16"/>
      <c r="I588" s="57"/>
      <c r="J588"/>
      <c r="L588" s="15">
        <v>495885166893</v>
      </c>
      <c r="M588" s="15">
        <v>9835210670</v>
      </c>
      <c r="N588" s="15"/>
    </row>
    <row r="589" spans="1:18" x14ac:dyDescent="0.3">
      <c r="C589" s="3">
        <v>43952</v>
      </c>
      <c r="D589" s="11">
        <v>2106</v>
      </c>
      <c r="G589" s="16" t="s">
        <v>581</v>
      </c>
      <c r="H589" s="16"/>
      <c r="I589" s="57"/>
      <c r="J589"/>
      <c r="L589" s="15">
        <v>419855043752</v>
      </c>
      <c r="M589" s="15">
        <v>6207331890</v>
      </c>
      <c r="N589" s="15"/>
    </row>
    <row r="590" spans="1:18" x14ac:dyDescent="0.3">
      <c r="C590" s="3">
        <v>43952</v>
      </c>
      <c r="D590" s="11">
        <v>2107</v>
      </c>
      <c r="G590" s="16" t="s">
        <v>582</v>
      </c>
      <c r="H590" s="16"/>
      <c r="I590" s="57"/>
      <c r="J590"/>
      <c r="L590" s="15">
        <v>729887709937</v>
      </c>
      <c r="M590" s="15">
        <v>8092329900</v>
      </c>
      <c r="N590" s="15"/>
    </row>
    <row r="591" spans="1:18" x14ac:dyDescent="0.3">
      <c r="C591" s="3">
        <v>43952</v>
      </c>
      <c r="D591" s="11">
        <v>2108</v>
      </c>
      <c r="G591" s="16" t="s">
        <v>583</v>
      </c>
      <c r="H591" s="16"/>
      <c r="I591" s="57"/>
      <c r="J591"/>
      <c r="L591" s="15">
        <v>299736633206</v>
      </c>
      <c r="M591" s="15">
        <v>7050146812</v>
      </c>
      <c r="N591" s="15"/>
    </row>
    <row r="592" spans="1:18" x14ac:dyDescent="0.3">
      <c r="C592" s="3">
        <v>43952</v>
      </c>
      <c r="D592" s="11">
        <v>2110</v>
      </c>
      <c r="G592" s="16" t="s">
        <v>584</v>
      </c>
      <c r="H592" s="16"/>
      <c r="I592" s="57"/>
      <c r="J592"/>
      <c r="L592" s="15">
        <v>395569403206</v>
      </c>
      <c r="M592" s="15">
        <v>9631533112</v>
      </c>
      <c r="N592" s="15"/>
    </row>
    <row r="593" spans="3:15" x14ac:dyDescent="0.3">
      <c r="C593" s="3">
        <v>43952</v>
      </c>
      <c r="D593" s="11">
        <v>2113</v>
      </c>
      <c r="G593" s="16" t="s">
        <v>585</v>
      </c>
      <c r="H593" s="16"/>
      <c r="I593" s="57"/>
      <c r="J593"/>
      <c r="L593" s="15">
        <v>962591728990</v>
      </c>
      <c r="M593" s="15">
        <v>7488634417</v>
      </c>
      <c r="N593" s="15"/>
    </row>
    <row r="594" spans="3:15" x14ac:dyDescent="0.3">
      <c r="C594" s="3">
        <v>43952</v>
      </c>
      <c r="D594" s="11">
        <v>2116</v>
      </c>
      <c r="G594" s="16" t="s">
        <v>586</v>
      </c>
      <c r="H594" s="16"/>
      <c r="I594" s="57"/>
      <c r="J594"/>
      <c r="L594" s="15">
        <v>368751199111</v>
      </c>
      <c r="M594" s="15">
        <v>8084203663</v>
      </c>
      <c r="N594" s="15"/>
    </row>
    <row r="595" spans="3:15" x14ac:dyDescent="0.3">
      <c r="C595" s="3">
        <v>43952</v>
      </c>
      <c r="D595" s="11">
        <v>2117</v>
      </c>
      <c r="G595" s="16" t="s">
        <v>587</v>
      </c>
      <c r="H595" s="16"/>
      <c r="I595" s="57"/>
      <c r="J595"/>
      <c r="L595" s="15">
        <v>543106446248</v>
      </c>
      <c r="M595" s="15">
        <v>8092167790</v>
      </c>
      <c r="N595" s="15"/>
    </row>
    <row r="596" spans="3:15" x14ac:dyDescent="0.3">
      <c r="C596" s="3">
        <v>43952</v>
      </c>
      <c r="D596" s="11">
        <v>2120</v>
      </c>
      <c r="G596" s="16" t="s">
        <v>588</v>
      </c>
      <c r="H596" s="16"/>
      <c r="I596" s="57"/>
      <c r="J596"/>
      <c r="L596" s="15">
        <v>973471090606</v>
      </c>
      <c r="M596" s="15">
        <v>7541886351</v>
      </c>
      <c r="N596" s="15"/>
    </row>
    <row r="597" spans="3:15" x14ac:dyDescent="0.3">
      <c r="C597" s="3">
        <v>43952</v>
      </c>
      <c r="D597" s="11">
        <v>2122</v>
      </c>
      <c r="G597" s="16" t="s">
        <v>589</v>
      </c>
      <c r="H597" s="16"/>
      <c r="I597" s="57"/>
      <c r="J597" t="s">
        <v>1215</v>
      </c>
      <c r="K597" s="4">
        <v>100</v>
      </c>
      <c r="L597" s="15">
        <v>254823514670</v>
      </c>
      <c r="M597" s="15">
        <v>8235306713</v>
      </c>
      <c r="N597" s="15"/>
      <c r="O597" s="3">
        <v>44019</v>
      </c>
    </row>
    <row r="598" spans="3:15" x14ac:dyDescent="0.3">
      <c r="C598" s="3">
        <v>43964</v>
      </c>
      <c r="D598" s="11">
        <v>2123</v>
      </c>
      <c r="G598" s="16" t="s">
        <v>996</v>
      </c>
      <c r="H598" s="16"/>
      <c r="I598" s="57"/>
      <c r="J598"/>
      <c r="L598" s="15">
        <v>314356120779</v>
      </c>
      <c r="M598" s="15">
        <v>8789763720</v>
      </c>
      <c r="N598" s="15"/>
    </row>
    <row r="599" spans="3:15" x14ac:dyDescent="0.3">
      <c r="C599" s="3">
        <v>43953</v>
      </c>
      <c r="D599" s="11">
        <v>2137</v>
      </c>
      <c r="G599" s="16" t="s">
        <v>590</v>
      </c>
      <c r="H599" s="16"/>
      <c r="I599" s="57"/>
      <c r="J599"/>
      <c r="L599" s="15">
        <v>770838923910</v>
      </c>
      <c r="M599" s="15">
        <v>9939326148</v>
      </c>
      <c r="N599" s="15"/>
    </row>
    <row r="600" spans="3:15" x14ac:dyDescent="0.3">
      <c r="C600" s="3">
        <v>43953</v>
      </c>
      <c r="D600" s="11">
        <v>2138</v>
      </c>
      <c r="G600" s="16" t="s">
        <v>591</v>
      </c>
      <c r="H600" s="16"/>
      <c r="I600" s="57"/>
      <c r="J600"/>
      <c r="L600" s="15">
        <v>496964844842</v>
      </c>
      <c r="M600" s="15">
        <v>9801375784</v>
      </c>
      <c r="N600" s="15"/>
    </row>
    <row r="601" spans="3:15" x14ac:dyDescent="0.3">
      <c r="C601" s="3">
        <v>43953</v>
      </c>
      <c r="D601" s="11">
        <v>2139</v>
      </c>
      <c r="G601" s="16" t="s">
        <v>592</v>
      </c>
      <c r="H601" s="16"/>
      <c r="I601" s="57"/>
      <c r="J601"/>
      <c r="L601" s="15">
        <v>413729529119</v>
      </c>
      <c r="M601" s="15">
        <v>8092239141</v>
      </c>
      <c r="N601" s="15"/>
    </row>
    <row r="602" spans="3:15" x14ac:dyDescent="0.3">
      <c r="C602" s="3">
        <v>43953</v>
      </c>
      <c r="D602" s="11">
        <v>2140</v>
      </c>
      <c r="G602" s="16" t="s">
        <v>593</v>
      </c>
      <c r="H602" s="16"/>
      <c r="I602" s="57"/>
      <c r="J602"/>
      <c r="L602" s="15">
        <v>950803490049</v>
      </c>
      <c r="M602" s="15">
        <v>8603784990</v>
      </c>
      <c r="N602" s="15"/>
    </row>
    <row r="603" spans="3:15" x14ac:dyDescent="0.3">
      <c r="C603" s="3">
        <v>43953</v>
      </c>
      <c r="D603" s="11">
        <v>2142</v>
      </c>
      <c r="G603" s="16" t="s">
        <v>594</v>
      </c>
      <c r="H603" s="16"/>
      <c r="I603" s="57"/>
      <c r="J603"/>
      <c r="L603" s="15">
        <v>49797776494</v>
      </c>
      <c r="M603" s="15">
        <v>8292653600</v>
      </c>
      <c r="N603" s="15"/>
    </row>
    <row r="604" spans="3:15" x14ac:dyDescent="0.3">
      <c r="C604" s="3">
        <v>43953</v>
      </c>
      <c r="D604" s="11">
        <v>2144</v>
      </c>
      <c r="G604" s="16" t="s">
        <v>595</v>
      </c>
      <c r="H604" s="16"/>
      <c r="I604" s="57"/>
      <c r="J604"/>
      <c r="L604" s="15">
        <v>74213471596</v>
      </c>
      <c r="M604" s="15">
        <v>9798242452</v>
      </c>
      <c r="N604" s="15"/>
    </row>
    <row r="605" spans="3:15" x14ac:dyDescent="0.3">
      <c r="C605" s="3">
        <v>43953</v>
      </c>
      <c r="D605" s="11">
        <v>2145</v>
      </c>
      <c r="G605" s="16" t="s">
        <v>596</v>
      </c>
      <c r="H605" s="16"/>
      <c r="I605" s="57"/>
      <c r="J605"/>
      <c r="L605" s="15">
        <v>305628001597</v>
      </c>
      <c r="M605" s="15">
        <v>8340526922</v>
      </c>
      <c r="N605" s="15"/>
    </row>
    <row r="606" spans="3:15" x14ac:dyDescent="0.3">
      <c r="C606" s="3">
        <v>43953</v>
      </c>
      <c r="D606" s="11">
        <v>2148</v>
      </c>
      <c r="G606" s="16" t="s">
        <v>597</v>
      </c>
      <c r="H606" s="16"/>
      <c r="I606" s="57"/>
      <c r="J606"/>
      <c r="L606" s="15">
        <v>673586699210</v>
      </c>
      <c r="M606" s="15">
        <v>9234080674</v>
      </c>
      <c r="N606" s="15"/>
    </row>
    <row r="607" spans="3:15" x14ac:dyDescent="0.3">
      <c r="C607" s="3">
        <v>43953</v>
      </c>
      <c r="D607" s="11">
        <v>2149</v>
      </c>
      <c r="G607" s="16" t="s">
        <v>598</v>
      </c>
      <c r="H607" s="16"/>
      <c r="I607" s="57"/>
      <c r="J607" t="s">
        <v>1152</v>
      </c>
      <c r="K607" s="4">
        <v>100</v>
      </c>
      <c r="L607" s="15">
        <v>454912848930</v>
      </c>
      <c r="M607" s="15">
        <v>7366992662</v>
      </c>
      <c r="N607" s="15"/>
    </row>
    <row r="608" spans="3:15" x14ac:dyDescent="0.3">
      <c r="C608" s="3">
        <v>43953</v>
      </c>
      <c r="D608" s="11">
        <v>2150</v>
      </c>
      <c r="G608" s="16" t="s">
        <v>599</v>
      </c>
      <c r="H608" s="16"/>
      <c r="I608" s="57"/>
      <c r="J608"/>
      <c r="L608" s="15">
        <v>942740487182</v>
      </c>
      <c r="M608" s="15">
        <v>8271939533</v>
      </c>
      <c r="N608" s="15"/>
    </row>
    <row r="609" spans="3:18" x14ac:dyDescent="0.3">
      <c r="C609" s="3">
        <v>43953</v>
      </c>
      <c r="D609" s="11">
        <v>2152</v>
      </c>
      <c r="G609" s="16" t="s">
        <v>600</v>
      </c>
      <c r="H609" s="16"/>
      <c r="I609" s="57"/>
      <c r="J609"/>
      <c r="L609" s="15">
        <v>764712336750</v>
      </c>
      <c r="M609" s="15">
        <v>8271939433</v>
      </c>
      <c r="N609" s="15"/>
    </row>
    <row r="610" spans="3:18" x14ac:dyDescent="0.3">
      <c r="C610" s="3">
        <v>43953</v>
      </c>
      <c r="D610" s="11">
        <v>2153</v>
      </c>
      <c r="G610" s="16" t="s">
        <v>601</v>
      </c>
      <c r="H610" s="16"/>
      <c r="I610" s="57"/>
      <c r="J610"/>
      <c r="L610" s="15">
        <v>965812663981</v>
      </c>
      <c r="M610" s="15">
        <v>9204023243</v>
      </c>
      <c r="N610" s="15"/>
    </row>
    <row r="611" spans="3:18" x14ac:dyDescent="0.3">
      <c r="C611" s="3">
        <v>43953</v>
      </c>
      <c r="D611" s="11">
        <v>2154</v>
      </c>
      <c r="G611" s="16" t="s">
        <v>602</v>
      </c>
      <c r="H611" s="16"/>
      <c r="I611" s="57"/>
      <c r="J611"/>
      <c r="L611" s="15">
        <v>581709644826</v>
      </c>
      <c r="M611" s="15">
        <v>9931497810</v>
      </c>
      <c r="N611" s="15"/>
    </row>
    <row r="612" spans="3:18" x14ac:dyDescent="0.3">
      <c r="C612" s="3">
        <v>43953</v>
      </c>
      <c r="D612" s="11">
        <v>2155</v>
      </c>
      <c r="G612" s="16" t="s">
        <v>603</v>
      </c>
      <c r="H612" s="16"/>
      <c r="I612" s="57"/>
      <c r="J612"/>
      <c r="L612" s="15">
        <v>865260557176</v>
      </c>
      <c r="M612" s="15">
        <v>8936002138</v>
      </c>
      <c r="N612" s="15"/>
    </row>
    <row r="613" spans="3:18" x14ac:dyDescent="0.3">
      <c r="C613" s="3">
        <v>43953</v>
      </c>
      <c r="D613" s="11">
        <v>2157</v>
      </c>
      <c r="G613" s="16" t="s">
        <v>604</v>
      </c>
      <c r="H613" s="16"/>
      <c r="I613" s="57"/>
      <c r="J613"/>
      <c r="L613" s="15">
        <v>359797836012</v>
      </c>
      <c r="M613" s="15">
        <v>9608554537</v>
      </c>
      <c r="N613" s="15"/>
      <c r="R613" s="4" t="s">
        <v>16</v>
      </c>
    </row>
    <row r="614" spans="3:18" x14ac:dyDescent="0.3">
      <c r="C614" s="3">
        <v>43953</v>
      </c>
      <c r="D614" s="11">
        <v>2158</v>
      </c>
      <c r="G614" s="16" t="s">
        <v>563</v>
      </c>
      <c r="H614" s="16"/>
      <c r="I614" s="57"/>
      <c r="J614"/>
      <c r="L614" s="15">
        <v>229797738251</v>
      </c>
      <c r="M614" s="15">
        <v>9798107227</v>
      </c>
      <c r="N614" s="15"/>
    </row>
    <row r="615" spans="3:18" x14ac:dyDescent="0.3">
      <c r="C615" s="3">
        <v>43953</v>
      </c>
      <c r="D615" s="11">
        <v>2159</v>
      </c>
      <c r="G615" s="16" t="s">
        <v>605</v>
      </c>
      <c r="H615" s="16"/>
      <c r="I615" s="57"/>
      <c r="J615"/>
      <c r="L615" s="15">
        <v>640558569118</v>
      </c>
      <c r="M615" s="15">
        <v>7488854614</v>
      </c>
      <c r="N615" s="15"/>
    </row>
    <row r="616" spans="3:18" x14ac:dyDescent="0.3">
      <c r="C616" s="3">
        <v>43953</v>
      </c>
      <c r="D616" s="11">
        <v>2160</v>
      </c>
      <c r="G616" s="16" t="s">
        <v>606</v>
      </c>
      <c r="H616" s="16"/>
      <c r="I616" s="57"/>
      <c r="J616"/>
      <c r="L616" s="15">
        <v>763507775144</v>
      </c>
      <c r="M616" s="15">
        <v>7004627154</v>
      </c>
      <c r="N616" s="15"/>
    </row>
    <row r="617" spans="3:18" x14ac:dyDescent="0.3">
      <c r="C617" s="3">
        <v>43953</v>
      </c>
      <c r="D617" s="11">
        <v>2162</v>
      </c>
      <c r="G617" s="16" t="s">
        <v>607</v>
      </c>
      <c r="H617" s="16"/>
      <c r="I617" s="57"/>
      <c r="J617"/>
      <c r="L617" s="15">
        <v>451883144510</v>
      </c>
      <c r="M617" s="15">
        <v>9931335849</v>
      </c>
      <c r="N617" s="15"/>
    </row>
    <row r="618" spans="3:18" x14ac:dyDescent="0.3">
      <c r="C618" s="3">
        <v>43953</v>
      </c>
      <c r="D618" s="11">
        <v>2164</v>
      </c>
      <c r="G618" s="16" t="s">
        <v>608</v>
      </c>
      <c r="H618" s="16"/>
      <c r="I618" s="57"/>
      <c r="J618"/>
      <c r="L618" s="15">
        <v>390995136156</v>
      </c>
      <c r="M618" s="15">
        <v>9879356210</v>
      </c>
      <c r="N618" s="15"/>
    </row>
    <row r="619" spans="3:18" x14ac:dyDescent="0.3">
      <c r="C619" s="3">
        <v>43953</v>
      </c>
      <c r="D619" s="11">
        <v>2166</v>
      </c>
      <c r="G619" s="16" t="s">
        <v>609</v>
      </c>
      <c r="H619" s="16"/>
      <c r="I619" s="57"/>
      <c r="J619"/>
      <c r="K619" s="4">
        <v>100</v>
      </c>
      <c r="L619" s="15">
        <v>473293236091</v>
      </c>
      <c r="M619" s="15">
        <v>9204211833</v>
      </c>
      <c r="N619" s="15"/>
    </row>
    <row r="620" spans="3:18" x14ac:dyDescent="0.3">
      <c r="C620" s="3">
        <v>43953</v>
      </c>
      <c r="D620" s="11">
        <v>2170</v>
      </c>
      <c r="G620" s="16" t="s">
        <v>610</v>
      </c>
      <c r="H620" s="16"/>
      <c r="I620" s="57"/>
      <c r="J620"/>
      <c r="L620" s="15">
        <v>546150440525</v>
      </c>
      <c r="M620" s="15">
        <v>9263945385</v>
      </c>
      <c r="N620" s="15"/>
    </row>
    <row r="621" spans="3:18" x14ac:dyDescent="0.3">
      <c r="C621" s="3">
        <v>43953</v>
      </c>
      <c r="D621" s="11">
        <v>2171</v>
      </c>
      <c r="G621" s="16" t="s">
        <v>611</v>
      </c>
      <c r="H621" s="16"/>
      <c r="I621" s="57"/>
      <c r="J621"/>
      <c r="L621" s="15">
        <v>368923440151</v>
      </c>
      <c r="M621" s="15">
        <v>6203091749</v>
      </c>
      <c r="N621" s="15"/>
    </row>
    <row r="622" spans="3:18" x14ac:dyDescent="0.3">
      <c r="C622" s="3">
        <v>43953</v>
      </c>
      <c r="D622" s="11">
        <v>2173</v>
      </c>
      <c r="G622" s="16" t="s">
        <v>612</v>
      </c>
      <c r="H622" s="16"/>
      <c r="I622" s="57"/>
      <c r="J622"/>
      <c r="L622" s="15">
        <v>703956808789</v>
      </c>
      <c r="M622" s="15">
        <v>8016007280</v>
      </c>
      <c r="N622" s="15"/>
    </row>
    <row r="623" spans="3:18" x14ac:dyDescent="0.3">
      <c r="C623" s="3">
        <v>43953</v>
      </c>
      <c r="D623" s="11">
        <v>2175</v>
      </c>
      <c r="G623" s="16" t="s">
        <v>613</v>
      </c>
      <c r="H623" s="16"/>
      <c r="I623" s="57"/>
      <c r="J623"/>
      <c r="L623" s="15">
        <v>319438063187</v>
      </c>
      <c r="M623" s="15">
        <v>8292406002</v>
      </c>
      <c r="N623" s="15"/>
    </row>
    <row r="624" spans="3:18" x14ac:dyDescent="0.3">
      <c r="C624" s="3">
        <v>43953</v>
      </c>
      <c r="D624" s="11">
        <v>2176</v>
      </c>
      <c r="G624" s="16" t="s">
        <v>614</v>
      </c>
      <c r="H624" s="16"/>
      <c r="I624" s="57"/>
      <c r="J624"/>
      <c r="L624" s="15">
        <v>887536133447</v>
      </c>
      <c r="M624" s="15">
        <v>9934080998</v>
      </c>
      <c r="N624" s="15"/>
    </row>
    <row r="625" spans="3:18" x14ac:dyDescent="0.3">
      <c r="C625" s="3">
        <v>43953</v>
      </c>
      <c r="D625" s="11">
        <v>2177</v>
      </c>
      <c r="G625" s="16" t="s">
        <v>615</v>
      </c>
      <c r="H625" s="16"/>
      <c r="I625" s="57"/>
      <c r="J625"/>
      <c r="L625" s="15">
        <v>249295429555</v>
      </c>
      <c r="M625" s="15">
        <v>7209420095</v>
      </c>
      <c r="N625" s="15"/>
    </row>
    <row r="626" spans="3:18" x14ac:dyDescent="0.3">
      <c r="C626" s="3">
        <v>43953</v>
      </c>
      <c r="D626" s="11">
        <v>2179</v>
      </c>
      <c r="G626" s="16" t="s">
        <v>616</v>
      </c>
      <c r="H626" s="16"/>
      <c r="I626" s="57"/>
      <c r="J626"/>
      <c r="L626" s="15">
        <v>705659475395</v>
      </c>
      <c r="M626" s="15">
        <v>6201711478</v>
      </c>
      <c r="N626" s="15"/>
    </row>
    <row r="627" spans="3:18" x14ac:dyDescent="0.3">
      <c r="C627" s="3">
        <v>43953</v>
      </c>
      <c r="D627" s="11">
        <v>2180</v>
      </c>
      <c r="G627" s="16" t="s">
        <v>617</v>
      </c>
      <c r="H627" s="16"/>
      <c r="I627" s="57"/>
      <c r="J627"/>
      <c r="L627" s="15">
        <v>423626198539</v>
      </c>
      <c r="M627" s="15">
        <v>9798193621</v>
      </c>
      <c r="N627" s="15"/>
    </row>
    <row r="628" spans="3:18" x14ac:dyDescent="0.3">
      <c r="C628" s="3">
        <v>43953</v>
      </c>
      <c r="D628" s="11">
        <v>2182</v>
      </c>
      <c r="G628" s="16" t="s">
        <v>618</v>
      </c>
      <c r="H628" s="16"/>
      <c r="I628" s="57"/>
      <c r="J628"/>
      <c r="L628" s="15">
        <v>289842238534</v>
      </c>
      <c r="M628" s="15">
        <v>8092451827</v>
      </c>
      <c r="N628" s="15"/>
    </row>
    <row r="629" spans="3:18" x14ac:dyDescent="0.3">
      <c r="C629" s="3">
        <v>43953</v>
      </c>
      <c r="D629" s="11">
        <v>2184</v>
      </c>
      <c r="G629" s="16" t="s">
        <v>619</v>
      </c>
      <c r="H629" s="16"/>
      <c r="I629" s="57"/>
      <c r="J629"/>
      <c r="L629" s="15">
        <v>975960463098</v>
      </c>
      <c r="M629" s="15">
        <v>7209980660</v>
      </c>
      <c r="N629" s="15"/>
    </row>
    <row r="630" spans="3:18" x14ac:dyDescent="0.3">
      <c r="C630" s="3">
        <v>43953</v>
      </c>
      <c r="D630" s="11">
        <v>2187</v>
      </c>
      <c r="G630" s="16" t="s">
        <v>620</v>
      </c>
      <c r="H630" s="16"/>
      <c r="I630" s="57"/>
      <c r="J630"/>
      <c r="L630" s="15">
        <v>482268377838</v>
      </c>
      <c r="M630" s="15">
        <v>9110173932</v>
      </c>
      <c r="N630" s="15"/>
    </row>
    <row r="631" spans="3:18" x14ac:dyDescent="0.3">
      <c r="C631" s="3">
        <v>43953</v>
      </c>
      <c r="D631" s="11">
        <v>2188</v>
      </c>
      <c r="G631" s="16" t="s">
        <v>621</v>
      </c>
      <c r="H631" s="16"/>
      <c r="I631" s="57"/>
      <c r="J631"/>
      <c r="L631" s="15">
        <v>694310176905</v>
      </c>
      <c r="M631" s="15">
        <v>8340526922</v>
      </c>
      <c r="N631" s="15"/>
    </row>
    <row r="632" spans="3:18" x14ac:dyDescent="0.3">
      <c r="C632" s="3">
        <v>43953</v>
      </c>
      <c r="D632" s="11">
        <v>2189</v>
      </c>
      <c r="G632" s="16" t="s">
        <v>622</v>
      </c>
      <c r="H632" s="16"/>
      <c r="I632" s="57"/>
      <c r="J632"/>
      <c r="L632" s="15">
        <v>908037318297</v>
      </c>
      <c r="M632" s="15">
        <v>6201399787</v>
      </c>
      <c r="N632" s="15"/>
    </row>
    <row r="633" spans="3:18" x14ac:dyDescent="0.3">
      <c r="C633" s="3">
        <v>43953</v>
      </c>
      <c r="D633" s="11">
        <v>2191</v>
      </c>
      <c r="G633" s="16" t="s">
        <v>623</v>
      </c>
      <c r="H633" s="16"/>
      <c r="I633" s="57"/>
      <c r="J633"/>
      <c r="L633" s="15">
        <v>78874650335</v>
      </c>
      <c r="M633" s="15">
        <v>9204938870</v>
      </c>
      <c r="N633" s="15"/>
    </row>
    <row r="634" spans="3:18" x14ac:dyDescent="0.3">
      <c r="C634" s="3">
        <v>43953</v>
      </c>
      <c r="D634" s="11">
        <v>2199</v>
      </c>
      <c r="G634" s="16" t="s">
        <v>624</v>
      </c>
      <c r="H634" s="16"/>
      <c r="I634" s="57"/>
      <c r="J634"/>
      <c r="L634" s="15">
        <v>395066897842</v>
      </c>
      <c r="M634" s="15">
        <v>9123238826</v>
      </c>
      <c r="N634" s="15"/>
    </row>
    <row r="635" spans="3:18" x14ac:dyDescent="0.3">
      <c r="C635" s="3">
        <v>43953</v>
      </c>
      <c r="D635" s="11">
        <v>2200</v>
      </c>
      <c r="G635" s="16" t="s">
        <v>625</v>
      </c>
      <c r="H635" s="16"/>
      <c r="I635" s="57"/>
      <c r="J635"/>
      <c r="L635" s="15">
        <v>230731383406</v>
      </c>
      <c r="M635" s="15">
        <v>8676052347</v>
      </c>
      <c r="N635" s="15"/>
    </row>
    <row r="636" spans="3:18" x14ac:dyDescent="0.3">
      <c r="C636" s="3">
        <v>43953</v>
      </c>
      <c r="D636" s="11">
        <v>2202</v>
      </c>
      <c r="G636" s="16" t="s">
        <v>626</v>
      </c>
      <c r="H636" s="16"/>
      <c r="I636" s="57"/>
      <c r="J636"/>
      <c r="L636" s="15">
        <v>855018887985</v>
      </c>
      <c r="M636" s="15">
        <v>7295914524</v>
      </c>
      <c r="N636" s="15"/>
    </row>
    <row r="637" spans="3:18" x14ac:dyDescent="0.3">
      <c r="C637" s="3">
        <v>43953</v>
      </c>
      <c r="D637" s="11">
        <v>2204</v>
      </c>
      <c r="G637" s="16" t="s">
        <v>627</v>
      </c>
      <c r="H637" s="16"/>
      <c r="I637" s="57"/>
      <c r="J637"/>
      <c r="L637" s="15">
        <v>219251846468</v>
      </c>
      <c r="M637" s="15">
        <v>9304342307</v>
      </c>
      <c r="N637" s="15"/>
    </row>
    <row r="638" spans="3:18" x14ac:dyDescent="0.3">
      <c r="C638" s="3">
        <v>43953</v>
      </c>
      <c r="D638" s="11">
        <v>2206</v>
      </c>
      <c r="G638" s="16" t="s">
        <v>628</v>
      </c>
      <c r="H638" s="16"/>
      <c r="I638" s="57"/>
      <c r="J638"/>
      <c r="L638" s="15">
        <v>845263578326</v>
      </c>
      <c r="M638" s="15">
        <v>9955796483</v>
      </c>
      <c r="N638" s="15"/>
    </row>
    <row r="639" spans="3:18" x14ac:dyDescent="0.3">
      <c r="C639" s="3">
        <v>43953</v>
      </c>
      <c r="D639" s="11">
        <v>2207</v>
      </c>
      <c r="G639" s="16" t="s">
        <v>629</v>
      </c>
      <c r="H639" s="16"/>
      <c r="I639" s="57"/>
      <c r="J639"/>
      <c r="L639" s="15">
        <v>538965336628</v>
      </c>
      <c r="M639" s="15">
        <v>9771931727</v>
      </c>
      <c r="N639" s="15"/>
      <c r="O639" s="4" t="s">
        <v>19</v>
      </c>
      <c r="R639" s="4" t="s">
        <v>19</v>
      </c>
    </row>
    <row r="640" spans="3:18" x14ac:dyDescent="0.3">
      <c r="C640" s="3">
        <v>43953</v>
      </c>
      <c r="D640" s="11">
        <v>2214</v>
      </c>
      <c r="G640" s="16" t="s">
        <v>251</v>
      </c>
      <c r="H640" s="16"/>
      <c r="I640" s="57"/>
      <c r="J640"/>
      <c r="L640" s="15">
        <v>534995324336</v>
      </c>
      <c r="M640" s="15">
        <v>7667753274</v>
      </c>
      <c r="N640" s="15"/>
    </row>
    <row r="641" spans="3:14" x14ac:dyDescent="0.3">
      <c r="C641" s="3">
        <v>43953</v>
      </c>
      <c r="D641" s="11">
        <v>2216</v>
      </c>
      <c r="G641" s="16" t="s">
        <v>630</v>
      </c>
      <c r="H641" s="16"/>
      <c r="I641" s="57"/>
      <c r="J641"/>
      <c r="L641" s="15">
        <v>665730733227</v>
      </c>
      <c r="M641" s="15">
        <v>9570066907</v>
      </c>
      <c r="N641" s="15"/>
    </row>
    <row r="642" spans="3:14" x14ac:dyDescent="0.3">
      <c r="C642" s="3">
        <v>43953</v>
      </c>
      <c r="D642" s="11">
        <v>2217</v>
      </c>
      <c r="G642" s="16" t="s">
        <v>631</v>
      </c>
      <c r="H642" s="16"/>
      <c r="I642" s="57"/>
      <c r="J642"/>
      <c r="L642" s="15">
        <v>829126545680</v>
      </c>
      <c r="M642" s="15">
        <v>7209801203</v>
      </c>
      <c r="N642" s="15"/>
    </row>
    <row r="643" spans="3:14" x14ac:dyDescent="0.3">
      <c r="C643" s="3">
        <v>43953</v>
      </c>
      <c r="D643" s="11">
        <v>2219</v>
      </c>
      <c r="G643" s="16" t="s">
        <v>632</v>
      </c>
      <c r="H643" s="16"/>
      <c r="I643" s="57"/>
      <c r="J643"/>
      <c r="L643" s="15">
        <v>477703310605</v>
      </c>
      <c r="M643" s="15">
        <v>8603404038</v>
      </c>
      <c r="N643" s="15"/>
    </row>
    <row r="644" spans="3:14" x14ac:dyDescent="0.3">
      <c r="C644" s="3">
        <v>43953</v>
      </c>
      <c r="D644" s="11">
        <v>2220</v>
      </c>
      <c r="G644" s="16" t="s">
        <v>633</v>
      </c>
      <c r="H644" s="16"/>
      <c r="I644" s="57"/>
      <c r="J644"/>
      <c r="L644" s="15">
        <v>643890968162</v>
      </c>
      <c r="M644" s="15">
        <v>9334304584</v>
      </c>
      <c r="N644" s="15"/>
    </row>
    <row r="645" spans="3:14" x14ac:dyDescent="0.3">
      <c r="C645" s="3">
        <v>43953</v>
      </c>
      <c r="D645" s="11">
        <v>2222</v>
      </c>
      <c r="G645" s="16" t="s">
        <v>634</v>
      </c>
      <c r="H645" s="16"/>
      <c r="I645" s="57"/>
      <c r="J645"/>
      <c r="L645" s="15">
        <v>990571065681</v>
      </c>
      <c r="M645" s="15">
        <v>9279014811</v>
      </c>
      <c r="N645" s="15"/>
    </row>
    <row r="646" spans="3:14" x14ac:dyDescent="0.3">
      <c r="C646" s="3">
        <v>43953</v>
      </c>
      <c r="D646" s="11">
        <v>2224</v>
      </c>
      <c r="G646" s="16" t="s">
        <v>635</v>
      </c>
      <c r="H646" s="16"/>
      <c r="I646" s="57"/>
      <c r="J646"/>
      <c r="L646" s="15">
        <v>314036086797</v>
      </c>
      <c r="M646" s="15">
        <v>9204581190</v>
      </c>
      <c r="N646" s="15"/>
    </row>
    <row r="647" spans="3:14" x14ac:dyDescent="0.3">
      <c r="C647" s="3">
        <v>43953</v>
      </c>
      <c r="D647" s="11">
        <v>2225</v>
      </c>
      <c r="G647" s="16" t="s">
        <v>636</v>
      </c>
      <c r="H647" s="16"/>
      <c r="I647" s="57"/>
      <c r="J647"/>
      <c r="L647" s="15">
        <v>545379568351</v>
      </c>
      <c r="M647" s="15">
        <v>9798707227</v>
      </c>
      <c r="N647" s="15"/>
    </row>
    <row r="648" spans="3:14" x14ac:dyDescent="0.3">
      <c r="C648" s="3">
        <v>43953</v>
      </c>
      <c r="D648" s="11">
        <v>2227</v>
      </c>
      <c r="G648" s="16" t="s">
        <v>637</v>
      </c>
      <c r="H648" s="16"/>
      <c r="I648" s="57"/>
      <c r="J648"/>
      <c r="L648" s="15">
        <v>616316547546</v>
      </c>
      <c r="M648" s="15">
        <v>9771125157</v>
      </c>
      <c r="N648" s="15"/>
    </row>
    <row r="649" spans="3:14" x14ac:dyDescent="0.3">
      <c r="C649" s="3">
        <v>43953</v>
      </c>
      <c r="D649" s="11">
        <v>2229</v>
      </c>
      <c r="G649" s="16" t="s">
        <v>638</v>
      </c>
      <c r="H649" s="16"/>
      <c r="I649" s="57"/>
      <c r="J649" t="s">
        <v>1154</v>
      </c>
      <c r="K649" s="4">
        <v>100</v>
      </c>
      <c r="L649" s="15">
        <v>217508571201</v>
      </c>
      <c r="M649" s="15">
        <v>8789454995</v>
      </c>
      <c r="N649" s="15"/>
    </row>
    <row r="650" spans="3:14" x14ac:dyDescent="0.3">
      <c r="C650" s="3">
        <v>43953</v>
      </c>
      <c r="D650" s="11">
        <v>2230</v>
      </c>
      <c r="G650" s="16" t="s">
        <v>639</v>
      </c>
      <c r="H650" s="16"/>
      <c r="I650" s="57"/>
      <c r="J650" t="s">
        <v>1157</v>
      </c>
      <c r="K650" s="4">
        <v>100</v>
      </c>
      <c r="L650" s="15">
        <v>592002381703</v>
      </c>
      <c r="M650" s="15">
        <v>7070944876</v>
      </c>
      <c r="N650" s="15"/>
    </row>
    <row r="651" spans="3:14" x14ac:dyDescent="0.3">
      <c r="C651" s="3">
        <v>43953</v>
      </c>
      <c r="D651" s="11">
        <v>2232</v>
      </c>
      <c r="G651" s="16" t="s">
        <v>640</v>
      </c>
      <c r="H651" s="16"/>
      <c r="I651" s="57"/>
      <c r="J651"/>
      <c r="L651" s="15">
        <v>266043470538</v>
      </c>
      <c r="M651" s="15">
        <v>7295017463</v>
      </c>
      <c r="N651" s="15"/>
    </row>
    <row r="652" spans="3:14" x14ac:dyDescent="0.3">
      <c r="C652" s="3">
        <v>43953</v>
      </c>
      <c r="D652" s="11">
        <v>2233</v>
      </c>
      <c r="G652" s="16" t="s">
        <v>641</v>
      </c>
      <c r="H652" s="16"/>
      <c r="I652" s="57"/>
      <c r="J652"/>
      <c r="L652" s="15">
        <v>819046344761</v>
      </c>
      <c r="M652" s="15">
        <v>7061487356</v>
      </c>
      <c r="N652" s="15"/>
    </row>
    <row r="653" spans="3:14" x14ac:dyDescent="0.3">
      <c r="C653" s="3">
        <v>43953</v>
      </c>
      <c r="D653" s="11">
        <v>2234</v>
      </c>
      <c r="G653" s="16" t="s">
        <v>642</v>
      </c>
      <c r="H653" s="16"/>
      <c r="I653" s="57"/>
      <c r="J653"/>
      <c r="L653" s="15">
        <v>595668861149</v>
      </c>
      <c r="M653" s="15">
        <v>8102216446</v>
      </c>
      <c r="N653" s="15"/>
    </row>
    <row r="654" spans="3:14" x14ac:dyDescent="0.3">
      <c r="C654" s="3">
        <v>43953</v>
      </c>
      <c r="D654" s="11">
        <v>2237</v>
      </c>
      <c r="G654" s="16" t="s">
        <v>643</v>
      </c>
      <c r="H654" s="16"/>
      <c r="I654" s="57"/>
      <c r="J654"/>
      <c r="L654" s="15">
        <v>791868061230</v>
      </c>
      <c r="M654" s="15">
        <v>8294041757</v>
      </c>
      <c r="N654" s="15"/>
    </row>
    <row r="655" spans="3:14" x14ac:dyDescent="0.3">
      <c r="C655" s="3">
        <v>43953</v>
      </c>
      <c r="D655" s="11">
        <v>2238</v>
      </c>
      <c r="G655" s="16" t="s">
        <v>644</v>
      </c>
      <c r="H655" s="16"/>
      <c r="I655" s="57"/>
      <c r="J655"/>
      <c r="L655" s="15">
        <v>731939836135</v>
      </c>
      <c r="M655" s="15">
        <v>7209755547</v>
      </c>
      <c r="N655" s="15"/>
    </row>
    <row r="656" spans="3:14" x14ac:dyDescent="0.3">
      <c r="C656" s="3">
        <v>43953</v>
      </c>
      <c r="D656" s="11">
        <v>2240</v>
      </c>
      <c r="G656" s="16" t="s">
        <v>645</v>
      </c>
      <c r="H656" s="16"/>
      <c r="I656" s="57"/>
      <c r="J656"/>
      <c r="L656" s="15">
        <v>993365059266</v>
      </c>
      <c r="M656" s="15">
        <v>7930746995</v>
      </c>
      <c r="N656" s="15"/>
    </row>
    <row r="657" spans="1:18" x14ac:dyDescent="0.3">
      <c r="C657" s="3">
        <v>43953</v>
      </c>
      <c r="D657" s="11">
        <v>2242</v>
      </c>
      <c r="G657" s="16" t="s">
        <v>646</v>
      </c>
      <c r="H657" s="16"/>
      <c r="I657" s="57"/>
      <c r="J657"/>
      <c r="L657" s="15">
        <v>732949575435</v>
      </c>
      <c r="M657" s="15">
        <v>9771913810</v>
      </c>
      <c r="N657" s="15"/>
    </row>
    <row r="658" spans="1:18" x14ac:dyDescent="0.3">
      <c r="C658" s="3">
        <v>43953</v>
      </c>
      <c r="D658" s="11">
        <v>2243</v>
      </c>
      <c r="G658" s="16" t="s">
        <v>647</v>
      </c>
      <c r="H658" s="16"/>
      <c r="I658" s="57"/>
      <c r="J658"/>
      <c r="L658" s="15">
        <v>709612615405</v>
      </c>
      <c r="M658" s="15">
        <v>6206866164</v>
      </c>
      <c r="N658" s="15"/>
    </row>
    <row r="659" spans="1:18" x14ac:dyDescent="0.3">
      <c r="C659" s="3">
        <v>43953</v>
      </c>
      <c r="D659" s="11">
        <v>2244</v>
      </c>
      <c r="G659" s="16" t="s">
        <v>648</v>
      </c>
      <c r="H659" s="16"/>
      <c r="I659" s="57"/>
      <c r="J659"/>
      <c r="L659" s="15">
        <v>870702445066</v>
      </c>
      <c r="M659" s="15">
        <v>8603860150</v>
      </c>
      <c r="N659" s="15"/>
    </row>
    <row r="660" spans="1:18" x14ac:dyDescent="0.3">
      <c r="A660" t="s">
        <v>4344</v>
      </c>
      <c r="C660" s="3">
        <v>43953</v>
      </c>
      <c r="D660" s="11">
        <v>2246</v>
      </c>
      <c r="G660" s="16" t="s">
        <v>649</v>
      </c>
      <c r="H660" s="16"/>
      <c r="I660" s="57"/>
      <c r="J660"/>
      <c r="L660" s="15">
        <v>415602445066</v>
      </c>
      <c r="M660" s="15">
        <v>6287860223</v>
      </c>
      <c r="N660" s="15"/>
      <c r="Q660" s="3">
        <v>44677</v>
      </c>
      <c r="R660" s="4" t="s">
        <v>2088</v>
      </c>
    </row>
    <row r="661" spans="1:18" x14ac:dyDescent="0.3">
      <c r="C661" s="3">
        <v>43953</v>
      </c>
      <c r="D661" s="11">
        <v>2247</v>
      </c>
      <c r="G661" s="16" t="s">
        <v>650</v>
      </c>
      <c r="H661" s="16"/>
      <c r="I661" s="57"/>
      <c r="J661"/>
      <c r="L661" s="15">
        <v>469488754674</v>
      </c>
      <c r="M661" s="15">
        <v>6206199041</v>
      </c>
      <c r="N661" s="15"/>
    </row>
    <row r="662" spans="1:18" x14ac:dyDescent="0.3">
      <c r="C662" s="3">
        <v>43953</v>
      </c>
      <c r="D662" s="11">
        <v>2248</v>
      </c>
      <c r="G662" s="16" t="s">
        <v>651</v>
      </c>
      <c r="H662" s="16"/>
      <c r="I662" s="57"/>
      <c r="J662"/>
      <c r="L662" s="15">
        <v>588989421194</v>
      </c>
      <c r="M662" s="15">
        <v>9204090193</v>
      </c>
      <c r="N662" s="15"/>
    </row>
    <row r="663" spans="1:18" x14ac:dyDescent="0.3">
      <c r="C663" s="3">
        <v>43953</v>
      </c>
      <c r="D663" s="11">
        <v>2250</v>
      </c>
      <c r="G663" s="16" t="s">
        <v>652</v>
      </c>
      <c r="H663" s="16"/>
      <c r="I663" s="57"/>
      <c r="J663"/>
      <c r="L663" s="15">
        <v>765397301192</v>
      </c>
      <c r="M663" s="15">
        <v>9334721757</v>
      </c>
      <c r="N663" s="15"/>
    </row>
    <row r="664" spans="1:18" x14ac:dyDescent="0.3">
      <c r="C664" s="3">
        <v>43953</v>
      </c>
      <c r="D664" s="11">
        <v>2251</v>
      </c>
      <c r="G664" s="16" t="s">
        <v>653</v>
      </c>
      <c r="H664" s="16"/>
      <c r="I664" s="57"/>
      <c r="J664"/>
      <c r="L664" s="15">
        <v>854076584099</v>
      </c>
      <c r="M664" s="15">
        <v>9199402340</v>
      </c>
      <c r="N664" s="15"/>
    </row>
    <row r="665" spans="1:18" x14ac:dyDescent="0.3">
      <c r="C665" s="3">
        <v>43953</v>
      </c>
      <c r="D665" s="11">
        <v>2252</v>
      </c>
      <c r="G665" s="16" t="s">
        <v>654</v>
      </c>
      <c r="H665" s="16"/>
      <c r="I665" s="57"/>
      <c r="J665"/>
      <c r="L665" s="15">
        <v>361902997459</v>
      </c>
      <c r="M665" s="15">
        <v>8434700159</v>
      </c>
      <c r="N665" s="15"/>
    </row>
    <row r="666" spans="1:18" x14ac:dyDescent="0.3">
      <c r="C666" s="3">
        <v>43953</v>
      </c>
      <c r="D666" s="11">
        <v>2253</v>
      </c>
      <c r="G666" s="16" t="s">
        <v>655</v>
      </c>
      <c r="H666" s="16"/>
      <c r="I666" s="57"/>
      <c r="J666"/>
      <c r="L666" s="15">
        <v>623370420286</v>
      </c>
      <c r="M666" s="15">
        <v>9801523824</v>
      </c>
      <c r="N666" s="15"/>
    </row>
    <row r="667" spans="1:18" x14ac:dyDescent="0.3">
      <c r="C667" s="3">
        <v>43953</v>
      </c>
      <c r="D667" s="11">
        <v>2254</v>
      </c>
      <c r="G667" s="16" t="s">
        <v>656</v>
      </c>
      <c r="H667" s="16"/>
      <c r="I667" s="57"/>
      <c r="J667"/>
      <c r="L667" s="15">
        <v>648377395071</v>
      </c>
      <c r="M667" s="15">
        <v>8789552082</v>
      </c>
      <c r="N667" s="15"/>
    </row>
    <row r="668" spans="1:18" x14ac:dyDescent="0.3">
      <c r="C668" s="3">
        <v>43953</v>
      </c>
      <c r="D668" s="11">
        <v>2255</v>
      </c>
      <c r="G668" s="16" t="s">
        <v>657</v>
      </c>
      <c r="H668" s="16"/>
      <c r="I668" s="57"/>
      <c r="J668"/>
      <c r="L668" s="15">
        <v>324435737315</v>
      </c>
      <c r="M668" s="15">
        <v>8789552082</v>
      </c>
      <c r="N668" s="15"/>
    </row>
    <row r="669" spans="1:18" x14ac:dyDescent="0.3">
      <c r="C669" s="3">
        <v>43955</v>
      </c>
      <c r="D669" s="11">
        <v>2279</v>
      </c>
      <c r="G669" s="16" t="s">
        <v>658</v>
      </c>
      <c r="H669" s="16"/>
      <c r="I669" s="57"/>
      <c r="J669"/>
      <c r="L669" s="15">
        <v>716665174904</v>
      </c>
      <c r="M669" s="15">
        <v>8603615973</v>
      </c>
      <c r="N669" s="15"/>
    </row>
    <row r="670" spans="1:18" x14ac:dyDescent="0.3">
      <c r="C670" s="3">
        <v>43955</v>
      </c>
      <c r="D670" s="11">
        <v>2282</v>
      </c>
      <c r="G670" s="16" t="s">
        <v>659</v>
      </c>
      <c r="H670" s="16"/>
      <c r="I670" s="57"/>
      <c r="J670"/>
      <c r="L670" s="15">
        <v>943580741713</v>
      </c>
      <c r="M670" s="15">
        <v>8092563715</v>
      </c>
      <c r="N670" s="15"/>
    </row>
    <row r="671" spans="1:18" x14ac:dyDescent="0.3">
      <c r="C671" s="3">
        <v>43955</v>
      </c>
      <c r="D671" s="11">
        <v>2283</v>
      </c>
      <c r="G671" s="16" t="s">
        <v>660</v>
      </c>
      <c r="H671" s="16"/>
      <c r="I671" s="57"/>
      <c r="J671"/>
      <c r="L671" s="15">
        <v>846908001670</v>
      </c>
      <c r="M671" s="15">
        <v>834773213</v>
      </c>
      <c r="N671" s="15"/>
    </row>
    <row r="672" spans="1:18" x14ac:dyDescent="0.3">
      <c r="C672" s="3">
        <v>43955</v>
      </c>
      <c r="D672" s="11">
        <v>2285</v>
      </c>
      <c r="G672" s="16" t="s">
        <v>661</v>
      </c>
      <c r="H672" s="16"/>
      <c r="I672" s="57"/>
      <c r="J672"/>
      <c r="L672" s="15">
        <v>243927265035</v>
      </c>
      <c r="M672" s="15">
        <v>8092396983</v>
      </c>
      <c r="N672" s="15"/>
    </row>
    <row r="673" spans="3:19" x14ac:dyDescent="0.3">
      <c r="C673" s="3">
        <v>43955</v>
      </c>
      <c r="D673" s="11">
        <v>2288</v>
      </c>
      <c r="G673" s="16" t="s">
        <v>439</v>
      </c>
      <c r="H673" s="16"/>
      <c r="I673" s="57"/>
      <c r="J673"/>
      <c r="L673" s="15">
        <v>297855347417</v>
      </c>
      <c r="M673" s="15">
        <v>6207227096</v>
      </c>
      <c r="N673" s="15"/>
    </row>
    <row r="674" spans="3:19" x14ac:dyDescent="0.3">
      <c r="C674" s="3">
        <v>43955</v>
      </c>
      <c r="D674" s="11">
        <v>2290</v>
      </c>
      <c r="G674" s="16" t="s">
        <v>662</v>
      </c>
      <c r="H674" s="16"/>
      <c r="I674" s="57"/>
      <c r="J674"/>
      <c r="L674" s="15">
        <v>779994170917</v>
      </c>
      <c r="M674" s="15">
        <v>7970498299</v>
      </c>
      <c r="N674" s="15"/>
    </row>
    <row r="675" spans="3:19" x14ac:dyDescent="0.3">
      <c r="C675" s="3">
        <v>43955</v>
      </c>
      <c r="D675" s="11">
        <v>2291</v>
      </c>
      <c r="G675" s="16" t="s">
        <v>663</v>
      </c>
      <c r="H675" s="16"/>
      <c r="I675" s="57"/>
      <c r="J675"/>
      <c r="L675" s="15">
        <v>679792721240</v>
      </c>
      <c r="M675" s="15">
        <v>7070138155</v>
      </c>
      <c r="N675" s="15"/>
    </row>
    <row r="676" spans="3:19" x14ac:dyDescent="0.3">
      <c r="C676" s="3">
        <v>43955</v>
      </c>
      <c r="D676" s="11">
        <v>2295</v>
      </c>
      <c r="G676" s="16" t="s">
        <v>664</v>
      </c>
      <c r="H676" s="16"/>
      <c r="I676" s="57"/>
      <c r="J676"/>
      <c r="L676" s="15">
        <v>484641940106</v>
      </c>
      <c r="M676" s="15">
        <v>6206442119</v>
      </c>
      <c r="N676" s="15"/>
    </row>
    <row r="677" spans="3:19" x14ac:dyDescent="0.3">
      <c r="C677" s="3">
        <v>43955</v>
      </c>
      <c r="D677" s="11">
        <v>2296</v>
      </c>
      <c r="G677" s="16" t="s">
        <v>665</v>
      </c>
      <c r="H677" s="16"/>
      <c r="I677" s="57"/>
      <c r="J677"/>
      <c r="L677" s="15">
        <v>719052112588</v>
      </c>
      <c r="M677" s="15">
        <v>9234734857</v>
      </c>
      <c r="N677" s="15"/>
    </row>
    <row r="678" spans="3:19" x14ac:dyDescent="0.3">
      <c r="C678" s="3">
        <v>43955</v>
      </c>
      <c r="D678" s="11">
        <v>2297</v>
      </c>
      <c r="G678" s="16" t="s">
        <v>666</v>
      </c>
      <c r="H678" s="16"/>
      <c r="I678" s="57"/>
      <c r="J678"/>
      <c r="L678" s="15">
        <v>323971985747</v>
      </c>
      <c r="M678" s="15">
        <v>7979937948</v>
      </c>
      <c r="N678" s="15"/>
    </row>
    <row r="679" spans="3:19" x14ac:dyDescent="0.3">
      <c r="C679" s="3">
        <v>43955</v>
      </c>
      <c r="D679" s="11">
        <v>2298</v>
      </c>
      <c r="G679" s="16" t="s">
        <v>667</v>
      </c>
      <c r="H679" s="16"/>
      <c r="I679" s="57"/>
      <c r="J679"/>
      <c r="L679" s="15">
        <v>991977718972</v>
      </c>
      <c r="M679" s="15">
        <v>8789469650</v>
      </c>
      <c r="N679" s="15"/>
    </row>
    <row r="680" spans="3:19" x14ac:dyDescent="0.3">
      <c r="C680" s="3">
        <v>43955</v>
      </c>
      <c r="D680" s="11">
        <v>2300</v>
      </c>
      <c r="G680" s="16" t="s">
        <v>668</v>
      </c>
      <c r="H680" s="16"/>
      <c r="I680" s="57"/>
      <c r="J680"/>
      <c r="L680" s="15">
        <v>640413969953</v>
      </c>
      <c r="M680" s="15">
        <v>8797356338</v>
      </c>
      <c r="N680" s="15"/>
    </row>
    <row r="681" spans="3:19" x14ac:dyDescent="0.3">
      <c r="C681" s="3">
        <v>43955</v>
      </c>
      <c r="D681" s="11">
        <v>2301</v>
      </c>
      <c r="G681" s="16" t="s">
        <v>669</v>
      </c>
      <c r="H681" s="16"/>
      <c r="I681" s="57"/>
      <c r="J681"/>
      <c r="L681" s="15">
        <v>539376580433</v>
      </c>
      <c r="M681" s="15">
        <v>8789117436</v>
      </c>
      <c r="N681" s="15"/>
    </row>
    <row r="682" spans="3:19" x14ac:dyDescent="0.3">
      <c r="C682" s="3">
        <v>43955</v>
      </c>
      <c r="D682" s="11">
        <v>2303</v>
      </c>
      <c r="G682" s="16" t="s">
        <v>670</v>
      </c>
      <c r="H682" s="16"/>
      <c r="I682" s="57"/>
      <c r="J682"/>
      <c r="L682" s="15">
        <v>740339546823</v>
      </c>
      <c r="M682" s="15">
        <v>7765030376</v>
      </c>
      <c r="N682" s="15"/>
    </row>
    <row r="683" spans="3:19" x14ac:dyDescent="0.3">
      <c r="C683" s="3">
        <v>43955</v>
      </c>
      <c r="D683" s="11">
        <v>2304</v>
      </c>
      <c r="G683" s="16" t="s">
        <v>671</v>
      </c>
      <c r="H683" s="16"/>
      <c r="I683" s="57"/>
      <c r="J683"/>
      <c r="L683" s="15">
        <v>967678487818</v>
      </c>
      <c r="M683" s="15">
        <v>7295092997</v>
      </c>
      <c r="N683" s="15"/>
    </row>
    <row r="684" spans="3:19" x14ac:dyDescent="0.3">
      <c r="C684" s="3">
        <v>43955</v>
      </c>
      <c r="D684" s="11">
        <v>2307</v>
      </c>
      <c r="G684" s="16" t="s">
        <v>672</v>
      </c>
      <c r="H684" s="16"/>
      <c r="I684" s="57"/>
      <c r="J684"/>
      <c r="L684" s="15">
        <v>433119679123</v>
      </c>
      <c r="M684" s="15">
        <v>9065812501</v>
      </c>
      <c r="N684" s="15"/>
    </row>
    <row r="685" spans="3:19" x14ac:dyDescent="0.3">
      <c r="C685" s="3">
        <v>43955</v>
      </c>
      <c r="D685" s="11">
        <v>2308</v>
      </c>
      <c r="G685" s="16" t="s">
        <v>673</v>
      </c>
      <c r="H685" s="16"/>
      <c r="I685" s="57"/>
      <c r="J685"/>
      <c r="L685" s="15">
        <v>572657496953</v>
      </c>
      <c r="M685" s="15">
        <v>7992253187</v>
      </c>
      <c r="N685" s="15"/>
    </row>
    <row r="686" spans="3:19" x14ac:dyDescent="0.3">
      <c r="C686" s="3">
        <v>43955</v>
      </c>
      <c r="D686" s="11">
        <v>2311</v>
      </c>
      <c r="G686" s="16" t="s">
        <v>674</v>
      </c>
      <c r="H686" s="16"/>
      <c r="I686" s="57"/>
      <c r="J686"/>
      <c r="L686" s="15">
        <v>865398952016</v>
      </c>
      <c r="M686" s="15">
        <v>9162478336</v>
      </c>
      <c r="N686" s="15"/>
    </row>
    <row r="687" spans="3:19" x14ac:dyDescent="0.3">
      <c r="C687" s="3">
        <v>43955</v>
      </c>
      <c r="D687" s="11">
        <v>2316</v>
      </c>
      <c r="G687" s="16" t="s">
        <v>675</v>
      </c>
      <c r="H687" s="16"/>
      <c r="I687" s="57"/>
      <c r="J687"/>
      <c r="L687" s="15">
        <v>569912299441</v>
      </c>
      <c r="M687" s="15">
        <v>7294148349</v>
      </c>
      <c r="N687" s="15"/>
      <c r="R687" s="4" t="s">
        <v>14</v>
      </c>
      <c r="S687" s="4" t="s">
        <v>16</v>
      </c>
    </row>
    <row r="688" spans="3:19" x14ac:dyDescent="0.3">
      <c r="C688" s="3">
        <v>43955</v>
      </c>
      <c r="D688" s="11">
        <v>2318</v>
      </c>
      <c r="G688" s="16" t="s">
        <v>676</v>
      </c>
      <c r="H688" s="16"/>
      <c r="I688" s="57"/>
      <c r="J688"/>
      <c r="L688" s="15">
        <v>983143609103</v>
      </c>
      <c r="M688" s="15">
        <v>8235452197</v>
      </c>
      <c r="N688" s="15"/>
    </row>
    <row r="689" spans="3:14" x14ac:dyDescent="0.3">
      <c r="C689" s="3">
        <v>43955</v>
      </c>
      <c r="D689" s="11">
        <v>2320</v>
      </c>
      <c r="G689" s="16" t="s">
        <v>677</v>
      </c>
      <c r="H689" s="16"/>
      <c r="I689" s="57"/>
      <c r="J689"/>
      <c r="L689" s="15">
        <v>524421939774</v>
      </c>
      <c r="M689" s="15">
        <v>7281065323</v>
      </c>
      <c r="N689" s="15"/>
    </row>
    <row r="690" spans="3:14" x14ac:dyDescent="0.3">
      <c r="C690" s="3">
        <v>43955</v>
      </c>
      <c r="D690" s="11">
        <v>2321</v>
      </c>
      <c r="G690" s="16" t="s">
        <v>678</v>
      </c>
      <c r="H690" s="16"/>
      <c r="I690" s="57"/>
      <c r="J690"/>
      <c r="L690" s="15">
        <v>571649987986</v>
      </c>
      <c r="M690" s="15">
        <v>6204170127</v>
      </c>
      <c r="N690" s="15"/>
    </row>
    <row r="691" spans="3:14" x14ac:dyDescent="0.3">
      <c r="C691" s="3">
        <v>43955</v>
      </c>
      <c r="D691" s="11">
        <v>2322</v>
      </c>
      <c r="G691" s="16" t="s">
        <v>679</v>
      </c>
      <c r="H691" s="16"/>
      <c r="I691" s="57"/>
      <c r="J691"/>
      <c r="L691" s="15">
        <v>606719780273</v>
      </c>
      <c r="M691" s="15">
        <v>9801344410</v>
      </c>
      <c r="N691" s="15"/>
    </row>
    <row r="692" spans="3:14" x14ac:dyDescent="0.3">
      <c r="C692" s="3">
        <v>43955</v>
      </c>
      <c r="D692" s="11">
        <v>2324</v>
      </c>
      <c r="G692" s="16" t="s">
        <v>680</v>
      </c>
      <c r="H692" s="16"/>
      <c r="I692" s="57"/>
      <c r="J692"/>
      <c r="L692" s="15">
        <v>854084968658</v>
      </c>
      <c r="M692" s="15">
        <v>9234739947</v>
      </c>
      <c r="N692" s="15"/>
    </row>
    <row r="693" spans="3:14" x14ac:dyDescent="0.3">
      <c r="C693" s="3">
        <v>43955</v>
      </c>
      <c r="D693" s="11">
        <v>2325</v>
      </c>
      <c r="G693" s="16" t="s">
        <v>681</v>
      </c>
      <c r="H693" s="16"/>
      <c r="I693" s="57"/>
      <c r="J693"/>
      <c r="L693" s="15">
        <v>982284968658</v>
      </c>
      <c r="M693" s="15">
        <v>6206886431</v>
      </c>
      <c r="N693" s="15"/>
    </row>
    <row r="694" spans="3:14" x14ac:dyDescent="0.3">
      <c r="C694" s="3">
        <v>43955</v>
      </c>
      <c r="D694" s="11">
        <v>2326</v>
      </c>
      <c r="G694" s="16" t="s">
        <v>682</v>
      </c>
      <c r="H694" s="16"/>
      <c r="I694" s="57"/>
      <c r="J694"/>
      <c r="L694" s="15">
        <v>404248380457</v>
      </c>
      <c r="M694" s="15">
        <v>7903131344</v>
      </c>
      <c r="N694" s="15"/>
    </row>
    <row r="695" spans="3:14" x14ac:dyDescent="0.3">
      <c r="C695" s="3">
        <v>43955</v>
      </c>
      <c r="D695" s="11">
        <v>2328</v>
      </c>
      <c r="G695" s="16" t="s">
        <v>683</v>
      </c>
      <c r="H695" s="16"/>
      <c r="I695" s="57"/>
      <c r="J695"/>
      <c r="L695" s="15">
        <v>635238069632</v>
      </c>
      <c r="M695" s="15">
        <v>7762974582</v>
      </c>
      <c r="N695" s="15"/>
    </row>
    <row r="696" spans="3:14" x14ac:dyDescent="0.3">
      <c r="C696" s="3">
        <v>43955</v>
      </c>
      <c r="D696" s="11">
        <v>2330</v>
      </c>
      <c r="G696" s="16" t="s">
        <v>684</v>
      </c>
      <c r="H696" s="16"/>
      <c r="I696" s="57"/>
      <c r="J696"/>
      <c r="L696" s="15">
        <v>806469306342</v>
      </c>
      <c r="M696" s="15">
        <v>7766975087</v>
      </c>
      <c r="N696" s="15"/>
    </row>
    <row r="697" spans="3:14" x14ac:dyDescent="0.3">
      <c r="C697" s="3">
        <v>43955</v>
      </c>
      <c r="D697" s="11">
        <v>2331</v>
      </c>
      <c r="G697" s="16" t="s">
        <v>685</v>
      </c>
      <c r="H697" s="16"/>
      <c r="I697" s="57"/>
      <c r="J697"/>
      <c r="L697" s="15">
        <v>988681437249</v>
      </c>
      <c r="M697" s="15">
        <v>9031726529</v>
      </c>
      <c r="N697" s="15"/>
    </row>
    <row r="698" spans="3:14" x14ac:dyDescent="0.3">
      <c r="C698" s="3">
        <v>43955</v>
      </c>
      <c r="D698" s="11">
        <v>2334</v>
      </c>
      <c r="G698" s="16" t="s">
        <v>686</v>
      </c>
      <c r="H698" s="16"/>
      <c r="I698" s="57"/>
      <c r="J698"/>
      <c r="L698" s="15">
        <v>221772917203</v>
      </c>
      <c r="M698" s="15">
        <v>9334636033</v>
      </c>
      <c r="N698" s="15"/>
    </row>
    <row r="699" spans="3:14" x14ac:dyDescent="0.3">
      <c r="C699" s="3">
        <v>43955</v>
      </c>
      <c r="D699" s="11">
        <v>2342</v>
      </c>
      <c r="G699" s="16" t="s">
        <v>687</v>
      </c>
      <c r="H699" s="16"/>
      <c r="I699" s="57"/>
      <c r="J699"/>
      <c r="L699" s="15">
        <v>628421437790</v>
      </c>
      <c r="M699" s="15">
        <v>6203491921</v>
      </c>
      <c r="N699" s="15"/>
    </row>
    <row r="700" spans="3:14" x14ac:dyDescent="0.3">
      <c r="C700" s="3">
        <v>43955</v>
      </c>
      <c r="D700" s="11">
        <v>2344</v>
      </c>
      <c r="G700" s="16" t="s">
        <v>29</v>
      </c>
      <c r="H700" s="16"/>
      <c r="I700" s="57"/>
      <c r="J700"/>
      <c r="L700" s="15">
        <v>461019773448</v>
      </c>
      <c r="M700" s="15">
        <v>8936065592</v>
      </c>
      <c r="N700" s="15"/>
    </row>
    <row r="701" spans="3:14" x14ac:dyDescent="0.3">
      <c r="C701" s="3">
        <v>43955</v>
      </c>
      <c r="D701" s="11">
        <v>2347</v>
      </c>
      <c r="G701" s="16" t="s">
        <v>688</v>
      </c>
      <c r="H701" s="16"/>
      <c r="I701" s="57"/>
      <c r="J701"/>
      <c r="L701" s="15">
        <v>391060973681</v>
      </c>
      <c r="M701" s="15">
        <v>6206198967</v>
      </c>
      <c r="N701" s="15"/>
    </row>
    <row r="702" spans="3:14" x14ac:dyDescent="0.3">
      <c r="C702" s="3">
        <v>43955</v>
      </c>
      <c r="D702" s="11">
        <v>2350</v>
      </c>
      <c r="G702" s="16" t="s">
        <v>689</v>
      </c>
      <c r="H702" s="16"/>
      <c r="I702" s="57"/>
      <c r="J702"/>
      <c r="L702" s="15">
        <v>343972671029</v>
      </c>
      <c r="M702" s="15">
        <v>8010233531</v>
      </c>
      <c r="N702" s="15"/>
    </row>
    <row r="703" spans="3:14" x14ac:dyDescent="0.3">
      <c r="C703" s="3">
        <v>43955</v>
      </c>
      <c r="D703" s="11">
        <v>2353</v>
      </c>
      <c r="G703" s="16" t="s">
        <v>690</v>
      </c>
      <c r="H703" s="16"/>
      <c r="I703" s="57"/>
      <c r="J703"/>
      <c r="L703" s="15">
        <v>300362404628</v>
      </c>
      <c r="M703" s="15">
        <v>7903059424</v>
      </c>
      <c r="N703" s="15"/>
    </row>
    <row r="704" spans="3:14" x14ac:dyDescent="0.3">
      <c r="C704" s="3">
        <v>43955</v>
      </c>
      <c r="D704" s="11">
        <v>2355</v>
      </c>
      <c r="G704" s="16" t="s">
        <v>691</v>
      </c>
      <c r="H704" s="16"/>
      <c r="I704" s="57"/>
      <c r="J704"/>
      <c r="L704" s="15">
        <v>531154523851</v>
      </c>
      <c r="M704" s="15">
        <v>9771254124</v>
      </c>
      <c r="N704" s="15"/>
    </row>
    <row r="705" spans="3:17" x14ac:dyDescent="0.3">
      <c r="C705" s="3">
        <v>43955</v>
      </c>
      <c r="D705" s="11">
        <v>2356</v>
      </c>
      <c r="G705" s="16" t="s">
        <v>692</v>
      </c>
      <c r="H705" s="16"/>
      <c r="I705" s="57"/>
      <c r="J705"/>
      <c r="L705" s="15"/>
      <c r="M705" s="15"/>
      <c r="N705" s="15"/>
    </row>
    <row r="706" spans="3:17" x14ac:dyDescent="0.3">
      <c r="C706" s="3">
        <v>43955</v>
      </c>
      <c r="D706" s="11">
        <v>2357</v>
      </c>
      <c r="G706" s="16" t="s">
        <v>693</v>
      </c>
      <c r="H706" s="16"/>
      <c r="I706" s="57"/>
      <c r="J706"/>
      <c r="L706" s="15">
        <v>430136403027</v>
      </c>
      <c r="M706" s="15">
        <v>7677270579</v>
      </c>
      <c r="N706" s="15"/>
    </row>
    <row r="707" spans="3:17" x14ac:dyDescent="0.3">
      <c r="C707" s="3">
        <v>43955</v>
      </c>
      <c r="D707" s="11">
        <v>2359</v>
      </c>
      <c r="G707" s="16" t="s">
        <v>694</v>
      </c>
      <c r="H707" s="16"/>
      <c r="I707" s="57"/>
      <c r="J707" t="s">
        <v>1159</v>
      </c>
      <c r="K707" s="4">
        <v>200</v>
      </c>
      <c r="L707" s="15">
        <v>909274131786</v>
      </c>
      <c r="M707" s="15">
        <v>7634890177</v>
      </c>
      <c r="N707" s="15"/>
      <c r="O707" s="3">
        <v>44014</v>
      </c>
      <c r="P707" s="4" t="s">
        <v>1179</v>
      </c>
      <c r="Q707" s="4" t="s">
        <v>1179</v>
      </c>
    </row>
    <row r="708" spans="3:17" x14ac:dyDescent="0.3">
      <c r="C708" s="3">
        <v>43955</v>
      </c>
      <c r="D708" s="11">
        <v>2361</v>
      </c>
      <c r="G708" s="16" t="s">
        <v>695</v>
      </c>
      <c r="H708" s="16"/>
      <c r="I708" s="57"/>
      <c r="J708"/>
      <c r="L708" s="15">
        <v>627718450059</v>
      </c>
      <c r="M708" s="15">
        <v>6206459599</v>
      </c>
      <c r="N708" s="15"/>
    </row>
    <row r="709" spans="3:17" x14ac:dyDescent="0.3">
      <c r="C709" s="3">
        <v>43955</v>
      </c>
      <c r="D709" s="11">
        <v>2365</v>
      </c>
      <c r="G709" s="16" t="s">
        <v>696</v>
      </c>
      <c r="H709" s="16"/>
      <c r="I709" s="57"/>
      <c r="J709"/>
      <c r="L709" s="15">
        <v>619515071597</v>
      </c>
      <c r="M709" s="15">
        <v>6207002165</v>
      </c>
      <c r="N709" s="15"/>
    </row>
    <row r="710" spans="3:17" x14ac:dyDescent="0.3">
      <c r="C710" s="3">
        <v>43955</v>
      </c>
      <c r="D710" s="11">
        <v>2366</v>
      </c>
      <c r="G710" s="16" t="s">
        <v>697</v>
      </c>
      <c r="H710" s="16"/>
      <c r="I710" s="57"/>
      <c r="J710"/>
      <c r="L710" s="15">
        <v>973989856754</v>
      </c>
      <c r="M710" s="15">
        <v>7761813871</v>
      </c>
      <c r="N710" s="15"/>
    </row>
    <row r="711" spans="3:17" x14ac:dyDescent="0.3">
      <c r="C711" s="3">
        <v>43955</v>
      </c>
      <c r="D711" s="11">
        <v>2371</v>
      </c>
      <c r="G711" s="16" t="s">
        <v>698</v>
      </c>
      <c r="H711" s="16"/>
      <c r="I711" s="57"/>
      <c r="J711"/>
      <c r="L711" s="15">
        <v>646520706032</v>
      </c>
      <c r="M711" s="15">
        <v>9234670682</v>
      </c>
      <c r="N711" s="15"/>
    </row>
    <row r="712" spans="3:17" x14ac:dyDescent="0.3">
      <c r="C712" s="3">
        <v>43955</v>
      </c>
      <c r="D712" s="11">
        <v>2373</v>
      </c>
      <c r="G712" s="16" t="s">
        <v>699</v>
      </c>
      <c r="H712" s="16"/>
      <c r="I712" s="57"/>
      <c r="J712"/>
      <c r="L712" s="15">
        <v>579870704017</v>
      </c>
      <c r="M712" s="15">
        <v>7857946281</v>
      </c>
      <c r="N712" s="15"/>
    </row>
    <row r="713" spans="3:17" x14ac:dyDescent="0.3">
      <c r="C713" s="3">
        <v>43955</v>
      </c>
      <c r="D713" s="11">
        <v>2375</v>
      </c>
      <c r="G713" s="16" t="s">
        <v>700</v>
      </c>
      <c r="H713" s="16"/>
      <c r="I713" s="57"/>
      <c r="J713"/>
      <c r="L713" s="15">
        <v>448095820515</v>
      </c>
      <c r="M713" s="15">
        <v>8797343071</v>
      </c>
      <c r="N713" s="15"/>
    </row>
    <row r="714" spans="3:17" x14ac:dyDescent="0.3">
      <c r="C714" s="3">
        <v>43956</v>
      </c>
      <c r="D714" s="11">
        <v>2396</v>
      </c>
      <c r="G714" s="16" t="s">
        <v>231</v>
      </c>
      <c r="H714" s="16"/>
      <c r="I714" s="57"/>
      <c r="J714"/>
      <c r="L714" s="15">
        <v>753604493274</v>
      </c>
      <c r="M714" s="15">
        <v>8987537772</v>
      </c>
      <c r="N714" s="15"/>
    </row>
    <row r="715" spans="3:17" x14ac:dyDescent="0.3">
      <c r="C715" s="3">
        <v>43956</v>
      </c>
      <c r="D715" s="11">
        <v>2399</v>
      </c>
      <c r="G715" s="16" t="s">
        <v>701</v>
      </c>
      <c r="H715" s="16"/>
      <c r="I715" s="57"/>
      <c r="J715"/>
      <c r="L715" s="15"/>
      <c r="M715" s="15"/>
      <c r="N715" s="15"/>
    </row>
    <row r="716" spans="3:17" x14ac:dyDescent="0.3">
      <c r="C716" s="3">
        <v>43956</v>
      </c>
      <c r="D716" s="11">
        <v>2401</v>
      </c>
      <c r="G716" s="16" t="s">
        <v>702</v>
      </c>
      <c r="H716" s="16"/>
      <c r="I716" s="57"/>
      <c r="J716" t="s">
        <v>1154</v>
      </c>
      <c r="K716" s="4">
        <v>200</v>
      </c>
      <c r="L716" s="15">
        <v>591724558243</v>
      </c>
      <c r="M716" s="15">
        <v>9572088493</v>
      </c>
      <c r="N716" s="15"/>
    </row>
    <row r="717" spans="3:17" x14ac:dyDescent="0.3">
      <c r="C717" s="3">
        <v>43956</v>
      </c>
      <c r="D717" s="11">
        <v>2403</v>
      </c>
      <c r="G717" s="16" t="s">
        <v>703</v>
      </c>
      <c r="H717" s="16"/>
      <c r="I717" s="57"/>
      <c r="J717"/>
      <c r="K717" s="4">
        <v>200</v>
      </c>
      <c r="L717" s="15">
        <v>782835454037</v>
      </c>
      <c r="M717" s="15">
        <v>9661705073</v>
      </c>
      <c r="N717" s="15"/>
    </row>
    <row r="718" spans="3:17" x14ac:dyDescent="0.3">
      <c r="C718" s="3">
        <v>43956</v>
      </c>
      <c r="D718" s="11">
        <v>2405</v>
      </c>
      <c r="G718" s="16" t="s">
        <v>704</v>
      </c>
      <c r="H718" s="16"/>
      <c r="I718" s="57"/>
      <c r="J718" t="s">
        <v>1154</v>
      </c>
      <c r="K718" s="4">
        <v>200</v>
      </c>
      <c r="L718" s="15">
        <v>390560107030</v>
      </c>
      <c r="M718" s="15">
        <v>7667608615</v>
      </c>
      <c r="N718" s="15"/>
    </row>
    <row r="719" spans="3:17" x14ac:dyDescent="0.3">
      <c r="C719" s="3">
        <v>43956</v>
      </c>
      <c r="D719" s="11">
        <v>2407</v>
      </c>
      <c r="G719" s="16" t="s">
        <v>705</v>
      </c>
      <c r="H719" s="16"/>
      <c r="I719" s="57"/>
      <c r="J719"/>
      <c r="L719" s="15">
        <v>556861799811</v>
      </c>
      <c r="M719" s="15">
        <v>7543907306</v>
      </c>
      <c r="N719" s="15"/>
    </row>
    <row r="720" spans="3:17" x14ac:dyDescent="0.3">
      <c r="C720" s="3">
        <v>43956</v>
      </c>
      <c r="D720" s="11">
        <v>2411</v>
      </c>
      <c r="G720" s="16" t="s">
        <v>707</v>
      </c>
      <c r="H720" s="16"/>
      <c r="I720" s="57"/>
      <c r="J720" t="s">
        <v>1154</v>
      </c>
      <c r="K720" s="4">
        <v>100</v>
      </c>
      <c r="L720" s="15">
        <v>357627195830</v>
      </c>
      <c r="M720" s="15">
        <v>8797037698</v>
      </c>
      <c r="N720" s="15"/>
    </row>
    <row r="721" spans="1:18" x14ac:dyDescent="0.3">
      <c r="C721" s="3">
        <v>43956</v>
      </c>
      <c r="D721" s="11">
        <v>2413</v>
      </c>
      <c r="G721" s="16" t="s">
        <v>708</v>
      </c>
      <c r="H721" s="16"/>
      <c r="I721" s="57"/>
      <c r="J721" t="s">
        <v>1154</v>
      </c>
      <c r="K721" s="4">
        <v>100</v>
      </c>
      <c r="L721" s="15">
        <v>781444076906</v>
      </c>
      <c r="M721" s="15">
        <v>8789757678</v>
      </c>
      <c r="N721" s="15"/>
    </row>
    <row r="722" spans="1:18" x14ac:dyDescent="0.3">
      <c r="C722" s="3">
        <v>43956</v>
      </c>
      <c r="D722" s="11">
        <v>2416</v>
      </c>
      <c r="G722" s="16" t="s">
        <v>709</v>
      </c>
      <c r="H722" s="16"/>
      <c r="I722" s="57"/>
      <c r="J722" t="s">
        <v>1154</v>
      </c>
      <c r="K722" s="4">
        <v>100</v>
      </c>
      <c r="L722" s="15">
        <v>981684500681</v>
      </c>
      <c r="M722" s="15">
        <v>7209702419</v>
      </c>
      <c r="N722" s="15"/>
    </row>
    <row r="723" spans="1:18" x14ac:dyDescent="0.3">
      <c r="C723" s="3">
        <v>43956</v>
      </c>
      <c r="D723" s="11">
        <v>2418</v>
      </c>
      <c r="G723" s="16" t="s">
        <v>710</v>
      </c>
      <c r="H723" s="16"/>
      <c r="I723" s="57"/>
      <c r="J723"/>
      <c r="L723" s="15">
        <v>982731119762</v>
      </c>
      <c r="M723" s="15">
        <v>9955466612</v>
      </c>
      <c r="N723" s="15"/>
    </row>
    <row r="724" spans="1:18" x14ac:dyDescent="0.3">
      <c r="C724" s="3">
        <v>43956</v>
      </c>
      <c r="D724" s="11">
        <v>2419</v>
      </c>
      <c r="G724" s="16" t="s">
        <v>711</v>
      </c>
      <c r="H724" s="16"/>
      <c r="I724" s="57"/>
      <c r="J724"/>
      <c r="L724" s="15">
        <v>879231617136</v>
      </c>
      <c r="M724" s="15">
        <v>8797785119</v>
      </c>
      <c r="N724" s="15"/>
    </row>
    <row r="725" spans="1:18" x14ac:dyDescent="0.3">
      <c r="C725" s="3">
        <v>43956</v>
      </c>
      <c r="D725" s="11">
        <v>2422</v>
      </c>
      <c r="G725" s="16" t="s">
        <v>712</v>
      </c>
      <c r="H725" s="16"/>
      <c r="I725" s="57"/>
      <c r="J725"/>
      <c r="L725" s="15">
        <v>356552680946</v>
      </c>
      <c r="M725" s="15">
        <v>8797630589</v>
      </c>
      <c r="N725" s="15"/>
    </row>
    <row r="726" spans="1:18" x14ac:dyDescent="0.3">
      <c r="C726" s="3">
        <v>43956</v>
      </c>
      <c r="D726" s="11">
        <v>2423</v>
      </c>
      <c r="G726" s="16" t="s">
        <v>713</v>
      </c>
      <c r="H726" s="16"/>
      <c r="I726" s="57"/>
      <c r="J726"/>
      <c r="L726" s="15">
        <v>356452680946</v>
      </c>
      <c r="M726" s="15">
        <v>8797630589</v>
      </c>
      <c r="N726" s="15"/>
    </row>
    <row r="727" spans="1:18" x14ac:dyDescent="0.3">
      <c r="C727" s="3">
        <v>43956</v>
      </c>
      <c r="D727" s="11">
        <v>2425</v>
      </c>
      <c r="G727" s="16" t="s">
        <v>714</v>
      </c>
      <c r="H727" s="16"/>
      <c r="I727" s="57"/>
      <c r="J727"/>
      <c r="L727" s="15">
        <v>475851367653</v>
      </c>
      <c r="M727" s="15">
        <v>9693003404</v>
      </c>
      <c r="N727" s="15"/>
    </row>
    <row r="728" spans="1:18" x14ac:dyDescent="0.3">
      <c r="C728" s="3">
        <v>43956</v>
      </c>
      <c r="D728" s="11">
        <v>2426</v>
      </c>
      <c r="G728" s="16" t="s">
        <v>715</v>
      </c>
      <c r="H728" s="16"/>
      <c r="I728" s="57"/>
      <c r="J728"/>
      <c r="L728" s="15">
        <v>242618346151</v>
      </c>
      <c r="M728" s="15">
        <v>790374647</v>
      </c>
      <c r="N728" s="15"/>
    </row>
    <row r="729" spans="1:18" x14ac:dyDescent="0.3">
      <c r="C729" s="3">
        <v>43956</v>
      </c>
      <c r="D729" s="11">
        <v>2428</v>
      </c>
      <c r="G729" s="18" t="s">
        <v>251</v>
      </c>
      <c r="H729" s="18"/>
      <c r="I729" s="58"/>
      <c r="J729" t="s">
        <v>1154</v>
      </c>
      <c r="K729" s="4">
        <v>100</v>
      </c>
      <c r="L729" s="15">
        <v>759782479257</v>
      </c>
      <c r="M729" s="15">
        <v>9798442093</v>
      </c>
      <c r="N729" s="15"/>
    </row>
    <row r="730" spans="1:18" x14ac:dyDescent="0.3">
      <c r="C730" s="3">
        <v>43956</v>
      </c>
      <c r="D730" s="11">
        <v>2430</v>
      </c>
      <c r="G730" s="16" t="s">
        <v>716</v>
      </c>
      <c r="H730" s="16"/>
      <c r="I730" s="57"/>
      <c r="J730"/>
      <c r="L730" s="15">
        <v>282516275905</v>
      </c>
      <c r="M730" s="15">
        <v>6203590858</v>
      </c>
      <c r="N730" s="15"/>
    </row>
    <row r="731" spans="1:18" x14ac:dyDescent="0.3">
      <c r="A731" t="s">
        <v>6599</v>
      </c>
      <c r="C731" s="3">
        <v>43956</v>
      </c>
      <c r="D731" s="11">
        <v>2432</v>
      </c>
      <c r="G731" s="16" t="s">
        <v>164</v>
      </c>
      <c r="H731" s="16"/>
      <c r="I731" s="57"/>
      <c r="J731" t="s">
        <v>1298</v>
      </c>
      <c r="L731" s="15">
        <v>679879884591</v>
      </c>
      <c r="M731" s="15">
        <v>8235342199</v>
      </c>
      <c r="N731" s="15"/>
      <c r="R731" s="4" t="s">
        <v>16</v>
      </c>
    </row>
    <row r="732" spans="1:18" x14ac:dyDescent="0.3">
      <c r="C732" s="3">
        <v>43956</v>
      </c>
      <c r="D732" s="11">
        <v>2435</v>
      </c>
      <c r="G732" s="18" t="s">
        <v>717</v>
      </c>
      <c r="H732" s="18"/>
      <c r="I732" s="58"/>
      <c r="J732" t="s">
        <v>1159</v>
      </c>
      <c r="K732" s="4">
        <v>200</v>
      </c>
      <c r="L732" s="15">
        <v>475403749120</v>
      </c>
      <c r="M732" s="15">
        <v>9123233026</v>
      </c>
      <c r="N732" s="15"/>
    </row>
    <row r="733" spans="1:18" ht="14.4" x14ac:dyDescent="0.3">
      <c r="A733" t="s">
        <v>6807</v>
      </c>
      <c r="C733" s="3">
        <v>43956</v>
      </c>
      <c r="D733" s="11">
        <v>2438</v>
      </c>
      <c r="G733" s="16" t="s">
        <v>638</v>
      </c>
      <c r="H733" s="16"/>
      <c r="I733" s="3">
        <v>31048</v>
      </c>
      <c r="J733" t="s">
        <v>6808</v>
      </c>
      <c r="K733" s="4">
        <v>100</v>
      </c>
      <c r="L733" s="15">
        <v>391784394728</v>
      </c>
      <c r="M733" s="15">
        <v>9234932471</v>
      </c>
      <c r="N733" s="15"/>
      <c r="R733" s="4" t="s">
        <v>16</v>
      </c>
    </row>
    <row r="734" spans="1:18" x14ac:dyDescent="0.3">
      <c r="C734" s="3">
        <v>43956</v>
      </c>
      <c r="D734" s="11">
        <v>2440</v>
      </c>
      <c r="G734" s="16" t="s">
        <v>108</v>
      </c>
      <c r="H734" s="16"/>
      <c r="I734" s="57"/>
      <c r="J734"/>
      <c r="L734" s="15">
        <v>210542470247</v>
      </c>
      <c r="M734" s="15">
        <v>9801966179</v>
      </c>
      <c r="N734" s="15"/>
    </row>
    <row r="735" spans="1:18" x14ac:dyDescent="0.3">
      <c r="C735" s="3">
        <v>43956</v>
      </c>
      <c r="D735" s="11">
        <v>2441</v>
      </c>
      <c r="G735" s="16" t="s">
        <v>718</v>
      </c>
      <c r="H735" s="16"/>
      <c r="I735" s="57"/>
      <c r="J735"/>
      <c r="L735" s="15">
        <v>562439420247</v>
      </c>
      <c r="M735" s="15">
        <v>9801966179</v>
      </c>
      <c r="N735" s="15"/>
    </row>
    <row r="736" spans="1:18" x14ac:dyDescent="0.3">
      <c r="C736" s="3">
        <v>43956</v>
      </c>
      <c r="D736" s="11">
        <v>2443</v>
      </c>
      <c r="G736" s="16" t="s">
        <v>719</v>
      </c>
      <c r="H736" s="16"/>
      <c r="I736" s="57"/>
      <c r="J736" t="s">
        <v>1168</v>
      </c>
      <c r="K736" s="4">
        <v>100</v>
      </c>
      <c r="L736" s="15">
        <v>901311263269</v>
      </c>
      <c r="M736" s="15">
        <v>7677133610</v>
      </c>
      <c r="N736" s="15"/>
    </row>
    <row r="737" spans="3:15" x14ac:dyDescent="0.3">
      <c r="C737" s="3">
        <v>43956</v>
      </c>
      <c r="D737" s="11">
        <v>2444</v>
      </c>
      <c r="G737" s="16" t="s">
        <v>720</v>
      </c>
      <c r="H737" s="16"/>
      <c r="I737" s="57"/>
      <c r="J737"/>
      <c r="L737" s="15">
        <v>573892363628</v>
      </c>
      <c r="M737" s="15">
        <v>8092169272</v>
      </c>
      <c r="N737" s="15"/>
    </row>
    <row r="738" spans="3:15" x14ac:dyDescent="0.3">
      <c r="C738" s="3">
        <v>43956</v>
      </c>
      <c r="D738" s="11">
        <v>2445</v>
      </c>
      <c r="G738" s="16" t="s">
        <v>721</v>
      </c>
      <c r="H738" s="16"/>
      <c r="I738" s="57"/>
      <c r="J738"/>
      <c r="L738" s="15">
        <v>725383560358</v>
      </c>
      <c r="M738" s="15">
        <v>7808776056</v>
      </c>
      <c r="N738" s="15"/>
    </row>
    <row r="739" spans="3:15" x14ac:dyDescent="0.3">
      <c r="C739" s="3">
        <v>43956</v>
      </c>
      <c r="D739" s="11">
        <v>2451</v>
      </c>
      <c r="G739" s="16" t="s">
        <v>722</v>
      </c>
      <c r="H739" s="16"/>
      <c r="I739" s="57"/>
      <c r="J739"/>
      <c r="L739" s="15">
        <v>438408598765</v>
      </c>
      <c r="M739" s="15">
        <v>7209940091</v>
      </c>
      <c r="N739" s="15"/>
    </row>
    <row r="740" spans="3:15" x14ac:dyDescent="0.3">
      <c r="C740" s="3">
        <v>43956</v>
      </c>
      <c r="D740" s="11">
        <v>2452</v>
      </c>
      <c r="G740" s="16" t="s">
        <v>723</v>
      </c>
      <c r="H740" s="16"/>
      <c r="I740" s="57"/>
      <c r="J740"/>
      <c r="L740" s="15">
        <v>298171984376</v>
      </c>
      <c r="M740" s="15">
        <v>7209105825</v>
      </c>
      <c r="N740" s="15"/>
    </row>
    <row r="741" spans="3:15" x14ac:dyDescent="0.3">
      <c r="C741" s="3">
        <v>43956</v>
      </c>
      <c r="D741" s="11">
        <v>2455</v>
      </c>
      <c r="G741" s="16" t="s">
        <v>724</v>
      </c>
      <c r="H741" s="16"/>
      <c r="I741" s="57"/>
      <c r="J741"/>
      <c r="L741" s="15">
        <v>452048731057</v>
      </c>
      <c r="M741" s="15">
        <v>7461069715</v>
      </c>
      <c r="N741" s="15"/>
    </row>
    <row r="742" spans="3:15" x14ac:dyDescent="0.3">
      <c r="C742" s="3">
        <v>43956</v>
      </c>
      <c r="D742" s="11">
        <v>2458</v>
      </c>
      <c r="G742" s="16" t="s">
        <v>725</v>
      </c>
      <c r="H742" s="16"/>
      <c r="I742" s="57"/>
      <c r="J742"/>
      <c r="L742" s="15">
        <v>350325341962</v>
      </c>
      <c r="M742" s="15">
        <v>7324062632</v>
      </c>
      <c r="N742" s="15"/>
    </row>
    <row r="743" spans="3:15" x14ac:dyDescent="0.3">
      <c r="C743" s="3">
        <v>43956</v>
      </c>
      <c r="D743" s="11">
        <v>2459</v>
      </c>
      <c r="G743" s="16" t="s">
        <v>726</v>
      </c>
      <c r="H743" s="16"/>
      <c r="I743" s="57"/>
      <c r="J743"/>
      <c r="L743" s="15">
        <v>647366072061</v>
      </c>
      <c r="M743" s="15">
        <v>8235157204</v>
      </c>
      <c r="N743" s="15"/>
    </row>
    <row r="744" spans="3:15" x14ac:dyDescent="0.3">
      <c r="C744" s="3">
        <v>43956</v>
      </c>
      <c r="D744" s="11">
        <v>2461</v>
      </c>
      <c r="G744" s="18" t="s">
        <v>727</v>
      </c>
      <c r="H744" s="18"/>
      <c r="I744" s="58"/>
      <c r="J744" t="s">
        <v>1159</v>
      </c>
      <c r="K744" s="4">
        <v>200</v>
      </c>
      <c r="L744" s="15">
        <v>674935401436</v>
      </c>
      <c r="M744" s="15">
        <v>7209375532</v>
      </c>
      <c r="N744" s="15"/>
    </row>
    <row r="745" spans="3:15" x14ac:dyDescent="0.3">
      <c r="C745" s="3">
        <v>43956</v>
      </c>
      <c r="D745" s="11">
        <v>2463</v>
      </c>
      <c r="G745" s="16" t="s">
        <v>728</v>
      </c>
      <c r="H745" s="16"/>
      <c r="I745" s="57"/>
      <c r="J745"/>
      <c r="L745" s="15">
        <v>412522317506</v>
      </c>
      <c r="M745" s="15">
        <v>8797939912</v>
      </c>
      <c r="N745" s="15"/>
      <c r="O745" s="3">
        <v>44035</v>
      </c>
    </row>
    <row r="746" spans="3:15" x14ac:dyDescent="0.3">
      <c r="C746" s="3">
        <v>43956</v>
      </c>
      <c r="D746" s="11">
        <v>2467</v>
      </c>
      <c r="G746" s="16" t="s">
        <v>729</v>
      </c>
      <c r="H746" s="16"/>
      <c r="I746" s="57"/>
      <c r="J746"/>
      <c r="L746" s="15">
        <v>324188890854</v>
      </c>
      <c r="M746" s="15">
        <v>7209212645</v>
      </c>
      <c r="N746" s="15"/>
    </row>
    <row r="747" spans="3:15" x14ac:dyDescent="0.3">
      <c r="C747" s="3">
        <v>43956</v>
      </c>
      <c r="D747" s="11">
        <v>2468</v>
      </c>
      <c r="G747" s="16" t="s">
        <v>730</v>
      </c>
      <c r="H747" s="16"/>
      <c r="I747" s="57"/>
      <c r="J747"/>
      <c r="L747" s="15">
        <v>207826929474</v>
      </c>
      <c r="M747" s="15">
        <v>8809099670</v>
      </c>
      <c r="N747" s="15"/>
    </row>
    <row r="748" spans="3:15" x14ac:dyDescent="0.3">
      <c r="C748" s="3">
        <v>43956</v>
      </c>
      <c r="D748" s="11">
        <v>2472</v>
      </c>
      <c r="G748" s="16" t="s">
        <v>731</v>
      </c>
      <c r="H748" s="16"/>
      <c r="I748" s="57"/>
      <c r="J748" t="s">
        <v>1161</v>
      </c>
      <c r="K748" s="4">
        <v>200</v>
      </c>
      <c r="L748" s="15">
        <v>219139462947</v>
      </c>
      <c r="M748" s="15">
        <v>7367810530</v>
      </c>
      <c r="N748" s="15"/>
    </row>
    <row r="749" spans="3:15" x14ac:dyDescent="0.3">
      <c r="C749" s="3">
        <v>43956</v>
      </c>
      <c r="D749" s="11">
        <v>2474</v>
      </c>
      <c r="G749" s="16" t="s">
        <v>732</v>
      </c>
      <c r="H749" s="16"/>
      <c r="I749" s="57"/>
      <c r="J749"/>
      <c r="L749" s="15">
        <v>220235646775</v>
      </c>
      <c r="M749" s="15">
        <v>8340178582</v>
      </c>
      <c r="N749" s="15"/>
    </row>
    <row r="750" spans="3:15" x14ac:dyDescent="0.3">
      <c r="C750" s="3">
        <v>43956</v>
      </c>
      <c r="D750" s="11">
        <v>2477</v>
      </c>
      <c r="G750" s="16" t="s">
        <v>733</v>
      </c>
      <c r="H750" s="16"/>
      <c r="I750" s="57"/>
      <c r="J750"/>
      <c r="L750" s="15">
        <v>870479719464</v>
      </c>
      <c r="M750" s="15">
        <v>7352595072</v>
      </c>
      <c r="N750" s="15"/>
    </row>
    <row r="751" spans="3:15" x14ac:dyDescent="0.3">
      <c r="C751" s="3">
        <v>43956</v>
      </c>
      <c r="D751" s="11">
        <v>2479</v>
      </c>
      <c r="G751" s="16" t="s">
        <v>734</v>
      </c>
      <c r="H751" s="16"/>
      <c r="I751" s="57"/>
      <c r="J751" t="s">
        <v>1151</v>
      </c>
      <c r="K751" s="4">
        <v>200</v>
      </c>
      <c r="L751" s="15">
        <v>539925314433</v>
      </c>
      <c r="M751" s="15">
        <v>9204018355</v>
      </c>
      <c r="N751" s="15"/>
    </row>
    <row r="752" spans="3:15" x14ac:dyDescent="0.3">
      <c r="C752" s="3">
        <v>43956</v>
      </c>
      <c r="D752" s="11">
        <v>2481</v>
      </c>
      <c r="G752" s="16" t="s">
        <v>735</v>
      </c>
      <c r="H752" s="16"/>
      <c r="I752" s="57"/>
      <c r="J752" t="s">
        <v>1151</v>
      </c>
      <c r="K752" s="4">
        <v>200</v>
      </c>
      <c r="L752" s="15">
        <v>880172913520</v>
      </c>
      <c r="M752" s="15">
        <v>9279385243</v>
      </c>
      <c r="N752" s="15"/>
    </row>
    <row r="753" spans="3:19" x14ac:dyDescent="0.3">
      <c r="C753" s="3">
        <v>43956</v>
      </c>
      <c r="D753" s="11">
        <v>2488</v>
      </c>
      <c r="G753" s="16" t="s">
        <v>736</v>
      </c>
      <c r="H753" s="16"/>
      <c r="I753" s="57"/>
      <c r="J753"/>
      <c r="L753" s="15">
        <v>434600325131</v>
      </c>
      <c r="M753" s="15">
        <v>9430156682</v>
      </c>
      <c r="N753" s="15"/>
    </row>
    <row r="754" spans="3:19" x14ac:dyDescent="0.3">
      <c r="C754" s="3">
        <v>43956</v>
      </c>
      <c r="D754" s="11">
        <v>2490</v>
      </c>
      <c r="G754" s="18" t="s">
        <v>737</v>
      </c>
      <c r="H754" s="18"/>
      <c r="I754" s="58"/>
      <c r="J754"/>
      <c r="K754" s="4">
        <v>100</v>
      </c>
      <c r="L754" s="15">
        <v>790480281657</v>
      </c>
      <c r="M754" s="15">
        <v>8603830627</v>
      </c>
      <c r="N754" s="15"/>
    </row>
    <row r="755" spans="3:19" x14ac:dyDescent="0.3">
      <c r="C755" s="3">
        <v>43956</v>
      </c>
      <c r="D755" s="11">
        <v>2492</v>
      </c>
      <c r="G755" s="16" t="s">
        <v>738</v>
      </c>
      <c r="H755" s="16"/>
      <c r="I755" s="57"/>
      <c r="J755" t="s">
        <v>1154</v>
      </c>
      <c r="K755" s="4">
        <v>100</v>
      </c>
      <c r="L755" s="15">
        <v>856765263087</v>
      </c>
      <c r="M755" s="15">
        <v>6202055857</v>
      </c>
      <c r="N755" s="15"/>
    </row>
    <row r="756" spans="3:19" x14ac:dyDescent="0.3">
      <c r="C756" s="3">
        <v>43956</v>
      </c>
      <c r="D756" s="11">
        <v>2493</v>
      </c>
      <c r="G756" s="16" t="s">
        <v>739</v>
      </c>
      <c r="H756" s="16"/>
      <c r="I756" s="57"/>
      <c r="J756" t="s">
        <v>1154</v>
      </c>
      <c r="K756" s="4">
        <v>100</v>
      </c>
      <c r="L756" s="15">
        <v>612063696151</v>
      </c>
      <c r="M756" s="15">
        <v>8797853038</v>
      </c>
      <c r="N756" s="15"/>
    </row>
    <row r="757" spans="3:19" x14ac:dyDescent="0.3">
      <c r="C757" s="3">
        <v>43956</v>
      </c>
      <c r="D757" s="11">
        <v>2497</v>
      </c>
      <c r="G757" s="18" t="s">
        <v>740</v>
      </c>
      <c r="H757" s="18"/>
      <c r="I757" s="58"/>
      <c r="J757" t="s">
        <v>1154</v>
      </c>
      <c r="K757" s="4">
        <v>100</v>
      </c>
      <c r="L757" s="15">
        <v>300421900591</v>
      </c>
      <c r="M757" s="15">
        <v>6200568655</v>
      </c>
      <c r="N757" s="15"/>
      <c r="R757" s="4" t="s">
        <v>15</v>
      </c>
    </row>
    <row r="758" spans="3:19" x14ac:dyDescent="0.3">
      <c r="C758" s="3">
        <v>43956</v>
      </c>
      <c r="D758" s="11">
        <v>2504</v>
      </c>
      <c r="G758" s="16" t="s">
        <v>741</v>
      </c>
      <c r="H758" s="16"/>
      <c r="I758" s="57"/>
      <c r="J758"/>
      <c r="L758" s="15">
        <v>674990453509</v>
      </c>
      <c r="M758" s="15">
        <v>7643066986</v>
      </c>
      <c r="N758" s="15"/>
    </row>
    <row r="759" spans="3:19" x14ac:dyDescent="0.3">
      <c r="C759" s="3">
        <v>43956</v>
      </c>
      <c r="D759" s="11">
        <v>2507</v>
      </c>
      <c r="G759" s="16" t="s">
        <v>742</v>
      </c>
      <c r="H759" s="16"/>
      <c r="I759" s="57"/>
      <c r="J759"/>
      <c r="L759" s="15">
        <v>901990021881</v>
      </c>
      <c r="M759" s="15">
        <v>8789410951</v>
      </c>
      <c r="N759" s="15"/>
    </row>
    <row r="760" spans="3:19" x14ac:dyDescent="0.3">
      <c r="C760" s="3">
        <v>43956</v>
      </c>
      <c r="D760" s="11">
        <v>2508</v>
      </c>
      <c r="G760" s="16" t="s">
        <v>743</v>
      </c>
      <c r="H760" s="16"/>
      <c r="I760" s="57"/>
      <c r="J760"/>
      <c r="L760" s="15">
        <v>950454589452</v>
      </c>
      <c r="M760" s="15">
        <v>9801967683</v>
      </c>
      <c r="N760" s="15"/>
      <c r="O760" s="3">
        <v>44019</v>
      </c>
    </row>
    <row r="761" spans="3:19" x14ac:dyDescent="0.3">
      <c r="C761" s="3">
        <v>43956</v>
      </c>
      <c r="D761" s="11">
        <v>2509</v>
      </c>
      <c r="G761" s="16" t="s">
        <v>744</v>
      </c>
      <c r="H761" s="16"/>
      <c r="I761" s="57"/>
      <c r="J761" t="s">
        <v>1154</v>
      </c>
      <c r="K761" s="4">
        <v>100</v>
      </c>
      <c r="L761" s="15">
        <v>393465543164</v>
      </c>
      <c r="M761" s="15">
        <v>9570019441</v>
      </c>
      <c r="N761" s="15"/>
      <c r="O761" s="3">
        <v>44016</v>
      </c>
    </row>
    <row r="762" spans="3:19" x14ac:dyDescent="0.3">
      <c r="C762" s="3">
        <v>43956</v>
      </c>
      <c r="D762" s="11">
        <v>2510</v>
      </c>
      <c r="G762" s="16" t="s">
        <v>745</v>
      </c>
      <c r="H762" s="16"/>
      <c r="I762" s="57"/>
      <c r="J762" t="s">
        <v>1154</v>
      </c>
      <c r="K762" s="4">
        <v>100</v>
      </c>
      <c r="L762" s="15">
        <v>670665037829</v>
      </c>
      <c r="M762" s="15">
        <v>6204466035</v>
      </c>
      <c r="N762" s="15"/>
      <c r="O762" s="3">
        <v>44016</v>
      </c>
    </row>
    <row r="763" spans="3:19" x14ac:dyDescent="0.3">
      <c r="C763" s="3">
        <v>43957</v>
      </c>
      <c r="D763" s="11">
        <v>2522</v>
      </c>
      <c r="G763" s="18" t="s">
        <v>746</v>
      </c>
      <c r="H763" s="18"/>
      <c r="I763" s="58"/>
      <c r="J763" t="s">
        <v>1154</v>
      </c>
      <c r="K763" s="4">
        <v>100</v>
      </c>
      <c r="L763" s="15">
        <v>871557363975</v>
      </c>
      <c r="M763" s="15">
        <v>8797586370</v>
      </c>
      <c r="N763" s="15"/>
    </row>
    <row r="764" spans="3:19" x14ac:dyDescent="0.3">
      <c r="C764" s="3">
        <v>43957</v>
      </c>
      <c r="D764" s="11">
        <v>2524</v>
      </c>
      <c r="G764" s="16" t="s">
        <v>747</v>
      </c>
      <c r="H764" s="16"/>
      <c r="I764" s="57"/>
      <c r="J764"/>
      <c r="L764" s="15">
        <v>977320683589</v>
      </c>
      <c r="M764" s="15">
        <v>9304422186</v>
      </c>
      <c r="N764" s="15"/>
    </row>
    <row r="765" spans="3:19" x14ac:dyDescent="0.3">
      <c r="C765" s="3">
        <v>43957</v>
      </c>
      <c r="D765" s="11">
        <v>2526</v>
      </c>
      <c r="G765" s="16" t="s">
        <v>748</v>
      </c>
      <c r="H765" s="16"/>
      <c r="I765" s="57"/>
      <c r="J765"/>
      <c r="L765" s="15">
        <v>226653960673</v>
      </c>
      <c r="M765" s="15">
        <v>8709940829</v>
      </c>
      <c r="N765" s="15"/>
    </row>
    <row r="766" spans="3:19" ht="14.4" x14ac:dyDescent="0.3">
      <c r="C766" s="3">
        <v>43957</v>
      </c>
      <c r="D766" s="11">
        <v>2528</v>
      </c>
      <c r="G766" s="16" t="s">
        <v>2128</v>
      </c>
      <c r="H766" s="16"/>
      <c r="I766" s="3">
        <v>32737</v>
      </c>
      <c r="J766"/>
      <c r="L766" s="15">
        <v>635693645795</v>
      </c>
      <c r="M766" s="15">
        <v>8084179412</v>
      </c>
      <c r="N766" s="15"/>
      <c r="Q766" s="3">
        <v>44685</v>
      </c>
      <c r="S766" s="4" t="s">
        <v>16</v>
      </c>
    </row>
    <row r="767" spans="3:19" x14ac:dyDescent="0.3">
      <c r="C767" s="3">
        <v>43957</v>
      </c>
      <c r="D767" s="11">
        <v>2530</v>
      </c>
      <c r="G767" s="16" t="s">
        <v>749</v>
      </c>
      <c r="H767" s="16"/>
      <c r="I767" s="57"/>
      <c r="J767"/>
      <c r="L767" s="15">
        <v>935917520726</v>
      </c>
      <c r="M767" s="15">
        <v>8235600737</v>
      </c>
      <c r="N767" s="15"/>
    </row>
    <row r="768" spans="3:19" x14ac:dyDescent="0.3">
      <c r="C768" s="3">
        <v>43957</v>
      </c>
      <c r="D768" s="11">
        <v>2532</v>
      </c>
      <c r="G768" s="16" t="s">
        <v>750</v>
      </c>
      <c r="H768" s="16"/>
      <c r="I768" s="57"/>
      <c r="J768" t="s">
        <v>1162</v>
      </c>
      <c r="K768" s="4">
        <v>100</v>
      </c>
      <c r="L768" s="15">
        <v>854243026526</v>
      </c>
      <c r="M768" s="15">
        <v>8084178227</v>
      </c>
      <c r="N768" s="15"/>
    </row>
    <row r="769" spans="1:744" x14ac:dyDescent="0.3">
      <c r="C769" s="3">
        <v>43957</v>
      </c>
      <c r="D769" s="11">
        <v>2535</v>
      </c>
      <c r="G769" s="16" t="s">
        <v>751</v>
      </c>
      <c r="H769" s="16"/>
      <c r="I769" s="57"/>
      <c r="J769"/>
      <c r="L769" s="15"/>
      <c r="M769" s="15">
        <v>9204258431</v>
      </c>
      <c r="N769" s="15"/>
    </row>
    <row r="770" spans="1:744" x14ac:dyDescent="0.3">
      <c r="C770" s="3">
        <v>43957</v>
      </c>
      <c r="D770" s="11">
        <v>2537</v>
      </c>
      <c r="G770" s="16" t="s">
        <v>752</v>
      </c>
      <c r="H770" s="16"/>
      <c r="I770" s="57"/>
      <c r="J770"/>
      <c r="L770" s="15">
        <v>309843753153</v>
      </c>
      <c r="M770" s="15">
        <v>7285912568</v>
      </c>
      <c r="N770" s="15"/>
    </row>
    <row r="771" spans="1:744" x14ac:dyDescent="0.3">
      <c r="C771" s="3">
        <v>43957</v>
      </c>
      <c r="D771" s="11">
        <v>2538</v>
      </c>
      <c r="G771" s="16" t="s">
        <v>753</v>
      </c>
      <c r="H771" s="16"/>
      <c r="I771" s="57"/>
      <c r="J771" t="s">
        <v>1155</v>
      </c>
      <c r="K771" s="4">
        <v>100</v>
      </c>
      <c r="L771" s="15">
        <v>542767863043</v>
      </c>
      <c r="M771" s="15">
        <v>6202243938</v>
      </c>
      <c r="N771" s="15"/>
    </row>
    <row r="772" spans="1:744" x14ac:dyDescent="0.3">
      <c r="C772" s="3">
        <v>43957</v>
      </c>
      <c r="D772" s="11">
        <v>2539</v>
      </c>
      <c r="G772" s="16" t="s">
        <v>754</v>
      </c>
      <c r="H772" s="16"/>
      <c r="I772" s="57"/>
      <c r="J772" t="s">
        <v>1154</v>
      </c>
      <c r="K772" s="4">
        <v>100</v>
      </c>
      <c r="L772" s="15">
        <v>864219735074</v>
      </c>
      <c r="M772" s="15">
        <v>9852931442</v>
      </c>
      <c r="N772" s="15"/>
      <c r="ABP772">
        <v>5</v>
      </c>
    </row>
    <row r="773" spans="1:744" x14ac:dyDescent="0.3">
      <c r="C773" s="3">
        <v>43957</v>
      </c>
      <c r="D773" s="11">
        <v>2540</v>
      </c>
      <c r="G773" s="16" t="s">
        <v>755</v>
      </c>
      <c r="H773" s="16"/>
      <c r="I773" s="57"/>
      <c r="J773" t="s">
        <v>1159</v>
      </c>
      <c r="K773" s="4">
        <v>100</v>
      </c>
      <c r="L773" s="15">
        <v>462694375615</v>
      </c>
      <c r="M773" s="15">
        <v>9113189868</v>
      </c>
      <c r="N773" s="15"/>
    </row>
    <row r="774" spans="1:744" x14ac:dyDescent="0.3">
      <c r="C774" s="3">
        <v>43957</v>
      </c>
      <c r="D774" s="11">
        <v>2542</v>
      </c>
      <c r="G774" s="16" t="s">
        <v>756</v>
      </c>
      <c r="H774" s="16"/>
      <c r="I774" s="57"/>
      <c r="J774" t="s">
        <v>1159</v>
      </c>
      <c r="K774" s="4">
        <v>100</v>
      </c>
      <c r="L774" s="15">
        <v>485254811580</v>
      </c>
      <c r="M774" s="15">
        <v>7903585099</v>
      </c>
      <c r="N774" s="15"/>
    </row>
    <row r="775" spans="1:744" x14ac:dyDescent="0.3">
      <c r="C775" s="3">
        <v>43957</v>
      </c>
      <c r="D775" s="11">
        <v>2544</v>
      </c>
      <c r="G775" s="16" t="s">
        <v>757</v>
      </c>
      <c r="H775" s="16"/>
      <c r="I775" s="57"/>
      <c r="J775"/>
      <c r="K775" s="4">
        <v>100</v>
      </c>
      <c r="L775" s="15">
        <v>634455556799</v>
      </c>
      <c r="M775" s="15">
        <v>7488585909</v>
      </c>
      <c r="N775" s="15"/>
    </row>
    <row r="776" spans="1:744" x14ac:dyDescent="0.3">
      <c r="C776" s="3">
        <v>43957</v>
      </c>
      <c r="D776" s="11">
        <v>2545</v>
      </c>
      <c r="G776" s="16" t="s">
        <v>758</v>
      </c>
      <c r="H776" s="16"/>
      <c r="I776" s="57"/>
      <c r="J776" t="s">
        <v>1154</v>
      </c>
      <c r="K776" s="4">
        <v>200</v>
      </c>
      <c r="L776" s="15">
        <v>713712314800</v>
      </c>
      <c r="M776" s="15">
        <v>9931236815</v>
      </c>
      <c r="N776" s="15"/>
    </row>
    <row r="777" spans="1:744" x14ac:dyDescent="0.3">
      <c r="C777" s="3">
        <v>43957</v>
      </c>
      <c r="D777" s="11">
        <v>2547</v>
      </c>
      <c r="G777" s="16" t="s">
        <v>759</v>
      </c>
      <c r="H777" s="16"/>
      <c r="I777" s="57"/>
      <c r="J777" t="s">
        <v>1154</v>
      </c>
      <c r="K777" s="4">
        <v>100</v>
      </c>
      <c r="L777" s="15">
        <v>374582926737</v>
      </c>
      <c r="M777" s="15">
        <v>8084025541</v>
      </c>
      <c r="N777" s="15"/>
    </row>
    <row r="778" spans="1:744" x14ac:dyDescent="0.3">
      <c r="C778" s="3">
        <v>43957</v>
      </c>
      <c r="D778" s="11">
        <v>2549</v>
      </c>
      <c r="G778" s="16" t="s">
        <v>760</v>
      </c>
      <c r="H778" s="16"/>
      <c r="I778" s="57"/>
      <c r="J778"/>
      <c r="L778" s="15">
        <v>202516136755</v>
      </c>
      <c r="M778" s="15">
        <v>6207099186</v>
      </c>
      <c r="N778" s="15"/>
    </row>
    <row r="779" spans="1:744" x14ac:dyDescent="0.3">
      <c r="A779" t="s">
        <v>6868</v>
      </c>
      <c r="C779" s="3">
        <v>43957</v>
      </c>
      <c r="D779" s="11">
        <v>2551</v>
      </c>
      <c r="G779" s="16" t="s">
        <v>761</v>
      </c>
      <c r="H779" s="16"/>
      <c r="I779" s="57"/>
      <c r="J779" t="s">
        <v>1154</v>
      </c>
      <c r="K779" s="4">
        <v>100</v>
      </c>
      <c r="L779" s="15">
        <v>594670655435</v>
      </c>
      <c r="M779" s="15">
        <v>7859013406</v>
      </c>
      <c r="N779" s="15"/>
      <c r="R779" s="4" t="s">
        <v>19</v>
      </c>
    </row>
    <row r="780" spans="1:744" x14ac:dyDescent="0.3">
      <c r="C780" s="3">
        <v>43957</v>
      </c>
      <c r="D780" s="11">
        <v>2553</v>
      </c>
      <c r="G780" s="16" t="s">
        <v>762</v>
      </c>
      <c r="H780" s="16"/>
      <c r="I780" s="57"/>
      <c r="J780" t="s">
        <v>1154</v>
      </c>
      <c r="K780" s="4">
        <v>100</v>
      </c>
      <c r="L780" s="15">
        <v>660991405963</v>
      </c>
      <c r="M780" s="15">
        <v>9576826024</v>
      </c>
      <c r="N780" s="15"/>
    </row>
    <row r="781" spans="1:744" x14ac:dyDescent="0.3">
      <c r="C781" s="3">
        <v>43957</v>
      </c>
      <c r="D781" s="11">
        <v>2555</v>
      </c>
      <c r="G781" s="16" t="s">
        <v>763</v>
      </c>
      <c r="H781" s="16"/>
      <c r="I781" s="57"/>
      <c r="J781" t="s">
        <v>1156</v>
      </c>
      <c r="K781" s="4">
        <v>100</v>
      </c>
      <c r="L781" s="15">
        <v>750396047493</v>
      </c>
      <c r="M781" s="15">
        <v>9204028925</v>
      </c>
      <c r="N781" s="15"/>
    </row>
    <row r="782" spans="1:744" x14ac:dyDescent="0.3">
      <c r="C782" s="3">
        <v>43957</v>
      </c>
      <c r="D782" s="11">
        <v>2557</v>
      </c>
      <c r="G782" s="18" t="s">
        <v>764</v>
      </c>
      <c r="H782" s="18"/>
      <c r="I782" s="58"/>
      <c r="J782" t="s">
        <v>1164</v>
      </c>
      <c r="K782" s="4">
        <v>100</v>
      </c>
      <c r="L782" s="15">
        <v>352522718482</v>
      </c>
      <c r="M782" s="15">
        <v>9031360316</v>
      </c>
      <c r="N782" s="15"/>
    </row>
    <row r="783" spans="1:744" x14ac:dyDescent="0.3">
      <c r="C783" s="3">
        <v>43957</v>
      </c>
      <c r="D783" s="11">
        <v>2559</v>
      </c>
      <c r="G783" s="16" t="s">
        <v>766</v>
      </c>
      <c r="H783" s="16"/>
      <c r="I783" s="57"/>
      <c r="J783"/>
      <c r="L783" s="15">
        <v>936506966709</v>
      </c>
      <c r="M783" s="15">
        <v>7759028856</v>
      </c>
      <c r="N783" s="15"/>
    </row>
    <row r="784" spans="1:744" x14ac:dyDescent="0.3">
      <c r="C784" s="3">
        <v>43957</v>
      </c>
      <c r="D784" s="11">
        <v>2560</v>
      </c>
      <c r="G784" s="16" t="s">
        <v>765</v>
      </c>
      <c r="H784" s="16"/>
      <c r="I784" s="57"/>
      <c r="J784"/>
      <c r="L784" s="15">
        <v>385753199531</v>
      </c>
      <c r="M784" s="15">
        <v>7283090864</v>
      </c>
      <c r="N784" s="15"/>
    </row>
    <row r="785" spans="3:18" x14ac:dyDescent="0.3">
      <c r="C785" s="3">
        <v>43957</v>
      </c>
      <c r="D785" s="11">
        <v>2562</v>
      </c>
      <c r="G785" s="16" t="s">
        <v>767</v>
      </c>
      <c r="H785" s="16"/>
      <c r="I785" s="57"/>
      <c r="J785" t="s">
        <v>1154</v>
      </c>
      <c r="K785" s="4">
        <v>100</v>
      </c>
      <c r="L785" s="15">
        <v>396554093069</v>
      </c>
      <c r="M785" s="15">
        <v>6205898292</v>
      </c>
      <c r="N785" s="15"/>
    </row>
    <row r="786" spans="3:18" x14ac:dyDescent="0.3">
      <c r="C786" s="3">
        <v>43957</v>
      </c>
      <c r="D786" s="11">
        <v>2564</v>
      </c>
      <c r="G786" s="16" t="s">
        <v>768</v>
      </c>
      <c r="H786" s="16"/>
      <c r="I786" s="57"/>
      <c r="J786"/>
      <c r="L786" s="15">
        <v>334035266316</v>
      </c>
      <c r="M786" s="15">
        <v>9234746777</v>
      </c>
      <c r="N786" s="15"/>
    </row>
    <row r="787" spans="3:18" x14ac:dyDescent="0.3">
      <c r="C787" s="3">
        <v>43957</v>
      </c>
      <c r="D787" s="11">
        <v>2565</v>
      </c>
      <c r="G787" s="16" t="s">
        <v>769</v>
      </c>
      <c r="H787" s="16"/>
      <c r="I787" s="57"/>
      <c r="J787"/>
      <c r="L787" s="15">
        <v>990115851652</v>
      </c>
      <c r="M787" s="15">
        <v>6202714015</v>
      </c>
      <c r="N787" s="15"/>
    </row>
    <row r="788" spans="3:18" x14ac:dyDescent="0.3">
      <c r="C788" s="3">
        <v>43957</v>
      </c>
      <c r="D788" s="11">
        <v>2567</v>
      </c>
      <c r="G788" s="16" t="s">
        <v>770</v>
      </c>
      <c r="H788" s="16"/>
      <c r="I788" s="57"/>
      <c r="J788"/>
      <c r="L788" s="15">
        <v>274482262203</v>
      </c>
      <c r="M788" s="15">
        <v>6203655634</v>
      </c>
      <c r="N788" s="15"/>
    </row>
    <row r="789" spans="3:18" x14ac:dyDescent="0.3">
      <c r="C789" s="3">
        <v>43957</v>
      </c>
      <c r="D789" s="11">
        <v>2568</v>
      </c>
      <c r="G789" s="16" t="s">
        <v>771</v>
      </c>
      <c r="H789" s="16"/>
      <c r="I789" s="57"/>
      <c r="J789"/>
      <c r="L789" s="15">
        <v>305999203278</v>
      </c>
      <c r="M789" s="15">
        <v>9973762392</v>
      </c>
      <c r="N789" s="15"/>
    </row>
    <row r="790" spans="3:18" x14ac:dyDescent="0.3">
      <c r="C790" s="3">
        <v>43957</v>
      </c>
      <c r="D790" s="11">
        <v>2569</v>
      </c>
      <c r="G790" s="16" t="s">
        <v>1163</v>
      </c>
      <c r="H790" s="16"/>
      <c r="I790" s="57"/>
      <c r="J790" t="s">
        <v>1154</v>
      </c>
      <c r="K790" s="4">
        <v>100</v>
      </c>
      <c r="L790" s="15">
        <v>283420992590</v>
      </c>
      <c r="M790" s="15">
        <v>9204243789</v>
      </c>
      <c r="N790" s="15"/>
    </row>
    <row r="791" spans="3:18" x14ac:dyDescent="0.3">
      <c r="C791" s="3">
        <v>43957</v>
      </c>
      <c r="D791" s="11">
        <v>2571</v>
      </c>
      <c r="G791" s="18" t="s">
        <v>772</v>
      </c>
      <c r="H791" s="18"/>
      <c r="I791" s="58"/>
      <c r="J791" t="s">
        <v>1154</v>
      </c>
      <c r="K791" s="4">
        <v>100</v>
      </c>
      <c r="L791" s="15">
        <v>313212260375</v>
      </c>
      <c r="M791" s="15">
        <v>7209544093</v>
      </c>
      <c r="N791" s="15"/>
    </row>
    <row r="792" spans="3:18" x14ac:dyDescent="0.3">
      <c r="C792" s="3">
        <v>43957</v>
      </c>
      <c r="D792" s="11">
        <v>2572</v>
      </c>
      <c r="G792" s="18" t="s">
        <v>773</v>
      </c>
      <c r="H792" s="18"/>
      <c r="I792" s="58"/>
      <c r="J792" t="s">
        <v>1168</v>
      </c>
      <c r="K792" s="4">
        <v>100</v>
      </c>
      <c r="L792" s="15">
        <v>881096986066</v>
      </c>
      <c r="M792" s="15">
        <v>6201680089</v>
      </c>
      <c r="N792" s="15"/>
    </row>
    <row r="793" spans="3:18" x14ac:dyDescent="0.3">
      <c r="C793" s="3">
        <v>43957</v>
      </c>
      <c r="D793" s="11">
        <v>2574</v>
      </c>
      <c r="G793" s="18" t="s">
        <v>774</v>
      </c>
      <c r="H793" s="18"/>
      <c r="I793" s="58"/>
      <c r="J793" t="s">
        <v>1168</v>
      </c>
      <c r="K793" s="4">
        <v>100</v>
      </c>
      <c r="L793" s="15">
        <v>717475467268</v>
      </c>
      <c r="M793" s="15">
        <v>6201454081</v>
      </c>
      <c r="N793" s="15"/>
    </row>
    <row r="794" spans="3:18" x14ac:dyDescent="0.3">
      <c r="C794" s="3">
        <v>43957</v>
      </c>
      <c r="D794" s="11">
        <v>2575</v>
      </c>
      <c r="G794" s="18" t="s">
        <v>775</v>
      </c>
      <c r="H794" s="18"/>
      <c r="I794" s="58"/>
      <c r="J794" t="s">
        <v>1154</v>
      </c>
      <c r="K794" s="4">
        <v>100</v>
      </c>
      <c r="L794" s="15">
        <v>444241974763</v>
      </c>
      <c r="M794" s="15">
        <v>6299524065</v>
      </c>
      <c r="N794" s="15"/>
    </row>
    <row r="795" spans="3:18" x14ac:dyDescent="0.3">
      <c r="C795" s="3">
        <v>43957</v>
      </c>
      <c r="D795" s="11">
        <v>2577</v>
      </c>
      <c r="G795" s="16" t="s">
        <v>776</v>
      </c>
      <c r="H795" s="16"/>
      <c r="I795" s="57"/>
      <c r="J795"/>
      <c r="K795" s="4">
        <v>100</v>
      </c>
      <c r="L795" s="15">
        <v>472341687655</v>
      </c>
      <c r="M795" s="15">
        <v>6204509324</v>
      </c>
      <c r="N795" s="15"/>
    </row>
    <row r="796" spans="3:18" x14ac:dyDescent="0.3">
      <c r="C796" s="3">
        <v>43957</v>
      </c>
      <c r="D796" s="11">
        <v>2578</v>
      </c>
      <c r="G796" s="18" t="s">
        <v>777</v>
      </c>
      <c r="H796" s="18"/>
      <c r="I796" s="58"/>
      <c r="J796" t="s">
        <v>1168</v>
      </c>
      <c r="K796" s="4">
        <v>100</v>
      </c>
      <c r="L796" s="15">
        <v>358839133036</v>
      </c>
      <c r="M796" s="15">
        <v>9934182743</v>
      </c>
      <c r="N796" s="15"/>
    </row>
    <row r="797" spans="3:18" x14ac:dyDescent="0.3">
      <c r="C797" s="3">
        <v>43957</v>
      </c>
      <c r="D797" s="11">
        <v>2580</v>
      </c>
      <c r="G797" s="16" t="s">
        <v>778</v>
      </c>
      <c r="H797" s="16"/>
      <c r="I797" s="57"/>
      <c r="J797" t="s">
        <v>1153</v>
      </c>
      <c r="K797" s="4">
        <v>100</v>
      </c>
      <c r="L797" s="15">
        <v>633726256303</v>
      </c>
      <c r="M797" s="15">
        <v>7295913326</v>
      </c>
      <c r="N797" s="15"/>
      <c r="R797" s="4" t="s">
        <v>14</v>
      </c>
    </row>
    <row r="798" spans="3:18" x14ac:dyDescent="0.3">
      <c r="C798" s="3">
        <v>43957</v>
      </c>
      <c r="D798" s="11">
        <v>2581</v>
      </c>
      <c r="G798" s="16" t="s">
        <v>779</v>
      </c>
      <c r="H798" s="16"/>
      <c r="I798" s="57"/>
      <c r="J798"/>
      <c r="L798" s="15">
        <v>534156471509</v>
      </c>
      <c r="M798" s="15">
        <v>9304772622</v>
      </c>
      <c r="N798" s="15"/>
    </row>
    <row r="799" spans="3:18" x14ac:dyDescent="0.3">
      <c r="C799" s="3">
        <v>43957</v>
      </c>
      <c r="D799" s="11">
        <v>2587</v>
      </c>
      <c r="G799" s="16" t="s">
        <v>780</v>
      </c>
      <c r="H799" s="16"/>
      <c r="I799" s="57"/>
      <c r="J799"/>
      <c r="K799" s="4">
        <v>500</v>
      </c>
      <c r="L799" s="15">
        <v>248713565350</v>
      </c>
      <c r="M799" s="15">
        <v>7070906111</v>
      </c>
      <c r="N799" s="15"/>
    </row>
    <row r="800" spans="3:18" x14ac:dyDescent="0.3">
      <c r="C800" s="3">
        <v>43957</v>
      </c>
      <c r="D800" s="11">
        <v>2589</v>
      </c>
      <c r="G800" s="18" t="s">
        <v>781</v>
      </c>
      <c r="H800" s="18"/>
      <c r="I800" s="58"/>
      <c r="J800" t="s">
        <v>1158</v>
      </c>
      <c r="K800" s="4">
        <v>100</v>
      </c>
      <c r="L800" s="15">
        <v>336759729717</v>
      </c>
      <c r="M800" s="15">
        <v>9576199864</v>
      </c>
      <c r="N800" s="15"/>
    </row>
    <row r="801" spans="3:15" x14ac:dyDescent="0.3">
      <c r="C801" s="3">
        <v>43957</v>
      </c>
      <c r="D801" s="11">
        <v>2591</v>
      </c>
      <c r="G801" s="18" t="s">
        <v>782</v>
      </c>
      <c r="H801" s="18"/>
      <c r="I801" s="58"/>
      <c r="J801" t="s">
        <v>1158</v>
      </c>
      <c r="K801" s="4">
        <v>100</v>
      </c>
      <c r="L801" s="15">
        <v>413414109823</v>
      </c>
      <c r="M801" s="15">
        <v>9835118354</v>
      </c>
      <c r="N801" s="15"/>
    </row>
    <row r="802" spans="3:15" x14ac:dyDescent="0.3">
      <c r="C802" s="3">
        <v>43957</v>
      </c>
      <c r="D802" s="11">
        <v>2592</v>
      </c>
      <c r="G802" s="16" t="s">
        <v>783</v>
      </c>
      <c r="H802" s="16"/>
      <c r="I802" s="57"/>
      <c r="J802" t="s">
        <v>1154</v>
      </c>
      <c r="K802" s="4">
        <v>100</v>
      </c>
      <c r="L802" s="15">
        <v>207500831645</v>
      </c>
      <c r="M802" s="15">
        <v>9304762707</v>
      </c>
      <c r="N802" s="15"/>
    </row>
    <row r="803" spans="3:15" x14ac:dyDescent="0.3">
      <c r="C803" s="3">
        <v>43957</v>
      </c>
      <c r="D803" s="11">
        <v>2593</v>
      </c>
      <c r="G803" s="16" t="s">
        <v>784</v>
      </c>
      <c r="H803" s="16"/>
      <c r="I803" s="57"/>
      <c r="J803" t="s">
        <v>1154</v>
      </c>
      <c r="K803" s="4">
        <v>100</v>
      </c>
      <c r="L803" s="15">
        <v>614537594598</v>
      </c>
      <c r="M803" s="15">
        <v>7667821732</v>
      </c>
      <c r="N803" s="15"/>
    </row>
    <row r="804" spans="3:15" x14ac:dyDescent="0.3">
      <c r="C804" s="3">
        <v>43957</v>
      </c>
      <c r="D804" s="11">
        <v>2594</v>
      </c>
      <c r="G804" s="16" t="s">
        <v>785</v>
      </c>
      <c r="H804" s="16"/>
      <c r="I804" s="57"/>
      <c r="J804"/>
      <c r="L804" s="15">
        <v>718490443939</v>
      </c>
      <c r="M804" s="15">
        <v>6201394446</v>
      </c>
      <c r="N804" s="15"/>
    </row>
    <row r="805" spans="3:15" x14ac:dyDescent="0.3">
      <c r="C805" s="3">
        <v>43957</v>
      </c>
      <c r="D805" s="11">
        <v>2597</v>
      </c>
      <c r="G805" s="16" t="s">
        <v>786</v>
      </c>
      <c r="H805" s="16"/>
      <c r="I805" s="57"/>
      <c r="J805"/>
      <c r="L805" s="15">
        <v>815219948920</v>
      </c>
      <c r="M805" s="15">
        <v>6205617195</v>
      </c>
      <c r="N805" s="15"/>
    </row>
    <row r="806" spans="3:15" x14ac:dyDescent="0.3">
      <c r="C806" s="3">
        <v>43957</v>
      </c>
      <c r="D806" s="11">
        <v>2598</v>
      </c>
      <c r="G806" s="16" t="s">
        <v>787</v>
      </c>
      <c r="H806" s="16"/>
      <c r="I806" s="57"/>
      <c r="J806" t="s">
        <v>1159</v>
      </c>
      <c r="K806" s="4">
        <v>100</v>
      </c>
      <c r="L806" s="15">
        <v>515111562381</v>
      </c>
      <c r="M806" s="15">
        <v>9123120619</v>
      </c>
      <c r="N806" s="15"/>
    </row>
    <row r="807" spans="3:15" x14ac:dyDescent="0.3">
      <c r="C807" s="3">
        <v>43957</v>
      </c>
      <c r="D807" s="11">
        <v>2600</v>
      </c>
      <c r="G807" s="16" t="s">
        <v>788</v>
      </c>
      <c r="H807" s="16"/>
      <c r="I807" s="57"/>
      <c r="J807"/>
      <c r="L807" s="15">
        <v>497586907540</v>
      </c>
      <c r="M807" s="15">
        <v>9162540890</v>
      </c>
      <c r="N807" s="15"/>
    </row>
    <row r="808" spans="3:15" x14ac:dyDescent="0.3">
      <c r="C808" s="3">
        <v>43957</v>
      </c>
      <c r="D808" s="11">
        <v>2603</v>
      </c>
      <c r="G808" s="16" t="s">
        <v>789</v>
      </c>
      <c r="H808" s="16"/>
      <c r="I808" s="57"/>
      <c r="J808"/>
      <c r="L808" s="15">
        <v>440163793375</v>
      </c>
      <c r="M808" s="15">
        <v>9031225732</v>
      </c>
      <c r="N808" s="15"/>
    </row>
    <row r="809" spans="3:15" x14ac:dyDescent="0.3">
      <c r="C809" s="3">
        <v>43957</v>
      </c>
      <c r="D809" s="11">
        <v>2604</v>
      </c>
      <c r="G809" s="16" t="s">
        <v>790</v>
      </c>
      <c r="H809" s="16"/>
      <c r="I809" s="57"/>
      <c r="J809"/>
      <c r="L809" s="15">
        <v>855754050071</v>
      </c>
      <c r="M809" s="15">
        <v>7209766008</v>
      </c>
      <c r="N809" s="15"/>
    </row>
    <row r="810" spans="3:15" x14ac:dyDescent="0.3">
      <c r="C810" s="3">
        <v>43957</v>
      </c>
      <c r="D810" s="11">
        <v>2608</v>
      </c>
      <c r="G810" s="16" t="s">
        <v>791</v>
      </c>
      <c r="H810" s="16"/>
      <c r="I810" s="57"/>
      <c r="J810" t="s">
        <v>1161</v>
      </c>
      <c r="K810" s="4">
        <v>200</v>
      </c>
      <c r="L810" s="15">
        <v>671017219983</v>
      </c>
      <c r="M810" s="15">
        <v>8987685172</v>
      </c>
      <c r="N810" s="15"/>
    </row>
    <row r="811" spans="3:15" x14ac:dyDescent="0.3">
      <c r="C811" s="3">
        <v>43957</v>
      </c>
      <c r="D811" s="11">
        <v>2611</v>
      </c>
      <c r="G811" s="16" t="s">
        <v>792</v>
      </c>
      <c r="H811" s="16"/>
      <c r="I811" s="57"/>
      <c r="J811" t="s">
        <v>1217</v>
      </c>
      <c r="L811" s="15">
        <v>778761265169</v>
      </c>
      <c r="M811" s="15">
        <v>7209223291</v>
      </c>
      <c r="N811" s="15"/>
      <c r="O811" s="3">
        <v>44019</v>
      </c>
    </row>
    <row r="812" spans="3:15" x14ac:dyDescent="0.3">
      <c r="C812" s="3">
        <v>43957</v>
      </c>
      <c r="D812" s="11">
        <v>2613</v>
      </c>
      <c r="G812" s="16" t="s">
        <v>262</v>
      </c>
      <c r="H812" s="16"/>
      <c r="I812" s="57"/>
      <c r="J812" t="s">
        <v>1154</v>
      </c>
      <c r="K812" s="4">
        <v>100</v>
      </c>
      <c r="L812" s="15">
        <v>873284125649</v>
      </c>
      <c r="M812" s="15">
        <v>7367834464</v>
      </c>
      <c r="N812" s="15"/>
    </row>
    <row r="813" spans="3:15" x14ac:dyDescent="0.3">
      <c r="C813" s="3">
        <v>43957</v>
      </c>
      <c r="D813" s="11">
        <v>2615</v>
      </c>
      <c r="G813" s="18" t="s">
        <v>793</v>
      </c>
      <c r="H813" s="18"/>
      <c r="I813" s="58"/>
      <c r="J813"/>
      <c r="K813" s="4">
        <v>100</v>
      </c>
      <c r="L813" s="15">
        <v>485357524397</v>
      </c>
      <c r="M813" s="15">
        <v>7209529878</v>
      </c>
      <c r="N813" s="15"/>
    </row>
    <row r="814" spans="3:15" x14ac:dyDescent="0.3">
      <c r="C814" s="3">
        <v>43957</v>
      </c>
      <c r="D814" s="11">
        <v>2616</v>
      </c>
      <c r="G814" s="16" t="s">
        <v>794</v>
      </c>
      <c r="H814" s="16"/>
      <c r="I814" s="57"/>
      <c r="J814"/>
      <c r="L814" s="15">
        <v>769133284029</v>
      </c>
      <c r="M814" s="15">
        <v>8092248694</v>
      </c>
      <c r="N814" s="15"/>
    </row>
    <row r="815" spans="3:15" x14ac:dyDescent="0.3">
      <c r="C815" s="3">
        <v>43957</v>
      </c>
      <c r="D815" s="11">
        <v>2619</v>
      </c>
      <c r="G815" s="16" t="s">
        <v>795</v>
      </c>
      <c r="H815" s="16"/>
      <c r="I815" s="57"/>
      <c r="J815"/>
      <c r="L815" s="15">
        <v>595569163540</v>
      </c>
      <c r="M815" s="15">
        <v>7261032383</v>
      </c>
      <c r="N815" s="15"/>
    </row>
    <row r="816" spans="3:15" x14ac:dyDescent="0.3">
      <c r="C816" s="3">
        <v>43957</v>
      </c>
      <c r="D816" s="11">
        <v>2623</v>
      </c>
      <c r="G816" s="16" t="s">
        <v>796</v>
      </c>
      <c r="H816" s="16"/>
      <c r="I816" s="57"/>
      <c r="J816"/>
      <c r="L816" s="15">
        <v>9158430568492390</v>
      </c>
      <c r="M816" s="15">
        <v>9708798359</v>
      </c>
      <c r="N816" s="15"/>
    </row>
    <row r="817" spans="3:14" x14ac:dyDescent="0.3">
      <c r="C817" s="3">
        <v>43957</v>
      </c>
      <c r="D817" s="11">
        <v>2626</v>
      </c>
      <c r="G817" s="16" t="s">
        <v>797</v>
      </c>
      <c r="H817" s="16"/>
      <c r="I817" s="57"/>
      <c r="J817"/>
      <c r="L817" s="15">
        <v>227035989187</v>
      </c>
      <c r="M817" s="15">
        <v>7634095920</v>
      </c>
      <c r="N817" s="15"/>
    </row>
    <row r="818" spans="3:14" x14ac:dyDescent="0.3">
      <c r="C818" s="3">
        <v>43957</v>
      </c>
      <c r="D818" s="11">
        <v>2629</v>
      </c>
      <c r="G818" s="18" t="s">
        <v>798</v>
      </c>
      <c r="H818" s="18"/>
      <c r="I818" s="58"/>
      <c r="J818" t="s">
        <v>1158</v>
      </c>
      <c r="K818" s="4">
        <v>200</v>
      </c>
      <c r="L818" s="15">
        <v>226171506412</v>
      </c>
      <c r="M818" s="15">
        <v>9264215623</v>
      </c>
      <c r="N818" s="15"/>
    </row>
    <row r="819" spans="3:14" x14ac:dyDescent="0.3">
      <c r="C819" s="3">
        <v>43957</v>
      </c>
      <c r="D819" s="11">
        <v>2631</v>
      </c>
      <c r="G819" s="16" t="s">
        <v>234</v>
      </c>
      <c r="H819" s="16"/>
      <c r="I819" s="57"/>
      <c r="J819" t="s">
        <v>1158</v>
      </c>
      <c r="K819" s="4">
        <v>100</v>
      </c>
      <c r="L819" s="15">
        <v>830252116455</v>
      </c>
      <c r="M819" s="15">
        <v>8271281584</v>
      </c>
      <c r="N819" s="15"/>
    </row>
    <row r="820" spans="3:14" x14ac:dyDescent="0.3">
      <c r="C820" s="3">
        <v>43957</v>
      </c>
      <c r="D820" s="11">
        <v>2633</v>
      </c>
      <c r="G820" s="16" t="s">
        <v>592</v>
      </c>
      <c r="H820" s="16"/>
      <c r="I820" s="57"/>
      <c r="J820"/>
      <c r="L820" s="15">
        <v>950169670409</v>
      </c>
      <c r="M820" s="15">
        <v>9835114081</v>
      </c>
      <c r="N820" s="15"/>
    </row>
    <row r="821" spans="3:14" x14ac:dyDescent="0.3">
      <c r="C821" s="3">
        <v>43957</v>
      </c>
      <c r="D821" s="11">
        <v>2635</v>
      </c>
      <c r="G821" s="16" t="s">
        <v>799</v>
      </c>
      <c r="H821" s="16"/>
      <c r="I821" s="57"/>
      <c r="J821"/>
      <c r="L821" s="15">
        <v>266876610508</v>
      </c>
      <c r="M821" s="15">
        <v>9934816247</v>
      </c>
      <c r="N821" s="15"/>
    </row>
    <row r="822" spans="3:14" x14ac:dyDescent="0.3">
      <c r="C822" s="3">
        <v>43957</v>
      </c>
      <c r="D822" s="11">
        <v>2638</v>
      </c>
      <c r="G822" s="16" t="s">
        <v>800</v>
      </c>
      <c r="H822" s="16"/>
      <c r="I822" s="57"/>
      <c r="J822"/>
      <c r="L822" s="15">
        <v>688894838532</v>
      </c>
      <c r="M822" s="15">
        <v>8092134677</v>
      </c>
      <c r="N822" s="15"/>
    </row>
    <row r="823" spans="3:14" x14ac:dyDescent="0.3">
      <c r="C823" s="3">
        <v>43957</v>
      </c>
      <c r="D823" s="11">
        <v>2639</v>
      </c>
      <c r="G823" s="16" t="s">
        <v>801</v>
      </c>
      <c r="H823" s="16"/>
      <c r="I823" s="57"/>
      <c r="J823"/>
      <c r="L823" s="15">
        <v>605206916941</v>
      </c>
      <c r="M823" s="15">
        <v>6202162445</v>
      </c>
      <c r="N823" s="15"/>
    </row>
    <row r="824" spans="3:14" x14ac:dyDescent="0.3">
      <c r="C824" s="3">
        <v>43958</v>
      </c>
      <c r="D824" s="11">
        <v>2667</v>
      </c>
      <c r="G824" s="16" t="s">
        <v>802</v>
      </c>
      <c r="H824" s="16"/>
      <c r="I824" s="57"/>
      <c r="J824"/>
      <c r="L824" s="15">
        <v>605206916941</v>
      </c>
      <c r="M824" s="15">
        <v>9939308932</v>
      </c>
      <c r="N824" s="15"/>
    </row>
    <row r="825" spans="3:14" x14ac:dyDescent="0.3">
      <c r="C825" s="3">
        <v>43958</v>
      </c>
      <c r="D825" s="11">
        <v>2668</v>
      </c>
      <c r="G825" s="16" t="s">
        <v>803</v>
      </c>
      <c r="H825" s="16"/>
      <c r="I825" s="57">
        <v>37489</v>
      </c>
      <c r="J825" t="s">
        <v>1184</v>
      </c>
      <c r="K825" s="4">
        <v>100</v>
      </c>
      <c r="L825" s="15">
        <v>636390883709</v>
      </c>
      <c r="M825" s="15">
        <v>9304833942</v>
      </c>
      <c r="N825" s="15"/>
    </row>
    <row r="826" spans="3:14" x14ac:dyDescent="0.3">
      <c r="C826" s="3">
        <v>43958</v>
      </c>
      <c r="D826" s="11">
        <v>2670</v>
      </c>
      <c r="G826" s="16" t="s">
        <v>804</v>
      </c>
      <c r="H826" s="16"/>
      <c r="I826" s="57"/>
      <c r="J826"/>
      <c r="L826" s="15">
        <v>318979634040</v>
      </c>
      <c r="M826" s="15">
        <v>8789040233</v>
      </c>
      <c r="N826" s="15"/>
    </row>
    <row r="827" spans="3:14" x14ac:dyDescent="0.3">
      <c r="C827" s="3">
        <v>43958</v>
      </c>
      <c r="D827" s="11">
        <v>2672</v>
      </c>
      <c r="G827" s="16" t="s">
        <v>805</v>
      </c>
      <c r="H827" s="16"/>
      <c r="I827" s="57"/>
      <c r="J827"/>
      <c r="L827" s="15">
        <v>364828381169</v>
      </c>
      <c r="M827" s="15">
        <v>8051163115</v>
      </c>
      <c r="N827" s="15"/>
    </row>
    <row r="828" spans="3:14" x14ac:dyDescent="0.3">
      <c r="C828" s="3">
        <v>43958</v>
      </c>
      <c r="D828" s="11">
        <v>2676</v>
      </c>
      <c r="G828" s="16" t="s">
        <v>806</v>
      </c>
      <c r="H828" s="16"/>
      <c r="I828" s="57"/>
      <c r="J828"/>
      <c r="L828" s="15">
        <v>691403880423</v>
      </c>
      <c r="M828" s="15">
        <v>8581085885</v>
      </c>
      <c r="N828" s="15"/>
    </row>
    <row r="829" spans="3:14" x14ac:dyDescent="0.3">
      <c r="C829" s="3">
        <v>43958</v>
      </c>
      <c r="D829" s="11">
        <v>2678</v>
      </c>
      <c r="G829" s="16" t="s">
        <v>807</v>
      </c>
      <c r="H829" s="16"/>
      <c r="I829" s="57"/>
      <c r="J829"/>
      <c r="L829" s="15">
        <v>286137355940</v>
      </c>
      <c r="M829" s="15">
        <v>7209518515</v>
      </c>
      <c r="N829" s="15"/>
    </row>
    <row r="830" spans="3:14" x14ac:dyDescent="0.3">
      <c r="C830" s="3">
        <v>43958</v>
      </c>
      <c r="D830" s="11">
        <v>2679</v>
      </c>
      <c r="G830" s="16" t="s">
        <v>808</v>
      </c>
      <c r="H830" s="16"/>
      <c r="I830" s="57"/>
      <c r="J830"/>
      <c r="L830" s="15">
        <v>967383443810</v>
      </c>
      <c r="M830" s="15">
        <v>9798003753</v>
      </c>
      <c r="N830" s="15"/>
    </row>
    <row r="831" spans="3:14" x14ac:dyDescent="0.3">
      <c r="C831" s="3">
        <v>43958</v>
      </c>
      <c r="D831" s="11">
        <v>2680</v>
      </c>
      <c r="G831" s="16" t="s">
        <v>809</v>
      </c>
      <c r="H831" s="16"/>
      <c r="I831" s="57"/>
      <c r="J831"/>
      <c r="K831" s="4">
        <v>500</v>
      </c>
      <c r="L831" s="15">
        <v>995063872185</v>
      </c>
      <c r="M831" s="15">
        <v>9065618001</v>
      </c>
      <c r="N831" s="15"/>
    </row>
    <row r="832" spans="3:14" x14ac:dyDescent="0.3">
      <c r="C832" s="3">
        <v>43958</v>
      </c>
      <c r="D832" s="11">
        <v>2682</v>
      </c>
      <c r="G832" s="16" t="s">
        <v>161</v>
      </c>
      <c r="H832" s="16"/>
      <c r="I832" s="57"/>
      <c r="J832"/>
      <c r="L832" s="15">
        <v>407171906296</v>
      </c>
      <c r="M832" s="15">
        <v>6202410861</v>
      </c>
      <c r="N832" s="15"/>
    </row>
    <row r="833" spans="3:14" x14ac:dyDescent="0.3">
      <c r="C833" s="3">
        <v>43958</v>
      </c>
      <c r="D833" s="11">
        <v>2683</v>
      </c>
      <c r="G833" s="16" t="s">
        <v>810</v>
      </c>
      <c r="H833" s="16"/>
      <c r="I833" s="57"/>
      <c r="J833"/>
      <c r="L833" s="15">
        <v>582847085763</v>
      </c>
      <c r="M833" s="15">
        <v>7322890927</v>
      </c>
      <c r="N833" s="15"/>
    </row>
    <row r="834" spans="3:14" x14ac:dyDescent="0.3">
      <c r="C834" s="3">
        <v>43958</v>
      </c>
      <c r="D834" s="11">
        <v>2685</v>
      </c>
      <c r="G834" s="16" t="s">
        <v>811</v>
      </c>
      <c r="H834" s="16"/>
      <c r="I834" s="57"/>
      <c r="J834"/>
      <c r="L834" s="15">
        <v>263085626300</v>
      </c>
      <c r="M834" s="15">
        <v>7209935043</v>
      </c>
      <c r="N834" s="15"/>
    </row>
    <row r="835" spans="3:14" x14ac:dyDescent="0.3">
      <c r="C835" s="3">
        <v>43958</v>
      </c>
      <c r="D835" s="11">
        <v>2687</v>
      </c>
      <c r="G835" s="16" t="s">
        <v>1546</v>
      </c>
      <c r="H835" s="16"/>
      <c r="I835" s="57"/>
      <c r="J835"/>
      <c r="L835" s="15">
        <v>731422360506</v>
      </c>
      <c r="M835" s="15">
        <v>6201851477</v>
      </c>
      <c r="N835" s="15"/>
    </row>
    <row r="836" spans="3:14" x14ac:dyDescent="0.3">
      <c r="C836" s="3">
        <v>43958</v>
      </c>
      <c r="D836" s="11">
        <v>2688</v>
      </c>
      <c r="G836" s="16" t="s">
        <v>812</v>
      </c>
      <c r="H836" s="16"/>
      <c r="I836" s="57"/>
      <c r="J836"/>
      <c r="K836" s="4">
        <v>100</v>
      </c>
      <c r="L836" s="15">
        <v>560139522310</v>
      </c>
      <c r="M836" s="15">
        <v>8404802743</v>
      </c>
      <c r="N836" s="15"/>
    </row>
    <row r="837" spans="3:14" x14ac:dyDescent="0.3">
      <c r="C837" s="3">
        <v>43958</v>
      </c>
      <c r="D837" s="11">
        <v>2697</v>
      </c>
      <c r="G837" s="16" t="s">
        <v>813</v>
      </c>
      <c r="H837" s="16"/>
      <c r="I837" s="57"/>
      <c r="J837" t="s">
        <v>1154</v>
      </c>
      <c r="K837" s="4">
        <v>100</v>
      </c>
      <c r="L837" s="15">
        <v>354987908210</v>
      </c>
      <c r="M837" s="15">
        <v>8092307232</v>
      </c>
      <c r="N837" s="15"/>
    </row>
    <row r="838" spans="3:14" x14ac:dyDescent="0.3">
      <c r="C838" s="3">
        <v>43958</v>
      </c>
      <c r="D838" s="11">
        <v>2699</v>
      </c>
      <c r="G838" s="16" t="s">
        <v>814</v>
      </c>
      <c r="H838" s="16"/>
      <c r="I838" s="57"/>
      <c r="J838"/>
      <c r="L838" s="15">
        <v>332296867890</v>
      </c>
      <c r="M838" s="15">
        <v>9471723502</v>
      </c>
      <c r="N838" s="15"/>
    </row>
    <row r="839" spans="3:14" x14ac:dyDescent="0.3">
      <c r="C839" s="3">
        <v>43958</v>
      </c>
      <c r="D839" s="11">
        <v>2700</v>
      </c>
      <c r="G839" s="18" t="s">
        <v>815</v>
      </c>
      <c r="H839" s="18"/>
      <c r="I839" s="58"/>
      <c r="J839" t="s">
        <v>1154</v>
      </c>
      <c r="K839" s="4">
        <v>100</v>
      </c>
      <c r="L839" s="15">
        <v>488917599031</v>
      </c>
      <c r="M839" s="15">
        <v>9798245782</v>
      </c>
      <c r="N839" s="15"/>
    </row>
    <row r="840" spans="3:14" x14ac:dyDescent="0.3">
      <c r="C840" s="3">
        <v>43958</v>
      </c>
      <c r="D840" s="11">
        <v>2701</v>
      </c>
      <c r="G840" s="16" t="s">
        <v>816</v>
      </c>
      <c r="H840" s="16"/>
      <c r="I840" s="57"/>
      <c r="J840"/>
      <c r="L840" s="15">
        <v>317601993177</v>
      </c>
      <c r="M840" s="15">
        <v>9031989535</v>
      </c>
      <c r="N840" s="15"/>
    </row>
    <row r="841" spans="3:14" x14ac:dyDescent="0.3">
      <c r="C841" s="3">
        <v>43958</v>
      </c>
      <c r="D841" s="11">
        <v>2702</v>
      </c>
      <c r="G841" s="16" t="s">
        <v>817</v>
      </c>
      <c r="H841" s="16"/>
      <c r="I841" s="57"/>
      <c r="J841"/>
      <c r="L841" s="15">
        <v>478421540080</v>
      </c>
      <c r="M841" s="15">
        <v>7979932205</v>
      </c>
      <c r="N841" s="15"/>
    </row>
    <row r="842" spans="3:14" x14ac:dyDescent="0.3">
      <c r="C842" s="3">
        <v>43958</v>
      </c>
      <c r="D842" s="11">
        <v>2704</v>
      </c>
      <c r="G842" s="16" t="s">
        <v>818</v>
      </c>
      <c r="H842" s="16"/>
      <c r="I842" s="57"/>
      <c r="J842" t="s">
        <v>1159</v>
      </c>
      <c r="K842" s="4">
        <v>200</v>
      </c>
      <c r="L842" s="15"/>
      <c r="M842" s="15">
        <v>8340731235</v>
      </c>
      <c r="N842" s="15"/>
    </row>
    <row r="843" spans="3:14" x14ac:dyDescent="0.3">
      <c r="C843" s="3">
        <v>43958</v>
      </c>
      <c r="D843" s="11">
        <v>2706</v>
      </c>
      <c r="G843" s="16" t="s">
        <v>819</v>
      </c>
      <c r="H843" s="16"/>
      <c r="I843" s="57"/>
      <c r="J843"/>
      <c r="L843" s="15">
        <v>609683332327</v>
      </c>
      <c r="M843" s="15">
        <v>7070361262</v>
      </c>
      <c r="N843" s="15"/>
    </row>
    <row r="844" spans="3:14" x14ac:dyDescent="0.3">
      <c r="C844" s="3">
        <v>43958</v>
      </c>
      <c r="D844" s="11">
        <v>2707</v>
      </c>
      <c r="G844" s="16" t="s">
        <v>820</v>
      </c>
      <c r="H844" s="16"/>
      <c r="I844" s="57"/>
      <c r="L844" s="15">
        <v>280266798675</v>
      </c>
      <c r="M844" s="15">
        <v>7764837251</v>
      </c>
      <c r="N844" s="15"/>
    </row>
    <row r="845" spans="3:14" x14ac:dyDescent="0.3">
      <c r="C845" s="3">
        <v>43958</v>
      </c>
      <c r="D845" s="11">
        <v>2708</v>
      </c>
      <c r="G845" s="16" t="s">
        <v>821</v>
      </c>
      <c r="H845" s="16"/>
      <c r="I845" s="57"/>
      <c r="J845"/>
      <c r="L845" s="15">
        <v>244677337301</v>
      </c>
      <c r="M845" s="15">
        <v>9334387302</v>
      </c>
      <c r="N845" s="15"/>
    </row>
    <row r="846" spans="3:14" x14ac:dyDescent="0.3">
      <c r="C846" s="3">
        <v>43958</v>
      </c>
      <c r="D846" s="11">
        <v>2710</v>
      </c>
      <c r="G846" s="16" t="s">
        <v>822</v>
      </c>
      <c r="H846" s="16"/>
      <c r="I846" s="57"/>
      <c r="J846" t="s">
        <v>1154</v>
      </c>
      <c r="K846" s="4">
        <v>100</v>
      </c>
      <c r="L846" s="15">
        <v>669517487913</v>
      </c>
      <c r="M846" s="15">
        <v>9263717055</v>
      </c>
      <c r="N846" s="15"/>
    </row>
    <row r="847" spans="3:14" x14ac:dyDescent="0.3">
      <c r="C847" s="3">
        <v>43959</v>
      </c>
      <c r="D847" s="11">
        <v>2730</v>
      </c>
      <c r="G847" s="16" t="s">
        <v>823</v>
      </c>
      <c r="H847" s="16"/>
      <c r="I847" s="57"/>
      <c r="J847"/>
      <c r="L847" s="15">
        <v>269704007146</v>
      </c>
      <c r="M847" s="15">
        <v>7209631762</v>
      </c>
      <c r="N847" s="15"/>
    </row>
    <row r="848" spans="3:14" x14ac:dyDescent="0.3">
      <c r="C848" s="3">
        <v>43959</v>
      </c>
      <c r="D848" s="11">
        <v>2732</v>
      </c>
      <c r="G848" s="16" t="s">
        <v>824</v>
      </c>
      <c r="H848" s="16"/>
      <c r="I848" s="57"/>
      <c r="J848"/>
      <c r="L848" s="15">
        <v>846493840865</v>
      </c>
      <c r="M848" s="15">
        <v>912322756</v>
      </c>
      <c r="N848" s="15"/>
    </row>
    <row r="849" spans="3:16" x14ac:dyDescent="0.3">
      <c r="C849" s="3">
        <v>43959</v>
      </c>
      <c r="D849" s="11">
        <v>2733</v>
      </c>
      <c r="G849" s="16" t="s">
        <v>825</v>
      </c>
      <c r="H849" s="16"/>
      <c r="I849" s="57"/>
      <c r="J849"/>
      <c r="L849" s="15">
        <v>332272382128</v>
      </c>
      <c r="M849" s="15">
        <v>8051065482</v>
      </c>
      <c r="N849" s="15"/>
    </row>
    <row r="850" spans="3:16" x14ac:dyDescent="0.3">
      <c r="C850" s="3">
        <v>43959</v>
      </c>
      <c r="D850" s="11">
        <v>2735</v>
      </c>
      <c r="G850" s="16" t="s">
        <v>826</v>
      </c>
      <c r="H850" s="16"/>
      <c r="I850" s="57"/>
      <c r="J850"/>
      <c r="L850" s="15">
        <v>228478595477</v>
      </c>
      <c r="M850" s="15">
        <v>7209580343</v>
      </c>
      <c r="N850" s="15"/>
    </row>
    <row r="851" spans="3:16" x14ac:dyDescent="0.3">
      <c r="C851" s="3">
        <v>43959</v>
      </c>
      <c r="D851" s="11">
        <v>2741</v>
      </c>
      <c r="G851" s="16" t="s">
        <v>827</v>
      </c>
      <c r="H851" s="16"/>
      <c r="I851" s="57"/>
      <c r="J851" t="s">
        <v>1216</v>
      </c>
      <c r="L851" s="15">
        <v>941302168430</v>
      </c>
      <c r="M851" s="15">
        <v>6200880582</v>
      </c>
      <c r="N851" s="15"/>
      <c r="O851" s="3">
        <v>44019</v>
      </c>
    </row>
    <row r="852" spans="3:16" x14ac:dyDescent="0.3">
      <c r="C852" s="3">
        <v>43959</v>
      </c>
      <c r="D852" s="11">
        <v>2743</v>
      </c>
      <c r="G852" s="16" t="s">
        <v>828</v>
      </c>
      <c r="H852" s="16"/>
      <c r="I852" s="57"/>
      <c r="J852"/>
      <c r="L852" s="15">
        <v>725737604516</v>
      </c>
      <c r="M852" s="15">
        <v>8083815940</v>
      </c>
      <c r="N852" s="15"/>
    </row>
    <row r="853" spans="3:16" x14ac:dyDescent="0.3">
      <c r="C853" s="3">
        <v>43959</v>
      </c>
      <c r="D853" s="11">
        <v>2744</v>
      </c>
      <c r="G853" s="16" t="s">
        <v>829</v>
      </c>
      <c r="H853" s="16"/>
      <c r="I853" s="57"/>
      <c r="J853"/>
      <c r="L853" s="15">
        <v>344268400345</v>
      </c>
      <c r="M853" s="15">
        <v>9835270480</v>
      </c>
      <c r="N853" s="15"/>
    </row>
    <row r="854" spans="3:16" x14ac:dyDescent="0.3">
      <c r="C854" s="3">
        <v>43959</v>
      </c>
      <c r="D854" s="11">
        <v>2747</v>
      </c>
      <c r="G854" s="16" t="s">
        <v>830</v>
      </c>
      <c r="H854" s="16"/>
      <c r="I854" s="57"/>
      <c r="J854"/>
      <c r="L854" s="15">
        <v>590809167332</v>
      </c>
      <c r="M854" s="15">
        <v>7301497220</v>
      </c>
      <c r="N854" s="15"/>
    </row>
    <row r="855" spans="3:16" x14ac:dyDescent="0.3">
      <c r="C855" s="3">
        <v>43959</v>
      </c>
      <c r="D855" s="11">
        <v>2749</v>
      </c>
      <c r="G855" s="16" t="s">
        <v>831</v>
      </c>
      <c r="H855" s="16"/>
      <c r="I855" s="57"/>
      <c r="J855"/>
      <c r="L855" s="15">
        <v>253064835595</v>
      </c>
      <c r="M855" s="15">
        <v>9204296370</v>
      </c>
      <c r="N855" s="15"/>
      <c r="O855" s="3">
        <v>44013</v>
      </c>
      <c r="P855" s="3">
        <v>44013</v>
      </c>
    </row>
    <row r="856" spans="3:16" x14ac:dyDescent="0.3">
      <c r="C856" s="3">
        <v>43959</v>
      </c>
      <c r="D856" s="11">
        <v>2750</v>
      </c>
      <c r="G856" s="16" t="s">
        <v>832</v>
      </c>
      <c r="H856" s="16"/>
      <c r="I856" s="57"/>
      <c r="J856"/>
      <c r="L856" s="15">
        <v>976276214984</v>
      </c>
      <c r="M856" s="15">
        <v>8084132474</v>
      </c>
      <c r="N856" s="15"/>
    </row>
    <row r="857" spans="3:16" x14ac:dyDescent="0.3">
      <c r="C857" s="3">
        <v>43959</v>
      </c>
      <c r="D857" s="11">
        <v>2751</v>
      </c>
      <c r="G857" s="16" t="s">
        <v>833</v>
      </c>
      <c r="H857" s="16"/>
      <c r="I857" s="57"/>
      <c r="J857"/>
      <c r="L857" s="15">
        <v>802227488809</v>
      </c>
      <c r="M857" s="15">
        <v>8797429194</v>
      </c>
      <c r="N857" s="15"/>
    </row>
    <row r="858" spans="3:16" x14ac:dyDescent="0.3">
      <c r="C858" s="3">
        <v>43959</v>
      </c>
      <c r="D858" s="11">
        <v>2752</v>
      </c>
      <c r="G858" s="16" t="s">
        <v>834</v>
      </c>
      <c r="H858" s="16"/>
      <c r="I858" s="57"/>
      <c r="J858"/>
      <c r="L858" s="15">
        <v>474756777571</v>
      </c>
      <c r="M858" s="15">
        <v>9956906711</v>
      </c>
      <c r="N858" s="15"/>
    </row>
    <row r="859" spans="3:16" x14ac:dyDescent="0.3">
      <c r="C859" s="3">
        <v>43959</v>
      </c>
      <c r="D859" s="11">
        <v>2754</v>
      </c>
      <c r="G859" s="16" t="s">
        <v>410</v>
      </c>
      <c r="H859" s="16"/>
      <c r="I859" s="57"/>
      <c r="J859"/>
      <c r="L859" s="15">
        <v>748196753461</v>
      </c>
      <c r="M859" s="15">
        <v>6203093586</v>
      </c>
      <c r="N859" s="15"/>
    </row>
    <row r="860" spans="3:16" x14ac:dyDescent="0.3">
      <c r="C860" s="3">
        <v>43959</v>
      </c>
      <c r="D860" s="11">
        <v>2755</v>
      </c>
      <c r="G860" s="16" t="s">
        <v>835</v>
      </c>
      <c r="H860" s="16"/>
      <c r="I860" s="57"/>
      <c r="J860"/>
      <c r="L860" s="15">
        <v>582109377505</v>
      </c>
      <c r="M860" s="15">
        <v>9801051484</v>
      </c>
      <c r="N860" s="15"/>
    </row>
    <row r="861" spans="3:16" x14ac:dyDescent="0.3">
      <c r="C861" s="3">
        <v>43959</v>
      </c>
      <c r="D861" s="11">
        <v>2756</v>
      </c>
      <c r="G861" s="16" t="s">
        <v>836</v>
      </c>
      <c r="H861" s="16"/>
      <c r="I861" s="57"/>
      <c r="J861"/>
      <c r="L861" s="15">
        <v>679682169635</v>
      </c>
      <c r="M861" s="15">
        <v>7352610994</v>
      </c>
      <c r="N861" s="15"/>
    </row>
    <row r="862" spans="3:16" x14ac:dyDescent="0.3">
      <c r="C862" s="3">
        <v>43959</v>
      </c>
      <c r="D862" s="11">
        <v>2757</v>
      </c>
      <c r="G862" s="16" t="s">
        <v>837</v>
      </c>
      <c r="H862" s="16"/>
      <c r="I862" s="57"/>
      <c r="J862"/>
      <c r="L862" s="15">
        <v>640800131012</v>
      </c>
      <c r="M862" s="15">
        <v>9708566120</v>
      </c>
      <c r="N862" s="15"/>
    </row>
    <row r="863" spans="3:16" x14ac:dyDescent="0.3">
      <c r="C863" s="3">
        <v>43959</v>
      </c>
      <c r="D863" s="11">
        <v>2760</v>
      </c>
      <c r="G863" s="16" t="s">
        <v>683</v>
      </c>
      <c r="H863" s="16"/>
      <c r="I863" s="57"/>
      <c r="J863"/>
      <c r="L863" s="15">
        <v>628186755111</v>
      </c>
      <c r="M863" s="15">
        <v>8340320263</v>
      </c>
      <c r="N863" s="15"/>
    </row>
    <row r="864" spans="3:16" x14ac:dyDescent="0.3">
      <c r="C864" s="3">
        <v>43959</v>
      </c>
      <c r="D864" s="11">
        <v>2763</v>
      </c>
      <c r="G864" s="16" t="s">
        <v>838</v>
      </c>
      <c r="H864" s="16"/>
      <c r="I864" s="57"/>
      <c r="J864"/>
      <c r="L864" s="15">
        <v>489239007007</v>
      </c>
      <c r="M864" s="15">
        <v>8210698773</v>
      </c>
      <c r="N864" s="15"/>
      <c r="O864" s="3">
        <v>44035</v>
      </c>
    </row>
    <row r="865" spans="1:18" x14ac:dyDescent="0.3">
      <c r="A865" t="s">
        <v>6703</v>
      </c>
      <c r="C865" s="3">
        <v>43959</v>
      </c>
      <c r="D865" s="11">
        <v>2765</v>
      </c>
      <c r="G865" s="16" t="s">
        <v>839</v>
      </c>
      <c r="H865" s="16"/>
      <c r="I865" s="57"/>
      <c r="J865" t="s">
        <v>1164</v>
      </c>
      <c r="K865" s="4">
        <v>200</v>
      </c>
      <c r="L865" s="15">
        <v>233977269708</v>
      </c>
      <c r="M865" s="15">
        <v>8873507716</v>
      </c>
      <c r="N865" s="15"/>
      <c r="R865" s="4" t="s">
        <v>15</v>
      </c>
    </row>
    <row r="866" spans="1:18" x14ac:dyDescent="0.3">
      <c r="C866" s="3">
        <v>43959</v>
      </c>
      <c r="D866" s="11">
        <v>2767</v>
      </c>
      <c r="G866" s="16" t="s">
        <v>840</v>
      </c>
      <c r="H866" s="16"/>
      <c r="I866" s="57"/>
      <c r="J866"/>
      <c r="L866" s="15">
        <v>729828568132</v>
      </c>
      <c r="M866" s="15">
        <v>7250096678</v>
      </c>
      <c r="N866" s="15"/>
    </row>
    <row r="867" spans="1:18" x14ac:dyDescent="0.3">
      <c r="C867" s="3">
        <v>43959</v>
      </c>
      <c r="D867" s="11">
        <v>2768</v>
      </c>
      <c r="G867" s="16" t="s">
        <v>841</v>
      </c>
      <c r="H867" s="16"/>
      <c r="I867" s="57"/>
      <c r="J867"/>
      <c r="L867" s="15">
        <v>555826621855</v>
      </c>
      <c r="M867" s="15">
        <v>8797949263</v>
      </c>
      <c r="N867" s="15"/>
    </row>
    <row r="868" spans="1:18" x14ac:dyDescent="0.3">
      <c r="C868" s="3">
        <v>43959</v>
      </c>
      <c r="D868" s="11">
        <v>2770</v>
      </c>
      <c r="G868" s="16" t="s">
        <v>142</v>
      </c>
      <c r="H868" s="16"/>
      <c r="I868" s="57"/>
      <c r="J868" t="s">
        <v>1145</v>
      </c>
      <c r="L868" s="15">
        <v>683672388278</v>
      </c>
      <c r="M868" s="15">
        <v>9279203928</v>
      </c>
      <c r="N868" s="15"/>
    </row>
    <row r="869" spans="1:18" x14ac:dyDescent="0.3">
      <c r="C869" s="3">
        <v>43959</v>
      </c>
      <c r="D869" s="11">
        <v>2772</v>
      </c>
      <c r="G869" s="16" t="s">
        <v>194</v>
      </c>
      <c r="H869" s="16"/>
      <c r="I869" s="57"/>
      <c r="J869"/>
      <c r="L869" s="15">
        <v>575146190372</v>
      </c>
      <c r="M869" s="15">
        <v>9262625825</v>
      </c>
      <c r="N869" s="15"/>
    </row>
    <row r="870" spans="1:18" x14ac:dyDescent="0.3">
      <c r="C870" s="3">
        <v>43959</v>
      </c>
      <c r="D870" s="11">
        <v>2773</v>
      </c>
      <c r="G870" s="16" t="s">
        <v>842</v>
      </c>
      <c r="H870" s="16"/>
      <c r="I870" s="57"/>
      <c r="J870"/>
      <c r="L870" s="15">
        <v>787223177616</v>
      </c>
      <c r="M870" s="15">
        <v>8092538722</v>
      </c>
      <c r="N870" s="15"/>
    </row>
    <row r="871" spans="1:18" x14ac:dyDescent="0.3">
      <c r="C871" s="3">
        <v>43959</v>
      </c>
      <c r="D871" s="11">
        <v>2775</v>
      </c>
      <c r="G871" s="16" t="s">
        <v>843</v>
      </c>
      <c r="H871" s="16"/>
      <c r="I871" s="57"/>
      <c r="J871"/>
      <c r="L871" s="15">
        <v>396881959965</v>
      </c>
      <c r="M871" s="15">
        <v>8092404853</v>
      </c>
      <c r="N871" s="15"/>
    </row>
    <row r="872" spans="1:18" x14ac:dyDescent="0.3">
      <c r="C872" s="3">
        <v>43959</v>
      </c>
      <c r="D872" s="11">
        <v>2776</v>
      </c>
      <c r="G872" s="16" t="s">
        <v>844</v>
      </c>
      <c r="H872" s="16"/>
      <c r="I872" s="57"/>
      <c r="J872" t="s">
        <v>1161</v>
      </c>
      <c r="K872" s="4">
        <v>100</v>
      </c>
      <c r="L872" s="15">
        <v>868033621071</v>
      </c>
      <c r="M872" s="15">
        <v>7033466043</v>
      </c>
      <c r="N872" s="15"/>
    </row>
    <row r="873" spans="1:18" x14ac:dyDescent="0.3">
      <c r="C873" s="3">
        <v>43959</v>
      </c>
      <c r="D873" s="11">
        <v>2778</v>
      </c>
      <c r="G873" s="16" t="s">
        <v>557</v>
      </c>
      <c r="H873" s="16"/>
      <c r="I873" s="57"/>
      <c r="J873"/>
      <c r="L873" s="15">
        <v>267832677804</v>
      </c>
      <c r="M873" s="15">
        <v>9631071394</v>
      </c>
      <c r="N873" s="15"/>
    </row>
    <row r="874" spans="1:18" x14ac:dyDescent="0.3">
      <c r="C874" s="3">
        <v>43959</v>
      </c>
      <c r="D874" s="11">
        <v>2780</v>
      </c>
      <c r="G874" s="16" t="s">
        <v>845</v>
      </c>
      <c r="H874" s="16"/>
      <c r="I874" s="57"/>
      <c r="J874"/>
      <c r="L874" s="15">
        <v>527643873479</v>
      </c>
      <c r="M874" s="15">
        <v>7633966589</v>
      </c>
      <c r="N874" s="15"/>
    </row>
    <row r="875" spans="1:18" x14ac:dyDescent="0.3">
      <c r="C875" s="3">
        <v>43959</v>
      </c>
      <c r="D875" s="11">
        <v>2782</v>
      </c>
      <c r="G875" s="16" t="s">
        <v>846</v>
      </c>
      <c r="H875" s="16"/>
      <c r="I875" s="57"/>
      <c r="J875"/>
      <c r="L875" s="15">
        <v>698391837964</v>
      </c>
      <c r="M875" s="15">
        <v>6200454254</v>
      </c>
      <c r="N875" s="15"/>
    </row>
    <row r="876" spans="1:18" x14ac:dyDescent="0.3">
      <c r="C876" s="3">
        <v>43959</v>
      </c>
      <c r="D876" s="11">
        <v>2792</v>
      </c>
      <c r="G876" s="16" t="s">
        <v>847</v>
      </c>
      <c r="H876" s="16"/>
      <c r="I876" s="57"/>
      <c r="J876"/>
      <c r="L876" s="15">
        <v>974788572834</v>
      </c>
      <c r="M876" s="15">
        <v>9334115203</v>
      </c>
      <c r="N876" s="15"/>
    </row>
    <row r="877" spans="1:18" x14ac:dyDescent="0.3">
      <c r="C877" s="3">
        <v>43959</v>
      </c>
      <c r="D877" s="11">
        <v>2793</v>
      </c>
      <c r="G877" s="16" t="s">
        <v>848</v>
      </c>
      <c r="H877" s="16"/>
      <c r="I877" s="57"/>
      <c r="J877"/>
      <c r="L877" s="15">
        <v>539083771272</v>
      </c>
      <c r="M877" s="15">
        <v>6202846114</v>
      </c>
      <c r="N877" s="15"/>
    </row>
    <row r="878" spans="1:18" x14ac:dyDescent="0.3">
      <c r="C878" s="3">
        <v>43959</v>
      </c>
      <c r="D878" s="11">
        <v>2794</v>
      </c>
      <c r="G878" s="16" t="s">
        <v>849</v>
      </c>
      <c r="H878" s="16"/>
      <c r="I878" s="57"/>
      <c r="J878"/>
      <c r="L878" s="15">
        <v>560560733843</v>
      </c>
      <c r="M878" s="15">
        <v>6299058324</v>
      </c>
      <c r="N878" s="15"/>
    </row>
    <row r="879" spans="1:18" x14ac:dyDescent="0.3">
      <c r="C879" s="3">
        <v>43959</v>
      </c>
      <c r="D879" s="11">
        <v>2795</v>
      </c>
      <c r="G879" s="16" t="s">
        <v>850</v>
      </c>
      <c r="H879" s="16"/>
      <c r="I879" s="57"/>
      <c r="J879"/>
      <c r="L879" s="15">
        <v>666249385866</v>
      </c>
      <c r="M879" s="15">
        <v>9661706305</v>
      </c>
      <c r="N879" s="15"/>
    </row>
    <row r="880" spans="1:18" x14ac:dyDescent="0.3">
      <c r="C880" s="3">
        <v>43959</v>
      </c>
      <c r="D880" s="11">
        <v>2796</v>
      </c>
      <c r="G880" s="16" t="s">
        <v>851</v>
      </c>
      <c r="H880" s="16"/>
      <c r="I880" s="57"/>
      <c r="J880"/>
      <c r="L880" s="15">
        <v>211492044480</v>
      </c>
      <c r="M880" s="15">
        <v>7070138865</v>
      </c>
      <c r="N880" s="15"/>
    </row>
    <row r="881" spans="3:15" x14ac:dyDescent="0.3">
      <c r="C881" s="3">
        <v>43959</v>
      </c>
      <c r="D881" s="11">
        <v>2797</v>
      </c>
      <c r="G881" s="16" t="s">
        <v>852</v>
      </c>
      <c r="H881" s="16"/>
      <c r="I881" s="57"/>
      <c r="J881"/>
      <c r="L881" s="15">
        <v>630543146925</v>
      </c>
      <c r="M881" s="15">
        <v>7903135972</v>
      </c>
      <c r="N881" s="15"/>
    </row>
    <row r="882" spans="3:15" x14ac:dyDescent="0.3">
      <c r="C882" s="3">
        <v>43962</v>
      </c>
      <c r="D882" s="11">
        <v>2830</v>
      </c>
      <c r="G882" s="16" t="s">
        <v>853</v>
      </c>
      <c r="H882" s="16"/>
      <c r="I882" s="57"/>
      <c r="J882"/>
      <c r="L882" s="15">
        <v>869966505820</v>
      </c>
      <c r="M882" s="15">
        <v>9204883268</v>
      </c>
      <c r="N882" s="15"/>
    </row>
    <row r="883" spans="3:15" x14ac:dyDescent="0.3">
      <c r="C883" s="3">
        <v>43962</v>
      </c>
      <c r="D883" s="11">
        <v>2831</v>
      </c>
      <c r="G883" s="16" t="s">
        <v>854</v>
      </c>
      <c r="H883" s="16"/>
      <c r="I883" s="57"/>
      <c r="J883"/>
      <c r="L883" s="15">
        <v>743633428246</v>
      </c>
      <c r="M883" s="15">
        <v>9110189760</v>
      </c>
      <c r="N883" s="15"/>
    </row>
    <row r="884" spans="3:15" x14ac:dyDescent="0.3">
      <c r="C884" s="3">
        <v>43962</v>
      </c>
      <c r="D884" s="11">
        <v>2832</v>
      </c>
      <c r="G884" s="16" t="s">
        <v>855</v>
      </c>
      <c r="H884" s="16"/>
      <c r="I884" s="57"/>
      <c r="J884"/>
      <c r="L884" s="15">
        <v>396699275597</v>
      </c>
      <c r="M884" s="15">
        <v>6207041262</v>
      </c>
      <c r="N884" s="15"/>
    </row>
    <row r="885" spans="3:15" x14ac:dyDescent="0.3">
      <c r="C885" s="3">
        <v>43962</v>
      </c>
      <c r="D885" s="11">
        <v>2833</v>
      </c>
      <c r="G885" s="16" t="s">
        <v>856</v>
      </c>
      <c r="H885" s="16"/>
      <c r="I885" s="57"/>
      <c r="J885"/>
      <c r="L885" s="15">
        <v>829665750592</v>
      </c>
      <c r="M885" s="15">
        <v>7070355656</v>
      </c>
      <c r="N885" s="15"/>
    </row>
    <row r="886" spans="3:15" x14ac:dyDescent="0.3">
      <c r="C886" s="3">
        <v>43962</v>
      </c>
      <c r="D886" s="11">
        <v>2835</v>
      </c>
      <c r="G886" s="16" t="s">
        <v>857</v>
      </c>
      <c r="H886" s="16"/>
      <c r="I886" s="57"/>
      <c r="J886"/>
      <c r="L886" s="15">
        <v>990608653180</v>
      </c>
      <c r="M886" s="15">
        <v>8409882391</v>
      </c>
      <c r="N886" s="15"/>
    </row>
    <row r="887" spans="3:15" x14ac:dyDescent="0.3">
      <c r="C887" s="3">
        <v>43962</v>
      </c>
      <c r="D887" s="11">
        <v>2836</v>
      </c>
      <c r="G887" s="16" t="s">
        <v>858</v>
      </c>
      <c r="H887" s="16"/>
      <c r="I887" s="57"/>
      <c r="J887"/>
      <c r="L887" s="15">
        <v>417436649641</v>
      </c>
      <c r="M887" s="15">
        <v>8877018768</v>
      </c>
      <c r="N887" s="15"/>
    </row>
    <row r="888" spans="3:15" x14ac:dyDescent="0.3">
      <c r="C888" s="3">
        <v>43962</v>
      </c>
      <c r="D888" s="11">
        <v>2837</v>
      </c>
      <c r="G888" s="16" t="s">
        <v>859</v>
      </c>
      <c r="H888" s="16"/>
      <c r="I888" s="57"/>
      <c r="J888"/>
      <c r="L888" s="15">
        <v>949036649641</v>
      </c>
      <c r="M888" s="15">
        <v>7209584860</v>
      </c>
      <c r="N888" s="15"/>
    </row>
    <row r="889" spans="3:15" x14ac:dyDescent="0.3">
      <c r="C889" s="3">
        <v>43962</v>
      </c>
      <c r="D889" s="11">
        <v>2838</v>
      </c>
      <c r="G889" s="16" t="s">
        <v>860</v>
      </c>
      <c r="H889" s="16"/>
      <c r="I889" s="57"/>
      <c r="J889"/>
      <c r="L889" s="15">
        <v>405741432512</v>
      </c>
      <c r="M889" s="15">
        <v>6209115851</v>
      </c>
      <c r="N889" s="15"/>
    </row>
    <row r="890" spans="3:15" x14ac:dyDescent="0.3">
      <c r="C890" s="3">
        <v>43962</v>
      </c>
      <c r="D890" s="11">
        <v>2839</v>
      </c>
      <c r="G890" s="16" t="s">
        <v>861</v>
      </c>
      <c r="H890" s="16"/>
      <c r="I890" s="57"/>
      <c r="J890"/>
      <c r="L890" s="15">
        <v>954808143267</v>
      </c>
      <c r="M890" s="15">
        <v>7739754592</v>
      </c>
      <c r="N890" s="15"/>
    </row>
    <row r="891" spans="3:15" x14ac:dyDescent="0.3">
      <c r="C891" s="3">
        <v>43962</v>
      </c>
      <c r="D891" s="11">
        <v>2840</v>
      </c>
      <c r="G891" s="16" t="s">
        <v>862</v>
      </c>
      <c r="H891" s="16"/>
      <c r="I891" s="57"/>
      <c r="J891"/>
      <c r="L891" s="15">
        <v>323706652914</v>
      </c>
      <c r="M891" s="15">
        <v>9113446958</v>
      </c>
      <c r="N891" s="15"/>
    </row>
    <row r="892" spans="3:15" x14ac:dyDescent="0.3">
      <c r="C892" s="3">
        <v>43962</v>
      </c>
      <c r="D892" s="11">
        <v>2841</v>
      </c>
      <c r="G892" s="16" t="s">
        <v>863</v>
      </c>
      <c r="H892" s="16"/>
      <c r="I892" s="57"/>
      <c r="J892"/>
      <c r="L892" s="15">
        <v>620286908136</v>
      </c>
      <c r="M892" s="15">
        <v>9334161404</v>
      </c>
      <c r="N892" s="15"/>
      <c r="O892" s="3">
        <v>44035</v>
      </c>
    </row>
    <row r="893" spans="3:15" x14ac:dyDescent="0.3">
      <c r="C893" s="3">
        <v>43962</v>
      </c>
      <c r="D893" s="11">
        <v>2842</v>
      </c>
      <c r="G893" s="16" t="s">
        <v>864</v>
      </c>
      <c r="H893" s="16"/>
      <c r="I893" s="57"/>
      <c r="J893"/>
      <c r="L893" s="15">
        <v>681941447480</v>
      </c>
      <c r="M893" s="15">
        <v>7209606429</v>
      </c>
      <c r="N893" s="15"/>
    </row>
    <row r="894" spans="3:15" x14ac:dyDescent="0.3">
      <c r="C894" s="3">
        <v>43962</v>
      </c>
      <c r="D894" s="11">
        <v>2843</v>
      </c>
      <c r="G894" s="16" t="s">
        <v>865</v>
      </c>
      <c r="H894" s="16"/>
      <c r="I894" s="57"/>
      <c r="J894"/>
      <c r="L894" s="15">
        <v>613521251272</v>
      </c>
      <c r="M894" s="15">
        <v>7381319636</v>
      </c>
      <c r="N894" s="15"/>
      <c r="O894" s="3">
        <v>44035</v>
      </c>
    </row>
    <row r="895" spans="3:15" x14ac:dyDescent="0.3">
      <c r="C895" s="3">
        <v>43962</v>
      </c>
      <c r="D895" s="11">
        <v>2850</v>
      </c>
      <c r="G895" s="16" t="s">
        <v>10</v>
      </c>
      <c r="H895" s="16"/>
      <c r="I895" s="57"/>
      <c r="J895"/>
      <c r="L895" s="15">
        <v>373214505115</v>
      </c>
      <c r="M895" s="15">
        <v>9006213700</v>
      </c>
      <c r="N895" s="15"/>
    </row>
    <row r="896" spans="3:15" x14ac:dyDescent="0.3">
      <c r="C896" s="3">
        <v>43962</v>
      </c>
      <c r="D896" s="11">
        <v>2851</v>
      </c>
      <c r="G896" s="16" t="s">
        <v>866</v>
      </c>
      <c r="H896" s="16"/>
      <c r="I896" s="57"/>
      <c r="J896"/>
      <c r="L896" s="15">
        <v>880199075041</v>
      </c>
      <c r="M896" s="15">
        <v>7261033890</v>
      </c>
      <c r="N896" s="15"/>
    </row>
    <row r="897" spans="3:15" x14ac:dyDescent="0.3">
      <c r="C897" s="3">
        <v>43962</v>
      </c>
      <c r="D897" s="11">
        <v>2865</v>
      </c>
      <c r="G897" s="16" t="s">
        <v>867</v>
      </c>
      <c r="H897" s="16"/>
      <c r="I897" s="57"/>
      <c r="J897"/>
      <c r="L897" s="15">
        <v>432046323385</v>
      </c>
      <c r="M897" s="15">
        <v>9122353992</v>
      </c>
      <c r="N897" s="15"/>
    </row>
    <row r="898" spans="3:15" x14ac:dyDescent="0.3">
      <c r="C898" s="3">
        <v>43962</v>
      </c>
      <c r="D898" s="11">
        <v>2866</v>
      </c>
      <c r="G898" s="16" t="s">
        <v>868</v>
      </c>
      <c r="H898" s="16"/>
      <c r="I898" s="57"/>
      <c r="J898"/>
      <c r="L898" s="15">
        <v>650740132072</v>
      </c>
      <c r="M898" s="15">
        <v>9955616123</v>
      </c>
      <c r="N898" s="15"/>
    </row>
    <row r="899" spans="3:15" x14ac:dyDescent="0.3">
      <c r="C899" s="3">
        <v>43962</v>
      </c>
      <c r="D899" s="11">
        <v>2869</v>
      </c>
      <c r="G899" s="16" t="s">
        <v>869</v>
      </c>
      <c r="H899" s="16"/>
      <c r="I899" s="57"/>
      <c r="J899"/>
      <c r="L899" s="15">
        <v>693498139746</v>
      </c>
      <c r="M899" s="15">
        <v>9843444590</v>
      </c>
      <c r="N899" s="15"/>
    </row>
    <row r="900" spans="3:15" x14ac:dyDescent="0.3">
      <c r="C900" s="3">
        <v>43962</v>
      </c>
      <c r="D900" s="11">
        <v>2870</v>
      </c>
      <c r="G900" s="16" t="s">
        <v>870</v>
      </c>
      <c r="H900" s="16"/>
      <c r="I900" s="57"/>
      <c r="J900"/>
      <c r="L900" s="15">
        <v>209929564365</v>
      </c>
      <c r="M900" s="15">
        <v>7203442923</v>
      </c>
      <c r="N900" s="15"/>
    </row>
    <row r="901" spans="3:15" x14ac:dyDescent="0.3">
      <c r="C901" s="3">
        <v>43962</v>
      </c>
      <c r="D901" s="11">
        <v>2872</v>
      </c>
      <c r="G901" s="16" t="s">
        <v>555</v>
      </c>
      <c r="H901" s="16"/>
      <c r="I901" s="57"/>
      <c r="J901"/>
      <c r="L901" s="15">
        <v>975415098364</v>
      </c>
      <c r="M901" s="15">
        <v>6207935551</v>
      </c>
      <c r="N901" s="15"/>
      <c r="O901" s="3">
        <v>44035</v>
      </c>
    </row>
    <row r="902" spans="3:15" x14ac:dyDescent="0.3">
      <c r="C902" s="3">
        <v>43962</v>
      </c>
      <c r="D902" s="11">
        <v>2875</v>
      </c>
      <c r="G902" s="16" t="s">
        <v>871</v>
      </c>
      <c r="H902" s="16"/>
      <c r="I902" s="57"/>
      <c r="J902"/>
      <c r="L902" s="15">
        <v>777572612950</v>
      </c>
      <c r="M902" s="15">
        <v>9939802031</v>
      </c>
      <c r="N902" s="15"/>
    </row>
    <row r="903" spans="3:15" x14ac:dyDescent="0.3">
      <c r="C903" s="3">
        <v>43962</v>
      </c>
      <c r="D903" s="11">
        <v>2876</v>
      </c>
      <c r="G903" s="16" t="s">
        <v>872</v>
      </c>
      <c r="H903" s="16"/>
      <c r="I903" s="57"/>
      <c r="J903"/>
      <c r="L903" s="15">
        <v>264486339688</v>
      </c>
      <c r="M903" s="15">
        <v>9608346078</v>
      </c>
      <c r="N903" s="15"/>
    </row>
    <row r="904" spans="3:15" x14ac:dyDescent="0.3">
      <c r="C904" s="3">
        <v>43962</v>
      </c>
      <c r="D904" s="11">
        <v>2879</v>
      </c>
      <c r="G904" s="16" t="s">
        <v>873</v>
      </c>
      <c r="H904" s="16"/>
      <c r="I904" s="57"/>
      <c r="J904"/>
      <c r="L904" s="15">
        <v>213820390470</v>
      </c>
      <c r="M904" s="15">
        <v>9709108509</v>
      </c>
      <c r="N904" s="15"/>
    </row>
    <row r="905" spans="3:15" x14ac:dyDescent="0.3">
      <c r="C905" s="3">
        <v>43962</v>
      </c>
      <c r="D905" s="11">
        <v>2881</v>
      </c>
      <c r="G905" s="16" t="s">
        <v>874</v>
      </c>
      <c r="H905" s="16"/>
      <c r="I905" s="57"/>
      <c r="J905"/>
      <c r="L905" s="15">
        <v>607140785828</v>
      </c>
      <c r="M905" s="15">
        <v>9740192957</v>
      </c>
      <c r="N905" s="15"/>
    </row>
    <row r="906" spans="3:15" x14ac:dyDescent="0.3">
      <c r="C906" s="3">
        <v>43962</v>
      </c>
      <c r="D906" s="11">
        <v>2883</v>
      </c>
      <c r="G906" s="16" t="s">
        <v>875</v>
      </c>
      <c r="H906" s="16"/>
      <c r="I906" s="57"/>
      <c r="J906"/>
      <c r="L906" s="15">
        <v>293111890027</v>
      </c>
      <c r="M906" s="15">
        <v>9572074908</v>
      </c>
      <c r="N906" s="15"/>
    </row>
    <row r="907" spans="3:15" x14ac:dyDescent="0.3">
      <c r="C907" s="3">
        <v>43962</v>
      </c>
      <c r="D907" s="11">
        <v>2886</v>
      </c>
      <c r="G907" s="16" t="s">
        <v>876</v>
      </c>
      <c r="H907" s="16"/>
      <c r="I907" s="57"/>
      <c r="J907"/>
      <c r="L907" s="15">
        <v>394062536119</v>
      </c>
      <c r="M907" s="15">
        <v>9905528183</v>
      </c>
      <c r="N907" s="15"/>
    </row>
    <row r="908" spans="3:15" x14ac:dyDescent="0.3">
      <c r="C908" s="3">
        <v>43962</v>
      </c>
      <c r="D908" s="11">
        <v>2887</v>
      </c>
      <c r="G908" s="16" t="s">
        <v>877</v>
      </c>
      <c r="H908" s="16"/>
      <c r="I908" s="57"/>
      <c r="J908"/>
      <c r="L908" s="15">
        <v>591756676901</v>
      </c>
      <c r="M908" s="15">
        <v>9798050370</v>
      </c>
      <c r="N908" s="15"/>
    </row>
    <row r="909" spans="3:15" x14ac:dyDescent="0.3">
      <c r="C909" s="3">
        <v>43962</v>
      </c>
      <c r="D909" s="11">
        <v>2888</v>
      </c>
      <c r="G909" s="20" t="s">
        <v>878</v>
      </c>
      <c r="H909" s="20"/>
      <c r="I909" s="57"/>
      <c r="J909"/>
      <c r="L909" s="15">
        <v>690679475676</v>
      </c>
      <c r="M909" s="15">
        <v>9204258417</v>
      </c>
      <c r="N909" s="15"/>
    </row>
    <row r="910" spans="3:15" x14ac:dyDescent="0.3">
      <c r="C910" s="3">
        <v>43962</v>
      </c>
      <c r="D910" s="11">
        <v>2891</v>
      </c>
      <c r="G910" s="16" t="s">
        <v>879</v>
      </c>
      <c r="H910" s="16"/>
      <c r="I910" s="57"/>
      <c r="J910"/>
      <c r="L910" s="15">
        <v>271943693549</v>
      </c>
      <c r="M910" s="15">
        <v>7634095921</v>
      </c>
      <c r="N910" s="15"/>
    </row>
    <row r="911" spans="3:15" x14ac:dyDescent="0.3">
      <c r="C911" s="3">
        <v>43962</v>
      </c>
      <c r="D911" s="11">
        <v>2893</v>
      </c>
      <c r="G911" s="16" t="s">
        <v>880</v>
      </c>
      <c r="H911" s="16"/>
      <c r="I911" s="57"/>
      <c r="J911"/>
      <c r="L911" s="15">
        <v>725209970696</v>
      </c>
      <c r="M911" s="15">
        <v>9031359851</v>
      </c>
      <c r="N911" s="15"/>
    </row>
    <row r="912" spans="3:15" x14ac:dyDescent="0.3">
      <c r="C912" s="3">
        <v>43962</v>
      </c>
      <c r="D912" s="11">
        <v>2895</v>
      </c>
      <c r="G912" s="16" t="s">
        <v>881</v>
      </c>
      <c r="H912" s="16"/>
      <c r="I912" s="57"/>
      <c r="J912"/>
      <c r="L912" s="15">
        <v>880743363995</v>
      </c>
      <c r="M912" s="15">
        <v>9113149540</v>
      </c>
      <c r="N912" s="15"/>
    </row>
    <row r="913" spans="3:18" x14ac:dyDescent="0.3">
      <c r="C913" s="3">
        <v>43962</v>
      </c>
      <c r="D913" s="11">
        <v>2898</v>
      </c>
      <c r="G913" s="16" t="s">
        <v>882</v>
      </c>
      <c r="H913" s="16"/>
      <c r="I913" s="57"/>
      <c r="J913"/>
      <c r="L913" s="15">
        <v>399679655060</v>
      </c>
      <c r="M913" s="15">
        <v>7634977694</v>
      </c>
      <c r="N913" s="15"/>
    </row>
    <row r="914" spans="3:18" x14ac:dyDescent="0.3">
      <c r="C914" s="3">
        <v>43962</v>
      </c>
      <c r="D914" s="11">
        <v>2900</v>
      </c>
      <c r="G914" s="16" t="s">
        <v>883</v>
      </c>
      <c r="H914" s="16"/>
      <c r="I914" s="57"/>
      <c r="J914" t="s">
        <v>1210</v>
      </c>
      <c r="K914" s="4">
        <v>200</v>
      </c>
      <c r="L914" s="15">
        <v>676857038851</v>
      </c>
      <c r="M914" s="15">
        <v>8603286708</v>
      </c>
      <c r="N914" s="15"/>
      <c r="P914" s="3">
        <v>44015</v>
      </c>
    </row>
    <row r="915" spans="3:18" x14ac:dyDescent="0.3">
      <c r="C915" s="3">
        <v>43962</v>
      </c>
      <c r="D915" s="11">
        <v>2901</v>
      </c>
      <c r="G915" s="16" t="s">
        <v>884</v>
      </c>
      <c r="H915" s="16"/>
      <c r="I915" s="57"/>
      <c r="J915"/>
      <c r="L915" s="15">
        <v>650323922451</v>
      </c>
      <c r="M915" s="15">
        <v>7903902278</v>
      </c>
      <c r="N915" s="15"/>
    </row>
    <row r="916" spans="3:18" x14ac:dyDescent="0.3">
      <c r="C916" s="3">
        <v>43962</v>
      </c>
      <c r="D916" s="11">
        <v>2902</v>
      </c>
      <c r="G916" s="16" t="s">
        <v>885</v>
      </c>
      <c r="H916" s="16"/>
      <c r="I916" s="57"/>
      <c r="J916"/>
      <c r="L916" s="15">
        <v>586003324535</v>
      </c>
      <c r="M916" s="15">
        <v>7209767022</v>
      </c>
      <c r="N916" s="15"/>
    </row>
    <row r="917" spans="3:18" x14ac:dyDescent="0.3">
      <c r="C917" s="3">
        <v>43962</v>
      </c>
      <c r="D917" s="11">
        <v>2904</v>
      </c>
      <c r="G917" s="16" t="s">
        <v>886</v>
      </c>
      <c r="H917" s="16"/>
      <c r="I917" s="57"/>
      <c r="J917"/>
      <c r="L917" s="15">
        <v>518416600982</v>
      </c>
      <c r="M917" s="15">
        <v>9234972720</v>
      </c>
      <c r="N917" s="15"/>
    </row>
    <row r="918" spans="3:18" x14ac:dyDescent="0.3">
      <c r="C918" s="3">
        <v>43962</v>
      </c>
      <c r="D918" s="11">
        <v>2905</v>
      </c>
      <c r="G918" s="16" t="s">
        <v>887</v>
      </c>
      <c r="H918" s="16"/>
      <c r="I918" s="57"/>
      <c r="J918"/>
      <c r="L918" s="15">
        <v>620554949710</v>
      </c>
      <c r="M918" s="15">
        <v>7260867766</v>
      </c>
      <c r="N918" s="15"/>
    </row>
    <row r="919" spans="3:18" x14ac:dyDescent="0.3">
      <c r="C919" s="3">
        <v>43962</v>
      </c>
      <c r="D919" s="11">
        <v>2906</v>
      </c>
      <c r="G919" s="16" t="s">
        <v>888</v>
      </c>
      <c r="H919" s="16"/>
      <c r="I919" s="57"/>
      <c r="J919"/>
      <c r="L919" s="15">
        <v>582681577661</v>
      </c>
      <c r="M919" s="15">
        <v>9931547403</v>
      </c>
      <c r="N919" s="15"/>
    </row>
    <row r="920" spans="3:18" x14ac:dyDescent="0.3">
      <c r="C920" s="3">
        <v>43962</v>
      </c>
      <c r="D920" s="11">
        <v>2908</v>
      </c>
      <c r="G920" s="16" t="s">
        <v>889</v>
      </c>
      <c r="H920" s="16"/>
      <c r="I920" s="57"/>
      <c r="J920"/>
      <c r="L920" s="15">
        <v>341527365168</v>
      </c>
      <c r="M920" s="15">
        <v>9709209838</v>
      </c>
      <c r="N920" s="15"/>
    </row>
    <row r="921" spans="3:18" x14ac:dyDescent="0.3">
      <c r="C921" s="3">
        <v>43962</v>
      </c>
      <c r="D921" s="11">
        <v>2910</v>
      </c>
      <c r="G921" s="16" t="s">
        <v>890</v>
      </c>
      <c r="H921" s="16"/>
      <c r="I921" s="57"/>
      <c r="J921"/>
      <c r="L921" s="15">
        <v>556595935074</v>
      </c>
      <c r="M921" s="15">
        <v>7530922721</v>
      </c>
      <c r="N921" s="15"/>
    </row>
    <row r="922" spans="3:18" x14ac:dyDescent="0.3">
      <c r="C922" s="3">
        <v>43962</v>
      </c>
      <c r="D922" s="11">
        <v>2912</v>
      </c>
      <c r="G922" s="16" t="s">
        <v>891</v>
      </c>
      <c r="H922" s="16"/>
      <c r="I922" s="57"/>
      <c r="J922" t="s">
        <v>1298</v>
      </c>
      <c r="K922" s="4">
        <v>100</v>
      </c>
      <c r="L922" s="15">
        <v>963470100899</v>
      </c>
      <c r="M922" s="15">
        <v>6201722091</v>
      </c>
      <c r="N922" s="15"/>
      <c r="R922" s="4" t="s">
        <v>16</v>
      </c>
    </row>
    <row r="923" spans="3:18" x14ac:dyDescent="0.3">
      <c r="C923" s="3">
        <v>43962</v>
      </c>
      <c r="D923" s="11">
        <v>2915</v>
      </c>
      <c r="G923" s="16" t="s">
        <v>892</v>
      </c>
      <c r="H923" s="16"/>
      <c r="I923" s="57"/>
      <c r="J923"/>
      <c r="L923" s="15">
        <v>255255773738</v>
      </c>
      <c r="M923" s="15">
        <v>9263991174</v>
      </c>
      <c r="N923" s="15"/>
    </row>
    <row r="924" spans="3:18" x14ac:dyDescent="0.3">
      <c r="C924" s="3">
        <v>43962</v>
      </c>
      <c r="D924" s="11">
        <v>2918</v>
      </c>
      <c r="G924" s="16" t="s">
        <v>893</v>
      </c>
      <c r="H924" s="16"/>
      <c r="I924" s="57"/>
      <c r="J924"/>
      <c r="L924" s="15">
        <v>541350623738</v>
      </c>
      <c r="M924" s="15">
        <v>7488235480</v>
      </c>
      <c r="N924" s="15"/>
    </row>
    <row r="925" spans="3:18" x14ac:dyDescent="0.3">
      <c r="C925" s="3">
        <v>43962</v>
      </c>
      <c r="D925" s="11">
        <v>2922</v>
      </c>
      <c r="G925" s="16" t="s">
        <v>894</v>
      </c>
      <c r="H925" s="16"/>
      <c r="I925" s="57"/>
      <c r="J925"/>
      <c r="L925" s="15">
        <v>606061753838</v>
      </c>
      <c r="M925" s="15">
        <v>9031350304</v>
      </c>
      <c r="N925" s="15"/>
    </row>
    <row r="926" spans="3:18" x14ac:dyDescent="0.3">
      <c r="C926" s="3">
        <v>43962</v>
      </c>
      <c r="D926" s="11">
        <v>2924</v>
      </c>
      <c r="G926" s="16" t="s">
        <v>895</v>
      </c>
      <c r="H926" s="16"/>
      <c r="I926" s="57"/>
      <c r="J926"/>
      <c r="L926" s="15">
        <v>733011673425</v>
      </c>
      <c r="M926" s="15">
        <v>9709254072</v>
      </c>
      <c r="N926" s="15"/>
    </row>
    <row r="927" spans="3:18" x14ac:dyDescent="0.3">
      <c r="C927" s="3">
        <v>43962</v>
      </c>
      <c r="D927" s="11">
        <v>2926</v>
      </c>
      <c r="G927" s="16" t="s">
        <v>896</v>
      </c>
      <c r="H927" s="16"/>
      <c r="I927" s="57"/>
      <c r="J927"/>
      <c r="L927" s="15">
        <v>473119001904</v>
      </c>
      <c r="M927" s="15">
        <v>9693876005</v>
      </c>
      <c r="N927" s="15"/>
    </row>
    <row r="928" spans="3:18" x14ac:dyDescent="0.3">
      <c r="C928" s="3">
        <v>43962</v>
      </c>
      <c r="D928" s="11">
        <v>2929</v>
      </c>
      <c r="G928" s="20" t="s">
        <v>897</v>
      </c>
      <c r="H928" s="20"/>
      <c r="I928" s="57"/>
      <c r="J928"/>
      <c r="L928" s="15">
        <v>331687384258</v>
      </c>
      <c r="M928" s="15">
        <v>8271860027</v>
      </c>
      <c r="N928" s="15"/>
    </row>
    <row r="929" spans="3:17" x14ac:dyDescent="0.3">
      <c r="C929" s="3">
        <v>43962</v>
      </c>
      <c r="D929" s="11">
        <v>2931</v>
      </c>
      <c r="G929" s="16" t="s">
        <v>898</v>
      </c>
      <c r="H929" s="16"/>
      <c r="I929" s="57"/>
      <c r="J929"/>
      <c r="L929" s="15">
        <v>876644787958</v>
      </c>
      <c r="M929" s="15">
        <v>8797465752</v>
      </c>
      <c r="N929" s="15"/>
    </row>
    <row r="930" spans="3:17" x14ac:dyDescent="0.3">
      <c r="C930" s="3">
        <v>43962</v>
      </c>
      <c r="D930" s="11">
        <v>2932</v>
      </c>
      <c r="G930" s="16" t="s">
        <v>899</v>
      </c>
      <c r="H930" s="16"/>
      <c r="I930" s="57"/>
      <c r="J930"/>
      <c r="L930" s="15">
        <v>727183716298</v>
      </c>
      <c r="M930" s="15">
        <v>9801201470</v>
      </c>
      <c r="N930" s="15"/>
    </row>
    <row r="931" spans="3:17" x14ac:dyDescent="0.3">
      <c r="C931" s="3">
        <v>43962</v>
      </c>
      <c r="D931" s="11">
        <v>2933</v>
      </c>
      <c r="G931" s="16" t="s">
        <v>900</v>
      </c>
      <c r="H931" s="16"/>
      <c r="I931" s="57"/>
      <c r="J931"/>
      <c r="L931" s="15">
        <v>612096322598</v>
      </c>
      <c r="M931" s="15">
        <v>9304075445</v>
      </c>
      <c r="N931" s="15"/>
    </row>
    <row r="932" spans="3:17" x14ac:dyDescent="0.3">
      <c r="C932" s="3">
        <v>43962</v>
      </c>
      <c r="D932" s="11">
        <v>2934</v>
      </c>
      <c r="G932" s="16" t="s">
        <v>901</v>
      </c>
      <c r="H932" s="16"/>
      <c r="I932" s="57"/>
      <c r="J932"/>
      <c r="L932" s="15">
        <v>695663361036</v>
      </c>
      <c r="M932" s="15">
        <v>6209186753</v>
      </c>
      <c r="N932" s="15"/>
    </row>
    <row r="933" spans="3:17" x14ac:dyDescent="0.3">
      <c r="C933" s="3">
        <v>43962</v>
      </c>
      <c r="D933" s="11">
        <v>2936</v>
      </c>
      <c r="G933" s="20" t="s">
        <v>902</v>
      </c>
      <c r="H933" s="20"/>
      <c r="I933" s="57"/>
      <c r="J933"/>
      <c r="L933" s="15">
        <v>335711317838</v>
      </c>
      <c r="M933" s="15">
        <v>8936021639</v>
      </c>
      <c r="N933" s="15"/>
    </row>
    <row r="934" spans="3:17" x14ac:dyDescent="0.3">
      <c r="C934" s="3">
        <v>43962</v>
      </c>
      <c r="D934" s="11">
        <v>2938</v>
      </c>
      <c r="G934" s="16" t="s">
        <v>903</v>
      </c>
      <c r="H934" s="16"/>
      <c r="I934" s="57"/>
      <c r="J934"/>
      <c r="L934" s="15">
        <v>383734544006</v>
      </c>
      <c r="M934" s="15">
        <v>9939164882</v>
      </c>
      <c r="N934" s="15"/>
    </row>
    <row r="935" spans="3:17" x14ac:dyDescent="0.3">
      <c r="C935" s="3">
        <v>43962</v>
      </c>
      <c r="D935" s="11">
        <v>2940</v>
      </c>
      <c r="G935" s="16" t="s">
        <v>904</v>
      </c>
      <c r="H935" s="16"/>
      <c r="I935" s="57"/>
      <c r="J935"/>
      <c r="L935" s="15">
        <v>994099635115</v>
      </c>
      <c r="M935" s="15">
        <v>6206792036</v>
      </c>
      <c r="N935" s="15"/>
    </row>
    <row r="936" spans="3:17" x14ac:dyDescent="0.3">
      <c r="C936" s="3">
        <v>43963</v>
      </c>
      <c r="D936" s="11">
        <v>2944</v>
      </c>
      <c r="G936" s="16" t="s">
        <v>905</v>
      </c>
      <c r="H936" s="16"/>
      <c r="I936" s="57"/>
      <c r="J936"/>
      <c r="L936" s="15">
        <v>949331541373</v>
      </c>
      <c r="M936" s="15">
        <v>6207429711</v>
      </c>
      <c r="N936" s="15"/>
    </row>
    <row r="937" spans="3:17" x14ac:dyDescent="0.3">
      <c r="C937" s="3">
        <v>43963</v>
      </c>
      <c r="D937" s="11">
        <v>2945</v>
      </c>
      <c r="G937" s="16" t="s">
        <v>906</v>
      </c>
      <c r="H937" s="16"/>
      <c r="I937" s="57"/>
      <c r="J937" t="s">
        <v>1217</v>
      </c>
      <c r="L937" s="15">
        <v>277482677551</v>
      </c>
      <c r="M937" s="15">
        <v>8521185929</v>
      </c>
      <c r="N937" s="15"/>
      <c r="O937" s="3">
        <v>44019</v>
      </c>
      <c r="P937" s="3">
        <v>44019</v>
      </c>
      <c r="Q937" s="3">
        <v>44019</v>
      </c>
    </row>
    <row r="938" spans="3:17" x14ac:dyDescent="0.3">
      <c r="C938" s="3">
        <v>43963</v>
      </c>
      <c r="D938" s="11">
        <v>2946</v>
      </c>
      <c r="G938" s="16" t="s">
        <v>907</v>
      </c>
      <c r="H938" s="16"/>
      <c r="I938" s="57"/>
      <c r="J938"/>
      <c r="L938" s="15">
        <v>390763823973</v>
      </c>
      <c r="M938" s="15">
        <v>8051918877</v>
      </c>
      <c r="N938" s="15"/>
      <c r="O938" s="4" t="s">
        <v>30</v>
      </c>
    </row>
    <row r="939" spans="3:17" x14ac:dyDescent="0.3">
      <c r="C939" s="3">
        <v>43963</v>
      </c>
      <c r="D939" s="11">
        <v>2947</v>
      </c>
      <c r="G939" s="16" t="s">
        <v>908</v>
      </c>
      <c r="H939" s="16"/>
      <c r="I939" s="57"/>
      <c r="J939"/>
      <c r="L939" s="15">
        <v>774012107631</v>
      </c>
      <c r="M939" s="15">
        <v>9570056424</v>
      </c>
      <c r="N939" s="15"/>
      <c r="O939" s="4" t="s">
        <v>30</v>
      </c>
    </row>
    <row r="940" spans="3:17" x14ac:dyDescent="0.3">
      <c r="C940" s="3">
        <v>43963</v>
      </c>
      <c r="D940" s="11">
        <v>2948</v>
      </c>
      <c r="G940" s="16" t="s">
        <v>909</v>
      </c>
      <c r="H940" s="16"/>
      <c r="I940" s="57"/>
      <c r="J940"/>
      <c r="L940" s="15">
        <v>433772579582</v>
      </c>
      <c r="M940" s="15">
        <v>8210190928</v>
      </c>
      <c r="N940" s="15"/>
    </row>
    <row r="941" spans="3:17" x14ac:dyDescent="0.3">
      <c r="C941" s="3">
        <v>43963</v>
      </c>
      <c r="D941" s="11">
        <v>2950</v>
      </c>
      <c r="G941" s="16" t="s">
        <v>910</v>
      </c>
      <c r="H941" s="16"/>
      <c r="I941" s="57"/>
      <c r="J941"/>
      <c r="L941" s="15">
        <v>947712573686</v>
      </c>
      <c r="M941" s="15">
        <v>9162997465</v>
      </c>
      <c r="N941" s="15"/>
    </row>
    <row r="942" spans="3:17" x14ac:dyDescent="0.3">
      <c r="C942" s="3">
        <v>43963</v>
      </c>
      <c r="D942" s="11">
        <v>2951</v>
      </c>
      <c r="G942" s="16" t="s">
        <v>911</v>
      </c>
      <c r="H942" s="16"/>
      <c r="I942" s="57"/>
      <c r="J942"/>
      <c r="L942" s="15">
        <v>579905069050</v>
      </c>
      <c r="M942" s="15">
        <v>7209899790</v>
      </c>
      <c r="N942" s="15"/>
    </row>
    <row r="943" spans="3:17" x14ac:dyDescent="0.3">
      <c r="C943" s="3">
        <v>43963</v>
      </c>
      <c r="D943" s="11">
        <v>2953</v>
      </c>
      <c r="G943" s="16" t="s">
        <v>912</v>
      </c>
      <c r="H943" s="16"/>
      <c r="I943" s="57"/>
      <c r="J943"/>
      <c r="L943" s="15">
        <v>585358620643</v>
      </c>
      <c r="M943" s="15">
        <v>8210167037</v>
      </c>
      <c r="N943" s="15"/>
      <c r="O943" s="4" t="s">
        <v>30</v>
      </c>
    </row>
    <row r="944" spans="3:17" x14ac:dyDescent="0.3">
      <c r="C944" s="3">
        <v>43963</v>
      </c>
      <c r="D944" s="11">
        <v>2955</v>
      </c>
      <c r="G944" s="16" t="s">
        <v>913</v>
      </c>
      <c r="H944" s="16"/>
      <c r="I944" s="57"/>
      <c r="J944"/>
      <c r="L944" s="15">
        <v>580455862767</v>
      </c>
      <c r="M944" s="15">
        <v>7463099523</v>
      </c>
      <c r="N944" s="15"/>
    </row>
    <row r="945" spans="3:14" x14ac:dyDescent="0.3">
      <c r="C945" s="3">
        <v>43963</v>
      </c>
      <c r="D945" s="11">
        <v>2957</v>
      </c>
      <c r="G945" s="16" t="s">
        <v>914</v>
      </c>
      <c r="H945" s="16"/>
      <c r="I945" s="57"/>
      <c r="J945"/>
      <c r="L945" s="15">
        <v>990736768365</v>
      </c>
      <c r="M945" s="15">
        <v>7488591935</v>
      </c>
      <c r="N945" s="15"/>
    </row>
    <row r="946" spans="3:14" x14ac:dyDescent="0.3">
      <c r="C946" s="3">
        <v>43963</v>
      </c>
      <c r="D946" s="11">
        <v>2958</v>
      </c>
      <c r="G946" s="16" t="s">
        <v>915</v>
      </c>
      <c r="H946" s="16"/>
      <c r="I946" s="57"/>
      <c r="J946"/>
      <c r="L946" s="15">
        <v>659312654046</v>
      </c>
      <c r="M946" s="15">
        <v>8789815825</v>
      </c>
      <c r="N946" s="15"/>
    </row>
    <row r="947" spans="3:14" x14ac:dyDescent="0.3">
      <c r="C947" s="3">
        <v>43963</v>
      </c>
      <c r="D947" s="11">
        <v>2959</v>
      </c>
      <c r="G947" s="16" t="s">
        <v>916</v>
      </c>
      <c r="H947" s="16"/>
      <c r="I947" s="57"/>
      <c r="J947"/>
      <c r="L947" s="15">
        <v>446280317047</v>
      </c>
      <c r="M947" s="15">
        <v>9472755464</v>
      </c>
      <c r="N947" s="15"/>
    </row>
    <row r="948" spans="3:14" x14ac:dyDescent="0.3">
      <c r="C948" s="3">
        <v>43963</v>
      </c>
      <c r="D948" s="11">
        <v>2961</v>
      </c>
      <c r="G948" s="16" t="s">
        <v>917</v>
      </c>
      <c r="H948" s="16"/>
      <c r="I948" s="57"/>
      <c r="J948"/>
      <c r="L948" s="15">
        <v>361810069178</v>
      </c>
      <c r="M948" s="15">
        <v>6201735633</v>
      </c>
      <c r="N948" s="15"/>
    </row>
    <row r="949" spans="3:14" x14ac:dyDescent="0.3">
      <c r="C949" s="3">
        <v>43963</v>
      </c>
      <c r="D949" s="11">
        <v>2962</v>
      </c>
      <c r="G949" s="16" t="s">
        <v>918</v>
      </c>
      <c r="H949" s="16"/>
      <c r="I949" s="57"/>
      <c r="J949"/>
      <c r="L949" s="15">
        <v>511533289934</v>
      </c>
      <c r="M949" s="15">
        <v>9204264708</v>
      </c>
      <c r="N949" s="15"/>
    </row>
    <row r="950" spans="3:14" x14ac:dyDescent="0.3">
      <c r="C950" s="3">
        <v>43963</v>
      </c>
      <c r="D950" s="11">
        <v>2963</v>
      </c>
      <c r="G950" s="16" t="s">
        <v>919</v>
      </c>
      <c r="H950" s="16"/>
      <c r="I950" s="57"/>
      <c r="J950"/>
      <c r="L950" s="15">
        <v>416583061796</v>
      </c>
      <c r="M950" s="15">
        <v>9031133496</v>
      </c>
      <c r="N950" s="15"/>
    </row>
    <row r="951" spans="3:14" x14ac:dyDescent="0.3">
      <c r="C951" s="3">
        <v>43963</v>
      </c>
      <c r="D951" s="11">
        <v>2966</v>
      </c>
      <c r="G951" s="16" t="s">
        <v>920</v>
      </c>
      <c r="H951" s="16"/>
      <c r="I951" s="57"/>
      <c r="J951"/>
      <c r="L951" s="15">
        <v>353359651643</v>
      </c>
      <c r="M951" s="15">
        <v>8674821484</v>
      </c>
      <c r="N951" s="15"/>
    </row>
    <row r="952" spans="3:14" x14ac:dyDescent="0.3">
      <c r="C952" s="3">
        <v>43963</v>
      </c>
      <c r="D952" s="11">
        <v>2967</v>
      </c>
      <c r="G952" s="16" t="s">
        <v>921</v>
      </c>
      <c r="H952" s="16"/>
      <c r="I952" s="57"/>
      <c r="J952"/>
      <c r="L952" s="15">
        <v>714960717731</v>
      </c>
      <c r="M952" s="15">
        <v>7061636868</v>
      </c>
      <c r="N952" s="15"/>
    </row>
    <row r="953" spans="3:14" x14ac:dyDescent="0.3">
      <c r="C953" s="3">
        <v>43963</v>
      </c>
      <c r="D953" s="11">
        <v>2969</v>
      </c>
      <c r="G953" s="16" t="s">
        <v>922</v>
      </c>
      <c r="H953" s="16"/>
      <c r="I953" s="57"/>
      <c r="J953"/>
      <c r="L953" s="15">
        <v>287912220403</v>
      </c>
      <c r="M953" s="15">
        <v>6201345936</v>
      </c>
      <c r="N953" s="15"/>
    </row>
    <row r="954" spans="3:14" x14ac:dyDescent="0.3">
      <c r="C954" s="3">
        <v>43963</v>
      </c>
      <c r="D954" s="11">
        <v>2970</v>
      </c>
      <c r="G954" s="16" t="s">
        <v>923</v>
      </c>
      <c r="H954" s="16"/>
      <c r="I954" s="57"/>
      <c r="J954"/>
      <c r="L954" s="15">
        <v>483644924978</v>
      </c>
      <c r="M954" s="15">
        <v>9471515506</v>
      </c>
      <c r="N954" s="15"/>
    </row>
    <row r="955" spans="3:14" x14ac:dyDescent="0.3">
      <c r="C955" s="3">
        <v>43963</v>
      </c>
      <c r="D955" s="11">
        <v>2972</v>
      </c>
      <c r="G955" s="16" t="s">
        <v>924</v>
      </c>
      <c r="H955" s="16"/>
      <c r="I955" s="57"/>
      <c r="J955"/>
      <c r="L955" s="15">
        <v>942640785687</v>
      </c>
      <c r="M955" s="15">
        <v>7488673506</v>
      </c>
      <c r="N955" s="15"/>
    </row>
    <row r="956" spans="3:14" x14ac:dyDescent="0.3">
      <c r="C956" s="3">
        <v>43963</v>
      </c>
      <c r="D956" s="11">
        <v>2974</v>
      </c>
      <c r="G956" s="16" t="s">
        <v>925</v>
      </c>
      <c r="H956" s="16"/>
      <c r="I956" s="57"/>
      <c r="J956"/>
      <c r="L956" s="15">
        <v>613872402420</v>
      </c>
      <c r="M956" s="15">
        <v>6203779541</v>
      </c>
      <c r="N956" s="15"/>
    </row>
    <row r="957" spans="3:14" x14ac:dyDescent="0.3">
      <c r="C957" s="3">
        <v>43963</v>
      </c>
      <c r="D957" s="11">
        <v>2975</v>
      </c>
      <c r="G957" s="16" t="s">
        <v>926</v>
      </c>
      <c r="H957" s="16"/>
      <c r="I957" s="57"/>
      <c r="J957"/>
      <c r="L957" s="15">
        <v>217142073880</v>
      </c>
      <c r="M957" s="15">
        <v>9155204739</v>
      </c>
      <c r="N957" s="15"/>
    </row>
    <row r="958" spans="3:14" x14ac:dyDescent="0.3">
      <c r="C958" s="3">
        <v>43963</v>
      </c>
      <c r="D958" s="11">
        <v>2976</v>
      </c>
      <c r="G958" s="16" t="s">
        <v>927</v>
      </c>
      <c r="H958" s="16"/>
      <c r="I958" s="57"/>
      <c r="J958"/>
      <c r="L958" s="15">
        <v>560269122017</v>
      </c>
      <c r="M958" s="15">
        <v>8581085825</v>
      </c>
      <c r="N958" s="15"/>
    </row>
    <row r="959" spans="3:14" x14ac:dyDescent="0.3">
      <c r="C959" s="3">
        <v>43963</v>
      </c>
      <c r="D959" s="11">
        <v>2978</v>
      </c>
      <c r="G959" s="16" t="s">
        <v>928</v>
      </c>
      <c r="H959" s="16"/>
      <c r="I959" s="57"/>
      <c r="J959"/>
      <c r="L959" s="15">
        <v>521630773961</v>
      </c>
      <c r="M959" s="15">
        <v>7250492565</v>
      </c>
      <c r="N959" s="15"/>
    </row>
    <row r="960" spans="3:14" x14ac:dyDescent="0.3">
      <c r="C960" s="3">
        <v>43963</v>
      </c>
      <c r="D960" s="11">
        <v>2979</v>
      </c>
      <c r="G960" s="16" t="s">
        <v>929</v>
      </c>
      <c r="H960" s="16"/>
      <c r="I960" s="57"/>
      <c r="J960"/>
      <c r="L960" s="15">
        <v>584858780761</v>
      </c>
      <c r="M960" s="15">
        <v>6207331808</v>
      </c>
      <c r="N960" s="15"/>
    </row>
    <row r="961" spans="3:14" x14ac:dyDescent="0.3">
      <c r="C961" s="3">
        <v>43963</v>
      </c>
      <c r="D961" s="11">
        <v>2980</v>
      </c>
      <c r="G961" s="16" t="s">
        <v>930</v>
      </c>
      <c r="H961" s="16"/>
      <c r="I961" s="57"/>
      <c r="J961"/>
      <c r="L961" s="15">
        <v>711572543848</v>
      </c>
      <c r="M961" s="15">
        <v>8797065348</v>
      </c>
      <c r="N961" s="15"/>
    </row>
    <row r="962" spans="3:14" x14ac:dyDescent="0.3">
      <c r="C962" s="3">
        <v>43963</v>
      </c>
      <c r="D962" s="11">
        <v>2981</v>
      </c>
      <c r="G962" s="16" t="s">
        <v>931</v>
      </c>
      <c r="H962" s="16"/>
      <c r="I962" s="57"/>
      <c r="J962"/>
      <c r="L962" s="15">
        <v>781531079002</v>
      </c>
      <c r="M962" s="15">
        <v>8235227932</v>
      </c>
      <c r="N962" s="15"/>
    </row>
    <row r="963" spans="3:14" x14ac:dyDescent="0.3">
      <c r="C963" s="3">
        <v>43963</v>
      </c>
      <c r="D963" s="11">
        <v>2982</v>
      </c>
      <c r="G963" s="16" t="s">
        <v>392</v>
      </c>
      <c r="H963" s="16"/>
      <c r="I963" s="57"/>
      <c r="J963"/>
      <c r="L963" s="15">
        <v>779982146886</v>
      </c>
      <c r="M963" s="15">
        <v>8789978115</v>
      </c>
      <c r="N963" s="15"/>
    </row>
    <row r="964" spans="3:14" x14ac:dyDescent="0.3">
      <c r="C964" s="3">
        <v>43963</v>
      </c>
      <c r="D964" s="11">
        <v>2984</v>
      </c>
      <c r="G964" s="16" t="s">
        <v>932</v>
      </c>
      <c r="H964" s="16"/>
      <c r="I964" s="57"/>
      <c r="J964"/>
      <c r="L964" s="15">
        <v>930916603981</v>
      </c>
      <c r="M964" s="15">
        <v>8797341152</v>
      </c>
      <c r="N964" s="15"/>
    </row>
    <row r="965" spans="3:14" x14ac:dyDescent="0.3">
      <c r="C965" s="3">
        <v>43963</v>
      </c>
      <c r="D965" s="11">
        <v>2987</v>
      </c>
      <c r="G965" s="16" t="s">
        <v>933</v>
      </c>
      <c r="H965" s="16"/>
      <c r="I965" s="57"/>
      <c r="J965"/>
      <c r="L965" s="15">
        <v>363666183930</v>
      </c>
      <c r="M965" s="15">
        <v>7295882334</v>
      </c>
      <c r="N965" s="15"/>
    </row>
    <row r="966" spans="3:14" x14ac:dyDescent="0.3">
      <c r="C966" s="3">
        <v>43963</v>
      </c>
      <c r="D966" s="11">
        <v>2989</v>
      </c>
      <c r="G966" s="16" t="s">
        <v>934</v>
      </c>
      <c r="H966" s="16"/>
      <c r="I966" s="57"/>
      <c r="J966"/>
      <c r="L966" s="15">
        <v>575172173152</v>
      </c>
      <c r="M966" s="15">
        <v>9386653081</v>
      </c>
      <c r="N966" s="15"/>
    </row>
    <row r="967" spans="3:14" x14ac:dyDescent="0.3">
      <c r="C967" s="3">
        <v>43963</v>
      </c>
      <c r="D967" s="11">
        <v>2990</v>
      </c>
      <c r="G967" s="16" t="s">
        <v>935</v>
      </c>
      <c r="H967" s="16"/>
      <c r="I967" s="57"/>
      <c r="J967"/>
      <c r="L967" s="15">
        <v>430315740514</v>
      </c>
      <c r="M967" s="15">
        <v>8969421774</v>
      </c>
      <c r="N967" s="15"/>
    </row>
    <row r="968" spans="3:14" x14ac:dyDescent="0.3">
      <c r="C968" s="3">
        <v>43963</v>
      </c>
      <c r="D968" s="11">
        <v>2991</v>
      </c>
      <c r="G968" s="16" t="s">
        <v>936</v>
      </c>
      <c r="H968" s="16"/>
      <c r="I968" s="57"/>
      <c r="J968"/>
      <c r="L968" s="15">
        <v>583123015311</v>
      </c>
      <c r="M968" s="15">
        <v>7061008545</v>
      </c>
      <c r="N968" s="15"/>
    </row>
    <row r="969" spans="3:14" x14ac:dyDescent="0.3">
      <c r="C969" s="3">
        <v>43963</v>
      </c>
      <c r="D969" s="11">
        <v>2993</v>
      </c>
      <c r="G969" s="16" t="s">
        <v>937</v>
      </c>
      <c r="H969" s="16"/>
      <c r="I969" s="57"/>
      <c r="J969"/>
      <c r="L969" s="15">
        <v>556523015311</v>
      </c>
      <c r="M969" s="15">
        <v>8578058402</v>
      </c>
      <c r="N969" s="15"/>
    </row>
    <row r="970" spans="3:14" x14ac:dyDescent="0.3">
      <c r="C970" s="3">
        <v>43963</v>
      </c>
      <c r="D970" s="11">
        <v>2994</v>
      </c>
      <c r="G970" s="16" t="s">
        <v>231</v>
      </c>
      <c r="H970" s="16"/>
      <c r="I970" s="57"/>
      <c r="J970"/>
      <c r="L970" s="15">
        <v>967160699911</v>
      </c>
      <c r="M970" s="15">
        <v>9934125136</v>
      </c>
      <c r="N970" s="15"/>
    </row>
    <row r="971" spans="3:14" x14ac:dyDescent="0.3">
      <c r="C971" s="3">
        <v>43963</v>
      </c>
      <c r="D971" s="11">
        <v>2996</v>
      </c>
      <c r="G971" s="16" t="s">
        <v>938</v>
      </c>
      <c r="H971" s="16"/>
      <c r="I971" s="57"/>
      <c r="J971"/>
      <c r="L971" s="15">
        <v>662999780201</v>
      </c>
      <c r="M971" s="15">
        <v>6201809342</v>
      </c>
      <c r="N971" s="15"/>
    </row>
    <row r="972" spans="3:14" x14ac:dyDescent="0.3">
      <c r="C972" s="3">
        <v>43963</v>
      </c>
      <c r="D972" s="11">
        <v>2998</v>
      </c>
      <c r="G972" s="16" t="s">
        <v>939</v>
      </c>
      <c r="H972" s="16"/>
      <c r="I972" s="57"/>
      <c r="J972"/>
      <c r="L972" s="15">
        <v>333470222700</v>
      </c>
      <c r="M972" s="15">
        <v>6204079728</v>
      </c>
      <c r="N972" s="15"/>
    </row>
    <row r="973" spans="3:14" x14ac:dyDescent="0.3">
      <c r="C973" s="3">
        <v>43963</v>
      </c>
      <c r="D973" s="11">
        <v>2999</v>
      </c>
      <c r="G973" s="16" t="s">
        <v>940</v>
      </c>
      <c r="H973" s="16"/>
      <c r="I973" s="57"/>
      <c r="J973"/>
      <c r="L973" s="15">
        <v>384969999597</v>
      </c>
      <c r="M973" s="15">
        <v>7209668713</v>
      </c>
      <c r="N973" s="15"/>
    </row>
    <row r="974" spans="3:14" x14ac:dyDescent="0.3">
      <c r="C974" s="3">
        <v>43963</v>
      </c>
      <c r="D974" s="11">
        <v>3000</v>
      </c>
      <c r="G974" s="16" t="s">
        <v>229</v>
      </c>
      <c r="H974" s="16"/>
      <c r="I974" s="57"/>
      <c r="J974"/>
      <c r="L974" s="15">
        <v>983114583030</v>
      </c>
      <c r="M974" s="15">
        <v>7549749288</v>
      </c>
      <c r="N974" s="15"/>
    </row>
    <row r="975" spans="3:14" x14ac:dyDescent="0.3">
      <c r="C975" s="3">
        <v>43963</v>
      </c>
      <c r="D975" s="11">
        <v>3001</v>
      </c>
      <c r="G975" s="16" t="s">
        <v>941</v>
      </c>
      <c r="H975" s="16"/>
      <c r="I975" s="57"/>
      <c r="J975"/>
      <c r="L975" s="15">
        <v>279953454192</v>
      </c>
      <c r="M975" s="15">
        <v>7903618722</v>
      </c>
      <c r="N975" s="15"/>
    </row>
    <row r="976" spans="3:14" x14ac:dyDescent="0.3">
      <c r="C976" s="3">
        <v>43963</v>
      </c>
      <c r="D976" s="11">
        <v>3002</v>
      </c>
      <c r="G976" s="16" t="s">
        <v>942</v>
      </c>
      <c r="H976" s="16"/>
      <c r="I976" s="57"/>
      <c r="J976"/>
      <c r="L976" s="15">
        <v>831059934123</v>
      </c>
      <c r="M976" s="15">
        <v>9031735317</v>
      </c>
      <c r="N976" s="15"/>
    </row>
    <row r="977" spans="3:15" x14ac:dyDescent="0.3">
      <c r="C977" s="3">
        <v>43963</v>
      </c>
      <c r="D977" s="11">
        <v>3003</v>
      </c>
      <c r="G977" s="16" t="s">
        <v>943</v>
      </c>
      <c r="H977" s="16"/>
      <c r="I977" s="57"/>
      <c r="J977"/>
      <c r="L977" s="15">
        <v>575544518600</v>
      </c>
      <c r="M977" s="15">
        <v>7061047109</v>
      </c>
      <c r="N977" s="15"/>
    </row>
    <row r="978" spans="3:15" x14ac:dyDescent="0.3">
      <c r="C978" s="3">
        <v>43963</v>
      </c>
      <c r="D978" s="11">
        <v>3004</v>
      </c>
      <c r="G978" s="16" t="s">
        <v>944</v>
      </c>
      <c r="H978" s="16"/>
      <c r="I978" s="57"/>
      <c r="J978"/>
      <c r="L978" s="15">
        <v>424998706262</v>
      </c>
      <c r="M978" s="15">
        <v>7765918061</v>
      </c>
      <c r="N978" s="15"/>
    </row>
    <row r="979" spans="3:15" x14ac:dyDescent="0.3">
      <c r="C979" s="3">
        <v>43963</v>
      </c>
      <c r="D979" s="11">
        <v>3005</v>
      </c>
      <c r="G979" s="16" t="s">
        <v>945</v>
      </c>
      <c r="H979" s="16"/>
      <c r="I979" s="57"/>
      <c r="J979"/>
      <c r="L979" s="15">
        <v>527028900961</v>
      </c>
      <c r="M979" s="15">
        <v>9631271719</v>
      </c>
      <c r="N979" s="15"/>
    </row>
    <row r="980" spans="3:15" x14ac:dyDescent="0.3">
      <c r="C980" s="3">
        <v>43963</v>
      </c>
      <c r="D980" s="11">
        <v>3006</v>
      </c>
      <c r="G980" s="16" t="s">
        <v>946</v>
      </c>
      <c r="H980" s="16"/>
      <c r="I980" s="57"/>
      <c r="J980"/>
      <c r="L980" s="15">
        <v>472075958416</v>
      </c>
      <c r="M980" s="15">
        <v>7903293845</v>
      </c>
      <c r="N980" s="15"/>
    </row>
    <row r="981" spans="3:15" x14ac:dyDescent="0.3">
      <c r="C981" s="3">
        <v>43963</v>
      </c>
      <c r="D981" s="11">
        <v>3007</v>
      </c>
      <c r="G981" s="16" t="s">
        <v>947</v>
      </c>
      <c r="H981" s="16"/>
      <c r="I981" s="57"/>
      <c r="J981"/>
      <c r="L981" s="15">
        <v>811056593027</v>
      </c>
      <c r="M981" s="15">
        <v>8271323378</v>
      </c>
      <c r="N981" s="15"/>
    </row>
    <row r="982" spans="3:15" x14ac:dyDescent="0.3">
      <c r="C982" s="3">
        <v>43963</v>
      </c>
      <c r="D982" s="11">
        <v>3008</v>
      </c>
      <c r="G982" s="16" t="s">
        <v>948</v>
      </c>
      <c r="H982" s="21"/>
      <c r="I982" s="17">
        <v>33222</v>
      </c>
      <c r="J982" t="s">
        <v>1298</v>
      </c>
      <c r="K982" s="4">
        <v>200</v>
      </c>
      <c r="L982" s="15">
        <v>558126232270</v>
      </c>
      <c r="M982" s="15">
        <v>8340180863</v>
      </c>
      <c r="N982" s="15"/>
    </row>
    <row r="983" spans="3:15" x14ac:dyDescent="0.3">
      <c r="C983" s="3">
        <v>43963</v>
      </c>
      <c r="D983" s="11">
        <v>3010</v>
      </c>
      <c r="G983" s="16" t="s">
        <v>949</v>
      </c>
      <c r="H983" s="16"/>
      <c r="I983" s="57"/>
      <c r="J983"/>
      <c r="L983" s="15">
        <v>988966142203</v>
      </c>
      <c r="M983" s="15">
        <v>8252410391</v>
      </c>
      <c r="N983" s="15"/>
    </row>
    <row r="984" spans="3:15" x14ac:dyDescent="0.3">
      <c r="C984" s="3">
        <v>43963</v>
      </c>
      <c r="D984" s="11">
        <v>3011</v>
      </c>
      <c r="G984" s="16" t="s">
        <v>950</v>
      </c>
      <c r="H984" s="16"/>
      <c r="I984" s="17"/>
      <c r="J984"/>
      <c r="L984" s="15">
        <v>975089695701</v>
      </c>
      <c r="M984" s="15">
        <v>6207930320</v>
      </c>
      <c r="N984" s="15"/>
    </row>
    <row r="985" spans="3:15" x14ac:dyDescent="0.3">
      <c r="C985" s="3">
        <v>43963</v>
      </c>
      <c r="D985" s="11">
        <v>3014</v>
      </c>
      <c r="G985" s="16" t="s">
        <v>1373</v>
      </c>
      <c r="H985" s="16"/>
      <c r="I985" s="17">
        <v>33258</v>
      </c>
      <c r="J985" t="s">
        <v>1374</v>
      </c>
      <c r="K985" s="4">
        <v>100</v>
      </c>
      <c r="L985" s="15">
        <v>309477567947</v>
      </c>
      <c r="M985" s="15">
        <v>9939434321</v>
      </c>
      <c r="N985" s="15"/>
      <c r="O985" s="4" t="s">
        <v>30</v>
      </c>
    </row>
    <row r="986" spans="3:15" x14ac:dyDescent="0.3">
      <c r="C986" s="3">
        <v>43964</v>
      </c>
      <c r="D986" s="11">
        <v>3024</v>
      </c>
      <c r="G986" s="16" t="s">
        <v>951</v>
      </c>
      <c r="H986" s="16"/>
      <c r="I986" s="17">
        <v>30326</v>
      </c>
      <c r="J986" t="s">
        <v>1389</v>
      </c>
      <c r="K986" s="4">
        <v>100</v>
      </c>
      <c r="L986" s="15">
        <v>380024903424</v>
      </c>
      <c r="M986" s="15">
        <v>8092027907</v>
      </c>
      <c r="N986" s="15"/>
    </row>
    <row r="987" spans="3:15" x14ac:dyDescent="0.3">
      <c r="C987" s="3">
        <v>43964</v>
      </c>
      <c r="D987" s="11">
        <v>3025</v>
      </c>
      <c r="G987" s="16" t="s">
        <v>952</v>
      </c>
      <c r="H987" s="16"/>
      <c r="I987" s="17"/>
      <c r="J987"/>
      <c r="L987" s="15">
        <v>840334979044</v>
      </c>
      <c r="M987" s="15">
        <v>9693795817</v>
      </c>
      <c r="N987" s="15"/>
    </row>
    <row r="988" spans="3:15" x14ac:dyDescent="0.3">
      <c r="C988" s="3">
        <v>43964</v>
      </c>
      <c r="D988" s="11">
        <v>3026</v>
      </c>
      <c r="G988" s="16" t="s">
        <v>953</v>
      </c>
      <c r="H988" s="16"/>
      <c r="I988" s="17"/>
      <c r="J988"/>
      <c r="L988" s="15">
        <v>551057840784</v>
      </c>
      <c r="M988" s="15">
        <v>8092639416</v>
      </c>
      <c r="N988" s="15"/>
    </row>
    <row r="989" spans="3:15" x14ac:dyDescent="0.3">
      <c r="C989" s="3">
        <v>43964</v>
      </c>
      <c r="D989" s="11">
        <v>3027</v>
      </c>
      <c r="G989" s="16" t="s">
        <v>954</v>
      </c>
      <c r="H989" s="16"/>
      <c r="I989" s="17"/>
      <c r="J989"/>
      <c r="L989" s="15">
        <v>879395410848</v>
      </c>
      <c r="M989" s="15">
        <v>9031602524</v>
      </c>
      <c r="N989" s="15"/>
      <c r="O989" s="4" t="s">
        <v>30</v>
      </c>
    </row>
    <row r="990" spans="3:15" x14ac:dyDescent="0.3">
      <c r="C990" s="3">
        <v>43964</v>
      </c>
      <c r="D990" s="11">
        <v>3028</v>
      </c>
      <c r="G990" s="16" t="s">
        <v>955</v>
      </c>
      <c r="H990" s="16"/>
      <c r="I990" s="17"/>
      <c r="J990"/>
      <c r="L990" s="15">
        <v>704266906169</v>
      </c>
      <c r="M990" s="15">
        <v>7209735049</v>
      </c>
      <c r="N990" s="15"/>
    </row>
    <row r="991" spans="3:15" x14ac:dyDescent="0.3">
      <c r="C991" s="3">
        <v>43964</v>
      </c>
      <c r="D991" s="39">
        <v>3029</v>
      </c>
      <c r="G991" s="16" t="s">
        <v>956</v>
      </c>
      <c r="H991" s="16"/>
      <c r="I991" s="17"/>
      <c r="J991"/>
      <c r="L991" s="15">
        <v>732852874349</v>
      </c>
      <c r="M991" s="15">
        <v>6202569297</v>
      </c>
      <c r="N991" s="15"/>
      <c r="O991" s="3">
        <v>44063</v>
      </c>
    </row>
    <row r="992" spans="3:15" x14ac:dyDescent="0.3">
      <c r="C992" s="3">
        <v>43964</v>
      </c>
      <c r="D992" s="11">
        <v>3030</v>
      </c>
      <c r="G992" s="16" t="s">
        <v>957</v>
      </c>
      <c r="H992" s="16"/>
      <c r="I992" s="17"/>
      <c r="J992"/>
      <c r="L992" s="15">
        <v>201898568553</v>
      </c>
      <c r="M992" s="15">
        <v>7667860895</v>
      </c>
      <c r="N992" s="15"/>
      <c r="O992" s="4" t="s">
        <v>30</v>
      </c>
    </row>
    <row r="993" spans="3:14" x14ac:dyDescent="0.3">
      <c r="C993" s="3">
        <v>43964</v>
      </c>
      <c r="D993" s="11">
        <v>3031</v>
      </c>
      <c r="G993" s="16" t="s">
        <v>958</v>
      </c>
      <c r="H993" s="16"/>
      <c r="I993" s="17"/>
      <c r="J993"/>
      <c r="L993" s="15">
        <v>700156944635</v>
      </c>
      <c r="M993" s="15">
        <v>8340517616</v>
      </c>
      <c r="N993" s="15"/>
    </row>
    <row r="994" spans="3:14" x14ac:dyDescent="0.3">
      <c r="C994" s="3">
        <v>43964</v>
      </c>
      <c r="D994" s="11">
        <v>3033</v>
      </c>
      <c r="G994" s="16" t="s">
        <v>959</v>
      </c>
      <c r="H994" s="16"/>
      <c r="I994" s="17"/>
      <c r="J994"/>
      <c r="L994" s="15">
        <v>606136287788</v>
      </c>
      <c r="M994" s="15">
        <v>7488212028</v>
      </c>
      <c r="N994" s="15"/>
    </row>
    <row r="995" spans="3:14" x14ac:dyDescent="0.3">
      <c r="C995" s="3">
        <v>43964</v>
      </c>
      <c r="D995" s="11">
        <v>3034</v>
      </c>
      <c r="G995" s="16" t="s">
        <v>960</v>
      </c>
      <c r="H995" s="16"/>
      <c r="I995" s="17"/>
      <c r="J995"/>
      <c r="L995" s="15">
        <v>733913725589</v>
      </c>
      <c r="M995" s="15">
        <v>9234772448</v>
      </c>
      <c r="N995" s="15"/>
    </row>
    <row r="996" spans="3:14" x14ac:dyDescent="0.3">
      <c r="C996" s="3">
        <v>43964</v>
      </c>
      <c r="D996" s="11">
        <v>3036</v>
      </c>
      <c r="G996" s="16" t="s">
        <v>961</v>
      </c>
      <c r="H996" s="16"/>
      <c r="I996" s="57"/>
      <c r="J996"/>
      <c r="L996" s="15">
        <v>994707628360</v>
      </c>
      <c r="M996" s="15">
        <v>8987429657</v>
      </c>
      <c r="N996" s="15"/>
    </row>
    <row r="997" spans="3:14" x14ac:dyDescent="0.3">
      <c r="C997" s="3">
        <v>43964</v>
      </c>
      <c r="D997" s="11">
        <v>3037</v>
      </c>
      <c r="G997" s="16" t="s">
        <v>962</v>
      </c>
      <c r="H997" s="16"/>
      <c r="I997" s="57"/>
      <c r="J997"/>
      <c r="L997" s="15">
        <v>245761015584</v>
      </c>
      <c r="M997" s="15">
        <v>9031140852</v>
      </c>
      <c r="N997" s="15"/>
    </row>
    <row r="998" spans="3:14" x14ac:dyDescent="0.3">
      <c r="C998" s="3">
        <v>43964</v>
      </c>
      <c r="D998" s="11">
        <v>3039</v>
      </c>
      <c r="G998" s="16" t="s">
        <v>963</v>
      </c>
      <c r="H998" s="16"/>
      <c r="I998" s="57"/>
      <c r="J998"/>
      <c r="L998" s="15">
        <v>424084391958</v>
      </c>
      <c r="M998" s="15">
        <v>9973356259</v>
      </c>
      <c r="N998" s="15"/>
    </row>
    <row r="999" spans="3:14" x14ac:dyDescent="0.3">
      <c r="C999" s="3">
        <v>43964</v>
      </c>
      <c r="D999" s="11">
        <v>3041</v>
      </c>
      <c r="G999" s="16" t="s">
        <v>964</v>
      </c>
      <c r="H999" s="16"/>
      <c r="I999" s="57"/>
      <c r="J999"/>
      <c r="L999" s="15">
        <v>970671396521</v>
      </c>
      <c r="M999" s="15">
        <v>6203286883</v>
      </c>
      <c r="N999" s="15"/>
    </row>
    <row r="1000" spans="3:14" x14ac:dyDescent="0.3">
      <c r="C1000" s="3">
        <v>43964</v>
      </c>
      <c r="D1000" s="11">
        <v>3043</v>
      </c>
      <c r="G1000" s="16" t="s">
        <v>965</v>
      </c>
      <c r="H1000" s="16"/>
      <c r="I1000" s="57"/>
      <c r="J1000"/>
      <c r="L1000" s="15">
        <v>954650400244</v>
      </c>
      <c r="M1000" s="15">
        <v>8797603343</v>
      </c>
      <c r="N1000" s="15"/>
    </row>
    <row r="1001" spans="3:14" x14ac:dyDescent="0.3">
      <c r="C1001" s="3">
        <v>43964</v>
      </c>
      <c r="D1001" s="11">
        <v>3044</v>
      </c>
      <c r="G1001" s="16" t="s">
        <v>966</v>
      </c>
      <c r="H1001" s="16"/>
      <c r="I1001" s="57"/>
      <c r="J1001"/>
      <c r="L1001" s="15">
        <v>827783414461</v>
      </c>
      <c r="M1001" s="15">
        <v>9771913820</v>
      </c>
      <c r="N1001" s="15"/>
    </row>
    <row r="1002" spans="3:14" x14ac:dyDescent="0.3">
      <c r="C1002" s="3">
        <v>43964</v>
      </c>
      <c r="D1002" s="11">
        <v>3045</v>
      </c>
      <c r="G1002" s="16" t="s">
        <v>967</v>
      </c>
      <c r="H1002" s="16"/>
      <c r="I1002" s="57"/>
      <c r="J1002"/>
      <c r="L1002" s="15">
        <v>890102852291</v>
      </c>
      <c r="M1002" s="15">
        <v>7992391115</v>
      </c>
      <c r="N1002" s="15"/>
    </row>
    <row r="1003" spans="3:14" x14ac:dyDescent="0.3">
      <c r="C1003" s="3">
        <v>43964</v>
      </c>
      <c r="D1003" s="11">
        <v>3046</v>
      </c>
      <c r="G1003" s="16" t="s">
        <v>968</v>
      </c>
      <c r="H1003" s="16"/>
      <c r="I1003" s="57"/>
      <c r="J1003"/>
      <c r="L1003" s="15">
        <v>757446545399</v>
      </c>
      <c r="M1003" s="15">
        <v>9693178713</v>
      </c>
      <c r="N1003" s="15"/>
    </row>
    <row r="1004" spans="3:14" x14ac:dyDescent="0.3">
      <c r="C1004" s="3">
        <v>43964</v>
      </c>
      <c r="D1004" s="11">
        <v>3047</v>
      </c>
      <c r="G1004" s="16" t="s">
        <v>969</v>
      </c>
      <c r="H1004" s="16"/>
      <c r="I1004" s="57"/>
      <c r="J1004"/>
      <c r="L1004" s="15">
        <v>566293374407</v>
      </c>
      <c r="M1004" s="15">
        <v>7488443758</v>
      </c>
      <c r="N1004" s="15"/>
    </row>
    <row r="1005" spans="3:14" x14ac:dyDescent="0.3">
      <c r="C1005" s="3">
        <v>43964</v>
      </c>
      <c r="D1005" s="11">
        <v>3049</v>
      </c>
      <c r="G1005" s="16" t="s">
        <v>970</v>
      </c>
      <c r="H1005" s="16"/>
      <c r="I1005" s="57"/>
      <c r="J1005"/>
      <c r="L1005" s="15">
        <v>249323271942</v>
      </c>
      <c r="M1005" s="15">
        <v>9939247670</v>
      </c>
      <c r="N1005" s="15"/>
    </row>
    <row r="1006" spans="3:14" x14ac:dyDescent="0.3">
      <c r="C1006" s="3">
        <v>43964</v>
      </c>
      <c r="D1006" s="11">
        <v>3050</v>
      </c>
      <c r="G1006" s="16" t="s">
        <v>971</v>
      </c>
      <c r="H1006" s="16"/>
      <c r="I1006" s="57"/>
      <c r="J1006"/>
      <c r="L1006" s="15">
        <v>369553313658</v>
      </c>
      <c r="M1006" s="15">
        <v>7488487278</v>
      </c>
      <c r="N1006" s="15"/>
    </row>
    <row r="1007" spans="3:14" x14ac:dyDescent="0.3">
      <c r="C1007" s="3">
        <v>43964</v>
      </c>
      <c r="D1007" s="11">
        <v>3051</v>
      </c>
      <c r="G1007" s="16" t="s">
        <v>972</v>
      </c>
      <c r="H1007" s="16"/>
      <c r="I1007" s="57"/>
      <c r="J1007"/>
      <c r="L1007" s="15">
        <v>810573124309</v>
      </c>
      <c r="M1007" s="15">
        <v>8651446849</v>
      </c>
      <c r="N1007" s="15"/>
    </row>
    <row r="1008" spans="3:14" x14ac:dyDescent="0.3">
      <c r="C1008" s="3">
        <v>43964</v>
      </c>
      <c r="D1008" s="11">
        <v>3053</v>
      </c>
      <c r="G1008" s="16" t="s">
        <v>583</v>
      </c>
      <c r="H1008" s="16"/>
      <c r="I1008" s="57"/>
      <c r="J1008"/>
      <c r="L1008" s="15">
        <v>821237942422</v>
      </c>
      <c r="M1008" s="15">
        <v>6201248988</v>
      </c>
      <c r="N1008" s="15"/>
    </row>
    <row r="1009" spans="3:14" x14ac:dyDescent="0.3">
      <c r="C1009" s="3">
        <v>43964</v>
      </c>
      <c r="D1009" s="11">
        <v>3055</v>
      </c>
      <c r="G1009" s="16" t="s">
        <v>973</v>
      </c>
      <c r="H1009" s="16"/>
      <c r="I1009" s="57"/>
      <c r="J1009"/>
      <c r="L1009" s="15">
        <v>827783414461</v>
      </c>
      <c r="M1009" s="15">
        <v>916294449</v>
      </c>
      <c r="N1009" s="15"/>
    </row>
    <row r="1010" spans="3:14" x14ac:dyDescent="0.3">
      <c r="C1010" s="3">
        <v>43964</v>
      </c>
      <c r="D1010" s="11">
        <v>3058</v>
      </c>
      <c r="G1010" s="16" t="s">
        <v>974</v>
      </c>
      <c r="H1010" s="16"/>
      <c r="I1010" s="57"/>
      <c r="J1010"/>
      <c r="L1010" s="15">
        <v>225638785252</v>
      </c>
      <c r="M1010" s="15">
        <v>7991138559</v>
      </c>
      <c r="N1010" s="15"/>
    </row>
    <row r="1011" spans="3:14" x14ac:dyDescent="0.3">
      <c r="C1011" s="3">
        <v>43964</v>
      </c>
      <c r="D1011" s="11">
        <v>3060</v>
      </c>
      <c r="G1011" s="16" t="s">
        <v>975</v>
      </c>
      <c r="H1011" s="16"/>
      <c r="I1011" s="57"/>
      <c r="J1011"/>
      <c r="L1011" s="15">
        <v>801995998903</v>
      </c>
      <c r="M1011" s="15">
        <v>7004600733</v>
      </c>
      <c r="N1011" s="15"/>
    </row>
    <row r="1012" spans="3:14" x14ac:dyDescent="0.3">
      <c r="C1012" s="3">
        <v>43964</v>
      </c>
      <c r="D1012" s="11">
        <v>3062</v>
      </c>
      <c r="G1012" s="16" t="s">
        <v>6</v>
      </c>
      <c r="H1012" s="16"/>
      <c r="I1012" s="57"/>
      <c r="J1012"/>
      <c r="L1012" s="15">
        <v>982745604278</v>
      </c>
      <c r="M1012" s="15">
        <v>9234879199</v>
      </c>
      <c r="N1012" s="15"/>
    </row>
    <row r="1013" spans="3:14" x14ac:dyDescent="0.3">
      <c r="C1013" s="3">
        <v>43964</v>
      </c>
      <c r="D1013" s="11">
        <v>3063</v>
      </c>
      <c r="G1013" s="16" t="s">
        <v>976</v>
      </c>
      <c r="H1013" s="16"/>
      <c r="I1013" s="57"/>
      <c r="J1013"/>
      <c r="L1013" s="15">
        <v>915142838865</v>
      </c>
      <c r="M1013" s="15">
        <v>6287831944</v>
      </c>
      <c r="N1013" s="15"/>
    </row>
    <row r="1014" spans="3:14" x14ac:dyDescent="0.3">
      <c r="C1014" s="3">
        <v>43964</v>
      </c>
      <c r="D1014" s="11">
        <v>3067</v>
      </c>
      <c r="G1014" s="16" t="s">
        <v>977</v>
      </c>
      <c r="H1014" s="16"/>
      <c r="I1014" s="57"/>
      <c r="J1014"/>
      <c r="L1014" s="15">
        <v>931030213905</v>
      </c>
      <c r="M1014" s="15"/>
      <c r="N1014" s="15"/>
    </row>
    <row r="1015" spans="3:14" x14ac:dyDescent="0.3">
      <c r="C1015" s="3">
        <v>43964</v>
      </c>
      <c r="D1015" s="11">
        <v>3068</v>
      </c>
      <c r="G1015" s="16" t="s">
        <v>978</v>
      </c>
      <c r="H1015" s="16"/>
      <c r="I1015" s="57"/>
      <c r="J1015"/>
      <c r="L1015" s="15">
        <v>387449075012</v>
      </c>
      <c r="M1015" s="15">
        <v>9204120705</v>
      </c>
      <c r="N1015" s="15"/>
    </row>
    <row r="1016" spans="3:14" x14ac:dyDescent="0.3">
      <c r="C1016" s="3">
        <v>43964</v>
      </c>
      <c r="D1016" s="11">
        <v>3069</v>
      </c>
      <c r="G1016" s="16" t="s">
        <v>853</v>
      </c>
      <c r="H1016" s="16"/>
      <c r="I1016" s="57"/>
      <c r="J1016"/>
      <c r="L1016" s="15">
        <v>668435837316</v>
      </c>
      <c r="M1016" s="15">
        <v>8092773567</v>
      </c>
      <c r="N1016" s="15"/>
    </row>
    <row r="1017" spans="3:14" x14ac:dyDescent="0.3">
      <c r="C1017" s="3">
        <v>43964</v>
      </c>
      <c r="D1017" s="11">
        <v>3070</v>
      </c>
      <c r="G1017" s="16" t="s">
        <v>979</v>
      </c>
      <c r="H1017" s="16"/>
      <c r="I1017" s="57"/>
      <c r="J1017"/>
      <c r="L1017" s="15">
        <v>348589041029</v>
      </c>
      <c r="M1017" s="15">
        <v>7488032608</v>
      </c>
      <c r="N1017" s="15"/>
    </row>
    <row r="1018" spans="3:14" x14ac:dyDescent="0.3">
      <c r="C1018" s="3">
        <v>43964</v>
      </c>
      <c r="D1018" s="11">
        <v>3072</v>
      </c>
      <c r="G1018" s="16" t="s">
        <v>980</v>
      </c>
      <c r="H1018" s="16"/>
      <c r="I1018" s="57"/>
      <c r="J1018"/>
      <c r="L1018" s="15">
        <v>845575439923</v>
      </c>
      <c r="M1018" s="15">
        <v>7004081988</v>
      </c>
      <c r="N1018" s="15"/>
    </row>
    <row r="1019" spans="3:14" x14ac:dyDescent="0.3">
      <c r="C1019" s="3">
        <v>43964</v>
      </c>
      <c r="D1019" s="11">
        <v>3073</v>
      </c>
      <c r="G1019" s="16" t="s">
        <v>981</v>
      </c>
      <c r="H1019" s="16"/>
      <c r="I1019" s="57"/>
      <c r="J1019"/>
      <c r="L1019" s="15">
        <v>673791053834</v>
      </c>
      <c r="M1019" s="15">
        <v>9234705547</v>
      </c>
      <c r="N1019" s="15"/>
    </row>
    <row r="1020" spans="3:14" x14ac:dyDescent="0.3">
      <c r="C1020" s="3">
        <v>43964</v>
      </c>
      <c r="D1020" s="11">
        <v>3075</v>
      </c>
      <c r="G1020" s="16" t="s">
        <v>982</v>
      </c>
      <c r="H1020" s="16"/>
      <c r="I1020" s="57"/>
      <c r="J1020"/>
      <c r="L1020" s="15">
        <v>775218031797</v>
      </c>
      <c r="M1020" s="15">
        <v>8797852850</v>
      </c>
      <c r="N1020" s="15"/>
    </row>
    <row r="1021" spans="3:14" x14ac:dyDescent="0.3">
      <c r="C1021" s="3">
        <v>43964</v>
      </c>
      <c r="D1021" s="11">
        <v>3077</v>
      </c>
      <c r="G1021" s="16" t="s">
        <v>617</v>
      </c>
      <c r="H1021" s="16"/>
      <c r="I1021" s="57"/>
      <c r="J1021"/>
      <c r="L1021" s="15">
        <v>954861238073</v>
      </c>
      <c r="M1021" s="15">
        <v>8987879258</v>
      </c>
      <c r="N1021" s="15"/>
    </row>
    <row r="1022" spans="3:14" x14ac:dyDescent="0.3">
      <c r="C1022" s="3">
        <v>43964</v>
      </c>
      <c r="D1022" s="11">
        <v>3079</v>
      </c>
      <c r="G1022" s="16" t="s">
        <v>983</v>
      </c>
      <c r="H1022" s="16"/>
      <c r="I1022" s="57"/>
      <c r="J1022"/>
      <c r="L1022" s="15">
        <v>757326857728</v>
      </c>
      <c r="M1022" s="15">
        <v>6207248956</v>
      </c>
      <c r="N1022" s="15"/>
    </row>
    <row r="1023" spans="3:14" x14ac:dyDescent="0.3">
      <c r="C1023" s="3">
        <v>43964</v>
      </c>
      <c r="D1023" s="11">
        <v>3084</v>
      </c>
      <c r="G1023" s="16" t="s">
        <v>984</v>
      </c>
      <c r="H1023" s="16"/>
      <c r="I1023" s="57"/>
      <c r="J1023"/>
      <c r="L1023" s="15">
        <v>865483770237</v>
      </c>
      <c r="M1023" s="15">
        <v>9608202088</v>
      </c>
      <c r="N1023" s="15"/>
    </row>
    <row r="1024" spans="3:14" x14ac:dyDescent="0.3">
      <c r="C1024" s="3">
        <v>43964</v>
      </c>
      <c r="D1024" s="11">
        <v>3086</v>
      </c>
      <c r="G1024" s="16" t="s">
        <v>985</v>
      </c>
      <c r="H1024" s="16"/>
      <c r="I1024" s="57"/>
      <c r="J1024"/>
      <c r="L1024" s="15">
        <v>478346547805</v>
      </c>
      <c r="M1024" s="15">
        <v>6299479278</v>
      </c>
      <c r="N1024" s="15"/>
    </row>
    <row r="1025" spans="3:14" x14ac:dyDescent="0.3">
      <c r="C1025" s="3">
        <v>43964</v>
      </c>
      <c r="D1025" s="11">
        <v>3094</v>
      </c>
      <c r="G1025" s="16" t="s">
        <v>986</v>
      </c>
      <c r="H1025" s="16"/>
      <c r="I1025" s="57"/>
      <c r="J1025"/>
      <c r="L1025" s="15">
        <v>323451345789</v>
      </c>
      <c r="M1025" s="15">
        <v>7367006497</v>
      </c>
      <c r="N1025" s="15"/>
    </row>
    <row r="1026" spans="3:14" x14ac:dyDescent="0.3">
      <c r="C1026" s="3">
        <v>43964</v>
      </c>
      <c r="D1026" s="11">
        <v>3095</v>
      </c>
      <c r="G1026" s="16" t="s">
        <v>987</v>
      </c>
      <c r="H1026" s="16"/>
      <c r="I1026" s="57"/>
      <c r="J1026"/>
      <c r="L1026" s="15">
        <v>224212248786</v>
      </c>
      <c r="M1026" s="15">
        <v>9931787263</v>
      </c>
      <c r="N1026" s="15"/>
    </row>
    <row r="1027" spans="3:14" x14ac:dyDescent="0.3">
      <c r="C1027" s="3">
        <v>43964</v>
      </c>
      <c r="D1027" s="11">
        <v>3097</v>
      </c>
      <c r="G1027" s="16" t="s">
        <v>988</v>
      </c>
      <c r="H1027" s="16"/>
      <c r="I1027" s="57"/>
      <c r="J1027"/>
      <c r="L1027" s="15">
        <v>655437964940</v>
      </c>
      <c r="M1027" s="15">
        <v>9570067329</v>
      </c>
      <c r="N1027" s="15"/>
    </row>
    <row r="1028" spans="3:14" x14ac:dyDescent="0.3">
      <c r="C1028" s="3">
        <v>43964</v>
      </c>
      <c r="D1028" s="11">
        <v>3098</v>
      </c>
      <c r="G1028" s="16" t="s">
        <v>989</v>
      </c>
      <c r="H1028" s="16"/>
      <c r="I1028" s="57"/>
      <c r="J1028"/>
      <c r="L1028" s="15">
        <v>832480298401</v>
      </c>
      <c r="M1028" s="15">
        <v>7979763021</v>
      </c>
      <c r="N1028" s="15"/>
    </row>
    <row r="1029" spans="3:14" x14ac:dyDescent="0.3">
      <c r="C1029" s="3">
        <v>43964</v>
      </c>
      <c r="D1029" s="11">
        <v>3101</v>
      </c>
      <c r="G1029" s="16" t="s">
        <v>990</v>
      </c>
      <c r="H1029" s="16"/>
      <c r="I1029" s="57"/>
      <c r="J1029"/>
      <c r="L1029" s="15">
        <v>465176112865</v>
      </c>
      <c r="M1029" s="15">
        <v>7534061513</v>
      </c>
      <c r="N1029" s="15"/>
    </row>
    <row r="1030" spans="3:14" x14ac:dyDescent="0.3">
      <c r="C1030" s="3">
        <v>43964</v>
      </c>
      <c r="D1030" s="11">
        <v>3103</v>
      </c>
      <c r="G1030" s="16" t="s">
        <v>991</v>
      </c>
      <c r="H1030" s="16"/>
      <c r="I1030" s="57"/>
      <c r="J1030"/>
      <c r="L1030" s="15">
        <v>371661299243</v>
      </c>
      <c r="M1030" s="15">
        <v>9117516522</v>
      </c>
      <c r="N1030" s="15"/>
    </row>
    <row r="1031" spans="3:14" x14ac:dyDescent="0.3">
      <c r="C1031" s="3">
        <v>43964</v>
      </c>
      <c r="D1031" s="11">
        <v>3111</v>
      </c>
      <c r="G1031" s="16" t="s">
        <v>992</v>
      </c>
      <c r="H1031" s="16"/>
      <c r="I1031" s="57"/>
      <c r="J1031"/>
      <c r="L1031" s="15">
        <v>9104187800150130</v>
      </c>
      <c r="M1031" s="15">
        <v>6202845926</v>
      </c>
      <c r="N1031" s="15"/>
    </row>
    <row r="1032" spans="3:14" x14ac:dyDescent="0.3">
      <c r="C1032" s="3">
        <v>43964</v>
      </c>
      <c r="D1032" s="11">
        <v>3114</v>
      </c>
      <c r="G1032" s="16" t="s">
        <v>993</v>
      </c>
      <c r="H1032" s="16"/>
      <c r="I1032" s="57"/>
      <c r="J1032"/>
      <c r="L1032" s="15">
        <v>460336496238</v>
      </c>
      <c r="M1032" s="15">
        <v>9631069599</v>
      </c>
      <c r="N1032" s="15"/>
    </row>
    <row r="1033" spans="3:14" x14ac:dyDescent="0.3">
      <c r="C1033" s="3">
        <v>43964</v>
      </c>
      <c r="D1033" s="11">
        <v>3120</v>
      </c>
      <c r="G1033" s="16" t="s">
        <v>994</v>
      </c>
      <c r="H1033" s="16"/>
      <c r="I1033" s="57"/>
      <c r="J1033"/>
      <c r="L1033" s="15">
        <v>592290384123</v>
      </c>
      <c r="M1033" s="15"/>
      <c r="N1033" s="15"/>
    </row>
    <row r="1034" spans="3:14" x14ac:dyDescent="0.3">
      <c r="C1034" s="3">
        <v>43964</v>
      </c>
      <c r="D1034" s="11">
        <v>3121</v>
      </c>
      <c r="G1034" s="16" t="s">
        <v>995</v>
      </c>
      <c r="H1034" s="16"/>
      <c r="I1034" s="57"/>
      <c r="J1034"/>
      <c r="L1034" s="15">
        <v>394906225612</v>
      </c>
      <c r="M1034" s="15">
        <v>8789765707</v>
      </c>
      <c r="N1034" s="15"/>
    </row>
    <row r="1035" spans="3:14" x14ac:dyDescent="0.3">
      <c r="C1035" s="3">
        <v>43964</v>
      </c>
      <c r="D1035" s="11">
        <v>3124</v>
      </c>
      <c r="G1035" s="16" t="s">
        <v>997</v>
      </c>
      <c r="H1035" s="16"/>
      <c r="I1035" s="57"/>
      <c r="J1035"/>
      <c r="L1035" s="15">
        <v>883280096021</v>
      </c>
      <c r="M1035" s="15"/>
      <c r="N1035" s="15"/>
    </row>
    <row r="1036" spans="3:14" x14ac:dyDescent="0.3">
      <c r="C1036" s="3">
        <v>43964</v>
      </c>
      <c r="D1036" s="11">
        <v>3126</v>
      </c>
      <c r="G1036" s="16" t="s">
        <v>723</v>
      </c>
      <c r="H1036" s="16"/>
      <c r="I1036" s="57"/>
      <c r="J1036"/>
      <c r="L1036" s="15">
        <v>559383697253</v>
      </c>
      <c r="M1036" s="15">
        <v>7079376862</v>
      </c>
      <c r="N1036" s="15"/>
    </row>
    <row r="1037" spans="3:14" x14ac:dyDescent="0.3">
      <c r="C1037" s="3">
        <v>43964</v>
      </c>
      <c r="D1037" s="11">
        <v>3129</v>
      </c>
      <c r="G1037" s="16" t="s">
        <v>998</v>
      </c>
      <c r="H1037" s="16"/>
      <c r="I1037" s="57"/>
      <c r="J1037"/>
      <c r="L1037" s="15">
        <v>889425862267</v>
      </c>
      <c r="M1037" s="15">
        <v>7292836430</v>
      </c>
      <c r="N1037" s="15"/>
    </row>
    <row r="1038" spans="3:14" x14ac:dyDescent="0.3">
      <c r="C1038" s="3">
        <v>43965</v>
      </c>
      <c r="D1038" s="11">
        <v>3142</v>
      </c>
      <c r="G1038" s="16" t="s">
        <v>999</v>
      </c>
      <c r="H1038" s="16"/>
      <c r="I1038" s="57"/>
      <c r="J1038"/>
      <c r="L1038" s="15">
        <v>805223987904</v>
      </c>
      <c r="M1038" s="15">
        <v>7004517781</v>
      </c>
      <c r="N1038" s="15"/>
    </row>
    <row r="1039" spans="3:14" x14ac:dyDescent="0.3">
      <c r="C1039" s="3">
        <v>43965</v>
      </c>
      <c r="D1039" s="11">
        <v>3144</v>
      </c>
      <c r="G1039" s="16" t="s">
        <v>1000</v>
      </c>
      <c r="H1039" s="16"/>
      <c r="I1039" s="57"/>
      <c r="J1039"/>
      <c r="L1039" s="15">
        <v>827594998139</v>
      </c>
      <c r="M1039" s="15">
        <v>6207052371</v>
      </c>
      <c r="N1039" s="15"/>
    </row>
    <row r="1040" spans="3:14" x14ac:dyDescent="0.3">
      <c r="C1040" s="3">
        <v>43965</v>
      </c>
      <c r="D1040" s="11">
        <v>3145</v>
      </c>
      <c r="G1040" s="16" t="s">
        <v>1001</v>
      </c>
      <c r="H1040" s="16"/>
      <c r="I1040" s="57"/>
      <c r="J1040"/>
      <c r="L1040" s="15">
        <v>347596185050</v>
      </c>
      <c r="M1040" s="15">
        <v>9931433698</v>
      </c>
      <c r="N1040" s="15"/>
    </row>
    <row r="1041" spans="3:14" x14ac:dyDescent="0.3">
      <c r="C1041" s="3">
        <v>43965</v>
      </c>
      <c r="D1041" s="11">
        <v>3147</v>
      </c>
      <c r="G1041" s="16" t="s">
        <v>1002</v>
      </c>
      <c r="H1041" s="16"/>
      <c r="I1041" s="57"/>
      <c r="J1041"/>
      <c r="L1041" s="15">
        <v>729420274267</v>
      </c>
      <c r="M1041" s="15">
        <v>9534213974</v>
      </c>
      <c r="N1041" s="15"/>
    </row>
    <row r="1042" spans="3:14" x14ac:dyDescent="0.3">
      <c r="C1042" s="3">
        <v>43965</v>
      </c>
      <c r="D1042" s="11">
        <v>3148</v>
      </c>
      <c r="G1042" s="16" t="s">
        <v>240</v>
      </c>
      <c r="H1042" s="16"/>
      <c r="I1042" s="57"/>
      <c r="J1042"/>
      <c r="L1042" s="15">
        <v>463079784806</v>
      </c>
      <c r="M1042" s="15">
        <v>6203452151</v>
      </c>
      <c r="N1042" s="15"/>
    </row>
    <row r="1043" spans="3:14" x14ac:dyDescent="0.3">
      <c r="C1043" s="3">
        <v>43965</v>
      </c>
      <c r="D1043" s="11">
        <v>3150</v>
      </c>
      <c r="G1043" s="16" t="s">
        <v>1003</v>
      </c>
      <c r="H1043" s="16"/>
      <c r="I1043" s="57"/>
      <c r="J1043"/>
      <c r="L1043" s="15">
        <v>546466658262</v>
      </c>
      <c r="M1043" s="15">
        <v>9031395536</v>
      </c>
      <c r="N1043" s="15"/>
    </row>
    <row r="1044" spans="3:14" x14ac:dyDescent="0.3">
      <c r="C1044" s="3">
        <v>43965</v>
      </c>
      <c r="D1044" s="11">
        <v>3152</v>
      </c>
      <c r="G1044" s="16" t="s">
        <v>1004</v>
      </c>
      <c r="H1044" s="16"/>
      <c r="I1044" s="57"/>
      <c r="J1044"/>
      <c r="L1044" s="15">
        <v>854452869972</v>
      </c>
      <c r="M1044" s="15">
        <v>8797457803</v>
      </c>
      <c r="N1044" s="15"/>
    </row>
    <row r="1045" spans="3:14" x14ac:dyDescent="0.3">
      <c r="C1045" s="3">
        <v>43965</v>
      </c>
      <c r="D1045" s="11">
        <v>3153</v>
      </c>
      <c r="G1045" s="16" t="s">
        <v>1005</v>
      </c>
      <c r="H1045" s="16"/>
      <c r="I1045" s="57"/>
      <c r="J1045"/>
      <c r="L1045" s="15">
        <v>993383020469</v>
      </c>
      <c r="M1045" s="15">
        <v>7209390607</v>
      </c>
      <c r="N1045" s="15"/>
    </row>
    <row r="1046" spans="3:14" x14ac:dyDescent="0.3">
      <c r="C1046" s="3">
        <v>43965</v>
      </c>
      <c r="D1046" s="11">
        <v>3155</v>
      </c>
      <c r="G1046" s="16" t="s">
        <v>1006</v>
      </c>
      <c r="H1046" s="16"/>
      <c r="I1046" s="57"/>
      <c r="J1046"/>
      <c r="L1046" s="15">
        <v>254419555721</v>
      </c>
      <c r="M1046" s="15">
        <v>8092301725</v>
      </c>
      <c r="N1046" s="15"/>
    </row>
    <row r="1047" spans="3:14" x14ac:dyDescent="0.3">
      <c r="C1047" s="3">
        <v>43965</v>
      </c>
      <c r="D1047" s="11">
        <v>3156</v>
      </c>
      <c r="G1047" s="16" t="s">
        <v>1007</v>
      </c>
      <c r="H1047" s="16"/>
      <c r="I1047" s="57"/>
      <c r="J1047"/>
      <c r="L1047" s="15">
        <v>381872541150</v>
      </c>
      <c r="M1047" s="15">
        <v>9934173838</v>
      </c>
      <c r="N1047" s="15"/>
    </row>
    <row r="1048" spans="3:14" x14ac:dyDescent="0.3">
      <c r="C1048" s="3">
        <v>43965</v>
      </c>
      <c r="D1048" s="11">
        <v>3157</v>
      </c>
      <c r="G1048" s="16" t="s">
        <v>1008</v>
      </c>
      <c r="H1048" s="16"/>
      <c r="I1048" s="57"/>
      <c r="J1048"/>
      <c r="L1048" s="15">
        <v>428776870881</v>
      </c>
      <c r="M1048" s="15">
        <v>7209473606</v>
      </c>
      <c r="N1048" s="15"/>
    </row>
    <row r="1049" spans="3:14" x14ac:dyDescent="0.3">
      <c r="C1049" s="3">
        <v>43965</v>
      </c>
      <c r="D1049" s="11">
        <v>3159</v>
      </c>
      <c r="G1049" s="16" t="s">
        <v>1009</v>
      </c>
      <c r="H1049" s="16"/>
      <c r="I1049" s="57"/>
      <c r="J1049"/>
      <c r="L1049" s="15">
        <v>800908835782</v>
      </c>
      <c r="M1049" s="15">
        <v>8797322496</v>
      </c>
      <c r="N1049" s="15"/>
    </row>
    <row r="1050" spans="3:14" x14ac:dyDescent="0.3">
      <c r="C1050" s="3">
        <v>43965</v>
      </c>
      <c r="D1050" s="11">
        <v>3160</v>
      </c>
      <c r="G1050" s="16" t="s">
        <v>1010</v>
      </c>
      <c r="H1050" s="16"/>
      <c r="I1050" s="57"/>
      <c r="J1050"/>
      <c r="L1050" s="15">
        <v>998069825078</v>
      </c>
      <c r="M1050" s="15">
        <v>8651132366</v>
      </c>
      <c r="N1050" s="15"/>
    </row>
    <row r="1051" spans="3:14" x14ac:dyDescent="0.3">
      <c r="C1051" s="3">
        <v>43965</v>
      </c>
      <c r="D1051" s="11">
        <v>3162</v>
      </c>
      <c r="G1051" s="16" t="s">
        <v>1011</v>
      </c>
      <c r="H1051" s="16"/>
      <c r="I1051" s="57"/>
      <c r="J1051"/>
      <c r="L1051" s="15">
        <v>475324833277</v>
      </c>
      <c r="M1051" s="15">
        <v>7717752583</v>
      </c>
      <c r="N1051" s="15"/>
    </row>
    <row r="1052" spans="3:14" x14ac:dyDescent="0.3">
      <c r="C1052" s="3">
        <v>43965</v>
      </c>
      <c r="D1052" s="11">
        <v>3164</v>
      </c>
      <c r="G1052" s="16" t="s">
        <v>1012</v>
      </c>
      <c r="H1052" s="16"/>
      <c r="I1052" s="57"/>
      <c r="J1052"/>
      <c r="L1052" s="15">
        <v>339841642578</v>
      </c>
      <c r="M1052" s="15">
        <v>7870993325</v>
      </c>
      <c r="N1052" s="15"/>
    </row>
    <row r="1053" spans="3:14" x14ac:dyDescent="0.3">
      <c r="C1053" s="3">
        <v>43965</v>
      </c>
      <c r="D1053" s="11">
        <v>3166</v>
      </c>
      <c r="G1053" s="16" t="s">
        <v>1013</v>
      </c>
      <c r="H1053" s="16"/>
      <c r="I1053" s="57"/>
      <c r="J1053"/>
      <c r="L1053" s="15">
        <v>472836268315</v>
      </c>
      <c r="M1053" s="15">
        <v>7061177182</v>
      </c>
      <c r="N1053" s="15"/>
    </row>
    <row r="1054" spans="3:14" x14ac:dyDescent="0.3">
      <c r="C1054" s="3">
        <v>43965</v>
      </c>
      <c r="D1054" s="11">
        <v>3168</v>
      </c>
      <c r="G1054" s="16" t="s">
        <v>1014</v>
      </c>
      <c r="H1054" s="16"/>
      <c r="I1054" s="57"/>
      <c r="J1054"/>
      <c r="L1054" s="15">
        <v>693940047900</v>
      </c>
      <c r="M1054" s="15">
        <v>9570892909</v>
      </c>
      <c r="N1054" s="15"/>
    </row>
    <row r="1055" spans="3:14" x14ac:dyDescent="0.3">
      <c r="C1055" s="3">
        <v>43965</v>
      </c>
      <c r="D1055" s="11">
        <v>3169</v>
      </c>
      <c r="G1055" s="16" t="s">
        <v>1015</v>
      </c>
      <c r="H1055" s="16"/>
      <c r="I1055" s="57"/>
      <c r="J1055"/>
      <c r="L1055" s="15">
        <v>423078076303</v>
      </c>
      <c r="M1055" s="15">
        <v>7461070473</v>
      </c>
      <c r="N1055" s="15"/>
    </row>
    <row r="1056" spans="3:14" x14ac:dyDescent="0.3">
      <c r="C1056" s="3">
        <v>43965</v>
      </c>
      <c r="D1056" s="11">
        <v>3171</v>
      </c>
      <c r="G1056" s="16" t="s">
        <v>1016</v>
      </c>
      <c r="H1056" s="16"/>
      <c r="I1056" s="57"/>
      <c r="J1056"/>
      <c r="L1056" s="15">
        <v>632603434110</v>
      </c>
      <c r="M1056" s="15"/>
      <c r="N1056" s="15"/>
    </row>
    <row r="1057" spans="3:14" x14ac:dyDescent="0.3">
      <c r="C1057" s="3">
        <v>43965</v>
      </c>
      <c r="D1057" s="11">
        <v>3172</v>
      </c>
      <c r="G1057" s="16" t="s">
        <v>1017</v>
      </c>
      <c r="H1057" s="16"/>
      <c r="I1057" s="57"/>
      <c r="J1057"/>
      <c r="L1057" s="15">
        <v>969157627793</v>
      </c>
      <c r="M1057" s="15">
        <v>7870527431</v>
      </c>
      <c r="N1057" s="15"/>
    </row>
    <row r="1058" spans="3:14" x14ac:dyDescent="0.3">
      <c r="C1058" s="3">
        <v>43965</v>
      </c>
      <c r="D1058" s="11">
        <v>3174</v>
      </c>
      <c r="G1058" s="16" t="s">
        <v>1018</v>
      </c>
      <c r="H1058" s="16"/>
      <c r="I1058" s="57"/>
      <c r="J1058"/>
      <c r="L1058" s="15">
        <v>200422406887</v>
      </c>
      <c r="M1058" s="15">
        <v>9661117865</v>
      </c>
      <c r="N1058" s="15"/>
    </row>
    <row r="1059" spans="3:14" x14ac:dyDescent="0.3">
      <c r="C1059" s="3">
        <v>43965</v>
      </c>
      <c r="D1059" s="11">
        <v>3175</v>
      </c>
      <c r="G1059" s="16" t="s">
        <v>1019</v>
      </c>
      <c r="H1059" s="16"/>
      <c r="I1059" s="57"/>
      <c r="J1059"/>
      <c r="L1059" s="15">
        <v>984904319413</v>
      </c>
      <c r="M1059" s="15">
        <v>7004820515</v>
      </c>
      <c r="N1059" s="15"/>
    </row>
    <row r="1060" spans="3:14" x14ac:dyDescent="0.3">
      <c r="C1060" s="3">
        <v>43965</v>
      </c>
      <c r="D1060" s="11">
        <v>3177</v>
      </c>
      <c r="G1060" s="16" t="s">
        <v>2964</v>
      </c>
      <c r="H1060" s="16"/>
      <c r="I1060" s="57"/>
      <c r="J1060"/>
      <c r="L1060" s="15">
        <v>446105140775</v>
      </c>
      <c r="M1060" s="15">
        <v>9031692307</v>
      </c>
      <c r="N1060" s="15"/>
    </row>
    <row r="1061" spans="3:14" x14ac:dyDescent="0.3">
      <c r="C1061" s="3">
        <v>43965</v>
      </c>
      <c r="D1061" s="11">
        <v>3179</v>
      </c>
      <c r="G1061" s="16" t="s">
        <v>1020</v>
      </c>
      <c r="H1061" s="16"/>
      <c r="I1061" s="57"/>
      <c r="J1061"/>
      <c r="L1061" s="15">
        <v>333339273594</v>
      </c>
      <c r="M1061" s="15">
        <v>9204365819</v>
      </c>
      <c r="N1061" s="15"/>
    </row>
    <row r="1062" spans="3:14" x14ac:dyDescent="0.3">
      <c r="C1062" s="3">
        <v>43965</v>
      </c>
      <c r="D1062" s="11">
        <v>3180</v>
      </c>
      <c r="G1062" s="16" t="s">
        <v>1021</v>
      </c>
      <c r="H1062" s="16"/>
      <c r="I1062" s="57"/>
      <c r="J1062"/>
      <c r="L1062" s="15">
        <v>576981620401</v>
      </c>
      <c r="M1062" s="15">
        <v>9204020949</v>
      </c>
      <c r="N1062" s="15"/>
    </row>
    <row r="1063" spans="3:14" x14ac:dyDescent="0.3">
      <c r="C1063" s="3">
        <v>43965</v>
      </c>
      <c r="D1063" s="11">
        <v>3181</v>
      </c>
      <c r="G1063" s="16" t="s">
        <v>1022</v>
      </c>
      <c r="H1063" s="16"/>
      <c r="I1063" s="57"/>
      <c r="J1063"/>
      <c r="L1063" s="15">
        <v>411471051762</v>
      </c>
      <c r="M1063" s="15">
        <v>8102285592</v>
      </c>
      <c r="N1063" s="15"/>
    </row>
    <row r="1064" spans="3:14" x14ac:dyDescent="0.3">
      <c r="C1064" s="3">
        <v>43965</v>
      </c>
      <c r="D1064" s="11">
        <v>3183</v>
      </c>
      <c r="G1064" s="16" t="s">
        <v>1023</v>
      </c>
      <c r="H1064" s="16"/>
      <c r="I1064" s="57"/>
      <c r="J1064"/>
      <c r="L1064" s="15"/>
      <c r="M1064" s="15">
        <v>9234763568</v>
      </c>
      <c r="N1064" s="15"/>
    </row>
    <row r="1065" spans="3:14" x14ac:dyDescent="0.3">
      <c r="C1065" s="3">
        <v>43965</v>
      </c>
      <c r="D1065" s="11">
        <v>3184</v>
      </c>
      <c r="G1065" s="16" t="s">
        <v>1024</v>
      </c>
      <c r="H1065" s="16"/>
      <c r="I1065" s="57"/>
      <c r="J1065"/>
      <c r="L1065" s="15">
        <v>800165743159</v>
      </c>
      <c r="M1065" s="15">
        <v>7903832823</v>
      </c>
      <c r="N1065" s="15"/>
    </row>
    <row r="1066" spans="3:14" x14ac:dyDescent="0.3">
      <c r="C1066" s="3">
        <v>43965</v>
      </c>
      <c r="D1066" s="11">
        <v>3185</v>
      </c>
      <c r="G1066" s="16" t="s">
        <v>1025</v>
      </c>
      <c r="H1066" s="16"/>
      <c r="I1066" s="57"/>
      <c r="J1066"/>
      <c r="L1066" s="15">
        <v>454666515294</v>
      </c>
      <c r="M1066" s="15">
        <v>9608542561</v>
      </c>
      <c r="N1066" s="15"/>
    </row>
    <row r="1067" spans="3:14" x14ac:dyDescent="0.3">
      <c r="C1067" s="3">
        <v>43965</v>
      </c>
      <c r="D1067" s="11">
        <v>3187</v>
      </c>
      <c r="G1067" s="16" t="s">
        <v>1026</v>
      </c>
      <c r="H1067" s="16"/>
      <c r="I1067" s="57"/>
      <c r="J1067"/>
      <c r="L1067" s="15"/>
      <c r="M1067" s="15">
        <v>7209479130</v>
      </c>
      <c r="N1067" s="15"/>
    </row>
    <row r="1068" spans="3:14" x14ac:dyDescent="0.3">
      <c r="C1068" s="3">
        <v>43965</v>
      </c>
      <c r="D1068" s="11">
        <v>3188</v>
      </c>
      <c r="G1068" s="16" t="s">
        <v>1027</v>
      </c>
      <c r="H1068" s="16"/>
      <c r="I1068" s="57"/>
      <c r="J1068"/>
      <c r="L1068" s="15">
        <v>284847048048</v>
      </c>
      <c r="M1068" s="15">
        <v>9204938407</v>
      </c>
      <c r="N1068" s="15"/>
    </row>
    <row r="1069" spans="3:14" x14ac:dyDescent="0.3">
      <c r="C1069" s="3">
        <v>43965</v>
      </c>
      <c r="D1069" s="11">
        <v>3190</v>
      </c>
      <c r="G1069" s="16" t="s">
        <v>1028</v>
      </c>
      <c r="H1069" s="16"/>
      <c r="I1069" s="57"/>
      <c r="J1069"/>
      <c r="L1069" s="15">
        <v>564743940819</v>
      </c>
      <c r="M1069" s="15">
        <v>8002730195</v>
      </c>
      <c r="N1069" s="15"/>
    </row>
    <row r="1070" spans="3:14" x14ac:dyDescent="0.3">
      <c r="C1070" s="3">
        <v>43965</v>
      </c>
      <c r="D1070" s="11">
        <v>3191</v>
      </c>
      <c r="G1070" s="16" t="s">
        <v>1029</v>
      </c>
      <c r="H1070" s="16"/>
      <c r="I1070" s="57"/>
      <c r="J1070"/>
      <c r="L1070" s="15">
        <v>474079036186</v>
      </c>
      <c r="M1070" s="15">
        <v>9570194681</v>
      </c>
      <c r="N1070" s="15"/>
    </row>
    <row r="1071" spans="3:14" x14ac:dyDescent="0.3">
      <c r="C1071" s="3">
        <v>43965</v>
      </c>
      <c r="D1071" s="11">
        <v>3193</v>
      </c>
      <c r="G1071" s="16" t="s">
        <v>1030</v>
      </c>
      <c r="H1071" s="16"/>
      <c r="I1071" s="57"/>
      <c r="J1071"/>
      <c r="L1071" s="15">
        <v>260134048276</v>
      </c>
      <c r="M1071" s="15">
        <v>9905170813</v>
      </c>
      <c r="N1071" s="15"/>
    </row>
    <row r="1072" spans="3:14" x14ac:dyDescent="0.3">
      <c r="C1072" s="3">
        <v>43965</v>
      </c>
      <c r="D1072" s="11">
        <v>3195</v>
      </c>
      <c r="G1072" s="16" t="s">
        <v>1031</v>
      </c>
      <c r="H1072" s="16"/>
      <c r="I1072" s="57"/>
      <c r="J1072"/>
      <c r="L1072" s="15">
        <v>604067481610</v>
      </c>
      <c r="M1072" s="15">
        <v>9031903461</v>
      </c>
      <c r="N1072" s="15"/>
    </row>
    <row r="1073" spans="3:19" x14ac:dyDescent="0.3">
      <c r="C1073" s="3">
        <v>43965</v>
      </c>
      <c r="D1073" s="11">
        <v>3196</v>
      </c>
      <c r="G1073" s="16" t="s">
        <v>1032</v>
      </c>
      <c r="H1073" s="16"/>
      <c r="I1073" s="57"/>
      <c r="J1073"/>
      <c r="L1073" s="15">
        <v>998137975755</v>
      </c>
      <c r="M1073" s="15">
        <v>7903637669</v>
      </c>
      <c r="N1073" s="15"/>
    </row>
    <row r="1074" spans="3:19" x14ac:dyDescent="0.3">
      <c r="C1074" s="3">
        <v>43965</v>
      </c>
      <c r="D1074" s="11">
        <v>3198</v>
      </c>
      <c r="G1074" s="16" t="s">
        <v>1033</v>
      </c>
      <c r="H1074" s="16"/>
      <c r="I1074" s="57"/>
      <c r="J1074"/>
      <c r="L1074" s="15">
        <v>729149070851</v>
      </c>
      <c r="M1074" s="15">
        <v>6200857372</v>
      </c>
      <c r="N1074" s="15"/>
    </row>
    <row r="1075" spans="3:19" x14ac:dyDescent="0.3">
      <c r="C1075" s="3">
        <v>43965</v>
      </c>
      <c r="D1075" s="11">
        <v>3199</v>
      </c>
      <c r="G1075" s="16" t="s">
        <v>1034</v>
      </c>
      <c r="H1075" s="16"/>
      <c r="I1075" s="57"/>
      <c r="J1075"/>
      <c r="L1075" s="15">
        <v>494962385290</v>
      </c>
      <c r="M1075" s="15">
        <v>9693664140</v>
      </c>
      <c r="N1075" s="15"/>
    </row>
    <row r="1076" spans="3:19" x14ac:dyDescent="0.3">
      <c r="C1076" s="3">
        <v>43965</v>
      </c>
      <c r="D1076" s="11">
        <v>3200</v>
      </c>
      <c r="G1076" s="16" t="s">
        <v>1035</v>
      </c>
      <c r="H1076" s="16"/>
      <c r="I1076" s="57"/>
      <c r="J1076"/>
      <c r="L1076" s="15">
        <v>964590403899</v>
      </c>
      <c r="M1076" s="15">
        <v>8797262224</v>
      </c>
      <c r="N1076" s="15"/>
    </row>
    <row r="1077" spans="3:19" x14ac:dyDescent="0.3">
      <c r="C1077" s="3">
        <v>43965</v>
      </c>
      <c r="D1077" s="11">
        <v>3202</v>
      </c>
      <c r="G1077" s="16" t="s">
        <v>1036</v>
      </c>
      <c r="H1077" s="16"/>
      <c r="I1077" s="57"/>
      <c r="J1077"/>
      <c r="L1077" s="15">
        <v>510598077186</v>
      </c>
      <c r="M1077" s="15">
        <v>9931530534</v>
      </c>
      <c r="N1077" s="15"/>
    </row>
    <row r="1078" spans="3:19" x14ac:dyDescent="0.3">
      <c r="C1078" s="3">
        <v>43965</v>
      </c>
      <c r="D1078" s="11">
        <v>3203</v>
      </c>
      <c r="G1078" s="16" t="s">
        <v>1037</v>
      </c>
      <c r="H1078" s="16"/>
      <c r="I1078" s="57"/>
      <c r="J1078"/>
      <c r="L1078" s="15">
        <v>803709383152</v>
      </c>
      <c r="M1078" s="15">
        <v>8603101558</v>
      </c>
      <c r="N1078" s="15"/>
    </row>
    <row r="1079" spans="3:19" x14ac:dyDescent="0.3">
      <c r="C1079" s="3">
        <v>43965</v>
      </c>
      <c r="D1079" s="11">
        <v>3205</v>
      </c>
      <c r="G1079" s="16" t="s">
        <v>1038</v>
      </c>
      <c r="H1079" s="16"/>
      <c r="I1079" s="57"/>
      <c r="J1079"/>
      <c r="L1079" s="15">
        <v>267969203452</v>
      </c>
      <c r="M1079" s="15">
        <v>9525685344</v>
      </c>
      <c r="N1079" s="15"/>
    </row>
    <row r="1080" spans="3:19" x14ac:dyDescent="0.3">
      <c r="C1080" s="3">
        <v>43965</v>
      </c>
      <c r="D1080" s="11">
        <v>3206</v>
      </c>
      <c r="G1080" s="16" t="s">
        <v>1039</v>
      </c>
      <c r="H1080" s="16"/>
      <c r="I1080" s="57"/>
      <c r="J1080" t="s">
        <v>1309</v>
      </c>
      <c r="K1080" s="4">
        <v>100</v>
      </c>
      <c r="L1080" s="15">
        <v>542832275426</v>
      </c>
      <c r="M1080" s="15">
        <v>6206756833</v>
      </c>
      <c r="N1080" s="15"/>
    </row>
    <row r="1081" spans="3:19" x14ac:dyDescent="0.3">
      <c r="C1081" s="3">
        <v>43965</v>
      </c>
      <c r="D1081" s="11">
        <v>3208</v>
      </c>
      <c r="G1081" s="16" t="s">
        <v>1040</v>
      </c>
      <c r="H1081" s="16"/>
      <c r="I1081" s="57"/>
      <c r="J1081"/>
      <c r="L1081" s="15">
        <v>888184065146</v>
      </c>
      <c r="M1081" s="15">
        <v>9693338717</v>
      </c>
      <c r="N1081" s="15"/>
    </row>
    <row r="1082" spans="3:19" x14ac:dyDescent="0.3">
      <c r="C1082" s="3">
        <v>43965</v>
      </c>
      <c r="D1082" s="11">
        <v>3209</v>
      </c>
      <c r="G1082" s="16" t="s">
        <v>1041</v>
      </c>
      <c r="H1082" s="16"/>
      <c r="I1082" s="57"/>
      <c r="J1082"/>
      <c r="L1082" s="15">
        <v>341984858336</v>
      </c>
      <c r="M1082" s="15">
        <v>9262706722</v>
      </c>
      <c r="N1082" s="15"/>
    </row>
    <row r="1083" spans="3:19" x14ac:dyDescent="0.3">
      <c r="C1083" s="3">
        <v>43965</v>
      </c>
      <c r="D1083" s="11">
        <v>3219</v>
      </c>
      <c r="G1083" s="16" t="s">
        <v>1042</v>
      </c>
      <c r="H1083" s="16"/>
      <c r="I1083" s="57"/>
      <c r="J1083"/>
      <c r="L1083" s="15">
        <v>231400535880</v>
      </c>
      <c r="M1083" s="15">
        <v>8092229616</v>
      </c>
      <c r="N1083" s="15"/>
    </row>
    <row r="1084" spans="3:19" x14ac:dyDescent="0.3">
      <c r="C1084" s="3">
        <v>43965</v>
      </c>
      <c r="D1084" s="11">
        <v>3220</v>
      </c>
      <c r="G1084" s="16" t="s">
        <v>1043</v>
      </c>
      <c r="H1084" s="16"/>
      <c r="I1084" s="57"/>
      <c r="J1084"/>
      <c r="L1084" s="15">
        <v>347791012878</v>
      </c>
      <c r="M1084" s="15">
        <v>6203447112</v>
      </c>
      <c r="N1084" s="15"/>
    </row>
    <row r="1085" spans="3:19" x14ac:dyDescent="0.3">
      <c r="C1085" s="3">
        <v>43965</v>
      </c>
      <c r="D1085" s="11">
        <v>3222</v>
      </c>
      <c r="G1085" s="16" t="s">
        <v>1044</v>
      </c>
      <c r="H1085" s="16"/>
      <c r="I1085" s="57"/>
      <c r="J1085"/>
      <c r="L1085" s="15">
        <v>809554086304</v>
      </c>
      <c r="M1085" s="15">
        <v>8709099176</v>
      </c>
      <c r="N1085" s="15"/>
    </row>
    <row r="1086" spans="3:19" x14ac:dyDescent="0.3">
      <c r="C1086" s="3">
        <v>43965</v>
      </c>
      <c r="D1086" s="11">
        <v>3224</v>
      </c>
      <c r="G1086" s="16" t="s">
        <v>1045</v>
      </c>
      <c r="H1086" s="16"/>
      <c r="I1086" s="57"/>
      <c r="J1086"/>
      <c r="L1086" s="15">
        <v>787633073930</v>
      </c>
      <c r="M1086" s="15">
        <v>7061280181</v>
      </c>
      <c r="N1086" s="15"/>
    </row>
    <row r="1087" spans="3:19" x14ac:dyDescent="0.3">
      <c r="C1087" s="3">
        <v>43965</v>
      </c>
      <c r="D1087" s="11">
        <v>3225</v>
      </c>
      <c r="G1087" s="16" t="s">
        <v>1046</v>
      </c>
      <c r="H1087" s="16"/>
      <c r="I1087" s="57"/>
      <c r="J1087"/>
      <c r="L1087" s="15">
        <v>700555539315</v>
      </c>
      <c r="M1087" s="15">
        <v>6200959059</v>
      </c>
      <c r="N1087" s="15"/>
      <c r="R1087" s="4" t="s">
        <v>16</v>
      </c>
    </row>
    <row r="1088" spans="3:19" ht="14.4" x14ac:dyDescent="0.3">
      <c r="C1088" s="3">
        <v>43965</v>
      </c>
      <c r="D1088" s="11">
        <v>3228</v>
      </c>
      <c r="G1088" s="16" t="s">
        <v>1355</v>
      </c>
      <c r="H1088" s="16"/>
      <c r="I1088" s="3">
        <v>29112</v>
      </c>
      <c r="J1088"/>
      <c r="L1088" s="15">
        <v>888481112572</v>
      </c>
      <c r="M1088" s="15">
        <v>9955844105</v>
      </c>
      <c r="N1088" s="15"/>
      <c r="O1088" s="4" t="s">
        <v>16</v>
      </c>
      <c r="P1088" s="4" t="s">
        <v>19</v>
      </c>
      <c r="Q1088" s="4" t="s">
        <v>19</v>
      </c>
      <c r="R1088" s="4" t="s">
        <v>16</v>
      </c>
      <c r="S1088" s="4" t="s">
        <v>16</v>
      </c>
    </row>
    <row r="1089" spans="3:18" x14ac:dyDescent="0.3">
      <c r="C1089" s="3">
        <v>43965</v>
      </c>
      <c r="D1089" s="11">
        <v>3232</v>
      </c>
      <c r="G1089" s="16" t="s">
        <v>1047</v>
      </c>
      <c r="H1089" s="16"/>
      <c r="I1089" s="57"/>
      <c r="J1089"/>
      <c r="L1089" s="15">
        <v>610077688510</v>
      </c>
      <c r="M1089" s="15">
        <v>6204113727</v>
      </c>
      <c r="N1089" s="15"/>
      <c r="O1089" s="4" t="s">
        <v>16</v>
      </c>
      <c r="P1089" s="4" t="s">
        <v>16</v>
      </c>
      <c r="R1089" s="4" t="s">
        <v>16</v>
      </c>
    </row>
    <row r="1090" spans="3:18" x14ac:dyDescent="0.3">
      <c r="C1090" s="3">
        <v>43965</v>
      </c>
      <c r="D1090" s="11">
        <v>3235</v>
      </c>
      <c r="G1090" s="16" t="s">
        <v>1048</v>
      </c>
      <c r="H1090" s="16"/>
      <c r="I1090" s="57"/>
      <c r="J1090"/>
      <c r="L1090" s="15">
        <v>33836964037</v>
      </c>
      <c r="M1090" s="15">
        <v>8674904268</v>
      </c>
      <c r="N1090" s="15"/>
    </row>
    <row r="1091" spans="3:18" x14ac:dyDescent="0.3">
      <c r="C1091" s="3">
        <v>43965</v>
      </c>
      <c r="D1091" s="11">
        <v>3238</v>
      </c>
      <c r="G1091" s="16" t="s">
        <v>1049</v>
      </c>
      <c r="H1091" s="16"/>
      <c r="I1091" s="57"/>
      <c r="J1091"/>
      <c r="L1091" s="15">
        <v>691667259075</v>
      </c>
      <c r="M1091" s="15">
        <v>9334562895</v>
      </c>
      <c r="N1091" s="15"/>
    </row>
    <row r="1092" spans="3:18" x14ac:dyDescent="0.3">
      <c r="C1092" s="3">
        <v>43966</v>
      </c>
      <c r="D1092" s="11">
        <v>3266</v>
      </c>
      <c r="G1092" s="16" t="s">
        <v>1050</v>
      </c>
      <c r="H1092" s="16"/>
      <c r="I1092" s="57"/>
      <c r="J1092"/>
      <c r="L1092" s="15">
        <v>401256893152</v>
      </c>
      <c r="M1092" s="15">
        <v>9955197873</v>
      </c>
      <c r="N1092" s="15"/>
    </row>
    <row r="1093" spans="3:18" x14ac:dyDescent="0.3">
      <c r="C1093" s="3">
        <v>43966</v>
      </c>
      <c r="D1093" s="11">
        <v>3267</v>
      </c>
      <c r="G1093" s="16" t="s">
        <v>1051</v>
      </c>
      <c r="H1093" s="16"/>
      <c r="I1093" s="57"/>
      <c r="J1093"/>
      <c r="L1093" s="15">
        <v>368120092689</v>
      </c>
      <c r="M1093" s="15">
        <v>7519933258</v>
      </c>
      <c r="N1093" s="15"/>
    </row>
    <row r="1094" spans="3:18" x14ac:dyDescent="0.3">
      <c r="C1094" s="3">
        <v>43966</v>
      </c>
      <c r="D1094" s="11">
        <v>3268</v>
      </c>
      <c r="G1094" s="16" t="s">
        <v>1052</v>
      </c>
      <c r="H1094" s="16"/>
      <c r="I1094" s="57"/>
      <c r="J1094"/>
      <c r="L1094" s="15">
        <v>449360310427</v>
      </c>
      <c r="M1094" s="15">
        <v>8797794295</v>
      </c>
      <c r="N1094" s="15"/>
    </row>
    <row r="1095" spans="3:18" x14ac:dyDescent="0.3">
      <c r="C1095" s="3">
        <v>43966</v>
      </c>
      <c r="D1095" s="11">
        <v>3269</v>
      </c>
      <c r="G1095" s="16" t="s">
        <v>1053</v>
      </c>
      <c r="H1095" s="16"/>
      <c r="I1095" s="57"/>
      <c r="J1095"/>
      <c r="L1095" s="15">
        <v>809803398957</v>
      </c>
      <c r="M1095" s="15">
        <v>8809361355</v>
      </c>
      <c r="N1095" s="15"/>
    </row>
    <row r="1096" spans="3:18" x14ac:dyDescent="0.3">
      <c r="C1096" s="3">
        <v>43966</v>
      </c>
      <c r="D1096" s="11">
        <v>3271</v>
      </c>
      <c r="G1096" s="16" t="s">
        <v>313</v>
      </c>
      <c r="H1096" s="16"/>
      <c r="I1096" s="57"/>
      <c r="J1096"/>
      <c r="L1096" s="15">
        <v>929357888454</v>
      </c>
      <c r="M1096" s="15">
        <v>7004326504</v>
      </c>
      <c r="N1096" s="15"/>
    </row>
    <row r="1097" spans="3:18" x14ac:dyDescent="0.3">
      <c r="C1097" s="3">
        <v>43966</v>
      </c>
      <c r="D1097" s="11">
        <v>3272</v>
      </c>
      <c r="G1097" s="16" t="s">
        <v>1054</v>
      </c>
      <c r="H1097" s="16"/>
      <c r="I1097" s="57"/>
      <c r="J1097"/>
      <c r="L1097" s="15">
        <v>295693795467</v>
      </c>
      <c r="M1097" s="15">
        <v>7292894723</v>
      </c>
      <c r="N1097" s="15"/>
    </row>
    <row r="1098" spans="3:18" x14ac:dyDescent="0.3">
      <c r="C1098" s="3">
        <v>43966</v>
      </c>
      <c r="D1098" s="11">
        <v>3274</v>
      </c>
      <c r="G1098" s="16" t="s">
        <v>1055</v>
      </c>
      <c r="H1098" s="16"/>
      <c r="I1098" s="57"/>
      <c r="J1098"/>
      <c r="L1098" s="15">
        <v>861549242859</v>
      </c>
      <c r="M1098" s="15">
        <v>9204244471</v>
      </c>
      <c r="N1098" s="15"/>
    </row>
    <row r="1099" spans="3:18" x14ac:dyDescent="0.3">
      <c r="C1099" s="3">
        <v>43966</v>
      </c>
      <c r="D1099" s="11">
        <v>3275</v>
      </c>
      <c r="G1099" s="16" t="s">
        <v>1056</v>
      </c>
      <c r="H1099" s="16"/>
      <c r="I1099" s="57"/>
      <c r="J1099"/>
      <c r="L1099" s="15">
        <v>746703305258</v>
      </c>
      <c r="M1099" s="15">
        <v>7280400289</v>
      </c>
      <c r="N1099" s="15"/>
    </row>
    <row r="1100" spans="3:18" x14ac:dyDescent="0.3">
      <c r="C1100" s="3">
        <v>43966</v>
      </c>
      <c r="D1100" s="11">
        <v>3276</v>
      </c>
      <c r="G1100" s="16" t="s">
        <v>1057</v>
      </c>
      <c r="H1100" s="16"/>
      <c r="I1100" s="57"/>
      <c r="J1100"/>
      <c r="L1100" s="15">
        <v>885035205082</v>
      </c>
      <c r="M1100" s="15">
        <v>7209293460</v>
      </c>
      <c r="N1100" s="15"/>
    </row>
    <row r="1101" spans="3:18" x14ac:dyDescent="0.3">
      <c r="C1101" s="3">
        <v>43966</v>
      </c>
      <c r="D1101" s="11">
        <v>3277</v>
      </c>
      <c r="G1101" s="16" t="s">
        <v>1058</v>
      </c>
      <c r="H1101" s="16"/>
      <c r="I1101" s="57"/>
      <c r="J1101"/>
      <c r="L1101" s="15">
        <v>266945775754</v>
      </c>
      <c r="M1101" s="15">
        <v>7667897565</v>
      </c>
      <c r="N1101" s="15"/>
    </row>
    <row r="1102" spans="3:18" x14ac:dyDescent="0.3">
      <c r="C1102" s="3">
        <v>43966</v>
      </c>
      <c r="D1102" s="11">
        <v>3279</v>
      </c>
      <c r="G1102" s="16" t="s">
        <v>1059</v>
      </c>
      <c r="H1102" s="16"/>
      <c r="I1102" s="57"/>
      <c r="J1102"/>
      <c r="L1102" s="15">
        <v>779167790644</v>
      </c>
      <c r="M1102" s="15">
        <v>8051293589</v>
      </c>
      <c r="N1102" s="15"/>
    </row>
    <row r="1103" spans="3:18" x14ac:dyDescent="0.3">
      <c r="C1103" s="3">
        <v>43966</v>
      </c>
      <c r="D1103" s="11">
        <v>3280</v>
      </c>
      <c r="G1103" s="16" t="s">
        <v>1299</v>
      </c>
      <c r="H1103" s="16"/>
      <c r="I1103" s="57"/>
      <c r="J1103"/>
      <c r="L1103" s="15">
        <v>406427611842</v>
      </c>
      <c r="M1103" s="15">
        <v>9693858545</v>
      </c>
      <c r="N1103" s="15"/>
    </row>
    <row r="1104" spans="3:18" x14ac:dyDescent="0.3">
      <c r="C1104" s="3">
        <v>43966</v>
      </c>
      <c r="D1104" s="11">
        <v>3281</v>
      </c>
      <c r="G1104" s="16" t="s">
        <v>1060</v>
      </c>
      <c r="H1104" s="16"/>
      <c r="I1104" s="57"/>
      <c r="J1104"/>
      <c r="L1104" s="15">
        <v>524587992358</v>
      </c>
      <c r="M1104" s="15">
        <v>6204179835</v>
      </c>
      <c r="N1104" s="15"/>
    </row>
    <row r="1105" spans="1:18" x14ac:dyDescent="0.3">
      <c r="C1105" s="3">
        <v>43966</v>
      </c>
      <c r="D1105" s="11">
        <v>3284</v>
      </c>
      <c r="G1105" s="16" t="s">
        <v>1061</v>
      </c>
      <c r="H1105" s="16"/>
      <c r="I1105" s="57"/>
      <c r="J1105"/>
      <c r="L1105" s="15">
        <v>981643489473</v>
      </c>
      <c r="M1105" s="15">
        <v>9199250480</v>
      </c>
      <c r="N1105" s="15"/>
    </row>
    <row r="1106" spans="1:18" x14ac:dyDescent="0.3">
      <c r="C1106" s="3">
        <v>43966</v>
      </c>
      <c r="D1106" s="11">
        <v>3288</v>
      </c>
      <c r="G1106" s="16" t="s">
        <v>1062</v>
      </c>
      <c r="H1106" s="16"/>
      <c r="I1106" s="57"/>
      <c r="J1106"/>
      <c r="L1106" s="15">
        <v>755366594211</v>
      </c>
      <c r="M1106" s="15">
        <v>8340724403</v>
      </c>
      <c r="N1106" s="15"/>
    </row>
    <row r="1107" spans="1:18" x14ac:dyDescent="0.3">
      <c r="C1107" s="3">
        <v>43966</v>
      </c>
      <c r="D1107" s="11">
        <v>3290</v>
      </c>
      <c r="G1107" s="16" t="s">
        <v>1063</v>
      </c>
      <c r="H1107" s="16"/>
      <c r="I1107" s="57"/>
      <c r="J1107"/>
      <c r="L1107" s="15">
        <v>379276272861</v>
      </c>
      <c r="M1107" s="15">
        <v>6202848097</v>
      </c>
      <c r="N1107" s="15"/>
    </row>
    <row r="1108" spans="1:18" x14ac:dyDescent="0.3">
      <c r="C1108" s="3">
        <v>43966</v>
      </c>
      <c r="D1108" s="11">
        <v>3292</v>
      </c>
      <c r="G1108" s="16" t="s">
        <v>1064</v>
      </c>
      <c r="H1108" s="16"/>
      <c r="I1108" s="57"/>
      <c r="J1108"/>
      <c r="L1108" s="15">
        <v>512237503608</v>
      </c>
      <c r="M1108" s="15">
        <v>6204709003</v>
      </c>
      <c r="N1108" s="15"/>
    </row>
    <row r="1109" spans="1:18" x14ac:dyDescent="0.3">
      <c r="C1109" s="3">
        <v>43966</v>
      </c>
      <c r="D1109" s="11">
        <v>3298</v>
      </c>
      <c r="G1109" s="16" t="s">
        <v>1065</v>
      </c>
      <c r="H1109" s="16"/>
      <c r="I1109" s="57"/>
      <c r="J1109"/>
      <c r="L1109" s="15">
        <v>547263072696</v>
      </c>
      <c r="M1109" s="15">
        <v>8797107528</v>
      </c>
      <c r="N1109" s="15"/>
    </row>
    <row r="1110" spans="1:18" x14ac:dyDescent="0.3">
      <c r="C1110" s="3">
        <v>43966</v>
      </c>
      <c r="D1110" s="11">
        <v>3302</v>
      </c>
      <c r="G1110" s="16" t="s">
        <v>1066</v>
      </c>
      <c r="H1110" s="16"/>
      <c r="I1110" s="57"/>
      <c r="J1110"/>
      <c r="L1110" s="15">
        <v>439304625473</v>
      </c>
      <c r="M1110" s="15">
        <v>7808482250</v>
      </c>
      <c r="N1110" s="15"/>
    </row>
    <row r="1111" spans="1:18" x14ac:dyDescent="0.3">
      <c r="C1111" s="3">
        <v>43966</v>
      </c>
      <c r="D1111" s="11">
        <v>3305</v>
      </c>
      <c r="G1111" s="16" t="s">
        <v>1067</v>
      </c>
      <c r="H1111" s="16"/>
      <c r="I1111" s="57"/>
      <c r="J1111"/>
      <c r="L1111" s="15">
        <v>902510224960</v>
      </c>
      <c r="M1111" s="15">
        <v>7209975843</v>
      </c>
      <c r="N1111" s="15"/>
    </row>
    <row r="1112" spans="1:18" x14ac:dyDescent="0.3">
      <c r="C1112" s="3">
        <v>43966</v>
      </c>
      <c r="D1112" s="11">
        <v>3307</v>
      </c>
      <c r="G1112" s="16" t="s">
        <v>1068</v>
      </c>
      <c r="H1112" s="16"/>
      <c r="I1112" s="57"/>
      <c r="J1112"/>
      <c r="L1112" s="15">
        <v>939757056443</v>
      </c>
      <c r="M1112" s="15">
        <v>6203041269</v>
      </c>
      <c r="N1112" s="15"/>
    </row>
    <row r="1113" spans="1:18" x14ac:dyDescent="0.3">
      <c r="C1113" s="3">
        <v>43966</v>
      </c>
      <c r="D1113" s="11">
        <v>3311</v>
      </c>
      <c r="G1113" s="16" t="s">
        <v>1069</v>
      </c>
      <c r="H1113" s="16"/>
      <c r="I1113" s="57"/>
      <c r="J1113"/>
      <c r="L1113" s="15">
        <v>314256908606</v>
      </c>
      <c r="M1113" s="15">
        <v>8102569323</v>
      </c>
      <c r="N1113" s="15"/>
    </row>
    <row r="1114" spans="1:18" x14ac:dyDescent="0.3">
      <c r="C1114" s="3">
        <v>43966</v>
      </c>
      <c r="D1114" s="11">
        <v>3312</v>
      </c>
      <c r="G1114" s="16" t="s">
        <v>1070</v>
      </c>
      <c r="H1114" s="16"/>
      <c r="I1114" s="57"/>
      <c r="J1114"/>
      <c r="L1114" s="15">
        <v>763402700468</v>
      </c>
      <c r="M1114" s="15">
        <v>9304058763</v>
      </c>
      <c r="N1114" s="15"/>
    </row>
    <row r="1115" spans="1:18" x14ac:dyDescent="0.3">
      <c r="C1115" s="3">
        <v>43966</v>
      </c>
      <c r="D1115" s="11">
        <v>3314</v>
      </c>
      <c r="G1115" s="16" t="s">
        <v>1071</v>
      </c>
      <c r="H1115" s="16"/>
      <c r="I1115" s="57"/>
      <c r="J1115"/>
      <c r="L1115" s="15">
        <v>918420133684</v>
      </c>
      <c r="M1115" s="15">
        <v>9123226878</v>
      </c>
      <c r="N1115" s="15"/>
    </row>
    <row r="1116" spans="1:18" x14ac:dyDescent="0.3">
      <c r="C1116" s="3">
        <v>43966</v>
      </c>
      <c r="D1116" s="11">
        <v>3315</v>
      </c>
      <c r="G1116" s="16" t="s">
        <v>4</v>
      </c>
      <c r="H1116" s="16"/>
      <c r="I1116" s="57"/>
      <c r="J1116"/>
      <c r="L1116" s="15">
        <v>750334648290</v>
      </c>
      <c r="M1116" s="15">
        <v>9304087474</v>
      </c>
      <c r="N1116" s="15"/>
    </row>
    <row r="1117" spans="1:18" x14ac:dyDescent="0.3">
      <c r="C1117" s="3">
        <v>43966</v>
      </c>
      <c r="D1117" s="11">
        <v>3325</v>
      </c>
      <c r="G1117" s="16" t="s">
        <v>1072</v>
      </c>
      <c r="H1117" s="16"/>
      <c r="I1117" s="57"/>
      <c r="J1117"/>
      <c r="L1117" s="15">
        <v>826798110851</v>
      </c>
      <c r="M1117" s="15">
        <v>8252768647</v>
      </c>
      <c r="N1117" s="15"/>
    </row>
    <row r="1118" spans="1:18" x14ac:dyDescent="0.3">
      <c r="A1118" t="s">
        <v>6765</v>
      </c>
      <c r="C1118" s="3">
        <v>43966</v>
      </c>
      <c r="D1118" s="11">
        <v>3327</v>
      </c>
      <c r="G1118" s="16" t="s">
        <v>1073</v>
      </c>
      <c r="H1118" s="16"/>
      <c r="I1118" s="17">
        <v>26760</v>
      </c>
      <c r="J1118" t="s">
        <v>1278</v>
      </c>
      <c r="L1118" s="15">
        <v>265965169399</v>
      </c>
      <c r="M1118" s="15">
        <v>6204126048</v>
      </c>
      <c r="N1118" s="15"/>
      <c r="O1118" s="3">
        <v>46199</v>
      </c>
      <c r="P1118" s="4" t="s">
        <v>19</v>
      </c>
      <c r="Q1118" s="4" t="s">
        <v>10813</v>
      </c>
    </row>
    <row r="1119" spans="1:18" x14ac:dyDescent="0.3">
      <c r="C1119" s="3">
        <v>43966</v>
      </c>
      <c r="D1119" s="11">
        <v>3328</v>
      </c>
      <c r="G1119" s="16" t="s">
        <v>1074</v>
      </c>
      <c r="H1119" s="16"/>
      <c r="I1119" s="57"/>
      <c r="J1119"/>
      <c r="L1119" s="15">
        <v>789517521920</v>
      </c>
      <c r="M1119" s="15">
        <v>7033628324</v>
      </c>
      <c r="N1119" s="15"/>
    </row>
    <row r="1120" spans="1:18" x14ac:dyDescent="0.3">
      <c r="A1120" t="s">
        <v>7050</v>
      </c>
      <c r="C1120" s="3">
        <v>43966</v>
      </c>
      <c r="D1120" s="11">
        <v>3330</v>
      </c>
      <c r="G1120" s="16" t="s">
        <v>7049</v>
      </c>
      <c r="H1120" s="16"/>
      <c r="I1120" s="57"/>
      <c r="J1120"/>
      <c r="L1120" s="15">
        <v>233269365434</v>
      </c>
      <c r="M1120" s="15">
        <v>9031776803</v>
      </c>
      <c r="N1120" s="15"/>
      <c r="R1120" s="4" t="s">
        <v>16</v>
      </c>
    </row>
    <row r="1121" spans="1:14" x14ac:dyDescent="0.3">
      <c r="C1121" s="3">
        <v>43966</v>
      </c>
      <c r="D1121" s="11">
        <v>3331</v>
      </c>
      <c r="G1121" s="16" t="s">
        <v>1075</v>
      </c>
      <c r="H1121" s="16"/>
      <c r="I1121" s="57"/>
      <c r="J1121"/>
      <c r="L1121" s="15">
        <v>838817371781</v>
      </c>
      <c r="M1121" s="15">
        <v>7488404617</v>
      </c>
      <c r="N1121" s="15"/>
    </row>
    <row r="1122" spans="1:14" x14ac:dyDescent="0.3">
      <c r="C1122" s="3">
        <v>43966</v>
      </c>
      <c r="D1122" s="11">
        <v>3332</v>
      </c>
      <c r="G1122" s="16" t="s">
        <v>1076</v>
      </c>
      <c r="H1122" s="16"/>
      <c r="I1122" s="57"/>
      <c r="J1122"/>
      <c r="L1122" s="15">
        <v>398492290901</v>
      </c>
      <c r="M1122" s="15">
        <v>6206399242</v>
      </c>
      <c r="N1122" s="15"/>
    </row>
    <row r="1123" spans="1:14" x14ac:dyDescent="0.3">
      <c r="C1123" s="3">
        <v>43966</v>
      </c>
      <c r="D1123" s="11">
        <v>3335</v>
      </c>
      <c r="G1123" s="16" t="s">
        <v>1077</v>
      </c>
      <c r="H1123" s="16"/>
      <c r="I1123" s="57"/>
      <c r="J1123"/>
      <c r="L1123" s="15">
        <v>767626853745</v>
      </c>
      <c r="M1123" s="15">
        <v>9162592469</v>
      </c>
      <c r="N1123" s="15"/>
    </row>
    <row r="1124" spans="1:14" x14ac:dyDescent="0.3">
      <c r="C1124" s="3">
        <v>43966</v>
      </c>
      <c r="D1124" s="11">
        <v>3336</v>
      </c>
      <c r="G1124" s="16" t="s">
        <v>1078</v>
      </c>
      <c r="H1124" s="16"/>
      <c r="I1124" s="57"/>
      <c r="J1124"/>
      <c r="L1124" s="15">
        <v>202747907647</v>
      </c>
      <c r="M1124" s="15">
        <v>7481893131</v>
      </c>
      <c r="N1124" s="15"/>
    </row>
    <row r="1125" spans="1:14" x14ac:dyDescent="0.3">
      <c r="C1125" s="3">
        <v>43966</v>
      </c>
      <c r="D1125" s="11">
        <v>3338</v>
      </c>
      <c r="G1125" s="16" t="s">
        <v>1079</v>
      </c>
      <c r="H1125" s="16"/>
      <c r="I1125" s="57"/>
      <c r="J1125"/>
      <c r="L1125" s="15">
        <v>330337148786</v>
      </c>
      <c r="M1125" s="15">
        <v>8797944750</v>
      </c>
      <c r="N1125" s="15"/>
    </row>
    <row r="1126" spans="1:14" x14ac:dyDescent="0.3">
      <c r="C1126" s="3">
        <v>43966</v>
      </c>
      <c r="D1126" s="11">
        <v>3340</v>
      </c>
      <c r="G1126" s="16" t="s">
        <v>1080</v>
      </c>
      <c r="H1126" s="16"/>
      <c r="I1126" s="57" t="s">
        <v>44</v>
      </c>
      <c r="J1126"/>
      <c r="K1126" s="4">
        <v>100</v>
      </c>
      <c r="L1126" s="15">
        <v>840315716239</v>
      </c>
      <c r="M1126" s="15">
        <v>9304904721</v>
      </c>
      <c r="N1126" s="15"/>
    </row>
    <row r="1127" spans="1:14" x14ac:dyDescent="0.3">
      <c r="C1127" s="3">
        <v>43966</v>
      </c>
      <c r="D1127" s="11">
        <v>3342</v>
      </c>
      <c r="G1127" s="16" t="s">
        <v>1081</v>
      </c>
      <c r="H1127" s="16"/>
      <c r="I1127" s="57"/>
      <c r="J1127"/>
      <c r="L1127" s="15">
        <v>602190980207</v>
      </c>
      <c r="M1127" s="15">
        <v>8092461729</v>
      </c>
      <c r="N1127" s="15"/>
    </row>
    <row r="1128" spans="1:14" ht="14.4" x14ac:dyDescent="0.3">
      <c r="A1128" t="s">
        <v>5029</v>
      </c>
      <c r="C1128" s="3">
        <v>43966</v>
      </c>
      <c r="D1128" s="11">
        <v>3343</v>
      </c>
      <c r="G1128" s="16" t="s">
        <v>1082</v>
      </c>
      <c r="H1128" s="16"/>
      <c r="I1128" s="3">
        <v>21916</v>
      </c>
      <c r="J1128" t="s">
        <v>5030</v>
      </c>
      <c r="K1128" s="4">
        <v>300</v>
      </c>
      <c r="L1128" s="15">
        <v>362915392441</v>
      </c>
      <c r="M1128" s="15">
        <v>6203148505</v>
      </c>
      <c r="N1128" s="15"/>
    </row>
    <row r="1129" spans="1:14" x14ac:dyDescent="0.3">
      <c r="C1129" s="3">
        <v>43966</v>
      </c>
      <c r="D1129" s="11">
        <v>3345</v>
      </c>
      <c r="G1129" s="16" t="s">
        <v>1083</v>
      </c>
      <c r="H1129" s="16"/>
      <c r="I1129" s="57"/>
      <c r="J1129"/>
      <c r="L1129" s="15">
        <v>456471967096</v>
      </c>
      <c r="M1129" s="15">
        <v>9608331998</v>
      </c>
      <c r="N1129" s="15"/>
    </row>
    <row r="1130" spans="1:14" x14ac:dyDescent="0.3">
      <c r="C1130" s="3">
        <v>43966</v>
      </c>
      <c r="D1130" s="11">
        <v>3347</v>
      </c>
      <c r="G1130" s="16" t="s">
        <v>1084</v>
      </c>
      <c r="H1130" s="16"/>
      <c r="I1130" s="57"/>
      <c r="J1130"/>
      <c r="L1130" s="15">
        <v>687359172175</v>
      </c>
      <c r="M1130" s="15">
        <v>9431345663</v>
      </c>
      <c r="N1130" s="15"/>
    </row>
    <row r="1131" spans="1:14" x14ac:dyDescent="0.3">
      <c r="C1131" s="3">
        <v>43966</v>
      </c>
      <c r="D1131" s="11">
        <v>3348</v>
      </c>
      <c r="G1131" s="16" t="s">
        <v>1085</v>
      </c>
      <c r="H1131" s="16"/>
      <c r="I1131" s="57"/>
      <c r="J1131"/>
      <c r="L1131" s="15">
        <v>491735956798</v>
      </c>
      <c r="M1131" s="15">
        <v>9031392110</v>
      </c>
      <c r="N1131" s="15"/>
    </row>
    <row r="1132" spans="1:14" x14ac:dyDescent="0.3">
      <c r="C1132" s="3">
        <v>43966</v>
      </c>
      <c r="D1132" s="11">
        <v>3351</v>
      </c>
      <c r="G1132" s="16" t="s">
        <v>1086</v>
      </c>
      <c r="H1132" s="16"/>
      <c r="I1132" s="57"/>
      <c r="J1132"/>
      <c r="L1132" s="15">
        <v>507721033009</v>
      </c>
      <c r="M1132" s="15">
        <v>8092248700</v>
      </c>
      <c r="N1132" s="15"/>
    </row>
    <row r="1133" spans="1:14" x14ac:dyDescent="0.3">
      <c r="C1133" s="3">
        <v>43966</v>
      </c>
      <c r="D1133" s="11">
        <v>3354</v>
      </c>
      <c r="G1133" s="16" t="s">
        <v>1087</v>
      </c>
      <c r="H1133" s="16"/>
      <c r="I1133" s="57"/>
      <c r="J1133"/>
      <c r="L1133" s="15">
        <v>443172727596</v>
      </c>
      <c r="M1133" s="15">
        <v>9234013057</v>
      </c>
      <c r="N1133" s="15"/>
    </row>
    <row r="1134" spans="1:14" x14ac:dyDescent="0.3">
      <c r="C1134" s="3">
        <v>43966</v>
      </c>
      <c r="D1134" s="11">
        <v>3357</v>
      </c>
      <c r="G1134" s="16" t="s">
        <v>1088</v>
      </c>
      <c r="H1134" s="16"/>
      <c r="I1134" s="57"/>
      <c r="J1134"/>
      <c r="L1134" s="15">
        <v>379920279444</v>
      </c>
      <c r="M1134" s="15">
        <v>8102066266</v>
      </c>
      <c r="N1134" s="15" t="s">
        <v>8019</v>
      </c>
    </row>
    <row r="1135" spans="1:14" x14ac:dyDescent="0.3">
      <c r="C1135" s="3">
        <v>43966</v>
      </c>
      <c r="D1135" s="11">
        <v>3358</v>
      </c>
      <c r="G1135" s="16" t="s">
        <v>1089</v>
      </c>
      <c r="H1135" s="16"/>
      <c r="I1135" s="57"/>
      <c r="J1135"/>
      <c r="L1135" s="15">
        <v>563417860506</v>
      </c>
      <c r="M1135" s="15">
        <v>7209442958</v>
      </c>
      <c r="N1135" s="15"/>
    </row>
    <row r="1136" spans="1:14" x14ac:dyDescent="0.3">
      <c r="C1136" s="3">
        <v>43966</v>
      </c>
      <c r="D1136" s="11">
        <v>3361</v>
      </c>
      <c r="G1136" s="16" t="s">
        <v>1090</v>
      </c>
      <c r="H1136" s="16"/>
      <c r="I1136" s="57"/>
      <c r="J1136"/>
      <c r="L1136" s="15">
        <v>279699806496</v>
      </c>
      <c r="M1136" s="15">
        <v>9534109842</v>
      </c>
      <c r="N1136" s="15"/>
    </row>
    <row r="1137" spans="3:14" x14ac:dyDescent="0.3">
      <c r="C1137" s="3">
        <v>43966</v>
      </c>
      <c r="D1137" s="11">
        <v>3364</v>
      </c>
      <c r="G1137" s="16" t="s">
        <v>1091</v>
      </c>
      <c r="H1137" s="16"/>
      <c r="I1137" s="57"/>
      <c r="J1137"/>
      <c r="L1137" s="15">
        <v>339028771447</v>
      </c>
      <c r="M1137" s="15">
        <v>8969743217</v>
      </c>
      <c r="N1137" s="15"/>
    </row>
    <row r="1138" spans="3:14" x14ac:dyDescent="0.3">
      <c r="C1138" s="3">
        <v>43966</v>
      </c>
      <c r="D1138" s="11">
        <v>3365</v>
      </c>
      <c r="G1138" s="16" t="s">
        <v>1092</v>
      </c>
      <c r="H1138" s="16"/>
      <c r="I1138" s="57"/>
      <c r="J1138"/>
      <c r="L1138" s="15">
        <v>314742023056</v>
      </c>
      <c r="M1138" s="15">
        <v>6202035484</v>
      </c>
      <c r="N1138" s="15"/>
    </row>
    <row r="1139" spans="3:14" x14ac:dyDescent="0.3">
      <c r="C1139" s="3">
        <v>43966</v>
      </c>
      <c r="D1139" s="11">
        <v>3367</v>
      </c>
      <c r="G1139" s="16" t="s">
        <v>878</v>
      </c>
      <c r="H1139" s="16"/>
      <c r="I1139" s="57"/>
      <c r="J1139"/>
      <c r="L1139" s="15">
        <v>427013205096</v>
      </c>
      <c r="M1139" s="15">
        <v>7209392538</v>
      </c>
      <c r="N1139" s="15"/>
    </row>
    <row r="1140" spans="3:14" x14ac:dyDescent="0.3">
      <c r="C1140" s="3">
        <v>43966</v>
      </c>
      <c r="D1140" s="11">
        <v>3369</v>
      </c>
      <c r="G1140" s="16" t="s">
        <v>1093</v>
      </c>
      <c r="H1140" s="16"/>
      <c r="I1140" s="57"/>
      <c r="J1140"/>
      <c r="L1140" s="15">
        <v>364817410003</v>
      </c>
      <c r="M1140" s="15">
        <v>8809295817</v>
      </c>
      <c r="N1140" s="15"/>
    </row>
    <row r="1141" spans="3:14" x14ac:dyDescent="0.3">
      <c r="C1141" s="3">
        <v>43966</v>
      </c>
      <c r="D1141" s="11">
        <v>3375</v>
      </c>
      <c r="G1141" s="16" t="s">
        <v>1150</v>
      </c>
      <c r="H1141" s="16"/>
      <c r="I1141" s="57"/>
      <c r="J1141" s="4" t="s">
        <v>1149</v>
      </c>
      <c r="K1141" s="4">
        <v>100</v>
      </c>
      <c r="L1141" s="15">
        <v>245582289827</v>
      </c>
      <c r="M1141" s="15">
        <v>8292574194</v>
      </c>
      <c r="N1141" s="15"/>
    </row>
    <row r="1142" spans="3:14" x14ac:dyDescent="0.3">
      <c r="C1142" s="3">
        <v>43966</v>
      </c>
      <c r="D1142" s="11">
        <v>3377</v>
      </c>
      <c r="G1142" s="16" t="s">
        <v>1094</v>
      </c>
      <c r="H1142" s="16"/>
      <c r="I1142" s="57"/>
      <c r="J1142"/>
      <c r="L1142" s="15">
        <v>702583905701</v>
      </c>
      <c r="M1142" s="15">
        <v>8114579151</v>
      </c>
      <c r="N1142" s="15"/>
    </row>
    <row r="1143" spans="3:14" x14ac:dyDescent="0.3">
      <c r="C1143" s="3">
        <v>43966</v>
      </c>
      <c r="D1143" s="11">
        <v>3379</v>
      </c>
      <c r="G1143" s="16" t="s">
        <v>1095</v>
      </c>
      <c r="H1143" s="16"/>
      <c r="I1143" s="57"/>
      <c r="J1143"/>
      <c r="L1143" s="15">
        <v>795611733154</v>
      </c>
      <c r="M1143" s="15">
        <v>7870317642</v>
      </c>
      <c r="N1143" s="15"/>
    </row>
    <row r="1144" spans="3:14" x14ac:dyDescent="0.3">
      <c r="C1144" s="3">
        <v>43966</v>
      </c>
      <c r="D1144" s="11">
        <v>3381</v>
      </c>
      <c r="G1144" s="16" t="s">
        <v>1096</v>
      </c>
      <c r="H1144" s="16"/>
      <c r="I1144" s="57"/>
      <c r="J1144"/>
      <c r="L1144" s="15">
        <v>648249705717</v>
      </c>
      <c r="M1144" s="15">
        <v>9334454704</v>
      </c>
      <c r="N1144" s="15"/>
    </row>
    <row r="1145" spans="3:14" x14ac:dyDescent="0.3">
      <c r="C1145" s="3">
        <v>43966</v>
      </c>
      <c r="D1145" s="11">
        <v>3384</v>
      </c>
      <c r="G1145" s="16" t="s">
        <v>1097</v>
      </c>
      <c r="H1145" s="16"/>
      <c r="I1145" s="57"/>
      <c r="J1145"/>
      <c r="L1145" s="15">
        <v>558398917152</v>
      </c>
      <c r="M1145" s="15">
        <v>9709183098</v>
      </c>
      <c r="N1145" s="15"/>
    </row>
    <row r="1146" spans="3:14" x14ac:dyDescent="0.3">
      <c r="C1146" s="3">
        <v>43966</v>
      </c>
      <c r="D1146" s="39">
        <v>3387</v>
      </c>
      <c r="G1146" s="16" t="s">
        <v>1098</v>
      </c>
      <c r="H1146" s="16"/>
      <c r="I1146" s="57"/>
      <c r="J1146"/>
      <c r="L1146" s="15">
        <v>833627108810</v>
      </c>
      <c r="M1146" s="15">
        <v>9576814709</v>
      </c>
      <c r="N1146" s="15"/>
    </row>
    <row r="1147" spans="3:14" x14ac:dyDescent="0.3">
      <c r="C1147" s="3">
        <v>43966</v>
      </c>
      <c r="D1147" s="11">
        <v>3389</v>
      </c>
      <c r="G1147" s="16" t="s">
        <v>1099</v>
      </c>
      <c r="H1147" s="16"/>
      <c r="I1147" s="57"/>
      <c r="J1147"/>
      <c r="L1147" s="15">
        <v>661873015714</v>
      </c>
      <c r="M1147" s="15">
        <v>8863950576</v>
      </c>
      <c r="N1147" s="15"/>
    </row>
    <row r="1148" spans="3:14" x14ac:dyDescent="0.3">
      <c r="C1148" s="3">
        <v>43969</v>
      </c>
      <c r="D1148" s="11">
        <v>3457</v>
      </c>
      <c r="G1148" s="16" t="s">
        <v>1100</v>
      </c>
      <c r="H1148" s="16"/>
      <c r="I1148" s="57"/>
      <c r="J1148"/>
      <c r="L1148" s="15">
        <v>275073582692</v>
      </c>
      <c r="M1148" s="15">
        <v>9204700325</v>
      </c>
      <c r="N1148" s="15"/>
    </row>
    <row r="1149" spans="3:14" x14ac:dyDescent="0.3">
      <c r="C1149" s="3">
        <v>43969</v>
      </c>
      <c r="D1149" s="11">
        <v>3459</v>
      </c>
      <c r="G1149" s="16" t="s">
        <v>1101</v>
      </c>
      <c r="H1149" s="16"/>
      <c r="I1149" s="57"/>
      <c r="J1149"/>
      <c r="L1149" s="15">
        <v>268914338877</v>
      </c>
      <c r="M1149" s="15">
        <v>9709541239</v>
      </c>
      <c r="N1149" s="15"/>
    </row>
    <row r="1150" spans="3:14" x14ac:dyDescent="0.3">
      <c r="C1150" s="3">
        <v>43969</v>
      </c>
      <c r="D1150" s="11">
        <v>3460</v>
      </c>
      <c r="G1150" s="16" t="s">
        <v>1102</v>
      </c>
      <c r="H1150" s="16"/>
      <c r="I1150" s="57"/>
      <c r="J1150"/>
      <c r="L1150" s="15">
        <v>546769573082</v>
      </c>
      <c r="M1150" s="15">
        <v>8797322523</v>
      </c>
      <c r="N1150" s="15"/>
    </row>
    <row r="1151" spans="3:14" x14ac:dyDescent="0.3">
      <c r="C1151" s="3">
        <v>43969</v>
      </c>
      <c r="D1151" s="11">
        <v>3461</v>
      </c>
      <c r="G1151" s="16" t="s">
        <v>1103</v>
      </c>
      <c r="H1151" s="16"/>
      <c r="I1151" s="57"/>
      <c r="J1151"/>
      <c r="L1151" s="15">
        <v>334951665654</v>
      </c>
      <c r="M1151" s="15">
        <v>9470568644</v>
      </c>
      <c r="N1151" s="15"/>
    </row>
    <row r="1152" spans="3:14" x14ac:dyDescent="0.3">
      <c r="C1152" s="3">
        <v>43969</v>
      </c>
      <c r="D1152" s="11">
        <v>3463</v>
      </c>
      <c r="G1152" s="16" t="s">
        <v>1104</v>
      </c>
      <c r="H1152" s="16"/>
      <c r="I1152" s="57"/>
      <c r="J1152"/>
      <c r="L1152" s="15">
        <v>455232071179</v>
      </c>
      <c r="M1152" s="15"/>
      <c r="N1152" s="15"/>
    </row>
    <row r="1153" spans="3:14" x14ac:dyDescent="0.3">
      <c r="C1153" s="3">
        <v>43969</v>
      </c>
      <c r="D1153" s="11">
        <v>3465</v>
      </c>
      <c r="G1153" s="16" t="s">
        <v>1105</v>
      </c>
      <c r="H1153" s="16"/>
      <c r="I1153" s="57"/>
      <c r="J1153"/>
      <c r="L1153" s="15">
        <v>944897027514</v>
      </c>
      <c r="M1153" s="15">
        <v>7992277806</v>
      </c>
      <c r="N1153" s="15"/>
    </row>
    <row r="1154" spans="3:14" x14ac:dyDescent="0.3">
      <c r="C1154" s="3">
        <v>43969</v>
      </c>
      <c r="D1154" s="11">
        <v>3466</v>
      </c>
      <c r="G1154" s="16" t="s">
        <v>1106</v>
      </c>
      <c r="H1154" s="16"/>
      <c r="I1154" s="57"/>
      <c r="J1154"/>
      <c r="L1154" s="15"/>
      <c r="M1154" s="15">
        <v>8092709801</v>
      </c>
      <c r="N1154" s="15"/>
    </row>
    <row r="1155" spans="3:14" x14ac:dyDescent="0.3">
      <c r="C1155" s="3">
        <v>43969</v>
      </c>
      <c r="D1155" s="11">
        <v>3468</v>
      </c>
      <c r="G1155" s="16" t="s">
        <v>1107</v>
      </c>
      <c r="H1155" s="16"/>
      <c r="I1155" s="57"/>
      <c r="J1155"/>
      <c r="L1155" s="15">
        <v>698004860807</v>
      </c>
      <c r="M1155" s="15">
        <v>9334515495</v>
      </c>
      <c r="N1155" s="15"/>
    </row>
    <row r="1156" spans="3:14" x14ac:dyDescent="0.3">
      <c r="C1156" s="3">
        <v>43969</v>
      </c>
      <c r="D1156" s="11">
        <v>3471</v>
      </c>
      <c r="G1156" s="16" t="s">
        <v>1108</v>
      </c>
      <c r="H1156" s="16"/>
      <c r="I1156" s="57"/>
      <c r="J1156"/>
      <c r="L1156" s="15">
        <v>201268454321</v>
      </c>
      <c r="M1156" s="15">
        <v>9934889350</v>
      </c>
      <c r="N1156" s="15"/>
    </row>
    <row r="1157" spans="3:14" x14ac:dyDescent="0.3">
      <c r="C1157" s="3">
        <v>43969</v>
      </c>
      <c r="D1157" s="11">
        <v>3472</v>
      </c>
      <c r="G1157" s="16" t="s">
        <v>1547</v>
      </c>
      <c r="H1157" s="16"/>
      <c r="I1157" s="57"/>
      <c r="J1157"/>
      <c r="L1157" s="15">
        <v>580511281090</v>
      </c>
      <c r="M1157" s="15">
        <v>7349898912</v>
      </c>
      <c r="N1157" s="15"/>
    </row>
    <row r="1158" spans="3:14" x14ac:dyDescent="0.3">
      <c r="C1158" s="3">
        <v>43969</v>
      </c>
      <c r="D1158" s="11">
        <v>3474</v>
      </c>
      <c r="G1158" s="16" t="s">
        <v>1109</v>
      </c>
      <c r="H1158" s="16"/>
      <c r="I1158" s="57"/>
      <c r="J1158"/>
      <c r="L1158" s="15">
        <v>583055834732</v>
      </c>
      <c r="M1158" s="15">
        <v>6203164352</v>
      </c>
      <c r="N1158" s="15"/>
    </row>
    <row r="1159" spans="3:14" x14ac:dyDescent="0.3">
      <c r="C1159" s="3">
        <v>43969</v>
      </c>
      <c r="D1159" s="11">
        <v>3475</v>
      </c>
      <c r="G1159" s="16" t="s">
        <v>1110</v>
      </c>
      <c r="H1159" s="16"/>
      <c r="I1159" s="57"/>
      <c r="J1159"/>
      <c r="L1159" s="15">
        <v>492812047957</v>
      </c>
      <c r="M1159" s="15">
        <v>7250996861</v>
      </c>
      <c r="N1159" s="15"/>
    </row>
    <row r="1160" spans="3:14" x14ac:dyDescent="0.3">
      <c r="C1160" s="3">
        <v>43969</v>
      </c>
      <c r="D1160" s="11">
        <v>3478</v>
      </c>
      <c r="G1160" s="16" t="s">
        <v>1111</v>
      </c>
      <c r="H1160" s="16"/>
      <c r="I1160" s="57"/>
      <c r="J1160"/>
      <c r="L1160" s="15">
        <v>239569864731</v>
      </c>
      <c r="M1160" s="15">
        <v>7250996861</v>
      </c>
      <c r="N1160" s="15"/>
    </row>
    <row r="1161" spans="3:14" x14ac:dyDescent="0.3">
      <c r="C1161" s="3">
        <v>43969</v>
      </c>
      <c r="D1161" s="11">
        <v>3479</v>
      </c>
      <c r="G1161" s="16" t="s">
        <v>1112</v>
      </c>
      <c r="H1161" s="16"/>
      <c r="I1161" s="57"/>
      <c r="J1161"/>
      <c r="L1161" s="15">
        <v>930450599561</v>
      </c>
      <c r="M1161" s="15">
        <v>6202860069</v>
      </c>
      <c r="N1161" s="15"/>
    </row>
    <row r="1162" spans="3:14" x14ac:dyDescent="0.3">
      <c r="C1162" s="3">
        <v>43969</v>
      </c>
      <c r="D1162" s="11">
        <v>3482</v>
      </c>
      <c r="G1162" s="16" t="s">
        <v>1113</v>
      </c>
      <c r="H1162" s="16"/>
      <c r="I1162" s="57"/>
      <c r="J1162"/>
      <c r="L1162" s="15">
        <v>468173736333</v>
      </c>
      <c r="M1162" s="15">
        <v>9608718228</v>
      </c>
      <c r="N1162" s="15"/>
    </row>
    <row r="1163" spans="3:14" x14ac:dyDescent="0.3">
      <c r="C1163" s="3">
        <v>43969</v>
      </c>
      <c r="D1163" s="11">
        <v>3485</v>
      </c>
      <c r="G1163" s="16" t="s">
        <v>1114</v>
      </c>
      <c r="H1163" s="16"/>
      <c r="I1163" s="57"/>
      <c r="J1163"/>
      <c r="L1163" s="15">
        <v>688450879416</v>
      </c>
      <c r="M1163" s="15">
        <v>9507189364</v>
      </c>
      <c r="N1163" s="15"/>
    </row>
    <row r="1164" spans="3:14" x14ac:dyDescent="0.3">
      <c r="C1164" s="3">
        <v>43969</v>
      </c>
      <c r="D1164" s="11">
        <v>3486</v>
      </c>
      <c r="G1164" s="16" t="s">
        <v>1115</v>
      </c>
      <c r="H1164" s="16"/>
      <c r="I1164" s="57"/>
      <c r="J1164"/>
      <c r="L1164" s="15">
        <v>749786009100</v>
      </c>
      <c r="M1164" s="15">
        <v>9234762289</v>
      </c>
      <c r="N1164" s="15"/>
    </row>
    <row r="1165" spans="3:14" x14ac:dyDescent="0.3">
      <c r="C1165" s="3">
        <v>43969</v>
      </c>
      <c r="D1165" s="11">
        <v>3489</v>
      </c>
      <c r="G1165" s="16" t="s">
        <v>1116</v>
      </c>
      <c r="H1165" s="16"/>
      <c r="I1165" s="57"/>
      <c r="J1165"/>
      <c r="L1165" s="15">
        <v>401595986586</v>
      </c>
      <c r="M1165" s="15">
        <v>7903796761</v>
      </c>
      <c r="N1165" s="15"/>
    </row>
    <row r="1166" spans="3:14" x14ac:dyDescent="0.3">
      <c r="C1166" s="3">
        <v>43969</v>
      </c>
      <c r="D1166" s="11">
        <v>3490</v>
      </c>
      <c r="G1166" s="16" t="s">
        <v>1117</v>
      </c>
      <c r="H1166" s="16"/>
      <c r="I1166" s="57"/>
      <c r="J1166"/>
      <c r="L1166" s="15">
        <v>262238866584</v>
      </c>
      <c r="M1166" s="15">
        <v>8709717436</v>
      </c>
      <c r="N1166" s="15"/>
    </row>
    <row r="1167" spans="3:14" x14ac:dyDescent="0.3">
      <c r="C1167" s="3">
        <v>43969</v>
      </c>
      <c r="D1167" s="11">
        <v>3494</v>
      </c>
      <c r="G1167" s="16" t="s">
        <v>1118</v>
      </c>
      <c r="H1167" s="16"/>
      <c r="I1167" s="57"/>
      <c r="J1167"/>
      <c r="L1167" s="15">
        <v>764341770516</v>
      </c>
      <c r="M1167" s="15">
        <v>8603616953</v>
      </c>
      <c r="N1167" s="15"/>
    </row>
    <row r="1168" spans="3:14" x14ac:dyDescent="0.3">
      <c r="C1168" s="3">
        <v>43969</v>
      </c>
      <c r="D1168" s="11">
        <v>3496</v>
      </c>
      <c r="G1168" s="16" t="s">
        <v>1119</v>
      </c>
      <c r="H1168" s="16"/>
      <c r="I1168" s="57"/>
      <c r="J1168"/>
      <c r="L1168" s="15">
        <v>488620975128</v>
      </c>
      <c r="M1168" s="15">
        <v>9334744335</v>
      </c>
      <c r="N1168" s="15"/>
    </row>
    <row r="1169" spans="3:14" x14ac:dyDescent="0.3">
      <c r="C1169" s="3">
        <v>43969</v>
      </c>
      <c r="D1169" s="11">
        <v>3499</v>
      </c>
      <c r="G1169" s="16" t="s">
        <v>1120</v>
      </c>
      <c r="H1169" s="16"/>
      <c r="I1169" s="57"/>
      <c r="J1169"/>
      <c r="L1169" s="15">
        <v>216353183353</v>
      </c>
      <c r="M1169" s="15">
        <v>7079677389</v>
      </c>
      <c r="N1169" s="15"/>
    </row>
    <row r="1170" spans="3:14" x14ac:dyDescent="0.3">
      <c r="C1170" s="3">
        <v>43969</v>
      </c>
      <c r="D1170" s="11">
        <v>3500</v>
      </c>
      <c r="G1170" s="16" t="s">
        <v>1121</v>
      </c>
      <c r="H1170" s="16"/>
      <c r="I1170" s="57"/>
      <c r="J1170"/>
      <c r="L1170" s="15">
        <v>560418291845</v>
      </c>
      <c r="M1170" s="15">
        <v>9110977620</v>
      </c>
      <c r="N1170" s="15"/>
    </row>
    <row r="1171" spans="3:14" x14ac:dyDescent="0.3">
      <c r="C1171" s="3">
        <v>43969</v>
      </c>
      <c r="D1171" s="11">
        <v>3501</v>
      </c>
      <c r="G1171" s="16" t="s">
        <v>1122</v>
      </c>
      <c r="H1171" s="16"/>
      <c r="I1171" s="57"/>
      <c r="J1171"/>
      <c r="L1171" s="15">
        <v>697489033268</v>
      </c>
      <c r="M1171" s="15">
        <v>6206003607</v>
      </c>
      <c r="N1171" s="15"/>
    </row>
    <row r="1172" spans="3:14" x14ac:dyDescent="0.3">
      <c r="C1172" s="3">
        <v>43969</v>
      </c>
      <c r="D1172" s="11">
        <v>3502</v>
      </c>
      <c r="G1172" s="16" t="s">
        <v>1123</v>
      </c>
      <c r="H1172" s="16"/>
      <c r="I1172" s="57"/>
      <c r="J1172"/>
      <c r="L1172" s="15">
        <v>216710508020</v>
      </c>
      <c r="M1172" s="15">
        <v>9431370524</v>
      </c>
      <c r="N1172" s="15"/>
    </row>
    <row r="1173" spans="3:14" x14ac:dyDescent="0.3">
      <c r="C1173" s="3">
        <v>43969</v>
      </c>
      <c r="D1173" s="11">
        <v>3503</v>
      </c>
      <c r="G1173" s="16" t="s">
        <v>1124</v>
      </c>
      <c r="H1173" s="16"/>
      <c r="I1173" s="57"/>
      <c r="J1173"/>
      <c r="L1173" s="15">
        <v>996823706242</v>
      </c>
      <c r="M1173" s="15">
        <v>6204242524</v>
      </c>
      <c r="N1173" s="15"/>
    </row>
    <row r="1174" spans="3:14" x14ac:dyDescent="0.3">
      <c r="C1174" s="3">
        <v>43969</v>
      </c>
      <c r="D1174" s="11">
        <v>3504</v>
      </c>
      <c r="G1174" s="16" t="s">
        <v>1125</v>
      </c>
      <c r="H1174" s="16"/>
      <c r="I1174" s="57"/>
      <c r="J1174"/>
      <c r="L1174" s="15">
        <v>960799703218</v>
      </c>
      <c r="M1174" s="15">
        <v>9955487262</v>
      </c>
      <c r="N1174" s="15"/>
    </row>
    <row r="1175" spans="3:14" x14ac:dyDescent="0.3">
      <c r="C1175" s="3">
        <v>43969</v>
      </c>
      <c r="D1175" s="11">
        <v>3505</v>
      </c>
      <c r="G1175" s="16" t="s">
        <v>1126</v>
      </c>
      <c r="H1175" s="16"/>
      <c r="I1175" s="57"/>
      <c r="J1175"/>
      <c r="L1175" s="15">
        <v>323518143679</v>
      </c>
      <c r="M1175" s="15">
        <v>9204635413</v>
      </c>
      <c r="N1175" s="15"/>
    </row>
    <row r="1176" spans="3:14" x14ac:dyDescent="0.3">
      <c r="C1176" s="3">
        <v>43969</v>
      </c>
      <c r="D1176" s="11">
        <v>3507</v>
      </c>
      <c r="G1176" s="16" t="s">
        <v>1127</v>
      </c>
      <c r="H1176" s="16"/>
      <c r="I1176" s="57"/>
      <c r="J1176"/>
      <c r="L1176" s="15">
        <v>568188536291</v>
      </c>
      <c r="M1176" s="15">
        <v>7209581251</v>
      </c>
      <c r="N1176" s="15"/>
    </row>
    <row r="1177" spans="3:14" x14ac:dyDescent="0.3">
      <c r="C1177" s="3">
        <v>43969</v>
      </c>
      <c r="D1177" s="11">
        <v>3508</v>
      </c>
      <c r="G1177" s="16" t="s">
        <v>1128</v>
      </c>
      <c r="H1177" s="16"/>
      <c r="I1177" s="57"/>
      <c r="J1177"/>
      <c r="L1177" s="15"/>
      <c r="M1177" s="15"/>
      <c r="N1177" s="15"/>
    </row>
    <row r="1178" spans="3:14" x14ac:dyDescent="0.3">
      <c r="C1178" s="3">
        <v>43969</v>
      </c>
      <c r="D1178" s="11">
        <v>3513</v>
      </c>
      <c r="G1178" s="16" t="s">
        <v>1129</v>
      </c>
      <c r="H1178" s="16"/>
      <c r="I1178" s="57"/>
      <c r="J1178"/>
      <c r="L1178" s="15">
        <v>698877792456</v>
      </c>
      <c r="M1178" s="15">
        <v>9507692003</v>
      </c>
      <c r="N1178" s="15"/>
    </row>
    <row r="1179" spans="3:14" x14ac:dyDescent="0.3">
      <c r="C1179" s="3">
        <v>43969</v>
      </c>
      <c r="D1179" s="11">
        <v>3515</v>
      </c>
      <c r="G1179" s="16" t="s">
        <v>1130</v>
      </c>
      <c r="H1179" s="16"/>
      <c r="I1179" s="57"/>
      <c r="J1179"/>
      <c r="L1179" s="15">
        <v>347942166886</v>
      </c>
      <c r="M1179" s="15">
        <v>9693003878</v>
      </c>
      <c r="N1179" s="15"/>
    </row>
    <row r="1180" spans="3:14" x14ac:dyDescent="0.3">
      <c r="C1180" s="3">
        <v>43969</v>
      </c>
      <c r="D1180" s="11">
        <v>3517</v>
      </c>
      <c r="G1180" s="16" t="s">
        <v>1131</v>
      </c>
      <c r="H1180" s="16"/>
      <c r="I1180" s="57"/>
      <c r="J1180"/>
      <c r="L1180" s="15">
        <v>271456252975</v>
      </c>
      <c r="M1180" s="15">
        <v>9113305845</v>
      </c>
      <c r="N1180" s="15"/>
    </row>
    <row r="1181" spans="3:14" x14ac:dyDescent="0.3">
      <c r="C1181" s="3">
        <v>43969</v>
      </c>
      <c r="D1181" s="11">
        <v>3520</v>
      </c>
      <c r="G1181" s="16" t="s">
        <v>1132</v>
      </c>
      <c r="H1181" s="16"/>
      <c r="I1181" s="57"/>
      <c r="J1181"/>
      <c r="L1181" s="15">
        <v>390602469415</v>
      </c>
      <c r="M1181" s="15">
        <v>6206956100</v>
      </c>
      <c r="N1181" s="15"/>
    </row>
    <row r="1182" spans="3:14" x14ac:dyDescent="0.3">
      <c r="C1182" s="3">
        <v>43969</v>
      </c>
      <c r="D1182" s="11">
        <v>3521</v>
      </c>
      <c r="G1182" s="16" t="s">
        <v>1133</v>
      </c>
      <c r="H1182" s="16"/>
      <c r="I1182" s="57"/>
      <c r="J1182"/>
      <c r="L1182" s="15">
        <v>679257950140</v>
      </c>
      <c r="M1182" s="15">
        <v>7209922404</v>
      </c>
      <c r="N1182" s="15"/>
    </row>
    <row r="1183" spans="3:14" x14ac:dyDescent="0.3">
      <c r="C1183" s="3">
        <v>43969</v>
      </c>
      <c r="D1183" s="11">
        <v>3523</v>
      </c>
      <c r="G1183" s="16" t="s">
        <v>1134</v>
      </c>
      <c r="H1183" s="16"/>
      <c r="I1183" s="57"/>
      <c r="J1183"/>
      <c r="L1183" s="15">
        <v>369200140148</v>
      </c>
      <c r="M1183" s="15">
        <v>9709213736</v>
      </c>
      <c r="N1183" s="15"/>
    </row>
    <row r="1184" spans="3:14" x14ac:dyDescent="0.3">
      <c r="C1184" s="3">
        <v>43969</v>
      </c>
      <c r="D1184" s="11">
        <v>3529</v>
      </c>
      <c r="G1184" s="16" t="s">
        <v>234</v>
      </c>
      <c r="H1184" s="16"/>
      <c r="I1184" s="57"/>
      <c r="J1184"/>
      <c r="L1184" s="15">
        <v>994302300244</v>
      </c>
      <c r="M1184" s="15">
        <v>7488605735</v>
      </c>
      <c r="N1184" s="15"/>
    </row>
    <row r="1185" spans="1:16" x14ac:dyDescent="0.3">
      <c r="C1185" s="3">
        <v>43969</v>
      </c>
      <c r="D1185" s="11">
        <v>3531</v>
      </c>
      <c r="G1185" s="16" t="s">
        <v>1135</v>
      </c>
      <c r="H1185" s="16"/>
      <c r="I1185" s="57"/>
      <c r="J1185"/>
      <c r="L1185" s="15">
        <v>428787354508</v>
      </c>
      <c r="M1185" s="15">
        <v>6200627860</v>
      </c>
      <c r="N1185" s="15"/>
    </row>
    <row r="1186" spans="1:16" x14ac:dyDescent="0.3">
      <c r="C1186" s="3">
        <v>43969</v>
      </c>
      <c r="D1186" s="11">
        <v>3533</v>
      </c>
      <c r="G1186" s="16" t="s">
        <v>1136</v>
      </c>
      <c r="H1186" s="16"/>
      <c r="I1186" s="57"/>
      <c r="J1186"/>
      <c r="L1186" s="15">
        <v>238087812339</v>
      </c>
      <c r="M1186" s="15">
        <v>9262387788</v>
      </c>
      <c r="N1186" s="15"/>
    </row>
    <row r="1187" spans="1:16" x14ac:dyDescent="0.3">
      <c r="C1187" s="3">
        <v>43969</v>
      </c>
      <c r="D1187" s="11">
        <v>3537</v>
      </c>
      <c r="G1187" s="16" t="s">
        <v>1137</v>
      </c>
      <c r="H1187" s="16"/>
      <c r="I1187" s="57"/>
      <c r="J1187"/>
      <c r="L1187" s="15">
        <v>758705515703</v>
      </c>
      <c r="M1187" s="15">
        <v>8252201211</v>
      </c>
      <c r="N1187" s="15"/>
    </row>
    <row r="1188" spans="1:16" x14ac:dyDescent="0.3">
      <c r="C1188" s="3">
        <v>43969</v>
      </c>
      <c r="D1188" s="11">
        <v>3539</v>
      </c>
      <c r="G1188" s="16" t="s">
        <v>1138</v>
      </c>
      <c r="H1188" s="16"/>
      <c r="I1188" s="57"/>
      <c r="J1188"/>
      <c r="L1188" s="15">
        <v>773086453630</v>
      </c>
      <c r="M1188" s="15">
        <v>9031736067</v>
      </c>
      <c r="N1188" s="15"/>
    </row>
    <row r="1189" spans="1:16" x14ac:dyDescent="0.3">
      <c r="C1189" s="3">
        <v>43969</v>
      </c>
      <c r="D1189" s="11">
        <v>3542</v>
      </c>
      <c r="G1189" s="16" t="s">
        <v>1139</v>
      </c>
      <c r="H1189" s="16"/>
      <c r="I1189" s="57"/>
      <c r="J1189"/>
      <c r="L1189" s="15">
        <v>438519272443</v>
      </c>
      <c r="M1189" s="15">
        <v>9264483410</v>
      </c>
      <c r="N1189" s="15"/>
    </row>
    <row r="1190" spans="1:16" x14ac:dyDescent="0.3">
      <c r="C1190" s="3">
        <v>43969</v>
      </c>
      <c r="D1190" s="11">
        <v>3545</v>
      </c>
      <c r="G1190" s="16" t="s">
        <v>1140</v>
      </c>
      <c r="H1190" s="16"/>
      <c r="I1190" s="57"/>
      <c r="J1190"/>
      <c r="L1190" s="15">
        <v>798432525513</v>
      </c>
      <c r="M1190" s="15">
        <v>8235228540</v>
      </c>
      <c r="N1190" s="15"/>
    </row>
    <row r="1191" spans="1:16" x14ac:dyDescent="0.3">
      <c r="C1191" s="3">
        <v>43969</v>
      </c>
      <c r="D1191" s="11">
        <v>3548</v>
      </c>
      <c r="G1191" s="16" t="s">
        <v>1141</v>
      </c>
      <c r="H1191" s="16"/>
      <c r="I1191" s="57"/>
      <c r="J1191"/>
      <c r="L1191" s="15">
        <v>902567335138</v>
      </c>
      <c r="M1191" s="15">
        <v>9934326632</v>
      </c>
      <c r="N1191" s="15"/>
    </row>
    <row r="1192" spans="1:16" x14ac:dyDescent="0.3">
      <c r="C1192" s="3">
        <v>43969</v>
      </c>
      <c r="D1192" s="11">
        <v>3551</v>
      </c>
      <c r="G1192" s="16" t="s">
        <v>1142</v>
      </c>
      <c r="H1192" s="16"/>
      <c r="I1192" s="57"/>
      <c r="J1192"/>
      <c r="L1192" s="15">
        <v>665473407296</v>
      </c>
      <c r="M1192" s="15">
        <v>8092724989</v>
      </c>
      <c r="N1192" s="15"/>
    </row>
    <row r="1193" spans="1:16" x14ac:dyDescent="0.3">
      <c r="C1193" s="3">
        <v>43969</v>
      </c>
      <c r="D1193" s="11">
        <v>3554</v>
      </c>
      <c r="G1193" s="16" t="s">
        <v>1143</v>
      </c>
      <c r="H1193" s="16"/>
      <c r="I1193" s="57"/>
      <c r="J1193"/>
      <c r="L1193" s="15">
        <v>701210620846</v>
      </c>
      <c r="M1193" s="15">
        <v>8210704834</v>
      </c>
      <c r="N1193" s="15"/>
    </row>
    <row r="1194" spans="1:16" x14ac:dyDescent="0.3">
      <c r="C1194" s="3">
        <v>43969</v>
      </c>
      <c r="D1194" s="11">
        <v>3557</v>
      </c>
      <c r="G1194" s="16" t="s">
        <v>1144</v>
      </c>
      <c r="H1194" s="16"/>
      <c r="I1194" s="57"/>
      <c r="J1194"/>
      <c r="L1194" s="15">
        <v>261652076977</v>
      </c>
      <c r="M1194" s="15">
        <v>9771417917</v>
      </c>
      <c r="N1194" s="15"/>
    </row>
    <row r="1195" spans="1:16" x14ac:dyDescent="0.3">
      <c r="C1195" s="3">
        <v>43969</v>
      </c>
      <c r="D1195" s="11">
        <v>3562</v>
      </c>
      <c r="G1195" s="16" t="s">
        <v>1057</v>
      </c>
      <c r="H1195" s="16"/>
      <c r="I1195" s="57"/>
      <c r="J1195"/>
      <c r="L1195" s="15">
        <v>908798732579</v>
      </c>
      <c r="M1195" s="15">
        <v>7033179949</v>
      </c>
      <c r="N1195" s="15"/>
    </row>
    <row r="1196" spans="1:16" x14ac:dyDescent="0.3">
      <c r="A1196">
        <v>1309</v>
      </c>
      <c r="C1196" s="3">
        <v>44014</v>
      </c>
      <c r="D1196" s="11">
        <v>4120</v>
      </c>
      <c r="G1196" s="16" t="s">
        <v>1176</v>
      </c>
      <c r="H1196" s="16"/>
      <c r="I1196" s="17">
        <v>28068</v>
      </c>
      <c r="J1196" s="4" t="s">
        <v>1178</v>
      </c>
      <c r="K1196" s="4">
        <v>200</v>
      </c>
      <c r="L1196" s="11" t="s">
        <v>1180</v>
      </c>
      <c r="M1196" s="11" t="s">
        <v>1181</v>
      </c>
    </row>
    <row r="1197" spans="1:16" x14ac:dyDescent="0.3">
      <c r="A1197">
        <v>1310</v>
      </c>
      <c r="C1197" s="3">
        <v>44014</v>
      </c>
      <c r="D1197" s="11">
        <v>4121</v>
      </c>
      <c r="G1197" s="16" t="s">
        <v>1177</v>
      </c>
      <c r="H1197" s="16"/>
      <c r="I1197" s="17">
        <v>21307</v>
      </c>
      <c r="J1197" s="4" t="s">
        <v>1159</v>
      </c>
      <c r="K1197" s="4">
        <v>200</v>
      </c>
      <c r="L1197" s="11" t="s">
        <v>1182</v>
      </c>
      <c r="M1197" s="11" t="s">
        <v>1183</v>
      </c>
      <c r="O1197" s="3">
        <v>44016</v>
      </c>
    </row>
    <row r="1198" spans="1:16" x14ac:dyDescent="0.3">
      <c r="A1198">
        <v>1011</v>
      </c>
      <c r="C1198" s="3">
        <v>44014</v>
      </c>
      <c r="D1198" s="11">
        <v>4124</v>
      </c>
      <c r="G1198" s="16" t="s">
        <v>1190</v>
      </c>
      <c r="H1198" s="16"/>
      <c r="J1198" s="4" t="s">
        <v>1191</v>
      </c>
      <c r="K1198" s="4">
        <v>100</v>
      </c>
      <c r="L1198" s="11" t="s">
        <v>1195</v>
      </c>
      <c r="M1198" s="11" t="s">
        <v>1194</v>
      </c>
    </row>
    <row r="1199" spans="1:16" x14ac:dyDescent="0.3">
      <c r="A1199">
        <v>1312</v>
      </c>
      <c r="C1199" s="3">
        <v>44015</v>
      </c>
      <c r="D1199" s="11">
        <v>4125</v>
      </c>
      <c r="G1199" s="16" t="s">
        <v>1185</v>
      </c>
      <c r="H1199" s="16"/>
      <c r="K1199" s="4">
        <v>200</v>
      </c>
      <c r="L1199" s="11" t="s">
        <v>1197</v>
      </c>
      <c r="M1199" s="11" t="s">
        <v>1196</v>
      </c>
      <c r="O1199" s="3">
        <v>44016</v>
      </c>
    </row>
    <row r="1200" spans="1:16" x14ac:dyDescent="0.3">
      <c r="A1200">
        <v>1313</v>
      </c>
      <c r="C1200" s="3">
        <v>44015</v>
      </c>
      <c r="D1200" s="11">
        <v>4126</v>
      </c>
      <c r="G1200" s="16" t="s">
        <v>1186</v>
      </c>
      <c r="H1200" s="16"/>
      <c r="I1200" s="17">
        <v>31048</v>
      </c>
      <c r="K1200" s="4">
        <v>200</v>
      </c>
      <c r="L1200" s="11" t="s">
        <v>1199</v>
      </c>
      <c r="M1200" s="11" t="s">
        <v>1198</v>
      </c>
      <c r="O1200" s="3">
        <v>44016</v>
      </c>
      <c r="P1200" s="3">
        <v>44016</v>
      </c>
    </row>
    <row r="1201" spans="1:18" x14ac:dyDescent="0.3">
      <c r="A1201">
        <v>1314</v>
      </c>
      <c r="C1201" s="3">
        <v>44015</v>
      </c>
      <c r="D1201" s="11">
        <v>4127</v>
      </c>
      <c r="G1201" s="16" t="s">
        <v>1187</v>
      </c>
      <c r="H1201" s="16"/>
      <c r="K1201" s="4">
        <v>200</v>
      </c>
      <c r="L1201" s="11" t="s">
        <v>1201</v>
      </c>
      <c r="M1201" s="11" t="s">
        <v>1200</v>
      </c>
      <c r="O1201" s="3">
        <v>44016</v>
      </c>
      <c r="P1201" s="3">
        <v>44016</v>
      </c>
    </row>
    <row r="1202" spans="1:18" x14ac:dyDescent="0.3">
      <c r="A1202">
        <v>1315</v>
      </c>
      <c r="C1202" s="3">
        <v>44016</v>
      </c>
      <c r="D1202" s="11">
        <v>4128</v>
      </c>
      <c r="G1202" s="16" t="s">
        <v>1188</v>
      </c>
      <c r="H1202" s="16"/>
      <c r="I1202" s="17">
        <v>35306</v>
      </c>
      <c r="J1202" s="4" t="s">
        <v>1159</v>
      </c>
      <c r="K1202" s="4">
        <v>200</v>
      </c>
      <c r="L1202" s="11" t="s">
        <v>1203</v>
      </c>
      <c r="M1202" s="11" t="s">
        <v>1202</v>
      </c>
      <c r="O1202" s="3">
        <v>44016</v>
      </c>
      <c r="P1202" s="3">
        <v>44016</v>
      </c>
      <c r="Q1202" s="3">
        <v>44016</v>
      </c>
    </row>
    <row r="1203" spans="1:18" x14ac:dyDescent="0.3">
      <c r="A1203">
        <v>1316</v>
      </c>
      <c r="C1203" s="3">
        <v>44016</v>
      </c>
      <c r="D1203" s="11">
        <v>4129</v>
      </c>
      <c r="G1203" s="16" t="s">
        <v>1189</v>
      </c>
      <c r="H1203" s="16"/>
      <c r="K1203" s="4">
        <v>200</v>
      </c>
      <c r="L1203" s="11" t="s">
        <v>1205</v>
      </c>
      <c r="M1203" s="11" t="s">
        <v>1204</v>
      </c>
      <c r="O1203" s="3">
        <v>44016</v>
      </c>
    </row>
    <row r="1204" spans="1:18" x14ac:dyDescent="0.3">
      <c r="A1204">
        <v>1317</v>
      </c>
      <c r="C1204" s="3">
        <v>44016</v>
      </c>
      <c r="D1204" s="11">
        <v>4130</v>
      </c>
      <c r="G1204" s="16" t="s">
        <v>1192</v>
      </c>
      <c r="H1204" s="16"/>
      <c r="K1204" s="4">
        <v>200</v>
      </c>
      <c r="L1204" s="11" t="s">
        <v>1207</v>
      </c>
      <c r="M1204" s="11" t="s">
        <v>1206</v>
      </c>
      <c r="O1204" s="3">
        <v>44016</v>
      </c>
      <c r="P1204" s="3">
        <v>44016</v>
      </c>
    </row>
    <row r="1205" spans="1:18" x14ac:dyDescent="0.3">
      <c r="A1205">
        <v>1318</v>
      </c>
      <c r="C1205" s="3">
        <v>44016</v>
      </c>
      <c r="D1205" s="11">
        <v>4136</v>
      </c>
      <c r="G1205" s="16" t="s">
        <v>1193</v>
      </c>
      <c r="H1205" s="16"/>
      <c r="I1205" s="17">
        <v>36486</v>
      </c>
      <c r="J1205" s="4" t="s">
        <v>1178</v>
      </c>
      <c r="K1205" s="4">
        <v>200</v>
      </c>
      <c r="L1205" s="11" t="s">
        <v>1209</v>
      </c>
      <c r="M1205" s="11" t="s">
        <v>1208</v>
      </c>
    </row>
    <row r="1206" spans="1:18" x14ac:dyDescent="0.3">
      <c r="A1206">
        <v>1319</v>
      </c>
      <c r="C1206" s="3">
        <v>44019</v>
      </c>
      <c r="D1206" s="11">
        <v>4138</v>
      </c>
      <c r="G1206" s="16" t="s">
        <v>337</v>
      </c>
      <c r="H1206" s="16"/>
      <c r="I1206" s="17">
        <v>30317</v>
      </c>
      <c r="J1206" s="4" t="s">
        <v>1212</v>
      </c>
      <c r="K1206" s="4">
        <v>400</v>
      </c>
      <c r="L1206" s="11" t="s">
        <v>1219</v>
      </c>
      <c r="M1206" s="11" t="s">
        <v>1218</v>
      </c>
      <c r="O1206" s="3">
        <v>44019</v>
      </c>
      <c r="P1206" s="3">
        <v>44019</v>
      </c>
      <c r="Q1206" s="3">
        <v>44019</v>
      </c>
      <c r="R1206" s="4" t="s">
        <v>14</v>
      </c>
    </row>
    <row r="1207" spans="1:18" x14ac:dyDescent="0.3">
      <c r="A1207">
        <v>1320</v>
      </c>
      <c r="C1207" s="3">
        <v>44019</v>
      </c>
      <c r="D1207" s="11">
        <v>4139</v>
      </c>
      <c r="G1207" s="16" t="s">
        <v>1213</v>
      </c>
      <c r="H1207" s="16"/>
      <c r="I1207" s="17">
        <v>37415</v>
      </c>
      <c r="J1207" s="4" t="s">
        <v>1214</v>
      </c>
      <c r="K1207" s="4">
        <v>100</v>
      </c>
      <c r="L1207" s="11" t="s">
        <v>1223</v>
      </c>
      <c r="M1207" s="11" t="s">
        <v>1222</v>
      </c>
      <c r="O1207" s="3">
        <v>44019</v>
      </c>
      <c r="P1207" s="3"/>
    </row>
    <row r="1208" spans="1:18" x14ac:dyDescent="0.3">
      <c r="A1208">
        <v>1321</v>
      </c>
      <c r="C1208" s="3">
        <v>44020</v>
      </c>
      <c r="D1208" s="11">
        <v>4141</v>
      </c>
      <c r="G1208" s="16" t="s">
        <v>1221</v>
      </c>
      <c r="H1208" s="16"/>
      <c r="I1208" s="17">
        <v>24965</v>
      </c>
      <c r="J1208" s="4" t="s">
        <v>1217</v>
      </c>
      <c r="K1208" s="4">
        <v>100</v>
      </c>
      <c r="L1208" s="11" t="s">
        <v>1225</v>
      </c>
      <c r="M1208" s="11" t="s">
        <v>1224</v>
      </c>
      <c r="O1208" s="3">
        <v>44020</v>
      </c>
    </row>
    <row r="1209" spans="1:18" x14ac:dyDescent="0.3">
      <c r="A1209">
        <v>1322</v>
      </c>
      <c r="C1209" s="3">
        <v>44020</v>
      </c>
      <c r="D1209" s="11">
        <v>4142</v>
      </c>
      <c r="G1209" s="16" t="s">
        <v>225</v>
      </c>
      <c r="H1209" s="16"/>
      <c r="I1209" s="17">
        <v>36892</v>
      </c>
      <c r="J1209" s="4" t="s">
        <v>1159</v>
      </c>
      <c r="K1209" s="4">
        <v>400</v>
      </c>
      <c r="L1209" s="11" t="s">
        <v>1227</v>
      </c>
      <c r="M1209" s="11" t="s">
        <v>1226</v>
      </c>
      <c r="O1209" s="3">
        <v>44020</v>
      </c>
      <c r="P1209" s="3">
        <v>44020</v>
      </c>
    </row>
    <row r="1210" spans="1:18" x14ac:dyDescent="0.3">
      <c r="A1210" t="s">
        <v>6652</v>
      </c>
      <c r="C1210" s="3">
        <v>44020</v>
      </c>
      <c r="D1210" s="11">
        <v>4143</v>
      </c>
      <c r="G1210" s="16" t="s">
        <v>1220</v>
      </c>
      <c r="H1210" s="16"/>
      <c r="I1210" s="17">
        <v>32149</v>
      </c>
      <c r="J1210" s="4" t="s">
        <v>1159</v>
      </c>
      <c r="K1210" s="4">
        <v>100</v>
      </c>
      <c r="L1210" s="11" t="s">
        <v>1229</v>
      </c>
      <c r="M1210" s="11" t="s">
        <v>1228</v>
      </c>
      <c r="O1210" s="3">
        <v>44020</v>
      </c>
    </row>
    <row r="1211" spans="1:18" x14ac:dyDescent="0.3">
      <c r="A1211">
        <v>1324</v>
      </c>
      <c r="C1211" s="3">
        <v>44021</v>
      </c>
      <c r="D1211" s="11">
        <v>4145</v>
      </c>
      <c r="G1211" s="16" t="s">
        <v>1230</v>
      </c>
      <c r="H1211" s="16"/>
      <c r="I1211" s="17">
        <v>33034</v>
      </c>
      <c r="J1211" s="4" t="s">
        <v>1231</v>
      </c>
      <c r="K1211" s="4">
        <v>500</v>
      </c>
      <c r="L1211" s="11" t="s">
        <v>1236</v>
      </c>
      <c r="M1211" s="11" t="s">
        <v>1237</v>
      </c>
      <c r="O1211" s="3">
        <v>44021</v>
      </c>
      <c r="P1211" s="3">
        <v>44021</v>
      </c>
      <c r="R1211" s="4" t="s">
        <v>14</v>
      </c>
    </row>
    <row r="1212" spans="1:18" x14ac:dyDescent="0.3">
      <c r="A1212">
        <v>1325</v>
      </c>
      <c r="C1212" s="3">
        <v>44029</v>
      </c>
      <c r="D1212" s="11">
        <v>4152</v>
      </c>
      <c r="G1212" s="16" t="s">
        <v>1232</v>
      </c>
      <c r="H1212" s="16"/>
      <c r="I1212" s="17">
        <v>29204</v>
      </c>
      <c r="J1212" s="4" t="s">
        <v>1233</v>
      </c>
      <c r="K1212" s="4">
        <v>500</v>
      </c>
      <c r="L1212" s="11" t="s">
        <v>1234</v>
      </c>
      <c r="M1212" s="11" t="s">
        <v>1235</v>
      </c>
      <c r="O1212" s="3">
        <v>44029</v>
      </c>
      <c r="P1212" s="3">
        <v>44029</v>
      </c>
      <c r="R1212" s="4" t="s">
        <v>14</v>
      </c>
    </row>
    <row r="1213" spans="1:18" x14ac:dyDescent="0.3">
      <c r="A1213">
        <v>1326</v>
      </c>
      <c r="C1213" s="3">
        <v>44030</v>
      </c>
      <c r="D1213" s="11">
        <v>4155</v>
      </c>
      <c r="G1213" s="16" t="s">
        <v>1238</v>
      </c>
      <c r="H1213" s="16"/>
      <c r="I1213" s="17">
        <v>27603</v>
      </c>
      <c r="J1213" s="4" t="s">
        <v>1233</v>
      </c>
      <c r="K1213" s="4">
        <v>500</v>
      </c>
      <c r="M1213" s="11" t="s">
        <v>10774</v>
      </c>
      <c r="O1213" s="3">
        <v>44030</v>
      </c>
    </row>
    <row r="1214" spans="1:18" x14ac:dyDescent="0.3">
      <c r="A1214">
        <v>1327</v>
      </c>
      <c r="C1214" s="3">
        <v>44030</v>
      </c>
      <c r="D1214" s="11">
        <v>4156</v>
      </c>
      <c r="G1214" s="16" t="s">
        <v>1239</v>
      </c>
      <c r="H1214" s="16"/>
      <c r="I1214" s="17">
        <v>37914</v>
      </c>
      <c r="J1214" s="4" t="s">
        <v>1233</v>
      </c>
      <c r="K1214" s="22">
        <v>500</v>
      </c>
      <c r="L1214" s="11" t="s">
        <v>6883</v>
      </c>
      <c r="O1214" s="4" t="s">
        <v>1240</v>
      </c>
    </row>
    <row r="1215" spans="1:18" x14ac:dyDescent="0.3">
      <c r="A1215">
        <v>1328</v>
      </c>
      <c r="C1215" s="3">
        <v>44033</v>
      </c>
      <c r="D1215" s="11">
        <v>4157</v>
      </c>
      <c r="G1215" s="16" t="s">
        <v>906</v>
      </c>
      <c r="H1215" s="16"/>
      <c r="I1215" s="17">
        <v>32644</v>
      </c>
      <c r="J1215" s="4" t="s">
        <v>1217</v>
      </c>
      <c r="K1215" s="4">
        <v>500</v>
      </c>
      <c r="L1215" s="11" t="s">
        <v>1293</v>
      </c>
      <c r="M1215" s="11" t="s">
        <v>1294</v>
      </c>
      <c r="O1215" s="3">
        <v>44032</v>
      </c>
      <c r="P1215" s="4" t="s">
        <v>1171</v>
      </c>
    </row>
    <row r="1216" spans="1:18" x14ac:dyDescent="0.3">
      <c r="A1216">
        <v>1329</v>
      </c>
      <c r="C1216" s="3">
        <v>44033</v>
      </c>
      <c r="D1216" s="11">
        <v>4158</v>
      </c>
      <c r="G1216" s="16" t="s">
        <v>1241</v>
      </c>
      <c r="H1216" s="16"/>
      <c r="I1216" s="17">
        <v>27003</v>
      </c>
      <c r="J1216" s="4" t="s">
        <v>1242</v>
      </c>
      <c r="K1216" s="4">
        <v>1000</v>
      </c>
      <c r="O1216" s="3">
        <v>44032</v>
      </c>
      <c r="P1216" s="3">
        <v>44032</v>
      </c>
    </row>
    <row r="1217" spans="1:18" x14ac:dyDescent="0.3">
      <c r="A1217">
        <v>1330</v>
      </c>
      <c r="C1217" s="3">
        <v>44033</v>
      </c>
      <c r="D1217" s="11">
        <v>4159</v>
      </c>
      <c r="G1217" s="16" t="s">
        <v>1243</v>
      </c>
      <c r="H1217" s="16"/>
      <c r="I1217" s="17">
        <v>23743</v>
      </c>
      <c r="J1217" s="4" t="s">
        <v>1244</v>
      </c>
      <c r="K1217" s="4">
        <v>500</v>
      </c>
      <c r="L1217" s="11" t="s">
        <v>1357</v>
      </c>
      <c r="M1217" s="11" t="s">
        <v>1358</v>
      </c>
      <c r="O1217" s="3">
        <v>44035</v>
      </c>
    </row>
    <row r="1218" spans="1:18" x14ac:dyDescent="0.3">
      <c r="A1218">
        <v>1331</v>
      </c>
      <c r="C1218" s="3">
        <v>44033</v>
      </c>
      <c r="D1218" s="11">
        <v>4160</v>
      </c>
      <c r="G1218" s="16" t="s">
        <v>1245</v>
      </c>
      <c r="H1218" s="16"/>
      <c r="I1218" s="17">
        <v>26969</v>
      </c>
      <c r="J1218" s="4" t="s">
        <v>1246</v>
      </c>
      <c r="K1218" s="4">
        <v>300</v>
      </c>
      <c r="O1218" s="3">
        <v>44035</v>
      </c>
    </row>
    <row r="1219" spans="1:18" x14ac:dyDescent="0.3">
      <c r="A1219">
        <v>1332</v>
      </c>
      <c r="C1219" s="3">
        <v>44033</v>
      </c>
      <c r="D1219" s="11">
        <v>4161</v>
      </c>
      <c r="G1219" s="16" t="s">
        <v>1247</v>
      </c>
      <c r="H1219" s="16"/>
      <c r="I1219" s="17">
        <v>36911</v>
      </c>
      <c r="J1219" s="4" t="s">
        <v>1248</v>
      </c>
      <c r="K1219" s="4">
        <v>500</v>
      </c>
    </row>
    <row r="1220" spans="1:18" x14ac:dyDescent="0.3">
      <c r="A1220">
        <v>1333</v>
      </c>
      <c r="C1220" s="3">
        <v>44033</v>
      </c>
      <c r="D1220" s="11">
        <v>4162</v>
      </c>
      <c r="G1220" s="16" t="s">
        <v>1303</v>
      </c>
      <c r="H1220" s="16"/>
      <c r="I1220" s="17">
        <v>36978</v>
      </c>
      <c r="J1220" s="4" t="s">
        <v>1249</v>
      </c>
      <c r="K1220" s="4">
        <v>400</v>
      </c>
    </row>
    <row r="1221" spans="1:18" x14ac:dyDescent="0.3">
      <c r="A1221">
        <v>1334</v>
      </c>
      <c r="C1221" s="3">
        <v>44034</v>
      </c>
      <c r="D1221" s="11">
        <v>4163</v>
      </c>
      <c r="G1221" s="16" t="s">
        <v>1251</v>
      </c>
      <c r="H1221" s="16"/>
      <c r="I1221" s="17">
        <v>34721</v>
      </c>
      <c r="J1221" s="4" t="s">
        <v>1252</v>
      </c>
      <c r="K1221" s="4">
        <v>4000</v>
      </c>
      <c r="L1221" s="11" t="s">
        <v>4156</v>
      </c>
      <c r="M1221" s="11" t="s">
        <v>4155</v>
      </c>
      <c r="R1221" s="4" t="s">
        <v>16</v>
      </c>
    </row>
    <row r="1222" spans="1:18" x14ac:dyDescent="0.3">
      <c r="A1222">
        <v>1335</v>
      </c>
      <c r="C1222" s="3">
        <v>44035</v>
      </c>
      <c r="D1222" s="11">
        <v>4164</v>
      </c>
      <c r="G1222" s="16" t="s">
        <v>1253</v>
      </c>
      <c r="H1222" s="16"/>
      <c r="I1222" s="17">
        <v>24806</v>
      </c>
      <c r="J1222" s="4" t="s">
        <v>1254</v>
      </c>
      <c r="K1222" s="4">
        <v>300</v>
      </c>
    </row>
    <row r="1223" spans="1:18" x14ac:dyDescent="0.3">
      <c r="A1223">
        <v>1336</v>
      </c>
      <c r="C1223" s="3">
        <v>44035</v>
      </c>
      <c r="D1223" s="11">
        <v>4165</v>
      </c>
      <c r="G1223" s="16" t="s">
        <v>1255</v>
      </c>
      <c r="H1223" s="16"/>
      <c r="I1223" s="17">
        <v>37490</v>
      </c>
      <c r="J1223" s="4" t="s">
        <v>1254</v>
      </c>
      <c r="K1223" s="4">
        <v>200</v>
      </c>
    </row>
    <row r="1224" spans="1:18" x14ac:dyDescent="0.3">
      <c r="A1224">
        <v>1338</v>
      </c>
      <c r="C1224" s="3">
        <v>44039</v>
      </c>
      <c r="D1224" s="11">
        <v>4166</v>
      </c>
      <c r="G1224" s="16" t="s">
        <v>1260</v>
      </c>
      <c r="H1224" s="16"/>
      <c r="I1224" s="17">
        <v>34764</v>
      </c>
      <c r="J1224" s="4" t="s">
        <v>1258</v>
      </c>
      <c r="K1224" s="4">
        <v>200</v>
      </c>
      <c r="L1224" s="11" t="s">
        <v>1261</v>
      </c>
      <c r="M1224" s="11" t="s">
        <v>1262</v>
      </c>
      <c r="O1224" s="3">
        <v>44039</v>
      </c>
    </row>
    <row r="1225" spans="1:18" x14ac:dyDescent="0.3">
      <c r="A1225">
        <v>1339</v>
      </c>
      <c r="C1225" s="3">
        <v>44040</v>
      </c>
      <c r="D1225" s="11">
        <v>4167</v>
      </c>
      <c r="G1225" s="16" t="s">
        <v>1263</v>
      </c>
      <c r="H1225" s="16"/>
      <c r="I1225" s="17">
        <v>30990</v>
      </c>
      <c r="J1225" s="4" t="s">
        <v>1217</v>
      </c>
      <c r="K1225" s="4">
        <v>150</v>
      </c>
      <c r="L1225" s="11" t="s">
        <v>1264</v>
      </c>
      <c r="M1225" s="11" t="s">
        <v>1265</v>
      </c>
      <c r="O1225" s="3">
        <v>44040</v>
      </c>
    </row>
    <row r="1226" spans="1:18" x14ac:dyDescent="0.3">
      <c r="A1226">
        <v>1340</v>
      </c>
      <c r="C1226" s="3">
        <v>44041</v>
      </c>
      <c r="D1226" s="11">
        <v>4168</v>
      </c>
      <c r="G1226" s="16" t="s">
        <v>1266</v>
      </c>
      <c r="H1226" s="16"/>
      <c r="I1226" s="17">
        <v>36130</v>
      </c>
      <c r="J1226" s="4" t="s">
        <v>1159</v>
      </c>
      <c r="K1226" s="11" t="s">
        <v>1267</v>
      </c>
      <c r="L1226" s="11" t="s">
        <v>1268</v>
      </c>
      <c r="M1226" s="11" t="s">
        <v>1269</v>
      </c>
      <c r="O1226" s="3">
        <v>44041</v>
      </c>
      <c r="P1226" s="3">
        <v>44041</v>
      </c>
    </row>
    <row r="1227" spans="1:18" x14ac:dyDescent="0.3">
      <c r="A1227">
        <v>1341</v>
      </c>
      <c r="C1227" s="3">
        <v>44041</v>
      </c>
      <c r="D1227" s="11">
        <v>4169</v>
      </c>
      <c r="G1227" s="16" t="s">
        <v>1270</v>
      </c>
      <c r="H1227" s="16"/>
      <c r="I1227" s="17">
        <v>39073</v>
      </c>
      <c r="J1227" s="4" t="s">
        <v>1167</v>
      </c>
      <c r="K1227" s="4">
        <v>100</v>
      </c>
      <c r="L1227" s="11" t="s">
        <v>1272</v>
      </c>
      <c r="M1227" s="11" t="s">
        <v>1271</v>
      </c>
    </row>
    <row r="1228" spans="1:18" x14ac:dyDescent="0.3">
      <c r="A1228">
        <v>1342</v>
      </c>
      <c r="C1228" s="3">
        <v>44042</v>
      </c>
      <c r="D1228" s="11">
        <v>4170</v>
      </c>
      <c r="G1228" s="16" t="s">
        <v>1273</v>
      </c>
      <c r="H1228" s="16"/>
      <c r="I1228" s="17">
        <v>24838</v>
      </c>
      <c r="J1228" s="4" t="s">
        <v>1274</v>
      </c>
      <c r="K1228" s="4">
        <v>400</v>
      </c>
      <c r="L1228" s="11" t="s">
        <v>1276</v>
      </c>
      <c r="M1228" s="11" t="s">
        <v>1275</v>
      </c>
      <c r="O1228" s="3">
        <v>44042</v>
      </c>
      <c r="P1228" s="4" t="s">
        <v>1277</v>
      </c>
      <c r="R1228" s="4" t="s">
        <v>14</v>
      </c>
    </row>
    <row r="1229" spans="1:18" x14ac:dyDescent="0.3">
      <c r="A1229">
        <v>1343</v>
      </c>
      <c r="C1229" s="3">
        <v>44048</v>
      </c>
      <c r="D1229" s="11">
        <v>4171</v>
      </c>
      <c r="G1229" s="16" t="s">
        <v>1280</v>
      </c>
      <c r="H1229" s="16"/>
      <c r="I1229" s="17">
        <v>38515</v>
      </c>
      <c r="J1229" s="4" t="s">
        <v>1281</v>
      </c>
      <c r="K1229" s="4">
        <v>200</v>
      </c>
      <c r="O1229" s="4" t="s">
        <v>1277</v>
      </c>
      <c r="P1229" s="4" t="s">
        <v>1277</v>
      </c>
    </row>
    <row r="1230" spans="1:18" x14ac:dyDescent="0.3">
      <c r="A1230">
        <v>1344</v>
      </c>
      <c r="C1230" s="3">
        <v>44049</v>
      </c>
      <c r="D1230" s="11">
        <v>4172</v>
      </c>
      <c r="G1230" s="16" t="s">
        <v>1285</v>
      </c>
      <c r="H1230" s="16"/>
      <c r="I1230" s="17">
        <v>24121</v>
      </c>
      <c r="J1230" s="4" t="s">
        <v>1286</v>
      </c>
      <c r="K1230" s="4">
        <v>300</v>
      </c>
      <c r="L1230" s="11" t="s">
        <v>1287</v>
      </c>
      <c r="O1230" s="3">
        <v>44049</v>
      </c>
    </row>
    <row r="1231" spans="1:18" x14ac:dyDescent="0.3">
      <c r="A1231">
        <v>1345</v>
      </c>
      <c r="C1231" s="3">
        <v>44050</v>
      </c>
      <c r="D1231" s="11">
        <v>4173</v>
      </c>
      <c r="G1231" s="16" t="s">
        <v>1282</v>
      </c>
      <c r="H1231" s="16"/>
      <c r="I1231" s="17">
        <v>27395</v>
      </c>
      <c r="J1231" s="4" t="s">
        <v>1159</v>
      </c>
      <c r="K1231" s="4">
        <v>300</v>
      </c>
      <c r="L1231" s="11" t="s">
        <v>1283</v>
      </c>
      <c r="M1231" s="11" t="s">
        <v>1284</v>
      </c>
      <c r="R1231" s="4" t="s">
        <v>14</v>
      </c>
    </row>
    <row r="1232" spans="1:18" x14ac:dyDescent="0.3">
      <c r="A1232">
        <v>1347</v>
      </c>
      <c r="C1232" s="3">
        <v>44053</v>
      </c>
      <c r="D1232" s="11">
        <v>4178</v>
      </c>
      <c r="G1232" s="16" t="s">
        <v>1290</v>
      </c>
      <c r="H1232" s="16"/>
      <c r="I1232" s="17">
        <v>38884</v>
      </c>
      <c r="J1232" s="4" t="s">
        <v>1159</v>
      </c>
      <c r="K1232" s="4">
        <v>500</v>
      </c>
      <c r="L1232" s="11" t="s">
        <v>1289</v>
      </c>
      <c r="M1232" s="11" t="s">
        <v>1288</v>
      </c>
      <c r="O1232" s="4" t="s">
        <v>1277</v>
      </c>
      <c r="P1232" s="4" t="s">
        <v>1277</v>
      </c>
    </row>
    <row r="1233" spans="1:16" x14ac:dyDescent="0.3">
      <c r="A1233">
        <v>1348</v>
      </c>
      <c r="C1233" s="3">
        <v>44053</v>
      </c>
      <c r="D1233" s="11">
        <v>4179</v>
      </c>
      <c r="G1233" s="16" t="s">
        <v>1291</v>
      </c>
      <c r="H1233" s="16"/>
      <c r="I1233" s="17">
        <v>28487</v>
      </c>
      <c r="J1233" s="4" t="s">
        <v>1159</v>
      </c>
      <c r="K1233" s="4">
        <v>500</v>
      </c>
      <c r="L1233" s="11" t="s">
        <v>1292</v>
      </c>
      <c r="O1233" s="3">
        <v>44053</v>
      </c>
      <c r="P1233" s="3">
        <v>44053</v>
      </c>
    </row>
    <row r="1234" spans="1:16" x14ac:dyDescent="0.3">
      <c r="A1234">
        <v>1349</v>
      </c>
      <c r="C1234" s="3">
        <v>44056</v>
      </c>
      <c r="D1234" s="11">
        <v>4182</v>
      </c>
      <c r="G1234" s="16" t="s">
        <v>1295</v>
      </c>
      <c r="H1234" s="16"/>
      <c r="I1234" s="17">
        <v>38353</v>
      </c>
      <c r="J1234" s="4" t="s">
        <v>1164</v>
      </c>
      <c r="K1234" s="4">
        <v>1000</v>
      </c>
    </row>
    <row r="1235" spans="1:16" x14ac:dyDescent="0.3">
      <c r="A1235">
        <v>1350</v>
      </c>
      <c r="C1235" s="3">
        <v>44056</v>
      </c>
      <c r="D1235" s="11">
        <v>4183</v>
      </c>
      <c r="G1235" s="16" t="s">
        <v>1296</v>
      </c>
      <c r="H1235" s="16"/>
      <c r="I1235" s="17">
        <v>28095</v>
      </c>
      <c r="J1235" s="4" t="s">
        <v>1164</v>
      </c>
      <c r="K1235" s="4">
        <v>200</v>
      </c>
      <c r="L1235" s="11" t="s">
        <v>1311</v>
      </c>
    </row>
    <row r="1236" spans="1:16" x14ac:dyDescent="0.3">
      <c r="A1236">
        <v>1351</v>
      </c>
      <c r="C1236" s="3">
        <v>44057</v>
      </c>
      <c r="D1236" s="11">
        <v>4185</v>
      </c>
      <c r="G1236" s="7" t="s">
        <v>1312</v>
      </c>
      <c r="I1236" s="17">
        <v>37012</v>
      </c>
      <c r="K1236" s="4">
        <v>150</v>
      </c>
      <c r="L1236" s="11" t="s">
        <v>1313</v>
      </c>
      <c r="M1236" s="11" t="s">
        <v>1314</v>
      </c>
    </row>
    <row r="1237" spans="1:16" x14ac:dyDescent="0.3">
      <c r="A1237">
        <v>1352</v>
      </c>
      <c r="C1237" s="3">
        <v>44057</v>
      </c>
      <c r="D1237" s="11">
        <v>4196</v>
      </c>
      <c r="G1237" s="7" t="s">
        <v>1315</v>
      </c>
      <c r="I1237" s="23" t="s">
        <v>1300</v>
      </c>
      <c r="J1237" s="4" t="s">
        <v>1302</v>
      </c>
      <c r="K1237" s="4">
        <v>200</v>
      </c>
      <c r="M1237" s="11" t="s">
        <v>1301</v>
      </c>
    </row>
    <row r="1238" spans="1:16" x14ac:dyDescent="0.3">
      <c r="A1238">
        <v>1353</v>
      </c>
      <c r="C1238" s="3">
        <v>44057</v>
      </c>
      <c r="D1238" s="11">
        <v>4199</v>
      </c>
      <c r="G1238" s="7" t="s">
        <v>1316</v>
      </c>
    </row>
    <row r="1239" spans="1:16" x14ac:dyDescent="0.3">
      <c r="A1239">
        <v>1354</v>
      </c>
      <c r="C1239" s="3">
        <v>44075</v>
      </c>
      <c r="D1239" s="11">
        <v>4202</v>
      </c>
      <c r="G1239" s="7" t="s">
        <v>1310</v>
      </c>
      <c r="L1239" s="11" t="s">
        <v>1317</v>
      </c>
      <c r="M1239" s="11" t="s">
        <v>1318</v>
      </c>
    </row>
    <row r="1240" spans="1:16" x14ac:dyDescent="0.3">
      <c r="A1240">
        <v>1355</v>
      </c>
      <c r="C1240" s="3">
        <v>44075</v>
      </c>
      <c r="D1240" s="11">
        <v>4206</v>
      </c>
      <c r="G1240" s="7" t="s">
        <v>800</v>
      </c>
      <c r="I1240" s="17">
        <v>29835</v>
      </c>
      <c r="J1240" s="4" t="s">
        <v>1298</v>
      </c>
      <c r="K1240" s="4">
        <v>300</v>
      </c>
      <c r="L1240" s="11" t="s">
        <v>1319</v>
      </c>
    </row>
    <row r="1241" spans="1:16" x14ac:dyDescent="0.3">
      <c r="A1241">
        <v>1356</v>
      </c>
      <c r="C1241" s="3">
        <v>44076</v>
      </c>
      <c r="D1241" s="11">
        <v>4208</v>
      </c>
      <c r="G1241" s="7" t="s">
        <v>1305</v>
      </c>
      <c r="I1241" s="17">
        <v>31048</v>
      </c>
      <c r="J1241" s="4" t="s">
        <v>1217</v>
      </c>
      <c r="K1241" s="4">
        <v>44000</v>
      </c>
      <c r="L1241" s="11" t="s">
        <v>1320</v>
      </c>
      <c r="M1241" s="11" t="s">
        <v>1321</v>
      </c>
    </row>
    <row r="1242" spans="1:16" x14ac:dyDescent="0.3">
      <c r="A1242">
        <v>1357</v>
      </c>
      <c r="C1242" s="3">
        <v>44077</v>
      </c>
      <c r="D1242" s="11">
        <v>4210</v>
      </c>
      <c r="G1242" s="7" t="s">
        <v>1306</v>
      </c>
      <c r="I1242" s="17">
        <v>30897</v>
      </c>
      <c r="J1242" s="4" t="s">
        <v>1164</v>
      </c>
      <c r="K1242" s="4">
        <v>100</v>
      </c>
      <c r="L1242" s="11" t="s">
        <v>1322</v>
      </c>
    </row>
    <row r="1243" spans="1:16" x14ac:dyDescent="0.3">
      <c r="A1243">
        <v>1359</v>
      </c>
      <c r="C1243" s="3">
        <v>44079</v>
      </c>
      <c r="D1243" s="11">
        <v>4211</v>
      </c>
      <c r="G1243" s="7" t="s">
        <v>1307</v>
      </c>
      <c r="I1243" s="17">
        <v>39842</v>
      </c>
      <c r="J1243" s="4" t="s">
        <v>1167</v>
      </c>
      <c r="K1243" s="4">
        <v>100</v>
      </c>
      <c r="M1243" s="11" t="s">
        <v>1323</v>
      </c>
    </row>
    <row r="1244" spans="1:16" x14ac:dyDescent="0.3">
      <c r="A1244">
        <v>1360</v>
      </c>
      <c r="C1244" s="3">
        <v>44079</v>
      </c>
      <c r="D1244" s="11">
        <v>4212</v>
      </c>
      <c r="G1244" s="7" t="s">
        <v>1308</v>
      </c>
      <c r="I1244" s="17">
        <v>31773</v>
      </c>
      <c r="J1244" s="4" t="s">
        <v>1167</v>
      </c>
      <c r="K1244" s="4">
        <v>100</v>
      </c>
      <c r="L1244" s="11" t="s">
        <v>1324</v>
      </c>
      <c r="M1244" s="11" t="s">
        <v>1325</v>
      </c>
    </row>
    <row r="1245" spans="1:16" x14ac:dyDescent="0.3">
      <c r="A1245">
        <v>1361</v>
      </c>
      <c r="C1245" s="3">
        <v>44081</v>
      </c>
      <c r="D1245" s="11">
        <v>4224</v>
      </c>
      <c r="G1245" s="7" t="s">
        <v>1332</v>
      </c>
      <c r="I1245" s="17">
        <v>38370</v>
      </c>
      <c r="K1245" s="4">
        <v>200</v>
      </c>
      <c r="L1245" s="11" t="s">
        <v>1333</v>
      </c>
      <c r="M1245" s="11" t="s">
        <v>1334</v>
      </c>
    </row>
    <row r="1246" spans="1:16" x14ac:dyDescent="0.3">
      <c r="A1246">
        <v>1362</v>
      </c>
      <c r="C1246" s="3">
        <v>44081</v>
      </c>
      <c r="D1246" s="11">
        <v>4225</v>
      </c>
      <c r="G1246" s="7" t="s">
        <v>1335</v>
      </c>
      <c r="I1246" s="17">
        <v>38579</v>
      </c>
      <c r="K1246" s="4">
        <v>200</v>
      </c>
      <c r="L1246" s="11" t="s">
        <v>1336</v>
      </c>
      <c r="M1246" s="11" t="s">
        <v>1337</v>
      </c>
    </row>
    <row r="1247" spans="1:16" x14ac:dyDescent="0.3">
      <c r="A1247">
        <v>1363</v>
      </c>
      <c r="C1247" s="3">
        <v>44081</v>
      </c>
      <c r="D1247" s="11">
        <v>4226</v>
      </c>
      <c r="G1247" s="7" t="s">
        <v>1338</v>
      </c>
      <c r="I1247" s="17">
        <v>33618</v>
      </c>
      <c r="J1247" s="4" t="s">
        <v>1214</v>
      </c>
      <c r="K1247" s="4">
        <v>200</v>
      </c>
      <c r="L1247" s="11" t="s">
        <v>1339</v>
      </c>
      <c r="M1247" s="11" t="s">
        <v>1340</v>
      </c>
    </row>
    <row r="1248" spans="1:16" x14ac:dyDescent="0.3">
      <c r="A1248">
        <v>1364</v>
      </c>
      <c r="C1248" s="3">
        <v>44081</v>
      </c>
      <c r="D1248" s="11">
        <v>4227</v>
      </c>
      <c r="G1248" s="7" t="s">
        <v>1341</v>
      </c>
      <c r="I1248" s="17">
        <v>40074</v>
      </c>
      <c r="J1248" s="4" t="s">
        <v>1214</v>
      </c>
      <c r="K1248" s="4">
        <v>200</v>
      </c>
      <c r="L1248" s="11" t="s">
        <v>1342</v>
      </c>
      <c r="M1248" s="11" t="s">
        <v>1343</v>
      </c>
    </row>
    <row r="1249" spans="1:18" x14ac:dyDescent="0.3">
      <c r="A1249">
        <v>1365</v>
      </c>
      <c r="C1249" s="3">
        <v>44082</v>
      </c>
      <c r="D1249" s="11">
        <v>4228</v>
      </c>
      <c r="G1249" s="7" t="s">
        <v>1344</v>
      </c>
      <c r="I1249" s="17">
        <v>33363</v>
      </c>
      <c r="J1249" s="4" t="s">
        <v>1164</v>
      </c>
      <c r="K1249" s="4">
        <v>1000</v>
      </c>
      <c r="L1249" s="11" t="s">
        <v>1345</v>
      </c>
      <c r="R1249" s="4" t="s">
        <v>14</v>
      </c>
    </row>
    <row r="1250" spans="1:18" x14ac:dyDescent="0.3">
      <c r="A1250">
        <v>1366</v>
      </c>
      <c r="C1250" s="3">
        <v>44082</v>
      </c>
      <c r="D1250" s="11">
        <v>4229</v>
      </c>
      <c r="G1250" s="7" t="s">
        <v>1348</v>
      </c>
      <c r="I1250" s="17">
        <v>32874</v>
      </c>
      <c r="J1250" s="4" t="s">
        <v>1161</v>
      </c>
      <c r="K1250" s="4">
        <v>200</v>
      </c>
      <c r="L1250" s="11" t="s">
        <v>1346</v>
      </c>
      <c r="M1250" s="11" t="s">
        <v>1347</v>
      </c>
    </row>
    <row r="1251" spans="1:18" x14ac:dyDescent="0.3">
      <c r="A1251">
        <v>1367</v>
      </c>
      <c r="C1251" s="3">
        <v>44082</v>
      </c>
      <c r="D1251" s="11">
        <v>4230</v>
      </c>
      <c r="G1251" s="7" t="s">
        <v>1329</v>
      </c>
      <c r="J1251" s="4" t="s">
        <v>1161</v>
      </c>
      <c r="K1251" s="4">
        <v>200</v>
      </c>
      <c r="L1251" s="11" t="s">
        <v>1330</v>
      </c>
      <c r="M1251" s="11" t="s">
        <v>1331</v>
      </c>
    </row>
    <row r="1252" spans="1:18" x14ac:dyDescent="0.3">
      <c r="A1252">
        <v>1368</v>
      </c>
      <c r="C1252" s="3">
        <v>44082</v>
      </c>
      <c r="D1252" s="11">
        <v>4231</v>
      </c>
      <c r="G1252" s="7" t="s">
        <v>1326</v>
      </c>
      <c r="I1252" s="17">
        <v>26331</v>
      </c>
      <c r="J1252" s="4" t="s">
        <v>1298</v>
      </c>
      <c r="K1252" s="4">
        <v>500</v>
      </c>
      <c r="L1252" s="11" t="s">
        <v>1327</v>
      </c>
      <c r="M1252" s="11" t="s">
        <v>1328</v>
      </c>
    </row>
    <row r="1253" spans="1:18" x14ac:dyDescent="0.3">
      <c r="A1253">
        <v>1369</v>
      </c>
      <c r="C1253" s="3">
        <v>44084</v>
      </c>
      <c r="D1253" s="11">
        <v>4234</v>
      </c>
      <c r="G1253" s="7" t="s">
        <v>1349</v>
      </c>
      <c r="I1253" s="17">
        <v>30330</v>
      </c>
      <c r="J1253" s="4" t="s">
        <v>1164</v>
      </c>
      <c r="K1253" s="4">
        <v>1000</v>
      </c>
      <c r="L1253" s="11" t="s">
        <v>1350</v>
      </c>
      <c r="M1253" s="11" t="s">
        <v>1351</v>
      </c>
    </row>
    <row r="1254" spans="1:18" x14ac:dyDescent="0.3">
      <c r="A1254">
        <v>1370</v>
      </c>
      <c r="C1254" s="3">
        <v>44088</v>
      </c>
      <c r="D1254" s="11">
        <v>4238</v>
      </c>
      <c r="G1254" s="7" t="s">
        <v>1352</v>
      </c>
      <c r="I1254" s="17">
        <v>37582</v>
      </c>
      <c r="K1254" s="4">
        <v>200</v>
      </c>
      <c r="L1254" s="11" t="s">
        <v>1353</v>
      </c>
      <c r="M1254" s="11" t="s">
        <v>1354</v>
      </c>
    </row>
    <row r="1255" spans="1:18" x14ac:dyDescent="0.3">
      <c r="A1255">
        <v>1371</v>
      </c>
      <c r="D1255" s="11">
        <v>4241</v>
      </c>
      <c r="G1255" s="7" t="s">
        <v>1473</v>
      </c>
    </row>
    <row r="1256" spans="1:18" x14ac:dyDescent="0.3">
      <c r="A1256">
        <v>1372</v>
      </c>
      <c r="D1256" s="11">
        <v>4245</v>
      </c>
      <c r="G1256" s="7" t="s">
        <v>1474</v>
      </c>
    </row>
    <row r="1257" spans="1:18" x14ac:dyDescent="0.3">
      <c r="A1257">
        <v>1373</v>
      </c>
      <c r="D1257" s="11">
        <v>4249</v>
      </c>
      <c r="G1257" s="7" t="s">
        <v>1475</v>
      </c>
    </row>
    <row r="1258" spans="1:18" x14ac:dyDescent="0.3">
      <c r="A1258">
        <v>1374</v>
      </c>
      <c r="D1258" s="11">
        <v>4250</v>
      </c>
      <c r="G1258" s="7" t="s">
        <v>1476</v>
      </c>
    </row>
    <row r="1259" spans="1:18" x14ac:dyDescent="0.3">
      <c r="A1259">
        <v>1375</v>
      </c>
      <c r="D1259" s="11">
        <v>4256</v>
      </c>
      <c r="G1259" s="7" t="s">
        <v>1477</v>
      </c>
    </row>
    <row r="1260" spans="1:18" x14ac:dyDescent="0.3">
      <c r="A1260">
        <v>1376</v>
      </c>
      <c r="D1260" s="11">
        <v>4257</v>
      </c>
      <c r="G1260" s="7" t="s">
        <v>1297</v>
      </c>
    </row>
    <row r="1261" spans="1:18" x14ac:dyDescent="0.3">
      <c r="A1261">
        <v>1377</v>
      </c>
      <c r="D1261" s="11">
        <v>4259</v>
      </c>
      <c r="G1261" s="7" t="s">
        <v>1478</v>
      </c>
    </row>
    <row r="1262" spans="1:18" x14ac:dyDescent="0.3">
      <c r="A1262">
        <v>1378</v>
      </c>
    </row>
    <row r="1263" spans="1:18" x14ac:dyDescent="0.3">
      <c r="A1263">
        <v>1379</v>
      </c>
    </row>
    <row r="1264" spans="1:18" x14ac:dyDescent="0.3">
      <c r="A1264">
        <v>1380</v>
      </c>
    </row>
    <row r="1265" spans="1:18" x14ac:dyDescent="0.3">
      <c r="A1265">
        <v>1381</v>
      </c>
      <c r="C1265" s="3">
        <v>44109</v>
      </c>
      <c r="D1265" s="11">
        <v>4266</v>
      </c>
      <c r="G1265" s="7" t="s">
        <v>1359</v>
      </c>
      <c r="I1265" s="17">
        <v>31833</v>
      </c>
      <c r="J1265" s="4" t="s">
        <v>1360</v>
      </c>
      <c r="K1265" s="4">
        <v>100</v>
      </c>
      <c r="L1265" s="11" t="s">
        <v>1361</v>
      </c>
      <c r="R1265" s="4" t="s">
        <v>16</v>
      </c>
    </row>
    <row r="1266" spans="1:18" x14ac:dyDescent="0.3">
      <c r="A1266">
        <v>1382</v>
      </c>
      <c r="C1266" s="3">
        <v>44110</v>
      </c>
      <c r="D1266" s="11">
        <v>4268</v>
      </c>
      <c r="G1266" s="7" t="s">
        <v>1362</v>
      </c>
      <c r="I1266" s="17">
        <v>37176</v>
      </c>
      <c r="J1266" s="4" t="s">
        <v>1363</v>
      </c>
      <c r="L1266" s="11" t="s">
        <v>1364</v>
      </c>
    </row>
    <row r="1267" spans="1:18" x14ac:dyDescent="0.3">
      <c r="A1267">
        <v>1383</v>
      </c>
      <c r="C1267" s="4" t="s">
        <v>1366</v>
      </c>
      <c r="D1267" s="11">
        <v>4270</v>
      </c>
      <c r="G1267" s="7" t="s">
        <v>1367</v>
      </c>
      <c r="I1267" s="17">
        <v>33582</v>
      </c>
      <c r="J1267" s="4" t="s">
        <v>1178</v>
      </c>
      <c r="L1267" s="11" t="s">
        <v>1368</v>
      </c>
      <c r="R1267" s="4" t="s">
        <v>16</v>
      </c>
    </row>
    <row r="1268" spans="1:18" x14ac:dyDescent="0.3">
      <c r="A1268">
        <v>1384</v>
      </c>
      <c r="C1268" s="3">
        <v>44113</v>
      </c>
      <c r="D1268" s="11">
        <v>4275</v>
      </c>
      <c r="G1268" s="7" t="s">
        <v>220</v>
      </c>
      <c r="I1268" s="17">
        <v>36200</v>
      </c>
      <c r="J1268" s="4" t="s">
        <v>1298</v>
      </c>
      <c r="K1268" s="4">
        <v>500</v>
      </c>
      <c r="L1268" s="11" t="s">
        <v>1365</v>
      </c>
      <c r="R1268" s="4" t="s">
        <v>16</v>
      </c>
    </row>
    <row r="1269" spans="1:18" x14ac:dyDescent="0.3">
      <c r="A1269">
        <v>1385</v>
      </c>
      <c r="C1269" s="3">
        <v>44116</v>
      </c>
      <c r="D1269" s="11">
        <v>4277</v>
      </c>
      <c r="G1269" s="7" t="s">
        <v>1369</v>
      </c>
      <c r="I1269" s="17">
        <v>34463</v>
      </c>
      <c r="J1269" s="4" t="s">
        <v>1370</v>
      </c>
      <c r="K1269" s="4">
        <v>300</v>
      </c>
      <c r="L1269" s="11" t="s">
        <v>1371</v>
      </c>
      <c r="M1269" s="11" t="s">
        <v>1372</v>
      </c>
    </row>
    <row r="1270" spans="1:18" x14ac:dyDescent="0.3">
      <c r="A1270">
        <v>1386</v>
      </c>
      <c r="C1270" s="3">
        <v>44117</v>
      </c>
      <c r="D1270" s="11">
        <v>4278</v>
      </c>
      <c r="G1270" s="7" t="s">
        <v>1376</v>
      </c>
      <c r="I1270" s="17">
        <v>25569</v>
      </c>
      <c r="J1270" s="4" t="s">
        <v>1377</v>
      </c>
      <c r="K1270" s="4">
        <v>500</v>
      </c>
      <c r="L1270" s="11" t="s">
        <v>1549</v>
      </c>
      <c r="M1270" s="11" t="s">
        <v>1550</v>
      </c>
      <c r="R1270" s="4" t="s">
        <v>16</v>
      </c>
    </row>
    <row r="1271" spans="1:18" x14ac:dyDescent="0.3">
      <c r="A1271">
        <v>1387</v>
      </c>
      <c r="C1271" s="3">
        <v>44118</v>
      </c>
      <c r="D1271" s="11">
        <v>4280</v>
      </c>
      <c r="G1271" s="7" t="s">
        <v>1375</v>
      </c>
      <c r="I1271" s="17">
        <v>34585</v>
      </c>
      <c r="K1271" s="4">
        <v>100</v>
      </c>
    </row>
    <row r="1272" spans="1:18" x14ac:dyDescent="0.3">
      <c r="A1272">
        <v>1388</v>
      </c>
      <c r="C1272" s="3">
        <v>44119</v>
      </c>
      <c r="D1272" s="11">
        <v>4285</v>
      </c>
      <c r="G1272" s="7" t="s">
        <v>1378</v>
      </c>
      <c r="I1272" s="17">
        <v>35562</v>
      </c>
      <c r="J1272" s="4" t="s">
        <v>1379</v>
      </c>
      <c r="K1272" s="4">
        <v>100</v>
      </c>
      <c r="L1272" s="11" t="s">
        <v>1380</v>
      </c>
      <c r="M1272" s="11" t="s">
        <v>1381</v>
      </c>
      <c r="R1272" s="4" t="s">
        <v>14</v>
      </c>
    </row>
    <row r="1273" spans="1:18" x14ac:dyDescent="0.3">
      <c r="A1273">
        <v>1389</v>
      </c>
      <c r="C1273" s="3">
        <v>44119</v>
      </c>
      <c r="D1273" s="11">
        <v>4286</v>
      </c>
      <c r="G1273" s="7" t="s">
        <v>1382</v>
      </c>
      <c r="I1273" s="17">
        <v>35562</v>
      </c>
      <c r="J1273" s="4" t="s">
        <v>1379</v>
      </c>
      <c r="K1273" s="4">
        <v>100</v>
      </c>
      <c r="L1273" s="11" t="s">
        <v>1383</v>
      </c>
      <c r="M1273" s="11" t="s">
        <v>1384</v>
      </c>
      <c r="R1273" s="4" t="s">
        <v>14</v>
      </c>
    </row>
    <row r="1274" spans="1:18" x14ac:dyDescent="0.3">
      <c r="A1274">
        <v>1390</v>
      </c>
      <c r="D1274" s="11">
        <v>4288</v>
      </c>
      <c r="G1274" s="7" t="s">
        <v>1390</v>
      </c>
      <c r="L1274" s="11" t="s">
        <v>1394</v>
      </c>
      <c r="M1274" s="11" t="s">
        <v>1395</v>
      </c>
    </row>
    <row r="1275" spans="1:18" x14ac:dyDescent="0.3">
      <c r="A1275">
        <v>1391</v>
      </c>
      <c r="D1275" s="11">
        <v>4291</v>
      </c>
      <c r="G1275" s="7" t="s">
        <v>1391</v>
      </c>
      <c r="L1275" s="11" t="s">
        <v>1396</v>
      </c>
      <c r="M1275" s="11" t="s">
        <v>1397</v>
      </c>
    </row>
    <row r="1276" spans="1:18" x14ac:dyDescent="0.3">
      <c r="A1276">
        <v>1392</v>
      </c>
      <c r="D1276" s="11">
        <v>4293</v>
      </c>
      <c r="G1276" s="7" t="s">
        <v>1392</v>
      </c>
      <c r="L1276" s="11" t="s">
        <v>1398</v>
      </c>
      <c r="M1276" s="11" t="s">
        <v>1399</v>
      </c>
    </row>
    <row r="1277" spans="1:18" x14ac:dyDescent="0.3">
      <c r="A1277">
        <v>1393</v>
      </c>
      <c r="D1277" s="11">
        <v>4298</v>
      </c>
      <c r="G1277" s="7" t="s">
        <v>1393</v>
      </c>
      <c r="L1277" s="11" t="s">
        <v>1400</v>
      </c>
      <c r="M1277" s="11" t="s">
        <v>1401</v>
      </c>
    </row>
    <row r="1278" spans="1:18" x14ac:dyDescent="0.3">
      <c r="A1278">
        <v>1394</v>
      </c>
    </row>
    <row r="1279" spans="1:18" x14ac:dyDescent="0.3">
      <c r="A1279">
        <v>1395</v>
      </c>
      <c r="D1279" s="11">
        <v>4307</v>
      </c>
      <c r="G1279" s="7" t="s">
        <v>220</v>
      </c>
      <c r="I1279" s="17">
        <v>36795</v>
      </c>
      <c r="J1279" s="4" t="s">
        <v>1210</v>
      </c>
      <c r="K1279" s="4">
        <v>200</v>
      </c>
    </row>
    <row r="1280" spans="1:18" x14ac:dyDescent="0.3">
      <c r="A1280">
        <v>1396</v>
      </c>
      <c r="D1280" s="11">
        <v>4309</v>
      </c>
      <c r="G1280" s="7" t="s">
        <v>1387</v>
      </c>
      <c r="I1280" s="17">
        <v>35796</v>
      </c>
      <c r="J1280" s="4" t="s">
        <v>1167</v>
      </c>
      <c r="K1280" s="4">
        <v>200</v>
      </c>
      <c r="R1280" s="4" t="s">
        <v>16</v>
      </c>
    </row>
    <row r="1281" spans="1:18" x14ac:dyDescent="0.3">
      <c r="A1281">
        <v>1397</v>
      </c>
      <c r="C1281" s="3">
        <v>44133</v>
      </c>
      <c r="D1281" s="11">
        <v>4311</v>
      </c>
      <c r="G1281" s="7" t="s">
        <v>4233</v>
      </c>
      <c r="I1281" s="17">
        <v>34669</v>
      </c>
      <c r="J1281" s="4" t="s">
        <v>1167</v>
      </c>
      <c r="K1281" s="4">
        <v>1000</v>
      </c>
      <c r="R1281" s="4" t="s">
        <v>16</v>
      </c>
    </row>
    <row r="1282" spans="1:18" x14ac:dyDescent="0.3">
      <c r="A1282">
        <v>1398</v>
      </c>
      <c r="C1282" s="3">
        <v>44133</v>
      </c>
      <c r="D1282" s="11">
        <v>4314</v>
      </c>
      <c r="G1282" s="7" t="s">
        <v>1386</v>
      </c>
      <c r="I1282" s="17">
        <v>33668</v>
      </c>
      <c r="J1282" s="4" t="s">
        <v>1167</v>
      </c>
      <c r="K1282" s="4">
        <v>500</v>
      </c>
      <c r="L1282" s="11" t="s">
        <v>1402</v>
      </c>
      <c r="M1282" s="11" t="s">
        <v>1403</v>
      </c>
      <c r="R1282" s="4" t="s">
        <v>16</v>
      </c>
    </row>
    <row r="1283" spans="1:18" x14ac:dyDescent="0.3">
      <c r="A1283">
        <v>1399</v>
      </c>
      <c r="C1283" s="3">
        <v>44134</v>
      </c>
      <c r="D1283" s="11">
        <v>4315</v>
      </c>
      <c r="G1283" s="7" t="s">
        <v>1404</v>
      </c>
      <c r="K1283" s="4">
        <v>500</v>
      </c>
      <c r="L1283" s="11" t="s">
        <v>1405</v>
      </c>
      <c r="M1283" s="11" t="s">
        <v>1406</v>
      </c>
      <c r="R1283" s="4" t="s">
        <v>16</v>
      </c>
    </row>
    <row r="1284" spans="1:18" x14ac:dyDescent="0.3">
      <c r="A1284">
        <v>1400</v>
      </c>
      <c r="C1284" s="3">
        <v>44139</v>
      </c>
      <c r="D1284" s="11">
        <v>4326</v>
      </c>
      <c r="G1284" s="7" t="s">
        <v>1410</v>
      </c>
      <c r="L1284" s="11" t="s">
        <v>1411</v>
      </c>
    </row>
    <row r="1285" spans="1:18" x14ac:dyDescent="0.3">
      <c r="A1285">
        <v>1401</v>
      </c>
      <c r="C1285" s="3">
        <v>44139</v>
      </c>
      <c r="D1285" s="11">
        <v>4329</v>
      </c>
      <c r="G1285" s="7" t="s">
        <v>1412</v>
      </c>
      <c r="L1285" s="11" t="s">
        <v>1413</v>
      </c>
    </row>
    <row r="1286" spans="1:18" x14ac:dyDescent="0.3">
      <c r="A1286">
        <v>1402</v>
      </c>
      <c r="C1286" s="3">
        <v>44139</v>
      </c>
      <c r="D1286" s="11">
        <v>4330</v>
      </c>
      <c r="G1286" s="7" t="s">
        <v>1414</v>
      </c>
      <c r="L1286" s="11" t="s">
        <v>1415</v>
      </c>
      <c r="M1286" s="11" t="s">
        <v>1416</v>
      </c>
    </row>
    <row r="1287" spans="1:18" x14ac:dyDescent="0.3">
      <c r="A1287">
        <v>1403</v>
      </c>
      <c r="C1287" s="3">
        <v>44142</v>
      </c>
      <c r="D1287" s="11">
        <v>4332</v>
      </c>
      <c r="G1287" s="7" t="s">
        <v>1407</v>
      </c>
      <c r="L1287" s="11" t="s">
        <v>1408</v>
      </c>
      <c r="M1287" s="11" t="s">
        <v>1409</v>
      </c>
    </row>
    <row r="1288" spans="1:18" x14ac:dyDescent="0.3">
      <c r="A1288">
        <v>1404</v>
      </c>
      <c r="C1288" s="3">
        <v>44144</v>
      </c>
      <c r="D1288" s="11">
        <v>4333</v>
      </c>
      <c r="G1288" s="7" t="s">
        <v>1417</v>
      </c>
      <c r="L1288" s="11" t="s">
        <v>1418</v>
      </c>
      <c r="M1288" s="11" t="s">
        <v>1419</v>
      </c>
    </row>
    <row r="1289" spans="1:18" x14ac:dyDescent="0.3">
      <c r="A1289">
        <v>1405</v>
      </c>
      <c r="C1289" s="3">
        <v>44150</v>
      </c>
      <c r="D1289" s="11">
        <v>4342</v>
      </c>
      <c r="G1289" s="7" t="s">
        <v>1420</v>
      </c>
      <c r="L1289" s="11" t="s">
        <v>1423</v>
      </c>
      <c r="M1289" s="11" t="s">
        <v>1424</v>
      </c>
    </row>
    <row r="1290" spans="1:18" x14ac:dyDescent="0.3">
      <c r="A1290">
        <v>1406</v>
      </c>
      <c r="C1290" s="3">
        <v>44150</v>
      </c>
      <c r="D1290" s="11">
        <v>4343</v>
      </c>
      <c r="G1290" s="7" t="s">
        <v>1421</v>
      </c>
      <c r="L1290" s="11" t="s">
        <v>1425</v>
      </c>
      <c r="M1290" s="11" t="s">
        <v>1426</v>
      </c>
    </row>
    <row r="1291" spans="1:18" x14ac:dyDescent="0.3">
      <c r="A1291">
        <v>1407</v>
      </c>
      <c r="C1291" s="3">
        <v>44150</v>
      </c>
      <c r="D1291" s="11">
        <v>4344</v>
      </c>
      <c r="G1291" s="7" t="s">
        <v>1422</v>
      </c>
      <c r="L1291" s="11" t="s">
        <v>1427</v>
      </c>
      <c r="M1291" s="11" t="s">
        <v>1428</v>
      </c>
    </row>
    <row r="1292" spans="1:18" x14ac:dyDescent="0.3">
      <c r="A1292">
        <v>1408</v>
      </c>
      <c r="C1292" s="3">
        <v>44152</v>
      </c>
      <c r="D1292" s="11">
        <v>4348</v>
      </c>
      <c r="G1292" s="7" t="s">
        <v>1433</v>
      </c>
      <c r="J1292" s="4" t="s">
        <v>1164</v>
      </c>
      <c r="L1292" s="11" t="s">
        <v>1434</v>
      </c>
      <c r="M1292" s="11" t="s">
        <v>1435</v>
      </c>
    </row>
    <row r="1293" spans="1:18" x14ac:dyDescent="0.3">
      <c r="A1293">
        <v>1409</v>
      </c>
      <c r="C1293" s="3">
        <v>44152</v>
      </c>
      <c r="D1293" s="11">
        <v>4349</v>
      </c>
      <c r="G1293" s="7" t="s">
        <v>1436</v>
      </c>
      <c r="J1293" s="4" t="s">
        <v>1164</v>
      </c>
      <c r="L1293" s="11" t="s">
        <v>1437</v>
      </c>
      <c r="M1293" s="11" t="s">
        <v>1438</v>
      </c>
    </row>
    <row r="1294" spans="1:18" x14ac:dyDescent="0.3">
      <c r="A1294">
        <v>1410</v>
      </c>
      <c r="C1294" s="3">
        <v>44152</v>
      </c>
      <c r="D1294" s="11">
        <v>4362</v>
      </c>
      <c r="G1294" s="7" t="s">
        <v>1439</v>
      </c>
      <c r="J1294" s="4" t="s">
        <v>1217</v>
      </c>
    </row>
    <row r="1295" spans="1:18" x14ac:dyDescent="0.3">
      <c r="A1295">
        <v>1411</v>
      </c>
      <c r="C1295" s="3">
        <v>44152</v>
      </c>
      <c r="D1295" s="11">
        <v>4363</v>
      </c>
      <c r="G1295" s="7" t="s">
        <v>1440</v>
      </c>
      <c r="L1295" s="11" t="s">
        <v>1441</v>
      </c>
      <c r="M1295" s="11" t="s">
        <v>1442</v>
      </c>
    </row>
    <row r="1296" spans="1:18" x14ac:dyDescent="0.3">
      <c r="A1296">
        <v>1412</v>
      </c>
      <c r="C1296" s="3">
        <v>44174</v>
      </c>
      <c r="D1296" s="11">
        <v>4368</v>
      </c>
      <c r="G1296" s="7" t="s">
        <v>1443</v>
      </c>
      <c r="J1296" s="4" t="s">
        <v>1217</v>
      </c>
      <c r="L1296" s="11" t="s">
        <v>1444</v>
      </c>
      <c r="M1296" s="11" t="s">
        <v>1445</v>
      </c>
    </row>
    <row r="1297" spans="1:18" x14ac:dyDescent="0.3">
      <c r="A1297">
        <v>1413</v>
      </c>
      <c r="C1297" s="3">
        <v>44176</v>
      </c>
      <c r="D1297" s="11">
        <v>4369</v>
      </c>
      <c r="G1297" s="7" t="s">
        <v>1446</v>
      </c>
      <c r="I1297" s="17">
        <v>34566</v>
      </c>
      <c r="J1297" s="4" t="s">
        <v>1164</v>
      </c>
      <c r="L1297" s="11" t="s">
        <v>1447</v>
      </c>
      <c r="M1297" s="11" t="s">
        <v>1448</v>
      </c>
    </row>
    <row r="1298" spans="1:18" x14ac:dyDescent="0.3">
      <c r="A1298">
        <v>1414</v>
      </c>
      <c r="C1298" s="3">
        <v>44180</v>
      </c>
      <c r="D1298" s="11">
        <v>4370</v>
      </c>
      <c r="G1298" s="7" t="s">
        <v>1449</v>
      </c>
      <c r="I1298" s="17">
        <v>38047</v>
      </c>
      <c r="L1298" s="11" t="s">
        <v>1450</v>
      </c>
      <c r="M1298" s="11" t="s">
        <v>1451</v>
      </c>
    </row>
    <row r="1299" spans="1:18" x14ac:dyDescent="0.3">
      <c r="A1299">
        <v>1415</v>
      </c>
      <c r="C1299" s="3">
        <v>44180</v>
      </c>
      <c r="D1299" s="11">
        <v>4372</v>
      </c>
      <c r="G1299" s="7" t="s">
        <v>1452</v>
      </c>
      <c r="L1299" s="11" t="s">
        <v>1453</v>
      </c>
      <c r="M1299" s="11" t="s">
        <v>1454</v>
      </c>
    </row>
    <row r="1300" spans="1:18" x14ac:dyDescent="0.3">
      <c r="A1300">
        <v>1416</v>
      </c>
      <c r="C1300" s="3">
        <v>44184</v>
      </c>
      <c r="D1300" s="11">
        <v>4377</v>
      </c>
      <c r="G1300" s="7" t="s">
        <v>809</v>
      </c>
      <c r="L1300" s="11" t="s">
        <v>1455</v>
      </c>
      <c r="M1300" s="11" t="s">
        <v>1456</v>
      </c>
    </row>
    <row r="1301" spans="1:18" x14ac:dyDescent="0.3">
      <c r="A1301">
        <v>1417</v>
      </c>
      <c r="C1301" s="3">
        <v>44184</v>
      </c>
      <c r="D1301" s="11">
        <v>4378</v>
      </c>
      <c r="G1301" s="7" t="s">
        <v>1457</v>
      </c>
      <c r="K1301" s="4">
        <v>2000</v>
      </c>
      <c r="L1301" s="11" t="s">
        <v>1458</v>
      </c>
      <c r="M1301" s="11" t="s">
        <v>1459</v>
      </c>
      <c r="R1301" s="4" t="s">
        <v>14</v>
      </c>
    </row>
    <row r="1302" spans="1:18" x14ac:dyDescent="0.3">
      <c r="A1302">
        <v>1418</v>
      </c>
      <c r="C1302" s="3">
        <v>44193</v>
      </c>
      <c r="D1302" s="11">
        <v>4380</v>
      </c>
      <c r="G1302" s="7" t="s">
        <v>1460</v>
      </c>
      <c r="K1302" s="4">
        <v>500</v>
      </c>
      <c r="L1302" s="11" t="s">
        <v>1461</v>
      </c>
      <c r="M1302" s="11" t="s">
        <v>1462</v>
      </c>
      <c r="R1302" s="4" t="s">
        <v>14</v>
      </c>
    </row>
    <row r="1303" spans="1:18" x14ac:dyDescent="0.3">
      <c r="A1303">
        <v>1419</v>
      </c>
      <c r="C1303" s="3">
        <v>44193</v>
      </c>
      <c r="D1303" s="11">
        <v>4381</v>
      </c>
      <c r="G1303" s="7" t="s">
        <v>1463</v>
      </c>
      <c r="K1303" s="4">
        <v>500</v>
      </c>
      <c r="L1303" s="11" t="s">
        <v>1464</v>
      </c>
      <c r="M1303" s="11" t="s">
        <v>1465</v>
      </c>
      <c r="R1303" s="4" t="s">
        <v>14</v>
      </c>
    </row>
    <row r="1304" spans="1:18" x14ac:dyDescent="0.3">
      <c r="A1304">
        <v>1420</v>
      </c>
      <c r="C1304" s="3">
        <v>44194</v>
      </c>
      <c r="D1304" s="11">
        <v>4385</v>
      </c>
      <c r="G1304" s="7" t="s">
        <v>1466</v>
      </c>
      <c r="K1304" s="4">
        <v>500</v>
      </c>
      <c r="L1304" s="11" t="s">
        <v>1467</v>
      </c>
      <c r="M1304" s="11" t="s">
        <v>1468</v>
      </c>
      <c r="R1304" s="4" t="s">
        <v>14</v>
      </c>
    </row>
    <row r="1305" spans="1:18" x14ac:dyDescent="0.3">
      <c r="A1305">
        <v>1422</v>
      </c>
      <c r="C1305" s="3">
        <v>44196</v>
      </c>
      <c r="D1305" s="11">
        <v>4386</v>
      </c>
      <c r="G1305" s="7" t="s">
        <v>1429</v>
      </c>
      <c r="J1305" s="4" t="s">
        <v>1430</v>
      </c>
      <c r="K1305" s="4">
        <v>500</v>
      </c>
      <c r="L1305" s="11" t="s">
        <v>1431</v>
      </c>
      <c r="M1305" s="11" t="s">
        <v>1432</v>
      </c>
      <c r="R1305" s="4" t="s">
        <v>14</v>
      </c>
    </row>
    <row r="1306" spans="1:18" x14ac:dyDescent="0.3">
      <c r="A1306">
        <v>1424</v>
      </c>
      <c r="C1306" s="3">
        <v>44200</v>
      </c>
      <c r="D1306" s="11">
        <v>4388</v>
      </c>
      <c r="G1306" s="7" t="s">
        <v>1469</v>
      </c>
      <c r="I1306" s="17">
        <v>37515</v>
      </c>
      <c r="J1306" s="4" t="s">
        <v>1217</v>
      </c>
      <c r="K1306" s="4">
        <v>500</v>
      </c>
      <c r="L1306" s="11" t="s">
        <v>1470</v>
      </c>
      <c r="R1306" s="4" t="s">
        <v>14</v>
      </c>
    </row>
    <row r="1307" spans="1:18" x14ac:dyDescent="0.3">
      <c r="C1307" s="3">
        <v>44202</v>
      </c>
      <c r="D1307" s="11">
        <v>4394</v>
      </c>
      <c r="G1307" s="7" t="s">
        <v>1479</v>
      </c>
      <c r="L1307" s="11" t="s">
        <v>1509</v>
      </c>
      <c r="M1307" s="11" t="s">
        <v>1514</v>
      </c>
    </row>
    <row r="1308" spans="1:18" x14ac:dyDescent="0.3">
      <c r="C1308" s="3">
        <v>44203</v>
      </c>
      <c r="D1308" s="11">
        <v>4395</v>
      </c>
      <c r="G1308" s="7" t="s">
        <v>1480</v>
      </c>
      <c r="L1308" s="11" t="s">
        <v>1510</v>
      </c>
      <c r="M1308" s="11" t="s">
        <v>1513</v>
      </c>
    </row>
    <row r="1309" spans="1:18" x14ac:dyDescent="0.3">
      <c r="C1309" s="3">
        <v>44204</v>
      </c>
      <c r="D1309" s="11">
        <v>4398</v>
      </c>
      <c r="G1309" s="7" t="s">
        <v>215</v>
      </c>
      <c r="L1309" s="11" t="s">
        <v>1511</v>
      </c>
      <c r="M1309" s="11" t="s">
        <v>1512</v>
      </c>
    </row>
    <row r="1310" spans="1:18" x14ac:dyDescent="0.3">
      <c r="C1310" s="3">
        <v>44207</v>
      </c>
      <c r="D1310" s="11">
        <v>4399</v>
      </c>
      <c r="G1310" s="7" t="s">
        <v>1481</v>
      </c>
      <c r="L1310" s="11" t="s">
        <v>1501</v>
      </c>
      <c r="M1310" s="11" t="s">
        <v>1500</v>
      </c>
    </row>
    <row r="1311" spans="1:18" x14ac:dyDescent="0.3">
      <c r="C1311" s="3">
        <v>44207</v>
      </c>
      <c r="D1311" s="11">
        <v>4401</v>
      </c>
      <c r="G1311" s="7" t="s">
        <v>1482</v>
      </c>
      <c r="L1311" s="11" t="s">
        <v>1502</v>
      </c>
    </row>
    <row r="1312" spans="1:18" x14ac:dyDescent="0.3">
      <c r="C1312" s="3">
        <v>44208</v>
      </c>
      <c r="D1312" s="11">
        <v>4402</v>
      </c>
      <c r="G1312" s="7" t="s">
        <v>1483</v>
      </c>
      <c r="L1312" s="11" t="s">
        <v>1503</v>
      </c>
      <c r="M1312" s="11" t="s">
        <v>1499</v>
      </c>
    </row>
    <row r="1313" spans="1:18" x14ac:dyDescent="0.3">
      <c r="C1313" s="3">
        <v>44208</v>
      </c>
      <c r="D1313" s="11">
        <v>4403</v>
      </c>
      <c r="G1313" s="7" t="s">
        <v>1484</v>
      </c>
      <c r="M1313" s="11" t="s">
        <v>1498</v>
      </c>
    </row>
    <row r="1314" spans="1:18" x14ac:dyDescent="0.3">
      <c r="C1314" s="3">
        <v>44209</v>
      </c>
      <c r="D1314" s="11">
        <v>4404</v>
      </c>
      <c r="G1314" s="7" t="s">
        <v>1485</v>
      </c>
      <c r="L1314" s="11" t="s">
        <v>1504</v>
      </c>
      <c r="M1314" s="11" t="s">
        <v>1497</v>
      </c>
    </row>
    <row r="1315" spans="1:18" x14ac:dyDescent="0.3">
      <c r="C1315" s="3">
        <v>44215</v>
      </c>
      <c r="D1315" s="11">
        <v>4410</v>
      </c>
      <c r="G1315" s="7" t="s">
        <v>1486</v>
      </c>
      <c r="L1315" s="11" t="s">
        <v>1505</v>
      </c>
      <c r="M1315" s="11" t="s">
        <v>1496</v>
      </c>
    </row>
    <row r="1316" spans="1:18" x14ac:dyDescent="0.3">
      <c r="C1316" s="3">
        <v>44216</v>
      </c>
      <c r="D1316" s="11">
        <v>4413</v>
      </c>
      <c r="G1316" s="7" t="s">
        <v>1487</v>
      </c>
      <c r="M1316" s="11" t="s">
        <v>1495</v>
      </c>
    </row>
    <row r="1317" spans="1:18" x14ac:dyDescent="0.3">
      <c r="C1317" s="3">
        <v>44228</v>
      </c>
      <c r="D1317" s="11">
        <v>4431</v>
      </c>
      <c r="G1317" s="7" t="s">
        <v>1488</v>
      </c>
      <c r="L1317" s="11" t="s">
        <v>1506</v>
      </c>
      <c r="M1317" s="11" t="s">
        <v>1494</v>
      </c>
    </row>
    <row r="1318" spans="1:18" x14ac:dyDescent="0.3">
      <c r="C1318" s="3">
        <v>44228</v>
      </c>
      <c r="D1318" s="11">
        <v>4432</v>
      </c>
      <c r="G1318" s="7" t="s">
        <v>1489</v>
      </c>
      <c r="L1318" s="11" t="s">
        <v>1507</v>
      </c>
      <c r="M1318" s="11" t="s">
        <v>1493</v>
      </c>
    </row>
    <row r="1319" spans="1:18" x14ac:dyDescent="0.3">
      <c r="C1319" s="3">
        <v>44230</v>
      </c>
      <c r="D1319" s="11">
        <v>4434</v>
      </c>
      <c r="G1319" s="7" t="s">
        <v>1518</v>
      </c>
      <c r="L1319" s="11" t="s">
        <v>1519</v>
      </c>
      <c r="M1319" s="11" t="s">
        <v>1520</v>
      </c>
      <c r="R1319" s="4" t="s">
        <v>14</v>
      </c>
    </row>
    <row r="1320" spans="1:18" x14ac:dyDescent="0.3">
      <c r="C1320" s="3">
        <v>44231</v>
      </c>
      <c r="D1320" s="11">
        <v>4438</v>
      </c>
      <c r="G1320" s="7" t="s">
        <v>1531</v>
      </c>
    </row>
    <row r="1321" spans="1:18" x14ac:dyDescent="0.3">
      <c r="C1321" s="3">
        <v>44237</v>
      </c>
      <c r="D1321" s="11">
        <v>4440</v>
      </c>
      <c r="G1321" s="7" t="s">
        <v>1064</v>
      </c>
      <c r="L1321" s="11" t="s">
        <v>1508</v>
      </c>
      <c r="M1321" s="11" t="s">
        <v>1492</v>
      </c>
    </row>
    <row r="1322" spans="1:18" x14ac:dyDescent="0.3">
      <c r="C1322" s="3">
        <v>44238</v>
      </c>
      <c r="D1322" s="11">
        <v>4443</v>
      </c>
      <c r="G1322" s="7" t="s">
        <v>1490</v>
      </c>
      <c r="M1322" s="11" t="s">
        <v>1491</v>
      </c>
    </row>
    <row r="1323" spans="1:18" x14ac:dyDescent="0.3">
      <c r="C1323" s="3">
        <v>44239</v>
      </c>
      <c r="D1323" s="11">
        <v>4447</v>
      </c>
      <c r="G1323" s="7" t="s">
        <v>1515</v>
      </c>
      <c r="L1323" s="11" t="s">
        <v>1516</v>
      </c>
      <c r="M1323" s="11" t="s">
        <v>1517</v>
      </c>
    </row>
    <row r="1324" spans="1:18" x14ac:dyDescent="0.3">
      <c r="C1324" s="3">
        <v>44245</v>
      </c>
      <c r="D1324" s="11">
        <v>4449</v>
      </c>
      <c r="G1324" s="7" t="s">
        <v>1521</v>
      </c>
      <c r="M1324" s="11" t="s">
        <v>1522</v>
      </c>
    </row>
    <row r="1325" spans="1:18" x14ac:dyDescent="0.3">
      <c r="C1325" s="3">
        <v>44249</v>
      </c>
      <c r="D1325" s="11">
        <v>4450</v>
      </c>
      <c r="G1325" s="7" t="s">
        <v>1523</v>
      </c>
      <c r="L1325" s="11" t="s">
        <v>1524</v>
      </c>
      <c r="M1325" s="11" t="s">
        <v>1525</v>
      </c>
    </row>
    <row r="1326" spans="1:18" x14ac:dyDescent="0.3">
      <c r="A1326">
        <v>1444</v>
      </c>
      <c r="C1326" s="3">
        <v>44249</v>
      </c>
      <c r="D1326" s="11">
        <v>4451</v>
      </c>
      <c r="G1326" s="7" t="s">
        <v>1526</v>
      </c>
      <c r="L1326" s="11" t="s">
        <v>1527</v>
      </c>
    </row>
    <row r="1327" spans="1:18" x14ac:dyDescent="0.3">
      <c r="A1327">
        <v>1445</v>
      </c>
      <c r="C1327" s="3">
        <v>44256</v>
      </c>
      <c r="D1327" s="11">
        <v>4456</v>
      </c>
      <c r="G1327" s="7" t="s">
        <v>1528</v>
      </c>
      <c r="L1327" s="11" t="s">
        <v>1529</v>
      </c>
      <c r="M1327" s="11" t="s">
        <v>1530</v>
      </c>
    </row>
    <row r="1328" spans="1:18" x14ac:dyDescent="0.3">
      <c r="C1328" s="3">
        <v>44257</v>
      </c>
      <c r="D1328" s="11">
        <v>4457</v>
      </c>
      <c r="G1328" s="7" t="s">
        <v>1536</v>
      </c>
      <c r="L1328" s="11" t="s">
        <v>1537</v>
      </c>
      <c r="M1328" s="11" t="s">
        <v>1538</v>
      </c>
    </row>
    <row r="1329" spans="3:16" x14ac:dyDescent="0.3">
      <c r="C1329" s="3">
        <v>44264</v>
      </c>
      <c r="D1329" s="11">
        <v>4462</v>
      </c>
      <c r="G1329" s="7" t="s">
        <v>1535</v>
      </c>
      <c r="L1329" s="11" t="s">
        <v>1539</v>
      </c>
      <c r="M1329" s="11" t="s">
        <v>1540</v>
      </c>
    </row>
    <row r="1330" spans="3:16" x14ac:dyDescent="0.3">
      <c r="C1330" s="3">
        <v>44264</v>
      </c>
      <c r="D1330" s="11">
        <v>4463</v>
      </c>
      <c r="G1330" s="7" t="s">
        <v>1534</v>
      </c>
      <c r="L1330" s="11" t="s">
        <v>1541</v>
      </c>
    </row>
    <row r="1331" spans="3:16" x14ac:dyDescent="0.3">
      <c r="C1331" s="3">
        <v>44265</v>
      </c>
      <c r="D1331" s="11">
        <v>4464</v>
      </c>
      <c r="G1331" s="7" t="s">
        <v>1533</v>
      </c>
      <c r="L1331" s="11" t="s">
        <v>1542</v>
      </c>
      <c r="M1331" s="11" t="s">
        <v>1543</v>
      </c>
    </row>
    <row r="1332" spans="3:16" x14ac:dyDescent="0.3">
      <c r="C1332" s="3">
        <v>44267</v>
      </c>
      <c r="D1332" s="11">
        <v>4465</v>
      </c>
      <c r="G1332" s="7" t="s">
        <v>1532</v>
      </c>
      <c r="L1332" s="11" t="s">
        <v>1544</v>
      </c>
      <c r="M1332" s="11" t="s">
        <v>1545</v>
      </c>
    </row>
    <row r="1333" spans="3:16" x14ac:dyDescent="0.3">
      <c r="C1333" s="3">
        <v>44267</v>
      </c>
      <c r="D1333" s="11">
        <v>4466</v>
      </c>
      <c r="G1333" s="7" t="s">
        <v>1617</v>
      </c>
      <c r="L1333" s="11" t="s">
        <v>1618</v>
      </c>
      <c r="M1333" s="11" t="s">
        <v>1619</v>
      </c>
    </row>
    <row r="1334" spans="3:16" x14ac:dyDescent="0.3">
      <c r="C1334" s="3">
        <v>44267</v>
      </c>
      <c r="D1334" s="11">
        <v>4467</v>
      </c>
      <c r="G1334" s="7" t="s">
        <v>1627</v>
      </c>
      <c r="L1334" s="11" t="s">
        <v>1620</v>
      </c>
      <c r="M1334" s="11" t="s">
        <v>1621</v>
      </c>
    </row>
    <row r="1335" spans="3:16" x14ac:dyDescent="0.3">
      <c r="C1335" s="3">
        <v>44267</v>
      </c>
      <c r="D1335" s="11">
        <v>4469</v>
      </c>
      <c r="G1335" s="7" t="s">
        <v>1622</v>
      </c>
      <c r="M1335" s="11" t="s">
        <v>1623</v>
      </c>
    </row>
    <row r="1336" spans="3:16" x14ac:dyDescent="0.3">
      <c r="C1336" s="3">
        <v>44269</v>
      </c>
      <c r="D1336" s="11">
        <v>4471</v>
      </c>
      <c r="G1336" s="7" t="s">
        <v>1624</v>
      </c>
      <c r="L1336" s="11" t="s">
        <v>1625</v>
      </c>
      <c r="M1336" s="11" t="s">
        <v>1626</v>
      </c>
    </row>
    <row r="1337" spans="3:16" x14ac:dyDescent="0.3">
      <c r="C1337" s="3">
        <v>44237</v>
      </c>
      <c r="D1337" s="11">
        <v>4473</v>
      </c>
      <c r="G1337" s="7" t="s">
        <v>1628</v>
      </c>
      <c r="L1337" s="11" t="s">
        <v>1629</v>
      </c>
      <c r="M1337" s="11" t="s">
        <v>1630</v>
      </c>
    </row>
    <row r="1338" spans="3:16" x14ac:dyDescent="0.3">
      <c r="C1338" s="3">
        <v>44272</v>
      </c>
      <c r="D1338" s="11">
        <v>4476</v>
      </c>
      <c r="G1338" s="7" t="s">
        <v>1631</v>
      </c>
      <c r="L1338" s="11" t="s">
        <v>1632</v>
      </c>
      <c r="M1338" s="11" t="s">
        <v>10647</v>
      </c>
      <c r="P1338" s="4" t="s">
        <v>10646</v>
      </c>
    </row>
    <row r="1339" spans="3:16" x14ac:dyDescent="0.3">
      <c r="C1339" s="3">
        <v>44272</v>
      </c>
      <c r="D1339" s="11">
        <v>4477</v>
      </c>
      <c r="G1339" s="7" t="s">
        <v>1633</v>
      </c>
      <c r="L1339" s="11" t="s">
        <v>1634</v>
      </c>
      <c r="M1339" s="11" t="s">
        <v>1635</v>
      </c>
    </row>
    <row r="1340" spans="3:16" x14ac:dyDescent="0.3">
      <c r="C1340" s="3">
        <v>44272</v>
      </c>
      <c r="D1340" s="11">
        <v>4478</v>
      </c>
      <c r="G1340" s="7" t="s">
        <v>1636</v>
      </c>
      <c r="L1340" s="11" t="s">
        <v>1637</v>
      </c>
      <c r="M1340" s="11" t="s">
        <v>1638</v>
      </c>
    </row>
    <row r="1341" spans="3:16" x14ac:dyDescent="0.3">
      <c r="C1341" s="3">
        <v>44272</v>
      </c>
      <c r="D1341" s="11">
        <v>4479</v>
      </c>
      <c r="G1341" s="7" t="s">
        <v>1639</v>
      </c>
      <c r="L1341" s="11" t="s">
        <v>1640</v>
      </c>
      <c r="M1341" s="11" t="s">
        <v>1641</v>
      </c>
    </row>
    <row r="1342" spans="3:16" x14ac:dyDescent="0.3">
      <c r="C1342" s="3">
        <v>44272</v>
      </c>
      <c r="D1342" s="11">
        <v>4481</v>
      </c>
      <c r="G1342" s="7" t="s">
        <v>1642</v>
      </c>
      <c r="M1342" s="11" t="s">
        <v>1643</v>
      </c>
    </row>
    <row r="1343" spans="3:16" x14ac:dyDescent="0.3">
      <c r="C1343" s="3">
        <v>44273</v>
      </c>
      <c r="D1343" s="11">
        <v>4482</v>
      </c>
      <c r="G1343" s="7" t="s">
        <v>1644</v>
      </c>
      <c r="L1343" s="11" t="s">
        <v>1645</v>
      </c>
      <c r="M1343" s="11" t="s">
        <v>1646</v>
      </c>
    </row>
    <row r="1344" spans="3:16" x14ac:dyDescent="0.3">
      <c r="C1344" s="3">
        <v>44274</v>
      </c>
      <c r="D1344" s="11">
        <v>4483</v>
      </c>
      <c r="G1344" s="7" t="s">
        <v>1647</v>
      </c>
      <c r="L1344" s="11" t="s">
        <v>1648</v>
      </c>
      <c r="M1344" s="11" t="s">
        <v>1649</v>
      </c>
    </row>
    <row r="1345" spans="1:18" x14ac:dyDescent="0.3">
      <c r="C1345" s="3">
        <v>44275</v>
      </c>
      <c r="D1345" s="11">
        <v>4484</v>
      </c>
      <c r="G1345" s="7" t="s">
        <v>1650</v>
      </c>
      <c r="L1345" s="11" t="s">
        <v>1651</v>
      </c>
      <c r="M1345" s="11" t="s">
        <v>1652</v>
      </c>
    </row>
    <row r="1346" spans="1:18" x14ac:dyDescent="0.3">
      <c r="C1346" s="3">
        <v>44275</v>
      </c>
      <c r="D1346" s="11">
        <v>4485</v>
      </c>
      <c r="G1346" s="7" t="s">
        <v>1653</v>
      </c>
      <c r="L1346" s="11" t="s">
        <v>1654</v>
      </c>
      <c r="M1346" s="11" t="s">
        <v>1655</v>
      </c>
    </row>
    <row r="1347" spans="1:18" x14ac:dyDescent="0.3">
      <c r="C1347" s="3">
        <v>44275</v>
      </c>
      <c r="D1347" s="11">
        <v>4486</v>
      </c>
      <c r="G1347" s="7" t="s">
        <v>1656</v>
      </c>
      <c r="L1347" s="11" t="s">
        <v>1657</v>
      </c>
      <c r="M1347" s="11" t="s">
        <v>1658</v>
      </c>
    </row>
    <row r="1348" spans="1:18" x14ac:dyDescent="0.3">
      <c r="C1348" s="3">
        <v>44277</v>
      </c>
      <c r="D1348" s="11">
        <v>4488</v>
      </c>
      <c r="G1348" s="7" t="s">
        <v>1659</v>
      </c>
      <c r="L1348" s="11" t="s">
        <v>1660</v>
      </c>
      <c r="M1348" s="11" t="s">
        <v>1661</v>
      </c>
    </row>
    <row r="1349" spans="1:18" x14ac:dyDescent="0.3">
      <c r="C1349" s="3">
        <v>44281</v>
      </c>
      <c r="D1349" s="11">
        <v>4489</v>
      </c>
      <c r="G1349" s="7" t="s">
        <v>1662</v>
      </c>
      <c r="L1349" s="11" t="s">
        <v>1663</v>
      </c>
    </row>
    <row r="1350" spans="1:18" x14ac:dyDescent="0.3">
      <c r="C1350" s="3">
        <v>44281</v>
      </c>
      <c r="D1350" s="11">
        <v>4490</v>
      </c>
      <c r="G1350" s="7" t="s">
        <v>1664</v>
      </c>
      <c r="M1350" s="11" t="s">
        <v>1665</v>
      </c>
    </row>
    <row r="1351" spans="1:18" x14ac:dyDescent="0.3">
      <c r="C1351" s="3" t="s">
        <v>1666</v>
      </c>
      <c r="D1351" s="11">
        <v>4491</v>
      </c>
      <c r="G1351" s="7" t="s">
        <v>1667</v>
      </c>
      <c r="L1351" s="11" t="s">
        <v>1668</v>
      </c>
    </row>
    <row r="1352" spans="1:18" x14ac:dyDescent="0.3">
      <c r="C1352" s="3">
        <v>44283</v>
      </c>
      <c r="D1352" s="11">
        <v>4492</v>
      </c>
      <c r="G1352" s="7" t="s">
        <v>1669</v>
      </c>
      <c r="L1352" s="11" t="s">
        <v>1670</v>
      </c>
    </row>
    <row r="1353" spans="1:18" x14ac:dyDescent="0.3">
      <c r="C1353" s="3">
        <v>44283</v>
      </c>
      <c r="D1353" s="11">
        <v>4493</v>
      </c>
      <c r="G1353" s="7" t="s">
        <v>1671</v>
      </c>
      <c r="M1353" s="11" t="s">
        <v>1672</v>
      </c>
    </row>
    <row r="1354" spans="1:18" x14ac:dyDescent="0.3">
      <c r="C1354" s="3"/>
      <c r="D1354" s="11">
        <v>4500</v>
      </c>
      <c r="G1354" s="7" t="s">
        <v>1673</v>
      </c>
      <c r="M1354" s="11" t="s">
        <v>1674</v>
      </c>
    </row>
    <row r="1355" spans="1:18" x14ac:dyDescent="0.3">
      <c r="C1355" s="3">
        <v>44383</v>
      </c>
      <c r="D1355" s="11">
        <v>4530</v>
      </c>
      <c r="G1355" s="7" t="s">
        <v>1676</v>
      </c>
      <c r="M1355" s="11" t="s">
        <v>1675</v>
      </c>
    </row>
    <row r="1356" spans="1:18" x14ac:dyDescent="0.3">
      <c r="A1356" t="s">
        <v>6585</v>
      </c>
      <c r="C1356" s="3">
        <v>44390</v>
      </c>
      <c r="D1356" s="11">
        <v>4534</v>
      </c>
      <c r="G1356" s="7" t="s">
        <v>1677</v>
      </c>
      <c r="I1356" s="17">
        <v>27760</v>
      </c>
      <c r="J1356" s="4" t="s">
        <v>6587</v>
      </c>
      <c r="L1356" s="11" t="s">
        <v>6586</v>
      </c>
      <c r="M1356" s="11" t="s">
        <v>1678</v>
      </c>
      <c r="R1356" s="4" t="s">
        <v>14</v>
      </c>
    </row>
    <row r="1357" spans="1:18" x14ac:dyDescent="0.3">
      <c r="C1357" s="3">
        <v>44390</v>
      </c>
      <c r="D1357" s="11">
        <v>4535</v>
      </c>
      <c r="G1357" s="7" t="s">
        <v>1679</v>
      </c>
      <c r="M1357" s="11" t="s">
        <v>1680</v>
      </c>
    </row>
    <row r="1358" spans="1:18" x14ac:dyDescent="0.3">
      <c r="C1358" s="3">
        <v>44391</v>
      </c>
      <c r="D1358" s="11">
        <v>4536</v>
      </c>
      <c r="G1358" s="7" t="s">
        <v>1681</v>
      </c>
      <c r="M1358" s="11" t="s">
        <v>1682</v>
      </c>
    </row>
    <row r="1359" spans="1:18" x14ac:dyDescent="0.3">
      <c r="C1359" s="3">
        <v>44396</v>
      </c>
      <c r="D1359" s="11">
        <v>4541</v>
      </c>
      <c r="G1359" s="7" t="s">
        <v>1683</v>
      </c>
      <c r="M1359" s="11" t="s">
        <v>1682</v>
      </c>
    </row>
    <row r="1360" spans="1:18" x14ac:dyDescent="0.3">
      <c r="C1360" s="3">
        <v>44403</v>
      </c>
      <c r="D1360" s="11">
        <v>4547</v>
      </c>
      <c r="G1360" s="7" t="s">
        <v>1684</v>
      </c>
      <c r="L1360" s="11" t="s">
        <v>1686</v>
      </c>
      <c r="M1360" s="11" t="s">
        <v>1685</v>
      </c>
    </row>
    <row r="1361" spans="3:19" x14ac:dyDescent="0.3">
      <c r="C1361" s="3">
        <v>44374</v>
      </c>
      <c r="D1361" s="11">
        <v>4548</v>
      </c>
      <c r="G1361" s="7" t="s">
        <v>1687</v>
      </c>
      <c r="M1361" s="11" t="s">
        <v>1688</v>
      </c>
    </row>
    <row r="1362" spans="3:19" x14ac:dyDescent="0.3">
      <c r="C1362" s="3">
        <v>44374</v>
      </c>
      <c r="D1362" s="11">
        <v>4552</v>
      </c>
      <c r="G1362" s="7" t="s">
        <v>1689</v>
      </c>
      <c r="L1362" s="11" t="s">
        <v>1690</v>
      </c>
      <c r="M1362" s="11" t="s">
        <v>1691</v>
      </c>
    </row>
    <row r="1363" spans="3:19" x14ac:dyDescent="0.3">
      <c r="C1363" s="3">
        <v>44374</v>
      </c>
      <c r="D1363" s="11">
        <v>4553</v>
      </c>
      <c r="G1363" s="7" t="s">
        <v>1692</v>
      </c>
      <c r="L1363" s="11" t="s">
        <v>1693</v>
      </c>
      <c r="M1363" s="11" t="s">
        <v>1694</v>
      </c>
      <c r="O1363" s="3">
        <v>45215</v>
      </c>
      <c r="Q1363" s="3">
        <v>45029</v>
      </c>
    </row>
    <row r="1364" spans="3:19" x14ac:dyDescent="0.3">
      <c r="C1364" s="3"/>
      <c r="D1364" s="11">
        <v>4561</v>
      </c>
      <c r="G1364" s="7" t="s">
        <v>1695</v>
      </c>
      <c r="L1364" s="11" t="s">
        <v>1696</v>
      </c>
      <c r="M1364" s="11" t="s">
        <v>1697</v>
      </c>
    </row>
    <row r="1365" spans="3:19" x14ac:dyDescent="0.3">
      <c r="C1365" s="3"/>
      <c r="D1365" s="11">
        <v>4556</v>
      </c>
      <c r="G1365" s="7" t="s">
        <v>1698</v>
      </c>
      <c r="L1365" s="11" t="s">
        <v>1699</v>
      </c>
      <c r="M1365" s="11" t="s">
        <v>1700</v>
      </c>
    </row>
    <row r="1366" spans="3:19" x14ac:dyDescent="0.3">
      <c r="C1366" s="3">
        <v>44411</v>
      </c>
      <c r="D1366" s="11">
        <v>4565</v>
      </c>
      <c r="G1366" s="7" t="s">
        <v>1701</v>
      </c>
      <c r="L1366" s="11" t="s">
        <v>1702</v>
      </c>
      <c r="M1366" s="11" t="s">
        <v>1703</v>
      </c>
    </row>
    <row r="1367" spans="3:19" x14ac:dyDescent="0.3">
      <c r="C1367" s="3">
        <v>44411</v>
      </c>
      <c r="D1367" s="11">
        <v>4566</v>
      </c>
      <c r="G1367" s="7" t="s">
        <v>1704</v>
      </c>
      <c r="L1367" s="11" t="s">
        <v>1705</v>
      </c>
      <c r="M1367" s="11" t="s">
        <v>1706</v>
      </c>
    </row>
    <row r="1368" spans="3:19" x14ac:dyDescent="0.3">
      <c r="C1368" s="3">
        <v>44412</v>
      </c>
      <c r="D1368" s="11">
        <v>4569</v>
      </c>
      <c r="G1368" s="7" t="s">
        <v>1707</v>
      </c>
      <c r="M1368" s="11" t="s">
        <v>1708</v>
      </c>
    </row>
    <row r="1369" spans="3:19" x14ac:dyDescent="0.3">
      <c r="C1369" s="3">
        <v>44412</v>
      </c>
      <c r="D1369" s="11">
        <v>4570</v>
      </c>
      <c r="G1369" s="7" t="s">
        <v>1709</v>
      </c>
      <c r="L1369" s="11" t="s">
        <v>1710</v>
      </c>
      <c r="M1369" s="11" t="s">
        <v>1711</v>
      </c>
    </row>
    <row r="1370" spans="3:19" x14ac:dyDescent="0.3">
      <c r="C1370" s="3">
        <v>44413</v>
      </c>
      <c r="D1370" s="11">
        <v>4581</v>
      </c>
      <c r="G1370" s="7" t="s">
        <v>1712</v>
      </c>
      <c r="L1370" s="11" t="s">
        <v>1713</v>
      </c>
    </row>
    <row r="1371" spans="3:19" x14ac:dyDescent="0.3">
      <c r="C1371" s="3">
        <v>44413</v>
      </c>
      <c r="D1371" s="11">
        <v>4589</v>
      </c>
      <c r="G1371" s="7" t="s">
        <v>258</v>
      </c>
    </row>
    <row r="1372" spans="3:19" x14ac:dyDescent="0.3">
      <c r="C1372" s="3"/>
      <c r="D1372" s="11">
        <v>4591</v>
      </c>
      <c r="G1372" s="7" t="s">
        <v>1714</v>
      </c>
      <c r="M1372" s="11" t="s">
        <v>1715</v>
      </c>
    </row>
    <row r="1373" spans="3:19" x14ac:dyDescent="0.3">
      <c r="C1373" s="3">
        <v>44429</v>
      </c>
      <c r="D1373" s="11">
        <v>4602</v>
      </c>
      <c r="G1373" s="7" t="s">
        <v>1716</v>
      </c>
      <c r="L1373" s="11" t="s">
        <v>1717</v>
      </c>
    </row>
    <row r="1374" spans="3:19" x14ac:dyDescent="0.3">
      <c r="C1374" s="3">
        <v>44431</v>
      </c>
      <c r="D1374" s="11">
        <v>4605</v>
      </c>
      <c r="G1374" s="7" t="s">
        <v>1718</v>
      </c>
      <c r="L1374" s="11" t="s">
        <v>1719</v>
      </c>
      <c r="M1374" s="11" t="s">
        <v>1720</v>
      </c>
      <c r="R1374" s="4" t="s">
        <v>14</v>
      </c>
      <c r="S1374" s="4" t="s">
        <v>14</v>
      </c>
    </row>
    <row r="1375" spans="3:19" x14ac:dyDescent="0.3">
      <c r="C1375" s="3">
        <v>44433</v>
      </c>
      <c r="D1375" s="11">
        <v>4609</v>
      </c>
      <c r="G1375" s="7" t="s">
        <v>1721</v>
      </c>
      <c r="L1375" s="11" t="s">
        <v>1722</v>
      </c>
    </row>
    <row r="1376" spans="3:19" x14ac:dyDescent="0.3">
      <c r="C1376" s="3">
        <v>44433</v>
      </c>
      <c r="D1376" s="11">
        <v>4610</v>
      </c>
      <c r="G1376" s="7" t="s">
        <v>1723</v>
      </c>
      <c r="L1376" s="11" t="s">
        <v>1724</v>
      </c>
    </row>
    <row r="1377" spans="1:13" x14ac:dyDescent="0.3">
      <c r="C1377" s="3"/>
      <c r="D1377" s="11">
        <v>4613</v>
      </c>
      <c r="G1377" s="7" t="s">
        <v>1725</v>
      </c>
      <c r="L1377" s="11" t="s">
        <v>1726</v>
      </c>
      <c r="M1377" s="11" t="s">
        <v>1727</v>
      </c>
    </row>
    <row r="1378" spans="1:13" x14ac:dyDescent="0.3">
      <c r="C1378" s="3">
        <v>44441</v>
      </c>
      <c r="D1378" s="11">
        <v>4619</v>
      </c>
      <c r="G1378" s="7" t="s">
        <v>1728</v>
      </c>
      <c r="L1378" s="11" t="s">
        <v>1729</v>
      </c>
    </row>
    <row r="1379" spans="1:13" x14ac:dyDescent="0.3">
      <c r="A1379" s="5"/>
      <c r="B1379" s="5"/>
      <c r="C1379" s="3">
        <v>44441</v>
      </c>
      <c r="D1379" s="11">
        <v>4620</v>
      </c>
      <c r="G1379" s="7" t="s">
        <v>1730</v>
      </c>
      <c r="L1379" s="11" t="s">
        <v>1731</v>
      </c>
    </row>
    <row r="1380" spans="1:13" x14ac:dyDescent="0.3">
      <c r="C1380" s="3">
        <v>44442</v>
      </c>
      <c r="D1380" s="11">
        <v>4623</v>
      </c>
      <c r="G1380" s="7" t="s">
        <v>1732</v>
      </c>
      <c r="L1380" s="11" t="s">
        <v>1733</v>
      </c>
    </row>
    <row r="1381" spans="1:13" x14ac:dyDescent="0.3">
      <c r="C1381" s="3">
        <v>44446</v>
      </c>
      <c r="D1381" s="11">
        <v>4625</v>
      </c>
      <c r="G1381" s="7" t="s">
        <v>1734</v>
      </c>
      <c r="L1381" s="11" t="s">
        <v>1735</v>
      </c>
      <c r="M1381" s="11" t="s">
        <v>1736</v>
      </c>
    </row>
    <row r="1382" spans="1:13" x14ac:dyDescent="0.3">
      <c r="C1382" s="3">
        <v>44454</v>
      </c>
      <c r="D1382" s="11">
        <v>4635</v>
      </c>
      <c r="G1382" s="7" t="s">
        <v>1737</v>
      </c>
      <c r="L1382" s="11" t="s">
        <v>1738</v>
      </c>
      <c r="M1382" s="11" t="s">
        <v>1739</v>
      </c>
    </row>
    <row r="1383" spans="1:13" x14ac:dyDescent="0.3">
      <c r="C1383" s="3">
        <v>44457</v>
      </c>
      <c r="D1383" s="11">
        <v>4636</v>
      </c>
      <c r="G1383" s="7" t="s">
        <v>1740</v>
      </c>
      <c r="L1383" s="11" t="s">
        <v>1741</v>
      </c>
      <c r="M1383" s="11" t="s">
        <v>1742</v>
      </c>
    </row>
    <row r="1384" spans="1:13" x14ac:dyDescent="0.3">
      <c r="C1384" s="3">
        <v>44457</v>
      </c>
      <c r="D1384" s="11">
        <v>4637</v>
      </c>
      <c r="G1384" s="7" t="s">
        <v>1743</v>
      </c>
      <c r="L1384" s="11" t="s">
        <v>1745</v>
      </c>
      <c r="M1384" s="11" t="s">
        <v>1744</v>
      </c>
    </row>
    <row r="1385" spans="1:13" x14ac:dyDescent="0.3">
      <c r="C1385" s="3">
        <v>44457</v>
      </c>
      <c r="D1385" s="11">
        <v>4638</v>
      </c>
      <c r="G1385" s="7" t="s">
        <v>1746</v>
      </c>
      <c r="L1385" s="11" t="s">
        <v>1747</v>
      </c>
      <c r="M1385" s="11" t="s">
        <v>1748</v>
      </c>
    </row>
    <row r="1386" spans="1:13" x14ac:dyDescent="0.3">
      <c r="C1386" s="3">
        <v>44460</v>
      </c>
      <c r="D1386" s="11">
        <v>4639</v>
      </c>
      <c r="G1386" s="7" t="s">
        <v>1749</v>
      </c>
      <c r="L1386" s="11" t="s">
        <v>1750</v>
      </c>
    </row>
    <row r="1387" spans="1:13" x14ac:dyDescent="0.3">
      <c r="C1387" s="3">
        <v>44462</v>
      </c>
      <c r="D1387" s="11">
        <v>4641</v>
      </c>
      <c r="G1387" s="7" t="s">
        <v>1751</v>
      </c>
      <c r="L1387" s="11" t="s">
        <v>1752</v>
      </c>
      <c r="M1387" s="11" t="s">
        <v>1753</v>
      </c>
    </row>
    <row r="1388" spans="1:13" x14ac:dyDescent="0.3">
      <c r="C1388" s="3">
        <v>44463</v>
      </c>
      <c r="D1388" s="11">
        <v>4642</v>
      </c>
      <c r="G1388" s="7" t="s">
        <v>1754</v>
      </c>
      <c r="L1388" s="11" t="s">
        <v>1755</v>
      </c>
      <c r="M1388" s="11" t="s">
        <v>1756</v>
      </c>
    </row>
    <row r="1389" spans="1:13" x14ac:dyDescent="0.3">
      <c r="C1389" s="3">
        <v>44467</v>
      </c>
      <c r="D1389" s="11">
        <v>4644</v>
      </c>
      <c r="G1389" s="7" t="s">
        <v>1757</v>
      </c>
      <c r="L1389" s="11" t="s">
        <v>1758</v>
      </c>
      <c r="M1389" s="11" t="s">
        <v>1759</v>
      </c>
    </row>
    <row r="1390" spans="1:13" x14ac:dyDescent="0.3">
      <c r="C1390" s="3">
        <v>44468</v>
      </c>
      <c r="D1390" s="11">
        <v>4645</v>
      </c>
      <c r="G1390" s="7" t="s">
        <v>1760</v>
      </c>
      <c r="L1390" s="11" t="s">
        <v>1761</v>
      </c>
    </row>
    <row r="1391" spans="1:13" x14ac:dyDescent="0.3">
      <c r="C1391" s="3">
        <v>44469</v>
      </c>
      <c r="D1391" s="11">
        <v>4647</v>
      </c>
      <c r="G1391" s="7" t="s">
        <v>1762</v>
      </c>
      <c r="L1391" s="11" t="s">
        <v>1763</v>
      </c>
      <c r="M1391" s="11" t="s">
        <v>1764</v>
      </c>
    </row>
    <row r="1392" spans="1:13" x14ac:dyDescent="0.3">
      <c r="A1392" t="s">
        <v>4769</v>
      </c>
      <c r="C1392" s="3">
        <v>44473</v>
      </c>
      <c r="D1392" s="11">
        <v>4649</v>
      </c>
      <c r="G1392" s="7" t="s">
        <v>1765</v>
      </c>
      <c r="M1392" s="11" t="s">
        <v>1766</v>
      </c>
    </row>
    <row r="1393" spans="3:19" x14ac:dyDescent="0.3">
      <c r="C1393" s="3"/>
      <c r="D1393" s="11">
        <v>4651</v>
      </c>
      <c r="G1393" s="7" t="s">
        <v>1767</v>
      </c>
      <c r="L1393" s="11" t="s">
        <v>1768</v>
      </c>
      <c r="M1393" s="11" t="s">
        <v>1769</v>
      </c>
    </row>
    <row r="1394" spans="3:19" x14ac:dyDescent="0.3">
      <c r="C1394" s="3"/>
      <c r="D1394" s="11">
        <v>4652</v>
      </c>
      <c r="G1394" s="7" t="s">
        <v>1770</v>
      </c>
      <c r="L1394" s="11" t="s">
        <v>1771</v>
      </c>
    </row>
    <row r="1395" spans="3:19" x14ac:dyDescent="0.3">
      <c r="C1395" s="3">
        <v>44480</v>
      </c>
      <c r="D1395" s="11">
        <v>4653</v>
      </c>
      <c r="G1395" s="7" t="s">
        <v>939</v>
      </c>
      <c r="L1395" s="11" t="s">
        <v>1772</v>
      </c>
      <c r="M1395" s="11" t="s">
        <v>1773</v>
      </c>
    </row>
    <row r="1396" spans="3:19" x14ac:dyDescent="0.3">
      <c r="C1396" s="3">
        <v>44481</v>
      </c>
      <c r="D1396" s="11">
        <v>4654</v>
      </c>
      <c r="G1396" s="7" t="s">
        <v>252</v>
      </c>
      <c r="I1396" s="17">
        <v>29382</v>
      </c>
      <c r="J1396" s="4" t="s">
        <v>2129</v>
      </c>
      <c r="L1396" s="11" t="s">
        <v>1774</v>
      </c>
      <c r="M1396" s="11" t="s">
        <v>1775</v>
      </c>
      <c r="R1396" s="4" t="s">
        <v>16</v>
      </c>
      <c r="S1396" s="4" t="s">
        <v>16</v>
      </c>
    </row>
    <row r="1397" spans="3:19" x14ac:dyDescent="0.3">
      <c r="C1397" s="3">
        <v>44485</v>
      </c>
      <c r="D1397" s="11">
        <v>4655</v>
      </c>
      <c r="G1397" s="7" t="s">
        <v>1776</v>
      </c>
      <c r="L1397" s="11" t="s">
        <v>1777</v>
      </c>
      <c r="M1397" s="11" t="s">
        <v>1778</v>
      </c>
    </row>
    <row r="1398" spans="3:19" x14ac:dyDescent="0.3">
      <c r="C1398" s="3">
        <v>44487</v>
      </c>
      <c r="D1398" s="11">
        <v>4656</v>
      </c>
      <c r="G1398" s="7" t="s">
        <v>1779</v>
      </c>
      <c r="L1398" s="11" t="s">
        <v>1780</v>
      </c>
      <c r="M1398" s="11" t="s">
        <v>1781</v>
      </c>
    </row>
    <row r="1399" spans="3:19" x14ac:dyDescent="0.3">
      <c r="C1399" s="3">
        <v>44488</v>
      </c>
      <c r="D1399" s="11">
        <v>4657</v>
      </c>
      <c r="G1399" s="7" t="s">
        <v>1782</v>
      </c>
      <c r="M1399" s="11" t="s">
        <v>1783</v>
      </c>
    </row>
    <row r="1400" spans="3:19" x14ac:dyDescent="0.3">
      <c r="C1400" s="3">
        <v>44489</v>
      </c>
      <c r="D1400" s="11">
        <v>4658</v>
      </c>
      <c r="G1400" s="7" t="s">
        <v>1784</v>
      </c>
      <c r="L1400" s="11" t="s">
        <v>1785</v>
      </c>
    </row>
    <row r="1401" spans="3:19" x14ac:dyDescent="0.3">
      <c r="C1401" s="3">
        <v>44491</v>
      </c>
      <c r="D1401" s="11">
        <v>4661</v>
      </c>
      <c r="G1401" s="7" t="s">
        <v>638</v>
      </c>
      <c r="L1401" s="11" t="s">
        <v>1786</v>
      </c>
    </row>
    <row r="1402" spans="3:19" x14ac:dyDescent="0.3">
      <c r="C1402" s="3">
        <v>44492</v>
      </c>
      <c r="D1402" s="11">
        <v>4662</v>
      </c>
      <c r="G1402" s="7" t="s">
        <v>1787</v>
      </c>
      <c r="L1402" s="11" t="s">
        <v>1788</v>
      </c>
      <c r="M1402" s="11" t="s">
        <v>1789</v>
      </c>
    </row>
    <row r="1403" spans="3:19" x14ac:dyDescent="0.3">
      <c r="C1403" s="3">
        <v>44494</v>
      </c>
      <c r="D1403" s="11">
        <v>4663</v>
      </c>
      <c r="G1403" s="7" t="s">
        <v>1790</v>
      </c>
      <c r="L1403" s="11" t="s">
        <v>1791</v>
      </c>
      <c r="M1403" s="11" t="s">
        <v>1792</v>
      </c>
    </row>
    <row r="1404" spans="3:19" x14ac:dyDescent="0.3">
      <c r="C1404" s="3">
        <v>44494</v>
      </c>
      <c r="D1404" s="11">
        <v>4664</v>
      </c>
      <c r="G1404" s="7" t="s">
        <v>1793</v>
      </c>
      <c r="L1404" s="11" t="s">
        <v>1794</v>
      </c>
      <c r="M1404" s="11" t="s">
        <v>1795</v>
      </c>
    </row>
    <row r="1405" spans="3:19" x14ac:dyDescent="0.3">
      <c r="C1405" s="5">
        <v>44496</v>
      </c>
      <c r="D1405" s="11">
        <v>4666</v>
      </c>
      <c r="G1405" s="7" t="s">
        <v>1796</v>
      </c>
      <c r="M1405" s="11" t="s">
        <v>1797</v>
      </c>
    </row>
    <row r="1406" spans="3:19" x14ac:dyDescent="0.3">
      <c r="C1406" s="3">
        <v>44497</v>
      </c>
      <c r="D1406" s="11">
        <v>4667</v>
      </c>
      <c r="G1406" s="7" t="s">
        <v>1798</v>
      </c>
      <c r="L1406" s="11" t="s">
        <v>1804</v>
      </c>
    </row>
    <row r="1407" spans="3:19" x14ac:dyDescent="0.3">
      <c r="C1407" s="3">
        <v>44498</v>
      </c>
      <c r="D1407" s="11">
        <v>4668</v>
      </c>
      <c r="G1407" s="7" t="s">
        <v>1799</v>
      </c>
      <c r="L1407" s="11" t="s">
        <v>1800</v>
      </c>
      <c r="M1407" s="11" t="s">
        <v>1801</v>
      </c>
    </row>
    <row r="1408" spans="3:19" x14ac:dyDescent="0.3">
      <c r="C1408" s="3">
        <v>44498</v>
      </c>
      <c r="D1408" s="11">
        <v>4669</v>
      </c>
      <c r="G1408" s="7" t="s">
        <v>1802</v>
      </c>
      <c r="L1408" s="11" t="s">
        <v>1803</v>
      </c>
      <c r="M1408" s="11" t="s">
        <v>1801</v>
      </c>
    </row>
    <row r="1409" spans="3:13" x14ac:dyDescent="0.3">
      <c r="C1409" s="3">
        <v>44499</v>
      </c>
      <c r="D1409" s="11">
        <v>4671</v>
      </c>
      <c r="G1409" s="7" t="s">
        <v>1805</v>
      </c>
      <c r="L1409" s="11" t="s">
        <v>1806</v>
      </c>
    </row>
    <row r="1410" spans="3:13" x14ac:dyDescent="0.3">
      <c r="C1410" s="3">
        <v>44500</v>
      </c>
      <c r="D1410" s="11">
        <v>4674</v>
      </c>
      <c r="G1410" s="7" t="s">
        <v>1807</v>
      </c>
      <c r="L1410" s="11" t="s">
        <v>1808</v>
      </c>
    </row>
    <row r="1411" spans="3:13" x14ac:dyDescent="0.3">
      <c r="C1411" s="3"/>
      <c r="D1411" s="11">
        <v>4675</v>
      </c>
      <c r="G1411" s="7" t="s">
        <v>1809</v>
      </c>
      <c r="L1411" s="11" t="s">
        <v>1810</v>
      </c>
      <c r="M1411" s="11" t="s">
        <v>1811</v>
      </c>
    </row>
    <row r="1412" spans="3:13" x14ac:dyDescent="0.3">
      <c r="C1412" s="3"/>
      <c r="D1412" s="11">
        <v>4676</v>
      </c>
      <c r="G1412" s="7" t="s">
        <v>1812</v>
      </c>
      <c r="L1412" s="11" t="s">
        <v>1813</v>
      </c>
    </row>
    <row r="1413" spans="3:13" x14ac:dyDescent="0.3">
      <c r="C1413" s="3"/>
      <c r="D1413" s="11">
        <v>4679</v>
      </c>
      <c r="G1413" s="7" t="s">
        <v>1814</v>
      </c>
      <c r="L1413" s="11" t="s">
        <v>1815</v>
      </c>
      <c r="M1413" s="11" t="s">
        <v>1816</v>
      </c>
    </row>
    <row r="1414" spans="3:13" x14ac:dyDescent="0.3">
      <c r="C1414" s="3"/>
      <c r="D1414" s="11">
        <v>4681</v>
      </c>
      <c r="G1414" s="7" t="s">
        <v>1817</v>
      </c>
      <c r="M1414" s="11" t="s">
        <v>1818</v>
      </c>
    </row>
    <row r="1415" spans="3:13" x14ac:dyDescent="0.3">
      <c r="C1415" s="3">
        <v>44513</v>
      </c>
      <c r="D1415" s="11">
        <v>4683</v>
      </c>
      <c r="G1415" s="7" t="s">
        <v>1819</v>
      </c>
    </row>
    <row r="1416" spans="3:13" x14ac:dyDescent="0.3">
      <c r="C1416" s="3">
        <v>44513</v>
      </c>
      <c r="D1416" s="11">
        <v>4684</v>
      </c>
      <c r="G1416" s="7" t="s">
        <v>1820</v>
      </c>
      <c r="M1416" s="11" t="s">
        <v>1821</v>
      </c>
    </row>
    <row r="1417" spans="3:13" x14ac:dyDescent="0.3">
      <c r="C1417" s="3">
        <v>44513</v>
      </c>
      <c r="D1417" s="11">
        <v>4685</v>
      </c>
      <c r="G1417" s="7" t="s">
        <v>1822</v>
      </c>
      <c r="M1417" s="11" t="s">
        <v>1823</v>
      </c>
    </row>
    <row r="1418" spans="3:13" x14ac:dyDescent="0.3">
      <c r="C1418" s="3">
        <v>44516</v>
      </c>
      <c r="D1418" s="11">
        <v>4688</v>
      </c>
      <c r="G1418" s="7" t="s">
        <v>1824</v>
      </c>
      <c r="M1418" s="11" t="s">
        <v>1825</v>
      </c>
    </row>
    <row r="1419" spans="3:13" x14ac:dyDescent="0.3">
      <c r="C1419" s="3">
        <v>44517</v>
      </c>
      <c r="D1419" s="11">
        <v>4689</v>
      </c>
      <c r="G1419" s="7" t="s">
        <v>1826</v>
      </c>
      <c r="M1419" s="11" t="s">
        <v>1827</v>
      </c>
    </row>
    <row r="1420" spans="3:13" x14ac:dyDescent="0.3">
      <c r="C1420" s="3">
        <v>44517</v>
      </c>
      <c r="D1420" s="11">
        <v>4690</v>
      </c>
      <c r="G1420" s="7" t="s">
        <v>1828</v>
      </c>
      <c r="M1420" s="11" t="s">
        <v>1829</v>
      </c>
    </row>
    <row r="1421" spans="3:13" x14ac:dyDescent="0.3">
      <c r="C1421" s="3">
        <v>44517</v>
      </c>
      <c r="D1421" s="11">
        <v>4691</v>
      </c>
      <c r="G1421" s="7" t="s">
        <v>1830</v>
      </c>
      <c r="M1421" s="11" t="s">
        <v>1831</v>
      </c>
    </row>
    <row r="1422" spans="3:13" x14ac:dyDescent="0.3">
      <c r="C1422" s="3">
        <v>44520</v>
      </c>
      <c r="D1422" s="11">
        <v>4694</v>
      </c>
      <c r="G1422" s="7" t="s">
        <v>1832</v>
      </c>
      <c r="M1422" s="11" t="s">
        <v>1833</v>
      </c>
    </row>
    <row r="1423" spans="3:13" x14ac:dyDescent="0.3">
      <c r="C1423" s="3">
        <v>44526</v>
      </c>
      <c r="D1423" s="11">
        <v>4697</v>
      </c>
      <c r="G1423" s="7" t="s">
        <v>1834</v>
      </c>
      <c r="L1423" s="11" t="s">
        <v>1835</v>
      </c>
      <c r="M1423" s="11" t="s">
        <v>1836</v>
      </c>
    </row>
    <row r="1424" spans="3:13" x14ac:dyDescent="0.3">
      <c r="C1424" s="3">
        <v>44527</v>
      </c>
      <c r="D1424" s="11">
        <v>4698</v>
      </c>
      <c r="G1424" s="7" t="s">
        <v>1837</v>
      </c>
      <c r="M1424" s="11" t="s">
        <v>1838</v>
      </c>
    </row>
    <row r="1425" spans="3:18" x14ac:dyDescent="0.3">
      <c r="C1425" s="3">
        <v>44527</v>
      </c>
      <c r="D1425" s="11">
        <v>4699</v>
      </c>
      <c r="G1425" s="7" t="s">
        <v>1839</v>
      </c>
      <c r="L1425" s="11" t="s">
        <v>1840</v>
      </c>
      <c r="M1425" s="11" t="s">
        <v>1838</v>
      </c>
    </row>
    <row r="1426" spans="3:18" x14ac:dyDescent="0.3">
      <c r="C1426" s="3">
        <v>44529</v>
      </c>
      <c r="D1426" s="11">
        <v>4700</v>
      </c>
      <c r="G1426" s="7" t="s">
        <v>1841</v>
      </c>
      <c r="M1426" s="11" t="s">
        <v>1842</v>
      </c>
    </row>
    <row r="1427" spans="3:18" x14ac:dyDescent="0.3">
      <c r="C1427" s="3">
        <v>44560</v>
      </c>
      <c r="D1427" s="11">
        <v>4703</v>
      </c>
      <c r="G1427" s="7" t="s">
        <v>1843</v>
      </c>
      <c r="L1427" s="11" t="s">
        <v>1844</v>
      </c>
      <c r="M1427" s="11" t="s">
        <v>1845</v>
      </c>
    </row>
    <row r="1428" spans="3:18" x14ac:dyDescent="0.3">
      <c r="C1428" s="3">
        <v>44560</v>
      </c>
      <c r="D1428" s="11">
        <v>4704</v>
      </c>
      <c r="G1428" s="7" t="s">
        <v>1846</v>
      </c>
      <c r="L1428" s="11" t="s">
        <v>1847</v>
      </c>
      <c r="M1428" s="11" t="s">
        <v>1848</v>
      </c>
    </row>
    <row r="1429" spans="3:18" x14ac:dyDescent="0.3">
      <c r="C1429" s="3">
        <v>44533</v>
      </c>
      <c r="D1429" s="11">
        <v>4705</v>
      </c>
      <c r="G1429" s="7" t="s">
        <v>1849</v>
      </c>
      <c r="L1429" s="11" t="s">
        <v>1850</v>
      </c>
      <c r="M1429" s="11" t="s">
        <v>1851</v>
      </c>
    </row>
    <row r="1430" spans="3:18" x14ac:dyDescent="0.3">
      <c r="C1430" s="3">
        <v>44533</v>
      </c>
      <c r="D1430" s="11">
        <v>4706</v>
      </c>
      <c r="G1430" s="7" t="s">
        <v>1852</v>
      </c>
      <c r="L1430" s="11" t="s">
        <v>1853</v>
      </c>
      <c r="M1430" s="11" t="s">
        <v>1854</v>
      </c>
    </row>
    <row r="1431" spans="3:18" x14ac:dyDescent="0.3">
      <c r="C1431" s="3">
        <v>44533</v>
      </c>
      <c r="D1431" s="11">
        <v>4707</v>
      </c>
      <c r="G1431" s="7" t="s">
        <v>234</v>
      </c>
      <c r="M1431" s="11" t="s">
        <v>1855</v>
      </c>
    </row>
    <row r="1432" spans="3:18" x14ac:dyDescent="0.3">
      <c r="C1432" s="3">
        <v>44537</v>
      </c>
      <c r="D1432" s="11">
        <v>4711</v>
      </c>
      <c r="G1432" s="7" t="s">
        <v>1856</v>
      </c>
      <c r="L1432" s="11" t="s">
        <v>1857</v>
      </c>
      <c r="M1432" s="11" t="s">
        <v>1858</v>
      </c>
    </row>
    <row r="1433" spans="3:18" x14ac:dyDescent="0.3">
      <c r="C1433" s="3">
        <v>44539</v>
      </c>
      <c r="D1433" s="11">
        <v>4715</v>
      </c>
      <c r="G1433" s="7" t="s">
        <v>1859</v>
      </c>
      <c r="L1433" s="11" t="s">
        <v>1860</v>
      </c>
      <c r="M1433" s="11" t="s">
        <v>1861</v>
      </c>
    </row>
    <row r="1434" spans="3:18" x14ac:dyDescent="0.3">
      <c r="C1434" s="3">
        <v>44539</v>
      </c>
      <c r="D1434" s="11">
        <v>4716</v>
      </c>
      <c r="G1434" s="7" t="s">
        <v>1862</v>
      </c>
      <c r="L1434" s="11" t="s">
        <v>1863</v>
      </c>
      <c r="M1434" s="11" t="s">
        <v>1864</v>
      </c>
    </row>
    <row r="1435" spans="3:18" x14ac:dyDescent="0.3">
      <c r="C1435" s="3">
        <v>44541</v>
      </c>
      <c r="D1435" s="11">
        <v>4718</v>
      </c>
      <c r="G1435" s="7" t="s">
        <v>1188</v>
      </c>
      <c r="L1435" s="11" t="s">
        <v>1865</v>
      </c>
      <c r="M1435" s="11" t="s">
        <v>1866</v>
      </c>
    </row>
    <row r="1436" spans="3:18" x14ac:dyDescent="0.3">
      <c r="C1436" s="3">
        <v>44541</v>
      </c>
      <c r="D1436" s="11">
        <v>4719</v>
      </c>
      <c r="G1436" s="7" t="s">
        <v>905</v>
      </c>
      <c r="L1436" s="11" t="s">
        <v>1867</v>
      </c>
      <c r="M1436" s="11" t="s">
        <v>1868</v>
      </c>
    </row>
    <row r="1437" spans="3:18" x14ac:dyDescent="0.3">
      <c r="C1437" s="3">
        <v>44541</v>
      </c>
      <c r="D1437" s="11">
        <v>4720</v>
      </c>
      <c r="G1437" s="7" t="s">
        <v>1869</v>
      </c>
      <c r="I1437" s="17">
        <v>35031</v>
      </c>
      <c r="J1437" s="4" t="s">
        <v>8842</v>
      </c>
      <c r="L1437" s="11" t="s">
        <v>1870</v>
      </c>
      <c r="M1437" s="11" t="s">
        <v>1871</v>
      </c>
      <c r="R1437" s="4" t="s">
        <v>14</v>
      </c>
    </row>
    <row r="1438" spans="3:18" x14ac:dyDescent="0.3">
      <c r="C1438" s="3">
        <v>44542</v>
      </c>
      <c r="D1438" s="11">
        <v>4721</v>
      </c>
      <c r="G1438" s="7" t="s">
        <v>281</v>
      </c>
      <c r="L1438" s="11" t="s">
        <v>1872</v>
      </c>
      <c r="M1438" s="11" t="s">
        <v>1873</v>
      </c>
    </row>
    <row r="1439" spans="3:18" x14ac:dyDescent="0.3">
      <c r="C1439" s="3">
        <v>44543</v>
      </c>
      <c r="D1439" s="11">
        <v>4724</v>
      </c>
      <c r="G1439" s="7" t="s">
        <v>1874</v>
      </c>
      <c r="L1439" s="11" t="s">
        <v>1875</v>
      </c>
      <c r="M1439" s="11" t="s">
        <v>1876</v>
      </c>
    </row>
    <row r="1440" spans="3:18" x14ac:dyDescent="0.3">
      <c r="C1440" s="3">
        <v>44543</v>
      </c>
      <c r="D1440" s="11">
        <v>4725</v>
      </c>
      <c r="G1440" s="7" t="s">
        <v>1877</v>
      </c>
      <c r="L1440" s="11" t="s">
        <v>1878</v>
      </c>
      <c r="M1440" s="11" t="s">
        <v>1879</v>
      </c>
    </row>
    <row r="1441" spans="1:13" x14ac:dyDescent="0.3">
      <c r="C1441" s="3">
        <v>44543</v>
      </c>
      <c r="D1441" s="11">
        <v>4726</v>
      </c>
      <c r="G1441" s="7" t="s">
        <v>1880</v>
      </c>
      <c r="L1441" s="11" t="s">
        <v>1881</v>
      </c>
      <c r="M1441" s="11" t="s">
        <v>1882</v>
      </c>
    </row>
    <row r="1442" spans="1:13" x14ac:dyDescent="0.3">
      <c r="C1442" s="3">
        <v>44543</v>
      </c>
      <c r="D1442" s="11">
        <v>4727</v>
      </c>
      <c r="G1442" s="7" t="s">
        <v>1883</v>
      </c>
      <c r="L1442" s="11" t="s">
        <v>1884</v>
      </c>
      <c r="M1442" s="11" t="s">
        <v>1885</v>
      </c>
    </row>
    <row r="1443" spans="1:13" x14ac:dyDescent="0.3">
      <c r="A1443" t="s">
        <v>6796</v>
      </c>
      <c r="C1443" s="3">
        <v>44543</v>
      </c>
      <c r="D1443" s="11">
        <v>4728</v>
      </c>
      <c r="G1443" s="7" t="s">
        <v>1886</v>
      </c>
      <c r="L1443" s="11" t="s">
        <v>1887</v>
      </c>
      <c r="M1443" s="11" t="s">
        <v>1888</v>
      </c>
    </row>
    <row r="1444" spans="1:13" x14ac:dyDescent="0.3">
      <c r="C1444" s="3">
        <v>44543</v>
      </c>
      <c r="D1444" s="11">
        <v>4729</v>
      </c>
      <c r="G1444" s="7" t="s">
        <v>1889</v>
      </c>
      <c r="L1444" s="11" t="s">
        <v>1890</v>
      </c>
      <c r="M1444" s="11" t="s">
        <v>1891</v>
      </c>
    </row>
    <row r="1445" spans="1:13" x14ac:dyDescent="0.3">
      <c r="C1445" s="3">
        <v>44543</v>
      </c>
      <c r="D1445" s="11">
        <v>4730</v>
      </c>
      <c r="G1445" s="7" t="s">
        <v>1892</v>
      </c>
      <c r="L1445" s="11" t="s">
        <v>1893</v>
      </c>
      <c r="M1445" s="11" t="s">
        <v>1894</v>
      </c>
    </row>
    <row r="1446" spans="1:13" x14ac:dyDescent="0.3">
      <c r="C1446" s="3">
        <v>44545</v>
      </c>
      <c r="D1446" s="11">
        <v>4735</v>
      </c>
      <c r="G1446" s="7" t="s">
        <v>1895</v>
      </c>
      <c r="L1446" s="11" t="s">
        <v>1896</v>
      </c>
      <c r="M1446" s="11" t="s">
        <v>1897</v>
      </c>
    </row>
    <row r="1447" spans="1:13" x14ac:dyDescent="0.3">
      <c r="C1447" s="3">
        <v>44548</v>
      </c>
      <c r="D1447" s="11">
        <v>4736</v>
      </c>
      <c r="G1447" s="7" t="s">
        <v>1898</v>
      </c>
      <c r="L1447" s="11" t="s">
        <v>1899</v>
      </c>
      <c r="M1447" s="11" t="s">
        <v>1900</v>
      </c>
    </row>
    <row r="1448" spans="1:13" x14ac:dyDescent="0.3">
      <c r="C1448" s="3">
        <v>44550</v>
      </c>
      <c r="D1448" s="11">
        <v>4737</v>
      </c>
      <c r="G1448" s="7" t="s">
        <v>1901</v>
      </c>
      <c r="L1448" s="11" t="s">
        <v>1902</v>
      </c>
      <c r="M1448" s="11" t="s">
        <v>1905</v>
      </c>
    </row>
    <row r="1449" spans="1:13" x14ac:dyDescent="0.3">
      <c r="C1449" s="3">
        <v>44550</v>
      </c>
      <c r="D1449" s="11">
        <v>4738</v>
      </c>
      <c r="G1449" s="7" t="s">
        <v>1903</v>
      </c>
      <c r="M1449" s="11" t="s">
        <v>1904</v>
      </c>
    </row>
    <row r="1450" spans="1:13" x14ac:dyDescent="0.3">
      <c r="C1450" s="3">
        <v>44550</v>
      </c>
      <c r="D1450" s="11">
        <v>4739</v>
      </c>
      <c r="G1450" s="7" t="s">
        <v>1906</v>
      </c>
      <c r="M1450" s="11" t="s">
        <v>1907</v>
      </c>
    </row>
    <row r="1451" spans="1:13" x14ac:dyDescent="0.3">
      <c r="C1451" s="3">
        <v>44550</v>
      </c>
      <c r="D1451" s="11">
        <v>4741</v>
      </c>
      <c r="G1451" s="7" t="s">
        <v>1908</v>
      </c>
      <c r="L1451" s="11" t="s">
        <v>1909</v>
      </c>
      <c r="M1451" s="11" t="s">
        <v>1910</v>
      </c>
    </row>
    <row r="1452" spans="1:13" x14ac:dyDescent="0.3">
      <c r="A1452" t="s">
        <v>4955</v>
      </c>
      <c r="C1452" s="3">
        <v>44551</v>
      </c>
      <c r="D1452" s="11">
        <v>4742</v>
      </c>
      <c r="G1452" s="7" t="s">
        <v>1911</v>
      </c>
      <c r="J1452" s="4" t="s">
        <v>4956</v>
      </c>
      <c r="L1452" s="11" t="s">
        <v>1912</v>
      </c>
      <c r="M1452" s="11" t="s">
        <v>1913</v>
      </c>
    </row>
    <row r="1453" spans="1:13" x14ac:dyDescent="0.3">
      <c r="C1453" s="3">
        <v>44551</v>
      </c>
      <c r="D1453" s="11">
        <v>4743</v>
      </c>
      <c r="G1453" s="7" t="s">
        <v>1914</v>
      </c>
      <c r="L1453" s="11" t="s">
        <v>1915</v>
      </c>
      <c r="M1453" s="11" t="s">
        <v>1916</v>
      </c>
    </row>
    <row r="1454" spans="1:13" x14ac:dyDescent="0.3">
      <c r="C1454" s="3">
        <v>44554</v>
      </c>
      <c r="D1454" s="11">
        <v>4747</v>
      </c>
      <c r="G1454" s="7" t="s">
        <v>1917</v>
      </c>
      <c r="L1454" s="11" t="s">
        <v>1918</v>
      </c>
      <c r="M1454" s="11" t="s">
        <v>1919</v>
      </c>
    </row>
    <row r="1455" spans="1:13" x14ac:dyDescent="0.3">
      <c r="C1455" s="3">
        <v>44554</v>
      </c>
      <c r="D1455" s="11">
        <v>4748</v>
      </c>
      <c r="G1455" s="7" t="s">
        <v>1920</v>
      </c>
      <c r="L1455" s="11" t="s">
        <v>1921</v>
      </c>
      <c r="M1455" s="11" t="s">
        <v>1922</v>
      </c>
    </row>
    <row r="1456" spans="1:13" x14ac:dyDescent="0.3">
      <c r="C1456" s="3">
        <v>44554</v>
      </c>
      <c r="D1456" s="11">
        <v>4749</v>
      </c>
      <c r="G1456" s="7" t="s">
        <v>1923</v>
      </c>
      <c r="L1456" s="11" t="s">
        <v>1924</v>
      </c>
      <c r="M1456" s="11" t="s">
        <v>1925</v>
      </c>
    </row>
    <row r="1457" spans="3:13" x14ac:dyDescent="0.3">
      <c r="C1457" s="3">
        <v>44554</v>
      </c>
      <c r="D1457" s="11">
        <v>4750</v>
      </c>
      <c r="G1457" s="7" t="s">
        <v>1926</v>
      </c>
      <c r="L1457" s="11" t="s">
        <v>1927</v>
      </c>
      <c r="M1457" s="11" t="s">
        <v>1925</v>
      </c>
    </row>
    <row r="1458" spans="3:13" x14ac:dyDescent="0.3">
      <c r="C1458" s="3">
        <v>44558</v>
      </c>
      <c r="D1458" s="11">
        <v>4752</v>
      </c>
      <c r="G1458" s="7" t="s">
        <v>1928</v>
      </c>
      <c r="L1458" s="11" t="s">
        <v>1929</v>
      </c>
      <c r="M1458" s="11" t="s">
        <v>1930</v>
      </c>
    </row>
    <row r="1459" spans="3:13" x14ac:dyDescent="0.3">
      <c r="C1459" s="3">
        <v>44227</v>
      </c>
      <c r="D1459" s="11">
        <v>4756</v>
      </c>
      <c r="G1459" s="7" t="s">
        <v>1931</v>
      </c>
      <c r="L1459" s="11" t="s">
        <v>1932</v>
      </c>
      <c r="M1459" s="11" t="s">
        <v>1933</v>
      </c>
    </row>
    <row r="1460" spans="3:13" x14ac:dyDescent="0.3">
      <c r="C1460" s="3">
        <v>44565</v>
      </c>
      <c r="D1460" s="11">
        <v>4757</v>
      </c>
      <c r="G1460" s="7" t="s">
        <v>1934</v>
      </c>
      <c r="L1460" s="11" t="s">
        <v>1936</v>
      </c>
      <c r="M1460" s="11" t="s">
        <v>1935</v>
      </c>
    </row>
    <row r="1461" spans="3:13" x14ac:dyDescent="0.3">
      <c r="C1461" s="3" t="s">
        <v>1937</v>
      </c>
      <c r="D1461" s="11">
        <v>4758</v>
      </c>
      <c r="G1461" s="7" t="s">
        <v>1938</v>
      </c>
      <c r="L1461" s="11" t="s">
        <v>1939</v>
      </c>
      <c r="M1461" s="11" t="s">
        <v>1940</v>
      </c>
    </row>
    <row r="1462" spans="3:13" x14ac:dyDescent="0.3">
      <c r="C1462" s="3">
        <v>44564</v>
      </c>
      <c r="D1462" s="11">
        <v>4759</v>
      </c>
      <c r="G1462" s="7" t="s">
        <v>1941</v>
      </c>
      <c r="L1462" s="11" t="s">
        <v>1942</v>
      </c>
      <c r="M1462" s="11" t="s">
        <v>1943</v>
      </c>
    </row>
    <row r="1463" spans="3:13" x14ac:dyDescent="0.3">
      <c r="C1463" s="3">
        <v>44566</v>
      </c>
      <c r="D1463" s="11">
        <v>4761</v>
      </c>
      <c r="G1463" s="7" t="s">
        <v>1944</v>
      </c>
      <c r="L1463" s="11" t="s">
        <v>1945</v>
      </c>
      <c r="M1463" s="11" t="s">
        <v>1946</v>
      </c>
    </row>
    <row r="1464" spans="3:13" x14ac:dyDescent="0.3">
      <c r="C1464" s="3">
        <v>44567</v>
      </c>
      <c r="D1464" s="11">
        <v>4762</v>
      </c>
      <c r="G1464" s="7" t="s">
        <v>1947</v>
      </c>
      <c r="L1464" s="11" t="s">
        <v>1948</v>
      </c>
      <c r="M1464" s="11" t="s">
        <v>1949</v>
      </c>
    </row>
    <row r="1465" spans="3:13" x14ac:dyDescent="0.3">
      <c r="C1465" s="3">
        <v>44902</v>
      </c>
      <c r="D1465" s="11">
        <v>4764</v>
      </c>
      <c r="G1465" s="7" t="s">
        <v>1950</v>
      </c>
      <c r="L1465" s="11" t="s">
        <v>1951</v>
      </c>
      <c r="M1465" s="11" t="s">
        <v>1952</v>
      </c>
    </row>
    <row r="1466" spans="3:13" x14ac:dyDescent="0.3">
      <c r="C1466" s="3">
        <v>44902</v>
      </c>
      <c r="D1466" s="11">
        <v>4765</v>
      </c>
      <c r="G1466" s="7" t="s">
        <v>1953</v>
      </c>
      <c r="L1466" s="11" t="s">
        <v>1954</v>
      </c>
      <c r="M1466" s="11" t="s">
        <v>1873</v>
      </c>
    </row>
    <row r="1467" spans="3:13" x14ac:dyDescent="0.3">
      <c r="C1467" s="3">
        <v>44902</v>
      </c>
      <c r="D1467" s="11">
        <v>4767</v>
      </c>
      <c r="G1467" s="7" t="s">
        <v>1955</v>
      </c>
      <c r="L1467" s="11" t="s">
        <v>1956</v>
      </c>
      <c r="M1467" s="11" t="s">
        <v>1873</v>
      </c>
    </row>
    <row r="1468" spans="3:13" x14ac:dyDescent="0.3">
      <c r="C1468" s="3">
        <v>44568</v>
      </c>
      <c r="D1468" s="11">
        <v>4768</v>
      </c>
      <c r="G1468" s="7" t="s">
        <v>1957</v>
      </c>
      <c r="L1468" s="11" t="s">
        <v>1958</v>
      </c>
      <c r="M1468" s="11" t="s">
        <v>1959</v>
      </c>
    </row>
    <row r="1469" spans="3:13" x14ac:dyDescent="0.3">
      <c r="C1469" s="3">
        <v>44571</v>
      </c>
      <c r="D1469" s="11">
        <v>4771</v>
      </c>
      <c r="G1469" s="7" t="s">
        <v>1960</v>
      </c>
      <c r="L1469" s="11" t="s">
        <v>1961</v>
      </c>
      <c r="M1469" s="11" t="s">
        <v>1962</v>
      </c>
    </row>
    <row r="1470" spans="3:13" x14ac:dyDescent="0.3">
      <c r="C1470" s="3">
        <v>44571</v>
      </c>
      <c r="D1470" s="11">
        <v>4772</v>
      </c>
      <c r="G1470" s="7" t="s">
        <v>1963</v>
      </c>
      <c r="L1470" s="11" t="s">
        <v>1964</v>
      </c>
      <c r="M1470" s="11" t="s">
        <v>1965</v>
      </c>
    </row>
    <row r="1471" spans="3:13" x14ac:dyDescent="0.3">
      <c r="C1471" s="3">
        <v>44571</v>
      </c>
      <c r="D1471" s="11">
        <v>4775</v>
      </c>
      <c r="G1471" s="7" t="s">
        <v>1966</v>
      </c>
      <c r="L1471" s="11" t="s">
        <v>1967</v>
      </c>
      <c r="M1471" s="11" t="s">
        <v>1968</v>
      </c>
    </row>
    <row r="1472" spans="3:13" x14ac:dyDescent="0.3">
      <c r="C1472" s="3">
        <v>44572</v>
      </c>
      <c r="D1472" s="11">
        <v>4776</v>
      </c>
      <c r="G1472" s="7" t="s">
        <v>1969</v>
      </c>
      <c r="M1472" s="11" t="s">
        <v>1970</v>
      </c>
    </row>
    <row r="1473" spans="1:13" x14ac:dyDescent="0.3">
      <c r="A1473" t="s">
        <v>4976</v>
      </c>
      <c r="C1473" s="3">
        <v>44572</v>
      </c>
      <c r="D1473" s="11">
        <v>4777</v>
      </c>
      <c r="G1473" s="7" t="s">
        <v>225</v>
      </c>
      <c r="L1473" s="11" t="s">
        <v>1971</v>
      </c>
      <c r="M1473" s="11" t="s">
        <v>1972</v>
      </c>
    </row>
    <row r="1474" spans="1:13" x14ac:dyDescent="0.3">
      <c r="C1474" s="3">
        <v>44572</v>
      </c>
      <c r="D1474" s="11">
        <v>4778</v>
      </c>
      <c r="G1474" s="7" t="s">
        <v>1973</v>
      </c>
      <c r="L1474" s="11" t="s">
        <v>1974</v>
      </c>
      <c r="M1474" s="11" t="s">
        <v>1975</v>
      </c>
    </row>
    <row r="1475" spans="1:13" x14ac:dyDescent="0.3">
      <c r="C1475" s="3">
        <v>44572</v>
      </c>
      <c r="D1475" s="11">
        <v>4779</v>
      </c>
      <c r="G1475" s="7" t="s">
        <v>1976</v>
      </c>
      <c r="L1475" s="11" t="s">
        <v>1977</v>
      </c>
      <c r="M1475" s="11" t="s">
        <v>1978</v>
      </c>
    </row>
    <row r="1476" spans="1:13" x14ac:dyDescent="0.3">
      <c r="C1476" s="3">
        <v>44575</v>
      </c>
      <c r="D1476" s="11">
        <v>4780</v>
      </c>
      <c r="G1476" s="7" t="s">
        <v>1979</v>
      </c>
      <c r="L1476" s="11" t="s">
        <v>1980</v>
      </c>
      <c r="M1476" s="11" t="s">
        <v>1981</v>
      </c>
    </row>
    <row r="1477" spans="1:13" x14ac:dyDescent="0.3">
      <c r="C1477" s="3">
        <v>44576</v>
      </c>
      <c r="D1477" s="11">
        <v>4781</v>
      </c>
      <c r="G1477" s="7" t="s">
        <v>1982</v>
      </c>
      <c r="L1477" s="11" t="s">
        <v>1983</v>
      </c>
      <c r="M1477" s="11" t="s">
        <v>1984</v>
      </c>
    </row>
    <row r="1478" spans="1:13" x14ac:dyDescent="0.3">
      <c r="C1478" s="3">
        <v>44576</v>
      </c>
      <c r="D1478" s="11">
        <v>4782</v>
      </c>
      <c r="G1478" s="7" t="s">
        <v>1985</v>
      </c>
      <c r="L1478" s="11" t="s">
        <v>1986</v>
      </c>
      <c r="M1478" s="11" t="s">
        <v>1987</v>
      </c>
    </row>
    <row r="1479" spans="1:13" x14ac:dyDescent="0.3">
      <c r="C1479" s="3">
        <v>44581</v>
      </c>
      <c r="D1479" s="11">
        <v>4785</v>
      </c>
      <c r="G1479" s="7" t="s">
        <v>1988</v>
      </c>
      <c r="L1479" s="11" t="s">
        <v>1989</v>
      </c>
      <c r="M1479" s="11" t="s">
        <v>1990</v>
      </c>
    </row>
    <row r="1480" spans="1:13" x14ac:dyDescent="0.3">
      <c r="C1480" s="3">
        <v>44583</v>
      </c>
      <c r="D1480" s="11">
        <v>4786</v>
      </c>
      <c r="G1480" s="7" t="s">
        <v>1991</v>
      </c>
      <c r="L1480" s="11" t="s">
        <v>1992</v>
      </c>
      <c r="M1480" s="11" t="s">
        <v>1993</v>
      </c>
    </row>
    <row r="1481" spans="1:13" x14ac:dyDescent="0.3">
      <c r="C1481" s="3">
        <v>44583</v>
      </c>
      <c r="D1481" s="11">
        <v>4788</v>
      </c>
      <c r="G1481" s="7" t="s">
        <v>1994</v>
      </c>
    </row>
    <row r="1482" spans="1:13" x14ac:dyDescent="0.3">
      <c r="C1482" s="3">
        <v>44585</v>
      </c>
      <c r="D1482" s="11">
        <v>4790</v>
      </c>
      <c r="G1482" s="7" t="s">
        <v>1995</v>
      </c>
      <c r="L1482" s="11" t="s">
        <v>1996</v>
      </c>
      <c r="M1482" s="11" t="s">
        <v>1997</v>
      </c>
    </row>
    <row r="1483" spans="1:13" x14ac:dyDescent="0.3">
      <c r="C1483" s="3">
        <v>44585</v>
      </c>
      <c r="D1483" s="11">
        <v>4791</v>
      </c>
      <c r="G1483" s="7" t="s">
        <v>1998</v>
      </c>
      <c r="I1483" s="17">
        <v>29647</v>
      </c>
      <c r="L1483" s="11" t="s">
        <v>1999</v>
      </c>
      <c r="M1483" s="11" t="s">
        <v>2000</v>
      </c>
    </row>
    <row r="1484" spans="1:13" x14ac:dyDescent="0.3">
      <c r="C1484" s="3">
        <v>44585</v>
      </c>
      <c r="D1484" s="11">
        <v>4792</v>
      </c>
      <c r="G1484" s="7" t="s">
        <v>2001</v>
      </c>
      <c r="L1484" s="11" t="s">
        <v>2002</v>
      </c>
      <c r="M1484" s="11" t="s">
        <v>2003</v>
      </c>
    </row>
    <row r="1485" spans="1:13" x14ac:dyDescent="0.3">
      <c r="C1485" s="3">
        <v>44586</v>
      </c>
      <c r="D1485" s="11">
        <v>4793</v>
      </c>
      <c r="G1485" s="7" t="s">
        <v>2004</v>
      </c>
      <c r="L1485" s="11" t="s">
        <v>2005</v>
      </c>
      <c r="M1485" s="11" t="s">
        <v>2006</v>
      </c>
    </row>
    <row r="1486" spans="1:13" x14ac:dyDescent="0.3">
      <c r="C1486" s="3">
        <v>44586</v>
      </c>
      <c r="D1486" s="11">
        <v>4794</v>
      </c>
      <c r="G1486" s="7" t="s">
        <v>2007</v>
      </c>
      <c r="L1486" s="11" t="s">
        <v>2005</v>
      </c>
      <c r="M1486" s="11" t="s">
        <v>2006</v>
      </c>
    </row>
    <row r="1487" spans="1:13" x14ac:dyDescent="0.3">
      <c r="C1487" s="3">
        <v>44588</v>
      </c>
      <c r="D1487" s="11">
        <v>4797</v>
      </c>
      <c r="G1487" s="7" t="s">
        <v>2008</v>
      </c>
      <c r="L1487" s="11" t="s">
        <v>2009</v>
      </c>
      <c r="M1487" s="11" t="s">
        <v>2010</v>
      </c>
    </row>
    <row r="1488" spans="1:13" x14ac:dyDescent="0.3">
      <c r="C1488" s="3">
        <v>44589</v>
      </c>
      <c r="D1488" s="11">
        <v>4798</v>
      </c>
      <c r="G1488" s="7" t="s">
        <v>3735</v>
      </c>
      <c r="L1488" s="11" t="s">
        <v>2011</v>
      </c>
      <c r="M1488" s="11" t="s">
        <v>2012</v>
      </c>
    </row>
    <row r="1489" spans="3:19" x14ac:dyDescent="0.3">
      <c r="C1489" s="3">
        <v>44589</v>
      </c>
      <c r="D1489" s="11">
        <v>4799</v>
      </c>
      <c r="G1489" s="7" t="s">
        <v>2013</v>
      </c>
      <c r="L1489" s="11" t="s">
        <v>2014</v>
      </c>
      <c r="M1489" s="11" t="s">
        <v>2015</v>
      </c>
    </row>
    <row r="1490" spans="3:19" x14ac:dyDescent="0.3">
      <c r="C1490" s="3">
        <v>44590</v>
      </c>
      <c r="D1490" s="11">
        <v>4800</v>
      </c>
      <c r="G1490" s="7" t="s">
        <v>2016</v>
      </c>
      <c r="L1490" s="11" t="s">
        <v>2017</v>
      </c>
      <c r="M1490" s="11" t="s">
        <v>2018</v>
      </c>
    </row>
    <row r="1491" spans="3:19" x14ac:dyDescent="0.3">
      <c r="C1491" s="3">
        <v>44593</v>
      </c>
      <c r="D1491" s="11">
        <v>4803</v>
      </c>
      <c r="G1491" s="7" t="s">
        <v>2019</v>
      </c>
      <c r="M1491" s="11" t="s">
        <v>2020</v>
      </c>
    </row>
    <row r="1492" spans="3:19" x14ac:dyDescent="0.3">
      <c r="C1492" s="3">
        <v>44593</v>
      </c>
      <c r="D1492" s="11">
        <v>4804</v>
      </c>
      <c r="G1492" s="7" t="s">
        <v>2021</v>
      </c>
      <c r="L1492" s="11" t="s">
        <v>2341</v>
      </c>
      <c r="M1492" s="11" t="s">
        <v>2022</v>
      </c>
      <c r="Q1492" s="3">
        <v>44804</v>
      </c>
      <c r="S1492" s="3">
        <v>44804</v>
      </c>
    </row>
    <row r="1493" spans="3:19" x14ac:dyDescent="0.3">
      <c r="C1493" s="3">
        <v>44593</v>
      </c>
      <c r="D1493" s="11">
        <v>4805</v>
      </c>
      <c r="G1493" s="7" t="s">
        <v>2023</v>
      </c>
      <c r="M1493" s="11" t="s">
        <v>2024</v>
      </c>
    </row>
    <row r="1494" spans="3:19" x14ac:dyDescent="0.3">
      <c r="C1494" s="3">
        <v>44593</v>
      </c>
      <c r="D1494" s="11">
        <v>4806</v>
      </c>
      <c r="G1494" s="7" t="s">
        <v>2025</v>
      </c>
      <c r="M1494" s="11" t="s">
        <v>2026</v>
      </c>
    </row>
    <row r="1495" spans="3:19" x14ac:dyDescent="0.3">
      <c r="C1495" s="3">
        <v>44595</v>
      </c>
      <c r="D1495" s="11">
        <v>4808</v>
      </c>
      <c r="G1495" s="7" t="s">
        <v>2027</v>
      </c>
      <c r="L1495" s="11" t="s">
        <v>2028</v>
      </c>
      <c r="M1495" s="11" t="s">
        <v>2029</v>
      </c>
    </row>
    <row r="1496" spans="3:19" x14ac:dyDescent="0.3">
      <c r="C1496" s="3">
        <v>44595</v>
      </c>
      <c r="D1496" s="11">
        <v>4810</v>
      </c>
      <c r="G1496" s="7" t="s">
        <v>2030</v>
      </c>
      <c r="L1496" s="11" t="s">
        <v>2031</v>
      </c>
      <c r="M1496" s="11" t="s">
        <v>2032</v>
      </c>
    </row>
    <row r="1497" spans="3:19" x14ac:dyDescent="0.3">
      <c r="C1497" s="3">
        <v>44597</v>
      </c>
      <c r="D1497" s="11">
        <v>4812</v>
      </c>
      <c r="G1497" s="7" t="s">
        <v>2033</v>
      </c>
    </row>
    <row r="1498" spans="3:19" x14ac:dyDescent="0.3">
      <c r="C1498" s="3">
        <v>44599</v>
      </c>
      <c r="D1498" s="11">
        <v>4813</v>
      </c>
      <c r="G1498" s="7" t="s">
        <v>2034</v>
      </c>
      <c r="L1498" s="11" t="s">
        <v>2035</v>
      </c>
      <c r="M1498" s="11" t="s">
        <v>2036</v>
      </c>
    </row>
    <row r="1499" spans="3:19" x14ac:dyDescent="0.3">
      <c r="C1499" s="3">
        <v>44600</v>
      </c>
      <c r="D1499" s="11">
        <v>4814</v>
      </c>
      <c r="G1499" s="7" t="s">
        <v>2037</v>
      </c>
      <c r="L1499" s="11" t="s">
        <v>2038</v>
      </c>
      <c r="M1499" s="11" t="s">
        <v>2039</v>
      </c>
    </row>
    <row r="1500" spans="3:19" x14ac:dyDescent="0.3">
      <c r="C1500" s="3">
        <v>44600</v>
      </c>
      <c r="D1500" s="11">
        <v>4815</v>
      </c>
      <c r="G1500" s="7" t="s">
        <v>2040</v>
      </c>
      <c r="L1500" s="11" t="s">
        <v>2041</v>
      </c>
      <c r="M1500" s="11" t="s">
        <v>2042</v>
      </c>
    </row>
    <row r="1501" spans="3:19" x14ac:dyDescent="0.3">
      <c r="C1501" s="3">
        <v>44601</v>
      </c>
      <c r="D1501" s="11">
        <v>4816</v>
      </c>
      <c r="G1501" s="7" t="s">
        <v>2043</v>
      </c>
      <c r="L1501" s="11" t="s">
        <v>2044</v>
      </c>
      <c r="M1501" s="11" t="s">
        <v>2045</v>
      </c>
    </row>
    <row r="1502" spans="3:19" x14ac:dyDescent="0.3">
      <c r="C1502" s="3">
        <v>44606</v>
      </c>
      <c r="D1502" s="11">
        <v>4818</v>
      </c>
      <c r="E1502" s="11" t="s">
        <v>3418</v>
      </c>
      <c r="G1502" s="7" t="s">
        <v>2046</v>
      </c>
      <c r="L1502" s="11" t="s">
        <v>2047</v>
      </c>
      <c r="M1502" s="11" t="s">
        <v>2048</v>
      </c>
    </row>
    <row r="1503" spans="3:19" x14ac:dyDescent="0.3">
      <c r="C1503" s="3">
        <v>44608</v>
      </c>
      <c r="D1503" s="11">
        <v>4822</v>
      </c>
      <c r="G1503" s="7" t="s">
        <v>2049</v>
      </c>
      <c r="L1503" s="11" t="s">
        <v>2050</v>
      </c>
    </row>
    <row r="1504" spans="3:19" x14ac:dyDescent="0.3">
      <c r="C1504" s="3"/>
      <c r="D1504" s="11">
        <v>4823</v>
      </c>
      <c r="G1504" s="7" t="s">
        <v>2051</v>
      </c>
      <c r="M1504" s="11" t="s">
        <v>2052</v>
      </c>
    </row>
    <row r="1505" spans="1:20" x14ac:dyDescent="0.3">
      <c r="C1505" s="3"/>
      <c r="D1505" s="11">
        <v>4828</v>
      </c>
      <c r="G1505" s="7" t="s">
        <v>2053</v>
      </c>
      <c r="L1505" s="11" t="s">
        <v>2054</v>
      </c>
      <c r="M1505" s="11" t="s">
        <v>2055</v>
      </c>
    </row>
    <row r="1506" spans="1:20" ht="14.4" x14ac:dyDescent="0.3">
      <c r="C1506"/>
      <c r="D1506" s="11">
        <v>4829</v>
      </c>
      <c r="G1506" s="7" t="s">
        <v>2056</v>
      </c>
      <c r="H1506"/>
      <c r="I1506" s="4"/>
      <c r="J1506"/>
      <c r="K1506"/>
      <c r="L1506" s="11" t="s">
        <v>2057</v>
      </c>
      <c r="M1506">
        <v>8797023785</v>
      </c>
      <c r="N1506"/>
      <c r="O1506"/>
      <c r="P1506"/>
      <c r="Q1506"/>
      <c r="R1506"/>
      <c r="S1506"/>
    </row>
    <row r="1507" spans="1:20" ht="14.4" x14ac:dyDescent="0.3">
      <c r="D1507" s="11">
        <v>4832</v>
      </c>
      <c r="G1507" s="7" t="s">
        <v>2058</v>
      </c>
      <c r="H1507" s="3"/>
      <c r="I1507" s="3"/>
      <c r="J1507" s="3"/>
      <c r="K1507" s="3"/>
      <c r="L1507" s="11" t="s">
        <v>2059</v>
      </c>
      <c r="M1507" s="3"/>
      <c r="N1507" s="3"/>
    </row>
    <row r="1508" spans="1:20" x14ac:dyDescent="0.3">
      <c r="A1508">
        <v>1631</v>
      </c>
      <c r="C1508" s="3">
        <v>44620</v>
      </c>
      <c r="D1508" s="11">
        <v>4833</v>
      </c>
      <c r="G1508" s="7" t="s">
        <v>1558</v>
      </c>
      <c r="L1508" s="11" t="s">
        <v>1559</v>
      </c>
      <c r="M1508" s="11" t="s">
        <v>1560</v>
      </c>
      <c r="S1508" s="4" t="s">
        <v>14</v>
      </c>
      <c r="T1508" s="5">
        <v>37544</v>
      </c>
    </row>
    <row r="1509" spans="1:20" x14ac:dyDescent="0.3">
      <c r="A1509">
        <v>1632</v>
      </c>
      <c r="C1509" s="3">
        <v>44622</v>
      </c>
      <c r="D1509" s="11">
        <v>4834</v>
      </c>
      <c r="G1509" s="7" t="s">
        <v>2060</v>
      </c>
      <c r="L1509" s="11" t="s">
        <v>1561</v>
      </c>
      <c r="M1509" s="11" t="s">
        <v>1562</v>
      </c>
      <c r="T1509" s="5">
        <v>39062</v>
      </c>
    </row>
    <row r="1510" spans="1:20" x14ac:dyDescent="0.3">
      <c r="A1510">
        <v>1633</v>
      </c>
      <c r="C1510" s="3">
        <v>44622</v>
      </c>
      <c r="D1510" s="11">
        <v>4836</v>
      </c>
      <c r="G1510" s="7" t="s">
        <v>1552</v>
      </c>
      <c r="K1510" s="4">
        <v>500</v>
      </c>
      <c r="L1510" s="11" t="s">
        <v>1563</v>
      </c>
      <c r="M1510" s="11" t="s">
        <v>1564</v>
      </c>
      <c r="O1510" s="4">
        <v>0</v>
      </c>
      <c r="P1510" s="4">
        <v>0</v>
      </c>
      <c r="Q1510" s="4">
        <v>0</v>
      </c>
      <c r="R1510" s="4" t="s">
        <v>14</v>
      </c>
      <c r="S1510" s="4" t="s">
        <v>14</v>
      </c>
    </row>
    <row r="1511" spans="1:20" ht="14.4" x14ac:dyDescent="0.3">
      <c r="A1511">
        <v>1634</v>
      </c>
      <c r="C1511" s="3">
        <v>44622</v>
      </c>
      <c r="D1511" s="11">
        <v>4837</v>
      </c>
      <c r="G1511" s="7" t="s">
        <v>1553</v>
      </c>
      <c r="I1511" s="5">
        <v>40148</v>
      </c>
      <c r="L1511" s="11" t="s">
        <v>1566</v>
      </c>
      <c r="M1511" s="11" t="s">
        <v>1565</v>
      </c>
      <c r="R1511" s="4" t="s">
        <v>15</v>
      </c>
      <c r="S1511" s="4" t="s">
        <v>15</v>
      </c>
    </row>
    <row r="1512" spans="1:20" ht="14.4" x14ac:dyDescent="0.3">
      <c r="A1512">
        <v>1635</v>
      </c>
      <c r="C1512" s="3">
        <v>44622</v>
      </c>
      <c r="D1512" s="11">
        <v>4839</v>
      </c>
      <c r="G1512" s="7" t="s">
        <v>1555</v>
      </c>
      <c r="I1512" s="5">
        <v>29952</v>
      </c>
      <c r="L1512" s="11" t="s">
        <v>1567</v>
      </c>
      <c r="M1512" s="11" t="s">
        <v>1568</v>
      </c>
      <c r="O1512" s="4">
        <v>0</v>
      </c>
      <c r="P1512" s="4">
        <v>0</v>
      </c>
      <c r="Q1512" s="4">
        <v>0</v>
      </c>
      <c r="R1512" s="4" t="s">
        <v>15</v>
      </c>
      <c r="S1512" s="4" t="s">
        <v>15</v>
      </c>
    </row>
    <row r="1513" spans="1:20" ht="14.4" x14ac:dyDescent="0.3">
      <c r="A1513">
        <v>1636</v>
      </c>
      <c r="C1513" s="3">
        <v>44622</v>
      </c>
      <c r="D1513" s="11">
        <v>4840</v>
      </c>
      <c r="G1513" s="7" t="s">
        <v>1554</v>
      </c>
      <c r="I1513" s="5">
        <v>29763</v>
      </c>
      <c r="K1513" s="4">
        <v>300</v>
      </c>
      <c r="L1513" s="11" t="s">
        <v>1557</v>
      </c>
      <c r="M1513" s="11" t="s">
        <v>1569</v>
      </c>
      <c r="O1513" s="4">
        <v>0</v>
      </c>
      <c r="P1513" s="4">
        <v>0</v>
      </c>
      <c r="Q1513" s="4">
        <v>0</v>
      </c>
      <c r="R1513" s="4" t="s">
        <v>16</v>
      </c>
      <c r="S1513" s="4" t="s">
        <v>15</v>
      </c>
    </row>
    <row r="1514" spans="1:20" ht="14.4" x14ac:dyDescent="0.3">
      <c r="A1514">
        <v>1637</v>
      </c>
      <c r="C1514" s="3">
        <v>44624</v>
      </c>
      <c r="D1514" s="11">
        <v>4845</v>
      </c>
      <c r="G1514" s="7" t="s">
        <v>1570</v>
      </c>
      <c r="I1514" s="5">
        <v>31413</v>
      </c>
      <c r="K1514" s="4">
        <v>100</v>
      </c>
      <c r="L1514" s="11" t="s">
        <v>1571</v>
      </c>
      <c r="M1514" s="11" t="s">
        <v>1572</v>
      </c>
      <c r="O1514" s="4">
        <v>0</v>
      </c>
      <c r="P1514" s="4">
        <v>0</v>
      </c>
      <c r="Q1514" s="4">
        <v>0</v>
      </c>
      <c r="R1514" s="4" t="s">
        <v>15</v>
      </c>
      <c r="S1514" s="4" t="s">
        <v>14</v>
      </c>
    </row>
    <row r="1515" spans="1:20" ht="14.4" x14ac:dyDescent="0.3">
      <c r="A1515">
        <v>1638</v>
      </c>
      <c r="C1515" s="3">
        <v>44624</v>
      </c>
      <c r="D1515" s="11">
        <v>4846</v>
      </c>
      <c r="G1515" s="7" t="s">
        <v>1578</v>
      </c>
      <c r="I1515"/>
    </row>
    <row r="1516" spans="1:20" ht="14.4" x14ac:dyDescent="0.3">
      <c r="A1516">
        <v>1639</v>
      </c>
      <c r="C1516" s="3">
        <v>44624</v>
      </c>
      <c r="D1516" s="11">
        <v>4847</v>
      </c>
      <c r="G1516" s="7" t="s">
        <v>752</v>
      </c>
      <c r="I1516"/>
    </row>
    <row r="1517" spans="1:20" ht="14.4" x14ac:dyDescent="0.3">
      <c r="A1517">
        <v>1640</v>
      </c>
      <c r="C1517" s="3">
        <v>44625</v>
      </c>
      <c r="D1517" s="11">
        <v>4848</v>
      </c>
      <c r="G1517" s="7" t="s">
        <v>1579</v>
      </c>
      <c r="I1517"/>
      <c r="K1517" s="4">
        <v>2000</v>
      </c>
      <c r="L1517" s="11" t="s">
        <v>1580</v>
      </c>
      <c r="O1517" s="4" t="s">
        <v>14</v>
      </c>
      <c r="P1517" s="4" t="s">
        <v>14</v>
      </c>
      <c r="Q1517" s="4" t="s">
        <v>14</v>
      </c>
      <c r="R1517" s="4" t="s">
        <v>14</v>
      </c>
      <c r="S1517" s="4" t="s">
        <v>14</v>
      </c>
    </row>
    <row r="1518" spans="1:20" ht="14.4" x14ac:dyDescent="0.3">
      <c r="A1518">
        <v>1641</v>
      </c>
      <c r="C1518" s="3">
        <v>44627</v>
      </c>
      <c r="D1518" s="11">
        <v>4849</v>
      </c>
      <c r="G1518" s="7" t="s">
        <v>1574</v>
      </c>
      <c r="I1518" s="5">
        <v>25779</v>
      </c>
      <c r="K1518" s="4">
        <v>1000</v>
      </c>
      <c r="L1518" s="11" t="s">
        <v>1577</v>
      </c>
      <c r="O1518" s="4" t="s">
        <v>15</v>
      </c>
      <c r="P1518" s="4" t="s">
        <v>15</v>
      </c>
      <c r="Q1518" s="4" t="s">
        <v>15</v>
      </c>
      <c r="R1518" s="4" t="s">
        <v>14</v>
      </c>
      <c r="S1518" s="4" t="s">
        <v>14</v>
      </c>
    </row>
    <row r="1519" spans="1:20" ht="14.4" x14ac:dyDescent="0.3">
      <c r="A1519">
        <v>1642</v>
      </c>
      <c r="C1519" s="3">
        <v>44627</v>
      </c>
      <c r="D1519" s="11">
        <v>4850</v>
      </c>
      <c r="G1519" s="7" t="s">
        <v>1575</v>
      </c>
      <c r="I1519" s="5">
        <v>39083</v>
      </c>
      <c r="K1519" s="4">
        <v>500</v>
      </c>
      <c r="L1519" s="11" t="s">
        <v>1576</v>
      </c>
      <c r="O1519" s="4" t="s">
        <v>15</v>
      </c>
      <c r="P1519" s="4" t="s">
        <v>15</v>
      </c>
      <c r="Q1519" s="4" t="s">
        <v>15</v>
      </c>
      <c r="R1519" s="4" t="s">
        <v>15</v>
      </c>
      <c r="S1519" s="4" t="s">
        <v>15</v>
      </c>
    </row>
    <row r="1520" spans="1:20" x14ac:dyDescent="0.3">
      <c r="A1520">
        <v>1643</v>
      </c>
      <c r="D1520" s="11">
        <v>4851</v>
      </c>
      <c r="G1520" s="7" t="s">
        <v>1581</v>
      </c>
      <c r="M1520" s="11" t="s">
        <v>1585</v>
      </c>
    </row>
    <row r="1521" spans="1:19" x14ac:dyDescent="0.3">
      <c r="A1521">
        <v>1644</v>
      </c>
      <c r="D1521" s="11">
        <v>4852</v>
      </c>
      <c r="G1521" s="7" t="s">
        <v>1582</v>
      </c>
      <c r="L1521" s="11" t="s">
        <v>1587</v>
      </c>
      <c r="M1521" s="11" t="s">
        <v>1586</v>
      </c>
      <c r="S1521" s="3">
        <v>44657</v>
      </c>
    </row>
    <row r="1522" spans="1:19" x14ac:dyDescent="0.3">
      <c r="A1522">
        <v>1645</v>
      </c>
      <c r="D1522" s="11">
        <v>4853</v>
      </c>
      <c r="G1522" s="7" t="s">
        <v>1583</v>
      </c>
      <c r="L1522" s="11" t="s">
        <v>1588</v>
      </c>
      <c r="M1522" s="11" t="s">
        <v>1589</v>
      </c>
    </row>
    <row r="1523" spans="1:19" x14ac:dyDescent="0.3">
      <c r="A1523">
        <v>1646</v>
      </c>
      <c r="D1523" s="11">
        <v>4854</v>
      </c>
      <c r="G1523" s="7" t="s">
        <v>1584</v>
      </c>
      <c r="L1523" s="11" t="s">
        <v>1590</v>
      </c>
      <c r="M1523" s="11" t="s">
        <v>1591</v>
      </c>
    </row>
    <row r="1524" spans="1:19" ht="14.4" x14ac:dyDescent="0.3">
      <c r="A1524">
        <v>1647</v>
      </c>
      <c r="C1524" s="3">
        <v>44628</v>
      </c>
      <c r="D1524" s="11">
        <v>4855</v>
      </c>
      <c r="G1524" s="7" t="s">
        <v>1596</v>
      </c>
      <c r="H1524"/>
      <c r="I1524" s="4"/>
      <c r="J1524" t="s">
        <v>1610</v>
      </c>
      <c r="K1524"/>
      <c r="L1524"/>
      <c r="M1524"/>
      <c r="N1524"/>
    </row>
    <row r="1525" spans="1:19" x14ac:dyDescent="0.3">
      <c r="A1525">
        <v>1648</v>
      </c>
      <c r="C1525" s="3">
        <v>44628</v>
      </c>
      <c r="D1525" s="11">
        <v>4856</v>
      </c>
      <c r="G1525" s="7" t="s">
        <v>322</v>
      </c>
      <c r="J1525" t="s">
        <v>1610</v>
      </c>
    </row>
    <row r="1526" spans="1:19" x14ac:dyDescent="0.3">
      <c r="A1526">
        <v>1649</v>
      </c>
      <c r="C1526" s="3">
        <v>44628</v>
      </c>
      <c r="D1526" s="11">
        <v>4857</v>
      </c>
      <c r="G1526" s="7" t="s">
        <v>1611</v>
      </c>
      <c r="I1526" s="17">
        <v>36731</v>
      </c>
      <c r="J1526" t="s">
        <v>1610</v>
      </c>
    </row>
    <row r="1527" spans="1:19" x14ac:dyDescent="0.3">
      <c r="A1527">
        <v>1650</v>
      </c>
      <c r="C1527" s="3">
        <v>44628</v>
      </c>
      <c r="D1527" s="11">
        <v>4858</v>
      </c>
      <c r="G1527" s="7" t="s">
        <v>1612</v>
      </c>
      <c r="I1527" s="17">
        <v>31267</v>
      </c>
    </row>
    <row r="1528" spans="1:19" x14ac:dyDescent="0.3">
      <c r="A1528">
        <v>1651</v>
      </c>
      <c r="C1528" s="3">
        <v>44628</v>
      </c>
      <c r="D1528" s="11">
        <v>4859</v>
      </c>
      <c r="G1528" s="7" t="s">
        <v>1613</v>
      </c>
      <c r="I1528" s="17">
        <v>35078</v>
      </c>
    </row>
    <row r="1529" spans="1:19" x14ac:dyDescent="0.3">
      <c r="A1529">
        <v>1652</v>
      </c>
      <c r="C1529" s="3">
        <v>44628</v>
      </c>
      <c r="D1529" s="11">
        <v>4860</v>
      </c>
      <c r="G1529" s="7" t="s">
        <v>1614</v>
      </c>
      <c r="I1529" s="17">
        <v>34096</v>
      </c>
    </row>
    <row r="1530" spans="1:19" x14ac:dyDescent="0.3">
      <c r="A1530">
        <v>1653</v>
      </c>
      <c r="C1530" s="3">
        <v>44628</v>
      </c>
      <c r="D1530" s="11">
        <v>4861</v>
      </c>
      <c r="G1530" s="7" t="s">
        <v>1615</v>
      </c>
      <c r="I1530" s="17">
        <v>28575</v>
      </c>
    </row>
    <row r="1531" spans="1:19" x14ac:dyDescent="0.3">
      <c r="A1531">
        <v>1654</v>
      </c>
      <c r="C1531" s="3">
        <v>44628</v>
      </c>
      <c r="D1531" s="11">
        <v>4862</v>
      </c>
      <c r="G1531" s="7" t="s">
        <v>1616</v>
      </c>
      <c r="I1531" s="17">
        <v>29637</v>
      </c>
    </row>
    <row r="1532" spans="1:19" x14ac:dyDescent="0.3">
      <c r="A1532" t="s">
        <v>4292</v>
      </c>
      <c r="C1532" s="3">
        <v>44629</v>
      </c>
      <c r="D1532" s="11">
        <v>4864</v>
      </c>
      <c r="G1532" s="7" t="s">
        <v>1593</v>
      </c>
      <c r="L1532" s="11" t="s">
        <v>4560</v>
      </c>
      <c r="M1532" s="11" t="s">
        <v>1592</v>
      </c>
    </row>
    <row r="1533" spans="1:19" x14ac:dyDescent="0.3">
      <c r="A1533">
        <v>1656</v>
      </c>
      <c r="D1533" s="11">
        <v>4865</v>
      </c>
      <c r="G1533" s="7" t="s">
        <v>1594</v>
      </c>
      <c r="M1533" s="11" t="s">
        <v>1601</v>
      </c>
    </row>
    <row r="1534" spans="1:19" x14ac:dyDescent="0.3">
      <c r="A1534">
        <v>1657</v>
      </c>
      <c r="D1534" s="11">
        <v>4866</v>
      </c>
      <c r="G1534" s="7" t="s">
        <v>1595</v>
      </c>
      <c r="M1534" s="11" t="s">
        <v>1602</v>
      </c>
    </row>
    <row r="1535" spans="1:19" x14ac:dyDescent="0.3">
      <c r="A1535">
        <v>1658</v>
      </c>
      <c r="C1535" s="3">
        <v>44634</v>
      </c>
      <c r="D1535" s="11">
        <v>4867</v>
      </c>
      <c r="G1535" s="7" t="s">
        <v>1600</v>
      </c>
      <c r="L1535" s="11" t="s">
        <v>1603</v>
      </c>
      <c r="M1535" s="11" t="s">
        <v>1604</v>
      </c>
    </row>
    <row r="1536" spans="1:19" x14ac:dyDescent="0.3">
      <c r="A1536">
        <v>1659</v>
      </c>
      <c r="C1536" s="3">
        <v>44635</v>
      </c>
      <c r="D1536" s="11">
        <v>4868</v>
      </c>
      <c r="G1536" s="7" t="s">
        <v>1599</v>
      </c>
      <c r="L1536" s="11" t="s">
        <v>1606</v>
      </c>
      <c r="M1536" s="11" t="s">
        <v>1605</v>
      </c>
    </row>
    <row r="1537" spans="1:19" x14ac:dyDescent="0.3">
      <c r="A1537">
        <v>1660</v>
      </c>
      <c r="C1537" s="3">
        <v>44635</v>
      </c>
      <c r="D1537" s="11">
        <v>4869</v>
      </c>
      <c r="G1537" s="7" t="s">
        <v>212</v>
      </c>
      <c r="I1537" s="17">
        <v>31808</v>
      </c>
      <c r="L1537" s="11" t="s">
        <v>3842</v>
      </c>
      <c r="M1537" s="11" t="s">
        <v>1607</v>
      </c>
      <c r="R1537" s="4" t="s">
        <v>16</v>
      </c>
    </row>
    <row r="1538" spans="1:19" x14ac:dyDescent="0.3">
      <c r="A1538">
        <v>1661</v>
      </c>
      <c r="C1538" s="3">
        <v>44635</v>
      </c>
      <c r="D1538" s="11">
        <v>4870</v>
      </c>
      <c r="G1538" s="7" t="s">
        <v>1598</v>
      </c>
      <c r="M1538" s="11" t="s">
        <v>1608</v>
      </c>
    </row>
    <row r="1539" spans="1:19" x14ac:dyDescent="0.3">
      <c r="A1539">
        <v>1662</v>
      </c>
      <c r="C1539" s="3">
        <v>44635</v>
      </c>
      <c r="D1539" s="11">
        <v>4871</v>
      </c>
      <c r="G1539" s="7" t="s">
        <v>1597</v>
      </c>
      <c r="M1539" s="11" t="s">
        <v>1609</v>
      </c>
      <c r="S1539" s="4" t="s">
        <v>16</v>
      </c>
    </row>
    <row r="1540" spans="1:19" x14ac:dyDescent="0.3">
      <c r="A1540">
        <v>1663</v>
      </c>
      <c r="C1540" s="3">
        <v>44641</v>
      </c>
      <c r="D1540" s="11" t="s">
        <v>2061</v>
      </c>
      <c r="G1540" s="7" t="s">
        <v>2064</v>
      </c>
      <c r="L1540" s="11" t="s">
        <v>2071</v>
      </c>
      <c r="M1540" s="11" t="s">
        <v>2072</v>
      </c>
      <c r="S1540" s="4" t="s">
        <v>16</v>
      </c>
    </row>
    <row r="1541" spans="1:19" x14ac:dyDescent="0.3">
      <c r="A1541">
        <v>1664</v>
      </c>
      <c r="C1541" s="3">
        <v>44643</v>
      </c>
      <c r="D1541" s="11" t="s">
        <v>2062</v>
      </c>
      <c r="G1541" s="7" t="s">
        <v>2065</v>
      </c>
      <c r="L1541" s="11" t="s">
        <v>2069</v>
      </c>
      <c r="M1541" s="11" t="s">
        <v>2070</v>
      </c>
      <c r="O1541" s="4" t="s">
        <v>14</v>
      </c>
      <c r="Q1541" s="4" t="s">
        <v>16</v>
      </c>
    </row>
    <row r="1542" spans="1:19" x14ac:dyDescent="0.3">
      <c r="A1542">
        <v>1665</v>
      </c>
      <c r="C1542" s="3">
        <v>44644</v>
      </c>
      <c r="D1542" s="11" t="s">
        <v>2063</v>
      </c>
      <c r="G1542" s="7" t="s">
        <v>2066</v>
      </c>
      <c r="H1542" s="7" t="str">
        <f ca="1">IF(AND(MONTH(I1542)=MONTH(TODAY()),DAY(I1542)=DAY(TODAY())),"good","bad")</f>
        <v>bad</v>
      </c>
      <c r="I1542" s="17">
        <v>31778</v>
      </c>
      <c r="K1542" s="4">
        <v>500</v>
      </c>
      <c r="L1542" s="11" t="s">
        <v>2067</v>
      </c>
      <c r="M1542" s="11" t="s">
        <v>2068</v>
      </c>
      <c r="O1542" s="4" t="s">
        <v>14</v>
      </c>
      <c r="Q1542" s="4" t="s">
        <v>16</v>
      </c>
      <c r="R1542" s="4" t="s">
        <v>16</v>
      </c>
      <c r="S1542" s="4" t="s">
        <v>16</v>
      </c>
    </row>
    <row r="1543" spans="1:19" x14ac:dyDescent="0.3">
      <c r="A1543">
        <v>1666</v>
      </c>
      <c r="C1543" s="3">
        <v>44646</v>
      </c>
      <c r="D1543" s="11" t="s">
        <v>2073</v>
      </c>
      <c r="G1543" s="7" t="s">
        <v>2075</v>
      </c>
      <c r="H1543" s="7" t="str">
        <f ca="1">IF(AND(MONTH(I1543)=MONTH(TODAY()),DAY(I1543)=DAY(TODAY())),"good","bad")</f>
        <v>bad</v>
      </c>
      <c r="I1543" s="17">
        <v>46078</v>
      </c>
      <c r="K1543" s="4">
        <v>100</v>
      </c>
    </row>
    <row r="1544" spans="1:19" x14ac:dyDescent="0.3">
      <c r="A1544">
        <v>1667</v>
      </c>
      <c r="C1544" s="3">
        <v>44646</v>
      </c>
      <c r="D1544" s="11" t="s">
        <v>2074</v>
      </c>
      <c r="G1544" s="7" t="s">
        <v>2076</v>
      </c>
      <c r="K1544" s="4">
        <v>100</v>
      </c>
    </row>
    <row r="1545" spans="1:19" x14ac:dyDescent="0.3">
      <c r="A1545">
        <v>1668</v>
      </c>
      <c r="C1545" s="3">
        <v>44656</v>
      </c>
      <c r="D1545" s="11" t="s">
        <v>2077</v>
      </c>
      <c r="G1545" s="7" t="s">
        <v>2080</v>
      </c>
      <c r="K1545" s="4">
        <v>1000</v>
      </c>
      <c r="M1545" s="11" t="s">
        <v>2083</v>
      </c>
    </row>
    <row r="1546" spans="1:19" x14ac:dyDescent="0.3">
      <c r="A1546">
        <v>1669</v>
      </c>
      <c r="C1546" s="3">
        <v>44656</v>
      </c>
      <c r="D1546" s="11" t="s">
        <v>2078</v>
      </c>
      <c r="G1546" s="7" t="s">
        <v>2081</v>
      </c>
      <c r="L1546" s="11" t="s">
        <v>2087</v>
      </c>
      <c r="M1546" s="11" t="s">
        <v>2084</v>
      </c>
    </row>
    <row r="1547" spans="1:19" x14ac:dyDescent="0.3">
      <c r="A1547">
        <v>1670</v>
      </c>
      <c r="C1547" s="3">
        <v>44657</v>
      </c>
      <c r="D1547" s="11" t="s">
        <v>2079</v>
      </c>
      <c r="G1547" s="7" t="s">
        <v>2082</v>
      </c>
      <c r="K1547" s="4">
        <v>100</v>
      </c>
      <c r="L1547" s="11" t="s">
        <v>2086</v>
      </c>
      <c r="M1547" s="11" t="s">
        <v>2085</v>
      </c>
      <c r="R1547" s="4" t="s">
        <v>14</v>
      </c>
    </row>
    <row r="1548" spans="1:19" x14ac:dyDescent="0.3">
      <c r="A1548">
        <v>1671</v>
      </c>
      <c r="C1548" s="3">
        <v>44659</v>
      </c>
      <c r="D1548" s="11" t="s">
        <v>2089</v>
      </c>
      <c r="G1548" s="7" t="s">
        <v>2099</v>
      </c>
      <c r="L1548" s="11" t="s">
        <v>2108</v>
      </c>
      <c r="M1548" s="11" t="s">
        <v>2109</v>
      </c>
      <c r="R1548" s="4" t="s">
        <v>16</v>
      </c>
    </row>
    <row r="1549" spans="1:19" x14ac:dyDescent="0.3">
      <c r="A1549">
        <v>1672</v>
      </c>
      <c r="C1549" s="3">
        <v>44659</v>
      </c>
      <c r="D1549" s="11" t="s">
        <v>2090</v>
      </c>
      <c r="G1549" s="7" t="s">
        <v>2100</v>
      </c>
      <c r="I1549" s="17">
        <v>38247</v>
      </c>
      <c r="L1549" s="11" t="s">
        <v>2111</v>
      </c>
      <c r="M1549" s="11" t="s">
        <v>2110</v>
      </c>
    </row>
    <row r="1550" spans="1:19" x14ac:dyDescent="0.3">
      <c r="A1550">
        <v>1673</v>
      </c>
      <c r="C1550" s="3">
        <v>44663</v>
      </c>
      <c r="D1550" s="11" t="s">
        <v>2091</v>
      </c>
      <c r="G1550" s="7" t="s">
        <v>2101</v>
      </c>
      <c r="I1550" s="17">
        <v>36530</v>
      </c>
      <c r="L1550" s="11" t="s">
        <v>2112</v>
      </c>
      <c r="M1550" s="11" t="s">
        <v>2113</v>
      </c>
      <c r="R1550" s="4" t="s">
        <v>16</v>
      </c>
    </row>
    <row r="1551" spans="1:19" x14ac:dyDescent="0.3">
      <c r="A1551">
        <v>1674</v>
      </c>
      <c r="C1551" s="3">
        <v>44664</v>
      </c>
      <c r="D1551" s="11" t="s">
        <v>2092</v>
      </c>
      <c r="G1551" s="7" t="s">
        <v>2102</v>
      </c>
      <c r="I1551" s="17">
        <v>37298</v>
      </c>
      <c r="L1551" s="11" t="s">
        <v>2127</v>
      </c>
      <c r="M1551" s="11" t="s">
        <v>2120</v>
      </c>
      <c r="R1551" s="4" t="s">
        <v>16</v>
      </c>
      <c r="S1551" s="4" t="s">
        <v>16</v>
      </c>
    </row>
    <row r="1552" spans="1:19" x14ac:dyDescent="0.3">
      <c r="A1552">
        <v>1675</v>
      </c>
      <c r="C1552" s="3">
        <v>44664</v>
      </c>
      <c r="D1552" s="11" t="s">
        <v>2093</v>
      </c>
      <c r="G1552" s="7" t="s">
        <v>2103</v>
      </c>
      <c r="L1552" s="11" t="s">
        <v>2114</v>
      </c>
      <c r="M1552" s="11" t="s">
        <v>2121</v>
      </c>
      <c r="R1552" s="4" t="s">
        <v>16</v>
      </c>
    </row>
    <row r="1553" spans="1:19" x14ac:dyDescent="0.3">
      <c r="A1553">
        <v>1676</v>
      </c>
      <c r="C1553" s="3">
        <v>44665</v>
      </c>
      <c r="D1553" s="11" t="s">
        <v>2094</v>
      </c>
      <c r="G1553" s="7" t="s">
        <v>2104</v>
      </c>
      <c r="L1553" s="11" t="s">
        <v>2115</v>
      </c>
      <c r="M1553" s="11" t="s">
        <v>2122</v>
      </c>
      <c r="R1553" s="4" t="s">
        <v>16</v>
      </c>
    </row>
    <row r="1554" spans="1:19" x14ac:dyDescent="0.3">
      <c r="A1554">
        <v>1677</v>
      </c>
      <c r="C1554" s="3">
        <v>44666</v>
      </c>
      <c r="D1554" s="11" t="s">
        <v>2095</v>
      </c>
      <c r="G1554" s="7" t="s">
        <v>2105</v>
      </c>
      <c r="I1554" s="17">
        <v>36080</v>
      </c>
      <c r="L1554" s="11" t="s">
        <v>2116</v>
      </c>
      <c r="M1554" s="11" t="s">
        <v>2123</v>
      </c>
      <c r="R1554" s="4" t="s">
        <v>16</v>
      </c>
    </row>
    <row r="1555" spans="1:19" x14ac:dyDescent="0.3">
      <c r="A1555">
        <v>1678</v>
      </c>
      <c r="C1555" s="3">
        <v>44667</v>
      </c>
      <c r="D1555" s="11" t="s">
        <v>2096</v>
      </c>
      <c r="G1555" s="7" t="s">
        <v>890</v>
      </c>
      <c r="I1555" s="17">
        <v>30978</v>
      </c>
      <c r="L1555" s="11" t="s">
        <v>2117</v>
      </c>
      <c r="M1555" s="11" t="s">
        <v>2124</v>
      </c>
      <c r="R1555" s="4" t="s">
        <v>16</v>
      </c>
    </row>
    <row r="1556" spans="1:19" x14ac:dyDescent="0.3">
      <c r="A1556">
        <v>1679</v>
      </c>
      <c r="C1556" s="3">
        <v>44669</v>
      </c>
      <c r="D1556" s="11" t="s">
        <v>2097</v>
      </c>
      <c r="G1556" s="7" t="s">
        <v>2106</v>
      </c>
      <c r="I1556" s="17">
        <v>31505</v>
      </c>
      <c r="L1556" s="11" t="s">
        <v>2119</v>
      </c>
      <c r="M1556" s="11" t="s">
        <v>2125</v>
      </c>
      <c r="R1556" s="4" t="s">
        <v>16</v>
      </c>
    </row>
    <row r="1557" spans="1:19" x14ac:dyDescent="0.3">
      <c r="A1557">
        <v>1681</v>
      </c>
      <c r="C1557" s="3">
        <v>44679</v>
      </c>
      <c r="D1557" s="11" t="s">
        <v>2098</v>
      </c>
      <c r="G1557" s="7" t="s">
        <v>2107</v>
      </c>
      <c r="I1557" s="17">
        <v>40167</v>
      </c>
      <c r="L1557" s="11" t="s">
        <v>2118</v>
      </c>
      <c r="M1557" s="11" t="s">
        <v>2126</v>
      </c>
    </row>
    <row r="1558" spans="1:19" x14ac:dyDescent="0.3">
      <c r="A1558">
        <v>1682</v>
      </c>
      <c r="C1558" s="3">
        <v>44685</v>
      </c>
      <c r="D1558" s="11" t="s">
        <v>2154</v>
      </c>
      <c r="G1558" s="7" t="s">
        <v>2145</v>
      </c>
      <c r="I1558" s="17">
        <v>28980</v>
      </c>
      <c r="J1558" s="4" t="s">
        <v>2160</v>
      </c>
      <c r="L1558" s="11" t="s">
        <v>2162</v>
      </c>
      <c r="M1558" s="11" t="s">
        <v>2163</v>
      </c>
      <c r="R1558" s="4" t="s">
        <v>16</v>
      </c>
    </row>
    <row r="1559" spans="1:19" x14ac:dyDescent="0.3">
      <c r="A1559">
        <v>1683</v>
      </c>
      <c r="C1559" s="3">
        <v>44686</v>
      </c>
      <c r="D1559" s="11" t="s">
        <v>2155</v>
      </c>
      <c r="G1559" s="7" t="s">
        <v>2150</v>
      </c>
      <c r="I1559" s="17">
        <v>23813</v>
      </c>
      <c r="J1559" s="4" t="s">
        <v>2160</v>
      </c>
      <c r="L1559" s="11" t="s">
        <v>2164</v>
      </c>
      <c r="M1559" s="11" t="s">
        <v>2161</v>
      </c>
      <c r="O1559" s="3">
        <v>44692</v>
      </c>
      <c r="R1559" s="4" t="s">
        <v>16</v>
      </c>
    </row>
    <row r="1560" spans="1:19" x14ac:dyDescent="0.3">
      <c r="A1560">
        <v>1684</v>
      </c>
      <c r="C1560" s="3">
        <v>44687</v>
      </c>
      <c r="D1560" s="11" t="s">
        <v>2156</v>
      </c>
      <c r="G1560" s="7" t="s">
        <v>2157</v>
      </c>
      <c r="I1560" s="17">
        <v>32947</v>
      </c>
      <c r="J1560" s="4" t="s">
        <v>1167</v>
      </c>
      <c r="L1560" s="11" t="s">
        <v>2158</v>
      </c>
      <c r="M1560" s="11" t="s">
        <v>2159</v>
      </c>
    </row>
    <row r="1561" spans="1:19" x14ac:dyDescent="0.3">
      <c r="A1561">
        <f>A1560+1</f>
        <v>1685</v>
      </c>
      <c r="C1561" s="3">
        <v>44690</v>
      </c>
      <c r="D1561" s="11" t="s">
        <v>2165</v>
      </c>
      <c r="G1561" s="7" t="s">
        <v>2166</v>
      </c>
      <c r="I1561" s="17">
        <v>33000</v>
      </c>
      <c r="J1561" s="4" t="s">
        <v>1377</v>
      </c>
      <c r="L1561" s="11" t="s">
        <v>2167</v>
      </c>
      <c r="M1561" s="11" t="s">
        <v>2168</v>
      </c>
      <c r="O1561" s="3">
        <v>44690</v>
      </c>
      <c r="P1561" s="3">
        <v>44690</v>
      </c>
      <c r="R1561" s="4" t="s">
        <v>14</v>
      </c>
    </row>
    <row r="1562" spans="1:19" x14ac:dyDescent="0.3">
      <c r="A1562">
        <f t="shared" ref="A1562:A1581" si="0">A1561+1</f>
        <v>1686</v>
      </c>
      <c r="C1562" s="3">
        <v>44691</v>
      </c>
      <c r="D1562" s="11" t="s">
        <v>2176</v>
      </c>
      <c r="G1562" s="7" t="s">
        <v>2175</v>
      </c>
      <c r="I1562" s="17">
        <v>38066</v>
      </c>
      <c r="J1562" s="4" t="s">
        <v>2177</v>
      </c>
      <c r="L1562" s="11" t="s">
        <v>2178</v>
      </c>
      <c r="M1562" s="11" t="s">
        <v>2179</v>
      </c>
    </row>
    <row r="1563" spans="1:19" x14ac:dyDescent="0.3">
      <c r="A1563">
        <f t="shared" si="0"/>
        <v>1687</v>
      </c>
      <c r="C1563" s="3">
        <v>44693</v>
      </c>
      <c r="D1563" s="11" t="s">
        <v>2192</v>
      </c>
      <c r="G1563" s="7" t="s">
        <v>2190</v>
      </c>
      <c r="I1563" s="17">
        <v>32754</v>
      </c>
      <c r="L1563" s="11" t="s">
        <v>2196</v>
      </c>
      <c r="M1563" s="11" t="s">
        <v>2610</v>
      </c>
      <c r="S1563" s="3">
        <v>44807</v>
      </c>
    </row>
    <row r="1564" spans="1:19" x14ac:dyDescent="0.3">
      <c r="A1564">
        <f t="shared" si="0"/>
        <v>1688</v>
      </c>
      <c r="C1564" s="3">
        <v>44698</v>
      </c>
      <c r="D1564" s="11" t="s">
        <v>2193</v>
      </c>
      <c r="G1564" s="7" t="s">
        <v>2191</v>
      </c>
      <c r="I1564" s="17">
        <v>38482</v>
      </c>
      <c r="L1564" s="11" t="s">
        <v>2194</v>
      </c>
      <c r="M1564" s="11" t="s">
        <v>2195</v>
      </c>
    </row>
    <row r="1565" spans="1:19" x14ac:dyDescent="0.3">
      <c r="A1565">
        <f t="shared" si="0"/>
        <v>1689</v>
      </c>
      <c r="C1565" s="3">
        <v>44699</v>
      </c>
      <c r="D1565" s="11" t="s">
        <v>2200</v>
      </c>
      <c r="G1565" s="7" t="s">
        <v>2198</v>
      </c>
      <c r="I1565" s="17">
        <v>37782</v>
      </c>
      <c r="L1565" s="11" t="s">
        <v>2201</v>
      </c>
      <c r="M1565" s="11" t="s">
        <v>2202</v>
      </c>
    </row>
    <row r="1566" spans="1:19" x14ac:dyDescent="0.3">
      <c r="A1566">
        <f t="shared" si="0"/>
        <v>1690</v>
      </c>
      <c r="C1566" s="3">
        <v>44699</v>
      </c>
      <c r="D1566" s="11" t="s">
        <v>2207</v>
      </c>
      <c r="G1566" s="7" t="s">
        <v>2206</v>
      </c>
      <c r="I1566" s="17">
        <v>37183</v>
      </c>
      <c r="L1566" s="11" t="s">
        <v>2214</v>
      </c>
      <c r="M1566" s="11" t="s">
        <v>2215</v>
      </c>
      <c r="R1566" s="4" t="s">
        <v>2503</v>
      </c>
    </row>
    <row r="1567" spans="1:19" x14ac:dyDescent="0.3">
      <c r="A1567">
        <f t="shared" si="0"/>
        <v>1691</v>
      </c>
      <c r="C1567" s="3">
        <v>44699</v>
      </c>
      <c r="D1567" s="11" t="s">
        <v>2208</v>
      </c>
      <c r="G1567" s="7" t="s">
        <v>2209</v>
      </c>
      <c r="H1567" s="25"/>
      <c r="I1567" s="17">
        <v>38265</v>
      </c>
      <c r="L1567" s="11" t="s">
        <v>2210</v>
      </c>
      <c r="M1567" s="11" t="s">
        <v>2216</v>
      </c>
    </row>
    <row r="1568" spans="1:19" x14ac:dyDescent="0.3">
      <c r="A1568">
        <f t="shared" si="0"/>
        <v>1692</v>
      </c>
      <c r="C1568" s="3">
        <v>44702</v>
      </c>
      <c r="D1568" s="11" t="s">
        <v>2219</v>
      </c>
      <c r="G1568" s="7" t="s">
        <v>2220</v>
      </c>
      <c r="I1568" s="17">
        <v>38206</v>
      </c>
      <c r="L1568" s="11" t="s">
        <v>2221</v>
      </c>
      <c r="M1568" s="11" t="s">
        <v>2222</v>
      </c>
    </row>
    <row r="1569" spans="1:18" x14ac:dyDescent="0.3">
      <c r="A1569">
        <f t="shared" si="0"/>
        <v>1693</v>
      </c>
      <c r="C1569" s="3">
        <v>44702</v>
      </c>
      <c r="D1569" s="11" t="s">
        <v>2223</v>
      </c>
      <c r="G1569" s="7" t="s">
        <v>2224</v>
      </c>
      <c r="I1569" s="17">
        <v>35099</v>
      </c>
      <c r="L1569" s="11" t="s">
        <v>2225</v>
      </c>
      <c r="M1569" s="11" t="s">
        <v>2226</v>
      </c>
      <c r="R1569" s="4" t="s">
        <v>16</v>
      </c>
    </row>
    <row r="1570" spans="1:18" x14ac:dyDescent="0.3">
      <c r="C1570" s="3">
        <v>44704</v>
      </c>
      <c r="D1570" s="11" t="s">
        <v>2634</v>
      </c>
      <c r="G1570" s="7" t="s">
        <v>2635</v>
      </c>
      <c r="I1570" s="17">
        <v>31552</v>
      </c>
      <c r="L1570" s="11" t="s">
        <v>2637</v>
      </c>
      <c r="M1570" s="11" t="s">
        <v>2636</v>
      </c>
      <c r="Q1570" s="3">
        <v>44706</v>
      </c>
    </row>
    <row r="1571" spans="1:18" x14ac:dyDescent="0.3">
      <c r="A1571">
        <v>1695</v>
      </c>
      <c r="C1571" s="3">
        <v>44707</v>
      </c>
      <c r="D1571" s="4">
        <v>4926</v>
      </c>
      <c r="E1571" s="4"/>
      <c r="F1571" s="4"/>
      <c r="G1571" s="7" t="s">
        <v>2243</v>
      </c>
      <c r="I1571" s="17">
        <v>37913</v>
      </c>
      <c r="L1571" s="11" t="s">
        <v>2244</v>
      </c>
      <c r="R1571" s="4" t="s">
        <v>16</v>
      </c>
    </row>
    <row r="1572" spans="1:18" x14ac:dyDescent="0.3">
      <c r="A1572">
        <f t="shared" si="0"/>
        <v>1696</v>
      </c>
      <c r="C1572" s="3">
        <v>44709</v>
      </c>
      <c r="D1572" s="11" t="s">
        <v>2256</v>
      </c>
      <c r="G1572" s="7" t="s">
        <v>2248</v>
      </c>
      <c r="I1572" s="47" t="s">
        <v>2257</v>
      </c>
      <c r="L1572" s="11" t="s">
        <v>2258</v>
      </c>
      <c r="M1572" s="11" t="s">
        <v>2259</v>
      </c>
      <c r="R1572" s="4" t="s">
        <v>16</v>
      </c>
    </row>
    <row r="1573" spans="1:18" x14ac:dyDescent="0.3">
      <c r="A1573">
        <f t="shared" si="0"/>
        <v>1697</v>
      </c>
      <c r="C1573" s="3">
        <v>44711</v>
      </c>
      <c r="D1573" s="11" t="s">
        <v>2252</v>
      </c>
      <c r="G1573" s="7" t="s">
        <v>2253</v>
      </c>
      <c r="I1573" s="17">
        <v>37980</v>
      </c>
      <c r="L1573" s="11" t="s">
        <v>2255</v>
      </c>
      <c r="M1573" s="11" t="s">
        <v>2254</v>
      </c>
      <c r="R1573" s="4" t="s">
        <v>16</v>
      </c>
    </row>
    <row r="1574" spans="1:18" x14ac:dyDescent="0.3">
      <c r="A1574">
        <f t="shared" si="0"/>
        <v>1698</v>
      </c>
      <c r="C1574" s="3">
        <v>44711</v>
      </c>
      <c r="D1574" s="11" t="s">
        <v>2261</v>
      </c>
      <c r="G1574" s="7" t="s">
        <v>2314</v>
      </c>
      <c r="I1574" s="17">
        <v>63064</v>
      </c>
      <c r="L1574" s="11" t="s">
        <v>2315</v>
      </c>
      <c r="M1574" s="11" t="s">
        <v>2260</v>
      </c>
      <c r="R1574" s="4" t="s">
        <v>19</v>
      </c>
    </row>
    <row r="1575" spans="1:18" x14ac:dyDescent="0.3">
      <c r="A1575">
        <f t="shared" si="0"/>
        <v>1699</v>
      </c>
      <c r="C1575" s="3">
        <v>44687</v>
      </c>
      <c r="D1575" s="11" t="s">
        <v>2278</v>
      </c>
      <c r="G1575" s="7" t="s">
        <v>2312</v>
      </c>
      <c r="I1575" s="17">
        <v>38623</v>
      </c>
      <c r="L1575" s="11" t="s">
        <v>2313</v>
      </c>
      <c r="M1575" s="11" t="s">
        <v>2279</v>
      </c>
      <c r="R1575" s="4" t="s">
        <v>19</v>
      </c>
    </row>
    <row r="1576" spans="1:18" x14ac:dyDescent="0.3">
      <c r="A1576">
        <f t="shared" si="0"/>
        <v>1700</v>
      </c>
      <c r="C1576" s="3">
        <v>44723</v>
      </c>
      <c r="D1576" s="11" t="s">
        <v>2301</v>
      </c>
      <c r="G1576" s="7" t="s">
        <v>2309</v>
      </c>
      <c r="L1576" s="11" t="s">
        <v>2310</v>
      </c>
      <c r="M1576" s="11" t="s">
        <v>2311</v>
      </c>
      <c r="R1576" s="4" t="s">
        <v>19</v>
      </c>
    </row>
    <row r="1577" spans="1:18" x14ac:dyDescent="0.3">
      <c r="A1577">
        <f t="shared" si="0"/>
        <v>1701</v>
      </c>
      <c r="C1577" s="3">
        <v>44725</v>
      </c>
      <c r="D1577" s="11" t="s">
        <v>2302</v>
      </c>
      <c r="G1577" s="7" t="s">
        <v>2306</v>
      </c>
      <c r="I1577" s="17">
        <v>23699</v>
      </c>
      <c r="L1577" s="11" t="s">
        <v>2308</v>
      </c>
      <c r="M1577" s="11" t="s">
        <v>2307</v>
      </c>
      <c r="R1577" s="4" t="s">
        <v>16</v>
      </c>
    </row>
    <row r="1578" spans="1:18" x14ac:dyDescent="0.3">
      <c r="A1578">
        <f t="shared" si="0"/>
        <v>1702</v>
      </c>
      <c r="C1578" s="3">
        <v>44726</v>
      </c>
      <c r="D1578" s="11" t="s">
        <v>2303</v>
      </c>
      <c r="G1578" s="7" t="s">
        <v>2304</v>
      </c>
      <c r="I1578" s="17">
        <v>38084</v>
      </c>
      <c r="J1578" s="4" t="s">
        <v>1377</v>
      </c>
      <c r="L1578" s="11" t="s">
        <v>2305</v>
      </c>
      <c r="M1578" s="11" t="s">
        <v>1550</v>
      </c>
      <c r="R1578" s="4" t="s">
        <v>19</v>
      </c>
    </row>
    <row r="1579" spans="1:18" x14ac:dyDescent="0.3">
      <c r="A1579">
        <f t="shared" si="0"/>
        <v>1703</v>
      </c>
      <c r="C1579" s="3">
        <v>44726</v>
      </c>
      <c r="D1579" s="11" t="s">
        <v>2318</v>
      </c>
      <c r="G1579" s="7" t="s">
        <v>2317</v>
      </c>
      <c r="I1579" s="17">
        <v>37678</v>
      </c>
      <c r="J1579" s="4" t="s">
        <v>1377</v>
      </c>
      <c r="L1579" s="11" t="s">
        <v>2319</v>
      </c>
      <c r="M1579" s="11" t="s">
        <v>2320</v>
      </c>
      <c r="R1579" s="4" t="s">
        <v>16</v>
      </c>
    </row>
    <row r="1580" spans="1:18" x14ac:dyDescent="0.3">
      <c r="A1580">
        <f t="shared" si="0"/>
        <v>1704</v>
      </c>
      <c r="C1580" s="3">
        <v>44727</v>
      </c>
      <c r="D1580" s="11" t="s">
        <v>2325</v>
      </c>
      <c r="G1580" s="7" t="s">
        <v>2324</v>
      </c>
      <c r="I1580" s="17">
        <v>36557</v>
      </c>
      <c r="L1580" s="11" t="s">
        <v>2327</v>
      </c>
      <c r="M1580" s="11" t="s">
        <v>2328</v>
      </c>
    </row>
    <row r="1581" spans="1:18" x14ac:dyDescent="0.3">
      <c r="A1581">
        <f t="shared" si="0"/>
        <v>1705</v>
      </c>
      <c r="C1581" s="3">
        <v>44727</v>
      </c>
      <c r="D1581" s="11" t="s">
        <v>2326</v>
      </c>
      <c r="G1581" s="7" t="s">
        <v>35</v>
      </c>
      <c r="I1581" s="17">
        <v>37809</v>
      </c>
      <c r="L1581" s="11" t="s">
        <v>2329</v>
      </c>
      <c r="M1581" s="11" t="s">
        <v>2330</v>
      </c>
      <c r="R1581" s="4" t="s">
        <v>16</v>
      </c>
    </row>
    <row r="1582" spans="1:18" x14ac:dyDescent="0.3">
      <c r="A1582">
        <v>1706</v>
      </c>
      <c r="D1582" s="11" t="s">
        <v>2365</v>
      </c>
      <c r="G1582" s="7" t="s">
        <v>2358</v>
      </c>
    </row>
    <row r="1583" spans="1:18" x14ac:dyDescent="0.3">
      <c r="A1583">
        <v>1707</v>
      </c>
      <c r="C1583" s="3">
        <v>44753</v>
      </c>
      <c r="D1583" s="39" t="s">
        <v>2364</v>
      </c>
      <c r="G1583" s="7" t="s">
        <v>2360</v>
      </c>
      <c r="I1583" s="17">
        <v>29274</v>
      </c>
      <c r="L1583" s="11" t="s">
        <v>2361</v>
      </c>
      <c r="M1583">
        <v>7033628688</v>
      </c>
      <c r="N1583"/>
      <c r="O1583" s="4" t="s">
        <v>16</v>
      </c>
      <c r="R1583" s="4" t="s">
        <v>16</v>
      </c>
    </row>
    <row r="1584" spans="1:18" x14ac:dyDescent="0.3">
      <c r="C1584" s="3">
        <v>44754</v>
      </c>
      <c r="D1584" s="39" t="s">
        <v>2366</v>
      </c>
      <c r="G1584" s="7" t="s">
        <v>2367</v>
      </c>
      <c r="I1584" s="17">
        <v>38006</v>
      </c>
      <c r="L1584" s="11" t="s">
        <v>2368</v>
      </c>
      <c r="M1584" s="11" t="s">
        <v>2369</v>
      </c>
      <c r="R1584" s="4" t="s">
        <v>16</v>
      </c>
    </row>
    <row r="1585" spans="1:19" x14ac:dyDescent="0.3">
      <c r="C1585" s="3">
        <v>44754</v>
      </c>
      <c r="D1585" s="39" t="s">
        <v>2376</v>
      </c>
      <c r="G1585" s="7" t="s">
        <v>2382</v>
      </c>
      <c r="I1585" s="17">
        <v>36808</v>
      </c>
      <c r="L1585" s="11" t="s">
        <v>2383</v>
      </c>
      <c r="R1585" s="4" t="s">
        <v>16</v>
      </c>
    </row>
    <row r="1586" spans="1:19" x14ac:dyDescent="0.3">
      <c r="C1586" s="3">
        <v>44754</v>
      </c>
      <c r="D1586" s="39" t="s">
        <v>2377</v>
      </c>
      <c r="G1586" s="7" t="s">
        <v>633</v>
      </c>
      <c r="I1586" s="17">
        <v>34700</v>
      </c>
      <c r="L1586" s="11" t="s">
        <v>2381</v>
      </c>
      <c r="R1586" s="4" t="s">
        <v>16</v>
      </c>
    </row>
    <row r="1587" spans="1:19" x14ac:dyDescent="0.3">
      <c r="C1587" s="3">
        <v>44755</v>
      </c>
      <c r="D1587" s="39" t="s">
        <v>2378</v>
      </c>
      <c r="G1587" s="7" t="s">
        <v>2379</v>
      </c>
      <c r="I1587" s="17">
        <v>30753</v>
      </c>
      <c r="L1587" s="11" t="s">
        <v>2380</v>
      </c>
      <c r="R1587" s="4" t="s">
        <v>16</v>
      </c>
    </row>
    <row r="1588" spans="1:19" x14ac:dyDescent="0.3">
      <c r="A1588">
        <v>4000</v>
      </c>
      <c r="C1588" s="3">
        <v>44757</v>
      </c>
      <c r="D1588" s="39" t="s">
        <v>2392</v>
      </c>
      <c r="G1588" s="7" t="s">
        <v>2427</v>
      </c>
      <c r="I1588" s="17">
        <v>31094</v>
      </c>
      <c r="L1588" s="11" t="s">
        <v>2390</v>
      </c>
      <c r="O1588" s="4" t="s">
        <v>2391</v>
      </c>
      <c r="R1588" s="4" t="s">
        <v>2391</v>
      </c>
    </row>
    <row r="1589" spans="1:19" x14ac:dyDescent="0.3">
      <c r="D1589" s="39" t="s">
        <v>2423</v>
      </c>
      <c r="G1589" s="7" t="s">
        <v>2429</v>
      </c>
      <c r="R1589" s="4" t="s">
        <v>16</v>
      </c>
    </row>
    <row r="1590" spans="1:19" x14ac:dyDescent="0.3">
      <c r="D1590" s="39" t="s">
        <v>2424</v>
      </c>
      <c r="G1590" s="7" t="s">
        <v>2992</v>
      </c>
    </row>
    <row r="1591" spans="1:19" x14ac:dyDescent="0.3">
      <c r="A1591" t="s">
        <v>2428</v>
      </c>
      <c r="C1591" s="3">
        <v>44774</v>
      </c>
      <c r="D1591" s="39" t="s">
        <v>2425</v>
      </c>
      <c r="G1591" s="7" t="s">
        <v>2422</v>
      </c>
      <c r="I1591" s="17">
        <v>25906</v>
      </c>
      <c r="L1591" s="11" t="s">
        <v>2426</v>
      </c>
      <c r="M1591">
        <v>9031985788</v>
      </c>
      <c r="N1591"/>
      <c r="R1591" s="4" t="s">
        <v>16</v>
      </c>
    </row>
    <row r="1592" spans="1:19" x14ac:dyDescent="0.3">
      <c r="A1592" t="s">
        <v>2433</v>
      </c>
      <c r="C1592" s="3">
        <v>44774</v>
      </c>
      <c r="D1592" s="39" t="s">
        <v>2430</v>
      </c>
      <c r="G1592" s="7" t="s">
        <v>2431</v>
      </c>
      <c r="I1592" s="17">
        <v>28856</v>
      </c>
      <c r="L1592" s="11" t="s">
        <v>2434</v>
      </c>
      <c r="M1592" s="11" t="s">
        <v>2432</v>
      </c>
      <c r="R1592" s="4" t="s">
        <v>19</v>
      </c>
    </row>
    <row r="1593" spans="1:19" x14ac:dyDescent="0.3">
      <c r="A1593" t="s">
        <v>2472</v>
      </c>
      <c r="C1593" s="3">
        <v>44785</v>
      </c>
      <c r="D1593" s="39" t="s">
        <v>2484</v>
      </c>
      <c r="G1593" s="7" t="s">
        <v>2470</v>
      </c>
      <c r="I1593" s="17">
        <v>20825</v>
      </c>
      <c r="L1593" s="11" t="s">
        <v>2471</v>
      </c>
      <c r="R1593" s="4" t="s">
        <v>2481</v>
      </c>
    </row>
    <row r="1594" spans="1:19" x14ac:dyDescent="0.3">
      <c r="A1594" t="s">
        <v>2473</v>
      </c>
      <c r="C1594" s="3">
        <v>44785</v>
      </c>
      <c r="D1594" s="39" t="s">
        <v>2485</v>
      </c>
      <c r="G1594" s="7" t="s">
        <v>2474</v>
      </c>
      <c r="I1594" s="17">
        <v>34892</v>
      </c>
      <c r="L1594" s="11" t="s">
        <v>2475</v>
      </c>
      <c r="R1594" s="4" t="s">
        <v>2482</v>
      </c>
    </row>
    <row r="1595" spans="1:19" x14ac:dyDescent="0.3">
      <c r="A1595" t="s">
        <v>2478</v>
      </c>
      <c r="C1595" s="3">
        <v>44789</v>
      </c>
      <c r="D1595" s="39" t="s">
        <v>2486</v>
      </c>
      <c r="G1595" s="7" t="s">
        <v>2477</v>
      </c>
      <c r="I1595" s="17">
        <v>38849</v>
      </c>
      <c r="L1595" s="11" t="s">
        <v>2480</v>
      </c>
      <c r="M1595" s="11" t="s">
        <v>2479</v>
      </c>
      <c r="R1595" s="4" t="s">
        <v>15</v>
      </c>
    </row>
    <row r="1596" spans="1:19" x14ac:dyDescent="0.3">
      <c r="C1596" s="3">
        <v>44795</v>
      </c>
      <c r="D1596" s="39" t="s">
        <v>2500</v>
      </c>
      <c r="G1596" s="7" t="s">
        <v>2498</v>
      </c>
      <c r="R1596" s="4" t="s">
        <v>16</v>
      </c>
    </row>
    <row r="1597" spans="1:19" x14ac:dyDescent="0.3">
      <c r="C1597" s="3">
        <v>44795</v>
      </c>
      <c r="D1597" s="39" t="s">
        <v>2507</v>
      </c>
      <c r="G1597" s="7" t="s">
        <v>2508</v>
      </c>
      <c r="I1597" s="17">
        <v>35713</v>
      </c>
      <c r="L1597" s="11" t="s">
        <v>2509</v>
      </c>
      <c r="O1597" s="3">
        <v>44795</v>
      </c>
      <c r="R1597" s="4" t="s">
        <v>2525</v>
      </c>
    </row>
    <row r="1598" spans="1:19" x14ac:dyDescent="0.3">
      <c r="C1598" s="3">
        <v>44796</v>
      </c>
      <c r="D1598" s="39" t="s">
        <v>2510</v>
      </c>
      <c r="G1598" s="7" t="s">
        <v>2506</v>
      </c>
      <c r="I1598" s="17">
        <v>36421</v>
      </c>
      <c r="L1598" s="11" t="s">
        <v>2520</v>
      </c>
      <c r="M1598" s="11" t="s">
        <v>2521</v>
      </c>
      <c r="O1598" s="3">
        <v>44796</v>
      </c>
      <c r="R1598" s="4" t="s">
        <v>2511</v>
      </c>
      <c r="S1598" s="3">
        <v>44676</v>
      </c>
    </row>
    <row r="1599" spans="1:19" x14ac:dyDescent="0.3">
      <c r="C1599" s="3">
        <v>44798</v>
      </c>
      <c r="D1599" s="39" t="s">
        <v>2517</v>
      </c>
      <c r="G1599" s="7" t="s">
        <v>2516</v>
      </c>
      <c r="I1599" s="17">
        <v>23145</v>
      </c>
      <c r="L1599" s="11" t="s">
        <v>2519</v>
      </c>
      <c r="M1599" s="11" t="s">
        <v>2518</v>
      </c>
      <c r="R1599" s="4" t="s">
        <v>2525</v>
      </c>
    </row>
    <row r="1600" spans="1:19" x14ac:dyDescent="0.3">
      <c r="C1600" s="3">
        <v>44798</v>
      </c>
      <c r="D1600" s="39" t="s">
        <v>2522</v>
      </c>
      <c r="G1600" s="7" t="s">
        <v>2523</v>
      </c>
      <c r="I1600" s="17">
        <v>19906</v>
      </c>
      <c r="M1600" s="11" t="s">
        <v>2524</v>
      </c>
      <c r="R1600" s="4" t="s">
        <v>16</v>
      </c>
    </row>
    <row r="1601" spans="1:18" x14ac:dyDescent="0.3">
      <c r="C1601" s="3">
        <v>44799</v>
      </c>
      <c r="D1601" s="39" t="s">
        <v>2528</v>
      </c>
      <c r="G1601" s="7" t="s">
        <v>2534</v>
      </c>
      <c r="I1601" s="17">
        <v>20273</v>
      </c>
      <c r="L1601" s="11" t="s">
        <v>2535</v>
      </c>
      <c r="M1601" s="11" t="s">
        <v>2536</v>
      </c>
      <c r="R1601" s="4" t="s">
        <v>2537</v>
      </c>
    </row>
    <row r="1602" spans="1:18" x14ac:dyDescent="0.3">
      <c r="C1602" s="3">
        <v>44799</v>
      </c>
      <c r="D1602" s="39" t="s">
        <v>2529</v>
      </c>
      <c r="E1602" s="11" t="s">
        <v>3448</v>
      </c>
      <c r="G1602" s="7" t="s">
        <v>2530</v>
      </c>
      <c r="I1602" s="17">
        <v>31911</v>
      </c>
      <c r="L1602" s="11" t="s">
        <v>2532</v>
      </c>
      <c r="M1602" s="11" t="s">
        <v>2531</v>
      </c>
      <c r="R1602" s="4" t="s">
        <v>19</v>
      </c>
    </row>
    <row r="1603" spans="1:18" x14ac:dyDescent="0.3">
      <c r="C1603" s="3">
        <v>44799</v>
      </c>
      <c r="D1603" s="39" t="s">
        <v>2538</v>
      </c>
      <c r="G1603" s="7" t="s">
        <v>2539</v>
      </c>
      <c r="I1603" s="17">
        <v>21916</v>
      </c>
      <c r="L1603" s="11" t="s">
        <v>2541</v>
      </c>
      <c r="M1603" s="11" t="s">
        <v>2540</v>
      </c>
      <c r="R1603" s="4" t="s">
        <v>2525</v>
      </c>
    </row>
    <row r="1604" spans="1:18" x14ac:dyDescent="0.3">
      <c r="C1604" s="3">
        <v>44802</v>
      </c>
      <c r="D1604" s="39" t="s">
        <v>2549</v>
      </c>
      <c r="G1604" s="7" t="s">
        <v>2550</v>
      </c>
      <c r="L1604" s="11" t="s">
        <v>2572</v>
      </c>
      <c r="M1604" s="11" t="s">
        <v>2573</v>
      </c>
      <c r="R1604" s="4" t="s">
        <v>2571</v>
      </c>
    </row>
    <row r="1605" spans="1:18" x14ac:dyDescent="0.3">
      <c r="A1605" t="s">
        <v>2569</v>
      </c>
      <c r="C1605" s="3">
        <v>44802</v>
      </c>
      <c r="D1605" s="39" t="s">
        <v>2555</v>
      </c>
      <c r="G1605" s="7" t="s">
        <v>2558</v>
      </c>
      <c r="I1605" s="17">
        <v>31479</v>
      </c>
      <c r="L1605" s="11" t="s">
        <v>2564</v>
      </c>
      <c r="M1605" s="11" t="s">
        <v>2540</v>
      </c>
      <c r="O1605" s="3">
        <v>44802</v>
      </c>
      <c r="R1605" s="4" t="s">
        <v>2563</v>
      </c>
    </row>
    <row r="1606" spans="1:18" x14ac:dyDescent="0.3">
      <c r="A1606" t="s">
        <v>2570</v>
      </c>
      <c r="C1606" s="3">
        <v>44802</v>
      </c>
      <c r="D1606" s="39" t="s">
        <v>2556</v>
      </c>
      <c r="G1606" s="7" t="s">
        <v>2560</v>
      </c>
      <c r="I1606" s="17">
        <v>35331</v>
      </c>
      <c r="L1606" s="11" t="s">
        <v>2565</v>
      </c>
      <c r="M1606" s="11" t="s">
        <v>2559</v>
      </c>
      <c r="O1606" s="3">
        <v>44802</v>
      </c>
      <c r="R1606" s="4" t="s">
        <v>19</v>
      </c>
    </row>
    <row r="1607" spans="1:18" x14ac:dyDescent="0.3">
      <c r="A1607" t="s">
        <v>2568</v>
      </c>
      <c r="C1607" s="3">
        <v>44802</v>
      </c>
      <c r="D1607" s="39" t="s">
        <v>2557</v>
      </c>
      <c r="G1607" s="7" t="s">
        <v>2561</v>
      </c>
      <c r="I1607" s="17">
        <v>37009</v>
      </c>
      <c r="L1607" s="11" t="s">
        <v>2566</v>
      </c>
      <c r="M1607" s="11" t="s">
        <v>2562</v>
      </c>
      <c r="O1607" s="4" t="s">
        <v>2567</v>
      </c>
      <c r="R1607" s="4" t="s">
        <v>19</v>
      </c>
    </row>
    <row r="1608" spans="1:18" x14ac:dyDescent="0.3">
      <c r="C1608" s="3">
        <v>44804</v>
      </c>
      <c r="D1608" s="11" t="s">
        <v>2580</v>
      </c>
      <c r="L1608" s="11" t="s">
        <v>2585</v>
      </c>
      <c r="M1608" s="11" t="s">
        <v>2586</v>
      </c>
      <c r="R1608" s="4" t="s">
        <v>2587</v>
      </c>
    </row>
    <row r="1609" spans="1:18" x14ac:dyDescent="0.3">
      <c r="C1609" s="3">
        <v>44804</v>
      </c>
      <c r="D1609" s="11" t="s">
        <v>2581</v>
      </c>
      <c r="G1609" s="7" t="s">
        <v>2582</v>
      </c>
      <c r="I1609" s="17">
        <v>38724</v>
      </c>
      <c r="L1609" s="11" t="s">
        <v>2584</v>
      </c>
      <c r="M1609" s="11" t="s">
        <v>2583</v>
      </c>
      <c r="P1609" s="4" t="s">
        <v>2590</v>
      </c>
      <c r="R1609" s="4" t="s">
        <v>19</v>
      </c>
    </row>
    <row r="1610" spans="1:18" x14ac:dyDescent="0.3">
      <c r="C1610" s="3">
        <v>44804</v>
      </c>
      <c r="D1610" s="11" t="s">
        <v>2588</v>
      </c>
      <c r="G1610" s="7" t="s">
        <v>2589</v>
      </c>
      <c r="I1610" s="17">
        <v>36284</v>
      </c>
      <c r="L1610" s="11" t="s">
        <v>2592</v>
      </c>
      <c r="M1610" s="11" t="s">
        <v>2591</v>
      </c>
      <c r="O1610" s="3">
        <v>44804</v>
      </c>
      <c r="P1610" s="4" t="s">
        <v>2590</v>
      </c>
      <c r="R1610" s="4" t="s">
        <v>19</v>
      </c>
    </row>
    <row r="1611" spans="1:18" x14ac:dyDescent="0.3">
      <c r="C1611" s="3">
        <v>44806</v>
      </c>
      <c r="D1611" s="11" t="s">
        <v>2603</v>
      </c>
      <c r="G1611" s="7" t="s">
        <v>2604</v>
      </c>
      <c r="I1611" s="17">
        <v>19360</v>
      </c>
      <c r="M1611" s="11" t="s">
        <v>2605</v>
      </c>
      <c r="O1611" s="3">
        <v>44806</v>
      </c>
      <c r="R1611" s="4" t="s">
        <v>2606</v>
      </c>
    </row>
    <row r="1612" spans="1:18" x14ac:dyDescent="0.3">
      <c r="C1612" s="3">
        <v>44823</v>
      </c>
      <c r="D1612" s="11" t="s">
        <v>2629</v>
      </c>
      <c r="G1612" s="7" t="s">
        <v>2630</v>
      </c>
      <c r="I1612" s="17">
        <v>37677</v>
      </c>
      <c r="L1612" s="11" t="s">
        <v>2632</v>
      </c>
      <c r="M1612" s="11" t="s">
        <v>2631</v>
      </c>
      <c r="O1612" s="3">
        <v>44823</v>
      </c>
      <c r="R1612" s="4" t="s">
        <v>19</v>
      </c>
    </row>
    <row r="1613" spans="1:18" x14ac:dyDescent="0.3">
      <c r="C1613" s="3">
        <v>44824</v>
      </c>
      <c r="D1613" s="11" t="s">
        <v>2662</v>
      </c>
      <c r="G1613" s="7" t="s">
        <v>2644</v>
      </c>
      <c r="I1613" s="17">
        <v>33920</v>
      </c>
      <c r="L1613" s="11" t="s">
        <v>2663</v>
      </c>
      <c r="O1613" s="3">
        <v>44824</v>
      </c>
      <c r="R1613" s="4" t="s">
        <v>2664</v>
      </c>
    </row>
    <row r="1614" spans="1:18" x14ac:dyDescent="0.3">
      <c r="C1614" s="3">
        <v>44825</v>
      </c>
      <c r="D1614" s="11" t="s">
        <v>2638</v>
      </c>
      <c r="G1614" s="7" t="s">
        <v>2639</v>
      </c>
      <c r="I1614" s="17">
        <v>38129</v>
      </c>
      <c r="L1614" s="11" t="s">
        <v>2641</v>
      </c>
      <c r="M1614" s="11" t="s">
        <v>2640</v>
      </c>
      <c r="O1614" s="3">
        <v>44825</v>
      </c>
      <c r="R1614" s="4" t="s">
        <v>19</v>
      </c>
    </row>
    <row r="1615" spans="1:18" x14ac:dyDescent="0.3">
      <c r="C1615" s="3">
        <v>44825</v>
      </c>
      <c r="D1615" s="11" t="s">
        <v>2648</v>
      </c>
      <c r="G1615" s="7" t="s">
        <v>2646</v>
      </c>
      <c r="I1615" s="17">
        <v>28257</v>
      </c>
      <c r="L1615" s="11" t="s">
        <v>2649</v>
      </c>
      <c r="M1615">
        <v>7301498621</v>
      </c>
      <c r="N1615"/>
      <c r="O1615" s="3">
        <v>44825</v>
      </c>
      <c r="R1615" s="4" t="s">
        <v>2650</v>
      </c>
    </row>
    <row r="1616" spans="1:18" x14ac:dyDescent="0.3">
      <c r="C1616" s="3">
        <v>44826</v>
      </c>
      <c r="D1616" s="11" t="s">
        <v>2658</v>
      </c>
      <c r="G1616" s="7" t="s">
        <v>2660</v>
      </c>
      <c r="I1616" s="17">
        <v>35836</v>
      </c>
      <c r="L1616" s="11" t="s">
        <v>2665</v>
      </c>
      <c r="M1616" s="11" t="s">
        <v>2661</v>
      </c>
      <c r="R1616" s="4" t="s">
        <v>2666</v>
      </c>
    </row>
    <row r="1617" spans="1:19" x14ac:dyDescent="0.3">
      <c r="C1617" s="3">
        <v>44826</v>
      </c>
      <c r="D1617" s="11" t="s">
        <v>2659</v>
      </c>
      <c r="G1617" s="7" t="s">
        <v>716</v>
      </c>
      <c r="I1617" s="17">
        <v>37288</v>
      </c>
      <c r="L1617" s="11" t="s">
        <v>2667</v>
      </c>
      <c r="M1617" s="11" t="s">
        <v>2657</v>
      </c>
      <c r="O1617" s="3">
        <v>44826</v>
      </c>
      <c r="R1617" s="4" t="s">
        <v>2668</v>
      </c>
    </row>
    <row r="1618" spans="1:19" x14ac:dyDescent="0.3">
      <c r="A1618" t="s">
        <v>4840</v>
      </c>
      <c r="C1618" s="3">
        <v>44830</v>
      </c>
      <c r="D1618" s="11" t="s">
        <v>2672</v>
      </c>
      <c r="G1618" s="7" t="s">
        <v>2673</v>
      </c>
      <c r="I1618" s="17">
        <v>36161</v>
      </c>
      <c r="L1618" s="11" t="s">
        <v>4845</v>
      </c>
      <c r="M1618" s="11" t="s">
        <v>2674</v>
      </c>
      <c r="O1618" s="3">
        <v>44830</v>
      </c>
      <c r="R1618" s="4" t="s">
        <v>19</v>
      </c>
    </row>
    <row r="1619" spans="1:19" x14ac:dyDescent="0.3">
      <c r="C1619" s="3">
        <v>44835</v>
      </c>
      <c r="D1619" s="39" t="s">
        <v>2694</v>
      </c>
      <c r="G1619" s="7" t="s">
        <v>2695</v>
      </c>
      <c r="I1619" s="17">
        <v>38623</v>
      </c>
      <c r="L1619" s="11" t="s">
        <v>2726</v>
      </c>
      <c r="M1619" s="11" t="s">
        <v>2696</v>
      </c>
      <c r="P1619" s="4" t="s">
        <v>2697</v>
      </c>
      <c r="R1619" s="4" t="s">
        <v>19</v>
      </c>
    </row>
    <row r="1620" spans="1:19" x14ac:dyDescent="0.3">
      <c r="C1620" s="3">
        <v>44835</v>
      </c>
      <c r="D1620" s="39" t="s">
        <v>2722</v>
      </c>
      <c r="G1620" s="7" t="s">
        <v>2699</v>
      </c>
      <c r="I1620" s="17">
        <v>38957</v>
      </c>
      <c r="L1620" s="11" t="s">
        <v>2756</v>
      </c>
      <c r="M1620" s="11" t="s">
        <v>2755</v>
      </c>
      <c r="R1620" s="4" t="s">
        <v>19</v>
      </c>
    </row>
    <row r="1621" spans="1:19" x14ac:dyDescent="0.3">
      <c r="C1621" s="3">
        <v>44840</v>
      </c>
      <c r="D1621" s="39" t="s">
        <v>2723</v>
      </c>
      <c r="G1621" s="7" t="s">
        <v>2724</v>
      </c>
      <c r="I1621" s="17">
        <v>22802</v>
      </c>
      <c r="L1621" s="11" t="s">
        <v>3145</v>
      </c>
      <c r="M1621" s="11" t="s">
        <v>3146</v>
      </c>
      <c r="R1621" s="4" t="s">
        <v>16</v>
      </c>
    </row>
    <row r="1622" spans="1:19" x14ac:dyDescent="0.3">
      <c r="C1622" s="3">
        <v>44723</v>
      </c>
      <c r="D1622" s="39" t="s">
        <v>2728</v>
      </c>
      <c r="G1622" s="7" t="s">
        <v>2729</v>
      </c>
      <c r="I1622" s="17">
        <v>33307</v>
      </c>
      <c r="L1622" s="11" t="s">
        <v>2730</v>
      </c>
      <c r="M1622" s="11" t="s">
        <v>2731</v>
      </c>
      <c r="R1622" s="4" t="s">
        <v>2732</v>
      </c>
    </row>
    <row r="1623" spans="1:19" x14ac:dyDescent="0.3">
      <c r="C1623" s="3">
        <v>44849</v>
      </c>
      <c r="D1623" s="39" t="s">
        <v>2740</v>
      </c>
      <c r="G1623" s="7" t="s">
        <v>2739</v>
      </c>
      <c r="I1623" s="17">
        <v>20214</v>
      </c>
      <c r="L1623" s="11" t="s">
        <v>2741</v>
      </c>
      <c r="M1623" s="11" t="s">
        <v>2742</v>
      </c>
      <c r="R1623" s="4" t="s">
        <v>19</v>
      </c>
    </row>
    <row r="1624" spans="1:19" x14ac:dyDescent="0.3">
      <c r="C1624" s="3">
        <v>44851</v>
      </c>
      <c r="D1624" s="39" t="s">
        <v>2748</v>
      </c>
      <c r="G1624" s="7" t="s">
        <v>2745</v>
      </c>
      <c r="I1624" s="17">
        <v>38056</v>
      </c>
      <c r="L1624" s="11" t="s">
        <v>2749</v>
      </c>
      <c r="M1624" s="11" t="s">
        <v>2754</v>
      </c>
      <c r="R1624" s="4" t="s">
        <v>19</v>
      </c>
      <c r="S1624" s="3">
        <v>44852</v>
      </c>
    </row>
    <row r="1625" spans="1:19" x14ac:dyDescent="0.3">
      <c r="C1625" s="3">
        <v>44851</v>
      </c>
      <c r="D1625" s="39" t="s">
        <v>2750</v>
      </c>
      <c r="G1625" s="7" t="s">
        <v>2751</v>
      </c>
      <c r="I1625" s="17">
        <v>39347</v>
      </c>
      <c r="L1625" s="11" t="s">
        <v>2752</v>
      </c>
      <c r="M1625" s="11" t="s">
        <v>1922</v>
      </c>
      <c r="R1625" s="4" t="s">
        <v>19</v>
      </c>
    </row>
    <row r="1626" spans="1:19" x14ac:dyDescent="0.3">
      <c r="C1626" s="3">
        <v>44854</v>
      </c>
      <c r="D1626" s="39" t="s">
        <v>2757</v>
      </c>
      <c r="G1626" s="7" t="s">
        <v>2760</v>
      </c>
      <c r="I1626" s="17">
        <v>39626</v>
      </c>
      <c r="M1626" s="11" t="s">
        <v>2758</v>
      </c>
      <c r="R1626" s="4" t="s">
        <v>19</v>
      </c>
    </row>
    <row r="1627" spans="1:19" x14ac:dyDescent="0.3">
      <c r="C1627" s="3">
        <v>44854</v>
      </c>
      <c r="D1627" s="39" t="s">
        <v>2761</v>
      </c>
      <c r="G1627" s="7" t="s">
        <v>2766</v>
      </c>
      <c r="M1627" s="11" t="s">
        <v>2776</v>
      </c>
      <c r="O1627" s="3">
        <v>44854</v>
      </c>
      <c r="R1627" s="4" t="s">
        <v>16</v>
      </c>
    </row>
    <row r="1628" spans="1:19" x14ac:dyDescent="0.3">
      <c r="C1628" s="3">
        <v>44854</v>
      </c>
      <c r="D1628" s="39" t="s">
        <v>2762</v>
      </c>
      <c r="E1628" s="11" t="s">
        <v>2854</v>
      </c>
      <c r="G1628" s="7" t="s">
        <v>2763</v>
      </c>
      <c r="I1628" s="17">
        <v>39772</v>
      </c>
      <c r="L1628" s="11" t="s">
        <v>2764</v>
      </c>
      <c r="M1628" s="11" t="s">
        <v>2765</v>
      </c>
      <c r="R1628" s="4" t="s">
        <v>19</v>
      </c>
    </row>
    <row r="1629" spans="1:19" x14ac:dyDescent="0.3">
      <c r="C1629" s="3">
        <v>44854</v>
      </c>
      <c r="D1629" s="39" t="s">
        <v>2845</v>
      </c>
      <c r="E1629" s="11" t="s">
        <v>3190</v>
      </c>
      <c r="G1629" s="7" t="s">
        <v>2771</v>
      </c>
      <c r="I1629" s="17">
        <v>38731</v>
      </c>
      <c r="L1629" s="11" t="s">
        <v>3015</v>
      </c>
      <c r="M1629" s="11" t="s">
        <v>1609</v>
      </c>
    </row>
    <row r="1630" spans="1:19" x14ac:dyDescent="0.3">
      <c r="C1630" s="3">
        <v>44860</v>
      </c>
      <c r="D1630" s="39" t="s">
        <v>2787</v>
      </c>
      <c r="E1630" s="11" t="s">
        <v>2889</v>
      </c>
      <c r="G1630" s="7" t="s">
        <v>2788</v>
      </c>
      <c r="I1630" s="17">
        <v>40013</v>
      </c>
      <c r="L1630" s="11" t="s">
        <v>2789</v>
      </c>
      <c r="M1630" s="11" t="s">
        <v>2790</v>
      </c>
      <c r="R1630" s="4" t="s">
        <v>19</v>
      </c>
    </row>
    <row r="1631" spans="1:19" x14ac:dyDescent="0.3">
      <c r="C1631" s="3">
        <v>44861</v>
      </c>
      <c r="D1631" s="39" t="s">
        <v>2797</v>
      </c>
      <c r="E1631" s="11" t="s">
        <v>3304</v>
      </c>
      <c r="G1631" s="7" t="s">
        <v>2794</v>
      </c>
      <c r="L1631" s="11" t="s">
        <v>2801</v>
      </c>
      <c r="M1631" s="11" t="s">
        <v>3305</v>
      </c>
    </row>
    <row r="1632" spans="1:19" x14ac:dyDescent="0.3">
      <c r="C1632" s="3">
        <v>44861</v>
      </c>
      <c r="D1632" s="39" t="s">
        <v>2803</v>
      </c>
      <c r="E1632" s="11" t="s">
        <v>2855</v>
      </c>
      <c r="G1632" s="7" t="s">
        <v>2796</v>
      </c>
      <c r="I1632" s="17">
        <v>38492</v>
      </c>
      <c r="L1632" s="11" t="s">
        <v>2800</v>
      </c>
      <c r="M1632" s="11" t="s">
        <v>2799</v>
      </c>
      <c r="S1632" s="3">
        <v>44862</v>
      </c>
    </row>
    <row r="1633" spans="3:18" x14ac:dyDescent="0.3">
      <c r="C1633" s="3">
        <v>44862</v>
      </c>
      <c r="D1633" s="39" t="s">
        <v>2804</v>
      </c>
      <c r="G1633" s="7" t="s">
        <v>2805</v>
      </c>
      <c r="I1633" s="17">
        <v>37759</v>
      </c>
      <c r="L1633" s="11" t="s">
        <v>2816</v>
      </c>
      <c r="M1633" s="11" t="s">
        <v>2806</v>
      </c>
      <c r="R1633" s="4" t="s">
        <v>2815</v>
      </c>
    </row>
    <row r="1634" spans="3:18" x14ac:dyDescent="0.3">
      <c r="C1634" s="3">
        <v>44862</v>
      </c>
      <c r="D1634" s="39" t="s">
        <v>2811</v>
      </c>
      <c r="E1634" s="11" t="s">
        <v>2855</v>
      </c>
      <c r="G1634" s="7" t="s">
        <v>2809</v>
      </c>
      <c r="I1634" s="17">
        <v>39180</v>
      </c>
      <c r="L1634" s="11" t="s">
        <v>2817</v>
      </c>
      <c r="M1634" s="11" t="s">
        <v>1913</v>
      </c>
    </row>
    <row r="1635" spans="3:18" x14ac:dyDescent="0.3">
      <c r="C1635" s="3">
        <v>44862</v>
      </c>
      <c r="D1635" s="39" t="s">
        <v>2798</v>
      </c>
      <c r="E1635" s="11" t="s">
        <v>2855</v>
      </c>
      <c r="G1635" s="7" t="s">
        <v>2812</v>
      </c>
      <c r="I1635" s="17">
        <v>29952</v>
      </c>
      <c r="L1635" s="11" t="s">
        <v>2813</v>
      </c>
      <c r="M1635" s="11" t="s">
        <v>2799</v>
      </c>
      <c r="O1635" s="3">
        <v>44862</v>
      </c>
      <c r="R1635" s="4" t="s">
        <v>2814</v>
      </c>
    </row>
    <row r="1636" spans="3:18" x14ac:dyDescent="0.3">
      <c r="C1636" s="3">
        <v>44863</v>
      </c>
      <c r="D1636" s="39" t="s">
        <v>2824</v>
      </c>
      <c r="G1636" s="7" t="s">
        <v>2820</v>
      </c>
      <c r="I1636" s="17">
        <v>37439</v>
      </c>
      <c r="L1636" s="11" t="s">
        <v>2822</v>
      </c>
      <c r="M1636" s="11" t="s">
        <v>2821</v>
      </c>
      <c r="O1636" s="3">
        <v>44863</v>
      </c>
      <c r="R1636" s="4" t="s">
        <v>2823</v>
      </c>
    </row>
    <row r="1637" spans="3:18" x14ac:dyDescent="0.3">
      <c r="C1637" s="3">
        <v>44863</v>
      </c>
      <c r="D1637" s="39" t="s">
        <v>2827</v>
      </c>
      <c r="G1637" s="7" t="s">
        <v>2826</v>
      </c>
      <c r="I1637" s="17">
        <v>29587</v>
      </c>
      <c r="L1637" s="11" t="s">
        <v>2829</v>
      </c>
      <c r="M1637" s="11" t="s">
        <v>2828</v>
      </c>
      <c r="O1637" s="3">
        <v>44863</v>
      </c>
      <c r="R1637" s="4" t="s">
        <v>19</v>
      </c>
    </row>
    <row r="1638" spans="3:18" x14ac:dyDescent="0.3">
      <c r="C1638" s="3">
        <v>44867</v>
      </c>
      <c r="D1638" s="39" t="s">
        <v>2836</v>
      </c>
      <c r="G1638" s="7" t="s">
        <v>2834</v>
      </c>
      <c r="M1638" s="11" t="s">
        <v>2837</v>
      </c>
      <c r="O1638" s="3">
        <v>44867</v>
      </c>
    </row>
    <row r="1639" spans="3:18" x14ac:dyDescent="0.3">
      <c r="C1639" s="4" t="s">
        <v>2841</v>
      </c>
      <c r="D1639" s="39" t="s">
        <v>2842</v>
      </c>
      <c r="E1639" s="11" t="s">
        <v>2853</v>
      </c>
      <c r="G1639" s="7" t="s">
        <v>2840</v>
      </c>
      <c r="I1639" s="17">
        <v>25934</v>
      </c>
      <c r="L1639" s="11" t="s">
        <v>2843</v>
      </c>
      <c r="O1639" s="3">
        <v>44868</v>
      </c>
      <c r="R1639" s="4" t="s">
        <v>2844</v>
      </c>
    </row>
    <row r="1640" spans="3:18" x14ac:dyDescent="0.3">
      <c r="C1640" s="3">
        <v>44872</v>
      </c>
      <c r="D1640" s="39" t="s">
        <v>2872</v>
      </c>
      <c r="E1640" s="11" t="s">
        <v>2903</v>
      </c>
      <c r="G1640" s="7" t="s">
        <v>2895</v>
      </c>
      <c r="I1640" s="17">
        <v>38281</v>
      </c>
      <c r="M1640" s="11" t="s">
        <v>2904</v>
      </c>
      <c r="R1640" s="4" t="s">
        <v>19</v>
      </c>
    </row>
    <row r="1641" spans="3:18" x14ac:dyDescent="0.3">
      <c r="C1641" s="3">
        <v>44875</v>
      </c>
      <c r="D1641" s="39" t="s">
        <v>2871</v>
      </c>
      <c r="E1641" s="11" t="s">
        <v>2894</v>
      </c>
      <c r="G1641" s="7" t="s">
        <v>2875</v>
      </c>
      <c r="I1641" s="17">
        <v>39674</v>
      </c>
      <c r="L1641" s="11" t="s">
        <v>2876</v>
      </c>
      <c r="M1641" s="11" t="s">
        <v>1965</v>
      </c>
    </row>
    <row r="1642" spans="3:18" x14ac:dyDescent="0.3">
      <c r="C1642" s="3">
        <v>44876</v>
      </c>
      <c r="D1642" s="39" t="s">
        <v>2880</v>
      </c>
      <c r="E1642" s="11" t="s">
        <v>2918</v>
      </c>
      <c r="G1642" s="7" t="s">
        <v>2902</v>
      </c>
      <c r="I1642" s="17">
        <v>38088</v>
      </c>
      <c r="L1642" s="11" t="s">
        <v>2920</v>
      </c>
      <c r="M1642" s="11" t="s">
        <v>2881</v>
      </c>
      <c r="O1642" s="3">
        <v>44876</v>
      </c>
      <c r="R1642" s="4" t="s">
        <v>2919</v>
      </c>
    </row>
    <row r="1643" spans="3:18" x14ac:dyDescent="0.3">
      <c r="C1643" s="3">
        <v>44879</v>
      </c>
      <c r="D1643" s="39" t="s">
        <v>2897</v>
      </c>
      <c r="E1643" s="11" t="s">
        <v>3418</v>
      </c>
      <c r="G1643" s="7" t="s">
        <v>2899</v>
      </c>
      <c r="I1643" s="17">
        <v>41129</v>
      </c>
      <c r="L1643" s="11" t="s">
        <v>2900</v>
      </c>
      <c r="M1643" s="11" t="s">
        <v>2898</v>
      </c>
    </row>
    <row r="1644" spans="3:18" x14ac:dyDescent="0.3">
      <c r="C1644" s="3">
        <v>44880</v>
      </c>
      <c r="D1644" s="39" t="s">
        <v>2906</v>
      </c>
      <c r="G1644" s="7" t="s">
        <v>2907</v>
      </c>
      <c r="I1644" s="17">
        <v>31260</v>
      </c>
      <c r="L1644" s="11" t="s">
        <v>2908</v>
      </c>
      <c r="O1644" s="3">
        <v>44880</v>
      </c>
      <c r="R1644" s="4" t="s">
        <v>2909</v>
      </c>
    </row>
    <row r="1645" spans="3:18" x14ac:dyDescent="0.3">
      <c r="C1645" s="3">
        <v>44880</v>
      </c>
      <c r="D1645" s="39" t="s">
        <v>2939</v>
      </c>
      <c r="G1645" s="7" t="s">
        <v>2910</v>
      </c>
      <c r="I1645" s="17">
        <v>39220</v>
      </c>
      <c r="L1645" s="11" t="s">
        <v>2913</v>
      </c>
      <c r="M1645" s="11" t="s">
        <v>2914</v>
      </c>
      <c r="R1645" s="4" t="s">
        <v>19</v>
      </c>
    </row>
    <row r="1646" spans="3:18" x14ac:dyDescent="0.3">
      <c r="C1646" s="3">
        <v>44881</v>
      </c>
      <c r="D1646" s="39" t="s">
        <v>2921</v>
      </c>
      <c r="E1646" s="11" t="s">
        <v>2938</v>
      </c>
      <c r="G1646" s="7" t="s">
        <v>2922</v>
      </c>
      <c r="I1646" s="17">
        <v>29281</v>
      </c>
      <c r="M1646" s="11" t="s">
        <v>2923</v>
      </c>
      <c r="O1646" s="3">
        <v>44881</v>
      </c>
      <c r="R1646" s="4" t="s">
        <v>14</v>
      </c>
    </row>
    <row r="1647" spans="3:18" x14ac:dyDescent="0.3">
      <c r="C1647" s="3">
        <v>44881</v>
      </c>
      <c r="D1647" s="39" t="s">
        <v>2929</v>
      </c>
      <c r="G1647" s="7" t="s">
        <v>2930</v>
      </c>
      <c r="I1647" s="17">
        <v>25638</v>
      </c>
      <c r="L1647" s="11" t="s">
        <v>2931</v>
      </c>
      <c r="M1647" s="11" t="s">
        <v>2928</v>
      </c>
      <c r="O1647" s="3">
        <v>44881</v>
      </c>
      <c r="R1647" s="4" t="s">
        <v>2932</v>
      </c>
    </row>
    <row r="1648" spans="3:18" x14ac:dyDescent="0.3">
      <c r="D1648" s="39" t="s">
        <v>2949</v>
      </c>
      <c r="G1648" s="7" t="s">
        <v>2773</v>
      </c>
      <c r="I1648" s="17">
        <v>32874</v>
      </c>
      <c r="M1648" s="11" t="s">
        <v>2950</v>
      </c>
      <c r="O1648" s="3"/>
    </row>
    <row r="1649" spans="1:19" x14ac:dyDescent="0.3">
      <c r="A1649" t="s">
        <v>6991</v>
      </c>
      <c r="C1649" s="3">
        <v>44887</v>
      </c>
      <c r="D1649" s="39" t="s">
        <v>2952</v>
      </c>
      <c r="E1649" s="11" t="s">
        <v>6992</v>
      </c>
      <c r="G1649" s="7" t="s">
        <v>2947</v>
      </c>
      <c r="I1649" s="17">
        <v>38053</v>
      </c>
      <c r="L1649" s="11" t="s">
        <v>2953</v>
      </c>
      <c r="M1649" s="11" t="s">
        <v>2954</v>
      </c>
      <c r="O1649" s="3">
        <v>44887</v>
      </c>
      <c r="S1649" s="4" t="s">
        <v>16</v>
      </c>
    </row>
    <row r="1650" spans="1:19" x14ac:dyDescent="0.3">
      <c r="C1650" s="3">
        <v>44888</v>
      </c>
      <c r="D1650" s="39" t="s">
        <v>2957</v>
      </c>
      <c r="E1650" s="11" t="s">
        <v>3075</v>
      </c>
      <c r="G1650" s="7" t="s">
        <v>2958</v>
      </c>
      <c r="I1650" s="17">
        <v>37489</v>
      </c>
      <c r="L1650" s="11" t="s">
        <v>2959</v>
      </c>
      <c r="M1650" s="11" t="s">
        <v>3074</v>
      </c>
      <c r="O1650" s="3">
        <v>44888</v>
      </c>
      <c r="R1650" s="4" t="s">
        <v>2960</v>
      </c>
    </row>
    <row r="1651" spans="1:19" x14ac:dyDescent="0.3">
      <c r="C1651" s="3">
        <v>44889</v>
      </c>
      <c r="D1651" s="39" t="s">
        <v>2966</v>
      </c>
      <c r="E1651" s="11" t="s">
        <v>2968</v>
      </c>
      <c r="G1651" s="7" t="s">
        <v>2967</v>
      </c>
      <c r="O1651" s="3">
        <v>44889</v>
      </c>
      <c r="R1651" s="4" t="s">
        <v>19</v>
      </c>
    </row>
    <row r="1652" spans="1:19" x14ac:dyDescent="0.3">
      <c r="C1652" s="3">
        <v>44893</v>
      </c>
      <c r="D1652" s="39" t="s">
        <v>2971</v>
      </c>
      <c r="E1652" s="11" t="s">
        <v>2990</v>
      </c>
      <c r="G1652" s="7" t="s">
        <v>2970</v>
      </c>
      <c r="I1652" s="17">
        <v>38353</v>
      </c>
      <c r="L1652" s="11" t="s">
        <v>2972</v>
      </c>
      <c r="M1652" s="11" t="s">
        <v>1347</v>
      </c>
      <c r="O1652" s="4" t="s">
        <v>15</v>
      </c>
      <c r="R1652" s="4" t="s">
        <v>2973</v>
      </c>
    </row>
    <row r="1653" spans="1:19" x14ac:dyDescent="0.3">
      <c r="C1653" s="3">
        <v>44894</v>
      </c>
      <c r="D1653" s="39" t="s">
        <v>2980</v>
      </c>
      <c r="G1653" s="7" t="s">
        <v>2978</v>
      </c>
      <c r="I1653" s="17">
        <v>36046</v>
      </c>
      <c r="L1653" s="11" t="s">
        <v>2981</v>
      </c>
      <c r="M1653" s="11" t="s">
        <v>2979</v>
      </c>
      <c r="O1653" s="3">
        <v>44894</v>
      </c>
      <c r="R1653" s="4" t="s">
        <v>2982</v>
      </c>
    </row>
    <row r="1654" spans="1:19" x14ac:dyDescent="0.3">
      <c r="C1654" s="3">
        <v>44896</v>
      </c>
      <c r="D1654" s="39" t="s">
        <v>2995</v>
      </c>
      <c r="E1654" s="11" t="s">
        <v>3001</v>
      </c>
      <c r="G1654" s="7" t="s">
        <v>2989</v>
      </c>
      <c r="I1654" s="17">
        <v>36892</v>
      </c>
      <c r="L1654" s="11" t="s">
        <v>2999</v>
      </c>
      <c r="M1654" s="11" t="s">
        <v>3000</v>
      </c>
      <c r="O1654" s="3">
        <v>44894</v>
      </c>
      <c r="R1654" s="4" t="s">
        <v>19</v>
      </c>
      <c r="S1654" s="4" t="s">
        <v>19</v>
      </c>
    </row>
    <row r="1655" spans="1:19" x14ac:dyDescent="0.3">
      <c r="C1655" s="3">
        <v>44898</v>
      </c>
      <c r="D1655" s="39" t="s">
        <v>2996</v>
      </c>
      <c r="G1655" s="7" t="s">
        <v>3009</v>
      </c>
      <c r="M1655" s="11" t="s">
        <v>3010</v>
      </c>
      <c r="O1655" s="3">
        <v>44898</v>
      </c>
      <c r="S1655" s="4" t="s">
        <v>19</v>
      </c>
    </row>
    <row r="1656" spans="1:19" x14ac:dyDescent="0.3">
      <c r="C1656" s="3">
        <v>44900</v>
      </c>
      <c r="D1656" s="39" t="s">
        <v>3005</v>
      </c>
      <c r="E1656" s="11" t="s">
        <v>3016</v>
      </c>
      <c r="G1656" s="7" t="s">
        <v>3004</v>
      </c>
      <c r="I1656" s="17">
        <v>29221</v>
      </c>
      <c r="L1656" s="11" t="s">
        <v>3007</v>
      </c>
      <c r="M1656" s="11" t="s">
        <v>3006</v>
      </c>
      <c r="O1656" s="3">
        <v>44900</v>
      </c>
      <c r="R1656" s="4" t="s">
        <v>3008</v>
      </c>
      <c r="S1656" s="4" t="s">
        <v>19</v>
      </c>
    </row>
    <row r="1657" spans="1:19" x14ac:dyDescent="0.3">
      <c r="C1657" s="3">
        <v>44901</v>
      </c>
      <c r="D1657" s="39" t="s">
        <v>3011</v>
      </c>
      <c r="E1657" s="11" t="s">
        <v>3040</v>
      </c>
      <c r="G1657" s="7" t="s">
        <v>3012</v>
      </c>
      <c r="I1657" s="17">
        <v>37887</v>
      </c>
      <c r="L1657" s="11" t="s">
        <v>3014</v>
      </c>
      <c r="M1657" s="37" t="s">
        <v>3041</v>
      </c>
      <c r="N1657" s="37"/>
      <c r="O1657" s="3">
        <v>44901</v>
      </c>
      <c r="R1657" s="4" t="s">
        <v>19</v>
      </c>
      <c r="S1657" s="4" t="s">
        <v>19</v>
      </c>
    </row>
    <row r="1658" spans="1:19" x14ac:dyDescent="0.3">
      <c r="C1658" s="3">
        <v>44903</v>
      </c>
      <c r="D1658" s="39" t="s">
        <v>3019</v>
      </c>
      <c r="E1658" s="11" t="s">
        <v>3092</v>
      </c>
      <c r="G1658" s="7" t="s">
        <v>1001</v>
      </c>
      <c r="I1658" s="17">
        <v>33726</v>
      </c>
      <c r="L1658" s="11" t="s">
        <v>3020</v>
      </c>
      <c r="M1658" s="11" t="s">
        <v>3021</v>
      </c>
      <c r="O1658" s="3">
        <v>44903</v>
      </c>
    </row>
    <row r="1659" spans="1:19" x14ac:dyDescent="0.3">
      <c r="C1659" s="3">
        <v>44904</v>
      </c>
      <c r="D1659" s="39" t="s">
        <v>3026</v>
      </c>
      <c r="E1659" s="11" t="s">
        <v>3048</v>
      </c>
      <c r="G1659" s="7" t="s">
        <v>3083</v>
      </c>
      <c r="I1659" s="17">
        <v>32883</v>
      </c>
      <c r="L1659" s="11" t="s">
        <v>3084</v>
      </c>
      <c r="M1659" s="11" t="s">
        <v>3085</v>
      </c>
      <c r="O1659" s="3">
        <v>44904</v>
      </c>
    </row>
    <row r="1660" spans="1:19" x14ac:dyDescent="0.3">
      <c r="C1660" s="3">
        <v>44908</v>
      </c>
      <c r="D1660" s="39" t="s">
        <v>3046</v>
      </c>
      <c r="G1660" s="7" t="s">
        <v>3049</v>
      </c>
      <c r="I1660" s="17">
        <v>28872</v>
      </c>
      <c r="L1660" s="11" t="s">
        <v>3050</v>
      </c>
      <c r="M1660" s="11" t="s">
        <v>3051</v>
      </c>
      <c r="O1660" s="3">
        <v>44908</v>
      </c>
      <c r="R1660" s="4" t="s">
        <v>16</v>
      </c>
    </row>
    <row r="1661" spans="1:19" x14ac:dyDescent="0.3">
      <c r="C1661" s="3">
        <v>44908</v>
      </c>
      <c r="D1661" s="39" t="s">
        <v>3047</v>
      </c>
      <c r="G1661" s="7" t="s">
        <v>3052</v>
      </c>
      <c r="I1661" s="17">
        <v>19798</v>
      </c>
      <c r="L1661" s="11" t="s">
        <v>3053</v>
      </c>
      <c r="M1661" s="11" t="s">
        <v>3480</v>
      </c>
      <c r="O1661" s="3">
        <v>44908</v>
      </c>
      <c r="R1661" s="4" t="s">
        <v>14</v>
      </c>
    </row>
    <row r="1662" spans="1:19" x14ac:dyDescent="0.3">
      <c r="C1662" s="3">
        <v>44908</v>
      </c>
      <c r="D1662" s="39" t="s">
        <v>3058</v>
      </c>
      <c r="G1662" s="7" t="s">
        <v>3057</v>
      </c>
      <c r="I1662" s="17">
        <v>37715</v>
      </c>
      <c r="M1662" s="11" t="s">
        <v>3090</v>
      </c>
    </row>
    <row r="1663" spans="1:19" x14ac:dyDescent="0.3">
      <c r="C1663" s="3">
        <v>44911</v>
      </c>
      <c r="D1663" s="39" t="s">
        <v>3069</v>
      </c>
      <c r="G1663" s="7" t="s">
        <v>3068</v>
      </c>
      <c r="I1663" s="17">
        <v>31463</v>
      </c>
      <c r="L1663" s="11" t="s">
        <v>3089</v>
      </c>
      <c r="M1663" s="11" t="s">
        <v>3070</v>
      </c>
      <c r="O1663" s="3">
        <v>44911</v>
      </c>
      <c r="R1663" s="4" t="s">
        <v>16</v>
      </c>
    </row>
    <row r="1664" spans="1:19" x14ac:dyDescent="0.3">
      <c r="C1664" s="3">
        <v>44911</v>
      </c>
      <c r="D1664" s="39" t="s">
        <v>3072</v>
      </c>
      <c r="E1664" s="11" t="s">
        <v>3092</v>
      </c>
      <c r="G1664" s="7" t="s">
        <v>192</v>
      </c>
      <c r="M1664" s="11" t="s">
        <v>3073</v>
      </c>
      <c r="R1664" s="4" t="s">
        <v>16</v>
      </c>
    </row>
    <row r="1665" spans="3:18" x14ac:dyDescent="0.3">
      <c r="C1665" s="3">
        <v>44912</v>
      </c>
      <c r="D1665" s="39" t="s">
        <v>3081</v>
      </c>
      <c r="E1665" s="11" t="s">
        <v>3112</v>
      </c>
      <c r="G1665" s="7" t="s">
        <v>3080</v>
      </c>
      <c r="I1665" s="17">
        <v>33002</v>
      </c>
      <c r="L1665" s="11" t="s">
        <v>3094</v>
      </c>
      <c r="M1665" s="11" t="s">
        <v>3082</v>
      </c>
      <c r="O1665" s="3">
        <v>44912</v>
      </c>
      <c r="R1665" s="4" t="s">
        <v>16</v>
      </c>
    </row>
    <row r="1666" spans="3:18" x14ac:dyDescent="0.3">
      <c r="C1666" s="3">
        <v>44922</v>
      </c>
      <c r="D1666" s="11" t="s">
        <v>3097</v>
      </c>
      <c r="E1666" s="11" t="s">
        <v>3112</v>
      </c>
      <c r="G1666" s="7" t="s">
        <v>3096</v>
      </c>
      <c r="I1666" s="17">
        <v>38636</v>
      </c>
      <c r="L1666" s="11" t="s">
        <v>3098</v>
      </c>
      <c r="M1666" s="11" t="s">
        <v>3099</v>
      </c>
      <c r="R1666" s="4" t="s">
        <v>19</v>
      </c>
    </row>
    <row r="1667" spans="3:18" x14ac:dyDescent="0.3">
      <c r="C1667" s="3">
        <v>44923</v>
      </c>
      <c r="D1667" s="11" t="s">
        <v>3100</v>
      </c>
      <c r="E1667" s="11" t="s">
        <v>3113</v>
      </c>
      <c r="G1667" s="7" t="s">
        <v>3101</v>
      </c>
      <c r="I1667" s="17">
        <v>44696</v>
      </c>
      <c r="L1667" s="11" t="s">
        <v>3102</v>
      </c>
      <c r="M1667" s="11" t="s">
        <v>3103</v>
      </c>
      <c r="O1667" s="3">
        <v>44923</v>
      </c>
      <c r="R1667" s="4" t="s">
        <v>3104</v>
      </c>
    </row>
    <row r="1668" spans="3:18" x14ac:dyDescent="0.3">
      <c r="C1668" s="3">
        <v>44933</v>
      </c>
      <c r="D1668" s="11" t="s">
        <v>3105</v>
      </c>
      <c r="E1668" s="11" t="s">
        <v>3124</v>
      </c>
      <c r="G1668" s="7" t="s">
        <v>3107</v>
      </c>
      <c r="I1668" s="17">
        <v>28406</v>
      </c>
      <c r="L1668" s="11" t="s">
        <v>3123</v>
      </c>
      <c r="M1668" s="11" t="s">
        <v>3106</v>
      </c>
      <c r="R1668" s="4" t="s">
        <v>16</v>
      </c>
    </row>
    <row r="1669" spans="3:18" x14ac:dyDescent="0.3">
      <c r="C1669" s="3">
        <v>44936</v>
      </c>
      <c r="D1669" s="11" t="s">
        <v>3130</v>
      </c>
      <c r="E1669" s="11" t="s">
        <v>3131</v>
      </c>
      <c r="G1669" s="7" t="s">
        <v>3132</v>
      </c>
      <c r="I1669" s="17">
        <v>37963</v>
      </c>
      <c r="M1669" s="11" t="s">
        <v>3133</v>
      </c>
      <c r="O1669" s="3">
        <v>44573</v>
      </c>
    </row>
    <row r="1670" spans="3:18" x14ac:dyDescent="0.3">
      <c r="C1670" s="3">
        <v>44949</v>
      </c>
      <c r="D1670" s="11" t="s">
        <v>3151</v>
      </c>
      <c r="E1670" s="11" t="s">
        <v>3182</v>
      </c>
      <c r="G1670" s="7" t="s">
        <v>3152</v>
      </c>
      <c r="I1670" s="17">
        <v>29640</v>
      </c>
      <c r="L1670" s="11" t="s">
        <v>3153</v>
      </c>
      <c r="M1670" s="11" t="s">
        <v>3154</v>
      </c>
      <c r="O1670" s="3">
        <v>44949</v>
      </c>
      <c r="R1670" s="4" t="s">
        <v>16</v>
      </c>
    </row>
    <row r="1671" spans="3:18" x14ac:dyDescent="0.3">
      <c r="C1671" s="3">
        <v>44951</v>
      </c>
      <c r="D1671" s="11" t="s">
        <v>3161</v>
      </c>
      <c r="E1671" s="11" t="s">
        <v>3209</v>
      </c>
      <c r="G1671" s="7" t="s">
        <v>3162</v>
      </c>
      <c r="I1671" s="17">
        <v>23448</v>
      </c>
      <c r="L1671" s="11" t="s">
        <v>3163</v>
      </c>
      <c r="M1671" s="11" t="s">
        <v>3164</v>
      </c>
      <c r="O1671" s="3">
        <v>44951</v>
      </c>
      <c r="R1671" s="4" t="s">
        <v>16</v>
      </c>
    </row>
    <row r="1672" spans="3:18" x14ac:dyDescent="0.3">
      <c r="C1672" s="3">
        <v>44953</v>
      </c>
      <c r="D1672" s="11" t="s">
        <v>3175</v>
      </c>
      <c r="E1672" s="11" t="s">
        <v>3199</v>
      </c>
      <c r="G1672" s="7" t="s">
        <v>3177</v>
      </c>
      <c r="I1672" s="17">
        <v>36992</v>
      </c>
      <c r="L1672" s="11" t="s">
        <v>3178</v>
      </c>
      <c r="M1672" s="11" t="s">
        <v>3200</v>
      </c>
    </row>
    <row r="1673" spans="3:18" x14ac:dyDescent="0.3">
      <c r="C1673" s="3">
        <v>44953</v>
      </c>
      <c r="D1673" s="11" t="s">
        <v>3176</v>
      </c>
      <c r="E1673" s="11" t="s">
        <v>3190</v>
      </c>
      <c r="G1673" s="7" t="s">
        <v>3179</v>
      </c>
      <c r="I1673" s="17">
        <v>15846</v>
      </c>
      <c r="L1673" s="11" t="s">
        <v>3180</v>
      </c>
      <c r="M1673" s="11" t="s">
        <v>3181</v>
      </c>
      <c r="R1673" s="4" t="s">
        <v>16</v>
      </c>
    </row>
    <row r="1674" spans="3:18" x14ac:dyDescent="0.3">
      <c r="C1674" s="3">
        <v>44957</v>
      </c>
      <c r="D1674" s="11" t="s">
        <v>3195</v>
      </c>
      <c r="E1674" s="11" t="s">
        <v>3209</v>
      </c>
      <c r="G1674" s="7" t="s">
        <v>3194</v>
      </c>
      <c r="I1674" s="17">
        <v>34700</v>
      </c>
      <c r="L1674" s="11" t="s">
        <v>3196</v>
      </c>
      <c r="M1674" s="11" t="s">
        <v>3197</v>
      </c>
      <c r="O1674" s="3">
        <v>44957</v>
      </c>
      <c r="P1674" s="3">
        <v>44957</v>
      </c>
      <c r="R1674" s="4" t="s">
        <v>16</v>
      </c>
    </row>
    <row r="1675" spans="3:18" x14ac:dyDescent="0.3">
      <c r="C1675" s="3">
        <v>44959</v>
      </c>
      <c r="D1675" s="11" t="s">
        <v>3213</v>
      </c>
      <c r="E1675" s="11" t="s">
        <v>3217</v>
      </c>
      <c r="G1675" s="7" t="s">
        <v>3214</v>
      </c>
      <c r="I1675" s="17">
        <v>24473</v>
      </c>
      <c r="L1675" s="11" t="s">
        <v>3216</v>
      </c>
      <c r="M1675" s="11" t="s">
        <v>3215</v>
      </c>
      <c r="O1675" s="3">
        <v>44960</v>
      </c>
      <c r="R1675" s="4" t="s">
        <v>16</v>
      </c>
    </row>
    <row r="1676" spans="3:18" x14ac:dyDescent="0.3">
      <c r="C1676" s="3">
        <v>44989</v>
      </c>
      <c r="D1676" s="11" t="s">
        <v>3220</v>
      </c>
      <c r="E1676" s="11" t="s">
        <v>3250</v>
      </c>
      <c r="G1676" s="7" t="s">
        <v>3219</v>
      </c>
      <c r="I1676" s="17">
        <v>28856</v>
      </c>
      <c r="L1676" s="11" t="s">
        <v>3221</v>
      </c>
      <c r="M1676" s="11" t="s">
        <v>1871</v>
      </c>
      <c r="O1676" s="3">
        <v>44961</v>
      </c>
      <c r="R1676" s="4" t="s">
        <v>14</v>
      </c>
    </row>
    <row r="1677" spans="3:18" x14ac:dyDescent="0.3">
      <c r="C1677" s="3">
        <v>44989</v>
      </c>
      <c r="D1677" s="11" t="s">
        <v>3226</v>
      </c>
      <c r="E1677" s="11" t="s">
        <v>3233</v>
      </c>
      <c r="G1677" s="7" t="s">
        <v>3225</v>
      </c>
      <c r="I1677" s="17">
        <v>37110</v>
      </c>
      <c r="L1677" s="11" t="s">
        <v>3227</v>
      </c>
      <c r="M1677" s="11" t="s">
        <v>3228</v>
      </c>
      <c r="O1677" s="3">
        <v>44961</v>
      </c>
      <c r="R1677" s="4" t="s">
        <v>19</v>
      </c>
    </row>
    <row r="1678" spans="3:18" x14ac:dyDescent="0.3">
      <c r="C1678" s="3">
        <v>44979</v>
      </c>
      <c r="D1678" s="11" t="s">
        <v>3258</v>
      </c>
      <c r="E1678" s="11" t="s">
        <v>3271</v>
      </c>
      <c r="G1678" s="7" t="s">
        <v>3259</v>
      </c>
      <c r="I1678" s="17">
        <v>34829</v>
      </c>
      <c r="L1678" s="11" t="s">
        <v>3260</v>
      </c>
      <c r="M1678" s="11" t="s">
        <v>3272</v>
      </c>
      <c r="O1678" s="3">
        <v>44961</v>
      </c>
      <c r="R1678" s="4" t="s">
        <v>16</v>
      </c>
    </row>
    <row r="1679" spans="3:18" x14ac:dyDescent="0.3">
      <c r="C1679" s="3">
        <v>44981</v>
      </c>
      <c r="D1679" s="11" t="s">
        <v>3279</v>
      </c>
      <c r="E1679" s="11" t="s">
        <v>3309</v>
      </c>
      <c r="G1679" s="7" t="s">
        <v>3280</v>
      </c>
      <c r="I1679" s="17">
        <v>24602</v>
      </c>
      <c r="L1679" s="11" t="s">
        <v>3285</v>
      </c>
      <c r="M1679" s="11" t="s">
        <v>3315</v>
      </c>
      <c r="R1679" s="4" t="s">
        <v>16</v>
      </c>
    </row>
    <row r="1680" spans="3:18" x14ac:dyDescent="0.3">
      <c r="C1680" s="3">
        <v>44981</v>
      </c>
      <c r="D1680" s="11" t="s">
        <v>3275</v>
      </c>
      <c r="E1680" s="11" t="s">
        <v>3297</v>
      </c>
      <c r="G1680" s="7" t="s">
        <v>3276</v>
      </c>
      <c r="I1680" s="17">
        <v>36043</v>
      </c>
      <c r="L1680" s="11" t="s">
        <v>3286</v>
      </c>
      <c r="M1680" s="11" t="s">
        <v>3298</v>
      </c>
      <c r="O1680" s="3">
        <v>44981</v>
      </c>
      <c r="P1680" s="3">
        <v>44981</v>
      </c>
      <c r="R1680" s="4" t="s">
        <v>16</v>
      </c>
    </row>
    <row r="1681" spans="3:18" x14ac:dyDescent="0.3">
      <c r="C1681" s="3">
        <v>44981</v>
      </c>
      <c r="D1681" s="11" t="s">
        <v>3281</v>
      </c>
      <c r="E1681" s="11" t="s">
        <v>3304</v>
      </c>
      <c r="G1681" s="7" t="s">
        <v>3282</v>
      </c>
      <c r="I1681" s="17">
        <v>26863</v>
      </c>
      <c r="L1681" s="11" t="s">
        <v>3284</v>
      </c>
      <c r="M1681" s="11" t="s">
        <v>3283</v>
      </c>
      <c r="R1681" s="4" t="s">
        <v>16</v>
      </c>
    </row>
    <row r="1682" spans="3:18" x14ac:dyDescent="0.3">
      <c r="C1682" s="3">
        <v>44986</v>
      </c>
      <c r="D1682" s="11" t="s">
        <v>3011</v>
      </c>
      <c r="E1682" s="11" t="s">
        <v>3309</v>
      </c>
      <c r="G1682" s="7" t="s">
        <v>3308</v>
      </c>
      <c r="R1682" s="4" t="s">
        <v>16</v>
      </c>
    </row>
    <row r="1683" spans="3:18" x14ac:dyDescent="0.3">
      <c r="C1683" s="3">
        <v>44986</v>
      </c>
      <c r="D1683" s="11" t="s">
        <v>3310</v>
      </c>
      <c r="E1683" s="11" t="s">
        <v>3309</v>
      </c>
      <c r="G1683" s="7" t="s">
        <v>3311</v>
      </c>
      <c r="L1683" s="11" t="s">
        <v>3319</v>
      </c>
      <c r="M1683" s="11" t="s">
        <v>3318</v>
      </c>
      <c r="R1683" s="4" t="s">
        <v>16</v>
      </c>
    </row>
    <row r="1684" spans="3:18" x14ac:dyDescent="0.3">
      <c r="C1684" s="3">
        <v>44987</v>
      </c>
      <c r="D1684" s="11" t="s">
        <v>3312</v>
      </c>
      <c r="E1684" s="11" t="s">
        <v>3321</v>
      </c>
      <c r="G1684" s="7" t="s">
        <v>8907</v>
      </c>
      <c r="I1684" s="17">
        <v>35291</v>
      </c>
      <c r="L1684" s="11" t="s">
        <v>3313</v>
      </c>
      <c r="M1684" s="11" t="s">
        <v>3314</v>
      </c>
      <c r="O1684" s="3">
        <v>44987</v>
      </c>
      <c r="P1684" s="3">
        <v>44987</v>
      </c>
      <c r="R1684" s="4" t="s">
        <v>16</v>
      </c>
    </row>
    <row r="1685" spans="3:18" x14ac:dyDescent="0.3">
      <c r="C1685" s="3">
        <v>44989</v>
      </c>
      <c r="D1685" s="11" t="s">
        <v>3322</v>
      </c>
      <c r="E1685" s="11" t="s">
        <v>3350</v>
      </c>
      <c r="G1685" s="7" t="s">
        <v>3323</v>
      </c>
      <c r="I1685" s="17">
        <v>23011</v>
      </c>
      <c r="L1685" s="11" t="s">
        <v>3324</v>
      </c>
      <c r="M1685" s="11" t="s">
        <v>3325</v>
      </c>
      <c r="O1685" s="3">
        <v>44989</v>
      </c>
      <c r="R1685" s="4" t="s">
        <v>16</v>
      </c>
    </row>
    <row r="1686" spans="3:18" x14ac:dyDescent="0.3">
      <c r="C1686" s="3">
        <v>44991</v>
      </c>
      <c r="D1686" s="11" t="s">
        <v>3337</v>
      </c>
      <c r="E1686" s="11" t="s">
        <v>3354</v>
      </c>
      <c r="G1686" s="7" t="s">
        <v>3338</v>
      </c>
      <c r="L1686" s="11" t="s">
        <v>3339</v>
      </c>
      <c r="M1686" s="11" t="s">
        <v>3340</v>
      </c>
      <c r="O1686" s="3">
        <v>44991</v>
      </c>
      <c r="R1686" s="4" t="s">
        <v>16</v>
      </c>
    </row>
    <row r="1687" spans="3:18" x14ac:dyDescent="0.3">
      <c r="C1687" s="3">
        <v>45000</v>
      </c>
      <c r="D1687" s="11" t="s">
        <v>3372</v>
      </c>
      <c r="G1687" s="7" t="s">
        <v>3373</v>
      </c>
      <c r="M1687" s="11" t="s">
        <v>3374</v>
      </c>
      <c r="O1687" s="3">
        <v>45000</v>
      </c>
      <c r="R1687" s="4" t="s">
        <v>16</v>
      </c>
    </row>
    <row r="1688" spans="3:18" x14ac:dyDescent="0.3">
      <c r="C1688" s="3">
        <v>45000</v>
      </c>
      <c r="D1688" s="11" t="s">
        <v>3375</v>
      </c>
      <c r="E1688" s="11" t="s">
        <v>3382</v>
      </c>
      <c r="G1688" s="7" t="s">
        <v>3381</v>
      </c>
      <c r="I1688" s="17">
        <v>37931</v>
      </c>
      <c r="L1688" s="11" t="s">
        <v>3383</v>
      </c>
      <c r="M1688" s="11" t="s">
        <v>3376</v>
      </c>
      <c r="O1688" s="4" t="s">
        <v>19</v>
      </c>
      <c r="R1688" s="4" t="s">
        <v>16</v>
      </c>
    </row>
    <row r="1689" spans="3:18" x14ac:dyDescent="0.3">
      <c r="C1689" s="3">
        <v>45003</v>
      </c>
      <c r="D1689" s="11" t="s">
        <v>3389</v>
      </c>
      <c r="E1689" s="11" t="s">
        <v>3391</v>
      </c>
      <c r="G1689" s="25" t="s">
        <v>1837</v>
      </c>
      <c r="I1689" s="17">
        <v>37854</v>
      </c>
      <c r="M1689" s="11" t="s">
        <v>3392</v>
      </c>
      <c r="O1689" s="4" t="s">
        <v>19</v>
      </c>
    </row>
    <row r="1690" spans="3:18" x14ac:dyDescent="0.3">
      <c r="C1690" s="3">
        <v>45007</v>
      </c>
      <c r="D1690" s="11" t="s">
        <v>3399</v>
      </c>
      <c r="E1690" s="11" t="s">
        <v>3429</v>
      </c>
      <c r="G1690" s="40" t="s">
        <v>3400</v>
      </c>
      <c r="M1690" s="11" t="s">
        <v>3431</v>
      </c>
    </row>
    <row r="1691" spans="3:18" x14ac:dyDescent="0.3">
      <c r="C1691" s="3">
        <v>45008</v>
      </c>
      <c r="D1691" s="11" t="s">
        <v>3403</v>
      </c>
      <c r="E1691" s="11" t="s">
        <v>3422</v>
      </c>
      <c r="G1691" s="7" t="s">
        <v>3406</v>
      </c>
      <c r="I1691" s="17">
        <v>28126</v>
      </c>
      <c r="L1691" s="11" t="s">
        <v>3405</v>
      </c>
      <c r="M1691" s="11" t="s">
        <v>3404</v>
      </c>
      <c r="O1691" s="3">
        <v>45008</v>
      </c>
      <c r="R1691" s="4" t="s">
        <v>16</v>
      </c>
    </row>
    <row r="1692" spans="3:18" x14ac:dyDescent="0.3">
      <c r="C1692" s="3">
        <v>45008</v>
      </c>
      <c r="D1692" s="11" t="s">
        <v>3412</v>
      </c>
      <c r="E1692" s="11" t="s">
        <v>3429</v>
      </c>
      <c r="G1692" s="7" t="s">
        <v>3413</v>
      </c>
      <c r="I1692" s="17">
        <v>18629</v>
      </c>
      <c r="L1692" s="11" t="s">
        <v>3414</v>
      </c>
      <c r="M1692">
        <v>8789300498</v>
      </c>
      <c r="N1692"/>
      <c r="O1692" s="3">
        <v>45014</v>
      </c>
      <c r="R1692" s="4" t="s">
        <v>16</v>
      </c>
    </row>
    <row r="1693" spans="3:18" x14ac:dyDescent="0.3">
      <c r="C1693" s="3">
        <v>45012</v>
      </c>
      <c r="D1693" s="11" t="s">
        <v>3420</v>
      </c>
      <c r="E1693" s="11" t="s">
        <v>3424</v>
      </c>
      <c r="G1693" s="7" t="s">
        <v>3421</v>
      </c>
      <c r="I1693" s="17">
        <v>33239</v>
      </c>
      <c r="L1693" s="11" t="s">
        <v>3423</v>
      </c>
      <c r="M1693" s="11" t="s">
        <v>9370</v>
      </c>
      <c r="O1693" s="3">
        <v>45011</v>
      </c>
      <c r="R1693" s="4" t="s">
        <v>9369</v>
      </c>
    </row>
    <row r="1694" spans="3:18" x14ac:dyDescent="0.3">
      <c r="C1694" s="3">
        <v>45020</v>
      </c>
      <c r="D1694" s="37" t="s">
        <v>3456</v>
      </c>
      <c r="E1694" s="37" t="s">
        <v>3482</v>
      </c>
      <c r="F1694" s="37"/>
      <c r="G1694" s="8" t="s">
        <v>3459</v>
      </c>
      <c r="H1694" s="8"/>
      <c r="I1694" s="150">
        <v>40576</v>
      </c>
      <c r="L1694" s="11" t="s">
        <v>3460</v>
      </c>
      <c r="M1694" s="11" t="s">
        <v>3483</v>
      </c>
      <c r="O1694" s="4" t="s">
        <v>19</v>
      </c>
      <c r="R1694" s="4" t="s">
        <v>19</v>
      </c>
    </row>
    <row r="1695" spans="3:18" x14ac:dyDescent="0.3">
      <c r="C1695" s="3">
        <v>45022</v>
      </c>
      <c r="D1695" s="11" t="s">
        <v>2797</v>
      </c>
      <c r="E1695" s="11" t="s">
        <v>3472</v>
      </c>
      <c r="G1695" s="7" t="s">
        <v>3463</v>
      </c>
      <c r="I1695" s="17">
        <v>38416</v>
      </c>
      <c r="L1695" s="11" t="s">
        <v>3465</v>
      </c>
      <c r="M1695" s="11" t="s">
        <v>3464</v>
      </c>
      <c r="O1695" s="3">
        <v>45022</v>
      </c>
      <c r="R1695" s="4" t="s">
        <v>16</v>
      </c>
    </row>
    <row r="1696" spans="3:18" x14ac:dyDescent="0.3">
      <c r="C1696" s="3">
        <v>45026</v>
      </c>
      <c r="D1696" s="11" t="s">
        <v>3477</v>
      </c>
      <c r="E1696" s="11" t="s">
        <v>3481</v>
      </c>
      <c r="G1696" s="7" t="s">
        <v>3478</v>
      </c>
      <c r="I1696" s="17">
        <v>20634</v>
      </c>
      <c r="M1696" s="11" t="s">
        <v>3480</v>
      </c>
      <c r="O1696" s="3">
        <v>45026</v>
      </c>
    </row>
    <row r="1697" spans="3:18" x14ac:dyDescent="0.3">
      <c r="C1697" s="3">
        <v>45028</v>
      </c>
      <c r="D1697" s="11" t="s">
        <v>3486</v>
      </c>
      <c r="E1697" s="11" t="s">
        <v>3497</v>
      </c>
      <c r="G1697" s="7" t="s">
        <v>3489</v>
      </c>
      <c r="I1697" s="17">
        <v>37813</v>
      </c>
      <c r="L1697" s="11" t="s">
        <v>3490</v>
      </c>
      <c r="M1697" s="11" t="s">
        <v>3498</v>
      </c>
      <c r="O1697" s="3">
        <v>45028</v>
      </c>
      <c r="R1697" s="4" t="s">
        <v>16</v>
      </c>
    </row>
    <row r="1698" spans="3:18" x14ac:dyDescent="0.3">
      <c r="C1698" s="3">
        <v>45029</v>
      </c>
      <c r="D1698" s="11" t="s">
        <v>3487</v>
      </c>
      <c r="E1698" s="11" t="s">
        <v>3500</v>
      </c>
      <c r="G1698" s="7" t="s">
        <v>252</v>
      </c>
      <c r="L1698" s="11" t="s">
        <v>3491</v>
      </c>
      <c r="M1698" s="11" t="s">
        <v>3488</v>
      </c>
      <c r="O1698" s="3">
        <v>45029</v>
      </c>
      <c r="R1698" s="4" t="s">
        <v>16</v>
      </c>
    </row>
    <row r="1699" spans="3:18" x14ac:dyDescent="0.3">
      <c r="C1699" s="3">
        <v>45029</v>
      </c>
      <c r="D1699" s="11" t="s">
        <v>3493</v>
      </c>
      <c r="E1699" s="11" t="s">
        <v>3497</v>
      </c>
      <c r="G1699" s="7" t="s">
        <v>3494</v>
      </c>
      <c r="I1699" s="17">
        <v>28385</v>
      </c>
      <c r="L1699" s="11" t="s">
        <v>3495</v>
      </c>
      <c r="M1699" s="11" t="s">
        <v>3492</v>
      </c>
      <c r="O1699" s="3">
        <v>45029</v>
      </c>
      <c r="R1699" s="4" t="s">
        <v>16</v>
      </c>
    </row>
    <row r="1700" spans="3:18" x14ac:dyDescent="0.3">
      <c r="C1700" s="3">
        <v>45040</v>
      </c>
      <c r="D1700" s="11" t="s">
        <v>3508</v>
      </c>
      <c r="E1700" s="11" t="s">
        <v>3509</v>
      </c>
      <c r="G1700" s="7" t="s">
        <v>3510</v>
      </c>
      <c r="L1700" s="11" t="s">
        <v>3511</v>
      </c>
      <c r="M1700" s="11" t="s">
        <v>3512</v>
      </c>
      <c r="O1700" s="3">
        <v>45040</v>
      </c>
      <c r="R1700" s="4" t="s">
        <v>16</v>
      </c>
    </row>
    <row r="1701" spans="3:18" x14ac:dyDescent="0.3">
      <c r="C1701" s="3">
        <v>45051</v>
      </c>
      <c r="D1701" s="11" t="s">
        <v>3532</v>
      </c>
      <c r="E1701" s="40" t="s">
        <v>3545</v>
      </c>
      <c r="F1701" s="40"/>
      <c r="G1701" s="7" t="s">
        <v>2970</v>
      </c>
      <c r="I1701" s="17">
        <v>40001</v>
      </c>
      <c r="L1701" s="11" t="s">
        <v>3534</v>
      </c>
      <c r="M1701" s="11" t="s">
        <v>3533</v>
      </c>
      <c r="O1701" s="4" t="s">
        <v>19</v>
      </c>
    </row>
    <row r="1702" spans="3:18" x14ac:dyDescent="0.3">
      <c r="C1702" s="3">
        <v>45051</v>
      </c>
      <c r="D1702" s="11" t="s">
        <v>3535</v>
      </c>
      <c r="E1702" s="40" t="s">
        <v>3545</v>
      </c>
      <c r="F1702" s="40"/>
      <c r="G1702" s="7" t="s">
        <v>3536</v>
      </c>
      <c r="L1702" s="11" t="s">
        <v>3547</v>
      </c>
      <c r="M1702" s="11" t="s">
        <v>3546</v>
      </c>
      <c r="O1702" s="4" t="s">
        <v>19</v>
      </c>
    </row>
    <row r="1703" spans="3:18" x14ac:dyDescent="0.3">
      <c r="C1703" s="3">
        <v>45054</v>
      </c>
      <c r="D1703" s="11" t="s">
        <v>3554</v>
      </c>
      <c r="G1703" s="7" t="s">
        <v>3555</v>
      </c>
      <c r="O1703" s="3">
        <v>45054</v>
      </c>
      <c r="R1703" s="4" t="s">
        <v>14</v>
      </c>
    </row>
    <row r="1704" spans="3:18" x14ac:dyDescent="0.3">
      <c r="C1704" s="3">
        <v>45055</v>
      </c>
      <c r="D1704" s="11" t="s">
        <v>3553</v>
      </c>
      <c r="E1704" s="11" t="s">
        <v>3559</v>
      </c>
      <c r="G1704" s="7" t="s">
        <v>3556</v>
      </c>
      <c r="L1704" s="11" t="s">
        <v>3560</v>
      </c>
      <c r="M1704" s="11" t="s">
        <v>3561</v>
      </c>
      <c r="O1704" s="3">
        <v>45055</v>
      </c>
      <c r="R1704" s="4" t="s">
        <v>14</v>
      </c>
    </row>
    <row r="1705" spans="3:18" x14ac:dyDescent="0.3">
      <c r="C1705" s="3">
        <v>45056</v>
      </c>
      <c r="D1705" s="11" t="s">
        <v>3566</v>
      </c>
      <c r="E1705" s="11" t="s">
        <v>3559</v>
      </c>
      <c r="G1705" s="7" t="s">
        <v>3568</v>
      </c>
      <c r="I1705" s="17">
        <v>34335</v>
      </c>
      <c r="L1705" s="11" t="s">
        <v>3569</v>
      </c>
      <c r="M1705" s="11" t="s">
        <v>3572</v>
      </c>
      <c r="O1705" s="3">
        <v>45056</v>
      </c>
      <c r="R1705" s="4" t="s">
        <v>19</v>
      </c>
    </row>
    <row r="1706" spans="3:18" x14ac:dyDescent="0.3">
      <c r="C1706" s="3">
        <v>45056</v>
      </c>
      <c r="D1706" s="11" t="s">
        <v>3567</v>
      </c>
      <c r="G1706" s="7" t="s">
        <v>3565</v>
      </c>
      <c r="I1706" s="17">
        <v>23411</v>
      </c>
      <c r="L1706" s="11" t="s">
        <v>3570</v>
      </c>
      <c r="M1706" s="11" t="s">
        <v>3579</v>
      </c>
      <c r="O1706" s="3">
        <v>45056</v>
      </c>
      <c r="R1706" s="4" t="s">
        <v>16</v>
      </c>
    </row>
    <row r="1707" spans="3:18" x14ac:dyDescent="0.3">
      <c r="C1707" s="3">
        <v>45056</v>
      </c>
      <c r="D1707" s="11" t="s">
        <v>3573</v>
      </c>
      <c r="E1707" s="11" t="s">
        <v>3583</v>
      </c>
      <c r="G1707" s="7" t="s">
        <v>3574</v>
      </c>
      <c r="I1707" s="17">
        <v>37998</v>
      </c>
      <c r="L1707" s="11" t="s">
        <v>3575</v>
      </c>
      <c r="M1707" s="11" t="s">
        <v>3576</v>
      </c>
      <c r="O1707" s="3">
        <v>45056</v>
      </c>
      <c r="R1707" s="4" t="s">
        <v>19</v>
      </c>
    </row>
    <row r="1708" spans="3:18" x14ac:dyDescent="0.3">
      <c r="C1708" s="3">
        <v>45061</v>
      </c>
      <c r="D1708" s="11" t="s">
        <v>3584</v>
      </c>
      <c r="G1708" s="7" t="s">
        <v>3585</v>
      </c>
      <c r="I1708" s="17">
        <v>40146</v>
      </c>
      <c r="L1708" s="11" t="s">
        <v>3586</v>
      </c>
      <c r="M1708" s="11" t="s">
        <v>1922</v>
      </c>
      <c r="O1708" s="4" t="s">
        <v>19</v>
      </c>
      <c r="P1708" s="4" t="s">
        <v>19</v>
      </c>
      <c r="Q1708" s="4" t="s">
        <v>19</v>
      </c>
      <c r="R1708" s="4" t="s">
        <v>19</v>
      </c>
    </row>
    <row r="1709" spans="3:18" x14ac:dyDescent="0.3">
      <c r="C1709" s="3">
        <v>45062</v>
      </c>
      <c r="D1709" s="11" t="s">
        <v>3588</v>
      </c>
      <c r="E1709" s="11" t="s">
        <v>3595</v>
      </c>
      <c r="G1709" s="7" t="s">
        <v>3593</v>
      </c>
      <c r="L1709" s="11" t="s">
        <v>3594</v>
      </c>
      <c r="M1709" s="11" t="s">
        <v>3572</v>
      </c>
      <c r="O1709" s="4" t="s">
        <v>19</v>
      </c>
      <c r="R1709" s="4" t="s">
        <v>16</v>
      </c>
    </row>
    <row r="1710" spans="3:18" x14ac:dyDescent="0.3">
      <c r="C1710" s="3">
        <v>45062</v>
      </c>
      <c r="D1710" s="11" t="s">
        <v>3589</v>
      </c>
      <c r="E1710" s="11" t="s">
        <v>3607</v>
      </c>
      <c r="G1710" s="7" t="s">
        <v>3591</v>
      </c>
      <c r="I1710" s="17">
        <v>35540</v>
      </c>
      <c r="L1710" s="11" t="s">
        <v>3592</v>
      </c>
      <c r="M1710" s="11" t="s">
        <v>3590</v>
      </c>
      <c r="O1710" s="4" t="s">
        <v>19</v>
      </c>
    </row>
    <row r="1711" spans="3:18" x14ac:dyDescent="0.3">
      <c r="C1711" s="3">
        <v>45062</v>
      </c>
      <c r="D1711" s="48">
        <v>5136</v>
      </c>
      <c r="E1711" s="11" t="s">
        <v>3609</v>
      </c>
      <c r="G1711" s="40" t="s">
        <v>3598</v>
      </c>
      <c r="L1711" s="11" t="s">
        <v>8297</v>
      </c>
      <c r="M1711" s="11" t="s">
        <v>3601</v>
      </c>
      <c r="O1711" s="4" t="s">
        <v>19</v>
      </c>
      <c r="R1711" s="4" t="s">
        <v>14</v>
      </c>
    </row>
    <row r="1712" spans="3:18" x14ac:dyDescent="0.3">
      <c r="C1712" s="3">
        <v>45062</v>
      </c>
      <c r="D1712" s="48">
        <v>5137</v>
      </c>
      <c r="E1712" s="11" t="s">
        <v>3609</v>
      </c>
      <c r="G1712" s="40" t="s">
        <v>3599</v>
      </c>
      <c r="L1712" s="11" t="s">
        <v>8298</v>
      </c>
      <c r="M1712" s="11" t="s">
        <v>3600</v>
      </c>
      <c r="O1712" s="4" t="s">
        <v>19</v>
      </c>
      <c r="R1712" s="4" t="s">
        <v>14</v>
      </c>
    </row>
    <row r="1713" spans="3:19" x14ac:dyDescent="0.3">
      <c r="C1713" s="3">
        <v>45068</v>
      </c>
      <c r="D1713" s="11" t="s">
        <v>3612</v>
      </c>
      <c r="E1713" s="11" t="s">
        <v>3683</v>
      </c>
      <c r="G1713" s="7" t="s">
        <v>3611</v>
      </c>
      <c r="L1713" s="11" t="s">
        <v>3614</v>
      </c>
      <c r="M1713" s="11" t="s">
        <v>3613</v>
      </c>
      <c r="O1713" s="4" t="s">
        <v>19</v>
      </c>
      <c r="R1713" s="4" t="s">
        <v>19</v>
      </c>
    </row>
    <row r="1714" spans="3:19" x14ac:dyDescent="0.3">
      <c r="C1714" s="3">
        <v>45073</v>
      </c>
      <c r="D1714" s="11" t="s">
        <v>3620</v>
      </c>
      <c r="E1714" s="11" t="s">
        <v>3651</v>
      </c>
      <c r="G1714" s="7" t="s">
        <v>3621</v>
      </c>
      <c r="I1714" s="17">
        <v>31090</v>
      </c>
      <c r="L1714" s="11" t="s">
        <v>3622</v>
      </c>
      <c r="M1714" s="11" t="s">
        <v>3619</v>
      </c>
      <c r="O1714" s="4" t="s">
        <v>19</v>
      </c>
      <c r="R1714" s="4" t="s">
        <v>14</v>
      </c>
    </row>
    <row r="1715" spans="3:19" x14ac:dyDescent="0.3">
      <c r="C1715" s="3">
        <v>45075</v>
      </c>
      <c r="D1715" s="11" t="s">
        <v>3630</v>
      </c>
      <c r="E1715" s="11" t="s">
        <v>3651</v>
      </c>
      <c r="G1715" s="7" t="s">
        <v>3627</v>
      </c>
      <c r="L1715" s="11" t="s">
        <v>3653</v>
      </c>
      <c r="M1715" s="11" t="s">
        <v>3652</v>
      </c>
      <c r="O1715" s="4" t="s">
        <v>19</v>
      </c>
      <c r="R1715" s="4" t="s">
        <v>14</v>
      </c>
    </row>
    <row r="1716" spans="3:19" x14ac:dyDescent="0.3">
      <c r="C1716" s="3">
        <v>45077</v>
      </c>
      <c r="D1716" s="11" t="s">
        <v>3635</v>
      </c>
      <c r="E1716" s="11" t="s">
        <v>3643</v>
      </c>
      <c r="G1716" s="7" t="s">
        <v>1446</v>
      </c>
      <c r="I1716" s="17">
        <v>29495</v>
      </c>
      <c r="L1716" s="11" t="s">
        <v>3636</v>
      </c>
      <c r="M1716" s="11" t="s">
        <v>3637</v>
      </c>
      <c r="O1716" s="4" t="s">
        <v>19</v>
      </c>
      <c r="R1716" s="4" t="s">
        <v>14</v>
      </c>
    </row>
    <row r="1717" spans="3:19" x14ac:dyDescent="0.3">
      <c r="C1717" s="3">
        <v>45087</v>
      </c>
      <c r="D1717" s="11" t="s">
        <v>3671</v>
      </c>
      <c r="E1717" s="11" t="s">
        <v>3672</v>
      </c>
      <c r="G1717" s="7" t="s">
        <v>3664</v>
      </c>
      <c r="O1717" s="4" t="s">
        <v>19</v>
      </c>
      <c r="P1717" s="4" t="s">
        <v>1549</v>
      </c>
      <c r="R1717" s="4" t="s">
        <v>14</v>
      </c>
    </row>
    <row r="1718" spans="3:19" x14ac:dyDescent="0.3">
      <c r="C1718" s="3">
        <v>45091</v>
      </c>
      <c r="D1718" s="11" t="s">
        <v>3676</v>
      </c>
      <c r="E1718" s="11" t="s">
        <v>3709</v>
      </c>
      <c r="G1718" s="7" t="s">
        <v>3489</v>
      </c>
      <c r="I1718" s="17">
        <v>38923</v>
      </c>
      <c r="M1718" s="11" t="s">
        <v>3708</v>
      </c>
      <c r="O1718" s="4" t="s">
        <v>19</v>
      </c>
      <c r="S1718" s="4" t="s">
        <v>3710</v>
      </c>
    </row>
    <row r="1719" spans="3:19" x14ac:dyDescent="0.3">
      <c r="C1719" s="3">
        <v>45091</v>
      </c>
      <c r="D1719" s="11" t="s">
        <v>3693</v>
      </c>
      <c r="E1719" s="11" t="s">
        <v>3694</v>
      </c>
      <c r="G1719" s="7" t="s">
        <v>3674</v>
      </c>
      <c r="I1719" s="17">
        <v>30857</v>
      </c>
      <c r="K1719" s="4">
        <v>10000</v>
      </c>
      <c r="M1719" s="11" t="s">
        <v>3675</v>
      </c>
      <c r="O1719" s="4" t="s">
        <v>16</v>
      </c>
      <c r="P1719" s="4" t="s">
        <v>16</v>
      </c>
      <c r="R1719" s="4" t="s">
        <v>16</v>
      </c>
    </row>
    <row r="1720" spans="3:19" x14ac:dyDescent="0.3">
      <c r="C1720" s="3">
        <v>45092</v>
      </c>
      <c r="D1720" s="11" t="s">
        <v>3678</v>
      </c>
      <c r="E1720" s="11" t="s">
        <v>3696</v>
      </c>
      <c r="G1720" s="7" t="s">
        <v>3680</v>
      </c>
      <c r="I1720" s="17">
        <v>25569</v>
      </c>
      <c r="K1720" s="4">
        <v>1000</v>
      </c>
      <c r="L1720" s="11" t="s">
        <v>3681</v>
      </c>
      <c r="M1720" s="11" t="s">
        <v>3679</v>
      </c>
      <c r="O1720" s="4" t="s">
        <v>16</v>
      </c>
      <c r="R1720" s="4" t="s">
        <v>16</v>
      </c>
    </row>
    <row r="1721" spans="3:19" x14ac:dyDescent="0.3">
      <c r="C1721" s="3">
        <v>45092</v>
      </c>
      <c r="D1721" s="11" t="s">
        <v>3685</v>
      </c>
      <c r="E1721" s="11" t="s">
        <v>3711</v>
      </c>
      <c r="G1721" s="7" t="s">
        <v>3684</v>
      </c>
      <c r="I1721" s="17">
        <v>39766</v>
      </c>
      <c r="K1721" s="4">
        <v>500</v>
      </c>
      <c r="L1721" s="11" t="s">
        <v>3687</v>
      </c>
      <c r="M1721" s="11" t="s">
        <v>3686</v>
      </c>
      <c r="O1721" s="4" t="s">
        <v>19</v>
      </c>
      <c r="R1721" s="4" t="s">
        <v>15</v>
      </c>
    </row>
    <row r="1722" spans="3:19" x14ac:dyDescent="0.3">
      <c r="C1722" s="3">
        <v>45097</v>
      </c>
      <c r="D1722" s="11" t="s">
        <v>3702</v>
      </c>
      <c r="E1722" s="11" t="s">
        <v>3711</v>
      </c>
      <c r="G1722" s="7" t="s">
        <v>3703</v>
      </c>
      <c r="K1722" s="4">
        <v>100</v>
      </c>
      <c r="M1722" s="11" t="s">
        <v>3705</v>
      </c>
      <c r="O1722" s="4" t="s">
        <v>19</v>
      </c>
      <c r="R1722" s="4" t="s">
        <v>14</v>
      </c>
    </row>
    <row r="1723" spans="3:19" x14ac:dyDescent="0.3">
      <c r="C1723" s="3">
        <v>45100</v>
      </c>
      <c r="D1723" s="11" t="s">
        <v>3713</v>
      </c>
      <c r="E1723" s="11" t="s">
        <v>3723</v>
      </c>
      <c r="G1723" s="7" t="s">
        <v>3718</v>
      </c>
      <c r="K1723" s="4">
        <v>300</v>
      </c>
      <c r="L1723" s="11" t="s">
        <v>3719</v>
      </c>
      <c r="M1723" s="11" t="s">
        <v>3724</v>
      </c>
      <c r="O1723" s="4" t="s">
        <v>19</v>
      </c>
      <c r="R1723" s="4" t="s">
        <v>19</v>
      </c>
    </row>
    <row r="1724" spans="3:19" x14ac:dyDescent="0.3">
      <c r="C1724" s="3">
        <v>45100</v>
      </c>
      <c r="D1724" s="11" t="s">
        <v>3714</v>
      </c>
      <c r="E1724" s="11" t="s">
        <v>3723</v>
      </c>
      <c r="G1724" s="7" t="s">
        <v>3715</v>
      </c>
      <c r="I1724" s="17">
        <v>40186</v>
      </c>
      <c r="K1724" s="4">
        <v>500</v>
      </c>
      <c r="L1724" s="11" t="s">
        <v>3716</v>
      </c>
      <c r="M1724" s="11" t="s">
        <v>3717</v>
      </c>
      <c r="O1724" s="4" t="s">
        <v>19</v>
      </c>
      <c r="R1724" s="4" t="s">
        <v>19</v>
      </c>
    </row>
    <row r="1725" spans="3:19" x14ac:dyDescent="0.3">
      <c r="C1725" s="3">
        <v>45103</v>
      </c>
      <c r="D1725" s="11" t="s">
        <v>3733</v>
      </c>
      <c r="G1725" s="7" t="s">
        <v>3734</v>
      </c>
      <c r="K1725" s="4">
        <v>1000</v>
      </c>
      <c r="O1725" s="4" t="s">
        <v>19</v>
      </c>
      <c r="R1725" s="4" t="s">
        <v>16</v>
      </c>
    </row>
    <row r="1726" spans="3:19" x14ac:dyDescent="0.3">
      <c r="C1726" s="3">
        <v>45105</v>
      </c>
      <c r="D1726" s="11" t="s">
        <v>3736</v>
      </c>
      <c r="E1726" s="11" t="s">
        <v>4735</v>
      </c>
      <c r="G1726" s="7" t="s">
        <v>3737</v>
      </c>
      <c r="K1726" s="4">
        <v>200</v>
      </c>
      <c r="M1726" s="11" t="s">
        <v>4738</v>
      </c>
    </row>
    <row r="1727" spans="3:19" x14ac:dyDescent="0.3">
      <c r="C1727" s="3">
        <v>45114</v>
      </c>
      <c r="D1727" s="11" t="s">
        <v>3742</v>
      </c>
      <c r="E1727" s="11" t="s">
        <v>3780</v>
      </c>
      <c r="G1727" s="7" t="s">
        <v>3741</v>
      </c>
      <c r="I1727" s="17">
        <v>30507</v>
      </c>
      <c r="K1727" s="4">
        <v>100</v>
      </c>
      <c r="L1727" s="11" t="s">
        <v>3790</v>
      </c>
      <c r="M1727" s="11" t="s">
        <v>3743</v>
      </c>
      <c r="O1727" s="4" t="s">
        <v>16</v>
      </c>
      <c r="R1727" s="4" t="s">
        <v>16</v>
      </c>
    </row>
    <row r="1728" spans="3:19" x14ac:dyDescent="0.3">
      <c r="C1728" s="3">
        <v>45115</v>
      </c>
      <c r="D1728" s="11" t="s">
        <v>3745</v>
      </c>
      <c r="E1728" s="11" t="s">
        <v>3781</v>
      </c>
      <c r="G1728" s="7" t="s">
        <v>3747</v>
      </c>
      <c r="K1728" s="4">
        <v>150</v>
      </c>
      <c r="M1728" s="11" t="s">
        <v>3746</v>
      </c>
      <c r="O1728" s="4" t="s">
        <v>16</v>
      </c>
      <c r="R1728" s="4" t="s">
        <v>16</v>
      </c>
    </row>
    <row r="1729" spans="3:18" x14ac:dyDescent="0.3">
      <c r="C1729" s="3">
        <v>45117</v>
      </c>
      <c r="D1729" s="11" t="s">
        <v>3754</v>
      </c>
      <c r="E1729" s="11" t="s">
        <v>3767</v>
      </c>
      <c r="G1729" s="7" t="s">
        <v>3753</v>
      </c>
      <c r="I1729" s="17">
        <v>32874</v>
      </c>
      <c r="K1729" s="4">
        <v>1000</v>
      </c>
      <c r="L1729" s="11" t="s">
        <v>3755</v>
      </c>
      <c r="M1729" s="11" t="s">
        <v>3561</v>
      </c>
      <c r="O1729" s="4" t="s">
        <v>16</v>
      </c>
      <c r="R1729" s="4" t="s">
        <v>19</v>
      </c>
    </row>
    <row r="1730" spans="3:18" x14ac:dyDescent="0.3">
      <c r="C1730" s="3">
        <v>45120</v>
      </c>
      <c r="D1730" s="11" t="s">
        <v>3766</v>
      </c>
      <c r="G1730" s="7" t="s">
        <v>3761</v>
      </c>
      <c r="K1730" s="4">
        <v>2300</v>
      </c>
      <c r="L1730" s="11" t="s">
        <v>3765</v>
      </c>
      <c r="M1730" s="11" t="s">
        <v>3763</v>
      </c>
      <c r="O1730" s="4" t="s">
        <v>16</v>
      </c>
      <c r="Q1730" s="4" t="s">
        <v>3764</v>
      </c>
      <c r="R1730" s="4" t="s">
        <v>16</v>
      </c>
    </row>
    <row r="1731" spans="3:18" x14ac:dyDescent="0.3">
      <c r="C1731" s="3">
        <v>45122</v>
      </c>
      <c r="D1731" s="11" t="s">
        <v>3772</v>
      </c>
      <c r="E1731" s="11" t="s">
        <v>3767</v>
      </c>
      <c r="G1731" s="7" t="s">
        <v>3771</v>
      </c>
      <c r="I1731" s="17">
        <v>40446</v>
      </c>
      <c r="K1731" s="4">
        <v>200</v>
      </c>
      <c r="L1731" s="11" t="s">
        <v>3779</v>
      </c>
      <c r="M1731" s="11" t="s">
        <v>3773</v>
      </c>
      <c r="O1731" s="4" t="s">
        <v>19</v>
      </c>
      <c r="R1731" s="4" t="s">
        <v>19</v>
      </c>
    </row>
    <row r="1732" spans="3:18" x14ac:dyDescent="0.3">
      <c r="C1732" s="3">
        <v>45122</v>
      </c>
      <c r="D1732" s="11" t="s">
        <v>3774</v>
      </c>
      <c r="E1732" s="11" t="s">
        <v>3804</v>
      </c>
      <c r="G1732" s="7" t="s">
        <v>3775</v>
      </c>
      <c r="I1732" s="17">
        <v>39336</v>
      </c>
      <c r="K1732" s="4">
        <v>500</v>
      </c>
      <c r="L1732" s="11" t="s">
        <v>3777</v>
      </c>
      <c r="M1732" s="11" t="s">
        <v>3776</v>
      </c>
      <c r="O1732" s="4" t="s">
        <v>19</v>
      </c>
      <c r="R1732" s="4" t="s">
        <v>19</v>
      </c>
    </row>
    <row r="1733" spans="3:18" x14ac:dyDescent="0.3">
      <c r="C1733" s="3">
        <v>45125</v>
      </c>
      <c r="D1733" s="11" t="s">
        <v>3782</v>
      </c>
      <c r="E1733" s="11" t="s">
        <v>3818</v>
      </c>
      <c r="G1733" s="7" t="s">
        <v>3783</v>
      </c>
      <c r="I1733" s="17">
        <v>37806</v>
      </c>
      <c r="K1733" s="4">
        <v>100</v>
      </c>
      <c r="L1733" s="11" t="s">
        <v>3784</v>
      </c>
      <c r="M1733" s="11" t="s">
        <v>3785</v>
      </c>
      <c r="O1733" s="4" t="s">
        <v>16</v>
      </c>
      <c r="R1733" s="4" t="s">
        <v>16</v>
      </c>
    </row>
    <row r="1734" spans="3:18" x14ac:dyDescent="0.3">
      <c r="C1734" s="3">
        <v>45125</v>
      </c>
      <c r="D1734" s="11" t="s">
        <v>3788</v>
      </c>
      <c r="E1734" s="11" t="s">
        <v>3866</v>
      </c>
      <c r="G1734" s="7" t="s">
        <v>3787</v>
      </c>
      <c r="I1734" s="17">
        <v>31413</v>
      </c>
      <c r="K1734" s="4">
        <v>2000</v>
      </c>
      <c r="L1734" s="11" t="s">
        <v>3789</v>
      </c>
      <c r="M1734" s="11" t="s">
        <v>3867</v>
      </c>
      <c r="O1734" s="4" t="s">
        <v>16</v>
      </c>
      <c r="R1734" s="4" t="s">
        <v>16</v>
      </c>
    </row>
    <row r="1735" spans="3:18" x14ac:dyDescent="0.3">
      <c r="C1735" s="3">
        <v>45126</v>
      </c>
      <c r="D1735" s="11" t="s">
        <v>3791</v>
      </c>
      <c r="E1735" s="11" t="s">
        <v>3804</v>
      </c>
      <c r="G1735" s="7" t="s">
        <v>3800</v>
      </c>
      <c r="K1735" s="4">
        <v>100</v>
      </c>
      <c r="L1735" s="11" t="s">
        <v>3805</v>
      </c>
      <c r="M1735" s="11" t="s">
        <v>3792</v>
      </c>
      <c r="O1735" s="4" t="s">
        <v>16</v>
      </c>
      <c r="R1735" s="4" t="s">
        <v>16</v>
      </c>
    </row>
    <row r="1736" spans="3:18" x14ac:dyDescent="0.3">
      <c r="C1736" s="3">
        <v>45126</v>
      </c>
      <c r="D1736" s="11" t="s">
        <v>3797</v>
      </c>
      <c r="E1736" s="11" t="s">
        <v>3818</v>
      </c>
      <c r="G1736" s="7" t="s">
        <v>3796</v>
      </c>
      <c r="I1736" s="17">
        <v>29221</v>
      </c>
      <c r="K1736" s="4">
        <v>100</v>
      </c>
      <c r="L1736" s="11" t="s">
        <v>3799</v>
      </c>
      <c r="M1736" s="11" t="s">
        <v>3798</v>
      </c>
      <c r="O1736" s="4" t="s">
        <v>16</v>
      </c>
      <c r="R1736" s="4" t="s">
        <v>16</v>
      </c>
    </row>
    <row r="1737" spans="3:18" x14ac:dyDescent="0.3">
      <c r="C1737" s="3">
        <v>45127</v>
      </c>
      <c r="D1737" s="11" t="s">
        <v>3806</v>
      </c>
      <c r="G1737" s="7" t="s">
        <v>3807</v>
      </c>
      <c r="I1737" s="17">
        <v>34519</v>
      </c>
      <c r="K1737" s="4">
        <v>200</v>
      </c>
      <c r="L1737" s="11" t="s">
        <v>3809</v>
      </c>
      <c r="M1737" s="11" t="s">
        <v>3808</v>
      </c>
      <c r="O1737" s="4" t="s">
        <v>16</v>
      </c>
      <c r="R1737" s="4" t="s">
        <v>16</v>
      </c>
    </row>
    <row r="1738" spans="3:18" x14ac:dyDescent="0.3">
      <c r="C1738" s="3">
        <v>45128</v>
      </c>
      <c r="D1738" s="11" t="s">
        <v>3877</v>
      </c>
      <c r="G1738" s="7" t="s">
        <v>3878</v>
      </c>
      <c r="I1738" s="17"/>
      <c r="K1738" s="4">
        <v>100</v>
      </c>
      <c r="M1738" s="11" t="s">
        <v>3879</v>
      </c>
      <c r="O1738" s="4" t="s">
        <v>19</v>
      </c>
      <c r="R1738" s="4" t="s">
        <v>19</v>
      </c>
    </row>
    <row r="1739" spans="3:18" x14ac:dyDescent="0.3">
      <c r="C1739" s="3">
        <v>45131</v>
      </c>
      <c r="D1739" s="11" t="s">
        <v>3821</v>
      </c>
      <c r="G1739" s="7" t="s">
        <v>3822</v>
      </c>
      <c r="I1739" s="17">
        <v>38650</v>
      </c>
      <c r="K1739" s="4">
        <v>100</v>
      </c>
      <c r="L1739" s="11" t="s">
        <v>3823</v>
      </c>
      <c r="M1739" s="11" t="s">
        <v>3824</v>
      </c>
      <c r="O1739" s="4" t="s">
        <v>19</v>
      </c>
      <c r="R1739" s="4" t="s">
        <v>19</v>
      </c>
    </row>
    <row r="1740" spans="3:18" x14ac:dyDescent="0.3">
      <c r="C1740" s="3">
        <v>45138</v>
      </c>
      <c r="D1740" s="11" t="s">
        <v>3834</v>
      </c>
      <c r="E1740" s="11" t="s">
        <v>3838</v>
      </c>
      <c r="G1740" s="7" t="s">
        <v>3833</v>
      </c>
      <c r="K1740" s="4">
        <v>200</v>
      </c>
      <c r="L1740" s="11" t="s">
        <v>3835</v>
      </c>
      <c r="M1740" s="11" t="s">
        <v>3837</v>
      </c>
      <c r="O1740" s="4" t="s">
        <v>14</v>
      </c>
      <c r="R1740" s="4" t="s">
        <v>14</v>
      </c>
    </row>
    <row r="1741" spans="3:18" x14ac:dyDescent="0.3">
      <c r="C1741" s="3">
        <v>45148</v>
      </c>
      <c r="D1741" s="11" t="s">
        <v>3861</v>
      </c>
      <c r="G1741" s="51" t="s">
        <v>3858</v>
      </c>
      <c r="O1741" s="4" t="s">
        <v>15</v>
      </c>
      <c r="R1741" s="4" t="s">
        <v>15</v>
      </c>
    </row>
    <row r="1742" spans="3:18" x14ac:dyDescent="0.3">
      <c r="C1742" s="3">
        <v>45148</v>
      </c>
      <c r="D1742" s="11" t="s">
        <v>3862</v>
      </c>
      <c r="E1742" s="11" t="s">
        <v>3863</v>
      </c>
      <c r="G1742" s="51" t="s">
        <v>3860</v>
      </c>
      <c r="K1742" s="4">
        <v>100</v>
      </c>
      <c r="M1742" s="11" t="s">
        <v>3864</v>
      </c>
      <c r="O1742" s="4" t="s">
        <v>15</v>
      </c>
      <c r="R1742" s="4" t="s">
        <v>14</v>
      </c>
    </row>
    <row r="1743" spans="3:18" x14ac:dyDescent="0.3">
      <c r="C1743" s="3">
        <v>45157</v>
      </c>
      <c r="D1743" s="11" t="s">
        <v>3883</v>
      </c>
      <c r="E1743" s="11" t="s">
        <v>3886</v>
      </c>
      <c r="G1743" s="7" t="s">
        <v>3882</v>
      </c>
      <c r="I1743" s="17">
        <v>39097</v>
      </c>
      <c r="K1743" s="4">
        <v>100</v>
      </c>
      <c r="L1743" s="11" t="s">
        <v>3884</v>
      </c>
      <c r="M1743" s="11" t="s">
        <v>3885</v>
      </c>
      <c r="O1743" s="4" t="s">
        <v>15</v>
      </c>
      <c r="R1743" s="4" t="s">
        <v>19</v>
      </c>
    </row>
    <row r="1744" spans="3:18" x14ac:dyDescent="0.3">
      <c r="C1744" s="3">
        <v>45175</v>
      </c>
      <c r="D1744" s="11" t="s">
        <v>3888</v>
      </c>
      <c r="E1744" s="11" t="s">
        <v>3949</v>
      </c>
      <c r="G1744" s="7" t="s">
        <v>3893</v>
      </c>
      <c r="K1744" s="4">
        <v>150</v>
      </c>
      <c r="M1744" s="11" t="s">
        <v>2110</v>
      </c>
      <c r="O1744" s="4" t="s">
        <v>19</v>
      </c>
      <c r="R1744" s="4" t="s">
        <v>19</v>
      </c>
    </row>
    <row r="1745" spans="3:18" x14ac:dyDescent="0.3">
      <c r="C1745" s="3">
        <v>45175</v>
      </c>
      <c r="D1745" s="11" t="s">
        <v>3890</v>
      </c>
      <c r="E1745" s="11" t="s">
        <v>3949</v>
      </c>
      <c r="G1745" s="7" t="s">
        <v>3889</v>
      </c>
      <c r="I1745" s="17">
        <v>20016</v>
      </c>
      <c r="K1745" s="4">
        <v>100</v>
      </c>
      <c r="L1745" s="11" t="s">
        <v>3891</v>
      </c>
      <c r="M1745" s="11" t="s">
        <v>3892</v>
      </c>
      <c r="O1745" s="4" t="s">
        <v>19</v>
      </c>
      <c r="R1745" s="4" t="s">
        <v>19</v>
      </c>
    </row>
    <row r="1746" spans="3:18" x14ac:dyDescent="0.3">
      <c r="C1746" s="3">
        <v>45177</v>
      </c>
      <c r="D1746" s="11" t="s">
        <v>3899</v>
      </c>
      <c r="E1746" s="11" t="s">
        <v>3949</v>
      </c>
      <c r="G1746" s="7" t="s">
        <v>3900</v>
      </c>
      <c r="K1746" s="4">
        <v>150</v>
      </c>
      <c r="L1746" s="11" t="s">
        <v>3902</v>
      </c>
      <c r="M1746" s="11" t="s">
        <v>3901</v>
      </c>
      <c r="O1746" s="4" t="s">
        <v>19</v>
      </c>
      <c r="R1746" s="4" t="s">
        <v>16</v>
      </c>
    </row>
    <row r="1747" spans="3:18" x14ac:dyDescent="0.3">
      <c r="C1747" s="3">
        <v>45177</v>
      </c>
      <c r="D1747" s="11" t="s">
        <v>3904</v>
      </c>
      <c r="E1747" s="11" t="s">
        <v>4037</v>
      </c>
      <c r="G1747" s="7" t="s">
        <v>209</v>
      </c>
      <c r="K1747" s="4">
        <v>200</v>
      </c>
      <c r="L1747" s="11" t="s">
        <v>3905</v>
      </c>
      <c r="M1747" s="11" t="s">
        <v>3906</v>
      </c>
      <c r="O1747" s="4" t="s">
        <v>19</v>
      </c>
      <c r="R1747" s="4" t="s">
        <v>16</v>
      </c>
    </row>
    <row r="1748" spans="3:18" x14ac:dyDescent="0.3">
      <c r="C1748" s="3">
        <v>45177</v>
      </c>
      <c r="D1748" s="11" t="s">
        <v>3907</v>
      </c>
      <c r="E1748" s="11" t="s">
        <v>4045</v>
      </c>
      <c r="G1748" s="7" t="s">
        <v>3908</v>
      </c>
      <c r="K1748" s="4">
        <v>100</v>
      </c>
      <c r="L1748" s="11" t="s">
        <v>3910</v>
      </c>
      <c r="M1748" s="11" t="s">
        <v>3909</v>
      </c>
      <c r="O1748" s="4" t="s">
        <v>19</v>
      </c>
      <c r="R1748" s="4" t="s">
        <v>16</v>
      </c>
    </row>
    <row r="1749" spans="3:18" x14ac:dyDescent="0.3">
      <c r="C1749" s="3">
        <v>45180</v>
      </c>
      <c r="D1749" s="11" t="s">
        <v>3922</v>
      </c>
      <c r="G1749" s="7" t="s">
        <v>3923</v>
      </c>
      <c r="K1749" s="4">
        <v>100</v>
      </c>
      <c r="L1749" s="11" t="s">
        <v>3925</v>
      </c>
      <c r="M1749" s="11" t="s">
        <v>3924</v>
      </c>
      <c r="O1749" s="4" t="s">
        <v>19</v>
      </c>
      <c r="R1749" s="4" t="s">
        <v>19</v>
      </c>
    </row>
    <row r="1750" spans="3:18" x14ac:dyDescent="0.3">
      <c r="C1750" s="3">
        <v>45180</v>
      </c>
      <c r="D1750" s="11" t="s">
        <v>3927</v>
      </c>
      <c r="E1750" s="11" t="s">
        <v>3949</v>
      </c>
      <c r="G1750" s="7" t="s">
        <v>3929</v>
      </c>
      <c r="K1750" s="4">
        <v>100</v>
      </c>
      <c r="L1750" s="11" t="s">
        <v>3930</v>
      </c>
      <c r="M1750" s="11" t="s">
        <v>3950</v>
      </c>
      <c r="O1750" s="4" t="s">
        <v>19</v>
      </c>
      <c r="R1750" s="4" t="s">
        <v>16</v>
      </c>
    </row>
    <row r="1751" spans="3:18" x14ac:dyDescent="0.3">
      <c r="C1751" s="3">
        <v>45181</v>
      </c>
      <c r="D1751" s="11" t="s">
        <v>3931</v>
      </c>
      <c r="G1751" s="7" t="s">
        <v>3932</v>
      </c>
      <c r="K1751" s="4">
        <v>150</v>
      </c>
      <c r="L1751" s="11" t="s">
        <v>3933</v>
      </c>
      <c r="O1751" s="4" t="s">
        <v>19</v>
      </c>
      <c r="R1751" s="4" t="s">
        <v>19</v>
      </c>
    </row>
    <row r="1752" spans="3:18" x14ac:dyDescent="0.3">
      <c r="C1752" s="3">
        <v>45183</v>
      </c>
      <c r="D1752" s="11" t="s">
        <v>3937</v>
      </c>
      <c r="E1752" s="11" t="s">
        <v>3942</v>
      </c>
      <c r="G1752" s="7" t="s">
        <v>3939</v>
      </c>
      <c r="K1752" s="4">
        <v>500</v>
      </c>
      <c r="L1752" s="11" t="s">
        <v>3940</v>
      </c>
      <c r="M1752" s="11" t="s">
        <v>3943</v>
      </c>
      <c r="O1752" s="4" t="s">
        <v>19</v>
      </c>
      <c r="R1752" s="4" t="s">
        <v>16</v>
      </c>
    </row>
    <row r="1753" spans="3:18" x14ac:dyDescent="0.3">
      <c r="C1753" s="3">
        <v>45184</v>
      </c>
      <c r="D1753" s="11" t="s">
        <v>3945</v>
      </c>
      <c r="E1753" s="11" t="s">
        <v>3961</v>
      </c>
      <c r="G1753" s="7" t="s">
        <v>3946</v>
      </c>
      <c r="I1753" s="17">
        <v>40129</v>
      </c>
      <c r="K1753" s="4">
        <v>200</v>
      </c>
      <c r="L1753" s="11" t="s">
        <v>3962</v>
      </c>
      <c r="M1753" s="11" t="s">
        <v>3944</v>
      </c>
      <c r="O1753" s="4" t="s">
        <v>19</v>
      </c>
      <c r="R1753" s="4" t="s">
        <v>19</v>
      </c>
    </row>
    <row r="1754" spans="3:18" x14ac:dyDescent="0.3">
      <c r="C1754" s="3">
        <v>45188</v>
      </c>
      <c r="D1754" s="11" t="s">
        <v>3955</v>
      </c>
      <c r="E1754" s="11" t="s">
        <v>3978</v>
      </c>
      <c r="G1754" s="7" t="s">
        <v>3956</v>
      </c>
      <c r="K1754" s="4">
        <v>400</v>
      </c>
      <c r="L1754" s="11" t="s">
        <v>3979</v>
      </c>
      <c r="M1754" s="11" t="s">
        <v>1888</v>
      </c>
      <c r="O1754" s="4" t="s">
        <v>19</v>
      </c>
      <c r="R1754" s="4" t="s">
        <v>19</v>
      </c>
    </row>
    <row r="1755" spans="3:18" x14ac:dyDescent="0.3">
      <c r="C1755" s="3">
        <v>45189</v>
      </c>
      <c r="D1755" s="11" t="s">
        <v>3963</v>
      </c>
      <c r="E1755" s="11" t="s">
        <v>3980</v>
      </c>
      <c r="G1755" s="7" t="s">
        <v>3964</v>
      </c>
      <c r="K1755" s="4">
        <v>100</v>
      </c>
      <c r="L1755" s="11" t="s">
        <v>3966</v>
      </c>
      <c r="M1755" s="11" t="s">
        <v>3965</v>
      </c>
      <c r="O1755" s="4" t="s">
        <v>19</v>
      </c>
      <c r="R1755" s="4" t="s">
        <v>19</v>
      </c>
    </row>
    <row r="1756" spans="3:18" x14ac:dyDescent="0.3">
      <c r="C1756" s="3">
        <v>45189</v>
      </c>
      <c r="D1756" s="11" t="s">
        <v>3967</v>
      </c>
      <c r="E1756" s="11" t="s">
        <v>3980</v>
      </c>
      <c r="G1756" s="7" t="s">
        <v>3970</v>
      </c>
      <c r="K1756" s="4">
        <v>100</v>
      </c>
      <c r="L1756" s="11" t="s">
        <v>3985</v>
      </c>
      <c r="M1756" s="11" t="s">
        <v>3971</v>
      </c>
      <c r="O1756" s="4" t="s">
        <v>19</v>
      </c>
      <c r="R1756" s="4" t="s">
        <v>19</v>
      </c>
    </row>
    <row r="1757" spans="3:18" x14ac:dyDescent="0.3">
      <c r="C1757" s="3">
        <v>45189</v>
      </c>
      <c r="D1757" s="11" t="s">
        <v>3969</v>
      </c>
      <c r="E1757" s="11" t="s">
        <v>3978</v>
      </c>
      <c r="G1757" s="7" t="s">
        <v>1846</v>
      </c>
      <c r="K1757" s="4">
        <v>100</v>
      </c>
      <c r="M1757" s="11" t="s">
        <v>3972</v>
      </c>
      <c r="O1757" s="4" t="s">
        <v>19</v>
      </c>
      <c r="R1757" s="4" t="s">
        <v>19</v>
      </c>
    </row>
    <row r="1758" spans="3:18" x14ac:dyDescent="0.3">
      <c r="C1758" s="3">
        <v>45192</v>
      </c>
      <c r="D1758" s="11" t="s">
        <v>3981</v>
      </c>
      <c r="E1758" s="11" t="s">
        <v>4017</v>
      </c>
      <c r="G1758" s="7" t="s">
        <v>3982</v>
      </c>
      <c r="I1758" s="17">
        <v>40411</v>
      </c>
      <c r="K1758" s="4">
        <v>100</v>
      </c>
      <c r="L1758" s="11" t="s">
        <v>3984</v>
      </c>
      <c r="M1758" s="11" t="s">
        <v>3983</v>
      </c>
      <c r="O1758" s="4" t="s">
        <v>19</v>
      </c>
      <c r="R1758" s="4" t="s">
        <v>19</v>
      </c>
    </row>
    <row r="1759" spans="3:18" x14ac:dyDescent="0.3">
      <c r="C1759" s="3">
        <v>45195</v>
      </c>
      <c r="D1759" s="11" t="s">
        <v>3993</v>
      </c>
      <c r="E1759" s="11" t="s">
        <v>4017</v>
      </c>
      <c r="G1759" s="7" t="s">
        <v>193</v>
      </c>
      <c r="K1759" s="4">
        <v>100</v>
      </c>
      <c r="L1759" s="11" t="s">
        <v>3995</v>
      </c>
      <c r="M1759" s="11" t="s">
        <v>3994</v>
      </c>
      <c r="O1759" s="4" t="s">
        <v>19</v>
      </c>
      <c r="R1759" s="4" t="s">
        <v>16</v>
      </c>
    </row>
    <row r="1760" spans="3:18" x14ac:dyDescent="0.3">
      <c r="C1760" s="3">
        <v>45195</v>
      </c>
      <c r="D1760" s="11" t="s">
        <v>3996</v>
      </c>
      <c r="E1760" s="11" t="s">
        <v>4017</v>
      </c>
      <c r="G1760" s="7" t="s">
        <v>3997</v>
      </c>
      <c r="K1760" s="4">
        <v>200</v>
      </c>
      <c r="L1760" s="11" t="s">
        <v>3999</v>
      </c>
      <c r="M1760" s="11" t="s">
        <v>3998</v>
      </c>
      <c r="O1760" s="4" t="s">
        <v>19</v>
      </c>
      <c r="R1760" s="4" t="s">
        <v>19</v>
      </c>
    </row>
    <row r="1761" spans="3:18" x14ac:dyDescent="0.3">
      <c r="C1761" s="3">
        <v>45195</v>
      </c>
      <c r="D1761" s="11" t="s">
        <v>4001</v>
      </c>
      <c r="G1761" s="7" t="s">
        <v>4002</v>
      </c>
      <c r="K1761" s="4">
        <v>500</v>
      </c>
      <c r="L1761" s="11" t="s">
        <v>4004</v>
      </c>
      <c r="M1761" s="11" t="s">
        <v>4003</v>
      </c>
      <c r="O1761" s="4" t="s">
        <v>19</v>
      </c>
      <c r="R1761" s="4" t="s">
        <v>19</v>
      </c>
    </row>
    <row r="1762" spans="3:18" ht="14.4" x14ac:dyDescent="0.3">
      <c r="C1762" s="3">
        <v>45196</v>
      </c>
      <c r="D1762" s="11" t="s">
        <v>4005</v>
      </c>
      <c r="E1762" s="11" t="s">
        <v>4017</v>
      </c>
      <c r="G1762" s="7" t="s">
        <v>4006</v>
      </c>
      <c r="I1762" s="3">
        <v>26452</v>
      </c>
      <c r="K1762" s="4">
        <v>200</v>
      </c>
      <c r="L1762" s="11" t="s">
        <v>4019</v>
      </c>
      <c r="M1762" s="11" t="s">
        <v>4007</v>
      </c>
      <c r="O1762" s="4" t="s">
        <v>19</v>
      </c>
      <c r="R1762" s="4" t="s">
        <v>16</v>
      </c>
    </row>
    <row r="1763" spans="3:18" x14ac:dyDescent="0.3">
      <c r="C1763" s="3">
        <v>45196</v>
      </c>
      <c r="D1763" s="11" t="s">
        <v>4008</v>
      </c>
      <c r="G1763" s="7" t="s">
        <v>4011</v>
      </c>
      <c r="I1763" s="17">
        <v>34776</v>
      </c>
      <c r="K1763" s="4">
        <v>2000</v>
      </c>
      <c r="L1763" s="11" t="s">
        <v>4013</v>
      </c>
      <c r="O1763" s="4" t="s">
        <v>19</v>
      </c>
      <c r="R1763" s="4" t="s">
        <v>16</v>
      </c>
    </row>
    <row r="1764" spans="3:18" x14ac:dyDescent="0.3">
      <c r="C1764" s="3">
        <v>45196</v>
      </c>
      <c r="D1764" s="11" t="s">
        <v>4014</v>
      </c>
      <c r="E1764" s="11" t="s">
        <v>4025</v>
      </c>
      <c r="G1764" s="7" t="s">
        <v>4015</v>
      </c>
      <c r="I1764" s="17">
        <v>40088</v>
      </c>
      <c r="K1764" s="4">
        <v>500</v>
      </c>
      <c r="L1764" s="11" t="s">
        <v>4016</v>
      </c>
      <c r="M1764" s="11" t="s">
        <v>4026</v>
      </c>
      <c r="O1764" s="4" t="s">
        <v>19</v>
      </c>
      <c r="R1764" s="4" t="s">
        <v>19</v>
      </c>
    </row>
    <row r="1765" spans="3:18" x14ac:dyDescent="0.3">
      <c r="C1765" s="3">
        <v>45200</v>
      </c>
      <c r="D1765" s="11" t="s">
        <v>4021</v>
      </c>
      <c r="E1765" s="11" t="s">
        <v>4053</v>
      </c>
      <c r="G1765" s="7" t="s">
        <v>4023</v>
      </c>
      <c r="I1765" s="17">
        <v>39086</v>
      </c>
      <c r="K1765" s="4">
        <v>100</v>
      </c>
      <c r="L1765" s="11" t="s">
        <v>4054</v>
      </c>
      <c r="M1765" s="11" t="s">
        <v>4024</v>
      </c>
      <c r="O1765" s="4" t="s">
        <v>19</v>
      </c>
      <c r="R1765" s="4" t="s">
        <v>19</v>
      </c>
    </row>
    <row r="1766" spans="3:18" x14ac:dyDescent="0.3">
      <c r="C1766" s="3">
        <v>45209</v>
      </c>
      <c r="D1766" s="11" t="s">
        <v>4046</v>
      </c>
      <c r="E1766" s="11" t="s">
        <v>4080</v>
      </c>
      <c r="G1766" s="51" t="s">
        <v>4047</v>
      </c>
      <c r="I1766" s="17">
        <v>38592</v>
      </c>
      <c r="K1766" s="4">
        <v>200</v>
      </c>
      <c r="L1766" s="11" t="s">
        <v>4052</v>
      </c>
      <c r="M1766" s="11" t="s">
        <v>1868</v>
      </c>
      <c r="O1766" s="4" t="s">
        <v>19</v>
      </c>
      <c r="R1766" s="4" t="s">
        <v>19</v>
      </c>
    </row>
    <row r="1767" spans="3:18" x14ac:dyDescent="0.3">
      <c r="C1767" s="3">
        <v>45209</v>
      </c>
      <c r="D1767" s="11" t="s">
        <v>4048</v>
      </c>
      <c r="E1767" s="11" t="s">
        <v>4062</v>
      </c>
      <c r="G1767" s="51" t="s">
        <v>4049</v>
      </c>
      <c r="I1767" s="17">
        <v>36691</v>
      </c>
      <c r="K1767" s="4">
        <v>200</v>
      </c>
      <c r="L1767" s="11" t="s">
        <v>4051</v>
      </c>
      <c r="M1767" s="11" t="s">
        <v>4050</v>
      </c>
      <c r="O1767" s="4" t="s">
        <v>19</v>
      </c>
      <c r="R1767" s="4" t="s">
        <v>16</v>
      </c>
    </row>
    <row r="1768" spans="3:18" x14ac:dyDescent="0.3">
      <c r="C1768" s="3">
        <v>45210</v>
      </c>
      <c r="D1768" s="11" t="s">
        <v>4055</v>
      </c>
      <c r="E1768" s="11" t="s">
        <v>4069</v>
      </c>
      <c r="G1768" t="s">
        <v>4057</v>
      </c>
      <c r="I1768" s="17">
        <v>40272</v>
      </c>
      <c r="K1768" s="4">
        <v>200</v>
      </c>
      <c r="L1768" s="11" t="s">
        <v>4058</v>
      </c>
      <c r="M1768" s="11" t="s">
        <v>4056</v>
      </c>
      <c r="O1768" s="4" t="s">
        <v>19</v>
      </c>
      <c r="R1768" s="4" t="s">
        <v>19</v>
      </c>
    </row>
    <row r="1769" spans="3:18" x14ac:dyDescent="0.3">
      <c r="C1769" s="3">
        <v>45217</v>
      </c>
      <c r="D1769" s="11" t="s">
        <v>4077</v>
      </c>
      <c r="G1769" s="7" t="s">
        <v>4097</v>
      </c>
      <c r="K1769" s="4">
        <v>200</v>
      </c>
      <c r="L1769" s="11" t="s">
        <v>4159</v>
      </c>
      <c r="O1769" s="4" t="s">
        <v>19</v>
      </c>
      <c r="R1769" s="4" t="s">
        <v>16</v>
      </c>
    </row>
    <row r="1770" spans="3:18" x14ac:dyDescent="0.3">
      <c r="C1770" s="3">
        <v>45224</v>
      </c>
      <c r="D1770" s="11" t="s">
        <v>4093</v>
      </c>
      <c r="E1770" s="11" t="s">
        <v>4098</v>
      </c>
      <c r="G1770" s="7" t="s">
        <v>4094</v>
      </c>
      <c r="I1770" s="17">
        <v>23052</v>
      </c>
      <c r="K1770" s="4">
        <v>100</v>
      </c>
      <c r="L1770" s="11" t="s">
        <v>4096</v>
      </c>
      <c r="M1770" s="11" t="s">
        <v>4095</v>
      </c>
      <c r="O1770" s="4" t="s">
        <v>19</v>
      </c>
      <c r="R1770" s="4" t="s">
        <v>16</v>
      </c>
    </row>
    <row r="1771" spans="3:18" x14ac:dyDescent="0.3">
      <c r="C1771" s="3">
        <v>45226</v>
      </c>
      <c r="D1771" s="11" t="s">
        <v>4099</v>
      </c>
      <c r="E1771" s="11" t="s">
        <v>4105</v>
      </c>
      <c r="G1771" s="7" t="s">
        <v>4100</v>
      </c>
      <c r="I1771" s="17">
        <v>38238</v>
      </c>
      <c r="K1771" s="4">
        <v>100</v>
      </c>
      <c r="M1771" s="11" t="s">
        <v>4101</v>
      </c>
      <c r="O1771" s="4" t="s">
        <v>16</v>
      </c>
      <c r="R1771" s="4" t="s">
        <v>16</v>
      </c>
    </row>
    <row r="1772" spans="3:18" x14ac:dyDescent="0.3">
      <c r="C1772" s="3">
        <v>45226</v>
      </c>
      <c r="D1772" s="11" t="s">
        <v>4102</v>
      </c>
      <c r="E1772" s="11" t="s">
        <v>4105</v>
      </c>
      <c r="G1772" s="7" t="s">
        <v>4103</v>
      </c>
      <c r="K1772" s="4">
        <v>500</v>
      </c>
      <c r="M1772" s="11" t="s">
        <v>4104</v>
      </c>
      <c r="O1772" s="4" t="s">
        <v>16</v>
      </c>
      <c r="R1772" s="4" t="s">
        <v>16</v>
      </c>
    </row>
    <row r="1773" spans="3:18" x14ac:dyDescent="0.3">
      <c r="C1773" s="3">
        <v>45229</v>
      </c>
      <c r="D1773" s="11" t="s">
        <v>4109</v>
      </c>
      <c r="E1773" s="11" t="s">
        <v>4117</v>
      </c>
      <c r="G1773" s="7" t="s">
        <v>4110</v>
      </c>
      <c r="I1773" s="17">
        <v>15716</v>
      </c>
      <c r="K1773" s="4">
        <v>100</v>
      </c>
      <c r="L1773" s="11" t="s">
        <v>4111</v>
      </c>
      <c r="M1773" s="11" t="s">
        <v>4116</v>
      </c>
      <c r="O1773" s="4" t="s">
        <v>19</v>
      </c>
      <c r="R1773" s="4" t="s">
        <v>16</v>
      </c>
    </row>
    <row r="1774" spans="3:18" x14ac:dyDescent="0.3">
      <c r="C1774" s="3">
        <v>45233</v>
      </c>
      <c r="D1774" s="11" t="s">
        <v>4114</v>
      </c>
      <c r="E1774" s="11" t="s">
        <v>4126</v>
      </c>
      <c r="G1774" s="7" t="s">
        <v>4115</v>
      </c>
      <c r="I1774" s="17">
        <v>17179</v>
      </c>
      <c r="K1774" s="4">
        <v>100</v>
      </c>
      <c r="L1774" s="11" t="s">
        <v>4118</v>
      </c>
      <c r="M1774" s="11" t="s">
        <v>4116</v>
      </c>
      <c r="O1774" s="4" t="s">
        <v>19</v>
      </c>
      <c r="R1774" s="4" t="s">
        <v>16</v>
      </c>
    </row>
    <row r="1775" spans="3:18" x14ac:dyDescent="0.3">
      <c r="C1775" s="3">
        <v>45236</v>
      </c>
      <c r="D1775" s="11" t="s">
        <v>4120</v>
      </c>
      <c r="E1775" s="56">
        <v>45255</v>
      </c>
      <c r="F1775" s="56"/>
      <c r="G1775" s="7" t="s">
        <v>4125</v>
      </c>
      <c r="I1775" s="17">
        <v>37956</v>
      </c>
      <c r="K1775" s="4">
        <v>100</v>
      </c>
      <c r="L1775" s="11" t="s">
        <v>4124</v>
      </c>
      <c r="M1775" s="11" t="s">
        <v>4193</v>
      </c>
      <c r="O1775" s="4" t="s">
        <v>19</v>
      </c>
      <c r="R1775" s="4" t="s">
        <v>19</v>
      </c>
    </row>
    <row r="1776" spans="3:18" x14ac:dyDescent="0.3">
      <c r="C1776" s="3">
        <v>45236</v>
      </c>
      <c r="D1776" s="11" t="s">
        <v>4121</v>
      </c>
      <c r="E1776" s="11" t="s">
        <v>4131</v>
      </c>
      <c r="G1776" s="50" t="s">
        <v>4122</v>
      </c>
      <c r="I1776" s="17">
        <v>17533</v>
      </c>
      <c r="K1776" s="4">
        <v>500</v>
      </c>
      <c r="L1776" s="11" t="s">
        <v>4123</v>
      </c>
      <c r="M1776" s="11" t="s">
        <v>4132</v>
      </c>
      <c r="O1776" s="4" t="s">
        <v>19</v>
      </c>
      <c r="R1776" s="4" t="s">
        <v>16</v>
      </c>
    </row>
    <row r="1777" spans="1:18" x14ac:dyDescent="0.3">
      <c r="C1777" s="3">
        <v>45243</v>
      </c>
      <c r="D1777" s="11" t="s">
        <v>4145</v>
      </c>
      <c r="E1777" s="11" t="s">
        <v>4154</v>
      </c>
      <c r="G1777" s="7" t="s">
        <v>4146</v>
      </c>
      <c r="I1777" s="17">
        <v>38427</v>
      </c>
      <c r="K1777" s="4">
        <v>150</v>
      </c>
      <c r="L1777" s="11" t="s">
        <v>4147</v>
      </c>
      <c r="M1777" s="11" t="s">
        <v>4148</v>
      </c>
      <c r="O1777" s="4" t="s">
        <v>19</v>
      </c>
      <c r="R1777" s="4" t="s">
        <v>19</v>
      </c>
    </row>
    <row r="1778" spans="1:18" x14ac:dyDescent="0.3">
      <c r="C1778" s="3">
        <v>45244</v>
      </c>
      <c r="D1778" s="11" t="s">
        <v>4151</v>
      </c>
      <c r="E1778" s="11" t="s">
        <v>4163</v>
      </c>
      <c r="G1778" s="7" t="s">
        <v>4152</v>
      </c>
      <c r="I1778" s="17">
        <v>38823</v>
      </c>
      <c r="K1778" s="4">
        <v>500</v>
      </c>
      <c r="L1778" s="11" t="s">
        <v>4158</v>
      </c>
      <c r="M1778" s="11" t="s">
        <v>4153</v>
      </c>
      <c r="O1778" s="4" t="s">
        <v>19</v>
      </c>
      <c r="R1778" s="4" t="s">
        <v>19</v>
      </c>
    </row>
    <row r="1779" spans="1:18" x14ac:dyDescent="0.3">
      <c r="C1779" s="3">
        <v>45246</v>
      </c>
      <c r="D1779" s="11" t="s">
        <v>4166</v>
      </c>
      <c r="E1779" s="11" t="s">
        <v>4174</v>
      </c>
      <c r="G1779" s="7" t="s">
        <v>4167</v>
      </c>
      <c r="I1779" s="17">
        <v>34678</v>
      </c>
      <c r="K1779" s="4">
        <v>200</v>
      </c>
      <c r="L1779" s="11" t="s">
        <v>4169</v>
      </c>
      <c r="M1779" s="11" t="s">
        <v>4168</v>
      </c>
      <c r="O1779" s="4" t="s">
        <v>16</v>
      </c>
      <c r="R1779" s="4" t="s">
        <v>16</v>
      </c>
    </row>
    <row r="1780" spans="1:18" x14ac:dyDescent="0.3">
      <c r="C1780" s="3">
        <v>45247</v>
      </c>
      <c r="D1780" s="11" t="s">
        <v>4171</v>
      </c>
      <c r="G1780" s="7" t="s">
        <v>4172</v>
      </c>
      <c r="I1780" s="17">
        <v>33693</v>
      </c>
      <c r="K1780" s="4">
        <v>100</v>
      </c>
      <c r="L1780" s="11" t="s">
        <v>4175</v>
      </c>
      <c r="M1780" s="11" t="s">
        <v>4176</v>
      </c>
      <c r="O1780" s="4" t="s">
        <v>16</v>
      </c>
    </row>
    <row r="1781" spans="1:18" x14ac:dyDescent="0.3">
      <c r="C1781" s="3">
        <v>45251</v>
      </c>
      <c r="D1781" s="11" t="s">
        <v>4186</v>
      </c>
      <c r="E1781" s="11" t="s">
        <v>4190</v>
      </c>
      <c r="G1781" s="7" t="s">
        <v>4187</v>
      </c>
      <c r="I1781" s="17">
        <v>33024</v>
      </c>
      <c r="K1781" s="4">
        <v>200</v>
      </c>
      <c r="L1781" s="11" t="s">
        <v>4188</v>
      </c>
      <c r="M1781" s="11" t="s">
        <v>4181</v>
      </c>
      <c r="O1781" s="4" t="s">
        <v>16</v>
      </c>
    </row>
    <row r="1782" spans="1:18" x14ac:dyDescent="0.3">
      <c r="A1782" t="s">
        <v>4217</v>
      </c>
      <c r="C1782" s="3">
        <v>45258</v>
      </c>
      <c r="D1782" s="11" t="s">
        <v>4194</v>
      </c>
      <c r="E1782" s="11" t="s">
        <v>4216</v>
      </c>
      <c r="G1782" s="7" t="s">
        <v>4198</v>
      </c>
      <c r="I1782" s="17">
        <v>33604</v>
      </c>
      <c r="K1782" s="4">
        <v>200</v>
      </c>
      <c r="L1782" s="11" t="s">
        <v>4199</v>
      </c>
      <c r="M1782" s="11" t="s">
        <v>4200</v>
      </c>
      <c r="O1782" s="4" t="s">
        <v>16</v>
      </c>
      <c r="R1782" s="4" t="s">
        <v>16</v>
      </c>
    </row>
    <row r="1783" spans="1:18" x14ac:dyDescent="0.3">
      <c r="A1783" t="s">
        <v>4204</v>
      </c>
      <c r="C1783" s="3">
        <v>45258</v>
      </c>
      <c r="D1783" s="11" t="s">
        <v>4195</v>
      </c>
      <c r="E1783" s="11" t="s">
        <v>4216</v>
      </c>
      <c r="G1783" s="7" t="s">
        <v>4202</v>
      </c>
      <c r="I1783" s="17">
        <v>40197</v>
      </c>
      <c r="K1783" s="4">
        <v>100</v>
      </c>
      <c r="L1783" s="11" t="s">
        <v>4203</v>
      </c>
      <c r="M1783" s="11" t="s">
        <v>4201</v>
      </c>
      <c r="O1783" s="4" t="s">
        <v>15</v>
      </c>
      <c r="R1783" s="4" t="s">
        <v>16</v>
      </c>
    </row>
    <row r="1784" spans="1:18" x14ac:dyDescent="0.3">
      <c r="A1784" t="s">
        <v>4211</v>
      </c>
      <c r="C1784" s="3">
        <v>45260</v>
      </c>
      <c r="D1784" s="11" t="s">
        <v>4210</v>
      </c>
      <c r="E1784" s="11" t="s">
        <v>4214</v>
      </c>
      <c r="G1784" s="7" t="s">
        <v>4209</v>
      </c>
      <c r="I1784" s="17">
        <v>36896</v>
      </c>
      <c r="K1784" s="4">
        <v>100</v>
      </c>
      <c r="L1784" s="11" t="s">
        <v>4212</v>
      </c>
      <c r="M1784" s="11" t="s">
        <v>4213</v>
      </c>
      <c r="O1784" s="4" t="s">
        <v>16</v>
      </c>
      <c r="R1784" s="4" t="s">
        <v>16</v>
      </c>
    </row>
    <row r="1785" spans="1:18" x14ac:dyDescent="0.3">
      <c r="A1785" t="s">
        <v>4225</v>
      </c>
      <c r="C1785" s="3">
        <v>45264</v>
      </c>
      <c r="D1785" s="11" t="s">
        <v>4226</v>
      </c>
      <c r="E1785" s="11" t="s">
        <v>4236</v>
      </c>
      <c r="G1785" s="7" t="s">
        <v>4227</v>
      </c>
      <c r="I1785" s="17">
        <v>36654</v>
      </c>
      <c r="K1785" s="4">
        <v>200</v>
      </c>
      <c r="L1785" s="11" t="s">
        <v>4229</v>
      </c>
      <c r="M1785" s="11" t="s">
        <v>4228</v>
      </c>
      <c r="O1785" s="4" t="s">
        <v>16</v>
      </c>
      <c r="R1785" s="4" t="s">
        <v>16</v>
      </c>
    </row>
    <row r="1786" spans="1:18" x14ac:dyDescent="0.3">
      <c r="A1786" t="s">
        <v>4241</v>
      </c>
      <c r="C1786" s="3">
        <v>45268</v>
      </c>
      <c r="D1786" s="11" t="s">
        <v>4238</v>
      </c>
      <c r="E1786" s="11" t="s">
        <v>4247</v>
      </c>
      <c r="G1786" s="7" t="s">
        <v>4239</v>
      </c>
      <c r="I1786" s="17">
        <v>33249</v>
      </c>
      <c r="K1786" s="4">
        <v>1000</v>
      </c>
      <c r="L1786" s="11" t="s">
        <v>4240</v>
      </c>
      <c r="M1786" s="11" t="s">
        <v>4248</v>
      </c>
      <c r="O1786" s="4" t="s">
        <v>16</v>
      </c>
      <c r="R1786" s="4" t="s">
        <v>16</v>
      </c>
    </row>
    <row r="1787" spans="1:18" x14ac:dyDescent="0.3">
      <c r="A1787" t="s">
        <v>4243</v>
      </c>
      <c r="C1787" s="3">
        <v>45269</v>
      </c>
      <c r="D1787" s="11" t="s">
        <v>4244</v>
      </c>
      <c r="E1787" s="11" t="s">
        <v>4258</v>
      </c>
      <c r="G1787" s="7" t="s">
        <v>4245</v>
      </c>
      <c r="I1787" s="17">
        <v>30936</v>
      </c>
      <c r="K1787" s="4">
        <v>2000</v>
      </c>
      <c r="L1787" s="11" t="s">
        <v>4252</v>
      </c>
      <c r="M1787" s="11" t="s">
        <v>4246</v>
      </c>
      <c r="O1787" s="4" t="s">
        <v>16</v>
      </c>
      <c r="R1787" s="4" t="s">
        <v>16</v>
      </c>
    </row>
    <row r="1788" spans="1:18" x14ac:dyDescent="0.3">
      <c r="A1788" t="s">
        <v>4263</v>
      </c>
      <c r="C1788" s="3">
        <v>45269</v>
      </c>
      <c r="D1788" s="11" t="s">
        <v>4253</v>
      </c>
      <c r="E1788" s="11" t="s">
        <v>4272</v>
      </c>
      <c r="G1788" s="7" t="s">
        <v>107</v>
      </c>
      <c r="I1788" s="17">
        <v>32143</v>
      </c>
      <c r="K1788" s="4">
        <v>200</v>
      </c>
      <c r="L1788" s="11" t="s">
        <v>4273</v>
      </c>
      <c r="M1788" s="11" t="s">
        <v>4254</v>
      </c>
      <c r="O1788" s="4" t="s">
        <v>19</v>
      </c>
      <c r="R1788" s="4" t="s">
        <v>16</v>
      </c>
    </row>
    <row r="1789" spans="1:18" x14ac:dyDescent="0.3">
      <c r="A1789" t="s">
        <v>4262</v>
      </c>
      <c r="C1789" s="3">
        <v>45273</v>
      </c>
      <c r="D1789" s="11" t="s">
        <v>4264</v>
      </c>
      <c r="E1789" s="11" t="s">
        <v>4276</v>
      </c>
      <c r="G1789" s="7" t="s">
        <v>4265</v>
      </c>
      <c r="I1789" s="17">
        <v>36598</v>
      </c>
      <c r="K1789" s="4">
        <v>500</v>
      </c>
      <c r="L1789" s="11" t="s">
        <v>4268</v>
      </c>
      <c r="M1789" s="11" t="s">
        <v>4266</v>
      </c>
      <c r="O1789" s="4" t="s">
        <v>16</v>
      </c>
      <c r="R1789" s="4" t="s">
        <v>16</v>
      </c>
    </row>
    <row r="1790" spans="1:18" x14ac:dyDescent="0.3">
      <c r="A1790" t="s">
        <v>6604</v>
      </c>
      <c r="C1790" s="3">
        <v>45275</v>
      </c>
      <c r="D1790" s="11" t="s">
        <v>4274</v>
      </c>
      <c r="E1790" s="11" t="s">
        <v>6603</v>
      </c>
      <c r="G1790" s="50" t="s">
        <v>4275</v>
      </c>
      <c r="I1790" s="17">
        <v>36618</v>
      </c>
      <c r="K1790" s="4">
        <v>200</v>
      </c>
      <c r="L1790" s="11" t="s">
        <v>6601</v>
      </c>
      <c r="M1790" s="11" t="s">
        <v>6602</v>
      </c>
      <c r="O1790" s="4" t="s">
        <v>16</v>
      </c>
      <c r="R1790" s="4" t="s">
        <v>16</v>
      </c>
    </row>
    <row r="1791" spans="1:18" x14ac:dyDescent="0.3">
      <c r="C1791" s="3">
        <v>45276</v>
      </c>
      <c r="D1791" s="11" t="s">
        <v>4279</v>
      </c>
      <c r="G1791" s="7" t="s">
        <v>4277</v>
      </c>
      <c r="I1791" s="17">
        <v>38021</v>
      </c>
      <c r="K1791" s="4">
        <v>150</v>
      </c>
      <c r="L1791" s="11" t="s">
        <v>4278</v>
      </c>
      <c r="M1791" s="11" t="s">
        <v>3533</v>
      </c>
      <c r="O1791" s="4" t="s">
        <v>16</v>
      </c>
      <c r="R1791" s="4" t="s">
        <v>16</v>
      </c>
    </row>
    <row r="1792" spans="1:18" x14ac:dyDescent="0.3">
      <c r="A1792" t="s">
        <v>4286</v>
      </c>
      <c r="C1792" s="3">
        <v>45286</v>
      </c>
      <c r="D1792" s="11" t="s">
        <v>4282</v>
      </c>
      <c r="E1792" s="11" t="s">
        <v>4295</v>
      </c>
      <c r="G1792" s="7" t="s">
        <v>4283</v>
      </c>
      <c r="I1792" s="17">
        <v>39760</v>
      </c>
      <c r="K1792" s="4">
        <v>100</v>
      </c>
      <c r="L1792" s="11" t="s">
        <v>4293</v>
      </c>
      <c r="M1792" s="11" t="s">
        <v>4294</v>
      </c>
      <c r="O1792" s="4" t="s">
        <v>19</v>
      </c>
      <c r="R1792" s="4" t="s">
        <v>16</v>
      </c>
    </row>
    <row r="1793" spans="1:18" x14ac:dyDescent="0.3">
      <c r="A1793" t="s">
        <v>4304</v>
      </c>
      <c r="C1793" s="3">
        <v>44929</v>
      </c>
      <c r="D1793" s="11" t="s">
        <v>4313</v>
      </c>
      <c r="E1793" s="11" t="s">
        <v>4337</v>
      </c>
      <c r="G1793" s="7" t="s">
        <v>4314</v>
      </c>
      <c r="I1793" s="17">
        <v>39305</v>
      </c>
      <c r="K1793" s="4">
        <v>200</v>
      </c>
      <c r="L1793" s="11" t="s">
        <v>4315</v>
      </c>
      <c r="R1793" s="4" t="s">
        <v>16</v>
      </c>
    </row>
    <row r="1794" spans="1:18" x14ac:dyDescent="0.3">
      <c r="A1794" t="s">
        <v>4299</v>
      </c>
      <c r="C1794" s="3">
        <v>44929</v>
      </c>
      <c r="D1794" s="11" t="s">
        <v>4300</v>
      </c>
      <c r="E1794" s="11" t="s">
        <v>4363</v>
      </c>
      <c r="G1794" s="7" t="s">
        <v>4301</v>
      </c>
      <c r="I1794" s="17">
        <v>30317</v>
      </c>
      <c r="K1794" s="4">
        <v>200</v>
      </c>
      <c r="L1794" s="11" t="s">
        <v>4302</v>
      </c>
      <c r="M1794" s="11" t="s">
        <v>4303</v>
      </c>
      <c r="O1794" s="4" t="s">
        <v>16</v>
      </c>
      <c r="R1794" s="4" t="s">
        <v>16</v>
      </c>
    </row>
    <row r="1795" spans="1:18" x14ac:dyDescent="0.3">
      <c r="A1795" t="s">
        <v>4317</v>
      </c>
      <c r="C1795" s="3">
        <v>45295</v>
      </c>
      <c r="D1795" s="129" t="s">
        <v>4316</v>
      </c>
      <c r="E1795" s="11" t="s">
        <v>4332</v>
      </c>
      <c r="G1795" s="7" t="s">
        <v>4309</v>
      </c>
      <c r="I1795" s="17">
        <v>23735</v>
      </c>
      <c r="K1795" s="4">
        <v>2000</v>
      </c>
      <c r="L1795" s="11" t="s">
        <v>4318</v>
      </c>
      <c r="M1795" s="11" t="s">
        <v>4333</v>
      </c>
      <c r="O1795" s="4" t="s">
        <v>16</v>
      </c>
      <c r="R1795" s="4" t="s">
        <v>16</v>
      </c>
    </row>
    <row r="1796" spans="1:18" x14ac:dyDescent="0.3">
      <c r="A1796" t="s">
        <v>4320</v>
      </c>
      <c r="C1796" s="3">
        <v>45296</v>
      </c>
      <c r="D1796" s="11" t="s">
        <v>4319</v>
      </c>
      <c r="E1796" s="11" t="s">
        <v>4363</v>
      </c>
      <c r="G1796" s="7" t="s">
        <v>4321</v>
      </c>
      <c r="I1796" s="17">
        <v>38353</v>
      </c>
      <c r="K1796" s="4">
        <v>150</v>
      </c>
      <c r="L1796" s="11" t="s">
        <v>4323</v>
      </c>
      <c r="M1796" s="11" t="s">
        <v>4322</v>
      </c>
      <c r="O1796" s="4" t="s">
        <v>16</v>
      </c>
      <c r="R1796" s="4" t="s">
        <v>2525</v>
      </c>
    </row>
    <row r="1797" spans="1:18" x14ac:dyDescent="0.3">
      <c r="A1797" t="s">
        <v>4325</v>
      </c>
      <c r="C1797" s="3">
        <v>45297</v>
      </c>
      <c r="D1797" s="11" t="s">
        <v>4326</v>
      </c>
      <c r="E1797" s="11" t="s">
        <v>4345</v>
      </c>
      <c r="G1797" s="7" t="s">
        <v>4327</v>
      </c>
      <c r="I1797" s="17">
        <v>38022</v>
      </c>
      <c r="K1797" s="4">
        <v>1000</v>
      </c>
      <c r="L1797" s="11" t="s">
        <v>4328</v>
      </c>
      <c r="M1797" s="11" t="s">
        <v>4329</v>
      </c>
      <c r="O1797" s="4" t="s">
        <v>16</v>
      </c>
      <c r="R1797" s="4" t="s">
        <v>16</v>
      </c>
    </row>
    <row r="1798" spans="1:18" x14ac:dyDescent="0.3">
      <c r="A1798" t="s">
        <v>4352</v>
      </c>
      <c r="C1798" s="3">
        <v>45300</v>
      </c>
      <c r="D1798" s="11" t="s">
        <v>4347</v>
      </c>
      <c r="E1798" s="11" t="s">
        <v>4361</v>
      </c>
      <c r="G1798" s="7" t="s">
        <v>4348</v>
      </c>
      <c r="I1798" s="17">
        <v>39236</v>
      </c>
      <c r="K1798" s="4">
        <v>100</v>
      </c>
      <c r="L1798" s="11" t="s">
        <v>4349</v>
      </c>
      <c r="M1798" s="11" t="s">
        <v>4346</v>
      </c>
      <c r="O1798" s="4" t="s">
        <v>19</v>
      </c>
      <c r="P1798" s="4">
        <f>95.45*5</f>
        <v>477.25</v>
      </c>
      <c r="R1798" s="4" t="s">
        <v>19</v>
      </c>
    </row>
    <row r="1799" spans="1:18" x14ac:dyDescent="0.3">
      <c r="A1799" t="s">
        <v>4351</v>
      </c>
      <c r="C1799" s="3">
        <v>45301</v>
      </c>
      <c r="D1799" s="11" t="s">
        <v>4350</v>
      </c>
      <c r="E1799" s="11" t="s">
        <v>4368</v>
      </c>
      <c r="G1799" s="7" t="s">
        <v>4358</v>
      </c>
      <c r="I1799" s="17">
        <v>23528</v>
      </c>
      <c r="K1799" s="4">
        <v>100</v>
      </c>
      <c r="L1799" s="11" t="s">
        <v>4359</v>
      </c>
      <c r="M1799" s="11" t="s">
        <v>4357</v>
      </c>
      <c r="O1799" s="4" t="s">
        <v>16</v>
      </c>
      <c r="R1799" s="4" t="s">
        <v>16</v>
      </c>
    </row>
    <row r="1800" spans="1:18" x14ac:dyDescent="0.3">
      <c r="A1800" t="s">
        <v>4353</v>
      </c>
      <c r="C1800" s="3">
        <v>45301</v>
      </c>
      <c r="D1800" s="11" t="s">
        <v>4354</v>
      </c>
      <c r="E1800" s="11" t="s">
        <v>4368</v>
      </c>
      <c r="G1800" s="7" t="s">
        <v>4355</v>
      </c>
      <c r="I1800" s="17">
        <v>34706</v>
      </c>
      <c r="K1800" s="4">
        <v>100</v>
      </c>
      <c r="L1800" s="11" t="s">
        <v>4360</v>
      </c>
      <c r="M1800" s="11" t="s">
        <v>4356</v>
      </c>
      <c r="O1800" s="4" t="s">
        <v>16</v>
      </c>
      <c r="R1800" s="4" t="s">
        <v>16</v>
      </c>
    </row>
    <row r="1801" spans="1:18" x14ac:dyDescent="0.3">
      <c r="A1801" t="s">
        <v>4377</v>
      </c>
      <c r="C1801" s="3">
        <v>45320</v>
      </c>
      <c r="D1801" s="11" t="s">
        <v>4380</v>
      </c>
      <c r="E1801" s="11" t="s">
        <v>4387</v>
      </c>
      <c r="G1801" s="7" t="s">
        <v>4379</v>
      </c>
      <c r="I1801" s="17">
        <v>38636</v>
      </c>
      <c r="K1801" s="4">
        <v>200</v>
      </c>
      <c r="L1801" s="11" t="s">
        <v>4388</v>
      </c>
      <c r="M1801" s="11" t="s">
        <v>4378</v>
      </c>
      <c r="O1801" s="4" t="s">
        <v>19</v>
      </c>
      <c r="R1801" s="4" t="s">
        <v>16</v>
      </c>
    </row>
    <row r="1802" spans="1:18" x14ac:dyDescent="0.3">
      <c r="A1802" t="s">
        <v>4383</v>
      </c>
      <c r="C1802" s="3">
        <v>45322</v>
      </c>
      <c r="D1802" s="11" t="s">
        <v>4384</v>
      </c>
      <c r="G1802" s="7" t="s">
        <v>4385</v>
      </c>
      <c r="K1802" s="4">
        <v>100</v>
      </c>
      <c r="M1802" s="11" t="s">
        <v>4386</v>
      </c>
      <c r="O1802" s="4" t="s">
        <v>19</v>
      </c>
      <c r="R1802" s="4" t="s">
        <v>16</v>
      </c>
    </row>
    <row r="1803" spans="1:18" x14ac:dyDescent="0.3">
      <c r="A1803" t="s">
        <v>4390</v>
      </c>
      <c r="C1803" s="3">
        <v>45330</v>
      </c>
      <c r="D1803" s="11" t="s">
        <v>4394</v>
      </c>
      <c r="G1803" s="7" t="s">
        <v>4391</v>
      </c>
      <c r="I1803" s="17">
        <v>22812</v>
      </c>
      <c r="K1803" s="4">
        <v>100</v>
      </c>
      <c r="L1803" s="11" t="s">
        <v>4392</v>
      </c>
      <c r="M1803" s="11" t="s">
        <v>4393</v>
      </c>
      <c r="O1803" s="4" t="s">
        <v>19</v>
      </c>
      <c r="R1803" s="4" t="s">
        <v>16</v>
      </c>
    </row>
    <row r="1804" spans="1:18" x14ac:dyDescent="0.3">
      <c r="A1804" t="s">
        <v>4395</v>
      </c>
      <c r="C1804" s="3">
        <v>45331</v>
      </c>
      <c r="D1804" s="11" t="s">
        <v>4396</v>
      </c>
      <c r="G1804" s="7" t="s">
        <v>4397</v>
      </c>
      <c r="K1804" s="4">
        <v>150</v>
      </c>
      <c r="M1804" s="11" t="s">
        <v>4398</v>
      </c>
      <c r="O1804" s="4" t="s">
        <v>19</v>
      </c>
      <c r="R1804" s="4" t="s">
        <v>16</v>
      </c>
    </row>
    <row r="1805" spans="1:18" x14ac:dyDescent="0.3">
      <c r="A1805" t="s">
        <v>4400</v>
      </c>
      <c r="C1805" s="3">
        <v>45332</v>
      </c>
      <c r="D1805" s="11" t="s">
        <v>4401</v>
      </c>
      <c r="E1805" s="11" t="s">
        <v>4448</v>
      </c>
      <c r="G1805" s="7" t="s">
        <v>4402</v>
      </c>
      <c r="I1805" s="47">
        <v>1965</v>
      </c>
      <c r="K1805" s="4">
        <v>400</v>
      </c>
      <c r="M1805" s="11" t="s">
        <v>4406</v>
      </c>
      <c r="O1805" s="4" t="s">
        <v>19</v>
      </c>
      <c r="R1805" s="4" t="s">
        <v>16</v>
      </c>
    </row>
    <row r="1806" spans="1:18" x14ac:dyDescent="0.3">
      <c r="A1806" t="s">
        <v>4403</v>
      </c>
      <c r="C1806" s="3">
        <v>45334</v>
      </c>
      <c r="D1806" s="11" t="s">
        <v>4438</v>
      </c>
      <c r="E1806" s="11" t="s">
        <v>4449</v>
      </c>
      <c r="G1806" s="7" t="s">
        <v>4439</v>
      </c>
      <c r="K1806" s="4">
        <v>200</v>
      </c>
      <c r="L1806" s="11" t="s">
        <v>4481</v>
      </c>
      <c r="M1806" s="11" t="s">
        <v>4450</v>
      </c>
      <c r="O1806" s="4" t="s">
        <v>19</v>
      </c>
      <c r="R1806" s="4" t="s">
        <v>16</v>
      </c>
    </row>
    <row r="1807" spans="1:18" x14ac:dyDescent="0.3">
      <c r="A1807" t="s">
        <v>4410</v>
      </c>
      <c r="C1807" s="3">
        <v>44976</v>
      </c>
      <c r="D1807" s="11" t="s">
        <v>4411</v>
      </c>
      <c r="G1807" s="7" t="s">
        <v>4412</v>
      </c>
      <c r="K1807" s="4">
        <v>100</v>
      </c>
      <c r="L1807" s="11" t="s">
        <v>4419</v>
      </c>
      <c r="M1807" s="11" t="s">
        <v>4418</v>
      </c>
      <c r="O1807" s="4" t="s">
        <v>19</v>
      </c>
      <c r="R1807" s="4" t="s">
        <v>16</v>
      </c>
    </row>
    <row r="1808" spans="1:18" x14ac:dyDescent="0.3">
      <c r="A1808" t="s">
        <v>4413</v>
      </c>
      <c r="C1808" s="3">
        <v>44976</v>
      </c>
      <c r="D1808" s="11" t="s">
        <v>4414</v>
      </c>
      <c r="G1808" s="7" t="s">
        <v>4415</v>
      </c>
      <c r="K1808" s="4">
        <v>100</v>
      </c>
      <c r="L1808" s="11" t="s">
        <v>4417</v>
      </c>
      <c r="M1808" s="11" t="s">
        <v>4416</v>
      </c>
      <c r="O1808" s="4" t="s">
        <v>19</v>
      </c>
      <c r="R1808" s="4" t="s">
        <v>16</v>
      </c>
    </row>
    <row r="1809" spans="1:18" x14ac:dyDescent="0.3">
      <c r="A1809" t="s">
        <v>4422</v>
      </c>
      <c r="C1809" s="3">
        <v>44977</v>
      </c>
      <c r="D1809" s="11" t="s">
        <v>4424</v>
      </c>
      <c r="E1809" s="11" t="s">
        <v>4486</v>
      </c>
      <c r="G1809" s="7" t="s">
        <v>2367</v>
      </c>
      <c r="K1809" s="4">
        <v>100</v>
      </c>
      <c r="L1809" s="11" t="s">
        <v>4493</v>
      </c>
      <c r="M1809" s="11" t="s">
        <v>4492</v>
      </c>
      <c r="O1809" s="4" t="s">
        <v>19</v>
      </c>
      <c r="R1809" s="4" t="s">
        <v>15</v>
      </c>
    </row>
    <row r="1810" spans="1:18" x14ac:dyDescent="0.3">
      <c r="A1810" t="s">
        <v>4423</v>
      </c>
      <c r="C1810" s="3">
        <v>44977</v>
      </c>
      <c r="D1810" s="11" t="s">
        <v>4425</v>
      </c>
      <c r="E1810" s="11" t="s">
        <v>4467</v>
      </c>
      <c r="G1810" s="7" t="s">
        <v>4427</v>
      </c>
      <c r="K1810" s="4">
        <v>100</v>
      </c>
      <c r="M1810" s="11" t="s">
        <v>4426</v>
      </c>
      <c r="O1810" s="4" t="s">
        <v>14</v>
      </c>
      <c r="R1810" s="4" t="s">
        <v>16</v>
      </c>
    </row>
    <row r="1811" spans="1:18" x14ac:dyDescent="0.3">
      <c r="A1811" t="s">
        <v>4428</v>
      </c>
      <c r="C1811" s="3">
        <v>44977</v>
      </c>
      <c r="D1811" s="11" t="s">
        <v>4429</v>
      </c>
      <c r="E1811" s="11" t="s">
        <v>4502</v>
      </c>
      <c r="G1811" s="7" t="s">
        <v>4430</v>
      </c>
      <c r="K1811" s="4">
        <v>100</v>
      </c>
      <c r="M1811" s="11" t="s">
        <v>4431</v>
      </c>
      <c r="O1811" s="4" t="s">
        <v>19</v>
      </c>
      <c r="R1811" s="4" t="s">
        <v>16</v>
      </c>
    </row>
    <row r="1812" spans="1:18" x14ac:dyDescent="0.3">
      <c r="A1812" t="s">
        <v>4432</v>
      </c>
      <c r="C1812" s="3">
        <v>44977</v>
      </c>
      <c r="D1812" s="11" t="s">
        <v>4435</v>
      </c>
      <c r="G1812" s="7" t="s">
        <v>4434</v>
      </c>
      <c r="K1812" s="4">
        <v>200</v>
      </c>
      <c r="L1812" s="11" t="s">
        <v>4436</v>
      </c>
      <c r="M1812" s="11" t="s">
        <v>4433</v>
      </c>
      <c r="O1812" s="4" t="s">
        <v>19</v>
      </c>
      <c r="R1812" s="4" t="s">
        <v>16</v>
      </c>
    </row>
    <row r="1813" spans="1:18" x14ac:dyDescent="0.3">
      <c r="A1813" t="s">
        <v>4440</v>
      </c>
      <c r="C1813" s="3">
        <v>45343</v>
      </c>
      <c r="D1813" s="11" t="s">
        <v>4441</v>
      </c>
      <c r="E1813" s="11" t="s">
        <v>4502</v>
      </c>
      <c r="G1813" s="7" t="s">
        <v>4479</v>
      </c>
      <c r="K1813" s="4">
        <v>500</v>
      </c>
      <c r="M1813" s="11" t="s">
        <v>4442</v>
      </c>
      <c r="O1813" s="4" t="s">
        <v>16</v>
      </c>
      <c r="R1813" s="4" t="s">
        <v>16</v>
      </c>
    </row>
    <row r="1814" spans="1:18" x14ac:dyDescent="0.3">
      <c r="A1814" t="s">
        <v>4443</v>
      </c>
      <c r="C1814" s="3">
        <v>45343</v>
      </c>
      <c r="D1814" s="11" t="s">
        <v>4447</v>
      </c>
      <c r="E1814" s="11" t="s">
        <v>4467</v>
      </c>
      <c r="G1814" s="7" t="s">
        <v>4445</v>
      </c>
      <c r="I1814" s="17">
        <v>25539</v>
      </c>
      <c r="K1814" s="4">
        <v>500</v>
      </c>
      <c r="L1814" s="11" t="s">
        <v>4446</v>
      </c>
      <c r="M1814" s="11" t="s">
        <v>4444</v>
      </c>
      <c r="O1814" s="4" t="s">
        <v>16</v>
      </c>
      <c r="R1814" s="4" t="s">
        <v>16</v>
      </c>
    </row>
    <row r="1815" spans="1:18" x14ac:dyDescent="0.3">
      <c r="A1815" t="s">
        <v>4451</v>
      </c>
      <c r="C1815" s="3">
        <v>45343</v>
      </c>
      <c r="D1815" s="11" t="s">
        <v>4452</v>
      </c>
      <c r="E1815" s="11" t="s">
        <v>4486</v>
      </c>
      <c r="G1815" s="7" t="s">
        <v>1056</v>
      </c>
      <c r="I1815" s="17">
        <v>25731</v>
      </c>
      <c r="K1815" s="4">
        <v>100</v>
      </c>
      <c r="L1815" s="11" t="s">
        <v>4454</v>
      </c>
      <c r="M1815" s="11" t="s">
        <v>4453</v>
      </c>
      <c r="O1815" s="4" t="s">
        <v>16</v>
      </c>
      <c r="R1815" s="4" t="s">
        <v>19</v>
      </c>
    </row>
    <row r="1816" spans="1:18" x14ac:dyDescent="0.3">
      <c r="A1816" t="s">
        <v>4456</v>
      </c>
      <c r="C1816" s="3">
        <v>45343</v>
      </c>
      <c r="D1816" s="11" t="s">
        <v>4457</v>
      </c>
      <c r="E1816" s="11" t="s">
        <v>4778</v>
      </c>
      <c r="G1816" s="7" t="s">
        <v>4458</v>
      </c>
      <c r="I1816" s="17">
        <v>31445</v>
      </c>
      <c r="K1816" s="4">
        <v>100</v>
      </c>
      <c r="L1816" s="11" t="s">
        <v>4459</v>
      </c>
      <c r="M1816" s="11" t="s">
        <v>4460</v>
      </c>
      <c r="O1816" s="4" t="s">
        <v>16</v>
      </c>
      <c r="R1816" s="4" t="s">
        <v>16</v>
      </c>
    </row>
    <row r="1817" spans="1:18" x14ac:dyDescent="0.3">
      <c r="A1817" t="s">
        <v>4462</v>
      </c>
      <c r="C1817" s="3">
        <v>45344</v>
      </c>
      <c r="D1817" s="11" t="s">
        <v>4465</v>
      </c>
      <c r="E1817" s="11" t="s">
        <v>4502</v>
      </c>
      <c r="G1817" s="7" t="s">
        <v>4463</v>
      </c>
      <c r="I1817" s="17">
        <v>24337</v>
      </c>
      <c r="K1817" s="4">
        <v>500</v>
      </c>
      <c r="L1817" s="11" t="s">
        <v>4464</v>
      </c>
      <c r="M1817" s="11" t="s">
        <v>4466</v>
      </c>
      <c r="O1817" s="4" t="s">
        <v>16</v>
      </c>
      <c r="R1817" s="4" t="s">
        <v>16</v>
      </c>
    </row>
    <row r="1818" spans="1:18" x14ac:dyDescent="0.3">
      <c r="C1818" s="3">
        <v>45344</v>
      </c>
      <c r="D1818" s="11" t="s">
        <v>4473</v>
      </c>
      <c r="E1818" s="11" t="s">
        <v>4486</v>
      </c>
      <c r="G1818" s="7" t="s">
        <v>4472</v>
      </c>
      <c r="I1818" s="17">
        <v>25851</v>
      </c>
      <c r="K1818" s="4">
        <v>100</v>
      </c>
      <c r="L1818" s="11" t="s">
        <v>4475</v>
      </c>
      <c r="M1818" s="11" t="s">
        <v>4471</v>
      </c>
      <c r="O1818" s="4" t="s">
        <v>16</v>
      </c>
      <c r="R1818" s="4" t="s">
        <v>16</v>
      </c>
    </row>
    <row r="1819" spans="1:18" x14ac:dyDescent="0.3">
      <c r="A1819" t="s">
        <v>4468</v>
      </c>
      <c r="C1819" s="3">
        <v>45344</v>
      </c>
      <c r="D1819" s="11" t="s">
        <v>4474</v>
      </c>
      <c r="E1819" s="11" t="s">
        <v>4486</v>
      </c>
      <c r="G1819" s="7" t="s">
        <v>4469</v>
      </c>
      <c r="I1819" s="17">
        <v>22375</v>
      </c>
      <c r="K1819" s="4">
        <v>100</v>
      </c>
      <c r="L1819" s="11" t="s">
        <v>4476</v>
      </c>
      <c r="M1819" s="11" t="s">
        <v>4470</v>
      </c>
      <c r="O1819" s="4" t="s">
        <v>16</v>
      </c>
      <c r="R1819" s="4" t="s">
        <v>16</v>
      </c>
    </row>
    <row r="1820" spans="1:18" x14ac:dyDescent="0.3">
      <c r="A1820" t="s">
        <v>4504</v>
      </c>
      <c r="C1820" s="3">
        <v>45344</v>
      </c>
      <c r="D1820" s="11" t="s">
        <v>4477</v>
      </c>
      <c r="E1820" s="11" t="s">
        <v>4502</v>
      </c>
      <c r="G1820" s="50" t="s">
        <v>4478</v>
      </c>
      <c r="H1820"/>
      <c r="I1820" s="17">
        <v>26665</v>
      </c>
      <c r="K1820" s="4">
        <v>100</v>
      </c>
      <c r="L1820" s="11" t="s">
        <v>4503</v>
      </c>
      <c r="M1820" s="11" t="s">
        <v>4480</v>
      </c>
      <c r="O1820" s="4" t="s">
        <v>16</v>
      </c>
      <c r="R1820" s="4" t="s">
        <v>16</v>
      </c>
    </row>
    <row r="1821" spans="1:18" x14ac:dyDescent="0.3">
      <c r="A1821" t="s">
        <v>4482</v>
      </c>
      <c r="C1821" s="3">
        <v>45344</v>
      </c>
      <c r="D1821" s="11" t="s">
        <v>4483</v>
      </c>
      <c r="E1821" s="11" t="s">
        <v>4507</v>
      </c>
      <c r="G1821" s="7" t="s">
        <v>4484</v>
      </c>
      <c r="I1821" s="17">
        <v>34429</v>
      </c>
      <c r="K1821" s="4">
        <v>2000</v>
      </c>
      <c r="L1821" s="11" t="s">
        <v>4485</v>
      </c>
      <c r="M1821" s="11" t="s">
        <v>4508</v>
      </c>
      <c r="O1821" s="4" t="s">
        <v>19</v>
      </c>
      <c r="R1821" s="4" t="s">
        <v>16</v>
      </c>
    </row>
    <row r="1822" spans="1:18" x14ac:dyDescent="0.3">
      <c r="A1822" t="s">
        <v>4487</v>
      </c>
      <c r="C1822" s="3">
        <v>45345</v>
      </c>
      <c r="D1822" s="11" t="s">
        <v>4488</v>
      </c>
      <c r="G1822" s="7" t="s">
        <v>4489</v>
      </c>
      <c r="K1822" s="4">
        <v>500</v>
      </c>
      <c r="L1822" s="11" t="s">
        <v>4490</v>
      </c>
      <c r="M1822" s="11" t="s">
        <v>4491</v>
      </c>
      <c r="O1822" s="4" t="s">
        <v>19</v>
      </c>
      <c r="R1822" s="4" t="s">
        <v>16</v>
      </c>
    </row>
    <row r="1823" spans="1:18" x14ac:dyDescent="0.3">
      <c r="A1823" t="s">
        <v>4494</v>
      </c>
      <c r="C1823" s="3">
        <v>45345</v>
      </c>
      <c r="D1823" s="11" t="s">
        <v>4495</v>
      </c>
      <c r="E1823" s="11" t="s">
        <v>4539</v>
      </c>
      <c r="G1823" s="7" t="s">
        <v>4496</v>
      </c>
      <c r="I1823" s="17">
        <v>33411</v>
      </c>
      <c r="K1823" s="4">
        <v>100</v>
      </c>
      <c r="L1823" s="11" t="s">
        <v>4497</v>
      </c>
      <c r="M1823" s="11" t="s">
        <v>4498</v>
      </c>
      <c r="O1823" s="4" t="s">
        <v>16</v>
      </c>
      <c r="R1823" s="4" t="s">
        <v>16</v>
      </c>
    </row>
    <row r="1824" spans="1:18" x14ac:dyDescent="0.3">
      <c r="C1824" s="3">
        <v>45348</v>
      </c>
      <c r="D1824" s="11" t="s">
        <v>4509</v>
      </c>
      <c r="G1824" s="7" t="s">
        <v>4510</v>
      </c>
      <c r="H1824" s="7" t="s">
        <v>4540</v>
      </c>
      <c r="K1824" s="4">
        <v>400</v>
      </c>
      <c r="M1824" s="11" t="s">
        <v>4511</v>
      </c>
      <c r="O1824" s="4" t="s">
        <v>16</v>
      </c>
      <c r="R1824" s="4" t="s">
        <v>16</v>
      </c>
    </row>
    <row r="1825" spans="1:18" x14ac:dyDescent="0.3">
      <c r="A1825" t="s">
        <v>4541</v>
      </c>
      <c r="C1825" s="3">
        <v>45348</v>
      </c>
      <c r="D1825" s="11" t="s">
        <v>4514</v>
      </c>
      <c r="E1825" s="11" t="s">
        <v>4539</v>
      </c>
      <c r="G1825" s="7" t="s">
        <v>4512</v>
      </c>
      <c r="K1825" s="4">
        <v>100</v>
      </c>
      <c r="M1825" s="11" t="s">
        <v>4513</v>
      </c>
      <c r="O1825" s="4" t="s">
        <v>16</v>
      </c>
      <c r="R1825" s="4" t="s">
        <v>19</v>
      </c>
    </row>
    <row r="1826" spans="1:18" x14ac:dyDescent="0.3">
      <c r="A1826" t="s">
        <v>4550</v>
      </c>
      <c r="C1826" s="3">
        <v>45348</v>
      </c>
      <c r="D1826" s="11" t="s">
        <v>4515</v>
      </c>
      <c r="E1826" s="11" t="s">
        <v>4549</v>
      </c>
      <c r="G1826" s="7" t="s">
        <v>4516</v>
      </c>
      <c r="I1826" s="17">
        <v>30973</v>
      </c>
      <c r="K1826" s="4">
        <v>100</v>
      </c>
      <c r="O1826" s="4" t="s">
        <v>16</v>
      </c>
      <c r="R1826" s="4" t="s">
        <v>16</v>
      </c>
    </row>
    <row r="1827" spans="1:18" x14ac:dyDescent="0.3">
      <c r="A1827" t="s">
        <v>4517</v>
      </c>
      <c r="C1827" s="3">
        <v>45349</v>
      </c>
      <c r="D1827" s="11" t="s">
        <v>4520</v>
      </c>
      <c r="E1827" s="11" t="s">
        <v>4549</v>
      </c>
      <c r="G1827" s="7" t="s">
        <v>4518</v>
      </c>
      <c r="I1827" s="17">
        <v>21916</v>
      </c>
      <c r="K1827" s="4">
        <v>100</v>
      </c>
      <c r="M1827" s="11" t="s">
        <v>4519</v>
      </c>
      <c r="O1827" s="4" t="s">
        <v>19</v>
      </c>
      <c r="R1827" s="4" t="s">
        <v>16</v>
      </c>
    </row>
    <row r="1828" spans="1:18" x14ac:dyDescent="0.3">
      <c r="A1828" t="s">
        <v>4521</v>
      </c>
      <c r="C1828" s="3">
        <v>45349</v>
      </c>
      <c r="D1828" s="11" t="s">
        <v>4523</v>
      </c>
      <c r="G1828" s="7" t="s">
        <v>4524</v>
      </c>
      <c r="I1828" s="17">
        <v>22689</v>
      </c>
      <c r="K1828" s="4">
        <v>100</v>
      </c>
      <c r="M1828" s="11" t="s">
        <v>4522</v>
      </c>
      <c r="O1828" s="4" t="s">
        <v>14</v>
      </c>
      <c r="R1828" s="4" t="s">
        <v>16</v>
      </c>
    </row>
    <row r="1829" spans="1:18" x14ac:dyDescent="0.3">
      <c r="A1829" t="s">
        <v>4526</v>
      </c>
      <c r="C1829" s="3">
        <v>45349</v>
      </c>
      <c r="D1829" s="11" t="s">
        <v>4527</v>
      </c>
      <c r="E1829" s="11" t="s">
        <v>4531</v>
      </c>
      <c r="G1829" s="7" t="s">
        <v>4528</v>
      </c>
      <c r="I1829" s="17">
        <v>20455</v>
      </c>
      <c r="K1829" s="4">
        <v>100</v>
      </c>
      <c r="L1829" s="11" t="s">
        <v>4530</v>
      </c>
      <c r="M1829" s="11" t="s">
        <v>4529</v>
      </c>
      <c r="O1829" s="4" t="s">
        <v>14</v>
      </c>
      <c r="R1829" s="4" t="s">
        <v>16</v>
      </c>
    </row>
    <row r="1830" spans="1:18" x14ac:dyDescent="0.3">
      <c r="A1830" t="s">
        <v>4543</v>
      </c>
      <c r="C1830" s="3">
        <v>45353</v>
      </c>
      <c r="D1830" s="11" t="s">
        <v>4545</v>
      </c>
      <c r="E1830" s="11" t="s">
        <v>4553</v>
      </c>
      <c r="G1830" s="7" t="s">
        <v>4544</v>
      </c>
      <c r="I1830" s="17">
        <v>24108</v>
      </c>
      <c r="K1830" s="4">
        <v>500</v>
      </c>
      <c r="L1830" s="11" t="s">
        <v>4546</v>
      </c>
      <c r="M1830" s="11" t="s">
        <v>4547</v>
      </c>
      <c r="O1830" s="4" t="s">
        <v>14</v>
      </c>
      <c r="R1830" s="4" t="s">
        <v>16</v>
      </c>
    </row>
    <row r="1831" spans="1:18" x14ac:dyDescent="0.3">
      <c r="A1831" t="s">
        <v>4575</v>
      </c>
      <c r="C1831" s="3">
        <v>45372</v>
      </c>
      <c r="D1831" s="11" t="s">
        <v>4558</v>
      </c>
      <c r="E1831" s="11" t="s">
        <v>4602</v>
      </c>
      <c r="G1831" s="7" t="s">
        <v>4559</v>
      </c>
      <c r="I1831" s="17">
        <v>21223</v>
      </c>
      <c r="J1831" s="4" t="s">
        <v>3418</v>
      </c>
      <c r="K1831" s="4">
        <v>100</v>
      </c>
      <c r="L1831" s="11" t="s">
        <v>4563</v>
      </c>
      <c r="M1831" s="11" t="s">
        <v>4564</v>
      </c>
      <c r="O1831" s="4" t="s">
        <v>19</v>
      </c>
      <c r="R1831" s="4" t="s">
        <v>16</v>
      </c>
    </row>
    <row r="1832" spans="1:18" x14ac:dyDescent="0.3">
      <c r="A1832" t="s">
        <v>4574</v>
      </c>
      <c r="C1832" s="3">
        <v>45373</v>
      </c>
      <c r="D1832" s="11" t="s">
        <v>4565</v>
      </c>
      <c r="E1832" s="11" t="s">
        <v>4590</v>
      </c>
      <c r="G1832" s="7" t="s">
        <v>4566</v>
      </c>
      <c r="K1832" s="4">
        <v>1000</v>
      </c>
      <c r="L1832" s="11" t="s">
        <v>4572</v>
      </c>
      <c r="M1832" s="11" t="s">
        <v>4568</v>
      </c>
      <c r="O1832" s="4" t="s">
        <v>16</v>
      </c>
      <c r="R1832" s="4" t="s">
        <v>19</v>
      </c>
    </row>
    <row r="1833" spans="1:18" x14ac:dyDescent="0.3">
      <c r="A1833" t="s">
        <v>4573</v>
      </c>
      <c r="C1833" s="3">
        <v>45373</v>
      </c>
      <c r="D1833" s="11" t="s">
        <v>4569</v>
      </c>
      <c r="E1833" s="11" t="s">
        <v>4590</v>
      </c>
      <c r="G1833" s="7" t="s">
        <v>4567</v>
      </c>
      <c r="I1833" s="17">
        <v>20090</v>
      </c>
      <c r="K1833" s="4">
        <v>1000</v>
      </c>
      <c r="L1833" s="11" t="s">
        <v>4571</v>
      </c>
      <c r="M1833" s="11" t="s">
        <v>4568</v>
      </c>
      <c r="O1833" s="4" t="s">
        <v>16</v>
      </c>
      <c r="R1833" s="4" t="s">
        <v>19</v>
      </c>
    </row>
    <row r="1834" spans="1:18" x14ac:dyDescent="0.3">
      <c r="A1834" t="s">
        <v>4580</v>
      </c>
      <c r="C1834" s="3">
        <v>45377</v>
      </c>
      <c r="D1834" s="11" t="s">
        <v>4578</v>
      </c>
      <c r="E1834" s="11" t="s">
        <v>4615</v>
      </c>
      <c r="G1834" s="7" t="s">
        <v>4579</v>
      </c>
      <c r="I1834" s="17">
        <v>29952</v>
      </c>
      <c r="K1834" s="4">
        <v>100</v>
      </c>
      <c r="L1834" s="11" t="s">
        <v>4581</v>
      </c>
      <c r="O1834" s="4" t="s">
        <v>16</v>
      </c>
      <c r="R1834" s="4" t="s">
        <v>16</v>
      </c>
    </row>
    <row r="1835" spans="1:18" x14ac:dyDescent="0.3">
      <c r="A1835" t="s">
        <v>4585</v>
      </c>
      <c r="C1835" s="3">
        <v>45377</v>
      </c>
      <c r="D1835" s="11" t="s">
        <v>4582</v>
      </c>
      <c r="E1835" s="11" t="s">
        <v>4590</v>
      </c>
      <c r="G1835" s="7" t="s">
        <v>4584</v>
      </c>
      <c r="I1835" s="17">
        <v>21566</v>
      </c>
      <c r="K1835" s="4">
        <v>100</v>
      </c>
      <c r="L1835" s="11" t="s">
        <v>4587</v>
      </c>
      <c r="M1835" s="11" t="s">
        <v>4588</v>
      </c>
      <c r="O1835" s="4" t="s">
        <v>16</v>
      </c>
      <c r="R1835" s="4" t="s">
        <v>16</v>
      </c>
    </row>
    <row r="1836" spans="1:18" x14ac:dyDescent="0.3">
      <c r="A1836" t="s">
        <v>4586</v>
      </c>
      <c r="C1836" s="3">
        <v>45377</v>
      </c>
      <c r="D1836" s="11" t="s">
        <v>4583</v>
      </c>
      <c r="E1836" s="11" t="s">
        <v>4590</v>
      </c>
      <c r="G1836" s="7" t="s">
        <v>3</v>
      </c>
      <c r="I1836" s="7"/>
      <c r="J1836" s="47"/>
      <c r="K1836" s="4">
        <v>100</v>
      </c>
      <c r="M1836" s="11" t="s">
        <v>4589</v>
      </c>
      <c r="O1836" s="4" t="s">
        <v>16</v>
      </c>
      <c r="R1836" s="4" t="s">
        <v>16</v>
      </c>
    </row>
    <row r="1837" spans="1:18" x14ac:dyDescent="0.3">
      <c r="A1837" t="s">
        <v>4593</v>
      </c>
      <c r="C1837" s="3">
        <v>45379</v>
      </c>
      <c r="D1837" s="11" t="s">
        <v>4591</v>
      </c>
      <c r="G1837" s="7" t="s">
        <v>219</v>
      </c>
      <c r="I1837" s="17">
        <v>26665</v>
      </c>
      <c r="K1837" s="4">
        <v>100</v>
      </c>
      <c r="O1837" s="4" t="s">
        <v>16</v>
      </c>
      <c r="R1837" s="4" t="s">
        <v>19</v>
      </c>
    </row>
    <row r="1838" spans="1:18" x14ac:dyDescent="0.3">
      <c r="A1838" t="s">
        <v>4592</v>
      </c>
      <c r="C1838" s="3">
        <v>45379</v>
      </c>
      <c r="D1838" s="11" t="s">
        <v>4594</v>
      </c>
      <c r="E1838" s="11" t="s">
        <v>4614</v>
      </c>
      <c r="G1838" s="7" t="s">
        <v>4595</v>
      </c>
      <c r="I1838" s="17">
        <v>25569</v>
      </c>
      <c r="K1838" s="4">
        <v>500</v>
      </c>
      <c r="L1838" s="11" t="s">
        <v>4597</v>
      </c>
      <c r="M1838" s="11" t="s">
        <v>4596</v>
      </c>
      <c r="O1838" s="4" t="s">
        <v>16</v>
      </c>
      <c r="R1838" s="4" t="s">
        <v>16</v>
      </c>
    </row>
    <row r="1839" spans="1:18" x14ac:dyDescent="0.3">
      <c r="A1839" t="s">
        <v>4598</v>
      </c>
      <c r="C1839" s="3">
        <v>45379</v>
      </c>
      <c r="D1839" s="11" t="s">
        <v>4599</v>
      </c>
      <c r="E1839" s="11" t="s">
        <v>4603</v>
      </c>
      <c r="G1839" s="7" t="s">
        <v>4600</v>
      </c>
      <c r="I1839" s="17">
        <v>16177</v>
      </c>
      <c r="K1839" s="4">
        <v>100</v>
      </c>
      <c r="L1839" s="11" t="s">
        <v>4605</v>
      </c>
      <c r="M1839" s="11" t="s">
        <v>4604</v>
      </c>
      <c r="O1839" s="4" t="s">
        <v>19</v>
      </c>
      <c r="R1839" s="4" t="s">
        <v>16</v>
      </c>
    </row>
    <row r="1840" spans="1:18" x14ac:dyDescent="0.3">
      <c r="A1840" t="s">
        <v>4606</v>
      </c>
      <c r="C1840" s="3">
        <v>45381</v>
      </c>
      <c r="D1840" s="11" t="s">
        <v>4607</v>
      </c>
      <c r="G1840" s="7" t="s">
        <v>4608</v>
      </c>
      <c r="I1840" s="17">
        <v>26581</v>
      </c>
      <c r="K1840" s="4">
        <v>100</v>
      </c>
      <c r="L1840" s="11" t="s">
        <v>4609</v>
      </c>
      <c r="O1840" s="4" t="s">
        <v>16</v>
      </c>
      <c r="R1840" s="4" t="s">
        <v>16</v>
      </c>
    </row>
    <row r="1841" spans="1:18" x14ac:dyDescent="0.3">
      <c r="A1841" t="s">
        <v>4616</v>
      </c>
      <c r="C1841" s="3">
        <v>45384</v>
      </c>
      <c r="D1841" s="11" t="s">
        <v>4617</v>
      </c>
      <c r="G1841" s="7" t="s">
        <v>4618</v>
      </c>
      <c r="I1841" s="17">
        <v>41395</v>
      </c>
      <c r="K1841" s="4">
        <v>400</v>
      </c>
      <c r="L1841" s="11" t="s">
        <v>4620</v>
      </c>
      <c r="M1841" s="11" t="s">
        <v>4619</v>
      </c>
      <c r="O1841" s="4" t="s">
        <v>19</v>
      </c>
      <c r="R1841" s="4" t="s">
        <v>19</v>
      </c>
    </row>
    <row r="1842" spans="1:18" x14ac:dyDescent="0.3">
      <c r="A1842" t="s">
        <v>4621</v>
      </c>
      <c r="C1842" s="3">
        <v>45386</v>
      </c>
      <c r="D1842" s="11" t="s">
        <v>4622</v>
      </c>
      <c r="E1842" s="11" t="s">
        <v>4657</v>
      </c>
      <c r="G1842" s="7" t="s">
        <v>4656</v>
      </c>
      <c r="I1842" s="17">
        <v>26431</v>
      </c>
      <c r="K1842" s="4">
        <v>400</v>
      </c>
      <c r="L1842" s="11" t="s">
        <v>9487</v>
      </c>
      <c r="M1842" s="11" t="s">
        <v>9489</v>
      </c>
      <c r="O1842" s="4" t="s">
        <v>16</v>
      </c>
      <c r="R1842" s="4" t="s">
        <v>9488</v>
      </c>
    </row>
    <row r="1843" spans="1:18" x14ac:dyDescent="0.3">
      <c r="A1843" t="s">
        <v>4624</v>
      </c>
      <c r="C1843" s="3">
        <v>45386</v>
      </c>
      <c r="D1843" s="11" t="s">
        <v>4625</v>
      </c>
      <c r="E1843" s="11" t="s">
        <v>4655</v>
      </c>
      <c r="G1843" s="7" t="s">
        <v>939</v>
      </c>
      <c r="I1843" s="17">
        <v>19808</v>
      </c>
      <c r="K1843" s="4">
        <v>500</v>
      </c>
      <c r="M1843" s="11" t="s">
        <v>4626</v>
      </c>
      <c r="O1843" s="4" t="s">
        <v>19</v>
      </c>
      <c r="R1843" s="4" t="s">
        <v>16</v>
      </c>
    </row>
    <row r="1844" spans="1:18" x14ac:dyDescent="0.3">
      <c r="C1844" s="3">
        <v>45386</v>
      </c>
      <c r="D1844" s="11" t="s">
        <v>4628</v>
      </c>
      <c r="E1844" s="11" t="s">
        <v>4655</v>
      </c>
      <c r="G1844" s="7" t="s">
        <v>4629</v>
      </c>
      <c r="I1844" s="17">
        <v>19139</v>
      </c>
      <c r="K1844" s="4">
        <v>500</v>
      </c>
      <c r="L1844" s="11" t="s">
        <v>10895</v>
      </c>
      <c r="M1844" s="11" t="s">
        <v>4630</v>
      </c>
      <c r="O1844" s="4" t="s">
        <v>19</v>
      </c>
      <c r="R1844" s="4" t="s">
        <v>16</v>
      </c>
    </row>
    <row r="1845" spans="1:18" x14ac:dyDescent="0.3">
      <c r="A1845" t="s">
        <v>4627</v>
      </c>
      <c r="C1845" s="3">
        <v>45387</v>
      </c>
      <c r="D1845" s="11" t="s">
        <v>4632</v>
      </c>
      <c r="G1845" s="7" t="s">
        <v>4633</v>
      </c>
      <c r="K1845" s="4">
        <v>100</v>
      </c>
      <c r="L1845" s="11" t="s">
        <v>4635</v>
      </c>
      <c r="M1845" s="11" t="s">
        <v>4634</v>
      </c>
      <c r="O1845" s="4" t="s">
        <v>16</v>
      </c>
      <c r="R1845" s="4" t="s">
        <v>16</v>
      </c>
    </row>
    <row r="1846" spans="1:18" x14ac:dyDescent="0.3">
      <c r="A1846" t="s">
        <v>4636</v>
      </c>
      <c r="C1846" s="3">
        <v>45388</v>
      </c>
      <c r="D1846" s="11" t="s">
        <v>4637</v>
      </c>
      <c r="G1846" s="7" t="s">
        <v>4638</v>
      </c>
      <c r="I1846" s="17">
        <v>25158</v>
      </c>
      <c r="K1846" s="4">
        <v>2000</v>
      </c>
      <c r="L1846" s="11" t="s">
        <v>4639</v>
      </c>
      <c r="O1846" s="4" t="s">
        <v>16</v>
      </c>
      <c r="R1846" s="4" t="s">
        <v>16</v>
      </c>
    </row>
    <row r="1847" spans="1:18" x14ac:dyDescent="0.3">
      <c r="A1847" t="s">
        <v>4640</v>
      </c>
      <c r="C1847" s="3">
        <v>45388</v>
      </c>
      <c r="D1847" s="11" t="s">
        <v>4641</v>
      </c>
      <c r="E1847" s="11" t="s">
        <v>4671</v>
      </c>
      <c r="G1847" s="7" t="s">
        <v>4642</v>
      </c>
      <c r="I1847" s="17">
        <v>28830</v>
      </c>
      <c r="K1847" s="4">
        <v>100</v>
      </c>
      <c r="L1847" s="11" t="s">
        <v>4643</v>
      </c>
      <c r="M1847" s="11" t="s">
        <v>4644</v>
      </c>
      <c r="O1847" s="4" t="s">
        <v>19</v>
      </c>
      <c r="R1847" s="4" t="s">
        <v>16</v>
      </c>
    </row>
    <row r="1848" spans="1:18" x14ac:dyDescent="0.3">
      <c r="A1848" t="s">
        <v>4646</v>
      </c>
      <c r="C1848" s="3">
        <v>45390</v>
      </c>
      <c r="D1848" s="11" t="s">
        <v>4647</v>
      </c>
      <c r="E1848" s="11" t="s">
        <v>4657</v>
      </c>
      <c r="G1848" s="7" t="s">
        <v>4648</v>
      </c>
      <c r="I1848" s="17">
        <v>17899</v>
      </c>
      <c r="K1848" s="4">
        <v>100</v>
      </c>
      <c r="L1848" s="11" t="s">
        <v>4650</v>
      </c>
      <c r="M1848" s="11" t="s">
        <v>4649</v>
      </c>
      <c r="O1848" s="4" t="s">
        <v>19</v>
      </c>
      <c r="R1848" s="4" t="s">
        <v>16</v>
      </c>
    </row>
    <row r="1849" spans="1:18" x14ac:dyDescent="0.3">
      <c r="A1849" t="s">
        <v>4651</v>
      </c>
      <c r="C1849" s="3">
        <v>45390</v>
      </c>
      <c r="D1849" s="11" t="s">
        <v>4652</v>
      </c>
      <c r="G1849" s="7" t="s">
        <v>4653</v>
      </c>
      <c r="I1849" s="17">
        <v>37223</v>
      </c>
      <c r="K1849" s="4">
        <v>8050</v>
      </c>
      <c r="L1849" s="11" t="s">
        <v>4654</v>
      </c>
      <c r="M1849" s="11" t="s">
        <v>4519</v>
      </c>
      <c r="O1849" s="4" t="s">
        <v>19</v>
      </c>
      <c r="R1849" s="4" t="s">
        <v>16</v>
      </c>
    </row>
    <row r="1850" spans="1:18" x14ac:dyDescent="0.3">
      <c r="A1850" t="s">
        <v>4664</v>
      </c>
      <c r="C1850" s="3">
        <v>45392</v>
      </c>
      <c r="D1850" s="123" t="s">
        <v>4665</v>
      </c>
      <c r="G1850" s="7" t="s">
        <v>4666</v>
      </c>
      <c r="I1850" s="17">
        <v>24473</v>
      </c>
      <c r="K1850" s="4">
        <v>2000</v>
      </c>
      <c r="L1850" s="11" t="s">
        <v>4668</v>
      </c>
      <c r="M1850" s="11" t="s">
        <v>4667</v>
      </c>
      <c r="O1850" s="4" t="s">
        <v>16</v>
      </c>
      <c r="R1850" s="4" t="s">
        <v>16</v>
      </c>
    </row>
    <row r="1851" spans="1:18" x14ac:dyDescent="0.3">
      <c r="A1851" t="s">
        <v>4679</v>
      </c>
      <c r="C1851" s="3">
        <v>45401</v>
      </c>
      <c r="D1851" s="11" t="s">
        <v>4680</v>
      </c>
      <c r="E1851" s="11" t="s">
        <v>4758</v>
      </c>
      <c r="G1851" s="7" t="s">
        <v>4681</v>
      </c>
      <c r="I1851" s="17">
        <v>32509</v>
      </c>
      <c r="K1851" s="4">
        <v>2000</v>
      </c>
      <c r="L1851" s="11" t="s">
        <v>4682</v>
      </c>
      <c r="M1851" s="11" t="s">
        <v>4683</v>
      </c>
      <c r="O1851" s="4" t="s">
        <v>16</v>
      </c>
      <c r="R1851" s="4" t="s">
        <v>16</v>
      </c>
    </row>
    <row r="1852" spans="1:18" x14ac:dyDescent="0.3">
      <c r="A1852" t="s">
        <v>4723</v>
      </c>
      <c r="C1852" s="3">
        <v>45405</v>
      </c>
      <c r="D1852" s="11" t="s">
        <v>4724</v>
      </c>
      <c r="E1852" s="11" t="s">
        <v>4735</v>
      </c>
      <c r="G1852" s="7" t="s">
        <v>4725</v>
      </c>
      <c r="I1852" s="17">
        <v>38825</v>
      </c>
      <c r="K1852" s="4">
        <v>200</v>
      </c>
      <c r="L1852" s="11" t="s">
        <v>4736</v>
      </c>
      <c r="M1852" s="11" t="s">
        <v>4726</v>
      </c>
      <c r="O1852" s="4" t="s">
        <v>16</v>
      </c>
      <c r="R1852" s="4" t="s">
        <v>16</v>
      </c>
    </row>
    <row r="1853" spans="1:18" x14ac:dyDescent="0.3">
      <c r="A1853" t="s">
        <v>4728</v>
      </c>
      <c r="C1853" s="3">
        <v>45405</v>
      </c>
      <c r="D1853" s="11" t="s">
        <v>4729</v>
      </c>
      <c r="E1853" s="11" t="s">
        <v>4747</v>
      </c>
      <c r="G1853" s="7" t="s">
        <v>4727</v>
      </c>
      <c r="I1853" s="17">
        <v>32583</v>
      </c>
      <c r="K1853" s="4">
        <v>500</v>
      </c>
      <c r="M1853" s="11" t="s">
        <v>4730</v>
      </c>
      <c r="O1853" s="4" t="s">
        <v>16</v>
      </c>
      <c r="R1853" s="4" t="s">
        <v>16</v>
      </c>
    </row>
    <row r="1854" spans="1:18" x14ac:dyDescent="0.3">
      <c r="A1854" t="s">
        <v>4731</v>
      </c>
      <c r="C1854" s="3">
        <v>45405</v>
      </c>
      <c r="D1854" s="11" t="s">
        <v>4732</v>
      </c>
      <c r="E1854" s="11" t="s">
        <v>4747</v>
      </c>
      <c r="G1854" s="7" t="s">
        <v>4733</v>
      </c>
      <c r="I1854" s="17">
        <v>22287</v>
      </c>
      <c r="K1854" s="4">
        <v>100</v>
      </c>
      <c r="M1854" s="11" t="s">
        <v>4748</v>
      </c>
      <c r="O1854" s="4" t="s">
        <v>16</v>
      </c>
      <c r="R1854" s="4" t="s">
        <v>16</v>
      </c>
    </row>
    <row r="1855" spans="1:18" x14ac:dyDescent="0.3">
      <c r="A1855" t="s">
        <v>4739</v>
      </c>
      <c r="C1855" s="3">
        <v>45407</v>
      </c>
      <c r="D1855" s="11" t="s">
        <v>4741</v>
      </c>
      <c r="G1855" s="7" t="s">
        <v>4742</v>
      </c>
      <c r="I1855" s="17">
        <v>40025</v>
      </c>
      <c r="K1855" s="4">
        <v>500</v>
      </c>
      <c r="L1855" s="11" t="s">
        <v>4743</v>
      </c>
      <c r="M1855" s="11" t="s">
        <v>4744</v>
      </c>
      <c r="O1855" s="4" t="s">
        <v>19</v>
      </c>
      <c r="R1855" s="4" t="s">
        <v>19</v>
      </c>
    </row>
    <row r="1856" spans="1:18" x14ac:dyDescent="0.3">
      <c r="A1856" t="s">
        <v>4746</v>
      </c>
      <c r="C1856" s="3">
        <v>45408</v>
      </c>
      <c r="D1856" s="11" t="s">
        <v>4752</v>
      </c>
      <c r="E1856" s="11" t="s">
        <v>4763</v>
      </c>
      <c r="G1856" s="7" t="s">
        <v>2224</v>
      </c>
      <c r="K1856" s="4">
        <v>100</v>
      </c>
      <c r="M1856" s="11" t="s">
        <v>4753</v>
      </c>
      <c r="O1856" s="4" t="s">
        <v>19</v>
      </c>
      <c r="R1856" s="4" t="s">
        <v>14</v>
      </c>
    </row>
    <row r="1857" spans="1:18" x14ac:dyDescent="0.3">
      <c r="A1857" t="s">
        <v>4749</v>
      </c>
      <c r="C1857" s="3">
        <v>45408</v>
      </c>
      <c r="D1857" s="11" t="s">
        <v>4751</v>
      </c>
      <c r="E1857" s="11" t="s">
        <v>4763</v>
      </c>
      <c r="G1857" s="7" t="s">
        <v>4750</v>
      </c>
      <c r="I1857" s="17">
        <v>40178</v>
      </c>
      <c r="K1857" s="4">
        <v>100</v>
      </c>
      <c r="L1857" s="11" t="s">
        <v>4764</v>
      </c>
      <c r="M1857" s="11" t="s">
        <v>4753</v>
      </c>
      <c r="O1857" s="4" t="s">
        <v>19</v>
      </c>
      <c r="R1857" s="4" t="s">
        <v>19</v>
      </c>
    </row>
    <row r="1858" spans="1:18" x14ac:dyDescent="0.3">
      <c r="A1858" t="s">
        <v>4781</v>
      </c>
      <c r="C1858" s="3">
        <v>45415</v>
      </c>
      <c r="D1858" s="11" t="s">
        <v>4776</v>
      </c>
      <c r="G1858" s="7" t="s">
        <v>4777</v>
      </c>
      <c r="I1858" s="17">
        <v>40488</v>
      </c>
      <c r="K1858" s="4">
        <v>200</v>
      </c>
      <c r="L1858" s="11" t="s">
        <v>4782</v>
      </c>
      <c r="M1858" s="11" t="s">
        <v>4783</v>
      </c>
      <c r="O1858" s="4" t="s">
        <v>19</v>
      </c>
      <c r="R1858" s="4" t="s">
        <v>19</v>
      </c>
    </row>
    <row r="1859" spans="1:18" x14ac:dyDescent="0.3">
      <c r="A1859" t="s">
        <v>4791</v>
      </c>
      <c r="C1859" s="3">
        <v>45420</v>
      </c>
      <c r="D1859" s="11" t="s">
        <v>4792</v>
      </c>
      <c r="E1859" s="11" t="s">
        <v>4803</v>
      </c>
      <c r="G1859" s="7" t="s">
        <v>4793</v>
      </c>
      <c r="I1859" s="17">
        <v>26980</v>
      </c>
      <c r="K1859" s="4">
        <v>200</v>
      </c>
      <c r="L1859" s="11" t="s">
        <v>4794</v>
      </c>
      <c r="M1859" s="11" t="s">
        <v>4748</v>
      </c>
      <c r="O1859" s="4" t="s">
        <v>16</v>
      </c>
      <c r="R1859" s="4" t="s">
        <v>16</v>
      </c>
    </row>
    <row r="1860" spans="1:18" x14ac:dyDescent="0.3">
      <c r="A1860" t="s">
        <v>4804</v>
      </c>
      <c r="C1860" s="3">
        <v>45425</v>
      </c>
      <c r="D1860" s="11" t="s">
        <v>4814</v>
      </c>
      <c r="E1860" s="11" t="s">
        <v>4835</v>
      </c>
      <c r="G1860" s="7" t="s">
        <v>4813</v>
      </c>
      <c r="I1860" s="17">
        <v>36712</v>
      </c>
      <c r="K1860" s="4">
        <v>500</v>
      </c>
      <c r="L1860" s="11" t="s">
        <v>4816</v>
      </c>
      <c r="M1860" s="11" t="s">
        <v>4817</v>
      </c>
      <c r="O1860" s="4" t="s">
        <v>16</v>
      </c>
      <c r="R1860" s="4" t="s">
        <v>16</v>
      </c>
    </row>
    <row r="1861" spans="1:18" x14ac:dyDescent="0.3">
      <c r="A1861" t="s">
        <v>4805</v>
      </c>
      <c r="C1861" s="3">
        <v>45425</v>
      </c>
      <c r="D1861" s="11" t="s">
        <v>4815</v>
      </c>
      <c r="E1861" s="11" t="s">
        <v>4835</v>
      </c>
      <c r="G1861" s="7" t="s">
        <v>4818</v>
      </c>
      <c r="I1861" s="17">
        <v>27030</v>
      </c>
      <c r="K1861" s="4">
        <v>500</v>
      </c>
      <c r="L1861" s="11" t="s">
        <v>4819</v>
      </c>
      <c r="M1861" s="11" t="s">
        <v>4806</v>
      </c>
      <c r="R1861" s="4" t="s">
        <v>16</v>
      </c>
    </row>
    <row r="1862" spans="1:18" x14ac:dyDescent="0.3">
      <c r="A1862" t="s">
        <v>4807</v>
      </c>
      <c r="C1862" s="3">
        <v>45426</v>
      </c>
      <c r="D1862" s="11" t="s">
        <v>4820</v>
      </c>
      <c r="E1862" s="11" t="s">
        <v>4936</v>
      </c>
      <c r="G1862" s="7" t="s">
        <v>4808</v>
      </c>
      <c r="I1862" s="17">
        <v>30871</v>
      </c>
      <c r="K1862" s="4">
        <v>500</v>
      </c>
      <c r="L1862" s="11" t="s">
        <v>4823</v>
      </c>
      <c r="M1862" s="11" t="s">
        <v>4809</v>
      </c>
      <c r="O1862" s="4" t="s">
        <v>16</v>
      </c>
      <c r="P1862" s="4" t="s">
        <v>16</v>
      </c>
      <c r="R1862" s="4" t="s">
        <v>16</v>
      </c>
    </row>
    <row r="1863" spans="1:18" x14ac:dyDescent="0.3">
      <c r="A1863" t="s">
        <v>4810</v>
      </c>
      <c r="C1863" s="3">
        <v>45426</v>
      </c>
      <c r="D1863" s="11" t="s">
        <v>4821</v>
      </c>
      <c r="E1863" s="11" t="s">
        <v>4833</v>
      </c>
      <c r="G1863" s="7" t="s">
        <v>4822</v>
      </c>
      <c r="I1863" s="17">
        <v>27030</v>
      </c>
      <c r="K1863" s="4">
        <v>500</v>
      </c>
      <c r="L1863" s="11" t="s">
        <v>4824</v>
      </c>
      <c r="M1863" s="11" t="s">
        <v>4811</v>
      </c>
      <c r="O1863" s="4" t="s">
        <v>16</v>
      </c>
      <c r="P1863" s="4" t="s">
        <v>19</v>
      </c>
      <c r="R1863" s="4" t="s">
        <v>16</v>
      </c>
    </row>
    <row r="1864" spans="1:18" x14ac:dyDescent="0.3">
      <c r="A1864" t="s">
        <v>4825</v>
      </c>
      <c r="C1864" s="3">
        <v>45427</v>
      </c>
      <c r="D1864" s="11" t="s">
        <v>4826</v>
      </c>
      <c r="G1864" s="7" t="s">
        <v>4725</v>
      </c>
      <c r="K1864" s="4">
        <v>100</v>
      </c>
      <c r="M1864" s="11" t="s">
        <v>4827</v>
      </c>
      <c r="O1864" s="4" t="s">
        <v>19</v>
      </c>
      <c r="R1864" s="4" t="s">
        <v>19</v>
      </c>
    </row>
    <row r="1865" spans="1:18" x14ac:dyDescent="0.3">
      <c r="A1865" t="s">
        <v>4828</v>
      </c>
      <c r="C1865" s="3">
        <v>45427</v>
      </c>
      <c r="D1865" s="11" t="s">
        <v>4042</v>
      </c>
      <c r="E1865" s="11" t="s">
        <v>4833</v>
      </c>
      <c r="G1865" s="7" t="s">
        <v>52</v>
      </c>
      <c r="I1865" s="17">
        <v>38028</v>
      </c>
      <c r="K1865" s="4">
        <v>500</v>
      </c>
      <c r="L1865" s="11" t="s">
        <v>4829</v>
      </c>
      <c r="M1865" s="11" t="s">
        <v>4830</v>
      </c>
      <c r="O1865" s="4" t="s">
        <v>16</v>
      </c>
      <c r="R1865" s="4" t="s">
        <v>19</v>
      </c>
    </row>
    <row r="1866" spans="1:18" x14ac:dyDescent="0.3">
      <c r="A1866" t="s">
        <v>4836</v>
      </c>
      <c r="C1866" s="3">
        <v>45432</v>
      </c>
      <c r="D1866" s="11" t="s">
        <v>4838</v>
      </c>
      <c r="E1866" s="11" t="s">
        <v>4882</v>
      </c>
      <c r="G1866" s="7" t="s">
        <v>4837</v>
      </c>
      <c r="I1866" s="17">
        <v>38362</v>
      </c>
      <c r="K1866" s="4">
        <v>200</v>
      </c>
      <c r="L1866" s="11" t="s">
        <v>4883</v>
      </c>
      <c r="M1866" s="11" t="s">
        <v>4839</v>
      </c>
      <c r="O1866" s="4" t="s">
        <v>19</v>
      </c>
      <c r="R1866" s="4" t="s">
        <v>2525</v>
      </c>
    </row>
    <row r="1867" spans="1:18" x14ac:dyDescent="0.3">
      <c r="A1867" t="s">
        <v>4841</v>
      </c>
      <c r="C1867" s="3">
        <v>45432</v>
      </c>
      <c r="D1867" s="11" t="s">
        <v>4843</v>
      </c>
      <c r="E1867" s="11" t="s">
        <v>4865</v>
      </c>
      <c r="G1867" s="7" t="s">
        <v>4844</v>
      </c>
      <c r="I1867" s="17">
        <v>36262</v>
      </c>
      <c r="K1867" s="4">
        <v>300</v>
      </c>
      <c r="L1867" s="11" t="s">
        <v>4866</v>
      </c>
      <c r="M1867" s="11" t="s">
        <v>4842</v>
      </c>
      <c r="O1867" s="4" t="s">
        <v>19</v>
      </c>
      <c r="R1867" s="4" t="s">
        <v>16</v>
      </c>
    </row>
    <row r="1868" spans="1:18" x14ac:dyDescent="0.3">
      <c r="A1868" t="s">
        <v>4846</v>
      </c>
      <c r="C1868" s="3">
        <v>45433</v>
      </c>
      <c r="D1868" s="11" t="s">
        <v>4851</v>
      </c>
      <c r="E1868" s="11" t="s">
        <v>4884</v>
      </c>
      <c r="G1868" s="7" t="s">
        <v>4848</v>
      </c>
      <c r="K1868" s="4">
        <v>500</v>
      </c>
      <c r="M1868" s="11" t="s">
        <v>4847</v>
      </c>
      <c r="O1868" s="4" t="s">
        <v>19</v>
      </c>
      <c r="R1868" s="4" t="s">
        <v>16</v>
      </c>
    </row>
    <row r="1869" spans="1:18" x14ac:dyDescent="0.3">
      <c r="A1869" t="s">
        <v>4854</v>
      </c>
      <c r="C1869" s="3">
        <v>45434</v>
      </c>
      <c r="D1869" s="11" t="s">
        <v>4855</v>
      </c>
      <c r="E1869" s="11" t="s">
        <v>4887</v>
      </c>
      <c r="G1869" s="7" t="s">
        <v>4856</v>
      </c>
      <c r="I1869" s="17">
        <v>25162</v>
      </c>
      <c r="K1869" s="4">
        <v>600</v>
      </c>
      <c r="L1869" s="11" t="s">
        <v>4857</v>
      </c>
      <c r="M1869" s="11" t="s">
        <v>4858</v>
      </c>
      <c r="O1869" s="4" t="s">
        <v>19</v>
      </c>
      <c r="R1869" s="4" t="s">
        <v>16</v>
      </c>
    </row>
    <row r="1870" spans="1:18" x14ac:dyDescent="0.3">
      <c r="A1870" t="s">
        <v>4860</v>
      </c>
      <c r="C1870" s="3">
        <v>45434</v>
      </c>
      <c r="D1870" s="11" t="s">
        <v>4861</v>
      </c>
      <c r="E1870" s="11" t="s">
        <v>4882</v>
      </c>
      <c r="G1870" s="7" t="s">
        <v>4862</v>
      </c>
      <c r="I1870" s="17">
        <v>28856</v>
      </c>
      <c r="K1870" s="4">
        <v>200</v>
      </c>
      <c r="L1870" s="11" t="s">
        <v>4863</v>
      </c>
      <c r="M1870" s="11" t="s">
        <v>1538</v>
      </c>
      <c r="O1870" s="4" t="s">
        <v>19</v>
      </c>
      <c r="R1870" s="4" t="s">
        <v>16</v>
      </c>
    </row>
    <row r="1871" spans="1:18" x14ac:dyDescent="0.3">
      <c r="A1871" t="s">
        <v>4869</v>
      </c>
      <c r="C1871" s="3">
        <v>45435</v>
      </c>
      <c r="D1871" s="11" t="s">
        <v>4872</v>
      </c>
      <c r="G1871" s="7" t="s">
        <v>4877</v>
      </c>
      <c r="I1871" s="17">
        <v>26665</v>
      </c>
      <c r="K1871" s="4">
        <v>100</v>
      </c>
      <c r="L1871" s="11" t="s">
        <v>4878</v>
      </c>
      <c r="O1871" s="4" t="s">
        <v>19</v>
      </c>
      <c r="R1871" s="4" t="s">
        <v>16</v>
      </c>
    </row>
    <row r="1872" spans="1:18" x14ac:dyDescent="0.3">
      <c r="A1872" t="s">
        <v>4871</v>
      </c>
      <c r="C1872" s="3">
        <v>45436</v>
      </c>
      <c r="D1872" s="11" t="s">
        <v>4873</v>
      </c>
      <c r="E1872" s="11" t="s">
        <v>4895</v>
      </c>
      <c r="G1872" s="7" t="s">
        <v>4874</v>
      </c>
      <c r="H1872" s="7" t="s">
        <v>4889</v>
      </c>
      <c r="I1872" s="17">
        <v>27822</v>
      </c>
      <c r="K1872" s="4">
        <v>1000</v>
      </c>
      <c r="L1872" s="11" t="s">
        <v>4875</v>
      </c>
      <c r="M1872" s="11" t="s">
        <v>4876</v>
      </c>
      <c r="O1872" s="4" t="s">
        <v>19</v>
      </c>
      <c r="R1872" s="4" t="s">
        <v>16</v>
      </c>
    </row>
    <row r="1873" spans="1:18" x14ac:dyDescent="0.3">
      <c r="A1873" t="s">
        <v>4890</v>
      </c>
      <c r="C1873" s="3">
        <v>45442</v>
      </c>
      <c r="D1873" s="11" t="s">
        <v>4891</v>
      </c>
      <c r="E1873" s="11" t="s">
        <v>4932</v>
      </c>
      <c r="G1873" s="7" t="s">
        <v>4</v>
      </c>
      <c r="K1873" s="4">
        <v>500</v>
      </c>
      <c r="L1873" s="11" t="s">
        <v>4933</v>
      </c>
      <c r="M1873" s="11" t="s">
        <v>4934</v>
      </c>
      <c r="O1873" s="4" t="s">
        <v>19</v>
      </c>
      <c r="R1873" s="4" t="s">
        <v>16</v>
      </c>
    </row>
    <row r="1874" spans="1:18" x14ac:dyDescent="0.3">
      <c r="A1874" t="s">
        <v>4896</v>
      </c>
      <c r="C1874" s="3">
        <v>45443</v>
      </c>
      <c r="D1874" s="11" t="s">
        <v>4898</v>
      </c>
      <c r="E1874" s="11" t="s">
        <v>4910</v>
      </c>
      <c r="G1874" s="7" t="s">
        <v>819</v>
      </c>
      <c r="I1874" s="17">
        <v>25668</v>
      </c>
      <c r="K1874" s="4">
        <v>100</v>
      </c>
      <c r="M1874" s="11" t="s">
        <v>4901</v>
      </c>
      <c r="O1874" s="4" t="s">
        <v>19</v>
      </c>
      <c r="R1874" s="4" t="s">
        <v>16</v>
      </c>
    </row>
    <row r="1875" spans="1:18" x14ac:dyDescent="0.3">
      <c r="A1875" t="s">
        <v>4897</v>
      </c>
      <c r="C1875" s="3">
        <v>45443</v>
      </c>
      <c r="D1875" s="11" t="s">
        <v>4899</v>
      </c>
      <c r="E1875" s="11" t="s">
        <v>4910</v>
      </c>
      <c r="G1875" s="7" t="s">
        <v>4900</v>
      </c>
      <c r="I1875" s="17">
        <v>23779</v>
      </c>
      <c r="K1875" s="4">
        <v>100</v>
      </c>
      <c r="M1875" s="11" t="s">
        <v>4901</v>
      </c>
      <c r="O1875" s="4" t="s">
        <v>19</v>
      </c>
      <c r="R1875" s="4" t="s">
        <v>16</v>
      </c>
    </row>
    <row r="1876" spans="1:18" x14ac:dyDescent="0.3">
      <c r="A1876" t="s">
        <v>4905</v>
      </c>
      <c r="C1876" s="3">
        <v>45443</v>
      </c>
      <c r="D1876" s="11" t="s">
        <v>4902</v>
      </c>
      <c r="E1876" s="11" t="s">
        <v>4908</v>
      </c>
      <c r="G1876" s="7" t="s">
        <v>4903</v>
      </c>
      <c r="I1876" s="17">
        <v>29221</v>
      </c>
      <c r="K1876" s="4">
        <v>500</v>
      </c>
      <c r="L1876" s="11" t="s">
        <v>4909</v>
      </c>
      <c r="M1876" s="11" t="s">
        <v>4904</v>
      </c>
      <c r="O1876" s="4" t="s">
        <v>19</v>
      </c>
      <c r="R1876" s="4" t="s">
        <v>16</v>
      </c>
    </row>
    <row r="1877" spans="1:18" x14ac:dyDescent="0.3">
      <c r="A1877" t="s">
        <v>4912</v>
      </c>
      <c r="C1877" s="3"/>
      <c r="D1877" s="11" t="s">
        <v>4914</v>
      </c>
      <c r="E1877" s="11" t="s">
        <v>4923</v>
      </c>
      <c r="G1877" s="7" t="s">
        <v>4924</v>
      </c>
      <c r="K1877" s="4">
        <v>200</v>
      </c>
      <c r="M1877" s="11" t="s">
        <v>4925</v>
      </c>
      <c r="O1877" s="4" t="s">
        <v>19</v>
      </c>
      <c r="R1877" s="4" t="s">
        <v>16</v>
      </c>
    </row>
    <row r="1878" spans="1:18" x14ac:dyDescent="0.3">
      <c r="A1878" t="s">
        <v>4919</v>
      </c>
      <c r="C1878" s="3">
        <v>45454</v>
      </c>
      <c r="D1878" s="11" t="s">
        <v>4920</v>
      </c>
      <c r="E1878" s="11" t="s">
        <v>4932</v>
      </c>
      <c r="G1878" s="7" t="s">
        <v>4921</v>
      </c>
      <c r="I1878" s="17">
        <v>25569</v>
      </c>
      <c r="K1878" s="4">
        <v>100</v>
      </c>
      <c r="L1878" s="11" t="s">
        <v>4926</v>
      </c>
      <c r="M1878" s="11" t="s">
        <v>4922</v>
      </c>
      <c r="O1878" s="4" t="s">
        <v>19</v>
      </c>
      <c r="R1878" s="4" t="s">
        <v>19</v>
      </c>
    </row>
    <row r="1879" spans="1:18" x14ac:dyDescent="0.3">
      <c r="A1879" t="s">
        <v>4928</v>
      </c>
      <c r="C1879" s="3">
        <v>45456</v>
      </c>
      <c r="D1879" s="11" t="s">
        <v>4929</v>
      </c>
      <c r="E1879" s="11" t="s">
        <v>4935</v>
      </c>
      <c r="G1879" s="7" t="s">
        <v>4930</v>
      </c>
      <c r="I1879" s="17">
        <v>37043</v>
      </c>
      <c r="K1879" s="4">
        <v>2000</v>
      </c>
      <c r="M1879" s="11" t="s">
        <v>4931</v>
      </c>
      <c r="O1879" s="4" t="s">
        <v>16</v>
      </c>
      <c r="R1879" s="4" t="s">
        <v>16</v>
      </c>
    </row>
    <row r="1880" spans="1:18" x14ac:dyDescent="0.3">
      <c r="A1880" t="s">
        <v>4939</v>
      </c>
      <c r="C1880" s="3">
        <v>45462</v>
      </c>
      <c r="D1880" s="11" t="s">
        <v>4940</v>
      </c>
      <c r="E1880" s="11" t="s">
        <v>4984</v>
      </c>
      <c r="G1880" s="7" t="s">
        <v>4943</v>
      </c>
      <c r="I1880" s="17">
        <v>24838</v>
      </c>
      <c r="K1880" s="4">
        <v>100</v>
      </c>
      <c r="L1880" s="11" t="s">
        <v>4945</v>
      </c>
      <c r="M1880" s="11" t="s">
        <v>4947</v>
      </c>
      <c r="O1880" s="4" t="s">
        <v>16</v>
      </c>
      <c r="R1880" s="4" t="s">
        <v>19</v>
      </c>
    </row>
    <row r="1881" spans="1:18" x14ac:dyDescent="0.3">
      <c r="A1881" t="s">
        <v>4941</v>
      </c>
      <c r="C1881" s="3">
        <v>45462</v>
      </c>
      <c r="D1881" s="11" t="s">
        <v>4942</v>
      </c>
      <c r="E1881" s="11" t="s">
        <v>4984</v>
      </c>
      <c r="G1881" s="7" t="s">
        <v>4944</v>
      </c>
      <c r="I1881" s="17">
        <v>21189</v>
      </c>
      <c r="K1881" s="4">
        <v>100</v>
      </c>
      <c r="L1881" s="11" t="s">
        <v>4946</v>
      </c>
      <c r="M1881" s="11" t="s">
        <v>4947</v>
      </c>
      <c r="O1881" s="4" t="s">
        <v>16</v>
      </c>
      <c r="R1881" s="4" t="s">
        <v>19</v>
      </c>
    </row>
    <row r="1882" spans="1:18" x14ac:dyDescent="0.3">
      <c r="A1882" t="s">
        <v>4953</v>
      </c>
      <c r="C1882" s="3">
        <v>45465</v>
      </c>
      <c r="D1882" s="11" t="s">
        <v>4961</v>
      </c>
      <c r="E1882" s="11" t="s">
        <v>4984</v>
      </c>
      <c r="G1882" s="108" t="s">
        <v>4959</v>
      </c>
      <c r="K1882" s="4">
        <v>2000</v>
      </c>
      <c r="O1882" s="4" t="s">
        <v>19</v>
      </c>
      <c r="R1882" s="4" t="s">
        <v>16</v>
      </c>
    </row>
    <row r="1883" spans="1:18" x14ac:dyDescent="0.3">
      <c r="A1883" t="s">
        <v>4957</v>
      </c>
      <c r="C1883" s="3">
        <v>45467</v>
      </c>
      <c r="D1883" s="11" t="s">
        <v>4960</v>
      </c>
      <c r="E1883" s="11" t="s">
        <v>4984</v>
      </c>
      <c r="G1883" s="7" t="s">
        <v>4566</v>
      </c>
      <c r="I1883" s="17">
        <v>22282</v>
      </c>
      <c r="K1883" s="4">
        <v>2100</v>
      </c>
      <c r="L1883" s="11" t="s">
        <v>4968</v>
      </c>
      <c r="M1883" s="11" t="s">
        <v>4958</v>
      </c>
      <c r="O1883" s="4" t="s">
        <v>19</v>
      </c>
      <c r="R1883" s="4" t="s">
        <v>16</v>
      </c>
    </row>
    <row r="1884" spans="1:18" x14ac:dyDescent="0.3">
      <c r="A1884" t="s">
        <v>4964</v>
      </c>
      <c r="C1884" s="3">
        <v>45467</v>
      </c>
      <c r="D1884" s="11" t="s">
        <v>4965</v>
      </c>
      <c r="G1884" s="7" t="s">
        <v>4969</v>
      </c>
      <c r="K1884" s="4">
        <v>100</v>
      </c>
      <c r="L1884" s="11" t="s">
        <v>4967</v>
      </c>
      <c r="M1884" s="11" t="s">
        <v>4966</v>
      </c>
      <c r="O1884" s="4" t="s">
        <v>16</v>
      </c>
      <c r="R1884" s="4" t="s">
        <v>19</v>
      </c>
    </row>
    <row r="1885" spans="1:18" x14ac:dyDescent="0.3">
      <c r="A1885" t="s">
        <v>4971</v>
      </c>
      <c r="C1885" s="3">
        <v>45468</v>
      </c>
      <c r="D1885" s="11" t="s">
        <v>4974</v>
      </c>
      <c r="E1885" s="11" t="s">
        <v>4998</v>
      </c>
      <c r="G1885" s="7" t="s">
        <v>4972</v>
      </c>
      <c r="K1885" s="4">
        <v>100</v>
      </c>
      <c r="M1885" s="11" t="s">
        <v>4973</v>
      </c>
      <c r="O1885" s="4" t="s">
        <v>16</v>
      </c>
      <c r="R1885" s="4" t="s">
        <v>16</v>
      </c>
    </row>
    <row r="1886" spans="1:18" x14ac:dyDescent="0.3">
      <c r="A1886" t="s">
        <v>4977</v>
      </c>
      <c r="C1886" s="3">
        <v>45468</v>
      </c>
      <c r="D1886" s="11" t="s">
        <v>4978</v>
      </c>
      <c r="E1886" s="11" t="s">
        <v>4984</v>
      </c>
      <c r="G1886" s="7" t="s">
        <v>4979</v>
      </c>
      <c r="K1886" s="4">
        <v>200</v>
      </c>
      <c r="M1886" s="11" t="s">
        <v>4980</v>
      </c>
      <c r="O1886" s="4" t="s">
        <v>16</v>
      </c>
      <c r="R1886" s="4" t="s">
        <v>16</v>
      </c>
    </row>
    <row r="1887" spans="1:18" x14ac:dyDescent="0.3">
      <c r="A1887" t="s">
        <v>4983</v>
      </c>
      <c r="C1887" s="3">
        <v>45470</v>
      </c>
      <c r="D1887" s="11" t="s">
        <v>4989</v>
      </c>
      <c r="E1887" s="11" t="s">
        <v>4999</v>
      </c>
      <c r="G1887" s="7" t="s">
        <v>5000</v>
      </c>
      <c r="I1887" s="17">
        <v>35724</v>
      </c>
      <c r="K1887" s="4">
        <v>2000</v>
      </c>
      <c r="L1887" s="11" t="s">
        <v>4986</v>
      </c>
      <c r="M1887" s="11" t="s">
        <v>4985</v>
      </c>
      <c r="O1887" s="4" t="s">
        <v>16</v>
      </c>
      <c r="P1887" s="4" t="s">
        <v>16</v>
      </c>
      <c r="R1887" s="4" t="s">
        <v>16</v>
      </c>
    </row>
    <row r="1888" spans="1:18" x14ac:dyDescent="0.3">
      <c r="A1888" t="s">
        <v>4988</v>
      </c>
      <c r="C1888" s="3">
        <v>45501</v>
      </c>
      <c r="D1888" s="11" t="s">
        <v>4990</v>
      </c>
      <c r="E1888" s="11" t="s">
        <v>5006</v>
      </c>
      <c r="G1888" s="7" t="s">
        <v>313</v>
      </c>
      <c r="I1888" s="17">
        <v>25689</v>
      </c>
      <c r="K1888" s="4">
        <v>100</v>
      </c>
      <c r="L1888" s="11" t="s">
        <v>4991</v>
      </c>
      <c r="M1888" s="11" t="s">
        <v>4992</v>
      </c>
      <c r="O1888" s="4" t="s">
        <v>19</v>
      </c>
      <c r="R1888" s="4" t="s">
        <v>16</v>
      </c>
    </row>
    <row r="1889" spans="1:18" x14ac:dyDescent="0.3">
      <c r="A1889" t="s">
        <v>4993</v>
      </c>
      <c r="C1889" s="3">
        <v>45501</v>
      </c>
      <c r="D1889" s="11" t="s">
        <v>4996</v>
      </c>
      <c r="G1889" s="7" t="s">
        <v>4994</v>
      </c>
      <c r="I1889" s="17">
        <v>29403</v>
      </c>
      <c r="K1889" s="4">
        <v>2000</v>
      </c>
      <c r="M1889" s="11" t="s">
        <v>4995</v>
      </c>
      <c r="O1889" s="4" t="s">
        <v>16</v>
      </c>
      <c r="P1889" s="4" t="s">
        <v>16</v>
      </c>
      <c r="R1889" s="4" t="s">
        <v>16</v>
      </c>
    </row>
    <row r="1890" spans="1:18" x14ac:dyDescent="0.3">
      <c r="A1890" t="s">
        <v>5007</v>
      </c>
      <c r="C1890" s="3">
        <v>45474</v>
      </c>
      <c r="D1890" s="11" t="s">
        <v>5010</v>
      </c>
      <c r="E1890" s="11" t="s">
        <v>5035</v>
      </c>
      <c r="G1890" s="7" t="s">
        <v>5009</v>
      </c>
      <c r="K1890" s="4">
        <v>200</v>
      </c>
      <c r="M1890" s="11" t="s">
        <v>5008</v>
      </c>
      <c r="O1890" s="4" t="s">
        <v>16</v>
      </c>
      <c r="R1890" s="4" t="s">
        <v>16</v>
      </c>
    </row>
    <row r="1891" spans="1:18" x14ac:dyDescent="0.3">
      <c r="A1891" t="s">
        <v>5011</v>
      </c>
      <c r="C1891" s="3">
        <v>45474</v>
      </c>
      <c r="D1891" s="11" t="s">
        <v>5012</v>
      </c>
      <c r="E1891" s="11" t="s">
        <v>5035</v>
      </c>
      <c r="G1891" s="7" t="s">
        <v>5013</v>
      </c>
      <c r="K1891" s="4">
        <v>450</v>
      </c>
      <c r="O1891" s="4" t="s">
        <v>16</v>
      </c>
      <c r="R1891" s="4" t="s">
        <v>16</v>
      </c>
    </row>
    <row r="1892" spans="1:18" x14ac:dyDescent="0.3">
      <c r="A1892" t="s">
        <v>5015</v>
      </c>
      <c r="C1892" s="3">
        <v>45476</v>
      </c>
      <c r="D1892" s="11" t="s">
        <v>5018</v>
      </c>
      <c r="E1892" s="11" t="s">
        <v>5037</v>
      </c>
      <c r="G1892" s="7" t="s">
        <v>5021</v>
      </c>
      <c r="I1892" s="17">
        <v>38622</v>
      </c>
      <c r="K1892" s="4">
        <v>200</v>
      </c>
      <c r="M1892" s="11" t="s">
        <v>5022</v>
      </c>
      <c r="O1892" s="4" t="s">
        <v>19</v>
      </c>
      <c r="R1892" s="4" t="s">
        <v>16</v>
      </c>
    </row>
    <row r="1893" spans="1:18" x14ac:dyDescent="0.3">
      <c r="A1893" t="s">
        <v>5016</v>
      </c>
      <c r="C1893" s="3">
        <v>45476</v>
      </c>
      <c r="D1893" s="11" t="s">
        <v>5019</v>
      </c>
      <c r="E1893" s="11" t="s">
        <v>5037</v>
      </c>
      <c r="G1893" s="7" t="s">
        <v>5020</v>
      </c>
      <c r="I1893" s="17">
        <v>27498</v>
      </c>
      <c r="K1893" s="4">
        <v>200</v>
      </c>
      <c r="M1893" s="11" t="s">
        <v>5017</v>
      </c>
      <c r="O1893" s="4" t="s">
        <v>19</v>
      </c>
      <c r="R1893" s="4" t="s">
        <v>16</v>
      </c>
    </row>
    <row r="1894" spans="1:18" x14ac:dyDescent="0.3">
      <c r="A1894" t="s">
        <v>5024</v>
      </c>
      <c r="C1894" s="3">
        <v>45476</v>
      </c>
      <c r="D1894" s="11" t="s">
        <v>5025</v>
      </c>
      <c r="E1894" s="11" t="s">
        <v>5035</v>
      </c>
      <c r="G1894" s="7" t="s">
        <v>5026</v>
      </c>
      <c r="K1894" s="4">
        <v>500</v>
      </c>
      <c r="M1894" s="11" t="s">
        <v>5027</v>
      </c>
      <c r="O1894" s="4" t="s">
        <v>16</v>
      </c>
      <c r="R1894" s="4" t="s">
        <v>16</v>
      </c>
    </row>
    <row r="1895" spans="1:18" x14ac:dyDescent="0.3">
      <c r="A1895" t="s">
        <v>5031</v>
      </c>
      <c r="C1895" s="3">
        <v>45477</v>
      </c>
      <c r="D1895" s="11" t="s">
        <v>5033</v>
      </c>
      <c r="E1895" s="11" t="s">
        <v>5037</v>
      </c>
      <c r="G1895" s="7" t="s">
        <v>5038</v>
      </c>
      <c r="K1895" s="4">
        <v>1500</v>
      </c>
      <c r="O1895" s="4" t="s">
        <v>19</v>
      </c>
      <c r="R1895" s="4" t="s">
        <v>16</v>
      </c>
    </row>
    <row r="1896" spans="1:18" x14ac:dyDescent="0.3">
      <c r="A1896" t="s">
        <v>5039</v>
      </c>
      <c r="C1896" s="3">
        <v>45478</v>
      </c>
      <c r="D1896" s="11" t="s">
        <v>5042</v>
      </c>
      <c r="E1896" s="11" t="s">
        <v>5119</v>
      </c>
      <c r="G1896" s="7" t="s">
        <v>5040</v>
      </c>
      <c r="I1896" s="17">
        <v>38718</v>
      </c>
      <c r="K1896" s="4">
        <v>300</v>
      </c>
      <c r="L1896" s="11" t="s">
        <v>9502</v>
      </c>
      <c r="M1896" s="11" t="s">
        <v>9501</v>
      </c>
      <c r="O1896" s="4" t="s">
        <v>19</v>
      </c>
      <c r="R1896" s="4" t="s">
        <v>9500</v>
      </c>
    </row>
    <row r="1897" spans="1:18" x14ac:dyDescent="0.3">
      <c r="A1897" t="s">
        <v>5054</v>
      </c>
      <c r="C1897" s="3">
        <v>45483</v>
      </c>
      <c r="D1897" s="11" t="s">
        <v>5057</v>
      </c>
      <c r="E1897" s="11" t="s">
        <v>5119</v>
      </c>
      <c r="G1897" s="7" t="s">
        <v>5055</v>
      </c>
      <c r="I1897" s="17">
        <v>38175</v>
      </c>
      <c r="K1897" s="4">
        <v>450</v>
      </c>
      <c r="M1897" s="11" t="s">
        <v>5056</v>
      </c>
      <c r="O1897" s="4" t="s">
        <v>19</v>
      </c>
      <c r="R1897" s="4" t="s">
        <v>16</v>
      </c>
    </row>
    <row r="1898" spans="1:18" x14ac:dyDescent="0.3">
      <c r="A1898" t="s">
        <v>5058</v>
      </c>
      <c r="C1898" s="3">
        <v>45483</v>
      </c>
      <c r="D1898" s="11" t="s">
        <v>5059</v>
      </c>
      <c r="E1898" s="11" t="s">
        <v>5066</v>
      </c>
      <c r="G1898" s="7" t="s">
        <v>5061</v>
      </c>
      <c r="K1898" s="4">
        <v>100</v>
      </c>
      <c r="M1898" s="11" t="s">
        <v>4294</v>
      </c>
      <c r="O1898" s="4" t="s">
        <v>19</v>
      </c>
      <c r="R1898" s="4" t="s">
        <v>16</v>
      </c>
    </row>
    <row r="1899" spans="1:18" x14ac:dyDescent="0.3">
      <c r="A1899" t="s">
        <v>5058</v>
      </c>
      <c r="C1899" s="3">
        <v>45483</v>
      </c>
      <c r="D1899" s="11" t="s">
        <v>5060</v>
      </c>
      <c r="E1899" s="11" t="s">
        <v>5066</v>
      </c>
      <c r="G1899" s="7" t="s">
        <v>5062</v>
      </c>
      <c r="K1899" s="4">
        <v>100</v>
      </c>
      <c r="M1899" s="11" t="s">
        <v>4294</v>
      </c>
      <c r="O1899" s="4" t="s">
        <v>19</v>
      </c>
      <c r="R1899" s="4" t="s">
        <v>16</v>
      </c>
    </row>
    <row r="1900" spans="1:18" x14ac:dyDescent="0.3">
      <c r="A1900" t="s">
        <v>5063</v>
      </c>
      <c r="C1900" s="3">
        <v>45483</v>
      </c>
      <c r="D1900" s="11" t="s">
        <v>5064</v>
      </c>
      <c r="E1900" s="11" t="s">
        <v>5131</v>
      </c>
      <c r="G1900" s="7" t="s">
        <v>4684</v>
      </c>
      <c r="I1900" s="17">
        <v>32462</v>
      </c>
      <c r="K1900" s="4">
        <v>100</v>
      </c>
      <c r="M1900" s="11" t="s">
        <v>5065</v>
      </c>
      <c r="O1900" s="4" t="s">
        <v>16</v>
      </c>
      <c r="R1900" s="4" t="s">
        <v>16</v>
      </c>
    </row>
    <row r="1901" spans="1:18" x14ac:dyDescent="0.3">
      <c r="A1901" t="s">
        <v>5070</v>
      </c>
      <c r="C1901" s="3">
        <v>45485</v>
      </c>
      <c r="D1901" s="11" t="s">
        <v>5071</v>
      </c>
      <c r="E1901" s="11" t="s">
        <v>5107</v>
      </c>
      <c r="G1901" s="7" t="s">
        <v>5072</v>
      </c>
      <c r="I1901" s="17">
        <v>35394</v>
      </c>
      <c r="K1901" s="4">
        <v>200</v>
      </c>
      <c r="M1901" s="11" t="s">
        <v>5073</v>
      </c>
      <c r="O1901" s="4" t="s">
        <v>19</v>
      </c>
      <c r="R1901" s="4" t="s">
        <v>16</v>
      </c>
    </row>
    <row r="1902" spans="1:18" x14ac:dyDescent="0.3">
      <c r="A1902" t="s">
        <v>5074</v>
      </c>
      <c r="C1902" s="3">
        <v>45485</v>
      </c>
      <c r="D1902" s="11" t="s">
        <v>5079</v>
      </c>
      <c r="E1902" s="11" t="s">
        <v>5111</v>
      </c>
      <c r="G1902" s="7" t="s">
        <v>5080</v>
      </c>
      <c r="I1902" s="17">
        <v>22567</v>
      </c>
      <c r="K1902" s="4">
        <v>2000</v>
      </c>
      <c r="O1902" s="4" t="s">
        <v>19</v>
      </c>
      <c r="R1902" s="4" t="s">
        <v>16</v>
      </c>
    </row>
    <row r="1903" spans="1:18" x14ac:dyDescent="0.3">
      <c r="A1903" t="s">
        <v>5075</v>
      </c>
      <c r="C1903" s="3">
        <v>45485</v>
      </c>
      <c r="D1903" s="11" t="s">
        <v>5076</v>
      </c>
      <c r="E1903" s="11" t="s">
        <v>5111</v>
      </c>
      <c r="G1903" s="7" t="s">
        <v>5077</v>
      </c>
      <c r="I1903" s="17">
        <v>28872</v>
      </c>
      <c r="K1903" s="4">
        <v>500</v>
      </c>
      <c r="M1903" s="11" t="s">
        <v>5078</v>
      </c>
      <c r="O1903" s="4" t="s">
        <v>19</v>
      </c>
      <c r="R1903" s="4" t="s">
        <v>16</v>
      </c>
    </row>
    <row r="1904" spans="1:18" x14ac:dyDescent="0.3">
      <c r="A1904" t="s">
        <v>5081</v>
      </c>
      <c r="C1904" s="3">
        <v>45485</v>
      </c>
      <c r="D1904" s="11" t="s">
        <v>5082</v>
      </c>
      <c r="E1904" s="11" t="s">
        <v>5108</v>
      </c>
      <c r="G1904" s="7" t="s">
        <v>5083</v>
      </c>
      <c r="I1904" s="17">
        <v>35596</v>
      </c>
      <c r="K1904" s="4">
        <v>150</v>
      </c>
      <c r="O1904" s="4" t="s">
        <v>19</v>
      </c>
      <c r="R1904" s="4" t="s">
        <v>16</v>
      </c>
    </row>
    <row r="1905" spans="1:18" x14ac:dyDescent="0.3">
      <c r="A1905" t="s">
        <v>5089</v>
      </c>
      <c r="C1905" s="3">
        <v>45488</v>
      </c>
      <c r="D1905" s="11" t="s">
        <v>5106</v>
      </c>
      <c r="E1905" s="11" t="s">
        <v>5107</v>
      </c>
      <c r="G1905" s="7" t="s">
        <v>5090</v>
      </c>
      <c r="I1905" s="17">
        <v>31048</v>
      </c>
      <c r="K1905" s="4">
        <v>2000</v>
      </c>
      <c r="O1905" s="4" t="s">
        <v>19</v>
      </c>
      <c r="R1905" s="4" t="s">
        <v>16</v>
      </c>
    </row>
    <row r="1906" spans="1:18" x14ac:dyDescent="0.3">
      <c r="A1906" t="s">
        <v>5091</v>
      </c>
      <c r="C1906" s="3">
        <v>45488</v>
      </c>
      <c r="D1906" s="11" t="s">
        <v>5092</v>
      </c>
      <c r="E1906" s="11" t="s">
        <v>5111</v>
      </c>
      <c r="G1906" s="7" t="s">
        <v>5094</v>
      </c>
      <c r="I1906" s="17">
        <v>33023</v>
      </c>
      <c r="K1906" s="4">
        <v>200</v>
      </c>
      <c r="M1906" s="11" t="s">
        <v>5093</v>
      </c>
      <c r="O1906" s="4" t="s">
        <v>19</v>
      </c>
      <c r="R1906" s="4" t="s">
        <v>16</v>
      </c>
    </row>
    <row r="1907" spans="1:18" x14ac:dyDescent="0.3">
      <c r="A1907" t="s">
        <v>5096</v>
      </c>
      <c r="C1907" s="3">
        <v>45488</v>
      </c>
      <c r="D1907" s="11" t="s">
        <v>5100</v>
      </c>
      <c r="E1907" s="11" t="s">
        <v>5141</v>
      </c>
      <c r="G1907" s="7" t="s">
        <v>4862</v>
      </c>
      <c r="I1907" s="17">
        <v>35080</v>
      </c>
      <c r="K1907" s="4">
        <v>500</v>
      </c>
      <c r="M1907" s="11" t="s">
        <v>5140</v>
      </c>
      <c r="O1907" s="4" t="s">
        <v>19</v>
      </c>
      <c r="R1907" s="4" t="s">
        <v>16</v>
      </c>
    </row>
    <row r="1908" spans="1:18" x14ac:dyDescent="0.3">
      <c r="A1908" t="s">
        <v>5097</v>
      </c>
      <c r="C1908" s="3">
        <v>45488</v>
      </c>
      <c r="D1908" s="11" t="s">
        <v>5099</v>
      </c>
      <c r="E1908" s="11" t="s">
        <v>5111</v>
      </c>
      <c r="G1908" s="7" t="s">
        <v>5098</v>
      </c>
      <c r="I1908" s="17">
        <v>31848</v>
      </c>
      <c r="K1908" s="4">
        <v>500</v>
      </c>
      <c r="M1908" s="11" t="s">
        <v>5105</v>
      </c>
      <c r="O1908" s="4" t="s">
        <v>19</v>
      </c>
      <c r="R1908" s="4" t="s">
        <v>16</v>
      </c>
    </row>
    <row r="1909" spans="1:18" x14ac:dyDescent="0.3">
      <c r="A1909" t="s">
        <v>5101</v>
      </c>
      <c r="C1909" s="3">
        <v>45488</v>
      </c>
      <c r="D1909" s="11" t="s">
        <v>5102</v>
      </c>
      <c r="E1909" s="11" t="s">
        <v>5111</v>
      </c>
      <c r="G1909" s="7" t="s">
        <v>5103</v>
      </c>
      <c r="I1909" s="17">
        <v>28352</v>
      </c>
      <c r="K1909" s="4">
        <v>500</v>
      </c>
      <c r="M1909" s="11" t="s">
        <v>5104</v>
      </c>
      <c r="O1909" s="4" t="s">
        <v>19</v>
      </c>
      <c r="R1909" s="4" t="s">
        <v>19</v>
      </c>
    </row>
    <row r="1910" spans="1:18" x14ac:dyDescent="0.3">
      <c r="A1910" t="s">
        <v>5112</v>
      </c>
      <c r="C1910" s="3">
        <v>45489</v>
      </c>
      <c r="D1910" s="11" t="s">
        <v>5113</v>
      </c>
      <c r="E1910" s="11" t="s">
        <v>5141</v>
      </c>
      <c r="G1910" s="7" t="s">
        <v>683</v>
      </c>
      <c r="K1910" s="4">
        <v>300</v>
      </c>
      <c r="M1910" s="11" t="s">
        <v>5093</v>
      </c>
      <c r="O1910" s="4" t="s">
        <v>19</v>
      </c>
      <c r="R1910" s="4" t="s">
        <v>16</v>
      </c>
    </row>
    <row r="1911" spans="1:18" x14ac:dyDescent="0.3">
      <c r="A1911" t="s">
        <v>5114</v>
      </c>
      <c r="C1911" s="3">
        <v>45489</v>
      </c>
      <c r="D1911" s="11" t="s">
        <v>5115</v>
      </c>
      <c r="E1911" s="11" t="s">
        <v>5131</v>
      </c>
      <c r="G1911" s="7" t="s">
        <v>5116</v>
      </c>
      <c r="I1911" s="17">
        <v>32419</v>
      </c>
      <c r="K1911" s="4">
        <v>200</v>
      </c>
      <c r="L1911" s="11" t="s">
        <v>5818</v>
      </c>
      <c r="M1911" s="11" t="s">
        <v>5117</v>
      </c>
      <c r="O1911" s="4" t="s">
        <v>19</v>
      </c>
      <c r="R1911" s="4" t="s">
        <v>16</v>
      </c>
    </row>
    <row r="1912" spans="1:18" x14ac:dyDescent="0.3">
      <c r="A1912" t="s">
        <v>5122</v>
      </c>
      <c r="C1912" s="3">
        <v>45490</v>
      </c>
      <c r="D1912" s="11" t="s">
        <v>5123</v>
      </c>
      <c r="E1912" s="11" t="s">
        <v>5163</v>
      </c>
      <c r="G1912" s="7" t="s">
        <v>5124</v>
      </c>
      <c r="I1912" s="17">
        <v>37758</v>
      </c>
      <c r="K1912" s="4">
        <v>200</v>
      </c>
      <c r="M1912" s="11" t="s">
        <v>5125</v>
      </c>
      <c r="O1912" s="4" t="s">
        <v>19</v>
      </c>
      <c r="R1912" s="4" t="s">
        <v>16</v>
      </c>
    </row>
    <row r="1913" spans="1:18" x14ac:dyDescent="0.3">
      <c r="A1913" t="s">
        <v>5127</v>
      </c>
      <c r="C1913" s="3">
        <v>45490</v>
      </c>
      <c r="D1913" s="11" t="s">
        <v>5128</v>
      </c>
      <c r="E1913" s="11" t="s">
        <v>5141</v>
      </c>
      <c r="G1913" s="7" t="s">
        <v>5129</v>
      </c>
      <c r="I1913" s="17">
        <v>21310</v>
      </c>
      <c r="K1913" s="4">
        <v>200</v>
      </c>
      <c r="L1913" s="11" t="s">
        <v>5154</v>
      </c>
      <c r="M1913" s="11" t="s">
        <v>5130</v>
      </c>
      <c r="O1913" s="4" t="s">
        <v>19</v>
      </c>
      <c r="R1913" s="4" t="s">
        <v>16</v>
      </c>
    </row>
    <row r="1914" spans="1:18" x14ac:dyDescent="0.3">
      <c r="A1914" t="s">
        <v>5132</v>
      </c>
      <c r="C1914" s="3">
        <v>45492</v>
      </c>
      <c r="D1914" s="11" t="s">
        <v>5133</v>
      </c>
      <c r="E1914" s="11" t="s">
        <v>5160</v>
      </c>
      <c r="G1914" s="7" t="s">
        <v>5134</v>
      </c>
      <c r="I1914" s="17">
        <v>21185</v>
      </c>
      <c r="K1914" s="4">
        <v>200</v>
      </c>
      <c r="M1914">
        <v>8797627332</v>
      </c>
      <c r="N1914"/>
      <c r="O1914" s="4" t="s">
        <v>19</v>
      </c>
      <c r="R1914" s="4" t="s">
        <v>16</v>
      </c>
    </row>
    <row r="1915" spans="1:18" x14ac:dyDescent="0.3">
      <c r="A1915" t="s">
        <v>5136</v>
      </c>
      <c r="C1915" s="3">
        <v>45492</v>
      </c>
      <c r="D1915" s="11" t="s">
        <v>5137</v>
      </c>
      <c r="E1915" s="11" t="s">
        <v>5139</v>
      </c>
      <c r="G1915" s="7" t="s">
        <v>5138</v>
      </c>
      <c r="K1915" s="4">
        <v>500</v>
      </c>
      <c r="O1915" s="4" t="s">
        <v>19</v>
      </c>
      <c r="R1915" s="4" t="s">
        <v>16</v>
      </c>
    </row>
    <row r="1916" spans="1:18" x14ac:dyDescent="0.3">
      <c r="A1916" t="s">
        <v>5144</v>
      </c>
      <c r="C1916" s="3">
        <v>45493</v>
      </c>
      <c r="D1916" s="11" t="s">
        <v>5147</v>
      </c>
      <c r="E1916" s="11" t="s">
        <v>5168</v>
      </c>
      <c r="G1916" s="7" t="s">
        <v>5148</v>
      </c>
      <c r="K1916" s="4">
        <v>150</v>
      </c>
      <c r="L1916" s="11" t="s">
        <v>5149</v>
      </c>
      <c r="O1916" s="4" t="s">
        <v>19</v>
      </c>
      <c r="R1916" s="4" t="s">
        <v>16</v>
      </c>
    </row>
    <row r="1917" spans="1:18" x14ac:dyDescent="0.3">
      <c r="A1917" t="s">
        <v>5155</v>
      </c>
      <c r="C1917" s="3">
        <v>45493</v>
      </c>
      <c r="D1917" s="11" t="s">
        <v>5156</v>
      </c>
      <c r="E1917" s="11" t="s">
        <v>5199</v>
      </c>
      <c r="G1917" s="7" t="s">
        <v>5157</v>
      </c>
      <c r="I1917" s="17">
        <v>41340</v>
      </c>
      <c r="K1917" s="4">
        <v>100</v>
      </c>
      <c r="L1917" s="11" t="s">
        <v>5158</v>
      </c>
      <c r="M1917" s="11" t="s">
        <v>1990</v>
      </c>
      <c r="O1917" s="4" t="s">
        <v>19</v>
      </c>
      <c r="R1917" s="4" t="s">
        <v>19</v>
      </c>
    </row>
    <row r="1918" spans="1:18" x14ac:dyDescent="0.3">
      <c r="A1918" s="118" t="s">
        <v>5164</v>
      </c>
      <c r="B1918" s="118"/>
      <c r="C1918" s="3">
        <v>45495</v>
      </c>
      <c r="D1918" s="11" t="s">
        <v>5169</v>
      </c>
      <c r="E1918" s="11" t="s">
        <v>5202</v>
      </c>
      <c r="G1918" s="7" t="s">
        <v>5176</v>
      </c>
      <c r="K1918" s="4">
        <v>500</v>
      </c>
      <c r="O1918" s="4" t="s">
        <v>19</v>
      </c>
      <c r="R1918" s="4" t="s">
        <v>16</v>
      </c>
    </row>
    <row r="1919" spans="1:18" x14ac:dyDescent="0.3">
      <c r="A1919" s="118" t="s">
        <v>5172</v>
      </c>
      <c r="B1919" s="118"/>
      <c r="C1919" s="3">
        <v>45496</v>
      </c>
      <c r="D1919" s="11" t="s">
        <v>5173</v>
      </c>
      <c r="E1919" s="11" t="s">
        <v>5199</v>
      </c>
      <c r="G1919" s="7" t="s">
        <v>5174</v>
      </c>
      <c r="I1919" s="17">
        <v>26226</v>
      </c>
      <c r="K1919" s="4">
        <v>500</v>
      </c>
      <c r="L1919" s="11" t="s">
        <v>5175</v>
      </c>
      <c r="M1919" s="11" t="s">
        <v>5203</v>
      </c>
      <c r="O1919" s="4" t="s">
        <v>19</v>
      </c>
      <c r="R1919" s="4" t="s">
        <v>16</v>
      </c>
    </row>
    <row r="1920" spans="1:18" x14ac:dyDescent="0.3">
      <c r="A1920" s="118" t="s">
        <v>5180</v>
      </c>
      <c r="B1920" s="118"/>
      <c r="C1920" s="3">
        <v>45497</v>
      </c>
      <c r="D1920" s="11" t="s">
        <v>5181</v>
      </c>
      <c r="E1920" s="11" t="s">
        <v>5199</v>
      </c>
      <c r="G1920" s="7" t="s">
        <v>5182</v>
      </c>
      <c r="K1920" s="4">
        <v>500</v>
      </c>
      <c r="M1920" s="11" t="s">
        <v>5183</v>
      </c>
      <c r="O1920" s="4" t="s">
        <v>19</v>
      </c>
      <c r="R1920" s="4" t="s">
        <v>16</v>
      </c>
    </row>
    <row r="1921" spans="1:18" x14ac:dyDescent="0.3">
      <c r="A1921" s="118" t="s">
        <v>5185</v>
      </c>
      <c r="B1921" s="118"/>
      <c r="C1921" s="3">
        <v>45497</v>
      </c>
      <c r="D1921" s="11" t="s">
        <v>5186</v>
      </c>
      <c r="E1921" s="11" t="s">
        <v>5199</v>
      </c>
      <c r="G1921" s="7" t="s">
        <v>5187</v>
      </c>
      <c r="I1921" s="17">
        <v>35693</v>
      </c>
      <c r="K1921" s="4">
        <v>500</v>
      </c>
      <c r="M1921" s="11" t="s">
        <v>5188</v>
      </c>
      <c r="O1921" s="4" t="s">
        <v>19</v>
      </c>
      <c r="R1921" s="4" t="s">
        <v>16</v>
      </c>
    </row>
    <row r="1922" spans="1:18" x14ac:dyDescent="0.3">
      <c r="A1922" s="118" t="s">
        <v>5191</v>
      </c>
      <c r="B1922" s="118"/>
      <c r="C1922" s="3">
        <v>45497</v>
      </c>
      <c r="D1922" s="11" t="s">
        <v>5192</v>
      </c>
      <c r="E1922" s="11" t="s">
        <v>5199</v>
      </c>
      <c r="G1922" s="7" t="s">
        <v>5193</v>
      </c>
      <c r="I1922" s="17">
        <v>35473</v>
      </c>
      <c r="K1922" s="4">
        <v>150</v>
      </c>
      <c r="M1922" s="11" t="s">
        <v>5194</v>
      </c>
      <c r="O1922" s="4" t="s">
        <v>19</v>
      </c>
      <c r="R1922" s="4" t="s">
        <v>16</v>
      </c>
    </row>
    <row r="1923" spans="1:18" x14ac:dyDescent="0.3">
      <c r="A1923" s="118" t="s">
        <v>5195</v>
      </c>
      <c r="B1923" s="118"/>
      <c r="C1923" s="3">
        <v>45497</v>
      </c>
      <c r="D1923" s="11" t="s">
        <v>5196</v>
      </c>
      <c r="E1923" s="11" t="s">
        <v>5199</v>
      </c>
      <c r="G1923" s="7" t="s">
        <v>5197</v>
      </c>
      <c r="I1923" s="17">
        <v>28323</v>
      </c>
      <c r="K1923" s="4">
        <v>500</v>
      </c>
      <c r="M1923" s="11" t="s">
        <v>2320</v>
      </c>
      <c r="O1923" s="4" t="s">
        <v>19</v>
      </c>
      <c r="R1923" s="4" t="s">
        <v>16</v>
      </c>
    </row>
    <row r="1924" spans="1:18" x14ac:dyDescent="0.3">
      <c r="A1924" s="118" t="s">
        <v>5204</v>
      </c>
      <c r="B1924" s="118"/>
      <c r="C1924" s="3">
        <v>45499</v>
      </c>
      <c r="D1924" s="11" t="s">
        <v>5205</v>
      </c>
      <c r="E1924" s="11" t="s">
        <v>5426</v>
      </c>
      <c r="G1924" s="7" t="s">
        <v>5206</v>
      </c>
      <c r="I1924" s="17">
        <v>37257</v>
      </c>
      <c r="K1924" s="4">
        <v>100</v>
      </c>
      <c r="L1924" s="11" t="s">
        <v>5208</v>
      </c>
      <c r="M1924" s="11" t="s">
        <v>5207</v>
      </c>
      <c r="O1924" s="4" t="s">
        <v>19</v>
      </c>
      <c r="R1924" s="4" t="s">
        <v>16</v>
      </c>
    </row>
    <row r="1925" spans="1:18" x14ac:dyDescent="0.3">
      <c r="A1925" s="118" t="s">
        <v>5216</v>
      </c>
      <c r="B1925" s="118"/>
      <c r="C1925" s="3">
        <v>45504</v>
      </c>
      <c r="D1925" s="11" t="s">
        <v>5218</v>
      </c>
      <c r="E1925" s="11" t="s">
        <v>5107</v>
      </c>
      <c r="G1925" s="7" t="s">
        <v>385</v>
      </c>
      <c r="K1925" s="4">
        <v>500</v>
      </c>
      <c r="O1925" s="4" t="s">
        <v>19</v>
      </c>
      <c r="R1925" s="4" t="s">
        <v>16</v>
      </c>
    </row>
    <row r="1926" spans="1:18" x14ac:dyDescent="0.3">
      <c r="A1926" s="118" t="s">
        <v>5217</v>
      </c>
      <c r="B1926" s="118"/>
      <c r="C1926" s="3">
        <v>45504</v>
      </c>
      <c r="D1926" s="11" t="s">
        <v>5219</v>
      </c>
      <c r="E1926" s="11" t="s">
        <v>5265</v>
      </c>
      <c r="G1926" s="7" t="s">
        <v>5221</v>
      </c>
      <c r="I1926" s="17">
        <v>32891</v>
      </c>
      <c r="K1926" s="4">
        <v>400</v>
      </c>
      <c r="L1926" s="11" t="s">
        <v>5287</v>
      </c>
      <c r="M1926" s="11" t="s">
        <v>5220</v>
      </c>
      <c r="O1926" s="4" t="s">
        <v>19</v>
      </c>
      <c r="R1926" s="4" t="s">
        <v>16</v>
      </c>
    </row>
    <row r="1927" spans="1:18" x14ac:dyDescent="0.3">
      <c r="A1927" s="118" t="s">
        <v>5222</v>
      </c>
      <c r="B1927" s="118"/>
      <c r="C1927" s="3">
        <v>45504</v>
      </c>
      <c r="D1927" s="11" t="s">
        <v>5223</v>
      </c>
      <c r="E1927" s="11" t="s">
        <v>5107</v>
      </c>
      <c r="G1927" s="7" t="s">
        <v>5224</v>
      </c>
      <c r="K1927" s="4">
        <v>200</v>
      </c>
      <c r="M1927" s="11" t="s">
        <v>1545</v>
      </c>
      <c r="O1927" s="4" t="s">
        <v>19</v>
      </c>
      <c r="R1927" s="4" t="s">
        <v>19</v>
      </c>
    </row>
    <row r="1928" spans="1:18" x14ac:dyDescent="0.3">
      <c r="A1928" s="118" t="s">
        <v>5225</v>
      </c>
      <c r="B1928" s="118"/>
      <c r="C1928" s="3">
        <v>45505</v>
      </c>
      <c r="D1928" s="11" t="s">
        <v>5226</v>
      </c>
      <c r="E1928" s="11" t="s">
        <v>5265</v>
      </c>
      <c r="G1928" s="7" t="s">
        <v>5227</v>
      </c>
      <c r="K1928" s="4">
        <v>100</v>
      </c>
      <c r="M1928" s="11" t="s">
        <v>5228</v>
      </c>
      <c r="O1928" s="4" t="s">
        <v>19</v>
      </c>
      <c r="R1928" s="4" t="s">
        <v>19</v>
      </c>
    </row>
    <row r="1929" spans="1:18" x14ac:dyDescent="0.3">
      <c r="A1929" s="118" t="s">
        <v>5229</v>
      </c>
      <c r="B1929" s="118"/>
      <c r="C1929" s="3">
        <v>45505</v>
      </c>
      <c r="D1929" s="11" t="s">
        <v>5230</v>
      </c>
      <c r="E1929" s="11" t="s">
        <v>5107</v>
      </c>
      <c r="G1929" s="7" t="s">
        <v>5231</v>
      </c>
      <c r="I1929" s="17">
        <v>35838</v>
      </c>
      <c r="K1929" s="4">
        <v>100</v>
      </c>
      <c r="M1929" s="11" t="s">
        <v>5232</v>
      </c>
      <c r="O1929" s="4" t="s">
        <v>19</v>
      </c>
      <c r="R1929" s="4" t="s">
        <v>16</v>
      </c>
    </row>
    <row r="1930" spans="1:18" x14ac:dyDescent="0.3">
      <c r="A1930" s="118" t="s">
        <v>5233</v>
      </c>
      <c r="B1930" s="118"/>
      <c r="C1930" s="3">
        <v>45505</v>
      </c>
      <c r="D1930" s="11" t="s">
        <v>5234</v>
      </c>
      <c r="E1930" s="11" t="s">
        <v>5265</v>
      </c>
      <c r="G1930" s="7" t="s">
        <v>5235</v>
      </c>
      <c r="I1930" s="17">
        <v>35555</v>
      </c>
      <c r="K1930" s="4">
        <v>100</v>
      </c>
      <c r="M1930" s="11" t="s">
        <v>5236</v>
      </c>
      <c r="O1930" s="4" t="s">
        <v>19</v>
      </c>
      <c r="R1930" s="4" t="s">
        <v>19</v>
      </c>
    </row>
    <row r="1931" spans="1:18" x14ac:dyDescent="0.3">
      <c r="A1931" s="118" t="s">
        <v>5237</v>
      </c>
      <c r="B1931" s="118"/>
      <c r="C1931" s="3">
        <v>45505</v>
      </c>
      <c r="D1931" s="11" t="s">
        <v>5238</v>
      </c>
      <c r="E1931" s="11" t="s">
        <v>5107</v>
      </c>
      <c r="G1931" s="7" t="s">
        <v>5239</v>
      </c>
      <c r="I1931" s="17">
        <v>28491</v>
      </c>
      <c r="K1931" s="4">
        <v>100</v>
      </c>
      <c r="M1931" s="11" t="s">
        <v>5244</v>
      </c>
      <c r="O1931" s="4" t="s">
        <v>19</v>
      </c>
      <c r="R1931" s="4" t="s">
        <v>16</v>
      </c>
    </row>
    <row r="1932" spans="1:18" x14ac:dyDescent="0.3">
      <c r="A1932" s="118" t="s">
        <v>5240</v>
      </c>
      <c r="B1932" s="118"/>
      <c r="C1932" s="3">
        <v>45505</v>
      </c>
      <c r="D1932" s="11" t="s">
        <v>5241</v>
      </c>
      <c r="E1932" s="11" t="s">
        <v>5107</v>
      </c>
      <c r="G1932" s="7" t="s">
        <v>5242</v>
      </c>
      <c r="I1932" s="17">
        <v>37223</v>
      </c>
      <c r="K1932" s="4">
        <v>100</v>
      </c>
      <c r="M1932" s="11" t="s">
        <v>5243</v>
      </c>
      <c r="O1932" s="4" t="s">
        <v>19</v>
      </c>
      <c r="R1932" s="4" t="s">
        <v>16</v>
      </c>
    </row>
    <row r="1933" spans="1:18" x14ac:dyDescent="0.3">
      <c r="A1933" s="118" t="s">
        <v>5246</v>
      </c>
      <c r="B1933" s="118"/>
      <c r="C1933" s="3">
        <v>45506</v>
      </c>
      <c r="D1933" s="11" t="s">
        <v>4334</v>
      </c>
      <c r="E1933" s="11" t="s">
        <v>5358</v>
      </c>
      <c r="G1933" s="7" t="s">
        <v>5247</v>
      </c>
      <c r="I1933" s="17">
        <v>31105</v>
      </c>
      <c r="K1933" s="4">
        <v>100</v>
      </c>
      <c r="M1933" s="11" t="s">
        <v>5248</v>
      </c>
      <c r="O1933" s="4" t="s">
        <v>19</v>
      </c>
      <c r="R1933" s="4" t="s">
        <v>16</v>
      </c>
    </row>
    <row r="1934" spans="1:18" x14ac:dyDescent="0.3">
      <c r="A1934" s="118" t="s">
        <v>5249</v>
      </c>
      <c r="B1934" s="118"/>
      <c r="C1934" s="3">
        <v>45506</v>
      </c>
      <c r="D1934" s="11" t="s">
        <v>5250</v>
      </c>
      <c r="E1934" s="11" t="s">
        <v>5107</v>
      </c>
      <c r="G1934" s="7" t="s">
        <v>5251</v>
      </c>
      <c r="I1934" s="17">
        <v>24473</v>
      </c>
      <c r="K1934" s="4">
        <v>100</v>
      </c>
      <c r="O1934" s="4" t="s">
        <v>19</v>
      </c>
      <c r="R1934" s="4" t="s">
        <v>5252</v>
      </c>
    </row>
    <row r="1935" spans="1:18" x14ac:dyDescent="0.3">
      <c r="A1935" s="118" t="s">
        <v>5253</v>
      </c>
      <c r="B1935" s="118"/>
      <c r="C1935" s="3">
        <v>45506</v>
      </c>
      <c r="D1935" s="11" t="s">
        <v>5254</v>
      </c>
      <c r="E1935" s="11" t="s">
        <v>5453</v>
      </c>
      <c r="G1935" s="7" t="s">
        <v>5255</v>
      </c>
      <c r="I1935" s="17">
        <v>31413</v>
      </c>
      <c r="K1935" s="4">
        <v>100</v>
      </c>
      <c r="M1935" s="11" t="s">
        <v>5256</v>
      </c>
      <c r="O1935" s="4" t="s">
        <v>19</v>
      </c>
      <c r="R1935" s="4" t="s">
        <v>16</v>
      </c>
    </row>
    <row r="1936" spans="1:18" x14ac:dyDescent="0.3">
      <c r="A1936" s="118" t="s">
        <v>5258</v>
      </c>
      <c r="B1936" s="118"/>
      <c r="C1936" s="3">
        <v>45506</v>
      </c>
      <c r="D1936" s="11" t="s">
        <v>5259</v>
      </c>
      <c r="E1936" s="11" t="s">
        <v>5107</v>
      </c>
      <c r="G1936" s="7" t="s">
        <v>5260</v>
      </c>
      <c r="I1936" s="17">
        <v>29731</v>
      </c>
      <c r="K1936" s="4">
        <v>300</v>
      </c>
      <c r="M1936" s="11" t="s">
        <v>5261</v>
      </c>
      <c r="O1936" s="4" t="s">
        <v>19</v>
      </c>
      <c r="R1936" s="4" t="s">
        <v>16</v>
      </c>
    </row>
    <row r="1937" spans="1:18" x14ac:dyDescent="0.3">
      <c r="A1937" s="118" t="s">
        <v>5262</v>
      </c>
      <c r="B1937" s="118"/>
      <c r="C1937" s="3">
        <v>45506</v>
      </c>
      <c r="D1937" s="11" t="s">
        <v>5263</v>
      </c>
      <c r="E1937" s="11" t="s">
        <v>5347</v>
      </c>
      <c r="G1937" s="7" t="s">
        <v>5264</v>
      </c>
      <c r="I1937" s="17">
        <v>32339</v>
      </c>
      <c r="K1937" s="4">
        <v>300</v>
      </c>
      <c r="M1937" s="11" t="s">
        <v>1922</v>
      </c>
      <c r="O1937" s="4" t="s">
        <v>19</v>
      </c>
      <c r="R1937" s="4" t="s">
        <v>19</v>
      </c>
    </row>
    <row r="1938" spans="1:18" x14ac:dyDescent="0.3">
      <c r="A1938" s="118" t="s">
        <v>5266</v>
      </c>
      <c r="B1938" s="118"/>
      <c r="C1938" s="3">
        <v>45506</v>
      </c>
      <c r="D1938" s="11" t="s">
        <v>5267</v>
      </c>
      <c r="E1938" s="11" t="s">
        <v>5298</v>
      </c>
      <c r="G1938" s="7" t="s">
        <v>5268</v>
      </c>
      <c r="I1938" s="17">
        <v>32894</v>
      </c>
      <c r="K1938" s="4">
        <v>200</v>
      </c>
      <c r="M1938" s="11" t="s">
        <v>5269</v>
      </c>
      <c r="O1938" s="4" t="s">
        <v>19</v>
      </c>
      <c r="R1938" s="4" t="s">
        <v>19</v>
      </c>
    </row>
    <row r="1939" spans="1:18" x14ac:dyDescent="0.3">
      <c r="A1939" s="118" t="s">
        <v>5271</v>
      </c>
      <c r="B1939" s="118"/>
      <c r="C1939" s="3">
        <v>45506</v>
      </c>
      <c r="D1939" s="11" t="s">
        <v>5272</v>
      </c>
      <c r="E1939" s="11" t="s">
        <v>5453</v>
      </c>
      <c r="G1939" s="7" t="s">
        <v>5273</v>
      </c>
      <c r="I1939" s="17">
        <v>34426</v>
      </c>
      <c r="K1939" s="4">
        <v>100</v>
      </c>
      <c r="L1939" s="11" t="s">
        <v>5275</v>
      </c>
      <c r="M1939" s="11" t="s">
        <v>5274</v>
      </c>
      <c r="O1939" s="4" t="s">
        <v>19</v>
      </c>
      <c r="R1939" s="4" t="s">
        <v>16</v>
      </c>
    </row>
    <row r="1940" spans="1:18" x14ac:dyDescent="0.3">
      <c r="A1940" s="118" t="s">
        <v>5277</v>
      </c>
      <c r="B1940" s="118"/>
      <c r="C1940" s="3">
        <v>45506</v>
      </c>
      <c r="D1940" s="11" t="s">
        <v>5278</v>
      </c>
      <c r="E1940" s="11" t="s">
        <v>5453</v>
      </c>
      <c r="G1940" s="7" t="s">
        <v>5279</v>
      </c>
      <c r="I1940" s="17">
        <v>30544</v>
      </c>
      <c r="K1940" s="4">
        <v>200</v>
      </c>
      <c r="L1940" s="11" t="s">
        <v>5281</v>
      </c>
      <c r="M1940" s="11" t="s">
        <v>5280</v>
      </c>
      <c r="O1940" s="4" t="s">
        <v>19</v>
      </c>
      <c r="R1940" s="4" t="s">
        <v>16</v>
      </c>
    </row>
    <row r="1941" spans="1:18" x14ac:dyDescent="0.3">
      <c r="A1941" s="118" t="s">
        <v>5282</v>
      </c>
      <c r="B1941" s="118"/>
      <c r="C1941" s="3">
        <v>45506</v>
      </c>
      <c r="D1941" s="11" t="s">
        <v>5283</v>
      </c>
      <c r="E1941" s="11" t="s">
        <v>5358</v>
      </c>
      <c r="G1941" s="7" t="s">
        <v>1056</v>
      </c>
      <c r="I1941" s="17">
        <v>29882</v>
      </c>
      <c r="K1941" s="4">
        <v>100</v>
      </c>
      <c r="L1941" s="11" t="s">
        <v>5285</v>
      </c>
      <c r="M1941" s="11" t="s">
        <v>5284</v>
      </c>
      <c r="O1941" s="4" t="s">
        <v>19</v>
      </c>
      <c r="R1941" s="4" t="s">
        <v>19</v>
      </c>
    </row>
    <row r="1942" spans="1:18" x14ac:dyDescent="0.3">
      <c r="A1942" s="118" t="s">
        <v>5286</v>
      </c>
      <c r="B1942" s="118"/>
      <c r="C1942" s="3">
        <v>45506</v>
      </c>
      <c r="D1942" s="11" t="s">
        <v>4788</v>
      </c>
      <c r="E1942" s="11" t="s">
        <v>5426</v>
      </c>
      <c r="G1942" s="7" t="s">
        <v>5414</v>
      </c>
      <c r="K1942" s="4">
        <v>500</v>
      </c>
      <c r="M1942" s="11" t="s">
        <v>5436</v>
      </c>
      <c r="O1942" s="4" t="s">
        <v>19</v>
      </c>
      <c r="R1942" s="4" t="s">
        <v>16</v>
      </c>
    </row>
    <row r="1943" spans="1:18" x14ac:dyDescent="0.3">
      <c r="A1943" s="118" t="s">
        <v>5292</v>
      </c>
      <c r="B1943" s="118"/>
      <c r="C1943" s="3">
        <v>45507</v>
      </c>
      <c r="D1943" s="11" t="s">
        <v>5289</v>
      </c>
      <c r="E1943" s="11" t="s">
        <v>5107</v>
      </c>
      <c r="G1943" s="7" t="s">
        <v>5290</v>
      </c>
      <c r="H1943" s="25">
        <v>45509</v>
      </c>
      <c r="I1943" s="17">
        <v>41256</v>
      </c>
      <c r="K1943" s="4">
        <v>100</v>
      </c>
      <c r="L1943" s="11" t="s">
        <v>5291</v>
      </c>
      <c r="M1943" s="11" t="s">
        <v>5244</v>
      </c>
      <c r="O1943" s="4" t="s">
        <v>19</v>
      </c>
      <c r="R1943" s="4" t="s">
        <v>19</v>
      </c>
    </row>
    <row r="1944" spans="1:18" x14ac:dyDescent="0.3">
      <c r="A1944" s="118" t="s">
        <v>5293</v>
      </c>
      <c r="B1944" s="118"/>
      <c r="C1944" s="3">
        <v>45507</v>
      </c>
      <c r="D1944" s="11" t="s">
        <v>5294</v>
      </c>
      <c r="E1944" s="11" t="s">
        <v>5358</v>
      </c>
      <c r="G1944" s="7" t="s">
        <v>5295</v>
      </c>
      <c r="I1944" s="17">
        <v>35840</v>
      </c>
      <c r="K1944" s="4">
        <v>100</v>
      </c>
      <c r="L1944" s="11" t="s">
        <v>5297</v>
      </c>
      <c r="M1944" s="11" t="s">
        <v>5296</v>
      </c>
      <c r="O1944" s="4" t="s">
        <v>19</v>
      </c>
      <c r="R1944" s="4" t="s">
        <v>16</v>
      </c>
    </row>
    <row r="1945" spans="1:18" x14ac:dyDescent="0.3">
      <c r="A1945" s="118" t="s">
        <v>5299</v>
      </c>
      <c r="B1945" s="118"/>
      <c r="C1945" s="3">
        <v>45507</v>
      </c>
      <c r="D1945" s="11" t="s">
        <v>5300</v>
      </c>
      <c r="E1945" s="11" t="s">
        <v>5358</v>
      </c>
      <c r="G1945" s="7" t="s">
        <v>5301</v>
      </c>
      <c r="K1945" s="4">
        <v>400</v>
      </c>
      <c r="L1945" s="11" t="s">
        <v>5303</v>
      </c>
      <c r="M1945" s="11" t="s">
        <v>5302</v>
      </c>
      <c r="O1945" s="4" t="s">
        <v>19</v>
      </c>
      <c r="R1945" s="4" t="s">
        <v>16</v>
      </c>
    </row>
    <row r="1946" spans="1:18" x14ac:dyDescent="0.3">
      <c r="A1946" s="118" t="s">
        <v>5305</v>
      </c>
      <c r="B1946" s="118"/>
      <c r="C1946" s="3">
        <v>45507</v>
      </c>
      <c r="D1946" s="11" t="s">
        <v>5306</v>
      </c>
      <c r="E1946" s="11" t="s">
        <v>5347</v>
      </c>
      <c r="G1946" s="7" t="s">
        <v>5307</v>
      </c>
      <c r="I1946" s="17">
        <v>36856</v>
      </c>
      <c r="K1946" s="4">
        <v>500</v>
      </c>
      <c r="L1946" s="11" t="s">
        <v>5310</v>
      </c>
      <c r="M1946" s="11" t="s">
        <v>5308</v>
      </c>
      <c r="O1946" s="4" t="s">
        <v>19</v>
      </c>
      <c r="R1946" s="4" t="s">
        <v>16</v>
      </c>
    </row>
    <row r="1947" spans="1:18" x14ac:dyDescent="0.3">
      <c r="A1947" s="118" t="s">
        <v>5311</v>
      </c>
      <c r="B1947" s="118"/>
      <c r="C1947" s="3">
        <v>45507</v>
      </c>
      <c r="D1947" s="11" t="s">
        <v>5312</v>
      </c>
      <c r="E1947" s="11" t="s">
        <v>5347</v>
      </c>
      <c r="G1947" s="7" t="s">
        <v>5313</v>
      </c>
      <c r="I1947" s="17">
        <v>33169</v>
      </c>
      <c r="K1947" s="4">
        <v>500</v>
      </c>
      <c r="L1947" s="11" t="s">
        <v>5314</v>
      </c>
      <c r="M1947" s="11" t="s">
        <v>5315</v>
      </c>
      <c r="O1947" s="4" t="s">
        <v>19</v>
      </c>
      <c r="R1947" s="4" t="s">
        <v>16</v>
      </c>
    </row>
    <row r="1948" spans="1:18" x14ac:dyDescent="0.3">
      <c r="A1948" s="118" t="s">
        <v>5317</v>
      </c>
      <c r="B1948" s="118"/>
      <c r="C1948" s="3">
        <v>45507</v>
      </c>
      <c r="D1948" s="11" t="s">
        <v>5318</v>
      </c>
      <c r="E1948" s="11" t="s">
        <v>5453</v>
      </c>
      <c r="G1948" s="7" t="s">
        <v>884</v>
      </c>
      <c r="I1948" s="17">
        <v>37292</v>
      </c>
      <c r="K1948" s="4">
        <v>200</v>
      </c>
      <c r="L1948" s="11" t="s">
        <v>5320</v>
      </c>
      <c r="M1948" s="11" t="s">
        <v>5319</v>
      </c>
      <c r="O1948" s="4" t="s">
        <v>19</v>
      </c>
      <c r="R1948" s="4" t="s">
        <v>16</v>
      </c>
    </row>
    <row r="1949" spans="1:18" x14ac:dyDescent="0.3">
      <c r="A1949" s="118" t="s">
        <v>5322</v>
      </c>
      <c r="B1949" s="118"/>
      <c r="C1949" s="3">
        <v>45507</v>
      </c>
      <c r="D1949" s="11" t="s">
        <v>5323</v>
      </c>
      <c r="E1949" s="11" t="s">
        <v>5996</v>
      </c>
      <c r="G1949" s="7" t="s">
        <v>5324</v>
      </c>
      <c r="I1949" s="17">
        <v>39688</v>
      </c>
      <c r="K1949" s="4">
        <v>500</v>
      </c>
      <c r="L1949" s="11" t="s">
        <v>5325</v>
      </c>
      <c r="M1949" s="11" t="s">
        <v>5326</v>
      </c>
      <c r="O1949" s="4" t="s">
        <v>19</v>
      </c>
      <c r="R1949" s="4" t="s">
        <v>19</v>
      </c>
    </row>
    <row r="1950" spans="1:18" x14ac:dyDescent="0.3">
      <c r="A1950" s="118" t="s">
        <v>5327</v>
      </c>
      <c r="B1950" s="118"/>
      <c r="C1950" s="3">
        <v>45509</v>
      </c>
      <c r="D1950" s="11" t="s">
        <v>5328</v>
      </c>
      <c r="E1950" s="11" t="s">
        <v>5358</v>
      </c>
      <c r="G1950" s="7" t="s">
        <v>5329</v>
      </c>
      <c r="I1950" s="17">
        <v>30622</v>
      </c>
      <c r="K1950" s="4">
        <v>500</v>
      </c>
      <c r="M1950" s="11" t="s">
        <v>5330</v>
      </c>
      <c r="O1950" s="4" t="s">
        <v>19</v>
      </c>
      <c r="R1950" s="4" t="s">
        <v>16</v>
      </c>
    </row>
    <row r="1951" spans="1:18" x14ac:dyDescent="0.3">
      <c r="A1951" s="118" t="s">
        <v>5331</v>
      </c>
      <c r="B1951" s="118"/>
      <c r="C1951" s="3">
        <v>45509</v>
      </c>
      <c r="D1951" s="11" t="s">
        <v>5332</v>
      </c>
      <c r="E1951" s="11" t="s">
        <v>5107</v>
      </c>
      <c r="G1951" s="7" t="s">
        <v>5333</v>
      </c>
      <c r="I1951" s="17">
        <v>28185</v>
      </c>
      <c r="K1951" s="4">
        <v>500</v>
      </c>
      <c r="M1951" s="11" t="s">
        <v>5334</v>
      </c>
      <c r="O1951" s="4" t="s">
        <v>19</v>
      </c>
      <c r="R1951" s="4" t="s">
        <v>16</v>
      </c>
    </row>
    <row r="1952" spans="1:18" x14ac:dyDescent="0.3">
      <c r="A1952" s="118" t="s">
        <v>5335</v>
      </c>
      <c r="B1952" s="118"/>
      <c r="C1952" s="3">
        <v>45509</v>
      </c>
      <c r="D1952" s="11" t="s">
        <v>5336</v>
      </c>
      <c r="E1952" s="11" t="s">
        <v>5416</v>
      </c>
      <c r="G1952" s="7" t="s">
        <v>5020</v>
      </c>
      <c r="I1952" s="17">
        <v>33263</v>
      </c>
      <c r="K1952" s="4">
        <v>100</v>
      </c>
      <c r="M1952" s="11" t="s">
        <v>5337</v>
      </c>
      <c r="O1952" s="4" t="s">
        <v>19</v>
      </c>
      <c r="R1952" s="4" t="s">
        <v>16</v>
      </c>
    </row>
    <row r="1953" spans="1:18" x14ac:dyDescent="0.3">
      <c r="A1953" s="118" t="s">
        <v>5338</v>
      </c>
      <c r="B1953" s="118"/>
      <c r="C1953" s="3">
        <v>45509</v>
      </c>
      <c r="D1953" s="11" t="s">
        <v>5339</v>
      </c>
      <c r="E1953" s="11" t="s">
        <v>5107</v>
      </c>
      <c r="G1953" s="7" t="s">
        <v>2007</v>
      </c>
      <c r="I1953" s="17">
        <v>32888</v>
      </c>
      <c r="K1953" s="4">
        <v>200</v>
      </c>
      <c r="O1953" s="4" t="s">
        <v>19</v>
      </c>
      <c r="R1953" s="4" t="s">
        <v>16</v>
      </c>
    </row>
    <row r="1954" spans="1:18" x14ac:dyDescent="0.3">
      <c r="A1954" s="118" t="s">
        <v>5340</v>
      </c>
      <c r="B1954" s="118"/>
      <c r="C1954" s="3">
        <v>45509</v>
      </c>
      <c r="D1954" s="11" t="s">
        <v>5341</v>
      </c>
      <c r="E1954" s="11" t="s">
        <v>5416</v>
      </c>
      <c r="G1954" s="7" t="s">
        <v>5413</v>
      </c>
      <c r="I1954" s="17">
        <v>31916</v>
      </c>
      <c r="K1954" s="4">
        <v>500</v>
      </c>
      <c r="M1954" s="11" t="s">
        <v>5342</v>
      </c>
      <c r="O1954" s="4" t="s">
        <v>19</v>
      </c>
      <c r="R1954" s="4" t="s">
        <v>16</v>
      </c>
    </row>
    <row r="1955" spans="1:18" x14ac:dyDescent="0.3">
      <c r="A1955" s="118" t="s">
        <v>5343</v>
      </c>
      <c r="B1955" s="118"/>
      <c r="C1955" s="3">
        <v>45509</v>
      </c>
      <c r="D1955" s="11" t="s">
        <v>5344</v>
      </c>
      <c r="E1955" s="11" t="s">
        <v>5453</v>
      </c>
      <c r="G1955" s="7" t="s">
        <v>5345</v>
      </c>
      <c r="I1955" s="17">
        <v>37362</v>
      </c>
      <c r="K1955" s="4">
        <v>200</v>
      </c>
      <c r="M1955" s="11" t="s">
        <v>5346</v>
      </c>
      <c r="O1955" s="4" t="s">
        <v>19</v>
      </c>
      <c r="R1955" s="4" t="s">
        <v>15</v>
      </c>
    </row>
    <row r="1956" spans="1:18" x14ac:dyDescent="0.3">
      <c r="A1956" s="118" t="s">
        <v>5349</v>
      </c>
      <c r="B1956" s="118"/>
      <c r="C1956" s="3">
        <v>45509</v>
      </c>
      <c r="D1956" s="11" t="s">
        <v>5350</v>
      </c>
      <c r="E1956" s="11" t="s">
        <v>5456</v>
      </c>
      <c r="G1956" s="7" t="s">
        <v>5351</v>
      </c>
      <c r="K1956" s="4">
        <v>150</v>
      </c>
      <c r="L1956" s="11" t="s">
        <v>5352</v>
      </c>
      <c r="M1956" s="11" t="s">
        <v>5353</v>
      </c>
      <c r="O1956" s="4" t="s">
        <v>19</v>
      </c>
      <c r="R1956" s="4" t="s">
        <v>14</v>
      </c>
    </row>
    <row r="1957" spans="1:18" x14ac:dyDescent="0.3">
      <c r="A1957" s="118" t="s">
        <v>5354</v>
      </c>
      <c r="B1957" s="118"/>
      <c r="C1957" s="3">
        <v>45509</v>
      </c>
      <c r="D1957" s="11" t="s">
        <v>5355</v>
      </c>
      <c r="E1957" s="11" t="s">
        <v>5416</v>
      </c>
      <c r="G1957" s="7" t="s">
        <v>5357</v>
      </c>
      <c r="K1957" s="4">
        <v>100</v>
      </c>
      <c r="M1957" s="11" t="s">
        <v>5356</v>
      </c>
      <c r="O1957" s="4" t="s">
        <v>19</v>
      </c>
      <c r="R1957" s="4" t="s">
        <v>14</v>
      </c>
    </row>
    <row r="1958" spans="1:18" x14ac:dyDescent="0.3">
      <c r="A1958" s="118" t="s">
        <v>5359</v>
      </c>
      <c r="B1958" s="118"/>
      <c r="C1958" s="3">
        <v>45510</v>
      </c>
      <c r="D1958" s="11" t="s">
        <v>5360</v>
      </c>
      <c r="E1958" s="11" t="s">
        <v>5107</v>
      </c>
      <c r="G1958" s="7" t="s">
        <v>1664</v>
      </c>
      <c r="I1958" s="17">
        <v>35381</v>
      </c>
      <c r="K1958" s="4">
        <v>1000</v>
      </c>
      <c r="L1958" s="11" t="s">
        <v>5362</v>
      </c>
      <c r="M1958" s="11" t="s">
        <v>5361</v>
      </c>
      <c r="O1958" s="4" t="s">
        <v>19</v>
      </c>
      <c r="R1958" s="4" t="s">
        <v>16</v>
      </c>
    </row>
    <row r="1959" spans="1:18" x14ac:dyDescent="0.3">
      <c r="A1959" s="118" t="s">
        <v>5363</v>
      </c>
      <c r="B1959" s="118"/>
      <c r="C1959" s="3">
        <v>45510</v>
      </c>
      <c r="D1959" s="11" t="s">
        <v>5364</v>
      </c>
      <c r="E1959" s="11" t="s">
        <v>5107</v>
      </c>
      <c r="G1959" s="7" t="s">
        <v>5366</v>
      </c>
      <c r="K1959" s="4">
        <v>2000</v>
      </c>
      <c r="O1959" s="4" t="s">
        <v>19</v>
      </c>
      <c r="R1959" s="4" t="s">
        <v>16</v>
      </c>
    </row>
    <row r="1960" spans="1:18" x14ac:dyDescent="0.3">
      <c r="A1960" s="118" t="s">
        <v>5367</v>
      </c>
      <c r="B1960" s="118"/>
      <c r="C1960" s="3">
        <v>45510</v>
      </c>
      <c r="D1960" s="11" t="s">
        <v>5368</v>
      </c>
      <c r="E1960" s="11" t="s">
        <v>5107</v>
      </c>
      <c r="G1960" s="7" t="s">
        <v>1001</v>
      </c>
      <c r="I1960" s="17">
        <v>33208</v>
      </c>
      <c r="K1960" s="4">
        <f>2000+15000</f>
        <v>17000</v>
      </c>
      <c r="L1960" s="11" t="s">
        <v>5369</v>
      </c>
      <c r="O1960" s="4" t="s">
        <v>19</v>
      </c>
      <c r="R1960" s="4" t="s">
        <v>16</v>
      </c>
    </row>
    <row r="1961" spans="1:18" x14ac:dyDescent="0.3">
      <c r="A1961" s="118" t="s">
        <v>5372</v>
      </c>
      <c r="B1961" s="118"/>
      <c r="C1961" s="3">
        <v>45511</v>
      </c>
      <c r="D1961" s="11" t="s">
        <v>5373</v>
      </c>
      <c r="E1961" s="11" t="s">
        <v>5499</v>
      </c>
      <c r="G1961" s="7" t="s">
        <v>5374</v>
      </c>
      <c r="I1961" s="17">
        <v>35462</v>
      </c>
      <c r="K1961" s="4">
        <v>100</v>
      </c>
      <c r="L1961" s="11" t="s">
        <v>5376</v>
      </c>
      <c r="M1961" s="11" t="s">
        <v>5375</v>
      </c>
      <c r="O1961" s="4" t="s">
        <v>19</v>
      </c>
      <c r="R1961" s="4" t="s">
        <v>16</v>
      </c>
    </row>
    <row r="1962" spans="1:18" x14ac:dyDescent="0.3">
      <c r="A1962" s="118" t="s">
        <v>5377</v>
      </c>
      <c r="B1962" s="118"/>
      <c r="C1962" s="3">
        <v>45511</v>
      </c>
      <c r="D1962" s="11" t="s">
        <v>5378</v>
      </c>
      <c r="E1962" s="11" t="s">
        <v>5479</v>
      </c>
      <c r="G1962" s="7" t="s">
        <v>5379</v>
      </c>
      <c r="I1962" s="17">
        <v>34700</v>
      </c>
      <c r="K1962" s="4">
        <v>100</v>
      </c>
      <c r="L1962" s="11" t="s">
        <v>5381</v>
      </c>
      <c r="M1962" s="11" t="s">
        <v>5380</v>
      </c>
      <c r="O1962" s="4" t="s">
        <v>19</v>
      </c>
      <c r="R1962" s="4" t="s">
        <v>16</v>
      </c>
    </row>
    <row r="1963" spans="1:18" x14ac:dyDescent="0.3">
      <c r="A1963" s="118" t="s">
        <v>5382</v>
      </c>
      <c r="B1963" s="118"/>
      <c r="C1963" s="3">
        <v>45511</v>
      </c>
      <c r="D1963" s="11" t="s">
        <v>5383</v>
      </c>
      <c r="E1963" s="11" t="s">
        <v>5519</v>
      </c>
      <c r="G1963" s="7" t="s">
        <v>5384</v>
      </c>
      <c r="H1963" s="25">
        <v>45532</v>
      </c>
      <c r="I1963" s="17">
        <v>32899</v>
      </c>
      <c r="K1963" s="4">
        <v>100</v>
      </c>
      <c r="L1963" s="11" t="s">
        <v>5521</v>
      </c>
      <c r="M1963" s="11" t="s">
        <v>5520</v>
      </c>
      <c r="O1963" s="4" t="s">
        <v>19</v>
      </c>
      <c r="R1963" s="4" t="s">
        <v>16</v>
      </c>
    </row>
    <row r="1964" spans="1:18" x14ac:dyDescent="0.3">
      <c r="A1964" s="118" t="s">
        <v>5385</v>
      </c>
      <c r="B1964" s="118"/>
      <c r="C1964" s="3">
        <v>45511</v>
      </c>
      <c r="D1964" s="11" t="s">
        <v>5386</v>
      </c>
      <c r="E1964" s="11" t="s">
        <v>5481</v>
      </c>
      <c r="G1964" s="7" t="s">
        <v>5387</v>
      </c>
      <c r="I1964" s="17">
        <v>36071</v>
      </c>
      <c r="K1964" s="4">
        <v>150</v>
      </c>
      <c r="L1964" s="11" t="s">
        <v>5389</v>
      </c>
      <c r="M1964" s="11" t="s">
        <v>5388</v>
      </c>
      <c r="O1964" s="4" t="s">
        <v>19</v>
      </c>
      <c r="R1964" s="4" t="s">
        <v>16</v>
      </c>
    </row>
    <row r="1965" spans="1:18" x14ac:dyDescent="0.3">
      <c r="A1965" s="118" t="s">
        <v>5390</v>
      </c>
      <c r="B1965" s="118"/>
      <c r="C1965" s="3">
        <v>45511</v>
      </c>
      <c r="D1965" s="11" t="s">
        <v>5391</v>
      </c>
      <c r="E1965" s="11" t="s">
        <v>5561</v>
      </c>
      <c r="G1965" s="7" t="s">
        <v>4566</v>
      </c>
      <c r="I1965" s="17">
        <v>27249</v>
      </c>
      <c r="K1965" s="4">
        <v>100</v>
      </c>
      <c r="L1965" s="11" t="s">
        <v>5397</v>
      </c>
      <c r="M1965" s="11" t="s">
        <v>5392</v>
      </c>
      <c r="O1965" s="4" t="s">
        <v>19</v>
      </c>
      <c r="R1965" s="4" t="s">
        <v>16</v>
      </c>
    </row>
    <row r="1966" spans="1:18" x14ac:dyDescent="0.3">
      <c r="A1966" s="118" t="s">
        <v>5393</v>
      </c>
      <c r="B1966" s="118"/>
      <c r="C1966" s="3">
        <v>45511</v>
      </c>
      <c r="D1966" s="11" t="s">
        <v>5394</v>
      </c>
      <c r="E1966" s="11" t="s">
        <v>5561</v>
      </c>
      <c r="G1966" s="7" t="s">
        <v>192</v>
      </c>
      <c r="I1966" s="17">
        <v>36329</v>
      </c>
      <c r="K1966" s="4">
        <v>100</v>
      </c>
      <c r="L1966" s="11" t="s">
        <v>5395</v>
      </c>
      <c r="M1966" s="11" t="s">
        <v>5396</v>
      </c>
      <c r="O1966" s="4" t="s">
        <v>19</v>
      </c>
      <c r="R1966" s="4" t="s">
        <v>16</v>
      </c>
    </row>
    <row r="1967" spans="1:18" x14ac:dyDescent="0.3">
      <c r="A1967" s="118" t="s">
        <v>5398</v>
      </c>
      <c r="B1967" s="118"/>
      <c r="C1967" s="3">
        <v>45511</v>
      </c>
      <c r="D1967" s="11" t="s">
        <v>5407</v>
      </c>
      <c r="E1967" s="11" t="s">
        <v>5481</v>
      </c>
      <c r="G1967" s="7" t="s">
        <v>5400</v>
      </c>
      <c r="I1967" s="17">
        <v>34877</v>
      </c>
      <c r="K1967" s="4">
        <v>100</v>
      </c>
      <c r="L1967" s="11" t="s">
        <v>5401</v>
      </c>
      <c r="M1967" s="11" t="s">
        <v>5402</v>
      </c>
      <c r="O1967" s="4" t="s">
        <v>19</v>
      </c>
      <c r="R1967" s="4" t="s">
        <v>16</v>
      </c>
    </row>
    <row r="1968" spans="1:18" x14ac:dyDescent="0.3">
      <c r="A1968" s="118" t="s">
        <v>5403</v>
      </c>
      <c r="B1968" s="118"/>
      <c r="C1968" s="3">
        <v>45511</v>
      </c>
      <c r="D1968" s="11" t="s">
        <v>5408</v>
      </c>
      <c r="E1968" s="11" t="s">
        <v>5681</v>
      </c>
      <c r="G1968" s="7" t="s">
        <v>5404</v>
      </c>
      <c r="I1968" s="17">
        <v>39045</v>
      </c>
      <c r="K1968" s="4">
        <v>100</v>
      </c>
      <c r="L1968" s="11" t="s">
        <v>5405</v>
      </c>
      <c r="M1968" s="11" t="s">
        <v>4830</v>
      </c>
      <c r="O1968" s="4" t="s">
        <v>19</v>
      </c>
      <c r="R1968" s="4" t="s">
        <v>19</v>
      </c>
    </row>
    <row r="1969" spans="1:18" x14ac:dyDescent="0.3">
      <c r="A1969" s="118" t="s">
        <v>5406</v>
      </c>
      <c r="B1969" s="118"/>
      <c r="C1969" s="3">
        <v>45511</v>
      </c>
      <c r="D1969" s="11" t="s">
        <v>5409</v>
      </c>
      <c r="E1969" s="11" t="s">
        <v>5481</v>
      </c>
      <c r="G1969" s="7" t="s">
        <v>5410</v>
      </c>
      <c r="I1969" s="17">
        <v>29221</v>
      </c>
      <c r="K1969" s="4">
        <v>200</v>
      </c>
      <c r="L1969" s="11" t="s">
        <v>5412</v>
      </c>
      <c r="M1969" s="11" t="s">
        <v>5411</v>
      </c>
      <c r="O1969" s="4" t="s">
        <v>19</v>
      </c>
      <c r="R1969" s="4" t="s">
        <v>16</v>
      </c>
    </row>
    <row r="1970" spans="1:18" x14ac:dyDescent="0.3">
      <c r="A1970" s="118" t="s">
        <v>5417</v>
      </c>
      <c r="B1970" s="118"/>
      <c r="C1970" s="3">
        <v>45512</v>
      </c>
      <c r="D1970" s="11" t="s">
        <v>5418</v>
      </c>
      <c r="E1970" s="11" t="s">
        <v>5107</v>
      </c>
      <c r="G1970" s="7" t="s">
        <v>405</v>
      </c>
      <c r="I1970" s="17">
        <v>31425</v>
      </c>
      <c r="K1970" s="4">
        <v>100</v>
      </c>
      <c r="L1970" s="11" t="s">
        <v>5420</v>
      </c>
      <c r="M1970" s="11" t="s">
        <v>5419</v>
      </c>
      <c r="O1970" s="4" t="s">
        <v>19</v>
      </c>
      <c r="R1970" s="4" t="s">
        <v>16</v>
      </c>
    </row>
    <row r="1971" spans="1:18" x14ac:dyDescent="0.3">
      <c r="A1971" s="118" t="s">
        <v>5421</v>
      </c>
      <c r="B1971" s="118"/>
      <c r="C1971" s="3">
        <v>45512</v>
      </c>
      <c r="D1971" s="11" t="s">
        <v>5422</v>
      </c>
      <c r="E1971" s="11" t="s">
        <v>5807</v>
      </c>
      <c r="G1971" s="7" t="s">
        <v>5423</v>
      </c>
      <c r="I1971" s="17">
        <v>24088</v>
      </c>
      <c r="K1971" s="4">
        <v>200</v>
      </c>
      <c r="L1971" s="11" t="s">
        <v>5424</v>
      </c>
      <c r="M1971" s="11" t="s">
        <v>5425</v>
      </c>
      <c r="O1971" s="4" t="s">
        <v>19</v>
      </c>
      <c r="R1971" s="4" t="s">
        <v>16</v>
      </c>
    </row>
    <row r="1972" spans="1:18" x14ac:dyDescent="0.3">
      <c r="A1972" s="118" t="s">
        <v>5427</v>
      </c>
      <c r="B1972" s="118"/>
      <c r="C1972" s="3">
        <v>45512</v>
      </c>
      <c r="D1972" s="11" t="s">
        <v>5415</v>
      </c>
      <c r="E1972" s="11" t="s">
        <v>5817</v>
      </c>
      <c r="G1972" s="7" t="s">
        <v>5428</v>
      </c>
      <c r="I1972" s="17">
        <v>29647</v>
      </c>
      <c r="K1972" s="4">
        <v>200</v>
      </c>
      <c r="L1972" s="11" t="s">
        <v>5429</v>
      </c>
      <c r="M1972" s="11" t="s">
        <v>5430</v>
      </c>
      <c r="O1972" s="4" t="s">
        <v>19</v>
      </c>
      <c r="R1972" s="4" t="s">
        <v>16</v>
      </c>
    </row>
    <row r="1973" spans="1:18" x14ac:dyDescent="0.3">
      <c r="A1973" s="118" t="s">
        <v>5431</v>
      </c>
      <c r="B1973" s="118"/>
      <c r="C1973" s="3">
        <v>45512</v>
      </c>
      <c r="D1973" s="11" t="s">
        <v>5432</v>
      </c>
      <c r="E1973" s="11" t="s">
        <v>5517</v>
      </c>
      <c r="G1973" s="7" t="s">
        <v>5435</v>
      </c>
      <c r="I1973" s="17">
        <v>23743</v>
      </c>
      <c r="K1973" s="4">
        <v>200</v>
      </c>
      <c r="L1973" s="11" t="s">
        <v>5434</v>
      </c>
      <c r="M1973" s="11" t="s">
        <v>5433</v>
      </c>
      <c r="O1973" s="4" t="s">
        <v>19</v>
      </c>
      <c r="R1973" s="4" t="s">
        <v>16</v>
      </c>
    </row>
    <row r="1974" spans="1:18" x14ac:dyDescent="0.3">
      <c r="A1974" s="118" t="s">
        <v>5437</v>
      </c>
      <c r="B1974" s="118"/>
      <c r="C1974" s="3">
        <v>45513</v>
      </c>
      <c r="D1974" s="11" t="s">
        <v>5438</v>
      </c>
      <c r="E1974" s="11" t="s">
        <v>5499</v>
      </c>
      <c r="G1974" s="7" t="s">
        <v>5439</v>
      </c>
      <c r="I1974" s="47" t="s">
        <v>5440</v>
      </c>
      <c r="K1974" s="4">
        <v>500</v>
      </c>
      <c r="L1974" s="11" t="s">
        <v>5442</v>
      </c>
      <c r="M1974" s="11" t="s">
        <v>5441</v>
      </c>
      <c r="O1974" s="4" t="s">
        <v>19</v>
      </c>
      <c r="R1974" s="4" t="s">
        <v>16</v>
      </c>
    </row>
    <row r="1975" spans="1:18" x14ac:dyDescent="0.3">
      <c r="A1975" s="118" t="s">
        <v>5443</v>
      </c>
      <c r="B1975" s="118"/>
      <c r="C1975" s="3">
        <v>45513</v>
      </c>
      <c r="D1975" s="11" t="s">
        <v>5444</v>
      </c>
      <c r="E1975" s="11" t="s">
        <v>5544</v>
      </c>
      <c r="G1975" s="7" t="s">
        <v>5445</v>
      </c>
      <c r="I1975" s="17">
        <v>30290</v>
      </c>
      <c r="K1975" s="4">
        <v>500</v>
      </c>
      <c r="L1975" s="11" t="s">
        <v>7318</v>
      </c>
      <c r="M1975" s="11" t="s">
        <v>5446</v>
      </c>
      <c r="O1975" s="4" t="s">
        <v>19</v>
      </c>
      <c r="R1975" s="4" t="s">
        <v>16</v>
      </c>
    </row>
    <row r="1976" spans="1:18" x14ac:dyDescent="0.3">
      <c r="A1976" s="118" t="s">
        <v>5447</v>
      </c>
      <c r="B1976" s="118"/>
      <c r="C1976" s="3">
        <v>45513</v>
      </c>
      <c r="D1976" s="11" t="s">
        <v>5448</v>
      </c>
      <c r="E1976" s="11" t="s">
        <v>5528</v>
      </c>
      <c r="G1976" s="7" t="s">
        <v>5449</v>
      </c>
      <c r="I1976" s="17">
        <v>29041</v>
      </c>
      <c r="K1976" s="4">
        <v>200</v>
      </c>
      <c r="L1976" s="11" t="s">
        <v>5450</v>
      </c>
      <c r="M1976" s="11" t="s">
        <v>5451</v>
      </c>
      <c r="O1976" s="4" t="s">
        <v>19</v>
      </c>
      <c r="R1976" s="4" t="s">
        <v>16</v>
      </c>
    </row>
    <row r="1977" spans="1:18" x14ac:dyDescent="0.3">
      <c r="A1977" s="118" t="s">
        <v>5457</v>
      </c>
      <c r="B1977" s="118"/>
      <c r="C1977" s="3">
        <v>45516</v>
      </c>
      <c r="D1977" s="11" t="s">
        <v>5458</v>
      </c>
      <c r="E1977" s="11" t="s">
        <v>5499</v>
      </c>
      <c r="G1977" s="7" t="s">
        <v>5461</v>
      </c>
      <c r="H1977" s="7" t="s">
        <v>5501</v>
      </c>
      <c r="I1977" s="17">
        <v>31604</v>
      </c>
      <c r="K1977" s="4">
        <v>200</v>
      </c>
      <c r="L1977" s="11" t="s">
        <v>5459</v>
      </c>
      <c r="M1977" s="11" t="s">
        <v>5460</v>
      </c>
      <c r="O1977" s="4" t="s">
        <v>19</v>
      </c>
      <c r="R1977" s="4" t="s">
        <v>16</v>
      </c>
    </row>
    <row r="1978" spans="1:18" x14ac:dyDescent="0.3">
      <c r="A1978" s="118" t="s">
        <v>5462</v>
      </c>
      <c r="B1978" s="118"/>
      <c r="C1978" s="3">
        <v>45516</v>
      </c>
      <c r="D1978" s="11" t="s">
        <v>5463</v>
      </c>
      <c r="E1978" s="11" t="s">
        <v>5499</v>
      </c>
      <c r="G1978" s="7" t="s">
        <v>5464</v>
      </c>
      <c r="I1978" s="17">
        <v>28919</v>
      </c>
      <c r="K1978" s="4">
        <v>500</v>
      </c>
      <c r="L1978" s="11" t="s">
        <v>5500</v>
      </c>
      <c r="M1978" s="11" t="s">
        <v>5465</v>
      </c>
      <c r="O1978" s="4" t="s">
        <v>19</v>
      </c>
      <c r="R1978" s="4" t="s">
        <v>16</v>
      </c>
    </row>
    <row r="1979" spans="1:18" x14ac:dyDescent="0.3">
      <c r="A1979" s="118" t="s">
        <v>5466</v>
      </c>
      <c r="B1979" s="118"/>
      <c r="C1979" s="3">
        <v>45516</v>
      </c>
      <c r="D1979" s="11" t="s">
        <v>5467</v>
      </c>
      <c r="E1979" s="11" t="s">
        <v>5544</v>
      </c>
      <c r="G1979" s="7" t="s">
        <v>5468</v>
      </c>
      <c r="I1979" s="17">
        <v>32998</v>
      </c>
      <c r="K1979" s="4">
        <v>500</v>
      </c>
      <c r="L1979" s="11" t="s">
        <v>5469</v>
      </c>
      <c r="M1979" s="11" t="s">
        <v>5470</v>
      </c>
      <c r="O1979" s="4" t="s">
        <v>19</v>
      </c>
      <c r="R1979" s="4" t="s">
        <v>16</v>
      </c>
    </row>
    <row r="1980" spans="1:18" x14ac:dyDescent="0.3">
      <c r="A1980" s="118" t="s">
        <v>5471</v>
      </c>
      <c r="B1980" s="118"/>
      <c r="C1980" s="3">
        <v>45516</v>
      </c>
      <c r="D1980" s="37" t="s">
        <v>5472</v>
      </c>
      <c r="E1980" s="11" t="s">
        <v>5107</v>
      </c>
      <c r="G1980" s="7" t="s">
        <v>5473</v>
      </c>
      <c r="I1980" s="17">
        <v>33156</v>
      </c>
      <c r="K1980" s="4">
        <v>200</v>
      </c>
      <c r="L1980" s="11" t="s">
        <v>5474</v>
      </c>
      <c r="M1980" s="11" t="s">
        <v>5475</v>
      </c>
      <c r="O1980" s="4" t="s">
        <v>19</v>
      </c>
      <c r="R1980" s="4" t="s">
        <v>16</v>
      </c>
    </row>
    <row r="1981" spans="1:18" x14ac:dyDescent="0.3">
      <c r="A1981" s="118" t="s">
        <v>5476</v>
      </c>
      <c r="B1981" s="118"/>
      <c r="C1981" s="3">
        <v>45520</v>
      </c>
      <c r="D1981" s="37" t="s">
        <v>5477</v>
      </c>
      <c r="E1981" s="11" t="s">
        <v>5499</v>
      </c>
      <c r="G1981" s="7" t="s">
        <v>5478</v>
      </c>
      <c r="K1981" s="4">
        <v>100</v>
      </c>
      <c r="O1981" s="4" t="s">
        <v>19</v>
      </c>
      <c r="R1981" s="4" t="s">
        <v>16</v>
      </c>
    </row>
    <row r="1982" spans="1:18" x14ac:dyDescent="0.3">
      <c r="A1982" s="118" t="s">
        <v>5480</v>
      </c>
      <c r="B1982" s="118"/>
      <c r="C1982" s="3">
        <v>45517</v>
      </c>
      <c r="D1982" s="37" t="s">
        <v>5482</v>
      </c>
      <c r="E1982" s="11" t="s">
        <v>5107</v>
      </c>
      <c r="G1982" s="7" t="s">
        <v>5483</v>
      </c>
      <c r="I1982" s="17">
        <v>32509</v>
      </c>
      <c r="K1982" s="4">
        <v>200</v>
      </c>
      <c r="L1982" s="11" t="s">
        <v>5484</v>
      </c>
      <c r="M1982" s="11" t="s">
        <v>5485</v>
      </c>
      <c r="O1982" s="4" t="s">
        <v>19</v>
      </c>
      <c r="R1982" s="4" t="s">
        <v>16</v>
      </c>
    </row>
    <row r="1983" spans="1:18" x14ac:dyDescent="0.3">
      <c r="A1983" s="118" t="s">
        <v>5486</v>
      </c>
      <c r="B1983" s="118"/>
      <c r="C1983" s="3">
        <v>45517</v>
      </c>
      <c r="D1983" s="11" t="s">
        <v>5560</v>
      </c>
      <c r="E1983" s="11" t="s">
        <v>5517</v>
      </c>
      <c r="G1983" s="7" t="s">
        <v>5488</v>
      </c>
      <c r="I1983" s="17">
        <v>29221</v>
      </c>
      <c r="K1983" s="4">
        <v>2500</v>
      </c>
      <c r="L1983" s="11" t="s">
        <v>5490</v>
      </c>
      <c r="M1983" s="11" t="s">
        <v>5489</v>
      </c>
      <c r="O1983" s="4" t="s">
        <v>16</v>
      </c>
      <c r="P1983" s="4" t="s">
        <v>16</v>
      </c>
      <c r="R1983" s="4" t="s">
        <v>16</v>
      </c>
    </row>
    <row r="1984" spans="1:18" x14ac:dyDescent="0.3">
      <c r="A1984" s="118" t="s">
        <v>5491</v>
      </c>
      <c r="B1984" s="118"/>
      <c r="C1984" s="3">
        <v>45517</v>
      </c>
      <c r="D1984" s="37" t="s">
        <v>5492</v>
      </c>
      <c r="E1984" s="11" t="s">
        <v>5107</v>
      </c>
      <c r="G1984" s="7" t="s">
        <v>5493</v>
      </c>
      <c r="I1984" s="17">
        <v>27030</v>
      </c>
      <c r="K1984" s="4">
        <v>100</v>
      </c>
      <c r="O1984" s="4" t="s">
        <v>19</v>
      </c>
      <c r="R1984" s="4" t="s">
        <v>2525</v>
      </c>
    </row>
    <row r="1985" spans="1:18" x14ac:dyDescent="0.3">
      <c r="A1985" s="118" t="s">
        <v>5494</v>
      </c>
      <c r="B1985" s="118"/>
      <c r="C1985" s="3">
        <v>45517</v>
      </c>
      <c r="D1985" s="37" t="s">
        <v>5495</v>
      </c>
      <c r="E1985" s="11" t="s">
        <v>5499</v>
      </c>
      <c r="G1985" s="7" t="s">
        <v>5496</v>
      </c>
      <c r="I1985" s="17">
        <v>29221</v>
      </c>
      <c r="K1985" s="4">
        <v>500</v>
      </c>
      <c r="L1985" s="11" t="s">
        <v>5498</v>
      </c>
      <c r="M1985" s="11" t="s">
        <v>5497</v>
      </c>
      <c r="O1985" s="4" t="s">
        <v>19</v>
      </c>
      <c r="R1985" s="4" t="s">
        <v>2525</v>
      </c>
    </row>
    <row r="1986" spans="1:18" x14ac:dyDescent="0.3">
      <c r="A1986" s="118" t="s">
        <v>5502</v>
      </c>
      <c r="B1986" s="118"/>
      <c r="C1986" s="3">
        <v>45518</v>
      </c>
      <c r="D1986" s="11" t="s">
        <v>5503</v>
      </c>
      <c r="E1986" s="11" t="s">
        <v>5499</v>
      </c>
      <c r="G1986" s="7" t="s">
        <v>5504</v>
      </c>
      <c r="K1986" s="4">
        <v>100</v>
      </c>
      <c r="L1986" s="11" t="s">
        <v>5505</v>
      </c>
      <c r="M1986" s="11" t="s">
        <v>5506</v>
      </c>
      <c r="O1986" s="4" t="s">
        <v>19</v>
      </c>
      <c r="R1986" s="4" t="s">
        <v>19</v>
      </c>
    </row>
    <row r="1987" spans="1:18" x14ac:dyDescent="0.3">
      <c r="A1987" s="118" t="s">
        <v>5507</v>
      </c>
      <c r="B1987" s="118"/>
      <c r="C1987" s="3">
        <v>45518</v>
      </c>
      <c r="D1987" s="11" t="s">
        <v>5508</v>
      </c>
      <c r="E1987" s="11" t="s">
        <v>5585</v>
      </c>
      <c r="G1987" s="7" t="s">
        <v>5384</v>
      </c>
      <c r="I1987" s="17">
        <v>36067</v>
      </c>
      <c r="K1987" s="4">
        <v>500</v>
      </c>
      <c r="L1987" s="11" t="s">
        <v>5509</v>
      </c>
      <c r="M1987" s="11" t="s">
        <v>5510</v>
      </c>
      <c r="O1987" s="4" t="s">
        <v>19</v>
      </c>
      <c r="R1987" s="4" t="s">
        <v>16</v>
      </c>
    </row>
    <row r="1988" spans="1:18" x14ac:dyDescent="0.3">
      <c r="A1988" s="118" t="s">
        <v>5511</v>
      </c>
      <c r="B1988" s="118"/>
      <c r="C1988" s="3">
        <v>45518</v>
      </c>
      <c r="D1988" s="11" t="s">
        <v>5512</v>
      </c>
      <c r="E1988" s="11" t="s">
        <v>6070</v>
      </c>
      <c r="G1988" s="7" t="s">
        <v>5513</v>
      </c>
      <c r="I1988" s="17">
        <v>28491</v>
      </c>
      <c r="K1988" s="4">
        <v>100</v>
      </c>
      <c r="L1988" s="11" t="s">
        <v>5514</v>
      </c>
      <c r="M1988" s="11" t="s">
        <v>5515</v>
      </c>
      <c r="O1988" s="4" t="s">
        <v>19</v>
      </c>
      <c r="R1988" s="4" t="s">
        <v>16</v>
      </c>
    </row>
    <row r="1989" spans="1:18" x14ac:dyDescent="0.3">
      <c r="A1989" s="118" t="s">
        <v>5523</v>
      </c>
      <c r="B1989" s="118"/>
      <c r="C1989" s="3">
        <v>45520</v>
      </c>
      <c r="D1989" s="11" t="s">
        <v>5524</v>
      </c>
      <c r="E1989" s="11" t="s">
        <v>5562</v>
      </c>
      <c r="G1989" s="7" t="s">
        <v>5525</v>
      </c>
      <c r="K1989" s="4">
        <v>1000</v>
      </c>
      <c r="L1989" s="11" t="s">
        <v>5527</v>
      </c>
      <c r="M1989" s="11" t="s">
        <v>5526</v>
      </c>
      <c r="O1989" s="4" t="s">
        <v>19</v>
      </c>
      <c r="R1989" s="4" t="s">
        <v>16</v>
      </c>
    </row>
    <row r="1990" spans="1:18" x14ac:dyDescent="0.3">
      <c r="A1990" s="118" t="s">
        <v>5531</v>
      </c>
      <c r="B1990" s="118"/>
      <c r="C1990" s="3">
        <v>45520</v>
      </c>
      <c r="D1990" s="11" t="s">
        <v>5532</v>
      </c>
      <c r="E1990" s="11" t="s">
        <v>5107</v>
      </c>
      <c r="G1990" s="7" t="s">
        <v>5533</v>
      </c>
      <c r="I1990" s="17">
        <v>38513</v>
      </c>
      <c r="K1990" s="4">
        <v>200</v>
      </c>
      <c r="L1990" s="11" t="s">
        <v>5535</v>
      </c>
      <c r="M1990" s="11" t="s">
        <v>5534</v>
      </c>
      <c r="O1990" s="4" t="s">
        <v>19</v>
      </c>
      <c r="R1990" s="4" t="s">
        <v>16</v>
      </c>
    </row>
    <row r="1991" spans="1:18" x14ac:dyDescent="0.3">
      <c r="A1991" s="118" t="s">
        <v>5536</v>
      </c>
      <c r="B1991" s="118"/>
      <c r="C1991" s="3">
        <v>45520</v>
      </c>
      <c r="D1991" s="11" t="s">
        <v>5537</v>
      </c>
      <c r="E1991" s="11" t="s">
        <v>5107</v>
      </c>
      <c r="G1991" s="7" t="s">
        <v>5538</v>
      </c>
      <c r="I1991" s="17">
        <v>23396</v>
      </c>
      <c r="K1991" s="4">
        <v>100</v>
      </c>
      <c r="L1991" s="11" t="s">
        <v>5540</v>
      </c>
      <c r="M1991" s="11" t="s">
        <v>5539</v>
      </c>
      <c r="O1991" s="4" t="s">
        <v>19</v>
      </c>
      <c r="R1991" s="4" t="s">
        <v>16</v>
      </c>
    </row>
    <row r="1992" spans="1:18" x14ac:dyDescent="0.3">
      <c r="A1992" s="118" t="s">
        <v>5547</v>
      </c>
      <c r="B1992" s="118"/>
      <c r="C1992" s="3">
        <v>45524</v>
      </c>
      <c r="D1992" s="11" t="s">
        <v>5548</v>
      </c>
      <c r="E1992" s="11" t="s">
        <v>5562</v>
      </c>
      <c r="G1992" s="7" t="s">
        <v>5549</v>
      </c>
      <c r="I1992" s="17">
        <v>22174</v>
      </c>
      <c r="K1992" s="4">
        <v>100</v>
      </c>
      <c r="L1992" s="11" t="s">
        <v>5550</v>
      </c>
      <c r="M1992" s="11" t="s">
        <v>5551</v>
      </c>
      <c r="O1992" s="4" t="s">
        <v>19</v>
      </c>
      <c r="R1992" s="4" t="s">
        <v>16</v>
      </c>
    </row>
    <row r="1993" spans="1:18" x14ac:dyDescent="0.3">
      <c r="A1993" s="118" t="s">
        <v>5552</v>
      </c>
      <c r="B1993" s="118"/>
      <c r="C1993" s="3">
        <v>45524</v>
      </c>
      <c r="D1993" s="11" t="s">
        <v>5553</v>
      </c>
      <c r="E1993" s="11" t="s">
        <v>5562</v>
      </c>
      <c r="G1993" s="7" t="s">
        <v>5554</v>
      </c>
      <c r="K1993" s="4">
        <v>100</v>
      </c>
      <c r="O1993" s="4" t="s">
        <v>19</v>
      </c>
      <c r="R1993" s="4" t="s">
        <v>16</v>
      </c>
    </row>
    <row r="1994" spans="1:18" x14ac:dyDescent="0.3">
      <c r="A1994" s="118" t="s">
        <v>5555</v>
      </c>
      <c r="B1994" s="118"/>
      <c r="C1994" s="3">
        <v>45524</v>
      </c>
      <c r="D1994" s="11" t="s">
        <v>5556</v>
      </c>
      <c r="E1994" s="11" t="s">
        <v>5561</v>
      </c>
      <c r="G1994" s="7" t="s">
        <v>5557</v>
      </c>
      <c r="I1994" s="17">
        <v>27886</v>
      </c>
      <c r="K1994" s="4">
        <v>500</v>
      </c>
      <c r="L1994" s="11" t="s">
        <v>5559</v>
      </c>
      <c r="M1994" s="11" t="s">
        <v>5558</v>
      </c>
      <c r="O1994" s="4" t="s">
        <v>19</v>
      </c>
      <c r="R1994" s="4" t="s">
        <v>16</v>
      </c>
    </row>
    <row r="1995" spans="1:18" x14ac:dyDescent="0.3">
      <c r="A1995" s="118" t="s">
        <v>5563</v>
      </c>
      <c r="B1995" s="118"/>
      <c r="C1995" s="3">
        <v>45526</v>
      </c>
      <c r="D1995" s="11" t="s">
        <v>5564</v>
      </c>
      <c r="E1995" s="11" t="s">
        <v>5589</v>
      </c>
      <c r="G1995" s="7" t="s">
        <v>620</v>
      </c>
      <c r="I1995" s="17">
        <v>35255</v>
      </c>
      <c r="K1995" s="4">
        <v>500</v>
      </c>
      <c r="M1995" s="11" t="s">
        <v>5565</v>
      </c>
      <c r="O1995" s="4" t="s">
        <v>19</v>
      </c>
      <c r="R1995" s="4" t="s">
        <v>16</v>
      </c>
    </row>
    <row r="1996" spans="1:18" x14ac:dyDescent="0.3">
      <c r="A1996" s="118" t="s">
        <v>5566</v>
      </c>
      <c r="B1996" s="118"/>
      <c r="C1996" s="3">
        <v>45526</v>
      </c>
      <c r="D1996" s="11" t="s">
        <v>5567</v>
      </c>
      <c r="E1996" s="11" t="s">
        <v>5589</v>
      </c>
      <c r="G1996" s="7" t="s">
        <v>5568</v>
      </c>
      <c r="I1996" s="47" t="s">
        <v>5569</v>
      </c>
      <c r="K1996" s="4">
        <v>150</v>
      </c>
      <c r="L1996" s="11" t="s">
        <v>5571</v>
      </c>
      <c r="M1996" s="11" t="s">
        <v>5570</v>
      </c>
      <c r="O1996" s="4" t="s">
        <v>19</v>
      </c>
      <c r="R1996" s="4" t="s">
        <v>16</v>
      </c>
    </row>
    <row r="1997" spans="1:18" x14ac:dyDescent="0.3">
      <c r="A1997" s="118" t="s">
        <v>5573</v>
      </c>
      <c r="B1997" s="118"/>
      <c r="C1997" s="3">
        <v>45527</v>
      </c>
      <c r="D1997" s="11" t="s">
        <v>5574</v>
      </c>
      <c r="E1997" s="11" t="s">
        <v>5584</v>
      </c>
      <c r="G1997" s="7" t="s">
        <v>5575</v>
      </c>
      <c r="I1997" s="17">
        <v>32699</v>
      </c>
      <c r="K1997" s="4">
        <v>500</v>
      </c>
      <c r="L1997" s="11" t="s">
        <v>5577</v>
      </c>
      <c r="M1997" s="11" t="s">
        <v>5576</v>
      </c>
      <c r="O1997" s="4" t="s">
        <v>19</v>
      </c>
      <c r="R1997" s="4" t="s">
        <v>19</v>
      </c>
    </row>
    <row r="1998" spans="1:18" x14ac:dyDescent="0.3">
      <c r="A1998" s="118" t="s">
        <v>5578</v>
      </c>
      <c r="B1998" s="118"/>
      <c r="C1998" s="3">
        <v>45527</v>
      </c>
      <c r="D1998" s="11" t="s">
        <v>5579</v>
      </c>
      <c r="E1998" s="11" t="s">
        <v>5715</v>
      </c>
      <c r="G1998" s="7" t="s">
        <v>5580</v>
      </c>
      <c r="I1998" s="17">
        <v>32692</v>
      </c>
      <c r="K1998" s="4">
        <v>100</v>
      </c>
      <c r="L1998" s="11" t="s">
        <v>5581</v>
      </c>
      <c r="M1998" s="11" t="s">
        <v>5582</v>
      </c>
      <c r="O1998" s="4" t="s">
        <v>19</v>
      </c>
      <c r="R1998" s="4" t="s">
        <v>16</v>
      </c>
    </row>
    <row r="1999" spans="1:18" x14ac:dyDescent="0.3">
      <c r="A1999" s="118" t="s">
        <v>5590</v>
      </c>
      <c r="B1999" s="118"/>
      <c r="C1999" s="3">
        <v>45530</v>
      </c>
      <c r="D1999" s="11" t="s">
        <v>5592</v>
      </c>
      <c r="E1999" s="11" t="s">
        <v>5107</v>
      </c>
      <c r="G1999" s="7" t="s">
        <v>5591</v>
      </c>
      <c r="I1999" s="17">
        <v>35597</v>
      </c>
      <c r="K1999" s="4">
        <v>500</v>
      </c>
      <c r="L1999" s="11" t="s">
        <v>5593</v>
      </c>
      <c r="M1999" s="11" t="s">
        <v>5594</v>
      </c>
      <c r="O1999" s="4" t="s">
        <v>19</v>
      </c>
      <c r="R1999" s="4" t="s">
        <v>2563</v>
      </c>
    </row>
    <row r="2000" spans="1:18" x14ac:dyDescent="0.3">
      <c r="A2000" s="118" t="s">
        <v>5597</v>
      </c>
      <c r="B2000" s="118"/>
      <c r="C2000" s="3">
        <v>45531</v>
      </c>
      <c r="D2000" s="11" t="s">
        <v>5598</v>
      </c>
      <c r="E2000" s="11" t="s">
        <v>5848</v>
      </c>
      <c r="G2000" s="7" t="s">
        <v>262</v>
      </c>
      <c r="I2000" s="17">
        <v>24838</v>
      </c>
      <c r="K2000" s="4">
        <v>100</v>
      </c>
      <c r="L2000" s="11" t="s">
        <v>5600</v>
      </c>
      <c r="M2000" s="11" t="s">
        <v>5599</v>
      </c>
      <c r="O2000" s="4" t="s">
        <v>19</v>
      </c>
      <c r="R2000" s="4" t="s">
        <v>16</v>
      </c>
    </row>
    <row r="2001" spans="1:18" x14ac:dyDescent="0.3">
      <c r="A2001" s="118"/>
      <c r="B2001" s="118"/>
      <c r="C2001" s="3">
        <v>45533</v>
      </c>
      <c r="D2001" s="11" t="s">
        <v>5609</v>
      </c>
      <c r="E2001" s="11" t="s">
        <v>5664</v>
      </c>
      <c r="G2001" s="7" t="s">
        <v>5610</v>
      </c>
      <c r="I2001" s="17">
        <v>33243</v>
      </c>
      <c r="K2001" s="4">
        <v>200</v>
      </c>
      <c r="L2001" s="11" t="s">
        <v>5648</v>
      </c>
      <c r="M2001" s="11" t="s">
        <v>5649</v>
      </c>
      <c r="O2001" s="4" t="s">
        <v>19</v>
      </c>
      <c r="R2001" s="4" t="s">
        <v>16</v>
      </c>
    </row>
    <row r="2002" spans="1:18" x14ac:dyDescent="0.3">
      <c r="A2002" s="118" t="s">
        <v>5612</v>
      </c>
      <c r="B2002" s="118"/>
      <c r="C2002" s="3">
        <v>45534</v>
      </c>
      <c r="D2002" s="11" t="s">
        <v>5613</v>
      </c>
      <c r="E2002" s="11" t="s">
        <v>5107</v>
      </c>
      <c r="G2002" s="7" t="s">
        <v>5614</v>
      </c>
      <c r="I2002" s="17">
        <v>35063</v>
      </c>
      <c r="K2002" s="4">
        <v>2000</v>
      </c>
      <c r="L2002" s="11" t="s">
        <v>5616</v>
      </c>
      <c r="M2002" s="11" t="s">
        <v>5615</v>
      </c>
      <c r="O2002" s="4" t="s">
        <v>19</v>
      </c>
      <c r="R2002" s="4" t="s">
        <v>16</v>
      </c>
    </row>
    <row r="2003" spans="1:18" x14ac:dyDescent="0.3">
      <c r="A2003" s="118" t="s">
        <v>5617</v>
      </c>
      <c r="B2003" s="118"/>
      <c r="C2003" s="3">
        <v>45534</v>
      </c>
      <c r="D2003" s="11" t="s">
        <v>5618</v>
      </c>
      <c r="E2003" s="11" t="s">
        <v>5683</v>
      </c>
      <c r="G2003" s="7" t="s">
        <v>5619</v>
      </c>
      <c r="I2003" s="17">
        <v>28635</v>
      </c>
      <c r="K2003" s="4">
        <v>500</v>
      </c>
      <c r="L2003" s="11" t="s">
        <v>5647</v>
      </c>
      <c r="M2003" s="11" t="s">
        <v>5620</v>
      </c>
      <c r="O2003" s="4" t="s">
        <v>19</v>
      </c>
      <c r="R2003" s="4" t="s">
        <v>16</v>
      </c>
    </row>
    <row r="2004" spans="1:18" x14ac:dyDescent="0.3">
      <c r="A2004" s="118" t="s">
        <v>5622</v>
      </c>
      <c r="B2004" s="118"/>
      <c r="C2004" s="3">
        <v>45534</v>
      </c>
      <c r="D2004" s="11" t="s">
        <v>5626</v>
      </c>
      <c r="E2004" s="11" t="s">
        <v>6033</v>
      </c>
      <c r="G2004" s="7" t="s">
        <v>235</v>
      </c>
      <c r="I2004" s="17">
        <v>28960</v>
      </c>
      <c r="K2004" s="4">
        <v>2000</v>
      </c>
      <c r="L2004" s="11" t="s">
        <v>5650</v>
      </c>
      <c r="M2004" s="11" t="s">
        <v>5651</v>
      </c>
      <c r="O2004" s="4" t="s">
        <v>19</v>
      </c>
      <c r="R2004" s="4" t="s">
        <v>2525</v>
      </c>
    </row>
    <row r="2005" spans="1:18" x14ac:dyDescent="0.3">
      <c r="A2005" s="118" t="s">
        <v>5623</v>
      </c>
      <c r="B2005" s="118"/>
      <c r="C2005" s="3">
        <v>45534</v>
      </c>
      <c r="D2005" s="11" t="s">
        <v>5624</v>
      </c>
      <c r="E2005" s="11" t="s">
        <v>5663</v>
      </c>
      <c r="G2005" s="7" t="s">
        <v>5644</v>
      </c>
      <c r="I2005" s="17">
        <v>36073</v>
      </c>
      <c r="K2005" s="4">
        <v>100</v>
      </c>
      <c r="L2005" s="11" t="s">
        <v>5645</v>
      </c>
      <c r="M2005" s="11" t="s">
        <v>5646</v>
      </c>
      <c r="O2005" s="4" t="s">
        <v>19</v>
      </c>
      <c r="R2005" s="4" t="s">
        <v>16</v>
      </c>
    </row>
    <row r="2006" spans="1:18" x14ac:dyDescent="0.3">
      <c r="A2006" s="118" t="s">
        <v>5627</v>
      </c>
      <c r="B2006" s="118"/>
      <c r="C2006" s="3">
        <v>45534</v>
      </c>
      <c r="D2006" s="11" t="s">
        <v>5628</v>
      </c>
      <c r="E2006" s="11" t="s">
        <v>5777</v>
      </c>
      <c r="G2006" s="7" t="s">
        <v>5629</v>
      </c>
      <c r="I2006" s="17">
        <v>21185</v>
      </c>
      <c r="K2006" s="4">
        <v>300</v>
      </c>
      <c r="L2006" s="11" t="s">
        <v>5631</v>
      </c>
      <c r="M2006" s="11" t="s">
        <v>5630</v>
      </c>
      <c r="O2006" s="4" t="s">
        <v>19</v>
      </c>
      <c r="R2006" s="4" t="s">
        <v>16</v>
      </c>
    </row>
    <row r="2007" spans="1:18" x14ac:dyDescent="0.3">
      <c r="A2007" s="118" t="s">
        <v>5632</v>
      </c>
      <c r="B2007" s="118"/>
      <c r="C2007" s="3">
        <v>45534</v>
      </c>
      <c r="D2007" s="11" t="s">
        <v>5633</v>
      </c>
      <c r="E2007" s="11" t="s">
        <v>5723</v>
      </c>
      <c r="G2007" s="7" t="s">
        <v>5634</v>
      </c>
      <c r="I2007" s="17">
        <v>30439</v>
      </c>
      <c r="K2007" s="4">
        <v>100</v>
      </c>
      <c r="L2007" s="11" t="s">
        <v>5635</v>
      </c>
      <c r="M2007" s="11" t="s">
        <v>4329</v>
      </c>
      <c r="O2007" s="4" t="s">
        <v>19</v>
      </c>
      <c r="R2007" s="4" t="s">
        <v>16</v>
      </c>
    </row>
    <row r="2008" spans="1:18" x14ac:dyDescent="0.3">
      <c r="A2008" s="118" t="s">
        <v>5636</v>
      </c>
      <c r="B2008" s="118"/>
      <c r="C2008" s="3">
        <v>45535</v>
      </c>
      <c r="D2008" s="11" t="s">
        <v>5637</v>
      </c>
      <c r="E2008" s="11" t="s">
        <v>5681</v>
      </c>
      <c r="G2008" s="7" t="s">
        <v>5638</v>
      </c>
      <c r="I2008" s="17">
        <v>31474</v>
      </c>
      <c r="K2008" s="4">
        <v>100</v>
      </c>
      <c r="L2008" s="11" t="s">
        <v>5642</v>
      </c>
      <c r="M2008" s="11" t="s">
        <v>5643</v>
      </c>
      <c r="O2008" s="4" t="s">
        <v>19</v>
      </c>
      <c r="R2008" s="4" t="s">
        <v>16</v>
      </c>
    </row>
    <row r="2009" spans="1:18" x14ac:dyDescent="0.3">
      <c r="A2009" s="118" t="s">
        <v>5653</v>
      </c>
      <c r="B2009" s="118"/>
      <c r="C2009" s="3">
        <v>45535</v>
      </c>
      <c r="D2009" s="11" t="s">
        <v>5654</v>
      </c>
      <c r="E2009" s="11" t="s">
        <v>5107</v>
      </c>
      <c r="G2009" s="7" t="s">
        <v>5655</v>
      </c>
      <c r="I2009" s="17">
        <v>36766</v>
      </c>
      <c r="K2009" s="4">
        <v>2000</v>
      </c>
      <c r="L2009" s="11" t="s">
        <v>5657</v>
      </c>
      <c r="M2009" s="11" t="s">
        <v>5656</v>
      </c>
      <c r="O2009" s="4" t="s">
        <v>19</v>
      </c>
      <c r="R2009" s="4" t="s">
        <v>16</v>
      </c>
    </row>
    <row r="2010" spans="1:18" x14ac:dyDescent="0.3">
      <c r="A2010" s="118" t="s">
        <v>5658</v>
      </c>
      <c r="B2010" s="118"/>
      <c r="C2010" s="3">
        <v>45535</v>
      </c>
      <c r="D2010" s="11" t="s">
        <v>5659</v>
      </c>
      <c r="E2010" s="11" t="s">
        <v>5665</v>
      </c>
      <c r="G2010" s="7" t="s">
        <v>5660</v>
      </c>
      <c r="I2010" s="17">
        <v>39281</v>
      </c>
      <c r="K2010" s="4">
        <v>500</v>
      </c>
      <c r="L2010" s="11" t="s">
        <v>5661</v>
      </c>
      <c r="M2010" s="11" t="s">
        <v>5662</v>
      </c>
      <c r="O2010" s="4" t="s">
        <v>19</v>
      </c>
      <c r="R2010" s="4" t="s">
        <v>16</v>
      </c>
    </row>
    <row r="2011" spans="1:18" x14ac:dyDescent="0.3">
      <c r="A2011" t="s">
        <v>5668</v>
      </c>
      <c r="C2011" s="3">
        <v>45539</v>
      </c>
      <c r="D2011" s="11" t="s">
        <v>5669</v>
      </c>
      <c r="E2011" s="11" t="s">
        <v>5683</v>
      </c>
      <c r="G2011" s="7" t="s">
        <v>5670</v>
      </c>
      <c r="I2011" s="17">
        <v>35095</v>
      </c>
      <c r="K2011" s="4">
        <v>500</v>
      </c>
      <c r="L2011" s="11" t="s">
        <v>5672</v>
      </c>
      <c r="M2011" s="11" t="s">
        <v>5671</v>
      </c>
      <c r="O2011" s="4" t="s">
        <v>19</v>
      </c>
      <c r="R2011" s="4" t="s">
        <v>16</v>
      </c>
    </row>
    <row r="2012" spans="1:18" x14ac:dyDescent="0.3">
      <c r="A2012" t="s">
        <v>5673</v>
      </c>
      <c r="C2012" s="3">
        <v>45539</v>
      </c>
      <c r="D2012" s="11" t="s">
        <v>5674</v>
      </c>
      <c r="E2012" s="11" t="s">
        <v>5723</v>
      </c>
      <c r="G2012" s="7" t="s">
        <v>5675</v>
      </c>
      <c r="I2012" s="17">
        <v>31156</v>
      </c>
      <c r="K2012" s="4">
        <v>500</v>
      </c>
      <c r="M2012" s="11" t="s">
        <v>5676</v>
      </c>
      <c r="O2012" s="4" t="s">
        <v>19</v>
      </c>
      <c r="R2012" s="4" t="s">
        <v>16</v>
      </c>
    </row>
    <row r="2013" spans="1:18" x14ac:dyDescent="0.3">
      <c r="A2013" t="s">
        <v>5677</v>
      </c>
      <c r="C2013" s="3">
        <v>45539</v>
      </c>
      <c r="D2013" s="11" t="s">
        <v>5678</v>
      </c>
      <c r="E2013" s="11" t="s">
        <v>5107</v>
      </c>
      <c r="G2013" s="7" t="s">
        <v>5679</v>
      </c>
      <c r="I2013" s="17">
        <v>31306</v>
      </c>
      <c r="K2013" s="4">
        <v>500</v>
      </c>
      <c r="M2013" s="11" t="s">
        <v>5680</v>
      </c>
      <c r="O2013" s="4" t="s">
        <v>19</v>
      </c>
      <c r="R2013" s="4" t="s">
        <v>16</v>
      </c>
    </row>
    <row r="2014" spans="1:18" x14ac:dyDescent="0.3">
      <c r="A2014" t="s">
        <v>5685</v>
      </c>
      <c r="C2014" s="3">
        <v>45540</v>
      </c>
      <c r="D2014" s="11" t="s">
        <v>5686</v>
      </c>
      <c r="E2014" s="11" t="s">
        <v>5715</v>
      </c>
      <c r="G2014" s="7" t="s">
        <v>5687</v>
      </c>
      <c r="I2014" s="17">
        <v>38839</v>
      </c>
      <c r="K2014" s="4">
        <v>500</v>
      </c>
      <c r="L2014" s="11" t="s">
        <v>5688</v>
      </c>
      <c r="M2014" s="11" t="s">
        <v>5689</v>
      </c>
      <c r="O2014" s="4" t="s">
        <v>19</v>
      </c>
      <c r="R2014" s="4" t="s">
        <v>16</v>
      </c>
    </row>
    <row r="2015" spans="1:18" x14ac:dyDescent="0.3">
      <c r="A2015" t="s">
        <v>5690</v>
      </c>
      <c r="C2015" s="3">
        <v>45540</v>
      </c>
      <c r="D2015" s="11" t="s">
        <v>5691</v>
      </c>
      <c r="E2015" s="11" t="s">
        <v>5718</v>
      </c>
      <c r="G2015" s="7" t="s">
        <v>5703</v>
      </c>
      <c r="I2015" s="17">
        <v>35828</v>
      </c>
      <c r="K2015" s="4">
        <v>500</v>
      </c>
      <c r="L2015" s="11" t="s">
        <v>5719</v>
      </c>
      <c r="M2015" s="11" t="s">
        <v>5693</v>
      </c>
      <c r="O2015" s="4" t="s">
        <v>19</v>
      </c>
      <c r="R2015" s="4" t="s">
        <v>16</v>
      </c>
    </row>
    <row r="2016" spans="1:18" x14ac:dyDescent="0.3">
      <c r="A2016" t="s">
        <v>5694</v>
      </c>
      <c r="C2016" s="3">
        <v>45540</v>
      </c>
      <c r="D2016" s="11" t="s">
        <v>5695</v>
      </c>
      <c r="E2016" s="11" t="s">
        <v>6193</v>
      </c>
      <c r="G2016" s="7" t="s">
        <v>6191</v>
      </c>
      <c r="I2016" s="17">
        <v>25635</v>
      </c>
      <c r="K2016" s="4">
        <v>200</v>
      </c>
      <c r="L2016" s="11" t="s">
        <v>6192</v>
      </c>
      <c r="M2016" s="11" t="s">
        <v>5696</v>
      </c>
      <c r="O2016" s="4" t="s">
        <v>19</v>
      </c>
      <c r="R2016" s="4" t="s">
        <v>16</v>
      </c>
    </row>
    <row r="2017" spans="1:18" x14ac:dyDescent="0.3">
      <c r="A2017" t="s">
        <v>5699</v>
      </c>
      <c r="C2017" s="3">
        <v>45540</v>
      </c>
      <c r="D2017" s="11" t="s">
        <v>5700</v>
      </c>
      <c r="E2017" s="11" t="s">
        <v>5416</v>
      </c>
      <c r="G2017" s="7" t="s">
        <v>5702</v>
      </c>
      <c r="I2017" s="17">
        <v>25334</v>
      </c>
      <c r="K2017" s="4">
        <v>200</v>
      </c>
      <c r="M2017" s="11" t="s">
        <v>5701</v>
      </c>
      <c r="O2017" s="4" t="s">
        <v>19</v>
      </c>
      <c r="R2017" s="4" t="s">
        <v>16</v>
      </c>
    </row>
    <row r="2018" spans="1:18" x14ac:dyDescent="0.3">
      <c r="A2018" t="s">
        <v>5705</v>
      </c>
      <c r="C2018" s="3">
        <v>45541</v>
      </c>
      <c r="D2018" s="11" t="s">
        <v>5708</v>
      </c>
      <c r="G2018" s="7" t="s">
        <v>5709</v>
      </c>
      <c r="I2018" s="17">
        <v>24810</v>
      </c>
      <c r="K2018" s="4">
        <v>500</v>
      </c>
      <c r="M2018" s="11" t="s">
        <v>5710</v>
      </c>
      <c r="O2018" s="4" t="s">
        <v>19</v>
      </c>
      <c r="R2018" s="4" t="s">
        <v>16</v>
      </c>
    </row>
    <row r="2019" spans="1:18" x14ac:dyDescent="0.3">
      <c r="A2019" t="s">
        <v>5711</v>
      </c>
      <c r="C2019" s="3">
        <v>45541</v>
      </c>
      <c r="D2019" s="11" t="s">
        <v>5712</v>
      </c>
      <c r="E2019" s="11" t="s">
        <v>5761</v>
      </c>
      <c r="G2019" s="7" t="s">
        <v>5713</v>
      </c>
      <c r="K2019" s="4">
        <v>500</v>
      </c>
      <c r="M2019" s="11" t="s">
        <v>5714</v>
      </c>
      <c r="O2019" s="4" t="s">
        <v>19</v>
      </c>
      <c r="R2019" s="4" t="s">
        <v>16</v>
      </c>
    </row>
    <row r="2020" spans="1:18" x14ac:dyDescent="0.3">
      <c r="A2020" t="s">
        <v>5726</v>
      </c>
      <c r="C2020" s="3">
        <v>45545</v>
      </c>
      <c r="D2020" s="11" t="s">
        <v>5727</v>
      </c>
      <c r="E2020" s="11" t="s">
        <v>5765</v>
      </c>
      <c r="G2020" s="7" t="s">
        <v>5728</v>
      </c>
      <c r="I2020" s="17">
        <v>29407</v>
      </c>
      <c r="K2020" s="4">
        <v>150</v>
      </c>
      <c r="L2020" s="11" t="s">
        <v>5764</v>
      </c>
      <c r="M2020" s="11" t="s">
        <v>5763</v>
      </c>
      <c r="O2020" s="4" t="s">
        <v>19</v>
      </c>
      <c r="R2020" s="4" t="s">
        <v>16</v>
      </c>
    </row>
    <row r="2021" spans="1:18" x14ac:dyDescent="0.3">
      <c r="A2021" t="s">
        <v>5729</v>
      </c>
      <c r="C2021" s="3">
        <v>45545</v>
      </c>
      <c r="D2021" s="11" t="s">
        <v>5730</v>
      </c>
      <c r="E2021" s="11" t="s">
        <v>5892</v>
      </c>
      <c r="G2021" s="7" t="s">
        <v>5731</v>
      </c>
      <c r="I2021" s="17">
        <v>27260</v>
      </c>
      <c r="K2021" s="4">
        <v>2000</v>
      </c>
      <c r="L2021" s="11" t="s">
        <v>5760</v>
      </c>
      <c r="M2021" s="11" t="s">
        <v>5732</v>
      </c>
      <c r="O2021" s="4" t="s">
        <v>19</v>
      </c>
      <c r="R2021" s="4" t="s">
        <v>16</v>
      </c>
    </row>
    <row r="2022" spans="1:18" x14ac:dyDescent="0.3">
      <c r="A2022" t="s">
        <v>5733</v>
      </c>
      <c r="C2022" s="3">
        <v>45545</v>
      </c>
      <c r="D2022" s="11" t="s">
        <v>5734</v>
      </c>
      <c r="E2022" s="11" t="s">
        <v>5761</v>
      </c>
      <c r="G2022" s="7" t="s">
        <v>5758</v>
      </c>
      <c r="I2022" s="17">
        <v>34730</v>
      </c>
      <c r="K2022" s="4">
        <v>200</v>
      </c>
      <c r="L2022" s="11" t="s">
        <v>5759</v>
      </c>
      <c r="M2022" s="11" t="s">
        <v>5735</v>
      </c>
      <c r="O2022" s="4" t="s">
        <v>19</v>
      </c>
      <c r="R2022" s="4" t="s">
        <v>2525</v>
      </c>
    </row>
    <row r="2023" spans="1:18" x14ac:dyDescent="0.3">
      <c r="A2023" t="s">
        <v>5736</v>
      </c>
      <c r="C2023" s="3">
        <v>45545</v>
      </c>
      <c r="D2023" s="11" t="s">
        <v>5737</v>
      </c>
      <c r="E2023" s="11" t="s">
        <v>5761</v>
      </c>
      <c r="G2023" s="7" t="s">
        <v>5738</v>
      </c>
      <c r="K2023" s="4">
        <v>500</v>
      </c>
      <c r="L2023" s="11" t="s">
        <v>5739</v>
      </c>
      <c r="M2023" s="11" t="s">
        <v>5740</v>
      </c>
      <c r="O2023" s="4" t="s">
        <v>19</v>
      </c>
      <c r="R2023" s="4" t="s">
        <v>16</v>
      </c>
    </row>
    <row r="2024" spans="1:18" x14ac:dyDescent="0.3">
      <c r="A2024" t="s">
        <v>5744</v>
      </c>
      <c r="C2024" s="3">
        <v>45546</v>
      </c>
      <c r="D2024" s="11" t="s">
        <v>5745</v>
      </c>
      <c r="E2024" s="11" t="s">
        <v>5777</v>
      </c>
      <c r="G2024" s="7" t="s">
        <v>5746</v>
      </c>
      <c r="I2024" s="17">
        <v>22299</v>
      </c>
      <c r="K2024" s="4">
        <v>100</v>
      </c>
      <c r="L2024" s="11" t="s">
        <v>5748</v>
      </c>
      <c r="M2024" s="11" t="s">
        <v>5747</v>
      </c>
      <c r="O2024" s="4" t="s">
        <v>19</v>
      </c>
      <c r="R2024" s="4" t="s">
        <v>16</v>
      </c>
    </row>
    <row r="2025" spans="1:18" x14ac:dyDescent="0.3">
      <c r="A2025" t="s">
        <v>5749</v>
      </c>
      <c r="C2025" s="3">
        <v>45546</v>
      </c>
      <c r="D2025" s="11" t="s">
        <v>5753</v>
      </c>
      <c r="E2025" s="11" t="s">
        <v>5765</v>
      </c>
      <c r="G2025" s="7" t="s">
        <v>5750</v>
      </c>
      <c r="I2025" s="17">
        <v>22011</v>
      </c>
      <c r="K2025" s="4">
        <v>100</v>
      </c>
      <c r="L2025" s="11" t="s">
        <v>5751</v>
      </c>
      <c r="M2025" s="11" t="s">
        <v>5752</v>
      </c>
      <c r="O2025" s="4" t="s">
        <v>19</v>
      </c>
      <c r="R2025" s="4" t="s">
        <v>16</v>
      </c>
    </row>
    <row r="2026" spans="1:18" x14ac:dyDescent="0.3">
      <c r="A2026" t="s">
        <v>5754</v>
      </c>
      <c r="C2026" s="3">
        <v>45546</v>
      </c>
      <c r="D2026" s="11" t="s">
        <v>5755</v>
      </c>
      <c r="E2026" s="11" t="s">
        <v>5107</v>
      </c>
      <c r="G2026" s="7" t="s">
        <v>5756</v>
      </c>
      <c r="I2026" s="17">
        <v>23716</v>
      </c>
      <c r="K2026" s="4">
        <v>100</v>
      </c>
      <c r="L2026" s="11" t="s">
        <v>5757</v>
      </c>
      <c r="O2026" s="4" t="s">
        <v>19</v>
      </c>
      <c r="R2026" s="4" t="s">
        <v>16</v>
      </c>
    </row>
    <row r="2027" spans="1:18" x14ac:dyDescent="0.3">
      <c r="A2027" t="s">
        <v>5766</v>
      </c>
      <c r="C2027" s="3">
        <v>45548</v>
      </c>
      <c r="D2027" s="11" t="s">
        <v>5767</v>
      </c>
      <c r="E2027" s="11" t="s">
        <v>5816</v>
      </c>
      <c r="G2027" s="7" t="s">
        <v>5786</v>
      </c>
      <c r="I2027" s="17">
        <v>31382</v>
      </c>
      <c r="K2027" s="4">
        <v>200</v>
      </c>
      <c r="L2027" s="11" t="s">
        <v>5787</v>
      </c>
      <c r="M2027" s="11" t="s">
        <v>5768</v>
      </c>
      <c r="O2027" s="4" t="s">
        <v>19</v>
      </c>
      <c r="R2027" s="4" t="s">
        <v>16</v>
      </c>
    </row>
    <row r="2028" spans="1:18" x14ac:dyDescent="0.3">
      <c r="A2028" t="s">
        <v>5770</v>
      </c>
      <c r="C2028" s="3">
        <v>45548</v>
      </c>
      <c r="D2028" s="11" t="s">
        <v>5771</v>
      </c>
      <c r="E2028" s="11" t="s">
        <v>5107</v>
      </c>
      <c r="G2028" s="7" t="s">
        <v>5772</v>
      </c>
      <c r="I2028" s="17">
        <v>35255</v>
      </c>
      <c r="K2028" s="4">
        <v>500</v>
      </c>
      <c r="L2028" s="11" t="s">
        <v>5788</v>
      </c>
      <c r="M2028" s="11" t="s">
        <v>5773</v>
      </c>
      <c r="O2028" s="4" t="s">
        <v>19</v>
      </c>
      <c r="R2028" s="4" t="s">
        <v>19</v>
      </c>
    </row>
    <row r="2029" spans="1:18" x14ac:dyDescent="0.3">
      <c r="A2029" t="s">
        <v>5774</v>
      </c>
      <c r="C2029" s="3">
        <v>45548</v>
      </c>
      <c r="D2029" s="11" t="s">
        <v>5784</v>
      </c>
      <c r="E2029" s="11" t="s">
        <v>5805</v>
      </c>
      <c r="G2029" s="7" t="s">
        <v>5775</v>
      </c>
      <c r="I2029" s="17">
        <v>34335</v>
      </c>
      <c r="K2029" s="4">
        <v>2000</v>
      </c>
      <c r="L2029" s="11" t="s">
        <v>5785</v>
      </c>
      <c r="M2029" s="11" t="s">
        <v>5776</v>
      </c>
      <c r="O2029" s="4" t="s">
        <v>19</v>
      </c>
      <c r="R2029" s="4" t="s">
        <v>16</v>
      </c>
    </row>
    <row r="2030" spans="1:18" x14ac:dyDescent="0.3">
      <c r="A2030" t="s">
        <v>5779</v>
      </c>
      <c r="C2030" s="3">
        <v>45551</v>
      </c>
      <c r="D2030" s="11" t="s">
        <v>5783</v>
      </c>
      <c r="E2030" s="11" t="s">
        <v>5817</v>
      </c>
      <c r="G2030" s="7" t="s">
        <v>5780</v>
      </c>
      <c r="I2030" s="17">
        <v>21551</v>
      </c>
      <c r="K2030" s="4">
        <v>150</v>
      </c>
      <c r="L2030" s="11" t="s">
        <v>5782</v>
      </c>
      <c r="M2030" s="11" t="s">
        <v>5781</v>
      </c>
      <c r="O2030" s="4" t="s">
        <v>19</v>
      </c>
      <c r="R2030" s="4" t="s">
        <v>16</v>
      </c>
    </row>
    <row r="2031" spans="1:18" x14ac:dyDescent="0.3">
      <c r="A2031" t="s">
        <v>5791</v>
      </c>
      <c r="C2031" s="3">
        <v>45552</v>
      </c>
      <c r="D2031" s="11" t="s">
        <v>5796</v>
      </c>
      <c r="E2031" s="11" t="s">
        <v>5807</v>
      </c>
      <c r="G2031" s="7" t="s">
        <v>5794</v>
      </c>
      <c r="I2031" s="17">
        <v>31943</v>
      </c>
      <c r="K2031" s="4">
        <v>100</v>
      </c>
      <c r="L2031" s="11" t="s">
        <v>5792</v>
      </c>
      <c r="M2031" s="11" t="s">
        <v>5793</v>
      </c>
      <c r="O2031" s="4" t="s">
        <v>19</v>
      </c>
      <c r="R2031" s="4" t="s">
        <v>16</v>
      </c>
    </row>
    <row r="2032" spans="1:18" x14ac:dyDescent="0.3">
      <c r="A2032" t="s">
        <v>5795</v>
      </c>
      <c r="C2032" s="3">
        <v>45552</v>
      </c>
      <c r="D2032" s="11" t="s">
        <v>5797</v>
      </c>
      <c r="E2032" s="11" t="s">
        <v>5807</v>
      </c>
      <c r="G2032" s="7" t="s">
        <v>5798</v>
      </c>
      <c r="I2032" s="17">
        <v>40467</v>
      </c>
      <c r="K2032" s="4">
        <v>100</v>
      </c>
      <c r="L2032" s="11" t="s">
        <v>5799</v>
      </c>
      <c r="M2032" s="11" t="s">
        <v>5793</v>
      </c>
      <c r="O2032" s="4" t="s">
        <v>19</v>
      </c>
      <c r="R2032" s="4" t="s">
        <v>19</v>
      </c>
    </row>
    <row r="2033" spans="1:18" x14ac:dyDescent="0.3">
      <c r="A2033" t="s">
        <v>5800</v>
      </c>
      <c r="C2033" s="3">
        <v>45552</v>
      </c>
      <c r="D2033" s="11" t="s">
        <v>5801</v>
      </c>
      <c r="E2033" s="11" t="s">
        <v>5107</v>
      </c>
      <c r="G2033" s="7" t="s">
        <v>5802</v>
      </c>
      <c r="I2033" s="17">
        <v>40207</v>
      </c>
      <c r="K2033" s="4">
        <v>250</v>
      </c>
      <c r="L2033" s="11" t="s">
        <v>5803</v>
      </c>
      <c r="M2033" s="11" t="s">
        <v>5804</v>
      </c>
      <c r="O2033" s="4" t="s">
        <v>19</v>
      </c>
      <c r="R2033" s="4" t="s">
        <v>19</v>
      </c>
    </row>
    <row r="2034" spans="1:18" x14ac:dyDescent="0.3">
      <c r="A2034" t="s">
        <v>5808</v>
      </c>
      <c r="C2034" s="3">
        <v>45554</v>
      </c>
      <c r="D2034" s="11" t="s">
        <v>5811</v>
      </c>
      <c r="E2034" s="11" t="s">
        <v>5107</v>
      </c>
      <c r="G2034" s="7" t="s">
        <v>5809</v>
      </c>
      <c r="I2034" s="17">
        <v>39118</v>
      </c>
      <c r="K2034" s="4">
        <v>200</v>
      </c>
      <c r="L2034" s="11" t="s">
        <v>5810</v>
      </c>
      <c r="M2034" s="11" t="s">
        <v>5017</v>
      </c>
      <c r="O2034" s="4" t="s">
        <v>19</v>
      </c>
      <c r="R2034" s="4" t="s">
        <v>19</v>
      </c>
    </row>
    <row r="2035" spans="1:18" x14ac:dyDescent="0.3">
      <c r="A2035" t="s">
        <v>5812</v>
      </c>
      <c r="C2035" s="3">
        <v>45554</v>
      </c>
      <c r="D2035" s="11" t="s">
        <v>5815</v>
      </c>
      <c r="E2035" s="11" t="s">
        <v>5107</v>
      </c>
      <c r="G2035" s="7" t="s">
        <v>5813</v>
      </c>
      <c r="I2035" s="17">
        <v>39536</v>
      </c>
      <c r="K2035" s="4">
        <v>200</v>
      </c>
      <c r="L2035" s="11" t="s">
        <v>5814</v>
      </c>
      <c r="M2035" s="11" t="s">
        <v>5017</v>
      </c>
      <c r="O2035" s="4" t="s">
        <v>19</v>
      </c>
      <c r="R2035" s="4" t="s">
        <v>19</v>
      </c>
    </row>
    <row r="2036" spans="1:18" x14ac:dyDescent="0.3">
      <c r="A2036" t="s">
        <v>5819</v>
      </c>
      <c r="C2036" s="3">
        <v>45555</v>
      </c>
      <c r="D2036" s="11" t="s">
        <v>5820</v>
      </c>
      <c r="E2036" s="11" t="s">
        <v>5107</v>
      </c>
      <c r="G2036" s="7" t="s">
        <v>5821</v>
      </c>
      <c r="I2036" s="17">
        <v>30682</v>
      </c>
      <c r="K2036" s="4">
        <v>500</v>
      </c>
      <c r="L2036" s="11" t="s">
        <v>5822</v>
      </c>
      <c r="M2036" s="11" t="s">
        <v>5823</v>
      </c>
      <c r="O2036" s="4" t="s">
        <v>19</v>
      </c>
      <c r="R2036" s="4" t="s">
        <v>16</v>
      </c>
    </row>
    <row r="2037" spans="1:18" x14ac:dyDescent="0.3">
      <c r="A2037" t="s">
        <v>5824</v>
      </c>
      <c r="C2037" s="3">
        <v>45556</v>
      </c>
      <c r="D2037" s="11" t="s">
        <v>5825</v>
      </c>
      <c r="E2037" s="11" t="s">
        <v>5929</v>
      </c>
      <c r="G2037" s="7" t="s">
        <v>5826</v>
      </c>
      <c r="I2037" s="17">
        <v>27760</v>
      </c>
      <c r="K2037" s="4">
        <v>100</v>
      </c>
      <c r="L2037" s="11" t="s">
        <v>5827</v>
      </c>
      <c r="M2037" s="11" t="s">
        <v>5828</v>
      </c>
      <c r="O2037" s="4" t="s">
        <v>19</v>
      </c>
      <c r="R2037" s="4" t="s">
        <v>2525</v>
      </c>
    </row>
    <row r="2038" spans="1:18" x14ac:dyDescent="0.3">
      <c r="A2038" t="s">
        <v>5829</v>
      </c>
      <c r="C2038" s="3">
        <v>45556</v>
      </c>
      <c r="D2038" s="11" t="s">
        <v>5830</v>
      </c>
      <c r="E2038" s="11" t="s">
        <v>5915</v>
      </c>
      <c r="G2038" s="7" t="s">
        <v>1055</v>
      </c>
      <c r="I2038" s="17">
        <v>27842</v>
      </c>
      <c r="K2038" s="4">
        <v>500</v>
      </c>
      <c r="L2038" s="11" t="s">
        <v>5831</v>
      </c>
      <c r="M2038" s="11" t="s">
        <v>5832</v>
      </c>
      <c r="O2038" s="4" t="s">
        <v>19</v>
      </c>
      <c r="R2038" s="4" t="s">
        <v>19</v>
      </c>
    </row>
    <row r="2039" spans="1:18" x14ac:dyDescent="0.3">
      <c r="A2039" t="s">
        <v>5833</v>
      </c>
      <c r="C2039" s="3">
        <v>45556</v>
      </c>
      <c r="D2039" s="11" t="s">
        <v>5834</v>
      </c>
      <c r="E2039" s="11" t="s">
        <v>6101</v>
      </c>
      <c r="G2039" s="7" t="s">
        <v>5835</v>
      </c>
      <c r="I2039" s="17">
        <v>40045</v>
      </c>
      <c r="K2039" s="4">
        <v>200</v>
      </c>
      <c r="L2039" s="11" t="s">
        <v>5836</v>
      </c>
      <c r="M2039" s="11" t="s">
        <v>5837</v>
      </c>
      <c r="O2039" s="4" t="s">
        <v>19</v>
      </c>
      <c r="R2039" s="4" t="s">
        <v>19</v>
      </c>
    </row>
    <row r="2040" spans="1:18" x14ac:dyDescent="0.3">
      <c r="A2040" t="s">
        <v>5838</v>
      </c>
      <c r="C2040" s="3">
        <v>45556</v>
      </c>
      <c r="D2040" s="11" t="s">
        <v>5839</v>
      </c>
      <c r="E2040" s="11" t="s">
        <v>5953</v>
      </c>
      <c r="G2040" s="7" t="s">
        <v>5840</v>
      </c>
      <c r="I2040" s="17">
        <v>36352</v>
      </c>
      <c r="K2040" s="4">
        <v>500</v>
      </c>
      <c r="L2040" s="11" t="s">
        <v>5842</v>
      </c>
      <c r="M2040" s="11" t="s">
        <v>5841</v>
      </c>
      <c r="O2040" s="4" t="s">
        <v>19</v>
      </c>
      <c r="R2040" s="4" t="s">
        <v>16</v>
      </c>
    </row>
    <row r="2041" spans="1:18" x14ac:dyDescent="0.3">
      <c r="A2041" t="s">
        <v>5843</v>
      </c>
      <c r="C2041" s="3">
        <v>45556</v>
      </c>
      <c r="D2041" s="11" t="s">
        <v>5845</v>
      </c>
      <c r="E2041" s="11" t="s">
        <v>5929</v>
      </c>
      <c r="G2041" s="7" t="s">
        <v>5902</v>
      </c>
      <c r="I2041" s="17">
        <v>30878</v>
      </c>
      <c r="K2041" s="4">
        <v>2000</v>
      </c>
      <c r="L2041" s="11" t="s">
        <v>5930</v>
      </c>
      <c r="M2041" s="11" t="s">
        <v>5847</v>
      </c>
      <c r="O2041" s="4" t="s">
        <v>19</v>
      </c>
      <c r="R2041" s="4" t="s">
        <v>16</v>
      </c>
    </row>
    <row r="2042" spans="1:18" x14ac:dyDescent="0.3">
      <c r="A2042" t="s">
        <v>5851</v>
      </c>
      <c r="C2042" s="3">
        <v>45558</v>
      </c>
      <c r="D2042" s="11" t="s">
        <v>5852</v>
      </c>
      <c r="E2042" s="11" t="s">
        <v>5892</v>
      </c>
      <c r="G2042" s="7" t="s">
        <v>5853</v>
      </c>
      <c r="I2042" s="17">
        <v>30260</v>
      </c>
      <c r="K2042" s="4">
        <v>100</v>
      </c>
      <c r="L2042" s="11" t="s">
        <v>5854</v>
      </c>
      <c r="M2042" s="11" t="s">
        <v>5855</v>
      </c>
      <c r="O2042" s="4" t="s">
        <v>19</v>
      </c>
      <c r="R2042" s="4" t="s">
        <v>16</v>
      </c>
    </row>
    <row r="2043" spans="1:18" x14ac:dyDescent="0.3">
      <c r="A2043" t="s">
        <v>5856</v>
      </c>
      <c r="C2043" s="3">
        <v>45559</v>
      </c>
      <c r="D2043" s="11" t="s">
        <v>5860</v>
      </c>
      <c r="E2043" s="11" t="s">
        <v>5915</v>
      </c>
      <c r="G2043" s="7" t="s">
        <v>5857</v>
      </c>
      <c r="I2043" s="17">
        <v>38849</v>
      </c>
      <c r="K2043" s="4">
        <v>100</v>
      </c>
      <c r="L2043" s="11" t="s">
        <v>5858</v>
      </c>
      <c r="M2043" s="11" t="s">
        <v>5859</v>
      </c>
      <c r="O2043" s="4" t="s">
        <v>19</v>
      </c>
      <c r="R2043" s="4" t="s">
        <v>2525</v>
      </c>
    </row>
    <row r="2044" spans="1:18" x14ac:dyDescent="0.3">
      <c r="A2044" t="s">
        <v>5861</v>
      </c>
      <c r="C2044" s="3">
        <v>45559</v>
      </c>
      <c r="D2044" s="11" t="s">
        <v>5862</v>
      </c>
      <c r="E2044" s="11" t="s">
        <v>5892</v>
      </c>
      <c r="G2044" s="7" t="s">
        <v>5863</v>
      </c>
      <c r="I2044" s="17">
        <v>37904</v>
      </c>
      <c r="K2044" s="4">
        <v>1000</v>
      </c>
      <c r="L2044" s="11" t="s">
        <v>5864</v>
      </c>
      <c r="M2044" s="11" t="s">
        <v>5865</v>
      </c>
      <c r="O2044" s="4" t="s">
        <v>19</v>
      </c>
      <c r="R2044" s="4" t="s">
        <v>19</v>
      </c>
    </row>
    <row r="2045" spans="1:18" x14ac:dyDescent="0.3">
      <c r="A2045" t="s">
        <v>5866</v>
      </c>
      <c r="C2045" s="3">
        <v>45559</v>
      </c>
      <c r="D2045" s="11" t="s">
        <v>5867</v>
      </c>
      <c r="E2045" s="11" t="s">
        <v>5915</v>
      </c>
      <c r="G2045" s="7" t="s">
        <v>5868</v>
      </c>
      <c r="I2045" s="17">
        <v>36161</v>
      </c>
      <c r="K2045" s="4">
        <v>500</v>
      </c>
      <c r="L2045" s="11" t="s">
        <v>5869</v>
      </c>
      <c r="M2045" s="11" t="s">
        <v>5870</v>
      </c>
      <c r="O2045" s="4" t="s">
        <v>19</v>
      </c>
      <c r="R2045" s="4" t="s">
        <v>19</v>
      </c>
    </row>
    <row r="2046" spans="1:18" x14ac:dyDescent="0.3">
      <c r="A2046" t="s">
        <v>5871</v>
      </c>
      <c r="C2046" s="3">
        <v>45559</v>
      </c>
      <c r="D2046" s="11" t="s">
        <v>5872</v>
      </c>
      <c r="E2046" s="11" t="s">
        <v>5929</v>
      </c>
      <c r="G2046" s="7" t="s">
        <v>5873</v>
      </c>
      <c r="I2046" s="17">
        <v>33479</v>
      </c>
      <c r="K2046" s="4">
        <v>500</v>
      </c>
      <c r="L2046" s="11" t="s">
        <v>5874</v>
      </c>
      <c r="M2046" s="11" t="s">
        <v>5662</v>
      </c>
      <c r="O2046" s="4" t="s">
        <v>19</v>
      </c>
      <c r="R2046" s="4" t="s">
        <v>16</v>
      </c>
    </row>
    <row r="2047" spans="1:18" x14ac:dyDescent="0.3">
      <c r="A2047" t="s">
        <v>5877</v>
      </c>
      <c r="C2047" s="3">
        <v>45559</v>
      </c>
      <c r="D2047" s="11" t="s">
        <v>5878</v>
      </c>
      <c r="E2047" s="11" t="s">
        <v>5107</v>
      </c>
      <c r="G2047" s="7" t="s">
        <v>5879</v>
      </c>
      <c r="I2047" s="17">
        <v>36063</v>
      </c>
      <c r="K2047" s="4">
        <v>500</v>
      </c>
      <c r="L2047" s="11" t="s">
        <v>5880</v>
      </c>
      <c r="M2047" s="11" t="s">
        <v>5890</v>
      </c>
      <c r="O2047" s="4" t="s">
        <v>19</v>
      </c>
      <c r="R2047" s="4" t="s">
        <v>16</v>
      </c>
    </row>
    <row r="2048" spans="1:18" x14ac:dyDescent="0.3">
      <c r="A2048" t="s">
        <v>5882</v>
      </c>
      <c r="C2048" s="3">
        <v>45559</v>
      </c>
      <c r="D2048" s="11" t="s">
        <v>5883</v>
      </c>
      <c r="E2048" s="11" t="s">
        <v>5929</v>
      </c>
      <c r="G2048" s="7" t="s">
        <v>5884</v>
      </c>
      <c r="I2048" s="17">
        <v>36180</v>
      </c>
      <c r="K2048" s="4">
        <v>300</v>
      </c>
      <c r="L2048" s="11" t="s">
        <v>5885</v>
      </c>
      <c r="M2048" s="11" t="s">
        <v>5886</v>
      </c>
      <c r="O2048" s="4" t="s">
        <v>19</v>
      </c>
      <c r="R2048" s="4" t="s">
        <v>16</v>
      </c>
    </row>
    <row r="2049" spans="1:18" x14ac:dyDescent="0.3">
      <c r="A2049" t="s">
        <v>5887</v>
      </c>
      <c r="C2049" s="3">
        <v>45559</v>
      </c>
      <c r="D2049" s="11" t="s">
        <v>5888</v>
      </c>
      <c r="E2049" s="11" t="s">
        <v>5929</v>
      </c>
      <c r="G2049" s="7" t="s">
        <v>5889</v>
      </c>
      <c r="I2049" s="17">
        <v>30074</v>
      </c>
      <c r="K2049" s="4">
        <v>300</v>
      </c>
      <c r="L2049" s="11" t="s">
        <v>5891</v>
      </c>
      <c r="M2049" s="11" t="s">
        <v>5886</v>
      </c>
      <c r="O2049" s="4" t="s">
        <v>19</v>
      </c>
      <c r="R2049" s="4" t="s">
        <v>16</v>
      </c>
    </row>
    <row r="2050" spans="1:18" x14ac:dyDescent="0.3">
      <c r="A2050" t="s">
        <v>5903</v>
      </c>
      <c r="C2050" s="3">
        <v>45559</v>
      </c>
      <c r="D2050" s="11" t="s">
        <v>5904</v>
      </c>
      <c r="E2050" s="11" t="s">
        <v>5107</v>
      </c>
      <c r="G2050" s="7" t="s">
        <v>5905</v>
      </c>
      <c r="I2050" s="17">
        <v>35169</v>
      </c>
      <c r="K2050" s="4">
        <v>500</v>
      </c>
      <c r="L2050" s="11" t="s">
        <v>5906</v>
      </c>
      <c r="M2050" s="11" t="s">
        <v>5907</v>
      </c>
      <c r="O2050" s="4" t="s">
        <v>19</v>
      </c>
      <c r="R2050" s="4" t="s">
        <v>16</v>
      </c>
    </row>
    <row r="2051" spans="1:18" x14ac:dyDescent="0.3">
      <c r="A2051" t="s">
        <v>5910</v>
      </c>
      <c r="C2051" s="3">
        <v>45559</v>
      </c>
      <c r="D2051" s="11" t="s">
        <v>5911</v>
      </c>
      <c r="E2051" s="11" t="s">
        <v>5964</v>
      </c>
      <c r="G2051" s="7" t="s">
        <v>5912</v>
      </c>
      <c r="I2051" s="17">
        <v>35236</v>
      </c>
      <c r="K2051" s="4">
        <v>200</v>
      </c>
      <c r="L2051" s="11" t="s">
        <v>5913</v>
      </c>
      <c r="M2051" s="11" t="s">
        <v>5914</v>
      </c>
      <c r="O2051" s="4" t="s">
        <v>19</v>
      </c>
      <c r="R2051" s="4" t="s">
        <v>16</v>
      </c>
    </row>
    <row r="2052" spans="1:18" x14ac:dyDescent="0.3">
      <c r="A2052" t="s">
        <v>5916</v>
      </c>
      <c r="C2052" s="3">
        <v>45560</v>
      </c>
      <c r="D2052" s="11" t="s">
        <v>5917</v>
      </c>
      <c r="E2052" s="11" t="s">
        <v>5964</v>
      </c>
      <c r="G2052" s="7" t="s">
        <v>836</v>
      </c>
      <c r="I2052" s="17">
        <v>41275</v>
      </c>
      <c r="K2052" s="4">
        <v>100</v>
      </c>
      <c r="L2052" s="11" t="s">
        <v>5918</v>
      </c>
      <c r="M2052" s="11" t="s">
        <v>5923</v>
      </c>
      <c r="O2052" s="4" t="s">
        <v>19</v>
      </c>
      <c r="R2052" s="4" t="s">
        <v>19</v>
      </c>
    </row>
    <row r="2053" spans="1:18" x14ac:dyDescent="0.3">
      <c r="A2053" t="s">
        <v>5919</v>
      </c>
      <c r="C2053" s="3">
        <v>45560</v>
      </c>
      <c r="D2053" s="11" t="s">
        <v>5922</v>
      </c>
      <c r="E2053" s="11" t="s">
        <v>5964</v>
      </c>
      <c r="G2053" s="7" t="s">
        <v>5920</v>
      </c>
      <c r="I2053" s="17">
        <v>41275</v>
      </c>
      <c r="K2053" s="4">
        <v>100</v>
      </c>
      <c r="L2053" s="11" t="s">
        <v>5921</v>
      </c>
      <c r="M2053" s="11" t="s">
        <v>5923</v>
      </c>
      <c r="O2053" s="4" t="s">
        <v>19</v>
      </c>
      <c r="R2053" s="4" t="s">
        <v>19</v>
      </c>
    </row>
    <row r="2054" spans="1:18" x14ac:dyDescent="0.3">
      <c r="A2054" t="s">
        <v>5924</v>
      </c>
      <c r="C2054" s="3">
        <v>45561</v>
      </c>
      <c r="D2054" s="11" t="s">
        <v>5926</v>
      </c>
      <c r="E2054" s="11" t="s">
        <v>5964</v>
      </c>
      <c r="G2054" s="7" t="s">
        <v>5925</v>
      </c>
      <c r="I2054" s="17">
        <v>26299</v>
      </c>
      <c r="K2054" s="4">
        <v>500</v>
      </c>
      <c r="L2054" s="11" t="s">
        <v>5927</v>
      </c>
      <c r="M2054" s="11" t="s">
        <v>5928</v>
      </c>
      <c r="O2054" s="4" t="s">
        <v>19</v>
      </c>
      <c r="R2054" s="4" t="s">
        <v>14</v>
      </c>
    </row>
    <row r="2055" spans="1:18" x14ac:dyDescent="0.3">
      <c r="A2055" t="s">
        <v>5931</v>
      </c>
      <c r="C2055" s="3">
        <v>45561</v>
      </c>
      <c r="D2055" s="11" t="s">
        <v>5935</v>
      </c>
      <c r="E2055" s="11" t="s">
        <v>5929</v>
      </c>
      <c r="G2055" s="7" t="s">
        <v>115</v>
      </c>
      <c r="I2055" s="17">
        <v>38638</v>
      </c>
      <c r="K2055" s="4">
        <v>100</v>
      </c>
      <c r="L2055" s="11" t="s">
        <v>5932</v>
      </c>
      <c r="M2055" s="11" t="s">
        <v>5933</v>
      </c>
      <c r="O2055" s="4" t="s">
        <v>19</v>
      </c>
      <c r="R2055" s="4" t="s">
        <v>19</v>
      </c>
    </row>
    <row r="2056" spans="1:18" x14ac:dyDescent="0.3">
      <c r="A2056" t="s">
        <v>5936</v>
      </c>
      <c r="C2056" s="3">
        <v>45561</v>
      </c>
      <c r="D2056" s="11" t="s">
        <v>5937</v>
      </c>
      <c r="E2056" s="11" t="s">
        <v>5107</v>
      </c>
      <c r="G2056" s="7" t="s">
        <v>5938</v>
      </c>
      <c r="I2056" s="17">
        <v>24672</v>
      </c>
      <c r="K2056" s="4">
        <v>2000</v>
      </c>
      <c r="L2056" s="11" t="s">
        <v>5939</v>
      </c>
      <c r="M2056" s="11" t="s">
        <v>5940</v>
      </c>
      <c r="O2056" s="4" t="s">
        <v>19</v>
      </c>
      <c r="R2056" s="4" t="s">
        <v>16</v>
      </c>
    </row>
    <row r="2057" spans="1:18" x14ac:dyDescent="0.3">
      <c r="A2057" t="s">
        <v>5941</v>
      </c>
      <c r="C2057" s="3">
        <v>45562</v>
      </c>
      <c r="D2057" s="11" t="s">
        <v>5942</v>
      </c>
      <c r="E2057" s="11" t="s">
        <v>6030</v>
      </c>
      <c r="G2057" s="7" t="s">
        <v>5943</v>
      </c>
      <c r="I2057" s="17">
        <v>29904</v>
      </c>
      <c r="K2057" s="4">
        <v>200</v>
      </c>
      <c r="L2057" s="11" t="s">
        <v>5944</v>
      </c>
      <c r="M2057" s="11" t="s">
        <v>5945</v>
      </c>
      <c r="O2057" s="4" t="s">
        <v>19</v>
      </c>
      <c r="R2057" s="4" t="s">
        <v>16</v>
      </c>
    </row>
    <row r="2058" spans="1:18" x14ac:dyDescent="0.3">
      <c r="A2058" t="s">
        <v>5948</v>
      </c>
      <c r="C2058" s="3">
        <v>45562</v>
      </c>
      <c r="D2058" s="11" t="s">
        <v>5949</v>
      </c>
      <c r="E2058" s="11" t="s">
        <v>5107</v>
      </c>
      <c r="G2058" s="7" t="s">
        <v>5950</v>
      </c>
      <c r="I2058" s="17">
        <v>30395</v>
      </c>
      <c r="K2058" s="4">
        <v>500</v>
      </c>
      <c r="L2058" s="11" t="s">
        <v>5951</v>
      </c>
      <c r="M2058" s="11" t="s">
        <v>5952</v>
      </c>
      <c r="O2058" s="4" t="s">
        <v>19</v>
      </c>
      <c r="R2058" s="4" t="s">
        <v>16</v>
      </c>
    </row>
    <row r="2059" spans="1:18" x14ac:dyDescent="0.3">
      <c r="A2059" t="s">
        <v>5954</v>
      </c>
      <c r="C2059" s="3">
        <v>45562</v>
      </c>
      <c r="D2059" s="11" t="s">
        <v>5955</v>
      </c>
      <c r="E2059" s="11" t="s">
        <v>6046</v>
      </c>
      <c r="G2059" s="7" t="s">
        <v>5956</v>
      </c>
      <c r="I2059" s="17">
        <v>32006</v>
      </c>
      <c r="K2059" s="4">
        <v>200</v>
      </c>
      <c r="L2059" s="11" t="s">
        <v>5957</v>
      </c>
      <c r="M2059" s="11" t="s">
        <v>5958</v>
      </c>
      <c r="O2059" s="4" t="s">
        <v>19</v>
      </c>
      <c r="R2059" s="4" t="s">
        <v>16</v>
      </c>
    </row>
    <row r="2060" spans="1:18" x14ac:dyDescent="0.3">
      <c r="A2060" t="s">
        <v>5959</v>
      </c>
      <c r="C2060" s="3">
        <v>45562</v>
      </c>
      <c r="D2060" s="11" t="s">
        <v>5961</v>
      </c>
      <c r="E2060" s="11" t="s">
        <v>6030</v>
      </c>
      <c r="G2060" s="7" t="s">
        <v>3923</v>
      </c>
      <c r="I2060" s="17">
        <v>32143</v>
      </c>
      <c r="K2060" s="4">
        <v>200</v>
      </c>
      <c r="L2060" s="11" t="s">
        <v>5960</v>
      </c>
      <c r="M2060" s="11" t="s">
        <v>6045</v>
      </c>
      <c r="O2060" s="4" t="s">
        <v>19</v>
      </c>
      <c r="R2060" s="4" t="s">
        <v>16</v>
      </c>
    </row>
    <row r="2061" spans="1:18" x14ac:dyDescent="0.3">
      <c r="A2061" t="s">
        <v>5965</v>
      </c>
      <c r="C2061" s="3">
        <v>45563</v>
      </c>
      <c r="D2061" s="11" t="s">
        <v>5966</v>
      </c>
      <c r="E2061" s="11" t="s">
        <v>6030</v>
      </c>
      <c r="G2061" s="7" t="s">
        <v>5967</v>
      </c>
      <c r="I2061" s="17">
        <v>24473</v>
      </c>
      <c r="K2061" s="4">
        <v>500</v>
      </c>
      <c r="L2061" s="11" t="s">
        <v>5968</v>
      </c>
      <c r="M2061" s="11" t="s">
        <v>5969</v>
      </c>
      <c r="O2061" s="4" t="s">
        <v>19</v>
      </c>
      <c r="R2061" s="4" t="s">
        <v>16</v>
      </c>
    </row>
    <row r="2062" spans="1:18" x14ac:dyDescent="0.3">
      <c r="A2062" t="s">
        <v>5970</v>
      </c>
      <c r="C2062" s="3">
        <v>45563</v>
      </c>
      <c r="D2062" s="11" t="s">
        <v>5971</v>
      </c>
      <c r="E2062" s="11" t="s">
        <v>5107</v>
      </c>
      <c r="G2062" s="7" t="s">
        <v>5972</v>
      </c>
      <c r="I2062" s="17">
        <v>25569</v>
      </c>
      <c r="K2062" s="4">
        <v>200</v>
      </c>
      <c r="L2062" s="11" t="s">
        <v>5973</v>
      </c>
      <c r="M2062" s="11" t="s">
        <v>5974</v>
      </c>
      <c r="O2062" s="4" t="s">
        <v>19</v>
      </c>
      <c r="R2062" s="4" t="s">
        <v>19</v>
      </c>
    </row>
    <row r="2063" spans="1:18" x14ac:dyDescent="0.3">
      <c r="A2063" t="s">
        <v>5975</v>
      </c>
      <c r="C2063" s="3">
        <v>45563</v>
      </c>
      <c r="D2063" s="11" t="s">
        <v>5976</v>
      </c>
      <c r="E2063" s="11" t="s">
        <v>6175</v>
      </c>
      <c r="G2063" s="7" t="s">
        <v>5977</v>
      </c>
      <c r="I2063" s="17">
        <v>34346</v>
      </c>
      <c r="K2063" s="4">
        <v>500</v>
      </c>
      <c r="L2063" s="11" t="s">
        <v>5978</v>
      </c>
      <c r="M2063" s="11" t="s">
        <v>5979</v>
      </c>
      <c r="O2063" s="4" t="s">
        <v>19</v>
      </c>
      <c r="R2063" s="4" t="s">
        <v>16</v>
      </c>
    </row>
    <row r="2064" spans="1:18" x14ac:dyDescent="0.3">
      <c r="A2064" t="s">
        <v>5992</v>
      </c>
      <c r="C2064" s="3">
        <v>45565</v>
      </c>
      <c r="D2064" s="11" t="s">
        <v>5995</v>
      </c>
      <c r="E2064" s="11" t="s">
        <v>6030</v>
      </c>
      <c r="G2064" s="7" t="s">
        <v>5993</v>
      </c>
      <c r="I2064" s="17">
        <v>27006</v>
      </c>
      <c r="K2064" s="4">
        <v>100</v>
      </c>
      <c r="L2064" s="11" t="s">
        <v>5994</v>
      </c>
      <c r="M2064" s="11" t="s">
        <v>6032</v>
      </c>
      <c r="O2064" s="4" t="s">
        <v>19</v>
      </c>
      <c r="R2064" s="4" t="s">
        <v>16</v>
      </c>
    </row>
    <row r="2065" spans="1:18" x14ac:dyDescent="0.3">
      <c r="A2065" t="s">
        <v>5998</v>
      </c>
      <c r="C2065" s="3">
        <v>45565</v>
      </c>
      <c r="D2065" s="11" t="s">
        <v>5999</v>
      </c>
      <c r="E2065" s="11" t="s">
        <v>6265</v>
      </c>
      <c r="G2065" s="7" t="s">
        <v>6000</v>
      </c>
      <c r="I2065" s="17">
        <v>25299</v>
      </c>
      <c r="K2065" s="4">
        <v>100</v>
      </c>
      <c r="L2065" s="11" t="s">
        <v>6001</v>
      </c>
      <c r="M2065" s="11" t="s">
        <v>6002</v>
      </c>
      <c r="O2065" s="4" t="s">
        <v>19</v>
      </c>
      <c r="R2065" s="4" t="s">
        <v>16</v>
      </c>
    </row>
    <row r="2066" spans="1:18" x14ac:dyDescent="0.3">
      <c r="A2066" t="s">
        <v>6003</v>
      </c>
      <c r="C2066" s="3">
        <v>45565</v>
      </c>
      <c r="D2066" s="11" t="s">
        <v>6004</v>
      </c>
      <c r="E2066" s="11" t="s">
        <v>6265</v>
      </c>
      <c r="G2066" s="7" t="s">
        <v>6007</v>
      </c>
      <c r="I2066" s="17">
        <v>22507</v>
      </c>
      <c r="K2066" s="4">
        <v>100</v>
      </c>
      <c r="L2066" s="11" t="s">
        <v>6005</v>
      </c>
      <c r="M2066" s="11" t="s">
        <v>6006</v>
      </c>
      <c r="O2066" s="4" t="s">
        <v>19</v>
      </c>
      <c r="R2066" s="4" t="s">
        <v>16</v>
      </c>
    </row>
    <row r="2067" spans="1:18" x14ac:dyDescent="0.3">
      <c r="A2067" t="s">
        <v>6008</v>
      </c>
      <c r="C2067" s="3">
        <v>45566</v>
      </c>
      <c r="D2067" s="11" t="s">
        <v>6009</v>
      </c>
      <c r="E2067" s="11" t="s">
        <v>6070</v>
      </c>
      <c r="G2067" s="7" t="s">
        <v>6010</v>
      </c>
      <c r="I2067" s="17">
        <v>35560</v>
      </c>
      <c r="K2067" s="4">
        <v>100</v>
      </c>
      <c r="L2067" s="11" t="s">
        <v>6011</v>
      </c>
      <c r="M2067" s="11" t="s">
        <v>6012</v>
      </c>
      <c r="O2067" s="4" t="s">
        <v>19</v>
      </c>
      <c r="R2067" s="4" t="s">
        <v>16</v>
      </c>
    </row>
    <row r="2068" spans="1:18" x14ac:dyDescent="0.3">
      <c r="A2068" t="s">
        <v>6013</v>
      </c>
      <c r="C2068" s="3">
        <v>45566</v>
      </c>
      <c r="D2068" s="123" t="s">
        <v>6014</v>
      </c>
      <c r="E2068" s="11" t="s">
        <v>6101</v>
      </c>
      <c r="G2068" s="7" t="s">
        <v>6015</v>
      </c>
      <c r="I2068" s="17">
        <v>44197</v>
      </c>
      <c r="K2068" s="4">
        <v>2000</v>
      </c>
      <c r="L2068" s="11" t="s">
        <v>6016</v>
      </c>
      <c r="M2068" s="11" t="s">
        <v>6017</v>
      </c>
      <c r="O2068" s="4" t="s">
        <v>19</v>
      </c>
      <c r="R2068" s="4" t="s">
        <v>16</v>
      </c>
    </row>
    <row r="2069" spans="1:18" x14ac:dyDescent="0.3">
      <c r="A2069" t="s">
        <v>6020</v>
      </c>
      <c r="C2069" s="3">
        <v>45566</v>
      </c>
      <c r="D2069" s="11" t="s">
        <v>6021</v>
      </c>
      <c r="E2069" s="11" t="s">
        <v>6070</v>
      </c>
      <c r="G2069" s="7" t="s">
        <v>6022</v>
      </c>
      <c r="I2069" s="17">
        <v>32878</v>
      </c>
      <c r="K2069" s="4">
        <v>200</v>
      </c>
      <c r="L2069" s="11" t="s">
        <v>6023</v>
      </c>
      <c r="M2069" s="11" t="s">
        <v>6024</v>
      </c>
      <c r="O2069" s="4" t="s">
        <v>19</v>
      </c>
      <c r="R2069" s="4" t="s">
        <v>16</v>
      </c>
    </row>
    <row r="2070" spans="1:18" x14ac:dyDescent="0.3">
      <c r="A2070" t="s">
        <v>6025</v>
      </c>
      <c r="C2070" s="3">
        <v>45566</v>
      </c>
      <c r="D2070" s="11" t="s">
        <v>6026</v>
      </c>
      <c r="E2070" s="11" t="s">
        <v>6101</v>
      </c>
      <c r="G2070" s="7" t="s">
        <v>6027</v>
      </c>
      <c r="I2070" s="17">
        <v>29964</v>
      </c>
      <c r="K2070" s="4">
        <v>200</v>
      </c>
      <c r="L2070" s="11" t="s">
        <v>6028</v>
      </c>
      <c r="M2070" s="11" t="s">
        <v>6029</v>
      </c>
      <c r="O2070" s="4" t="s">
        <v>19</v>
      </c>
      <c r="R2070" s="4" t="s">
        <v>16</v>
      </c>
    </row>
    <row r="2071" spans="1:18" x14ac:dyDescent="0.3">
      <c r="A2071" t="s">
        <v>6034</v>
      </c>
      <c r="C2071" s="3">
        <v>45566</v>
      </c>
      <c r="D2071" s="11" t="s">
        <v>6035</v>
      </c>
      <c r="E2071" s="11" t="s">
        <v>6070</v>
      </c>
      <c r="G2071" s="7" t="s">
        <v>6036</v>
      </c>
      <c r="I2071" s="17">
        <v>36824</v>
      </c>
      <c r="K2071" s="4">
        <v>100</v>
      </c>
      <c r="L2071" s="11" t="s">
        <v>6037</v>
      </c>
      <c r="M2071" s="11" t="s">
        <v>6038</v>
      </c>
      <c r="O2071" s="4" t="s">
        <v>19</v>
      </c>
      <c r="R2071" s="4" t="s">
        <v>19</v>
      </c>
    </row>
    <row r="2072" spans="1:18" x14ac:dyDescent="0.3">
      <c r="A2072" t="s">
        <v>6039</v>
      </c>
      <c r="C2072" s="3">
        <v>45566</v>
      </c>
      <c r="D2072" s="11" t="s">
        <v>6040</v>
      </c>
      <c r="E2072" s="11" t="s">
        <v>6070</v>
      </c>
      <c r="G2072" s="7" t="s">
        <v>6041</v>
      </c>
      <c r="I2072" s="17">
        <v>28491</v>
      </c>
      <c r="K2072" s="4">
        <v>100</v>
      </c>
      <c r="L2072" s="11" t="s">
        <v>6042</v>
      </c>
      <c r="M2072" s="11" t="s">
        <v>6038</v>
      </c>
      <c r="O2072" s="4" t="s">
        <v>19</v>
      </c>
      <c r="R2072" s="4" t="s">
        <v>19</v>
      </c>
    </row>
    <row r="2073" spans="1:18" x14ac:dyDescent="0.3">
      <c r="A2073" t="s">
        <v>6048</v>
      </c>
      <c r="C2073" s="3">
        <v>45568</v>
      </c>
      <c r="D2073" s="11" t="s">
        <v>6049</v>
      </c>
      <c r="E2073" s="11" t="s">
        <v>6064</v>
      </c>
      <c r="G2073" s="7" t="s">
        <v>6050</v>
      </c>
      <c r="K2073" s="4">
        <v>100</v>
      </c>
      <c r="M2073" s="11" t="s">
        <v>6055</v>
      </c>
      <c r="O2073" s="4" t="s">
        <v>19</v>
      </c>
      <c r="R2073" s="4" t="s">
        <v>16</v>
      </c>
    </row>
    <row r="2074" spans="1:18" x14ac:dyDescent="0.3">
      <c r="A2074" t="s">
        <v>6051</v>
      </c>
      <c r="C2074" s="3">
        <v>45568</v>
      </c>
      <c r="D2074" s="11" t="s">
        <v>6052</v>
      </c>
      <c r="E2074" s="11" t="s">
        <v>6064</v>
      </c>
      <c r="G2074" s="7" t="s">
        <v>6053</v>
      </c>
      <c r="I2074" s="17">
        <v>39086</v>
      </c>
      <c r="K2074" s="4">
        <v>100</v>
      </c>
      <c r="L2074" s="11" t="s">
        <v>6054</v>
      </c>
      <c r="M2074" s="11" t="s">
        <v>6055</v>
      </c>
      <c r="O2074" s="4" t="s">
        <v>19</v>
      </c>
      <c r="R2074" s="4" t="s">
        <v>16</v>
      </c>
    </row>
    <row r="2075" spans="1:18" x14ac:dyDescent="0.3">
      <c r="A2075" t="s">
        <v>6056</v>
      </c>
      <c r="C2075" s="3">
        <v>45568</v>
      </c>
      <c r="D2075" s="11" t="s">
        <v>6057</v>
      </c>
      <c r="E2075" s="11" t="s">
        <v>6064</v>
      </c>
      <c r="G2075" s="7" t="s">
        <v>6059</v>
      </c>
      <c r="K2075" s="4">
        <v>100</v>
      </c>
      <c r="M2075" s="11" t="s">
        <v>6055</v>
      </c>
      <c r="O2075" s="4" t="s">
        <v>19</v>
      </c>
      <c r="R2075" s="4" t="s">
        <v>19</v>
      </c>
    </row>
    <row r="2076" spans="1:18" x14ac:dyDescent="0.3">
      <c r="A2076" t="s">
        <v>6060</v>
      </c>
      <c r="C2076" s="3">
        <v>45568</v>
      </c>
      <c r="D2076" s="11" t="s">
        <v>6061</v>
      </c>
      <c r="E2076" s="11" t="s">
        <v>6090</v>
      </c>
      <c r="G2076" s="7" t="s">
        <v>6062</v>
      </c>
      <c r="I2076" s="17">
        <v>40007</v>
      </c>
      <c r="K2076" s="4">
        <v>100</v>
      </c>
      <c r="L2076" s="11" t="s">
        <v>6063</v>
      </c>
      <c r="M2076" s="11" t="s">
        <v>6055</v>
      </c>
      <c r="O2076" s="4" t="s">
        <v>19</v>
      </c>
      <c r="R2076" s="4" t="s">
        <v>19</v>
      </c>
    </row>
    <row r="2077" spans="1:18" x14ac:dyDescent="0.3">
      <c r="A2077" t="s">
        <v>6065</v>
      </c>
      <c r="C2077" s="3">
        <v>45569</v>
      </c>
      <c r="D2077" s="11" t="s">
        <v>6066</v>
      </c>
      <c r="E2077" s="11" t="s">
        <v>6095</v>
      </c>
      <c r="G2077" s="7" t="s">
        <v>6069</v>
      </c>
      <c r="I2077" s="17">
        <v>23346</v>
      </c>
      <c r="K2077" s="4">
        <v>200</v>
      </c>
      <c r="L2077" s="11" t="s">
        <v>6068</v>
      </c>
      <c r="M2077" s="11" t="s">
        <v>6067</v>
      </c>
      <c r="O2077" s="4" t="s">
        <v>19</v>
      </c>
      <c r="R2077" s="4" t="s">
        <v>16</v>
      </c>
    </row>
    <row r="2078" spans="1:18" x14ac:dyDescent="0.3">
      <c r="A2078" t="s">
        <v>6071</v>
      </c>
      <c r="C2078" s="3">
        <v>45569</v>
      </c>
      <c r="D2078" s="11" t="s">
        <v>6072</v>
      </c>
      <c r="E2078" s="11" t="s">
        <v>6095</v>
      </c>
      <c r="G2078" s="7" t="s">
        <v>6093</v>
      </c>
      <c r="I2078" s="17">
        <v>41382</v>
      </c>
      <c r="K2078" s="4">
        <v>100</v>
      </c>
      <c r="L2078" s="11" t="s">
        <v>6094</v>
      </c>
      <c r="O2078" s="4" t="s">
        <v>19</v>
      </c>
      <c r="R2078" s="4" t="s">
        <v>19</v>
      </c>
    </row>
    <row r="2079" spans="1:18" x14ac:dyDescent="0.3">
      <c r="A2079" t="s">
        <v>6074</v>
      </c>
      <c r="C2079" s="3">
        <v>45569</v>
      </c>
      <c r="D2079" s="11" t="s">
        <v>6075</v>
      </c>
      <c r="E2079" s="11" t="s">
        <v>6101</v>
      </c>
      <c r="G2079" s="7" t="s">
        <v>6076</v>
      </c>
      <c r="I2079" s="17">
        <v>31613</v>
      </c>
      <c r="K2079" s="4">
        <v>100</v>
      </c>
      <c r="L2079" s="11" t="s">
        <v>6078</v>
      </c>
      <c r="M2079" s="11" t="s">
        <v>6077</v>
      </c>
      <c r="N2079" s="11" t="s">
        <v>6079</v>
      </c>
      <c r="O2079" s="4" t="s">
        <v>19</v>
      </c>
      <c r="R2079" s="4" t="s">
        <v>16</v>
      </c>
    </row>
    <row r="2080" spans="1:18" x14ac:dyDescent="0.3">
      <c r="A2080" t="s">
        <v>6082</v>
      </c>
      <c r="C2080" s="3">
        <v>45570</v>
      </c>
      <c r="D2080" s="11" t="s">
        <v>6083</v>
      </c>
      <c r="E2080" s="11" t="s">
        <v>6101</v>
      </c>
      <c r="G2080" s="7" t="s">
        <v>6084</v>
      </c>
      <c r="I2080" s="17">
        <v>33772</v>
      </c>
      <c r="K2080" s="4">
        <v>500</v>
      </c>
      <c r="L2080" s="11" t="s">
        <v>6085</v>
      </c>
      <c r="M2080" s="11" t="s">
        <v>6086</v>
      </c>
      <c r="O2080" s="4" t="s">
        <v>19</v>
      </c>
      <c r="R2080" s="4" t="s">
        <v>16</v>
      </c>
    </row>
    <row r="2081" spans="1:18" x14ac:dyDescent="0.3">
      <c r="A2081" t="s">
        <v>6087</v>
      </c>
      <c r="C2081" s="3">
        <v>45570</v>
      </c>
      <c r="D2081" s="11" t="s">
        <v>6088</v>
      </c>
      <c r="E2081" s="11" t="s">
        <v>6139</v>
      </c>
      <c r="G2081" s="7" t="s">
        <v>6089</v>
      </c>
      <c r="I2081" s="17">
        <v>30317</v>
      </c>
      <c r="K2081" s="4">
        <v>100</v>
      </c>
      <c r="M2081" s="11" t="s">
        <v>6140</v>
      </c>
      <c r="O2081" s="4" t="s">
        <v>19</v>
      </c>
      <c r="R2081" s="4" t="s">
        <v>16</v>
      </c>
    </row>
    <row r="2082" spans="1:18" x14ac:dyDescent="0.3">
      <c r="C2082" s="3">
        <v>45572</v>
      </c>
      <c r="D2082" s="123" t="s">
        <v>6121</v>
      </c>
      <c r="E2082" s="11" t="s">
        <v>5107</v>
      </c>
      <c r="G2082" s="7" t="s">
        <v>6122</v>
      </c>
      <c r="I2082" s="17">
        <v>27075</v>
      </c>
      <c r="K2082" s="4">
        <v>2000</v>
      </c>
      <c r="L2082" s="11" t="s">
        <v>6123</v>
      </c>
      <c r="M2082" s="11" t="s">
        <v>6309</v>
      </c>
      <c r="O2082" s="4" t="s">
        <v>19</v>
      </c>
      <c r="R2082" s="4" t="s">
        <v>16</v>
      </c>
    </row>
    <row r="2083" spans="1:18" x14ac:dyDescent="0.3">
      <c r="A2083" t="s">
        <v>6104</v>
      </c>
      <c r="C2083" s="3">
        <v>45572</v>
      </c>
      <c r="D2083" s="11" t="s">
        <v>6105</v>
      </c>
      <c r="E2083" s="11" t="s">
        <v>5107</v>
      </c>
      <c r="G2083" s="7" t="s">
        <v>6106</v>
      </c>
      <c r="I2083" s="17">
        <v>35151</v>
      </c>
      <c r="K2083" s="4">
        <v>300</v>
      </c>
      <c r="L2083" s="11" t="s">
        <v>6126</v>
      </c>
      <c r="M2083" s="11" t="s">
        <v>6107</v>
      </c>
      <c r="O2083" s="4" t="s">
        <v>19</v>
      </c>
      <c r="R2083" s="4" t="s">
        <v>19</v>
      </c>
    </row>
    <row r="2084" spans="1:18" x14ac:dyDescent="0.3">
      <c r="A2084" t="s">
        <v>6108</v>
      </c>
      <c r="C2084" s="3">
        <v>45572</v>
      </c>
      <c r="D2084" s="11" t="s">
        <v>6109</v>
      </c>
      <c r="E2084" s="11" t="s">
        <v>5107</v>
      </c>
      <c r="G2084" s="7" t="s">
        <v>6124</v>
      </c>
      <c r="I2084" s="17">
        <v>38965</v>
      </c>
      <c r="K2084" s="4">
        <v>100</v>
      </c>
      <c r="L2084" s="11" t="s">
        <v>6125</v>
      </c>
      <c r="M2084" s="11" t="s">
        <v>6110</v>
      </c>
      <c r="O2084" s="4" t="s">
        <v>19</v>
      </c>
      <c r="R2084" s="4" t="s">
        <v>19</v>
      </c>
    </row>
    <row r="2085" spans="1:18" x14ac:dyDescent="0.3">
      <c r="A2085" t="s">
        <v>6111</v>
      </c>
      <c r="C2085" s="3">
        <v>45572</v>
      </c>
      <c r="D2085" s="11" t="s">
        <v>6112</v>
      </c>
      <c r="E2085" s="11" t="s">
        <v>5107</v>
      </c>
      <c r="G2085" s="7" t="s">
        <v>4187</v>
      </c>
      <c r="I2085" s="17">
        <v>45503</v>
      </c>
      <c r="K2085" s="4">
        <v>450</v>
      </c>
      <c r="L2085" s="11" t="s">
        <v>6127</v>
      </c>
      <c r="M2085" s="11" t="s">
        <v>6113</v>
      </c>
      <c r="O2085" s="4" t="s">
        <v>19</v>
      </c>
      <c r="R2085" s="4" t="s">
        <v>16</v>
      </c>
    </row>
    <row r="2086" spans="1:18" x14ac:dyDescent="0.3">
      <c r="A2086" t="s">
        <v>6114</v>
      </c>
      <c r="C2086" s="3">
        <v>45572</v>
      </c>
      <c r="D2086" s="11" t="s">
        <v>6115</v>
      </c>
      <c r="E2086" s="11" t="s">
        <v>6139</v>
      </c>
      <c r="G2086" s="7" t="s">
        <v>339</v>
      </c>
      <c r="I2086" s="17">
        <v>31453</v>
      </c>
      <c r="K2086" s="4">
        <v>200</v>
      </c>
      <c r="L2086" s="11" t="s">
        <v>6128</v>
      </c>
      <c r="M2086" s="11" t="s">
        <v>6116</v>
      </c>
      <c r="O2086" s="4" t="s">
        <v>19</v>
      </c>
      <c r="R2086" s="4" t="s">
        <v>16</v>
      </c>
    </row>
    <row r="2087" spans="1:18" x14ac:dyDescent="0.3">
      <c r="A2087" t="s">
        <v>6117</v>
      </c>
      <c r="C2087" s="3">
        <v>45572</v>
      </c>
      <c r="D2087" s="11" t="s">
        <v>6120</v>
      </c>
      <c r="E2087" s="11" t="s">
        <v>6139</v>
      </c>
      <c r="G2087" s="7" t="s">
        <v>6118</v>
      </c>
      <c r="I2087" s="17">
        <v>31687</v>
      </c>
      <c r="K2087" s="4">
        <v>200</v>
      </c>
      <c r="L2087" s="11" t="s">
        <v>6129</v>
      </c>
      <c r="M2087" s="11" t="s">
        <v>6119</v>
      </c>
      <c r="O2087" s="4" t="s">
        <v>19</v>
      </c>
      <c r="R2087" s="4" t="s">
        <v>16</v>
      </c>
    </row>
    <row r="2088" spans="1:18" x14ac:dyDescent="0.3">
      <c r="A2088" t="s">
        <v>6130</v>
      </c>
      <c r="C2088" s="3">
        <v>45572</v>
      </c>
      <c r="D2088" s="11" t="s">
        <v>6131</v>
      </c>
      <c r="E2088" s="11" t="s">
        <v>7473</v>
      </c>
      <c r="G2088" s="7" t="s">
        <v>6132</v>
      </c>
      <c r="I2088" s="17">
        <v>37870</v>
      </c>
      <c r="K2088" s="4">
        <v>200</v>
      </c>
      <c r="L2088" s="11" t="s">
        <v>7474</v>
      </c>
      <c r="M2088" s="11" t="s">
        <v>6133</v>
      </c>
      <c r="O2088" s="4" t="s">
        <v>19</v>
      </c>
      <c r="R2088" s="4" t="s">
        <v>16</v>
      </c>
    </row>
    <row r="2089" spans="1:18" x14ac:dyDescent="0.3">
      <c r="A2089" t="s">
        <v>6141</v>
      </c>
      <c r="C2089" s="3">
        <v>45573</v>
      </c>
      <c r="D2089" s="11" t="s">
        <v>6142</v>
      </c>
      <c r="E2089" s="11" t="s">
        <v>6225</v>
      </c>
      <c r="G2089" s="7" t="s">
        <v>6143</v>
      </c>
      <c r="I2089" s="17">
        <v>40403</v>
      </c>
      <c r="K2089" s="4">
        <v>500</v>
      </c>
      <c r="L2089" s="11" t="s">
        <v>6145</v>
      </c>
      <c r="M2089" s="11" t="s">
        <v>6144</v>
      </c>
      <c r="O2089" s="4" t="s">
        <v>19</v>
      </c>
      <c r="R2089" s="4" t="s">
        <v>19</v>
      </c>
    </row>
    <row r="2090" spans="1:18" x14ac:dyDescent="0.3">
      <c r="A2090" t="s">
        <v>6158</v>
      </c>
      <c r="C2090" s="3">
        <v>45573</v>
      </c>
      <c r="D2090" s="11" t="s">
        <v>6148</v>
      </c>
      <c r="E2090" s="11" t="s">
        <v>6166</v>
      </c>
      <c r="G2090" s="7" t="s">
        <v>6149</v>
      </c>
      <c r="I2090" s="17">
        <v>22051</v>
      </c>
      <c r="K2090" s="4">
        <v>500</v>
      </c>
      <c r="L2090" s="11" t="s">
        <v>6151</v>
      </c>
      <c r="M2090" s="11" t="s">
        <v>6150</v>
      </c>
      <c r="O2090" s="4" t="s">
        <v>19</v>
      </c>
      <c r="R2090" s="4" t="s">
        <v>19</v>
      </c>
    </row>
    <row r="2091" spans="1:18" x14ac:dyDescent="0.3">
      <c r="A2091" t="s">
        <v>6159</v>
      </c>
      <c r="C2091" s="3">
        <v>45574</v>
      </c>
      <c r="D2091" s="11" t="s">
        <v>6160</v>
      </c>
      <c r="E2091" s="11" t="s">
        <v>5108</v>
      </c>
      <c r="G2091" s="7" t="s">
        <v>6161</v>
      </c>
      <c r="I2091" s="17">
        <v>36526</v>
      </c>
      <c r="K2091" s="4">
        <v>500</v>
      </c>
      <c r="L2091" s="11" t="s">
        <v>6162</v>
      </c>
      <c r="M2091" s="11" t="s">
        <v>6163</v>
      </c>
      <c r="O2091" s="4" t="s">
        <v>19</v>
      </c>
      <c r="R2091" s="4" t="s">
        <v>19</v>
      </c>
    </row>
    <row r="2092" spans="1:18" x14ac:dyDescent="0.3">
      <c r="A2092" t="s">
        <v>6147</v>
      </c>
      <c r="C2092" s="3">
        <v>45574</v>
      </c>
      <c r="D2092" s="11" t="s">
        <v>6164</v>
      </c>
      <c r="E2092" s="11" t="s">
        <v>6225</v>
      </c>
      <c r="G2092" s="7" t="s">
        <v>6165</v>
      </c>
      <c r="I2092" s="17">
        <v>39435</v>
      </c>
      <c r="K2092" s="4">
        <v>500</v>
      </c>
      <c r="O2092" s="4" t="s">
        <v>19</v>
      </c>
      <c r="R2092" s="4" t="s">
        <v>14</v>
      </c>
    </row>
    <row r="2093" spans="1:18" x14ac:dyDescent="0.3">
      <c r="A2093" t="s">
        <v>6168</v>
      </c>
      <c r="C2093" s="3">
        <v>45574</v>
      </c>
      <c r="D2093" s="11" t="s">
        <v>6169</v>
      </c>
      <c r="E2093" s="11" t="s">
        <v>6208</v>
      </c>
      <c r="G2093" s="7" t="s">
        <v>6170</v>
      </c>
      <c r="I2093" s="17">
        <v>34768</v>
      </c>
      <c r="K2093" s="4">
        <v>500</v>
      </c>
      <c r="L2093" s="11" t="s">
        <v>6171</v>
      </c>
      <c r="M2093" s="11" t="s">
        <v>6172</v>
      </c>
      <c r="O2093" s="4" t="s">
        <v>19</v>
      </c>
      <c r="R2093" s="4" t="s">
        <v>14</v>
      </c>
    </row>
    <row r="2094" spans="1:18" x14ac:dyDescent="0.3">
      <c r="A2094" t="s">
        <v>6179</v>
      </c>
      <c r="C2094" s="3">
        <v>45579</v>
      </c>
      <c r="D2094" s="11" t="s">
        <v>6180</v>
      </c>
      <c r="E2094" s="11" t="s">
        <v>6208</v>
      </c>
      <c r="G2094" s="7" t="s">
        <v>6181</v>
      </c>
      <c r="I2094" s="17">
        <v>34811</v>
      </c>
      <c r="K2094" s="4">
        <v>200</v>
      </c>
      <c r="L2094" s="11" t="s">
        <v>6182</v>
      </c>
      <c r="M2094" s="11" t="s">
        <v>6183</v>
      </c>
      <c r="O2094" s="4" t="s">
        <v>19</v>
      </c>
      <c r="R2094" s="4" t="s">
        <v>14</v>
      </c>
    </row>
    <row r="2095" spans="1:18" x14ac:dyDescent="0.3">
      <c r="A2095" t="s">
        <v>6184</v>
      </c>
      <c r="C2095" s="3">
        <v>45579</v>
      </c>
      <c r="D2095" s="11" t="s">
        <v>6185</v>
      </c>
      <c r="E2095" s="11" t="s">
        <v>6193</v>
      </c>
      <c r="G2095" s="7" t="s">
        <v>4725</v>
      </c>
      <c r="I2095" s="17">
        <v>32136</v>
      </c>
      <c r="K2095" s="4">
        <v>200</v>
      </c>
      <c r="L2095" s="11" t="s">
        <v>6186</v>
      </c>
      <c r="M2095" s="11" t="s">
        <v>6187</v>
      </c>
      <c r="O2095" s="4" t="s">
        <v>19</v>
      </c>
      <c r="R2095" s="4" t="s">
        <v>14</v>
      </c>
    </row>
    <row r="2096" spans="1:18" x14ac:dyDescent="0.3">
      <c r="A2096" t="s">
        <v>6188</v>
      </c>
      <c r="C2096" s="3">
        <v>45579</v>
      </c>
      <c r="D2096" s="123" t="s">
        <v>6196</v>
      </c>
      <c r="E2096" s="11" t="s">
        <v>6193</v>
      </c>
      <c r="G2096" s="7" t="s">
        <v>6190</v>
      </c>
      <c r="I2096" s="17">
        <v>35892</v>
      </c>
      <c r="K2096" s="4">
        <v>2000</v>
      </c>
      <c r="L2096" s="11" t="s">
        <v>6189</v>
      </c>
      <c r="M2096" s="11" t="s">
        <v>6197</v>
      </c>
      <c r="O2096" s="4" t="s">
        <v>19</v>
      </c>
      <c r="R2096" s="4" t="s">
        <v>14</v>
      </c>
    </row>
    <row r="2097" spans="1:18" x14ac:dyDescent="0.3">
      <c r="A2097" t="s">
        <v>6195</v>
      </c>
      <c r="C2097" s="3">
        <v>45579</v>
      </c>
      <c r="D2097" s="11" t="s">
        <v>6198</v>
      </c>
      <c r="E2097" s="11" t="s">
        <v>6348</v>
      </c>
      <c r="G2097" s="7" t="s">
        <v>784</v>
      </c>
      <c r="I2097" s="17">
        <v>34700</v>
      </c>
      <c r="K2097" s="4">
        <v>500</v>
      </c>
      <c r="L2097" s="11" t="s">
        <v>6350</v>
      </c>
      <c r="M2097" s="11" t="s">
        <v>6349</v>
      </c>
      <c r="O2097" s="4" t="s">
        <v>19</v>
      </c>
      <c r="R2097" s="4" t="s">
        <v>14</v>
      </c>
    </row>
    <row r="2098" spans="1:18" x14ac:dyDescent="0.3">
      <c r="A2098" t="s">
        <v>6204</v>
      </c>
      <c r="C2098" s="3">
        <v>45580</v>
      </c>
      <c r="D2098" s="60" t="s">
        <v>6205</v>
      </c>
      <c r="G2098" s="7" t="s">
        <v>6206</v>
      </c>
      <c r="I2098" s="17">
        <v>28896</v>
      </c>
      <c r="K2098" s="4">
        <v>100</v>
      </c>
      <c r="L2098" s="11" t="s">
        <v>6207</v>
      </c>
      <c r="M2098" s="11" t="s">
        <v>2259</v>
      </c>
      <c r="O2098" s="4" t="s">
        <v>19</v>
      </c>
      <c r="R2098" s="4" t="s">
        <v>14</v>
      </c>
    </row>
    <row r="2099" spans="1:18" x14ac:dyDescent="0.3">
      <c r="A2099" t="s">
        <v>6209</v>
      </c>
      <c r="C2099" s="3">
        <v>45580</v>
      </c>
      <c r="D2099" s="60" t="s">
        <v>6210</v>
      </c>
      <c r="E2099" s="11" t="s">
        <v>6265</v>
      </c>
      <c r="G2099" s="7" t="s">
        <v>6211</v>
      </c>
      <c r="I2099" s="17">
        <v>31818</v>
      </c>
      <c r="K2099" s="4">
        <v>200</v>
      </c>
      <c r="L2099" s="11" t="s">
        <v>6212</v>
      </c>
      <c r="M2099" s="11" t="s">
        <v>6213</v>
      </c>
      <c r="O2099" s="4" t="s">
        <v>19</v>
      </c>
      <c r="R2099" s="4" t="s">
        <v>2525</v>
      </c>
    </row>
    <row r="2100" spans="1:18" x14ac:dyDescent="0.3">
      <c r="A2100" t="s">
        <v>6214</v>
      </c>
      <c r="C2100" s="3">
        <v>45580</v>
      </c>
      <c r="D2100" s="60" t="s">
        <v>6215</v>
      </c>
      <c r="E2100" s="11" t="s">
        <v>6290</v>
      </c>
      <c r="G2100" s="7" t="s">
        <v>6216</v>
      </c>
      <c r="I2100" s="17">
        <v>38963</v>
      </c>
      <c r="K2100" s="4">
        <v>300</v>
      </c>
      <c r="L2100" s="11" t="s">
        <v>6217</v>
      </c>
      <c r="M2100" s="11" t="s">
        <v>6218</v>
      </c>
      <c r="O2100" s="4" t="s">
        <v>19</v>
      </c>
      <c r="R2100" s="4" t="s">
        <v>19</v>
      </c>
    </row>
    <row r="2101" spans="1:18" x14ac:dyDescent="0.3">
      <c r="A2101" t="s">
        <v>6220</v>
      </c>
      <c r="C2101" s="3">
        <v>45580</v>
      </c>
      <c r="D2101" s="60" t="s">
        <v>6221</v>
      </c>
      <c r="E2101" s="11" t="s">
        <v>6492</v>
      </c>
      <c r="G2101" s="7" t="s">
        <v>6222</v>
      </c>
      <c r="I2101" s="17">
        <v>38349</v>
      </c>
      <c r="K2101" s="4">
        <v>1000</v>
      </c>
      <c r="M2101" s="11" t="s">
        <v>6223</v>
      </c>
      <c r="O2101" s="4" t="s">
        <v>19</v>
      </c>
      <c r="R2101" s="4" t="s">
        <v>16</v>
      </c>
    </row>
    <row r="2102" spans="1:18" x14ac:dyDescent="0.3">
      <c r="A2102" t="s">
        <v>6226</v>
      </c>
      <c r="C2102" s="3">
        <v>45581</v>
      </c>
      <c r="D2102" s="11" t="s">
        <v>6227</v>
      </c>
      <c r="E2102" s="11" t="s">
        <v>6245</v>
      </c>
      <c r="G2102" s="7" t="s">
        <v>6228</v>
      </c>
      <c r="I2102" s="17">
        <v>18264</v>
      </c>
      <c r="K2102" s="4">
        <v>500</v>
      </c>
      <c r="L2102" s="11" t="s">
        <v>6229</v>
      </c>
      <c r="M2102" s="11" t="s">
        <v>6230</v>
      </c>
      <c r="O2102" s="4" t="s">
        <v>19</v>
      </c>
      <c r="R2102" s="4" t="s">
        <v>19</v>
      </c>
    </row>
    <row r="2103" spans="1:18" x14ac:dyDescent="0.3">
      <c r="A2103" t="s">
        <v>6232</v>
      </c>
      <c r="C2103" s="3">
        <v>45582</v>
      </c>
      <c r="D2103" s="60" t="s">
        <v>6233</v>
      </c>
      <c r="E2103" s="11" t="s">
        <v>6262</v>
      </c>
      <c r="G2103" s="7" t="s">
        <v>6234</v>
      </c>
      <c r="I2103" s="17">
        <v>32722</v>
      </c>
      <c r="K2103" s="4">
        <v>200</v>
      </c>
      <c r="L2103" s="11" t="s">
        <v>6263</v>
      </c>
      <c r="M2103" s="11" t="s">
        <v>6235</v>
      </c>
      <c r="O2103" s="4" t="s">
        <v>19</v>
      </c>
      <c r="R2103" s="4" t="s">
        <v>9466</v>
      </c>
    </row>
    <row r="2104" spans="1:18" x14ac:dyDescent="0.3">
      <c r="A2104" t="s">
        <v>6236</v>
      </c>
      <c r="C2104" s="3">
        <v>45582</v>
      </c>
      <c r="D2104" s="60" t="s">
        <v>6237</v>
      </c>
      <c r="E2104" s="11" t="s">
        <v>5107</v>
      </c>
      <c r="G2104" s="7" t="s">
        <v>6238</v>
      </c>
      <c r="I2104" s="17">
        <v>27860</v>
      </c>
      <c r="K2104" s="4">
        <v>500</v>
      </c>
      <c r="L2104" s="11" t="s">
        <v>6239</v>
      </c>
      <c r="M2104" s="11" t="s">
        <v>6240</v>
      </c>
      <c r="O2104" s="4" t="s">
        <v>19</v>
      </c>
      <c r="R2104" s="4" t="s">
        <v>16</v>
      </c>
    </row>
    <row r="2105" spans="1:18" x14ac:dyDescent="0.3">
      <c r="A2105" t="s">
        <v>6248</v>
      </c>
      <c r="C2105" s="3">
        <v>45583</v>
      </c>
      <c r="D2105" s="11" t="s">
        <v>6249</v>
      </c>
      <c r="E2105" s="11" t="s">
        <v>6273</v>
      </c>
      <c r="G2105" s="7" t="s">
        <v>508</v>
      </c>
      <c r="I2105" s="17">
        <v>31413</v>
      </c>
      <c r="K2105" s="4">
        <v>500</v>
      </c>
      <c r="L2105" s="11" t="s">
        <v>6250</v>
      </c>
      <c r="M2105" s="11" t="s">
        <v>6251</v>
      </c>
      <c r="O2105" s="4" t="s">
        <v>19</v>
      </c>
      <c r="R2105" s="4" t="s">
        <v>16</v>
      </c>
    </row>
    <row r="2106" spans="1:18" x14ac:dyDescent="0.3">
      <c r="A2106" t="s">
        <v>6252</v>
      </c>
      <c r="C2106" s="3">
        <v>45583</v>
      </c>
      <c r="D2106" s="11" t="s">
        <v>6253</v>
      </c>
      <c r="E2106" s="11" t="s">
        <v>6284</v>
      </c>
      <c r="G2106" s="7" t="s">
        <v>6254</v>
      </c>
      <c r="I2106" s="17">
        <v>29351</v>
      </c>
      <c r="K2106" s="4">
        <v>100</v>
      </c>
      <c r="L2106" s="11" t="s">
        <v>6255</v>
      </c>
      <c r="M2106" s="11" t="s">
        <v>6256</v>
      </c>
      <c r="O2106" s="4" t="s">
        <v>19</v>
      </c>
      <c r="R2106" s="4" t="s">
        <v>16</v>
      </c>
    </row>
    <row r="2107" spans="1:18" x14ac:dyDescent="0.3">
      <c r="A2107" t="s">
        <v>6268</v>
      </c>
      <c r="C2107" s="3">
        <v>45586</v>
      </c>
      <c r="D2107" s="11" t="s">
        <v>6269</v>
      </c>
      <c r="E2107" s="11" t="s">
        <v>6290</v>
      </c>
      <c r="G2107" s="7" t="s">
        <v>311</v>
      </c>
      <c r="I2107" s="17">
        <v>27760</v>
      </c>
      <c r="K2107" s="4">
        <v>500</v>
      </c>
      <c r="L2107" s="11" t="s">
        <v>6270</v>
      </c>
      <c r="M2107" s="11" t="s">
        <v>6271</v>
      </c>
      <c r="O2107" s="4" t="s">
        <v>19</v>
      </c>
      <c r="R2107" s="4" t="s">
        <v>16</v>
      </c>
    </row>
    <row r="2108" spans="1:18" x14ac:dyDescent="0.3">
      <c r="A2108" t="s">
        <v>6276</v>
      </c>
      <c r="C2108" s="3">
        <v>45587</v>
      </c>
      <c r="D2108" s="11" t="s">
        <v>6277</v>
      </c>
      <c r="E2108" s="11" t="s">
        <v>6339</v>
      </c>
      <c r="G2108" s="7" t="s">
        <v>6278</v>
      </c>
      <c r="I2108" s="17">
        <v>33239</v>
      </c>
      <c r="K2108" s="4">
        <v>200</v>
      </c>
      <c r="L2108" s="11" t="s">
        <v>6279</v>
      </c>
      <c r="M2108" s="11" t="s">
        <v>6280</v>
      </c>
      <c r="O2108" s="4" t="s">
        <v>19</v>
      </c>
      <c r="R2108" s="4" t="s">
        <v>15</v>
      </c>
    </row>
    <row r="2109" spans="1:18" x14ac:dyDescent="0.3">
      <c r="A2109" t="s">
        <v>6281</v>
      </c>
      <c r="C2109" s="3">
        <v>45587</v>
      </c>
      <c r="D2109" s="11" t="s">
        <v>6282</v>
      </c>
      <c r="E2109" s="11" t="s">
        <v>6433</v>
      </c>
      <c r="G2109" s="7" t="s">
        <v>6283</v>
      </c>
      <c r="K2109" s="4">
        <v>500</v>
      </c>
      <c r="O2109" s="4" t="s">
        <v>19</v>
      </c>
      <c r="R2109" s="4" t="s">
        <v>16</v>
      </c>
    </row>
    <row r="2110" spans="1:18" x14ac:dyDescent="0.3">
      <c r="A2110" t="s">
        <v>6291</v>
      </c>
      <c r="C2110" s="3">
        <v>45588</v>
      </c>
      <c r="D2110" s="11" t="s">
        <v>6292</v>
      </c>
      <c r="E2110" s="11" t="s">
        <v>5107</v>
      </c>
      <c r="G2110" s="7" t="s">
        <v>6295</v>
      </c>
      <c r="I2110" s="17">
        <v>31537</v>
      </c>
      <c r="K2110" s="4">
        <v>500</v>
      </c>
      <c r="L2110" s="11" t="s">
        <v>6293</v>
      </c>
      <c r="M2110" s="11" t="s">
        <v>6294</v>
      </c>
      <c r="O2110" s="4" t="s">
        <v>19</v>
      </c>
      <c r="R2110" s="4" t="s">
        <v>16</v>
      </c>
    </row>
    <row r="2111" spans="1:18" x14ac:dyDescent="0.3">
      <c r="A2111" t="s">
        <v>6296</v>
      </c>
      <c r="C2111" s="3">
        <v>45588</v>
      </c>
      <c r="D2111" s="11" t="s">
        <v>6298</v>
      </c>
      <c r="E2111" s="11" t="s">
        <v>6339</v>
      </c>
      <c r="G2111" s="7" t="s">
        <v>6300</v>
      </c>
      <c r="I2111" s="17">
        <v>26256</v>
      </c>
      <c r="K2111" s="4">
        <v>1000</v>
      </c>
      <c r="L2111" s="11" t="s">
        <v>6301</v>
      </c>
      <c r="M2111" s="11" t="s">
        <v>6302</v>
      </c>
      <c r="O2111" s="4" t="s">
        <v>19</v>
      </c>
      <c r="R2111" s="4" t="s">
        <v>15</v>
      </c>
    </row>
    <row r="2112" spans="1:18" x14ac:dyDescent="0.3">
      <c r="A2112" t="s">
        <v>6297</v>
      </c>
      <c r="C2112" s="3">
        <v>45588</v>
      </c>
      <c r="D2112" s="11" t="s">
        <v>6299</v>
      </c>
      <c r="E2112" s="11" t="s">
        <v>6311</v>
      </c>
      <c r="G2112" s="7" t="s">
        <v>6305</v>
      </c>
      <c r="I2112" s="17">
        <v>29985</v>
      </c>
      <c r="K2112" s="4">
        <v>100</v>
      </c>
      <c r="L2112" s="11" t="s">
        <v>6304</v>
      </c>
      <c r="M2112" s="11" t="s">
        <v>6303</v>
      </c>
      <c r="O2112" s="4" t="s">
        <v>19</v>
      </c>
      <c r="R2112" s="4" t="s">
        <v>16</v>
      </c>
    </row>
    <row r="2113" spans="1:18" x14ac:dyDescent="0.3">
      <c r="A2113" t="s">
        <v>6306</v>
      </c>
      <c r="C2113" s="3">
        <v>45588</v>
      </c>
      <c r="D2113" s="123" t="s">
        <v>6307</v>
      </c>
      <c r="E2113" s="11" t="s">
        <v>5107</v>
      </c>
      <c r="G2113" s="7" t="s">
        <v>6308</v>
      </c>
      <c r="K2113" s="4">
        <v>2000</v>
      </c>
      <c r="O2113" s="4" t="s">
        <v>19</v>
      </c>
      <c r="R2113" s="4" t="s">
        <v>16</v>
      </c>
    </row>
    <row r="2114" spans="1:18" x14ac:dyDescent="0.3">
      <c r="A2114" t="s">
        <v>6312</v>
      </c>
      <c r="C2114" s="3">
        <v>45589</v>
      </c>
      <c r="D2114" s="11" t="s">
        <v>6313</v>
      </c>
      <c r="E2114" s="11" t="s">
        <v>6492</v>
      </c>
      <c r="G2114" s="7" t="s">
        <v>6314</v>
      </c>
      <c r="I2114" s="17">
        <v>39209</v>
      </c>
      <c r="K2114" s="4">
        <v>100</v>
      </c>
      <c r="L2114" s="11" t="s">
        <v>6315</v>
      </c>
      <c r="M2114" s="11" t="s">
        <v>6303</v>
      </c>
      <c r="O2114" s="4" t="s">
        <v>19</v>
      </c>
      <c r="R2114" s="4" t="s">
        <v>19</v>
      </c>
    </row>
    <row r="2115" spans="1:18" x14ac:dyDescent="0.3">
      <c r="A2115" t="s">
        <v>6316</v>
      </c>
      <c r="C2115" s="3">
        <v>45589</v>
      </c>
      <c r="D2115" s="11" t="s">
        <v>6317</v>
      </c>
      <c r="E2115" s="11" t="s">
        <v>6433</v>
      </c>
      <c r="G2115" s="7" t="s">
        <v>6318</v>
      </c>
      <c r="I2115" s="17">
        <v>39320</v>
      </c>
      <c r="K2115" s="4">
        <v>100</v>
      </c>
      <c r="M2115" s="11" t="s">
        <v>6319</v>
      </c>
      <c r="O2115" s="4" t="s">
        <v>19</v>
      </c>
      <c r="R2115" s="4" t="s">
        <v>19</v>
      </c>
    </row>
    <row r="2116" spans="1:18" x14ac:dyDescent="0.3">
      <c r="A2116" t="s">
        <v>6320</v>
      </c>
      <c r="C2116" s="3">
        <v>45589</v>
      </c>
      <c r="D2116" s="123" t="s">
        <v>6321</v>
      </c>
      <c r="E2116" s="11" t="s">
        <v>6339</v>
      </c>
      <c r="G2116" s="7" t="s">
        <v>6341</v>
      </c>
      <c r="I2116" s="17">
        <v>32874</v>
      </c>
      <c r="K2116" s="4">
        <v>2000</v>
      </c>
      <c r="M2116" s="11" t="s">
        <v>6323</v>
      </c>
      <c r="O2116" s="4" t="s">
        <v>19</v>
      </c>
      <c r="R2116" s="4" t="s">
        <v>16</v>
      </c>
    </row>
    <row r="2117" spans="1:18" x14ac:dyDescent="0.3">
      <c r="A2117" t="s">
        <v>6329</v>
      </c>
      <c r="C2117" s="3">
        <v>45590</v>
      </c>
      <c r="D2117" s="11" t="s">
        <v>6331</v>
      </c>
      <c r="E2117" s="11" t="s">
        <v>5107</v>
      </c>
      <c r="G2117" s="7" t="s">
        <v>6334</v>
      </c>
      <c r="I2117" s="17">
        <v>28187</v>
      </c>
      <c r="K2117" s="4">
        <v>100</v>
      </c>
      <c r="L2117" s="11" t="s">
        <v>6335</v>
      </c>
      <c r="M2117" s="11" t="s">
        <v>6336</v>
      </c>
      <c r="O2117" s="4" t="s">
        <v>19</v>
      </c>
      <c r="R2117" s="4" t="s">
        <v>16</v>
      </c>
    </row>
    <row r="2118" spans="1:18" x14ac:dyDescent="0.3">
      <c r="A2118" t="s">
        <v>6330</v>
      </c>
      <c r="C2118" s="3">
        <v>45590</v>
      </c>
      <c r="D2118" s="11" t="s">
        <v>6332</v>
      </c>
      <c r="E2118" s="11" t="s">
        <v>5107</v>
      </c>
      <c r="G2118" s="7" t="s">
        <v>6333</v>
      </c>
      <c r="I2118" s="17">
        <v>38987</v>
      </c>
      <c r="K2118" s="4">
        <v>100</v>
      </c>
      <c r="L2118" s="11" t="s">
        <v>6338</v>
      </c>
      <c r="M2118" s="11" t="s">
        <v>6337</v>
      </c>
      <c r="O2118" s="4" t="s">
        <v>19</v>
      </c>
      <c r="R2118" s="4" t="s">
        <v>19</v>
      </c>
    </row>
    <row r="2119" spans="1:18" x14ac:dyDescent="0.3">
      <c r="A2119" t="s">
        <v>6357</v>
      </c>
      <c r="C2119" s="4" t="s">
        <v>6358</v>
      </c>
      <c r="D2119" s="11" t="s">
        <v>6359</v>
      </c>
      <c r="E2119" s="11" t="s">
        <v>6403</v>
      </c>
      <c r="G2119" s="7" t="s">
        <v>6360</v>
      </c>
      <c r="I2119" s="17">
        <v>34379</v>
      </c>
      <c r="K2119" s="4">
        <v>200</v>
      </c>
      <c r="L2119" s="11" t="s">
        <v>6361</v>
      </c>
      <c r="M2119" s="11" t="s">
        <v>6362</v>
      </c>
      <c r="O2119" s="4" t="s">
        <v>19</v>
      </c>
      <c r="R2119" s="4" t="s">
        <v>16</v>
      </c>
    </row>
    <row r="2120" spans="1:18" x14ac:dyDescent="0.3">
      <c r="A2120" t="s">
        <v>6363</v>
      </c>
      <c r="C2120" s="4" t="s">
        <v>6358</v>
      </c>
      <c r="D2120" s="9">
        <v>6452</v>
      </c>
      <c r="E2120" s="11" t="s">
        <v>6406</v>
      </c>
      <c r="G2120" s="7" t="s">
        <v>6365</v>
      </c>
      <c r="K2120" s="4">
        <v>2000</v>
      </c>
      <c r="O2120" s="4" t="s">
        <v>19</v>
      </c>
      <c r="R2120" s="4" t="s">
        <v>16</v>
      </c>
    </row>
    <row r="2121" spans="1:18" x14ac:dyDescent="0.3">
      <c r="A2121" t="s">
        <v>6368</v>
      </c>
      <c r="C2121" s="4" t="s">
        <v>6358</v>
      </c>
      <c r="D2121" s="11" t="s">
        <v>6369</v>
      </c>
      <c r="E2121" s="11" t="s">
        <v>6421</v>
      </c>
      <c r="G2121" s="7" t="s">
        <v>6370</v>
      </c>
      <c r="I2121" s="17">
        <v>37299</v>
      </c>
      <c r="K2121" s="4">
        <v>200</v>
      </c>
      <c r="L2121" s="11" t="s">
        <v>6371</v>
      </c>
      <c r="M2121" s="11" t="s">
        <v>6372</v>
      </c>
      <c r="O2121" s="4" t="s">
        <v>19</v>
      </c>
      <c r="R2121" s="4" t="s">
        <v>16</v>
      </c>
    </row>
    <row r="2122" spans="1:18" x14ac:dyDescent="0.3">
      <c r="A2122" t="s">
        <v>6373</v>
      </c>
      <c r="C2122" s="4" t="s">
        <v>6358</v>
      </c>
      <c r="D2122" s="11" t="s">
        <v>6374</v>
      </c>
      <c r="E2122" s="11" t="s">
        <v>6386</v>
      </c>
      <c r="G2122" s="7" t="s">
        <v>6376</v>
      </c>
      <c r="I2122" s="17">
        <v>33604</v>
      </c>
      <c r="K2122" s="4">
        <v>1000</v>
      </c>
      <c r="L2122" s="11" t="s">
        <v>6377</v>
      </c>
      <c r="M2122" s="11" t="s">
        <v>6375</v>
      </c>
      <c r="O2122" s="4" t="s">
        <v>19</v>
      </c>
      <c r="R2122" s="4" t="s">
        <v>16</v>
      </c>
    </row>
    <row r="2123" spans="1:18" x14ac:dyDescent="0.3">
      <c r="A2123" t="s">
        <v>6387</v>
      </c>
      <c r="C2123" s="3">
        <v>45599</v>
      </c>
      <c r="D2123" s="11" t="s">
        <v>6388</v>
      </c>
      <c r="E2123" s="11" t="s">
        <v>6432</v>
      </c>
      <c r="G2123" s="7" t="s">
        <v>6389</v>
      </c>
      <c r="I2123" s="17">
        <v>35064</v>
      </c>
      <c r="K2123" s="4">
        <v>500</v>
      </c>
      <c r="L2123" s="11" t="s">
        <v>6395</v>
      </c>
      <c r="M2123" s="11" t="s">
        <v>6390</v>
      </c>
      <c r="O2123" s="4" t="s">
        <v>19</v>
      </c>
      <c r="R2123" s="4" t="s">
        <v>16</v>
      </c>
    </row>
    <row r="2124" spans="1:18" x14ac:dyDescent="0.3">
      <c r="A2124" t="s">
        <v>6391</v>
      </c>
      <c r="C2124" s="3">
        <v>45599</v>
      </c>
      <c r="D2124" s="11" t="s">
        <v>6393</v>
      </c>
      <c r="E2124" s="11" t="s">
        <v>6406</v>
      </c>
      <c r="G2124" s="7" t="s">
        <v>6392</v>
      </c>
      <c r="I2124" s="17">
        <v>38209</v>
      </c>
      <c r="K2124" s="4">
        <v>2500</v>
      </c>
      <c r="L2124" s="11" t="s">
        <v>6394</v>
      </c>
      <c r="M2124" s="11" t="s">
        <v>4858</v>
      </c>
      <c r="O2124" s="4" t="s">
        <v>19</v>
      </c>
      <c r="R2124" s="4" t="s">
        <v>16</v>
      </c>
    </row>
    <row r="2125" spans="1:18" x14ac:dyDescent="0.3">
      <c r="C2125" s="3">
        <v>45600</v>
      </c>
      <c r="D2125" s="11" t="s">
        <v>6398</v>
      </c>
      <c r="E2125" s="11" t="s">
        <v>6433</v>
      </c>
      <c r="G2125" s="7" t="s">
        <v>6399</v>
      </c>
      <c r="I2125" s="17">
        <v>38083</v>
      </c>
      <c r="K2125" s="4">
        <v>100</v>
      </c>
      <c r="L2125" s="11" t="s">
        <v>6400</v>
      </c>
      <c r="M2125" s="11" t="s">
        <v>6401</v>
      </c>
      <c r="O2125" s="4" t="s">
        <v>19</v>
      </c>
      <c r="R2125" s="4" t="s">
        <v>16</v>
      </c>
    </row>
    <row r="2126" spans="1:18" x14ac:dyDescent="0.3">
      <c r="A2126" t="s">
        <v>6408</v>
      </c>
      <c r="C2126" s="3">
        <v>45602</v>
      </c>
      <c r="D2126" s="11" t="s">
        <v>6409</v>
      </c>
      <c r="E2126" s="11" t="s">
        <v>6605</v>
      </c>
      <c r="G2126" s="7" t="s">
        <v>6410</v>
      </c>
      <c r="I2126" s="17">
        <v>37355</v>
      </c>
      <c r="K2126" s="4">
        <v>200</v>
      </c>
      <c r="L2126" s="11" t="s">
        <v>6411</v>
      </c>
      <c r="M2126" s="11" t="s">
        <v>6412</v>
      </c>
      <c r="O2126" s="4" t="s">
        <v>19</v>
      </c>
      <c r="R2126" s="4" t="s">
        <v>16</v>
      </c>
    </row>
    <row r="2127" spans="1:18" x14ac:dyDescent="0.3">
      <c r="A2127" t="s">
        <v>6413</v>
      </c>
      <c r="C2127" s="3">
        <v>45602</v>
      </c>
      <c r="D2127" s="11" t="s">
        <v>6414</v>
      </c>
      <c r="E2127" s="11" t="s">
        <v>6720</v>
      </c>
      <c r="G2127" s="7" t="s">
        <v>5873</v>
      </c>
      <c r="I2127" s="17">
        <v>32141</v>
      </c>
      <c r="K2127" s="4">
        <v>500</v>
      </c>
      <c r="L2127" s="11" t="s">
        <v>6415</v>
      </c>
      <c r="M2127" s="11" t="s">
        <v>6416</v>
      </c>
      <c r="O2127" s="4" t="s">
        <v>19</v>
      </c>
      <c r="R2127" s="4" t="s">
        <v>16</v>
      </c>
    </row>
    <row r="2128" spans="1:18" x14ac:dyDescent="0.3">
      <c r="A2128" t="s">
        <v>6427</v>
      </c>
      <c r="C2128" s="3">
        <v>45604</v>
      </c>
      <c r="D2128" s="11" t="s">
        <v>6428</v>
      </c>
      <c r="E2128" s="11" t="s">
        <v>6832</v>
      </c>
      <c r="G2128" s="7" t="s">
        <v>6429</v>
      </c>
      <c r="I2128" s="17">
        <v>33899</v>
      </c>
      <c r="K2128" s="4">
        <v>100</v>
      </c>
      <c r="L2128" s="11" t="s">
        <v>6430</v>
      </c>
      <c r="M2128" s="11" t="s">
        <v>6431</v>
      </c>
      <c r="O2128" s="4" t="s">
        <v>19</v>
      </c>
      <c r="R2128" s="4" t="s">
        <v>16</v>
      </c>
    </row>
    <row r="2129" spans="1:18" x14ac:dyDescent="0.3">
      <c r="A2129" t="s">
        <v>6437</v>
      </c>
      <c r="C2129" s="3">
        <v>45607</v>
      </c>
      <c r="D2129" s="11" t="s">
        <v>6438</v>
      </c>
      <c r="E2129" s="11" t="s">
        <v>6588</v>
      </c>
      <c r="G2129" s="7" t="s">
        <v>6439</v>
      </c>
      <c r="I2129" s="17">
        <v>33517</v>
      </c>
      <c r="K2129" s="4">
        <v>100</v>
      </c>
      <c r="L2129" s="11" t="s">
        <v>6453</v>
      </c>
      <c r="M2129" s="11" t="s">
        <v>6516</v>
      </c>
      <c r="O2129" s="4" t="s">
        <v>19</v>
      </c>
      <c r="R2129" s="4" t="s">
        <v>16</v>
      </c>
    </row>
    <row r="2130" spans="1:18" x14ac:dyDescent="0.3">
      <c r="A2130" t="s">
        <v>6440</v>
      </c>
      <c r="C2130" s="3">
        <v>45607</v>
      </c>
      <c r="D2130" s="9" t="s">
        <v>6441</v>
      </c>
      <c r="E2130" s="11" t="s">
        <v>6605</v>
      </c>
      <c r="G2130" s="7" t="s">
        <v>6451</v>
      </c>
      <c r="I2130" s="17">
        <v>30408</v>
      </c>
      <c r="K2130" s="4">
        <v>2000</v>
      </c>
      <c r="L2130" s="11" t="s">
        <v>6452</v>
      </c>
      <c r="M2130" s="11" t="s">
        <v>6442</v>
      </c>
      <c r="O2130" s="4" t="s">
        <v>19</v>
      </c>
      <c r="R2130" s="4" t="s">
        <v>16</v>
      </c>
    </row>
    <row r="2131" spans="1:18" x14ac:dyDescent="0.3">
      <c r="A2131" t="s">
        <v>6443</v>
      </c>
      <c r="C2131" s="3">
        <v>45607</v>
      </c>
      <c r="D2131" s="11" t="s">
        <v>6444</v>
      </c>
      <c r="E2131" s="11" t="s">
        <v>6823</v>
      </c>
      <c r="G2131" s="7" t="s">
        <v>6445</v>
      </c>
      <c r="I2131" s="17">
        <v>33520</v>
      </c>
      <c r="K2131" s="4">
        <v>200</v>
      </c>
      <c r="O2131" s="4" t="s">
        <v>19</v>
      </c>
      <c r="R2131" s="4" t="s">
        <v>16</v>
      </c>
    </row>
    <row r="2132" spans="1:18" x14ac:dyDescent="0.3">
      <c r="A2132" t="s">
        <v>6446</v>
      </c>
      <c r="C2132" s="3">
        <v>45607</v>
      </c>
      <c r="D2132" s="9" t="s">
        <v>6447</v>
      </c>
      <c r="E2132" s="11" t="s">
        <v>5107</v>
      </c>
      <c r="G2132" s="7" t="s">
        <v>6449</v>
      </c>
      <c r="I2132" s="17">
        <v>25298</v>
      </c>
      <c r="K2132" s="4">
        <v>2000</v>
      </c>
      <c r="L2132" s="11" t="s">
        <v>6450</v>
      </c>
      <c r="M2132" s="11" t="s">
        <v>6448</v>
      </c>
      <c r="O2132" s="4" t="s">
        <v>19</v>
      </c>
      <c r="R2132" s="4" t="s">
        <v>16</v>
      </c>
    </row>
    <row r="2133" spans="1:18" x14ac:dyDescent="0.3">
      <c r="A2133" t="s">
        <v>6454</v>
      </c>
      <c r="C2133" s="3">
        <v>45607</v>
      </c>
      <c r="D2133" s="11" t="s">
        <v>6455</v>
      </c>
      <c r="E2133" s="11" t="s">
        <v>6996</v>
      </c>
      <c r="G2133" s="7" t="s">
        <v>6456</v>
      </c>
      <c r="I2133" s="17">
        <v>31778</v>
      </c>
      <c r="K2133" s="4">
        <v>200</v>
      </c>
      <c r="L2133" s="11" t="s">
        <v>6457</v>
      </c>
      <c r="M2133" s="11" t="s">
        <v>6458</v>
      </c>
      <c r="O2133" s="4" t="s">
        <v>19</v>
      </c>
      <c r="R2133" s="4" t="s">
        <v>16</v>
      </c>
    </row>
    <row r="2134" spans="1:18" x14ac:dyDescent="0.3">
      <c r="A2134" t="s">
        <v>6461</v>
      </c>
      <c r="C2134" s="3">
        <v>45609</v>
      </c>
      <c r="D2134" s="11" t="s">
        <v>6462</v>
      </c>
      <c r="E2134" s="11" t="s">
        <v>5107</v>
      </c>
      <c r="G2134" s="7" t="s">
        <v>6463</v>
      </c>
      <c r="I2134" s="17">
        <v>20455</v>
      </c>
      <c r="K2134" s="4">
        <v>200</v>
      </c>
      <c r="L2134" s="11" t="s">
        <v>6464</v>
      </c>
      <c r="M2134" s="11" t="s">
        <v>6465</v>
      </c>
      <c r="O2134" s="4" t="s">
        <v>19</v>
      </c>
      <c r="R2134" s="4" t="s">
        <v>16</v>
      </c>
    </row>
    <row r="2135" spans="1:18" x14ac:dyDescent="0.3">
      <c r="A2135" t="s">
        <v>6469</v>
      </c>
      <c r="C2135" s="3">
        <v>45610</v>
      </c>
      <c r="D2135" s="11" t="s">
        <v>6470</v>
      </c>
      <c r="E2135" s="11" t="s">
        <v>6645</v>
      </c>
      <c r="G2135" s="7" t="s">
        <v>6471</v>
      </c>
      <c r="I2135" s="17">
        <v>32646</v>
      </c>
      <c r="K2135" s="4">
        <v>100</v>
      </c>
      <c r="L2135" s="11" t="s">
        <v>6472</v>
      </c>
      <c r="M2135" s="11" t="s">
        <v>6473</v>
      </c>
      <c r="O2135" s="4" t="s">
        <v>19</v>
      </c>
      <c r="R2135" s="4" t="s">
        <v>16</v>
      </c>
    </row>
    <row r="2136" spans="1:18" x14ac:dyDescent="0.3">
      <c r="A2136" t="s">
        <v>6488</v>
      </c>
      <c r="C2136" s="3">
        <v>45611</v>
      </c>
      <c r="D2136" s="11" t="s">
        <v>6489</v>
      </c>
      <c r="E2136" s="11" t="s">
        <v>6565</v>
      </c>
      <c r="G2136" s="7" t="s">
        <v>1087</v>
      </c>
      <c r="I2136" s="17">
        <v>33310</v>
      </c>
      <c r="K2136" s="4">
        <v>200</v>
      </c>
      <c r="L2136" s="11" t="s">
        <v>6490</v>
      </c>
      <c r="M2136" s="11" t="s">
        <v>6491</v>
      </c>
      <c r="O2136" s="4" t="s">
        <v>19</v>
      </c>
      <c r="R2136" s="4" t="s">
        <v>16</v>
      </c>
    </row>
    <row r="2137" spans="1:18" x14ac:dyDescent="0.3">
      <c r="A2137" t="s">
        <v>6493</v>
      </c>
      <c r="C2137" s="3">
        <v>45611</v>
      </c>
      <c r="D2137" s="11" t="s">
        <v>6494</v>
      </c>
      <c r="E2137" s="11" t="s">
        <v>6637</v>
      </c>
      <c r="G2137" s="7" t="s">
        <v>6495</v>
      </c>
      <c r="I2137" s="17">
        <v>28467</v>
      </c>
      <c r="K2137" s="4">
        <v>100</v>
      </c>
      <c r="L2137" s="11" t="s">
        <v>6496</v>
      </c>
      <c r="M2137" s="11" t="s">
        <v>1925</v>
      </c>
      <c r="O2137" s="4" t="s">
        <v>19</v>
      </c>
      <c r="R2137" s="4" t="s">
        <v>16</v>
      </c>
    </row>
    <row r="2138" spans="1:18" x14ac:dyDescent="0.3">
      <c r="A2138" t="s">
        <v>6498</v>
      </c>
      <c r="C2138" s="3">
        <v>45612</v>
      </c>
      <c r="D2138" s="11" t="s">
        <v>6499</v>
      </c>
      <c r="E2138" s="11" t="s">
        <v>6588</v>
      </c>
      <c r="G2138" s="7" t="s">
        <v>6500</v>
      </c>
      <c r="I2138" s="17">
        <v>32357</v>
      </c>
      <c r="K2138" s="4">
        <v>100</v>
      </c>
      <c r="L2138" s="11" t="s">
        <v>7228</v>
      </c>
      <c r="M2138" s="11" t="s">
        <v>6501</v>
      </c>
      <c r="O2138" s="4" t="s">
        <v>19</v>
      </c>
      <c r="R2138" s="4" t="s">
        <v>16</v>
      </c>
    </row>
    <row r="2139" spans="1:18" x14ac:dyDescent="0.3">
      <c r="A2139" t="s">
        <v>6502</v>
      </c>
      <c r="C2139" s="3">
        <v>45612</v>
      </c>
      <c r="D2139" s="11" t="s">
        <v>6503</v>
      </c>
      <c r="E2139" s="11" t="s">
        <v>6571</v>
      </c>
      <c r="G2139" s="7" t="s">
        <v>6504</v>
      </c>
      <c r="I2139" s="17">
        <v>31696</v>
      </c>
      <c r="K2139" s="4">
        <v>100</v>
      </c>
      <c r="L2139" s="11" t="s">
        <v>6505</v>
      </c>
      <c r="M2139" s="11" t="s">
        <v>6506</v>
      </c>
      <c r="O2139" s="4" t="s">
        <v>19</v>
      </c>
      <c r="R2139" s="4" t="s">
        <v>16</v>
      </c>
    </row>
    <row r="2140" spans="1:18" x14ac:dyDescent="0.3">
      <c r="A2140" t="s">
        <v>6511</v>
      </c>
      <c r="C2140" s="3">
        <v>45614</v>
      </c>
      <c r="D2140" s="11" t="s">
        <v>6515</v>
      </c>
      <c r="E2140" s="11" t="s">
        <v>6571</v>
      </c>
      <c r="G2140" s="7" t="s">
        <v>6512</v>
      </c>
      <c r="I2140" s="17">
        <v>37359</v>
      </c>
      <c r="K2140" s="4">
        <v>500</v>
      </c>
      <c r="L2140" s="11" t="s">
        <v>6513</v>
      </c>
      <c r="M2140" s="11" t="s">
        <v>6514</v>
      </c>
      <c r="O2140" s="4" t="s">
        <v>19</v>
      </c>
      <c r="R2140" s="4" t="s">
        <v>19</v>
      </c>
    </row>
    <row r="2141" spans="1:18" x14ac:dyDescent="0.3">
      <c r="A2141" t="s">
        <v>6518</v>
      </c>
      <c r="C2141" s="3">
        <v>45614</v>
      </c>
      <c r="D2141" s="11" t="s">
        <v>6519</v>
      </c>
      <c r="E2141" s="11" t="s">
        <v>6571</v>
      </c>
      <c r="G2141" s="7" t="s">
        <v>6520</v>
      </c>
      <c r="I2141" s="17">
        <v>25956</v>
      </c>
      <c r="K2141" s="4">
        <v>500</v>
      </c>
      <c r="L2141" s="11" t="s">
        <v>6521</v>
      </c>
      <c r="O2141" s="4" t="s">
        <v>19</v>
      </c>
      <c r="R2141" s="4" t="s">
        <v>16</v>
      </c>
    </row>
    <row r="2142" spans="1:18" x14ac:dyDescent="0.3">
      <c r="A2142" t="s">
        <v>6525</v>
      </c>
      <c r="C2142" s="3">
        <v>45614</v>
      </c>
      <c r="D2142" s="11" t="s">
        <v>6526</v>
      </c>
      <c r="E2142" s="11" t="s">
        <v>6588</v>
      </c>
      <c r="G2142" s="7" t="s">
        <v>6527</v>
      </c>
      <c r="I2142" s="17">
        <v>36850</v>
      </c>
      <c r="K2142" s="4">
        <v>100</v>
      </c>
      <c r="L2142" s="11" t="s">
        <v>6528</v>
      </c>
      <c r="M2142" s="11" t="s">
        <v>6529</v>
      </c>
      <c r="O2142" s="4" t="s">
        <v>19</v>
      </c>
      <c r="R2142" s="4" t="s">
        <v>16</v>
      </c>
    </row>
    <row r="2143" spans="1:18" x14ac:dyDescent="0.3">
      <c r="A2143" t="s">
        <v>6530</v>
      </c>
      <c r="C2143" s="3">
        <v>45614</v>
      </c>
      <c r="D2143" s="11" t="s">
        <v>6531</v>
      </c>
      <c r="E2143" s="11" t="s">
        <v>6588</v>
      </c>
      <c r="G2143" s="7" t="s">
        <v>6532</v>
      </c>
      <c r="I2143" s="17">
        <v>38796</v>
      </c>
      <c r="K2143" s="4">
        <v>100</v>
      </c>
      <c r="L2143" s="11" t="s">
        <v>6533</v>
      </c>
      <c r="M2143" s="11" t="s">
        <v>6529</v>
      </c>
      <c r="O2143" s="4" t="s">
        <v>19</v>
      </c>
      <c r="R2143" s="4" t="s">
        <v>19</v>
      </c>
    </row>
    <row r="2144" spans="1:18" x14ac:dyDescent="0.3">
      <c r="A2144" t="s">
        <v>6534</v>
      </c>
      <c r="C2144" s="3">
        <v>45614</v>
      </c>
      <c r="D2144" s="11" t="s">
        <v>6535</v>
      </c>
      <c r="E2144" s="11" t="s">
        <v>6571</v>
      </c>
      <c r="G2144" s="7" t="s">
        <v>6536</v>
      </c>
      <c r="I2144" s="17">
        <v>26299</v>
      </c>
      <c r="K2144" s="4">
        <v>200</v>
      </c>
      <c r="L2144" s="11" t="s">
        <v>6537</v>
      </c>
      <c r="M2144" s="11" t="s">
        <v>6538</v>
      </c>
      <c r="O2144" s="4" t="s">
        <v>19</v>
      </c>
      <c r="R2144" s="4" t="s">
        <v>19</v>
      </c>
    </row>
    <row r="2145" spans="1:18" x14ac:dyDescent="0.3">
      <c r="A2145" t="s">
        <v>6539</v>
      </c>
      <c r="C2145" s="3">
        <v>45614</v>
      </c>
      <c r="D2145" s="11" t="s">
        <v>6540</v>
      </c>
      <c r="E2145" s="11" t="s">
        <v>6888</v>
      </c>
      <c r="G2145" s="7" t="s">
        <v>6541</v>
      </c>
      <c r="I2145" s="17">
        <v>35765</v>
      </c>
      <c r="K2145" s="4">
        <v>1000</v>
      </c>
      <c r="M2145" s="11" t="s">
        <v>6889</v>
      </c>
      <c r="O2145" s="4" t="s">
        <v>19</v>
      </c>
      <c r="R2145" s="4" t="s">
        <v>14</v>
      </c>
    </row>
    <row r="2146" spans="1:18" x14ac:dyDescent="0.3">
      <c r="A2146" t="s">
        <v>6543</v>
      </c>
      <c r="C2146" s="3">
        <v>45614</v>
      </c>
      <c r="D2146" s="11" t="s">
        <v>6544</v>
      </c>
      <c r="E2146" s="11" t="s">
        <v>6571</v>
      </c>
      <c r="G2146" s="7" t="s">
        <v>6545</v>
      </c>
      <c r="I2146" s="17">
        <v>17645</v>
      </c>
      <c r="K2146" s="4">
        <v>200</v>
      </c>
      <c r="L2146" s="11" t="s">
        <v>6546</v>
      </c>
      <c r="M2146" s="11" t="s">
        <v>6547</v>
      </c>
      <c r="O2146" s="4" t="s">
        <v>19</v>
      </c>
      <c r="R2146" s="4" t="s">
        <v>14</v>
      </c>
    </row>
    <row r="2147" spans="1:18" x14ac:dyDescent="0.3">
      <c r="A2147" t="s">
        <v>6548</v>
      </c>
      <c r="C2147" s="3">
        <v>45614</v>
      </c>
      <c r="D2147" s="11" t="s">
        <v>6549</v>
      </c>
      <c r="E2147" s="11" t="s">
        <v>6571</v>
      </c>
      <c r="G2147" s="7" t="s">
        <v>5439</v>
      </c>
      <c r="I2147" s="17">
        <v>36679</v>
      </c>
      <c r="K2147" s="4">
        <v>100</v>
      </c>
      <c r="L2147" s="11" t="s">
        <v>6550</v>
      </c>
      <c r="M2147" s="11" t="s">
        <v>6235</v>
      </c>
      <c r="O2147" s="4" t="s">
        <v>19</v>
      </c>
      <c r="R2147" s="4" t="s">
        <v>14</v>
      </c>
    </row>
    <row r="2148" spans="1:18" x14ac:dyDescent="0.3">
      <c r="A2148" t="s">
        <v>6551</v>
      </c>
      <c r="C2148" s="3">
        <v>45614</v>
      </c>
      <c r="D2148" s="123" t="s">
        <v>6555</v>
      </c>
      <c r="E2148" s="11" t="s">
        <v>6645</v>
      </c>
      <c r="G2148" s="7" t="s">
        <v>6552</v>
      </c>
      <c r="I2148" s="17">
        <v>36122</v>
      </c>
      <c r="K2148" s="4">
        <v>2000</v>
      </c>
      <c r="L2148" s="11" t="s">
        <v>6553</v>
      </c>
      <c r="M2148" s="11" t="s">
        <v>6554</v>
      </c>
      <c r="O2148" s="4" t="s">
        <v>19</v>
      </c>
      <c r="R2148" s="4" t="s">
        <v>14</v>
      </c>
    </row>
    <row r="2149" spans="1:18" x14ac:dyDescent="0.3">
      <c r="A2149" t="s">
        <v>6556</v>
      </c>
      <c r="C2149" s="3">
        <v>45614</v>
      </c>
      <c r="D2149" s="11" t="s">
        <v>6557</v>
      </c>
      <c r="E2149" s="11" t="s">
        <v>6565</v>
      </c>
      <c r="G2149" s="7" t="s">
        <v>6562</v>
      </c>
      <c r="I2149" s="17">
        <v>37799</v>
      </c>
      <c r="K2149" s="4">
        <v>300</v>
      </c>
      <c r="L2149" s="11" t="s">
        <v>6559</v>
      </c>
      <c r="M2149" s="11" t="s">
        <v>6558</v>
      </c>
      <c r="O2149" s="4" t="s">
        <v>19</v>
      </c>
      <c r="R2149" s="4" t="s">
        <v>14</v>
      </c>
    </row>
    <row r="2150" spans="1:18" x14ac:dyDescent="0.3">
      <c r="A2150" t="s">
        <v>6566</v>
      </c>
      <c r="C2150" s="3">
        <v>45615</v>
      </c>
      <c r="D2150" s="11" t="s">
        <v>6567</v>
      </c>
      <c r="E2150" s="11" t="s">
        <v>6720</v>
      </c>
      <c r="G2150" s="7" t="s">
        <v>6568</v>
      </c>
      <c r="I2150" s="17">
        <v>28166</v>
      </c>
      <c r="K2150" s="4">
        <v>300</v>
      </c>
      <c r="L2150" s="11" t="s">
        <v>6569</v>
      </c>
      <c r="O2150" s="4" t="s">
        <v>19</v>
      </c>
      <c r="R2150" s="4" t="s">
        <v>14</v>
      </c>
    </row>
    <row r="2151" spans="1:18" x14ac:dyDescent="0.3">
      <c r="A2151" t="s">
        <v>6572</v>
      </c>
      <c r="C2151" s="3">
        <v>45616</v>
      </c>
      <c r="D2151" s="123" t="s">
        <v>6573</v>
      </c>
      <c r="E2151" s="11" t="s">
        <v>5107</v>
      </c>
      <c r="G2151" s="7" t="s">
        <v>6574</v>
      </c>
      <c r="I2151" s="17">
        <v>34794</v>
      </c>
      <c r="K2151" s="4">
        <v>2000</v>
      </c>
      <c r="L2151" s="11" t="s">
        <v>6575</v>
      </c>
      <c r="M2151" s="11" t="s">
        <v>6516</v>
      </c>
      <c r="O2151" s="4" t="s">
        <v>19</v>
      </c>
      <c r="R2151" s="4" t="s">
        <v>14</v>
      </c>
    </row>
    <row r="2152" spans="1:18" x14ac:dyDescent="0.3">
      <c r="A2152" t="s">
        <v>6606</v>
      </c>
      <c r="C2152" s="3">
        <v>45618</v>
      </c>
      <c r="D2152" s="11" t="s">
        <v>6607</v>
      </c>
      <c r="E2152" s="11" t="s">
        <v>6720</v>
      </c>
      <c r="G2152" s="7" t="s">
        <v>6608</v>
      </c>
      <c r="I2152" s="17">
        <v>38718</v>
      </c>
      <c r="K2152" s="4">
        <v>500</v>
      </c>
      <c r="L2152" s="11" t="s">
        <v>6609</v>
      </c>
      <c r="M2152" s="11" t="s">
        <v>1347</v>
      </c>
      <c r="O2152" s="4" t="s">
        <v>19</v>
      </c>
      <c r="R2152" s="4" t="s">
        <v>19</v>
      </c>
    </row>
    <row r="2153" spans="1:18" x14ac:dyDescent="0.3">
      <c r="A2153" t="s">
        <v>6615</v>
      </c>
      <c r="C2153" s="3">
        <v>45619</v>
      </c>
      <c r="D2153" s="11" t="s">
        <v>6616</v>
      </c>
      <c r="E2153" s="11" t="s">
        <v>6832</v>
      </c>
      <c r="G2153" s="7" t="s">
        <v>4115</v>
      </c>
      <c r="I2153" s="17">
        <v>22738</v>
      </c>
      <c r="K2153" s="4">
        <v>100</v>
      </c>
      <c r="L2153" s="11" t="s">
        <v>6618</v>
      </c>
      <c r="M2153" s="11" t="s">
        <v>6617</v>
      </c>
      <c r="O2153" s="4" t="s">
        <v>19</v>
      </c>
      <c r="R2153" s="4" t="s">
        <v>14</v>
      </c>
    </row>
    <row r="2154" spans="1:18" x14ac:dyDescent="0.3">
      <c r="A2154" t="s">
        <v>6620</v>
      </c>
      <c r="C2154" s="3">
        <v>45620</v>
      </c>
      <c r="D2154" s="11" t="s">
        <v>6621</v>
      </c>
      <c r="E2154" s="11" t="s">
        <v>6888</v>
      </c>
      <c r="G2154" s="7" t="s">
        <v>6622</v>
      </c>
      <c r="I2154" s="47" t="s">
        <v>6623</v>
      </c>
      <c r="K2154" s="4">
        <v>100</v>
      </c>
      <c r="L2154" s="11" t="s">
        <v>6624</v>
      </c>
      <c r="M2154" s="11" t="s">
        <v>6625</v>
      </c>
      <c r="O2154" s="4" t="s">
        <v>19</v>
      </c>
      <c r="R2154" s="4" t="s">
        <v>14</v>
      </c>
    </row>
    <row r="2155" spans="1:18" x14ac:dyDescent="0.3">
      <c r="A2155" t="s">
        <v>6626</v>
      </c>
      <c r="C2155" s="3">
        <v>45620</v>
      </c>
      <c r="D2155" s="11" t="s">
        <v>6627</v>
      </c>
      <c r="E2155" s="11" t="s">
        <v>6720</v>
      </c>
      <c r="G2155" s="7" t="s">
        <v>6628</v>
      </c>
      <c r="I2155" s="17">
        <v>37275</v>
      </c>
      <c r="K2155" s="4">
        <v>100</v>
      </c>
      <c r="L2155" s="11" t="s">
        <v>6629</v>
      </c>
      <c r="M2155" s="11" t="s">
        <v>6630</v>
      </c>
      <c r="O2155" s="4" t="s">
        <v>19</v>
      </c>
      <c r="R2155" s="4" t="s">
        <v>19</v>
      </c>
    </row>
    <row r="2156" spans="1:18" x14ac:dyDescent="0.3">
      <c r="A2156" t="s">
        <v>6631</v>
      </c>
      <c r="C2156" s="3">
        <v>45620</v>
      </c>
      <c r="D2156" s="11" t="s">
        <v>6632</v>
      </c>
      <c r="E2156" s="11" t="s">
        <v>6926</v>
      </c>
      <c r="G2156" s="7" t="s">
        <v>6633</v>
      </c>
      <c r="I2156" s="17">
        <v>31177</v>
      </c>
      <c r="K2156" s="4">
        <v>200</v>
      </c>
      <c r="L2156" s="11" t="s">
        <v>6634</v>
      </c>
      <c r="M2156" s="11" t="s">
        <v>6635</v>
      </c>
      <c r="O2156" s="4" t="s">
        <v>19</v>
      </c>
      <c r="R2156" s="4" t="s">
        <v>16</v>
      </c>
    </row>
    <row r="2157" spans="1:18" x14ac:dyDescent="0.3">
      <c r="A2157" t="s">
        <v>6638</v>
      </c>
      <c r="C2157" s="3">
        <v>45621</v>
      </c>
      <c r="D2157" s="11" t="s">
        <v>6639</v>
      </c>
      <c r="E2157" s="11" t="s">
        <v>6789</v>
      </c>
      <c r="G2157" s="7" t="s">
        <v>6640</v>
      </c>
      <c r="I2157" s="17">
        <v>28751</v>
      </c>
      <c r="K2157" s="4">
        <v>200</v>
      </c>
      <c r="L2157" s="11" t="s">
        <v>6641</v>
      </c>
      <c r="M2157" s="11" t="s">
        <v>6642</v>
      </c>
      <c r="O2157" s="4" t="s">
        <v>19</v>
      </c>
      <c r="R2157" s="4" t="s">
        <v>16</v>
      </c>
    </row>
    <row r="2158" spans="1:18" x14ac:dyDescent="0.3">
      <c r="A2158" t="s">
        <v>6648</v>
      </c>
      <c r="C2158" s="3">
        <v>45621</v>
      </c>
      <c r="D2158" s="11" t="s">
        <v>6649</v>
      </c>
      <c r="E2158" s="11" t="s">
        <v>6754</v>
      </c>
      <c r="G2158" s="7" t="s">
        <v>6650</v>
      </c>
      <c r="I2158" s="17">
        <v>36205</v>
      </c>
      <c r="K2158" s="4">
        <v>200</v>
      </c>
      <c r="O2158" s="4" t="s">
        <v>19</v>
      </c>
      <c r="R2158" s="4" t="s">
        <v>16</v>
      </c>
    </row>
    <row r="2159" spans="1:18" x14ac:dyDescent="0.3">
      <c r="A2159" t="s">
        <v>6653</v>
      </c>
      <c r="C2159" s="3">
        <v>45621</v>
      </c>
      <c r="D2159" s="11" t="s">
        <v>6654</v>
      </c>
      <c r="E2159" s="11" t="s">
        <v>6754</v>
      </c>
      <c r="G2159" s="7" t="s">
        <v>6655</v>
      </c>
      <c r="I2159" s="17">
        <v>32905</v>
      </c>
      <c r="K2159" s="4">
        <v>100</v>
      </c>
      <c r="L2159" s="11" t="s">
        <v>6656</v>
      </c>
      <c r="M2159" s="11" t="s">
        <v>6657</v>
      </c>
      <c r="O2159" s="4" t="s">
        <v>19</v>
      </c>
      <c r="R2159" s="4" t="s">
        <v>16</v>
      </c>
    </row>
    <row r="2160" spans="1:18" x14ac:dyDescent="0.3">
      <c r="A2160" t="s">
        <v>6659</v>
      </c>
      <c r="C2160" s="3">
        <v>45621</v>
      </c>
      <c r="D2160" s="11" t="s">
        <v>6660</v>
      </c>
      <c r="E2160" s="11" t="s">
        <v>6791</v>
      </c>
      <c r="G2160" s="7" t="s">
        <v>6661</v>
      </c>
      <c r="I2160" s="17">
        <v>34009</v>
      </c>
      <c r="K2160" s="4">
        <v>100</v>
      </c>
      <c r="L2160" s="11" t="s">
        <v>6662</v>
      </c>
      <c r="M2160" s="11" t="s">
        <v>6663</v>
      </c>
      <c r="O2160" s="4" t="s">
        <v>19</v>
      </c>
      <c r="R2160" s="4" t="s">
        <v>16</v>
      </c>
    </row>
    <row r="2161" spans="1:18" x14ac:dyDescent="0.3">
      <c r="A2161" t="s">
        <v>6669</v>
      </c>
      <c r="C2161" s="3">
        <v>45621</v>
      </c>
      <c r="D2161" s="11" t="s">
        <v>6671</v>
      </c>
      <c r="E2161" s="11" t="s">
        <v>7007</v>
      </c>
      <c r="G2161" s="7" t="s">
        <v>6670</v>
      </c>
      <c r="I2161" s="17">
        <v>38456</v>
      </c>
      <c r="K2161" s="4">
        <v>100</v>
      </c>
      <c r="L2161" s="11" t="s">
        <v>6672</v>
      </c>
      <c r="M2161" s="11" t="s">
        <v>6673</v>
      </c>
      <c r="O2161" s="4" t="s">
        <v>19</v>
      </c>
      <c r="R2161" s="4" t="s">
        <v>16</v>
      </c>
    </row>
    <row r="2162" spans="1:18" x14ac:dyDescent="0.3">
      <c r="A2162" t="s">
        <v>6674</v>
      </c>
      <c r="C2162" s="3">
        <v>45621</v>
      </c>
      <c r="D2162" s="11" t="s">
        <v>6676</v>
      </c>
      <c r="E2162" s="11" t="s">
        <v>6720</v>
      </c>
      <c r="G2162" s="7" t="s">
        <v>6677</v>
      </c>
      <c r="I2162" s="17">
        <v>28456</v>
      </c>
      <c r="K2162" s="4">
        <v>2000</v>
      </c>
      <c r="L2162" s="11" t="s">
        <v>10473</v>
      </c>
      <c r="M2162" s="11" t="s">
        <v>10472</v>
      </c>
      <c r="O2162" s="4" t="s">
        <v>19</v>
      </c>
      <c r="R2162" s="4" t="s">
        <v>16</v>
      </c>
    </row>
    <row r="2163" spans="1:18" x14ac:dyDescent="0.3">
      <c r="A2163" t="s">
        <v>6675</v>
      </c>
      <c r="C2163" s="3">
        <v>45621</v>
      </c>
      <c r="D2163" s="123" t="s">
        <v>6678</v>
      </c>
      <c r="E2163" s="11" t="s">
        <v>6754</v>
      </c>
      <c r="G2163" s="7" t="s">
        <v>6679</v>
      </c>
      <c r="I2163" s="17">
        <v>34774</v>
      </c>
      <c r="K2163" s="4">
        <v>2000</v>
      </c>
      <c r="L2163" s="11" t="s">
        <v>6680</v>
      </c>
      <c r="M2163" s="11" t="s">
        <v>6681</v>
      </c>
      <c r="O2163" s="4" t="s">
        <v>19</v>
      </c>
      <c r="R2163" s="4" t="s">
        <v>16</v>
      </c>
    </row>
    <row r="2164" spans="1:18" x14ac:dyDescent="0.3">
      <c r="A2164" t="s">
        <v>6682</v>
      </c>
      <c r="C2164" s="3">
        <v>45621</v>
      </c>
      <c r="D2164" s="123" t="s">
        <v>6683</v>
      </c>
      <c r="E2164" s="11" t="s">
        <v>6754</v>
      </c>
      <c r="G2164" s="7" t="s">
        <v>1488</v>
      </c>
      <c r="I2164" s="17">
        <v>29817</v>
      </c>
      <c r="K2164" s="4">
        <v>2000</v>
      </c>
      <c r="L2164" s="11" t="s">
        <v>6691</v>
      </c>
      <c r="M2164" s="11" t="s">
        <v>6692</v>
      </c>
      <c r="O2164" s="4" t="s">
        <v>19</v>
      </c>
      <c r="R2164" s="4" t="s">
        <v>16</v>
      </c>
    </row>
    <row r="2165" spans="1:18" x14ac:dyDescent="0.3">
      <c r="A2165" t="s">
        <v>6686</v>
      </c>
      <c r="C2165" s="3">
        <v>45621</v>
      </c>
      <c r="D2165" s="11" t="s">
        <v>6687</v>
      </c>
      <c r="E2165" s="11" t="s">
        <v>6823</v>
      </c>
      <c r="G2165" s="7" t="s">
        <v>6688</v>
      </c>
      <c r="I2165" s="17">
        <v>34972</v>
      </c>
      <c r="K2165" s="4">
        <v>500</v>
      </c>
      <c r="L2165" s="11" t="s">
        <v>6690</v>
      </c>
      <c r="M2165" s="11" t="s">
        <v>6689</v>
      </c>
      <c r="O2165" s="4" t="s">
        <v>19</v>
      </c>
      <c r="R2165" s="4" t="s">
        <v>16</v>
      </c>
    </row>
    <row r="2166" spans="1:18" x14ac:dyDescent="0.3">
      <c r="A2166" t="s">
        <v>6693</v>
      </c>
      <c r="C2166" s="3">
        <v>45622</v>
      </c>
      <c r="D2166" s="123" t="s">
        <v>6694</v>
      </c>
      <c r="E2166" s="11" t="s">
        <v>6720</v>
      </c>
      <c r="G2166" s="7" t="s">
        <v>6695</v>
      </c>
      <c r="I2166" s="17">
        <v>39014</v>
      </c>
      <c r="K2166" s="4">
        <v>2000</v>
      </c>
      <c r="L2166" s="11" t="s">
        <v>6696</v>
      </c>
      <c r="M2166" s="11" t="s">
        <v>6697</v>
      </c>
      <c r="O2166" s="4" t="s">
        <v>19</v>
      </c>
      <c r="R2166" s="4" t="s">
        <v>16</v>
      </c>
    </row>
    <row r="2167" spans="1:18" x14ac:dyDescent="0.3">
      <c r="A2167" t="s">
        <v>6705</v>
      </c>
      <c r="C2167" s="3">
        <v>45622</v>
      </c>
      <c r="D2167" s="11" t="s">
        <v>6706</v>
      </c>
      <c r="E2167" s="11" t="s">
        <v>5107</v>
      </c>
      <c r="G2167" s="7" t="s">
        <v>6707</v>
      </c>
      <c r="I2167" s="17">
        <v>26092</v>
      </c>
      <c r="K2167" s="4">
        <v>100</v>
      </c>
      <c r="L2167" s="11" t="s">
        <v>6709</v>
      </c>
      <c r="M2167" s="11" t="s">
        <v>6708</v>
      </c>
      <c r="O2167" s="4" t="s">
        <v>19</v>
      </c>
      <c r="R2167" s="4" t="s">
        <v>16</v>
      </c>
    </row>
    <row r="2168" spans="1:18" x14ac:dyDescent="0.3">
      <c r="A2168" t="s">
        <v>6710</v>
      </c>
      <c r="C2168" s="3">
        <v>45622</v>
      </c>
      <c r="D2168" s="11" t="s">
        <v>6714</v>
      </c>
      <c r="E2168" s="11" t="s">
        <v>6823</v>
      </c>
      <c r="G2168" s="7" t="s">
        <v>6711</v>
      </c>
      <c r="I2168" s="17">
        <v>23994</v>
      </c>
      <c r="K2168" s="4">
        <v>500</v>
      </c>
      <c r="L2168" s="11" t="s">
        <v>6712</v>
      </c>
      <c r="M2168" s="11" t="s">
        <v>6713</v>
      </c>
      <c r="O2168" s="4" t="s">
        <v>19</v>
      </c>
      <c r="R2168" s="4" t="s">
        <v>16</v>
      </c>
    </row>
    <row r="2169" spans="1:18" x14ac:dyDescent="0.3">
      <c r="A2169" t="s">
        <v>6719</v>
      </c>
      <c r="C2169" s="3">
        <v>45622</v>
      </c>
      <c r="D2169" s="11" t="s">
        <v>6721</v>
      </c>
      <c r="E2169" s="11" t="s">
        <v>6789</v>
      </c>
      <c r="G2169" s="7" t="s">
        <v>6722</v>
      </c>
      <c r="I2169" s="17">
        <v>34700</v>
      </c>
      <c r="K2169" s="4">
        <v>200</v>
      </c>
      <c r="L2169" s="11" t="s">
        <v>6723</v>
      </c>
      <c r="M2169" s="11" t="s">
        <v>6724</v>
      </c>
      <c r="O2169" s="4" t="s">
        <v>19</v>
      </c>
      <c r="R2169" s="4" t="s">
        <v>16</v>
      </c>
    </row>
    <row r="2170" spans="1:18" x14ac:dyDescent="0.3">
      <c r="A2170" t="s">
        <v>6729</v>
      </c>
      <c r="C2170" s="3">
        <v>45622</v>
      </c>
      <c r="D2170" s="11" t="s">
        <v>6733</v>
      </c>
      <c r="E2170" s="11" t="s">
        <v>6832</v>
      </c>
      <c r="G2170" s="7" t="s">
        <v>6732</v>
      </c>
      <c r="I2170" s="17">
        <v>31413</v>
      </c>
      <c r="K2170" s="4">
        <v>500</v>
      </c>
      <c r="L2170" s="11" t="s">
        <v>6730</v>
      </c>
      <c r="M2170" s="11" t="s">
        <v>6731</v>
      </c>
      <c r="O2170" s="4" t="s">
        <v>19</v>
      </c>
      <c r="R2170" s="4" t="s">
        <v>16</v>
      </c>
    </row>
    <row r="2171" spans="1:18" x14ac:dyDescent="0.3">
      <c r="A2171" t="s">
        <v>6735</v>
      </c>
      <c r="C2171" s="3">
        <v>45623</v>
      </c>
      <c r="D2171" s="11" t="s">
        <v>6736</v>
      </c>
      <c r="E2171" s="11" t="s">
        <v>6789</v>
      </c>
      <c r="G2171" s="7" t="s">
        <v>178</v>
      </c>
      <c r="K2171" s="4">
        <v>200</v>
      </c>
      <c r="M2171" s="11" t="s">
        <v>6737</v>
      </c>
      <c r="O2171" s="4" t="s">
        <v>19</v>
      </c>
      <c r="R2171" s="4" t="s">
        <v>16</v>
      </c>
    </row>
    <row r="2172" spans="1:18" x14ac:dyDescent="0.3">
      <c r="A2172" t="s">
        <v>6738</v>
      </c>
      <c r="C2172" s="3">
        <v>45623</v>
      </c>
      <c r="D2172" s="11" t="s">
        <v>6739</v>
      </c>
      <c r="E2172" s="11" t="s">
        <v>6789</v>
      </c>
      <c r="G2172" s="7" t="s">
        <v>339</v>
      </c>
      <c r="I2172" s="17">
        <v>29378</v>
      </c>
      <c r="K2172" s="4">
        <v>500</v>
      </c>
      <c r="L2172" s="11" t="s">
        <v>6741</v>
      </c>
      <c r="M2172" s="11" t="s">
        <v>6740</v>
      </c>
      <c r="O2172" s="4" t="s">
        <v>19</v>
      </c>
      <c r="R2172" s="4" t="s">
        <v>16</v>
      </c>
    </row>
    <row r="2173" spans="1:18" x14ac:dyDescent="0.3">
      <c r="A2173" t="s">
        <v>6745</v>
      </c>
      <c r="C2173" s="3">
        <v>45623</v>
      </c>
      <c r="D2173" s="11" t="s">
        <v>6746</v>
      </c>
      <c r="E2173" s="11" t="s">
        <v>6839</v>
      </c>
      <c r="G2173" s="7" t="s">
        <v>6747</v>
      </c>
      <c r="I2173" s="17">
        <v>26745</v>
      </c>
      <c r="K2173" s="4">
        <v>100</v>
      </c>
      <c r="L2173" s="11" t="s">
        <v>6748</v>
      </c>
      <c r="M2173" s="11" t="s">
        <v>6529</v>
      </c>
      <c r="O2173" s="4" t="s">
        <v>19</v>
      </c>
      <c r="R2173" s="4" t="s">
        <v>16</v>
      </c>
    </row>
    <row r="2174" spans="1:18" x14ac:dyDescent="0.3">
      <c r="A2174" t="s">
        <v>6749</v>
      </c>
      <c r="C2174" s="3">
        <v>45623</v>
      </c>
      <c r="D2174" s="11" t="s">
        <v>6750</v>
      </c>
      <c r="E2174" s="11" t="s">
        <v>6789</v>
      </c>
      <c r="G2174" s="7" t="s">
        <v>6751</v>
      </c>
      <c r="I2174" s="17">
        <v>27395</v>
      </c>
      <c r="K2174" s="4">
        <v>200</v>
      </c>
      <c r="L2174" s="11" t="s">
        <v>6752</v>
      </c>
      <c r="M2174" s="11" t="s">
        <v>6753</v>
      </c>
      <c r="O2174" s="4" t="s">
        <v>19</v>
      </c>
      <c r="R2174" s="4" t="s">
        <v>16</v>
      </c>
    </row>
    <row r="2175" spans="1:18" x14ac:dyDescent="0.3">
      <c r="A2175" t="s">
        <v>6758</v>
      </c>
      <c r="C2175" s="3">
        <v>45623</v>
      </c>
      <c r="D2175" s="11" t="s">
        <v>6757</v>
      </c>
      <c r="E2175" s="11" t="s">
        <v>6823</v>
      </c>
      <c r="G2175" s="7" t="s">
        <v>6759</v>
      </c>
      <c r="I2175" s="17">
        <v>34723</v>
      </c>
      <c r="K2175" s="4">
        <v>500</v>
      </c>
      <c r="L2175" s="11" t="s">
        <v>6760</v>
      </c>
      <c r="M2175" s="11" t="s">
        <v>6761</v>
      </c>
      <c r="O2175" s="4" t="s">
        <v>19</v>
      </c>
      <c r="R2175" s="4" t="s">
        <v>16</v>
      </c>
    </row>
    <row r="2176" spans="1:18" x14ac:dyDescent="0.3">
      <c r="A2176" t="s">
        <v>6768</v>
      </c>
      <c r="C2176" s="3">
        <v>45624</v>
      </c>
      <c r="D2176" s="11" t="s">
        <v>6769</v>
      </c>
      <c r="E2176" s="11" t="s">
        <v>6791</v>
      </c>
      <c r="G2176" s="7" t="s">
        <v>1452</v>
      </c>
      <c r="I2176" s="17">
        <v>31413</v>
      </c>
      <c r="K2176" s="4">
        <v>500</v>
      </c>
      <c r="L2176" s="11" t="s">
        <v>6770</v>
      </c>
      <c r="M2176" s="11" t="s">
        <v>6771</v>
      </c>
      <c r="O2176" s="4" t="s">
        <v>19</v>
      </c>
      <c r="R2176" s="4" t="s">
        <v>19</v>
      </c>
    </row>
    <row r="2177" spans="1:18" x14ac:dyDescent="0.3">
      <c r="A2177" t="s">
        <v>6772</v>
      </c>
      <c r="C2177" s="3">
        <v>45624</v>
      </c>
      <c r="D2177" s="11" t="s">
        <v>6773</v>
      </c>
      <c r="E2177" s="11" t="s">
        <v>6791</v>
      </c>
      <c r="G2177" s="7" t="s">
        <v>6774</v>
      </c>
      <c r="I2177" s="17">
        <v>14152</v>
      </c>
      <c r="K2177" s="4">
        <v>500</v>
      </c>
      <c r="L2177" s="11" t="s">
        <v>6775</v>
      </c>
      <c r="M2177" s="11" t="s">
        <v>6776</v>
      </c>
      <c r="O2177" s="4" t="s">
        <v>19</v>
      </c>
      <c r="R2177" s="4" t="s">
        <v>16</v>
      </c>
    </row>
    <row r="2178" spans="1:18" x14ac:dyDescent="0.3">
      <c r="A2178" t="s">
        <v>6777</v>
      </c>
      <c r="C2178" s="3">
        <v>45624</v>
      </c>
      <c r="D2178" s="11" t="s">
        <v>6778</v>
      </c>
      <c r="E2178" s="11" t="s">
        <v>6839</v>
      </c>
      <c r="G2178" s="7" t="s">
        <v>6779</v>
      </c>
      <c r="I2178" s="17">
        <v>33409</v>
      </c>
      <c r="K2178" s="4">
        <v>500</v>
      </c>
      <c r="L2178" s="11" t="s">
        <v>6780</v>
      </c>
      <c r="M2178" s="11" t="s">
        <v>6781</v>
      </c>
      <c r="N2178" s="11" t="s">
        <v>6782</v>
      </c>
      <c r="O2178" s="4" t="s">
        <v>19</v>
      </c>
      <c r="R2178" s="4" t="s">
        <v>16</v>
      </c>
    </row>
    <row r="2179" spans="1:18" x14ac:dyDescent="0.3">
      <c r="A2179" t="s">
        <v>6784</v>
      </c>
      <c r="C2179" s="3">
        <v>45624</v>
      </c>
      <c r="D2179" s="11" t="s">
        <v>6785</v>
      </c>
      <c r="E2179" s="11" t="s">
        <v>6823</v>
      </c>
      <c r="G2179" s="7" t="s">
        <v>6786</v>
      </c>
      <c r="I2179" s="17">
        <v>28336</v>
      </c>
      <c r="K2179" s="4">
        <v>500</v>
      </c>
      <c r="L2179" s="11" t="s">
        <v>6787</v>
      </c>
      <c r="M2179" s="11" t="s">
        <v>6788</v>
      </c>
      <c r="O2179" s="4" t="s">
        <v>19</v>
      </c>
      <c r="R2179" s="4" t="s">
        <v>16</v>
      </c>
    </row>
    <row r="2180" spans="1:18" x14ac:dyDescent="0.3">
      <c r="A2180" t="s">
        <v>6792</v>
      </c>
      <c r="C2180" s="3">
        <v>45625</v>
      </c>
      <c r="D2180" s="11" t="s">
        <v>6793</v>
      </c>
      <c r="E2180" s="11" t="s">
        <v>6839</v>
      </c>
      <c r="G2180" s="7" t="s">
        <v>6794</v>
      </c>
      <c r="K2180" s="4">
        <v>500</v>
      </c>
      <c r="L2180" s="11" t="s">
        <v>6804</v>
      </c>
      <c r="M2180" s="11" t="s">
        <v>6803</v>
      </c>
      <c r="O2180" s="4" t="s">
        <v>19</v>
      </c>
      <c r="R2180" s="4" t="s">
        <v>16</v>
      </c>
    </row>
    <row r="2181" spans="1:18" x14ac:dyDescent="0.3">
      <c r="A2181" t="s">
        <v>6795</v>
      </c>
      <c r="C2181" s="3">
        <v>45625</v>
      </c>
      <c r="D2181" s="11" t="s">
        <v>6799</v>
      </c>
      <c r="E2181" s="11" t="s">
        <v>6839</v>
      </c>
      <c r="G2181" s="7" t="s">
        <v>6800</v>
      </c>
      <c r="I2181" s="17">
        <v>29608</v>
      </c>
      <c r="K2181" s="4">
        <v>500</v>
      </c>
      <c r="L2181" s="11" t="s">
        <v>6801</v>
      </c>
      <c r="M2181" s="11" t="s">
        <v>6802</v>
      </c>
      <c r="O2181" s="4" t="s">
        <v>19</v>
      </c>
      <c r="R2181" s="4" t="s">
        <v>16</v>
      </c>
    </row>
    <row r="2182" spans="1:18" x14ac:dyDescent="0.3">
      <c r="A2182" t="s">
        <v>6810</v>
      </c>
      <c r="C2182" s="3">
        <v>45625</v>
      </c>
      <c r="D2182" s="11" t="s">
        <v>6811</v>
      </c>
      <c r="E2182" s="11" t="s">
        <v>6832</v>
      </c>
      <c r="G2182" s="7" t="s">
        <v>3807</v>
      </c>
      <c r="I2182" s="17">
        <v>29232</v>
      </c>
      <c r="K2182" s="4">
        <v>500</v>
      </c>
      <c r="L2182" s="11" t="s">
        <v>6812</v>
      </c>
      <c r="M2182" s="11" t="s">
        <v>6816</v>
      </c>
      <c r="O2182" s="4" t="s">
        <v>19</v>
      </c>
      <c r="R2182" s="4" t="s">
        <v>16</v>
      </c>
    </row>
    <row r="2183" spans="1:18" x14ac:dyDescent="0.3">
      <c r="A2183" t="s">
        <v>6813</v>
      </c>
      <c r="C2183" s="3">
        <v>45625</v>
      </c>
      <c r="D2183" s="11" t="s">
        <v>6814</v>
      </c>
      <c r="E2183" s="11" t="s">
        <v>6888</v>
      </c>
      <c r="G2183" s="7" t="s">
        <v>6821</v>
      </c>
      <c r="I2183" s="17">
        <v>38142</v>
      </c>
      <c r="K2183" s="4">
        <v>500</v>
      </c>
      <c r="L2183" s="11" t="s">
        <v>6822</v>
      </c>
      <c r="M2183" s="11" t="s">
        <v>6815</v>
      </c>
      <c r="O2183" s="4" t="s">
        <v>19</v>
      </c>
      <c r="R2183" s="4" t="s">
        <v>19</v>
      </c>
    </row>
    <row r="2184" spans="1:18" x14ac:dyDescent="0.3">
      <c r="A2184" t="s">
        <v>6817</v>
      </c>
      <c r="C2184" s="124">
        <v>45625</v>
      </c>
      <c r="D2184" s="123" t="s">
        <v>6819</v>
      </c>
      <c r="E2184" s="11" t="s">
        <v>6823</v>
      </c>
      <c r="G2184" s="7" t="s">
        <v>6820</v>
      </c>
      <c r="I2184" s="17">
        <v>38136</v>
      </c>
      <c r="K2184" s="4">
        <v>2000</v>
      </c>
      <c r="L2184" s="11" t="s">
        <v>6818</v>
      </c>
      <c r="M2184">
        <v>9113189146</v>
      </c>
      <c r="O2184" s="4" t="s">
        <v>19</v>
      </c>
      <c r="R2184" s="4" t="s">
        <v>16</v>
      </c>
    </row>
    <row r="2185" spans="1:18" x14ac:dyDescent="0.3">
      <c r="A2185" t="s">
        <v>6825</v>
      </c>
      <c r="C2185" s="3">
        <v>45626</v>
      </c>
      <c r="D2185" s="11" t="s">
        <v>6826</v>
      </c>
      <c r="E2185" s="11" t="s">
        <v>6994</v>
      </c>
      <c r="G2185" s="7" t="s">
        <v>6827</v>
      </c>
      <c r="I2185" s="17">
        <v>29874</v>
      </c>
      <c r="K2185" s="4">
        <v>500</v>
      </c>
      <c r="L2185" s="11" t="s">
        <v>6828</v>
      </c>
      <c r="M2185" s="11" t="s">
        <v>6829</v>
      </c>
      <c r="O2185" s="4" t="s">
        <v>19</v>
      </c>
      <c r="R2185" s="4" t="s">
        <v>16</v>
      </c>
    </row>
    <row r="2186" spans="1:18" x14ac:dyDescent="0.3">
      <c r="A2186" t="s">
        <v>6846</v>
      </c>
      <c r="C2186" s="3">
        <v>45628</v>
      </c>
      <c r="D2186" s="11" t="s">
        <v>6847</v>
      </c>
      <c r="E2186" s="11" t="s">
        <v>6888</v>
      </c>
      <c r="G2186" s="7" t="s">
        <v>6848</v>
      </c>
      <c r="K2186" s="4">
        <v>500</v>
      </c>
      <c r="L2186" s="11" t="s">
        <v>6887</v>
      </c>
      <c r="M2186" s="11" t="s">
        <v>6849</v>
      </c>
      <c r="O2186" s="4" t="s">
        <v>19</v>
      </c>
      <c r="R2186" s="4" t="s">
        <v>16</v>
      </c>
    </row>
    <row r="2187" spans="1:18" x14ac:dyDescent="0.3">
      <c r="A2187" t="s">
        <v>6850</v>
      </c>
      <c r="C2187" s="3">
        <v>45628</v>
      </c>
      <c r="D2187" s="11" t="s">
        <v>6854</v>
      </c>
      <c r="E2187" s="11" t="s">
        <v>6888</v>
      </c>
      <c r="G2187" s="7" t="s">
        <v>6858</v>
      </c>
      <c r="I2187" s="17">
        <v>27343</v>
      </c>
      <c r="K2187" s="4">
        <v>500</v>
      </c>
      <c r="L2187" s="11" t="s">
        <v>6859</v>
      </c>
      <c r="M2187" s="11" t="s">
        <v>6860</v>
      </c>
      <c r="O2187" s="4" t="s">
        <v>19</v>
      </c>
      <c r="R2187" s="4" t="s">
        <v>16</v>
      </c>
    </row>
    <row r="2188" spans="1:18" x14ac:dyDescent="0.3">
      <c r="A2188" t="s">
        <v>6853</v>
      </c>
      <c r="C2188" s="3">
        <v>45628</v>
      </c>
      <c r="D2188" s="11" t="s">
        <v>6855</v>
      </c>
      <c r="E2188" s="11" t="s">
        <v>6888</v>
      </c>
      <c r="G2188" s="7" t="s">
        <v>6861</v>
      </c>
      <c r="I2188" s="17">
        <v>35090</v>
      </c>
      <c r="K2188" s="4">
        <v>500</v>
      </c>
      <c r="L2188" s="11" t="s">
        <v>6856</v>
      </c>
      <c r="M2188" s="11" t="s">
        <v>6857</v>
      </c>
      <c r="O2188" s="4" t="s">
        <v>19</v>
      </c>
      <c r="R2188" s="4" t="s">
        <v>16</v>
      </c>
    </row>
    <row r="2189" spans="1:18" x14ac:dyDescent="0.3">
      <c r="A2189" t="s">
        <v>6871</v>
      </c>
      <c r="C2189" s="3">
        <v>45629</v>
      </c>
      <c r="D2189" s="11" t="s">
        <v>6872</v>
      </c>
      <c r="E2189" s="11" t="s">
        <v>6926</v>
      </c>
      <c r="G2189" s="7" t="s">
        <v>6884</v>
      </c>
      <c r="I2189" s="17">
        <v>29222</v>
      </c>
      <c r="K2189" s="4">
        <v>500</v>
      </c>
      <c r="L2189" s="11" t="s">
        <v>6885</v>
      </c>
      <c r="M2189" s="11" t="s">
        <v>6886</v>
      </c>
      <c r="O2189" s="4" t="s">
        <v>19</v>
      </c>
      <c r="R2189" s="4" t="s">
        <v>16</v>
      </c>
    </row>
    <row r="2190" spans="1:18" x14ac:dyDescent="0.3">
      <c r="A2190" t="s">
        <v>6873</v>
      </c>
      <c r="C2190" s="3">
        <v>45629</v>
      </c>
      <c r="D2190" s="11" t="s">
        <v>6874</v>
      </c>
      <c r="E2190" s="11" t="s">
        <v>5107</v>
      </c>
      <c r="G2190" s="7" t="s">
        <v>6877</v>
      </c>
      <c r="I2190" s="17">
        <v>25204</v>
      </c>
      <c r="K2190" s="4">
        <v>500</v>
      </c>
      <c r="L2190" s="11" t="s">
        <v>6875</v>
      </c>
      <c r="M2190" s="11" t="s">
        <v>6876</v>
      </c>
      <c r="O2190" s="4" t="s">
        <v>19</v>
      </c>
      <c r="R2190" s="4" t="s">
        <v>19</v>
      </c>
    </row>
    <row r="2191" spans="1:18" x14ac:dyDescent="0.3">
      <c r="A2191" t="s">
        <v>6878</v>
      </c>
      <c r="C2191" s="3">
        <v>45629</v>
      </c>
      <c r="D2191" s="11" t="s">
        <v>6879</v>
      </c>
      <c r="E2191" s="11" t="s">
        <v>7097</v>
      </c>
      <c r="G2191" s="7" t="s">
        <v>6880</v>
      </c>
      <c r="I2191" s="17">
        <v>28866</v>
      </c>
      <c r="K2191" s="4">
        <v>500</v>
      </c>
      <c r="L2191" s="11" t="s">
        <v>6881</v>
      </c>
      <c r="M2191" s="11" t="s">
        <v>6882</v>
      </c>
      <c r="O2191" s="4" t="s">
        <v>19</v>
      </c>
      <c r="R2191" s="4" t="s">
        <v>16</v>
      </c>
    </row>
    <row r="2192" spans="1:18" x14ac:dyDescent="0.3">
      <c r="A2192" t="s">
        <v>6895</v>
      </c>
      <c r="C2192" s="3">
        <v>45629</v>
      </c>
      <c r="D2192" s="11" t="s">
        <v>6896</v>
      </c>
      <c r="E2192" s="11" t="s">
        <v>6926</v>
      </c>
      <c r="G2192" s="7" t="s">
        <v>235</v>
      </c>
      <c r="I2192" s="17">
        <v>35493</v>
      </c>
      <c r="K2192" s="4">
        <v>500</v>
      </c>
      <c r="L2192" s="11" t="s">
        <v>6897</v>
      </c>
      <c r="M2192" s="11" t="s">
        <v>6898</v>
      </c>
      <c r="O2192" s="4" t="s">
        <v>19</v>
      </c>
      <c r="R2192" s="4" t="s">
        <v>16</v>
      </c>
    </row>
    <row r="2193" spans="1:18" x14ac:dyDescent="0.3">
      <c r="A2193" t="s">
        <v>6901</v>
      </c>
      <c r="C2193" s="3">
        <v>45629</v>
      </c>
      <c r="D2193" s="11" t="s">
        <v>6902</v>
      </c>
      <c r="E2193" s="11" t="s">
        <v>6996</v>
      </c>
      <c r="G2193" s="7" t="s">
        <v>6903</v>
      </c>
      <c r="I2193" s="17">
        <v>30312</v>
      </c>
      <c r="K2193" s="4">
        <v>500</v>
      </c>
      <c r="L2193" s="11" t="s">
        <v>6904</v>
      </c>
      <c r="M2193" s="11" t="s">
        <v>6997</v>
      </c>
      <c r="O2193" s="4" t="s">
        <v>19</v>
      </c>
      <c r="R2193" s="4" t="s">
        <v>16</v>
      </c>
    </row>
    <row r="2194" spans="1:18" x14ac:dyDescent="0.3">
      <c r="A2194" t="s">
        <v>6908</v>
      </c>
      <c r="C2194" s="124">
        <v>45630</v>
      </c>
      <c r="D2194" s="123" t="s">
        <v>6909</v>
      </c>
      <c r="E2194" s="11" t="s">
        <v>7058</v>
      </c>
      <c r="G2194" s="7" t="s">
        <v>6910</v>
      </c>
      <c r="I2194" s="17">
        <v>36526</v>
      </c>
      <c r="K2194" s="4">
        <v>2000</v>
      </c>
      <c r="L2194" s="11" t="s">
        <v>6911</v>
      </c>
      <c r="M2194" s="11" t="s">
        <v>7059</v>
      </c>
      <c r="O2194" s="4" t="s">
        <v>19</v>
      </c>
      <c r="R2194" s="4" t="s">
        <v>16</v>
      </c>
    </row>
    <row r="2195" spans="1:18" x14ac:dyDescent="0.3">
      <c r="A2195" t="s">
        <v>6913</v>
      </c>
      <c r="C2195" s="3">
        <v>45630</v>
      </c>
      <c r="D2195" s="11" t="s">
        <v>6914</v>
      </c>
      <c r="E2195" s="11" t="s">
        <v>6957</v>
      </c>
      <c r="G2195" s="7" t="s">
        <v>6915</v>
      </c>
      <c r="I2195" s="17">
        <v>33350</v>
      </c>
      <c r="K2195" s="4">
        <v>500</v>
      </c>
      <c r="L2195" s="11" t="s">
        <v>6916</v>
      </c>
      <c r="M2195" s="11" t="s">
        <v>6917</v>
      </c>
      <c r="O2195" s="3">
        <v>45667</v>
      </c>
      <c r="R2195" s="4" t="s">
        <v>16</v>
      </c>
    </row>
    <row r="2196" spans="1:18" x14ac:dyDescent="0.3">
      <c r="A2196" t="s">
        <v>6918</v>
      </c>
      <c r="C2196" s="3">
        <v>45630</v>
      </c>
      <c r="D2196" s="11" t="s">
        <v>6919</v>
      </c>
      <c r="E2196" s="11" t="s">
        <v>6957</v>
      </c>
      <c r="G2196" s="7" t="s">
        <v>6920</v>
      </c>
      <c r="I2196" s="17">
        <v>38897</v>
      </c>
      <c r="K2196" s="4">
        <v>500</v>
      </c>
      <c r="L2196" s="11" t="s">
        <v>6925</v>
      </c>
      <c r="M2196" s="11" t="s">
        <v>5558</v>
      </c>
      <c r="O2196" s="4" t="s">
        <v>19</v>
      </c>
      <c r="R2196" s="4" t="s">
        <v>16</v>
      </c>
    </row>
    <row r="2197" spans="1:18" x14ac:dyDescent="0.3">
      <c r="A2197" t="s">
        <v>6921</v>
      </c>
      <c r="C2197" s="3">
        <v>45630</v>
      </c>
      <c r="D2197" s="11" t="s">
        <v>6922</v>
      </c>
      <c r="E2197" s="11" t="s">
        <v>7021</v>
      </c>
      <c r="G2197" s="7" t="s">
        <v>1600</v>
      </c>
      <c r="I2197" s="17">
        <v>31233</v>
      </c>
      <c r="K2197" s="4">
        <v>500</v>
      </c>
      <c r="L2197" s="11" t="s">
        <v>6923</v>
      </c>
      <c r="M2197" s="11" t="s">
        <v>6924</v>
      </c>
      <c r="O2197" s="4" t="s">
        <v>19</v>
      </c>
      <c r="R2197" s="4" t="s">
        <v>16</v>
      </c>
    </row>
    <row r="2198" spans="1:18" x14ac:dyDescent="0.3">
      <c r="A2198" t="s">
        <v>6931</v>
      </c>
      <c r="C2198" s="3">
        <v>45631</v>
      </c>
      <c r="D2198" s="11" t="s">
        <v>6932</v>
      </c>
      <c r="E2198" s="11" t="s">
        <v>5107</v>
      </c>
      <c r="G2198" s="7" t="s">
        <v>6933</v>
      </c>
      <c r="I2198" s="17">
        <v>36388</v>
      </c>
      <c r="K2198" s="4">
        <v>500</v>
      </c>
      <c r="L2198" s="11" t="s">
        <v>6934</v>
      </c>
      <c r="O2198" s="4" t="s">
        <v>19</v>
      </c>
      <c r="R2198" s="4" t="s">
        <v>16</v>
      </c>
    </row>
    <row r="2199" spans="1:18" x14ac:dyDescent="0.3">
      <c r="A2199" t="s">
        <v>6939</v>
      </c>
      <c r="C2199" s="3">
        <v>45632</v>
      </c>
      <c r="D2199" s="11" t="s">
        <v>6940</v>
      </c>
      <c r="E2199" s="11" t="s">
        <v>7021</v>
      </c>
      <c r="G2199" s="7" t="s">
        <v>3225</v>
      </c>
      <c r="I2199" s="17">
        <v>31413</v>
      </c>
      <c r="K2199" s="4">
        <v>500</v>
      </c>
      <c r="L2199" s="11" t="s">
        <v>6941</v>
      </c>
      <c r="M2199" s="11" t="s">
        <v>6938</v>
      </c>
      <c r="O2199" s="4" t="s">
        <v>19</v>
      </c>
      <c r="R2199" s="4" t="s">
        <v>16</v>
      </c>
    </row>
    <row r="2200" spans="1:18" x14ac:dyDescent="0.3">
      <c r="A2200" t="s">
        <v>6942</v>
      </c>
      <c r="C2200" s="3">
        <v>45632</v>
      </c>
      <c r="D2200" s="11" t="s">
        <v>6943</v>
      </c>
      <c r="E2200" s="11" t="s">
        <v>7021</v>
      </c>
      <c r="G2200" s="7" t="s">
        <v>6944</v>
      </c>
      <c r="I2200" s="17">
        <v>26117</v>
      </c>
      <c r="K2200" s="4">
        <v>500</v>
      </c>
      <c r="L2200" s="11" t="s">
        <v>6945</v>
      </c>
      <c r="M2200" s="11" t="s">
        <v>6946</v>
      </c>
      <c r="O2200" s="4" t="s">
        <v>19</v>
      </c>
      <c r="R2200" s="4" t="s">
        <v>16</v>
      </c>
    </row>
    <row r="2201" spans="1:18" x14ac:dyDescent="0.3">
      <c r="A2201" t="s">
        <v>6949</v>
      </c>
      <c r="C2201" s="3">
        <v>45632</v>
      </c>
      <c r="D2201" s="11" t="s">
        <v>6950</v>
      </c>
      <c r="E2201" s="11" t="s">
        <v>7021</v>
      </c>
      <c r="G2201" s="7" t="s">
        <v>6951</v>
      </c>
      <c r="I2201" s="17">
        <v>38319</v>
      </c>
      <c r="K2201" s="4">
        <v>500</v>
      </c>
      <c r="L2201" s="11" t="s">
        <v>7023</v>
      </c>
      <c r="M2201" s="11" t="s">
        <v>7022</v>
      </c>
      <c r="O2201" s="4" t="s">
        <v>19</v>
      </c>
      <c r="R2201" s="4" t="s">
        <v>16</v>
      </c>
    </row>
    <row r="2202" spans="1:18" x14ac:dyDescent="0.3">
      <c r="A2202" t="s">
        <v>6952</v>
      </c>
      <c r="C2202" s="3">
        <v>45632</v>
      </c>
      <c r="D2202" s="11" t="s">
        <v>6953</v>
      </c>
      <c r="E2202" s="11" t="s">
        <v>7021</v>
      </c>
      <c r="G2202" s="7" t="s">
        <v>6954</v>
      </c>
      <c r="I2202" s="17">
        <v>38946</v>
      </c>
      <c r="K2202" s="4">
        <v>500</v>
      </c>
      <c r="L2202" s="11" t="s">
        <v>6955</v>
      </c>
      <c r="M2202" s="11" t="s">
        <v>6956</v>
      </c>
      <c r="O2202" s="4" t="s">
        <v>19</v>
      </c>
      <c r="R2202" s="4" t="s">
        <v>16</v>
      </c>
    </row>
    <row r="2203" spans="1:18" x14ac:dyDescent="0.3">
      <c r="A2203" t="s">
        <v>6958</v>
      </c>
      <c r="C2203" s="3">
        <v>45633</v>
      </c>
      <c r="D2203" s="11" t="s">
        <v>6961</v>
      </c>
      <c r="E2203" s="11" t="s">
        <v>7021</v>
      </c>
      <c r="G2203" s="7" t="s">
        <v>6962</v>
      </c>
      <c r="I2203" s="17">
        <v>21500</v>
      </c>
      <c r="K2203" s="4">
        <v>500</v>
      </c>
      <c r="L2203" s="11" t="s">
        <v>6960</v>
      </c>
      <c r="M2203" s="11" t="s">
        <v>6959</v>
      </c>
      <c r="O2203" s="4" t="s">
        <v>19</v>
      </c>
      <c r="R2203" s="4" t="s">
        <v>16</v>
      </c>
    </row>
    <row r="2204" spans="1:18" x14ac:dyDescent="0.3">
      <c r="A2204" t="s">
        <v>6970</v>
      </c>
      <c r="C2204" s="3">
        <v>45633</v>
      </c>
      <c r="D2204" s="11" t="s">
        <v>6965</v>
      </c>
      <c r="E2204" s="11" t="s">
        <v>7021</v>
      </c>
      <c r="G2204" s="7" t="s">
        <v>7018</v>
      </c>
      <c r="I2204" s="17">
        <v>22557</v>
      </c>
      <c r="K2204" s="4">
        <v>500</v>
      </c>
      <c r="L2204" s="11" t="s">
        <v>6967</v>
      </c>
      <c r="M2204" s="11" t="s">
        <v>6968</v>
      </c>
      <c r="O2204" s="4" t="s">
        <v>19</v>
      </c>
      <c r="R2204" s="4" t="s">
        <v>16</v>
      </c>
    </row>
    <row r="2205" spans="1:18" x14ac:dyDescent="0.3">
      <c r="A2205" t="s">
        <v>6964</v>
      </c>
      <c r="C2205" s="3">
        <v>45633</v>
      </c>
      <c r="D2205" s="11" t="s">
        <v>6971</v>
      </c>
      <c r="E2205" s="11" t="s">
        <v>7021</v>
      </c>
      <c r="G2205" s="7" t="s">
        <v>6972</v>
      </c>
      <c r="I2205" s="17">
        <v>29864</v>
      </c>
      <c r="K2205" s="4">
        <v>500</v>
      </c>
      <c r="L2205" s="11" t="s">
        <v>6973</v>
      </c>
      <c r="M2205" s="11" t="s">
        <v>6974</v>
      </c>
      <c r="O2205" s="4" t="s">
        <v>19</v>
      </c>
      <c r="R2205" s="4" t="s">
        <v>16</v>
      </c>
    </row>
    <row r="2206" spans="1:18" x14ac:dyDescent="0.3">
      <c r="A2206" t="s">
        <v>6975</v>
      </c>
      <c r="C2206" s="3">
        <v>45633</v>
      </c>
      <c r="D2206" s="11" t="s">
        <v>6976</v>
      </c>
      <c r="E2206" s="11" t="s">
        <v>7043</v>
      </c>
      <c r="G2206" s="7" t="s">
        <v>6977</v>
      </c>
      <c r="I2206" s="17">
        <v>38644</v>
      </c>
      <c r="K2206" s="4">
        <v>500</v>
      </c>
      <c r="L2206" s="11" t="s">
        <v>6978</v>
      </c>
      <c r="M2206" s="11" t="s">
        <v>6979</v>
      </c>
      <c r="N2206" s="11" t="s">
        <v>6980</v>
      </c>
      <c r="O2206" s="4" t="s">
        <v>19</v>
      </c>
      <c r="R2206" s="4" t="s">
        <v>16</v>
      </c>
    </row>
    <row r="2207" spans="1:18" x14ac:dyDescent="0.3">
      <c r="C2207" s="3">
        <v>45635</v>
      </c>
      <c r="D2207" s="11" t="s">
        <v>6987</v>
      </c>
      <c r="E2207" s="11" t="s">
        <v>7007</v>
      </c>
      <c r="G2207" s="7" t="s">
        <v>6988</v>
      </c>
      <c r="I2207" s="17">
        <v>28490</v>
      </c>
      <c r="K2207" s="4">
        <v>1000</v>
      </c>
      <c r="L2207" s="11" t="s">
        <v>6989</v>
      </c>
      <c r="M2207" s="11" t="s">
        <v>6990</v>
      </c>
      <c r="O2207" s="4" t="s">
        <v>19</v>
      </c>
      <c r="R2207" s="4" t="s">
        <v>16</v>
      </c>
    </row>
    <row r="2208" spans="1:18" x14ac:dyDescent="0.3">
      <c r="A2208" t="s">
        <v>6999</v>
      </c>
      <c r="C2208" s="3">
        <v>45636</v>
      </c>
      <c r="D2208" s="11" t="s">
        <v>7000</v>
      </c>
      <c r="E2208" s="11" t="s">
        <v>7542</v>
      </c>
      <c r="G2208" s="7" t="s">
        <v>7001</v>
      </c>
      <c r="I2208" s="17">
        <v>36772</v>
      </c>
      <c r="K2208" s="4">
        <v>500</v>
      </c>
      <c r="L2208" s="11" t="s">
        <v>7002</v>
      </c>
      <c r="M2208" s="11" t="s">
        <v>7003</v>
      </c>
      <c r="O2208" s="4" t="s">
        <v>19</v>
      </c>
      <c r="R2208" s="4" t="s">
        <v>16</v>
      </c>
    </row>
    <row r="2209" spans="1:18" x14ac:dyDescent="0.3">
      <c r="A2209" t="s">
        <v>7008</v>
      </c>
      <c r="C2209" s="3">
        <v>45636</v>
      </c>
      <c r="D2209" s="11" t="s">
        <v>7009</v>
      </c>
      <c r="E2209" s="11" t="s">
        <v>7058</v>
      </c>
      <c r="G2209" s="7" t="s">
        <v>7010</v>
      </c>
      <c r="K2209" s="4">
        <v>500</v>
      </c>
      <c r="L2209" s="11" t="s">
        <v>7071</v>
      </c>
      <c r="M2209" s="11" t="s">
        <v>7072</v>
      </c>
      <c r="O2209" s="4" t="s">
        <v>19</v>
      </c>
      <c r="R2209" s="4" t="s">
        <v>16</v>
      </c>
    </row>
    <row r="2210" spans="1:18" x14ac:dyDescent="0.3">
      <c r="A2210" t="s">
        <v>7012</v>
      </c>
      <c r="C2210" s="3">
        <v>45636</v>
      </c>
      <c r="D2210" s="11" t="s">
        <v>7013</v>
      </c>
      <c r="E2210" s="11" t="s">
        <v>7058</v>
      </c>
      <c r="G2210" s="7" t="s">
        <v>7014</v>
      </c>
      <c r="I2210" s="17">
        <v>31314</v>
      </c>
      <c r="K2210" s="4">
        <v>500</v>
      </c>
      <c r="L2210" s="11" t="s">
        <v>7015</v>
      </c>
      <c r="M2210" s="11" t="s">
        <v>7016</v>
      </c>
      <c r="O2210" s="4" t="s">
        <v>19</v>
      </c>
      <c r="R2210" s="4" t="s">
        <v>16</v>
      </c>
    </row>
    <row r="2211" spans="1:18" x14ac:dyDescent="0.3">
      <c r="A2211" t="s">
        <v>7028</v>
      </c>
      <c r="C2211" s="3">
        <v>45637</v>
      </c>
      <c r="D2211" s="11" t="s">
        <v>7030</v>
      </c>
      <c r="E2211" s="11" t="s">
        <v>7058</v>
      </c>
      <c r="G2211" s="65" t="s">
        <v>7031</v>
      </c>
      <c r="I2211" s="17">
        <v>31448</v>
      </c>
      <c r="K2211" s="4">
        <v>500</v>
      </c>
      <c r="L2211" s="11" t="s">
        <v>7034</v>
      </c>
      <c r="M2211" s="11" t="s">
        <v>7032</v>
      </c>
      <c r="N2211" s="11" t="s">
        <v>7033</v>
      </c>
      <c r="O2211" s="4" t="s">
        <v>19</v>
      </c>
      <c r="R2211" s="4" t="s">
        <v>16</v>
      </c>
    </row>
    <row r="2212" spans="1:18" x14ac:dyDescent="0.3">
      <c r="A2212" t="s">
        <v>7062</v>
      </c>
      <c r="C2212" s="3">
        <v>45639</v>
      </c>
      <c r="D2212" s="11" t="s">
        <v>7063</v>
      </c>
      <c r="E2212" s="11" t="s">
        <v>7078</v>
      </c>
      <c r="G2212" s="7" t="s">
        <v>7064</v>
      </c>
      <c r="I2212" s="17">
        <v>37742</v>
      </c>
      <c r="K2212" s="4">
        <v>500</v>
      </c>
      <c r="L2212" s="11" t="s">
        <v>7065</v>
      </c>
      <c r="M2212" s="11" t="s">
        <v>7066</v>
      </c>
      <c r="O2212" s="4" t="s">
        <v>19</v>
      </c>
      <c r="R2212" s="4" t="s">
        <v>16</v>
      </c>
    </row>
    <row r="2213" spans="1:18" x14ac:dyDescent="0.3">
      <c r="A2213" t="s">
        <v>7067</v>
      </c>
      <c r="C2213" s="3">
        <v>45639</v>
      </c>
      <c r="D2213" s="11" t="s">
        <v>7068</v>
      </c>
      <c r="E2213" s="11" t="s">
        <v>7101</v>
      </c>
      <c r="G2213" s="7" t="s">
        <v>7069</v>
      </c>
      <c r="I2213" s="17">
        <v>41641</v>
      </c>
      <c r="K2213" s="4">
        <v>500</v>
      </c>
      <c r="L2213" s="11" t="s">
        <v>7070</v>
      </c>
      <c r="M2213" s="11" t="s">
        <v>2168</v>
      </c>
      <c r="O2213" s="4" t="s">
        <v>19</v>
      </c>
      <c r="R2213" s="4" t="s">
        <v>19</v>
      </c>
    </row>
    <row r="2214" spans="1:18" x14ac:dyDescent="0.3">
      <c r="A2214" t="s">
        <v>7073</v>
      </c>
      <c r="C2214" s="3">
        <v>45640</v>
      </c>
      <c r="D2214" s="11" t="s">
        <v>7074</v>
      </c>
      <c r="E2214" s="11" t="s">
        <v>7152</v>
      </c>
      <c r="G2214" s="7" t="s">
        <v>7075</v>
      </c>
      <c r="I2214" s="17">
        <v>27573</v>
      </c>
      <c r="K2214" s="4">
        <v>500</v>
      </c>
      <c r="L2214" s="11" t="s">
        <v>7077</v>
      </c>
      <c r="M2214" s="11" t="s">
        <v>7076</v>
      </c>
      <c r="O2214" s="4" t="s">
        <v>19</v>
      </c>
      <c r="R2214" s="4" t="s">
        <v>16</v>
      </c>
    </row>
    <row r="2215" spans="1:18" x14ac:dyDescent="0.3">
      <c r="A2215" t="s">
        <v>7079</v>
      </c>
      <c r="C2215" s="3">
        <v>45640</v>
      </c>
      <c r="D2215" s="11" t="s">
        <v>7081</v>
      </c>
      <c r="E2215" s="11" t="s">
        <v>7097</v>
      </c>
      <c r="G2215" s="7" t="s">
        <v>7082</v>
      </c>
      <c r="I2215" s="17">
        <v>31227</v>
      </c>
      <c r="K2215" s="4">
        <v>500</v>
      </c>
      <c r="L2215" s="11" t="s">
        <v>7100</v>
      </c>
      <c r="M2215" s="11" t="s">
        <v>7099</v>
      </c>
      <c r="O2215" s="4" t="s">
        <v>19</v>
      </c>
      <c r="R2215" s="4" t="s">
        <v>16</v>
      </c>
    </row>
    <row r="2216" spans="1:18" x14ac:dyDescent="0.3">
      <c r="A2216" t="s">
        <v>7083</v>
      </c>
      <c r="C2216" s="3">
        <v>45640</v>
      </c>
      <c r="D2216" s="11" t="s">
        <v>7085</v>
      </c>
      <c r="E2216" s="11" t="s">
        <v>5107</v>
      </c>
      <c r="G2216" s="7" t="s">
        <v>7084</v>
      </c>
      <c r="I2216" s="17">
        <v>39062</v>
      </c>
      <c r="K2216" s="4">
        <v>1000</v>
      </c>
      <c r="L2216" s="11" t="s">
        <v>7086</v>
      </c>
      <c r="M2216" s="11" t="s">
        <v>7087</v>
      </c>
      <c r="N2216" s="11" t="s">
        <v>7088</v>
      </c>
      <c r="O2216" s="4" t="s">
        <v>19</v>
      </c>
      <c r="R2216" s="4" t="s">
        <v>16</v>
      </c>
    </row>
    <row r="2217" spans="1:18" x14ac:dyDescent="0.3">
      <c r="A2217" t="s">
        <v>7092</v>
      </c>
      <c r="C2217" s="3">
        <v>45642</v>
      </c>
      <c r="D2217" s="11" t="s">
        <v>7093</v>
      </c>
      <c r="E2217" s="11" t="s">
        <v>5107</v>
      </c>
      <c r="G2217" s="7" t="s">
        <v>7094</v>
      </c>
      <c r="I2217" s="17">
        <v>37845</v>
      </c>
      <c r="K2217" s="4">
        <v>500</v>
      </c>
      <c r="L2217" s="11" t="s">
        <v>7095</v>
      </c>
      <c r="M2217" s="11" t="s">
        <v>7096</v>
      </c>
      <c r="O2217" s="4" t="s">
        <v>19</v>
      </c>
      <c r="R2217" s="4" t="s">
        <v>16</v>
      </c>
    </row>
    <row r="2218" spans="1:18" x14ac:dyDescent="0.3">
      <c r="A2218" t="s">
        <v>7102</v>
      </c>
      <c r="C2218" s="3">
        <v>45643</v>
      </c>
      <c r="D2218" s="11" t="s">
        <v>7103</v>
      </c>
      <c r="E2218" s="11" t="s">
        <v>7112</v>
      </c>
      <c r="G2218" s="7" t="s">
        <v>7104</v>
      </c>
      <c r="I2218" s="17">
        <v>30328</v>
      </c>
      <c r="K2218" s="4">
        <v>500</v>
      </c>
      <c r="L2218" s="11" t="s">
        <v>7105</v>
      </c>
      <c r="M2218" s="11" t="s">
        <v>7106</v>
      </c>
      <c r="O2218" s="4" t="s">
        <v>19</v>
      </c>
      <c r="R2218" s="4" t="s">
        <v>16</v>
      </c>
    </row>
    <row r="2219" spans="1:18" x14ac:dyDescent="0.3">
      <c r="A2219" t="s">
        <v>7125</v>
      </c>
      <c r="C2219" s="3">
        <v>45646</v>
      </c>
      <c r="D2219" s="11" t="s">
        <v>7129</v>
      </c>
      <c r="E2219" s="11" t="s">
        <v>7194</v>
      </c>
      <c r="G2219" s="7" t="s">
        <v>7128</v>
      </c>
      <c r="I2219" s="17">
        <v>28713</v>
      </c>
      <c r="K2219" s="4">
        <v>500</v>
      </c>
      <c r="L2219" s="11" t="s">
        <v>7127</v>
      </c>
      <c r="M2219" s="11" t="s">
        <v>7126</v>
      </c>
      <c r="O2219" s="4" t="s">
        <v>19</v>
      </c>
      <c r="R2219" s="4" t="s">
        <v>15</v>
      </c>
    </row>
    <row r="2220" spans="1:18" x14ac:dyDescent="0.3">
      <c r="A2220" t="s">
        <v>7144</v>
      </c>
      <c r="C2220" s="3">
        <v>45650</v>
      </c>
      <c r="D2220" s="11" t="s">
        <v>7145</v>
      </c>
      <c r="E2220" s="11" t="s">
        <v>7194</v>
      </c>
      <c r="G2220" s="7" t="s">
        <v>7146</v>
      </c>
      <c r="I2220" s="17">
        <v>27338</v>
      </c>
      <c r="K2220" s="4">
        <v>500</v>
      </c>
      <c r="L2220" s="11" t="s">
        <v>7147</v>
      </c>
      <c r="M2220" s="11" t="s">
        <v>7148</v>
      </c>
      <c r="O2220" s="4" t="s">
        <v>19</v>
      </c>
      <c r="R2220" s="4" t="s">
        <v>16</v>
      </c>
    </row>
    <row r="2221" spans="1:18" x14ac:dyDescent="0.3">
      <c r="A2221" t="s">
        <v>7157</v>
      </c>
      <c r="C2221" s="3">
        <v>45652</v>
      </c>
      <c r="D2221" s="11" t="s">
        <v>7158</v>
      </c>
      <c r="E2221" s="11" t="s">
        <v>7192</v>
      </c>
      <c r="G2221" s="7" t="s">
        <v>7159</v>
      </c>
      <c r="I2221" s="17">
        <v>34028</v>
      </c>
      <c r="K2221" s="4">
        <v>500</v>
      </c>
      <c r="L2221" s="11" t="s">
        <v>7160</v>
      </c>
      <c r="M2221" s="11" t="s">
        <v>7161</v>
      </c>
      <c r="O2221" s="4" t="s">
        <v>19</v>
      </c>
      <c r="R2221" s="4" t="s">
        <v>16</v>
      </c>
    </row>
    <row r="2222" spans="1:18" x14ac:dyDescent="0.3">
      <c r="A2222" t="s">
        <v>7164</v>
      </c>
      <c r="C2222" s="3">
        <v>45652</v>
      </c>
      <c r="D2222" s="11" t="s">
        <v>7166</v>
      </c>
      <c r="E2222" s="11" t="s">
        <v>7191</v>
      </c>
      <c r="G2222" s="7" t="s">
        <v>99</v>
      </c>
      <c r="I2222" s="17">
        <v>33822</v>
      </c>
      <c r="K2222" s="4">
        <v>500</v>
      </c>
      <c r="L2222" s="11" t="s">
        <v>7184</v>
      </c>
      <c r="M2222" s="11" t="s">
        <v>9110</v>
      </c>
      <c r="O2222" s="4" t="s">
        <v>19</v>
      </c>
      <c r="R2222" s="4" t="s">
        <v>16</v>
      </c>
    </row>
    <row r="2223" spans="1:18" x14ac:dyDescent="0.3">
      <c r="A2223" t="s">
        <v>7165</v>
      </c>
      <c r="C2223" s="3">
        <v>45652</v>
      </c>
      <c r="D2223" s="11" t="s">
        <v>7167</v>
      </c>
      <c r="E2223" s="11" t="s">
        <v>7192</v>
      </c>
      <c r="G2223" s="7" t="s">
        <v>620</v>
      </c>
      <c r="I2223" s="17">
        <v>38887</v>
      </c>
      <c r="K2223" s="4">
        <v>500</v>
      </c>
      <c r="L2223" s="11" t="s">
        <v>7182</v>
      </c>
      <c r="M2223" s="11" t="s">
        <v>7168</v>
      </c>
      <c r="O2223" s="4" t="s">
        <v>19</v>
      </c>
      <c r="R2223" s="4" t="s">
        <v>19</v>
      </c>
    </row>
    <row r="2224" spans="1:18" x14ac:dyDescent="0.3">
      <c r="A2224" t="s">
        <v>7169</v>
      </c>
      <c r="C2224" s="3">
        <v>45652</v>
      </c>
      <c r="D2224" s="11" t="s">
        <v>7170</v>
      </c>
      <c r="E2224" s="11" t="s">
        <v>7191</v>
      </c>
      <c r="G2224" s="7" t="s">
        <v>7171</v>
      </c>
      <c r="I2224" s="17">
        <v>32857</v>
      </c>
      <c r="K2224" s="4">
        <v>500</v>
      </c>
      <c r="L2224" s="11" t="s">
        <v>7183</v>
      </c>
      <c r="M2224" s="11" t="s">
        <v>3998</v>
      </c>
      <c r="O2224" s="4" t="s">
        <v>19</v>
      </c>
      <c r="R2224" s="4" t="s">
        <v>16</v>
      </c>
    </row>
    <row r="2225" spans="1:18" x14ac:dyDescent="0.3">
      <c r="A2225" t="s">
        <v>7177</v>
      </c>
      <c r="C2225" s="3">
        <v>45653</v>
      </c>
      <c r="D2225" s="11" t="s">
        <v>7178</v>
      </c>
      <c r="E2225" s="11" t="s">
        <v>7194</v>
      </c>
      <c r="G2225" s="7" t="s">
        <v>7179</v>
      </c>
      <c r="I2225" s="17">
        <v>19937</v>
      </c>
      <c r="K2225" s="4">
        <v>500</v>
      </c>
      <c r="L2225" s="11" t="s">
        <v>7181</v>
      </c>
      <c r="M2225" s="11" t="s">
        <v>7180</v>
      </c>
      <c r="O2225" s="4" t="s">
        <v>19</v>
      </c>
      <c r="R2225" s="4" t="s">
        <v>16</v>
      </c>
    </row>
    <row r="2226" spans="1:18" x14ac:dyDescent="0.3">
      <c r="A2226" t="s">
        <v>7185</v>
      </c>
      <c r="C2226" s="3">
        <v>45653</v>
      </c>
      <c r="D2226" s="11" t="s">
        <v>7186</v>
      </c>
      <c r="E2226" s="11" t="s">
        <v>7193</v>
      </c>
      <c r="G2226" s="7" t="s">
        <v>7187</v>
      </c>
      <c r="I2226" s="17">
        <v>35431</v>
      </c>
      <c r="K2226" s="4">
        <v>1000</v>
      </c>
      <c r="L2226" s="11" t="s">
        <v>7188</v>
      </c>
      <c r="M2226" s="11" t="s">
        <v>7189</v>
      </c>
      <c r="O2226" s="3">
        <v>46190</v>
      </c>
      <c r="P2226" s="3">
        <v>46190</v>
      </c>
      <c r="R2226" s="4" t="s">
        <v>10773</v>
      </c>
    </row>
    <row r="2227" spans="1:18" ht="14.4" x14ac:dyDescent="0.3">
      <c r="A2227" t="s">
        <v>7203</v>
      </c>
      <c r="C2227" s="3">
        <v>45661</v>
      </c>
      <c r="D2227" s="11" t="s">
        <v>7204</v>
      </c>
      <c r="E2227" s="11" t="s">
        <v>7609</v>
      </c>
      <c r="G2227" s="7" t="s">
        <v>7209</v>
      </c>
      <c r="I2227" s="11" t="s">
        <v>7205</v>
      </c>
      <c r="K2227" s="4">
        <v>500</v>
      </c>
      <c r="L2227" s="11" t="s">
        <v>7210</v>
      </c>
      <c r="M2227" s="11" t="s">
        <v>7206</v>
      </c>
      <c r="N2227" s="11" t="s">
        <v>7207</v>
      </c>
      <c r="O2227" s="4" t="s">
        <v>19</v>
      </c>
      <c r="R2227" s="4" t="s">
        <v>16</v>
      </c>
    </row>
    <row r="2228" spans="1:18" x14ac:dyDescent="0.3">
      <c r="A2228" t="s">
        <v>7213</v>
      </c>
      <c r="C2228" s="3">
        <v>45297</v>
      </c>
      <c r="D2228" s="11" t="s">
        <v>7214</v>
      </c>
      <c r="E2228" s="11" t="s">
        <v>7233</v>
      </c>
      <c r="G2228" s="7" t="s">
        <v>7232</v>
      </c>
      <c r="K2228" s="4">
        <v>500</v>
      </c>
      <c r="M2228" s="11" t="s">
        <v>7234</v>
      </c>
      <c r="O2228" s="4" t="s">
        <v>19</v>
      </c>
      <c r="R2228" s="4" t="s">
        <v>16</v>
      </c>
    </row>
    <row r="2229" spans="1:18" x14ac:dyDescent="0.3">
      <c r="A2229" t="s">
        <v>7217</v>
      </c>
      <c r="C2229" s="3">
        <v>45297</v>
      </c>
      <c r="D2229" s="11" t="s">
        <v>7218</v>
      </c>
      <c r="E2229" s="11" t="s">
        <v>7233</v>
      </c>
      <c r="G2229" s="7" t="s">
        <v>7239</v>
      </c>
      <c r="K2229" s="4">
        <v>500</v>
      </c>
      <c r="M2229" s="11" t="s">
        <v>7219</v>
      </c>
      <c r="O2229" s="4" t="s">
        <v>19</v>
      </c>
      <c r="R2229" s="4" t="s">
        <v>16</v>
      </c>
    </row>
    <row r="2230" spans="1:18" ht="14.4" x14ac:dyDescent="0.3">
      <c r="A2230" t="s">
        <v>7222</v>
      </c>
      <c r="C2230" s="3">
        <v>45297</v>
      </c>
      <c r="D2230" s="11" t="s">
        <v>7223</v>
      </c>
      <c r="E2230" s="11" t="s">
        <v>7458</v>
      </c>
      <c r="G2230" s="7" t="s">
        <v>7227</v>
      </c>
      <c r="I2230" s="11" t="s">
        <v>7226</v>
      </c>
      <c r="K2230" s="4">
        <v>500</v>
      </c>
      <c r="L2230" s="11" t="s">
        <v>7225</v>
      </c>
      <c r="M2230" s="11" t="s">
        <v>7224</v>
      </c>
      <c r="O2230" s="4" t="s">
        <v>19</v>
      </c>
      <c r="R2230" s="4" t="s">
        <v>16</v>
      </c>
    </row>
    <row r="2231" spans="1:18" x14ac:dyDescent="0.3">
      <c r="A2231" t="s">
        <v>7285</v>
      </c>
      <c r="C2231" s="3">
        <v>45666</v>
      </c>
      <c r="D2231" s="11" t="s">
        <v>7286</v>
      </c>
      <c r="E2231" s="11" t="s">
        <v>7389</v>
      </c>
      <c r="G2231" s="7" t="s">
        <v>7287</v>
      </c>
      <c r="K2231" s="4">
        <v>500</v>
      </c>
      <c r="L2231" s="11" t="s">
        <v>7288</v>
      </c>
      <c r="M2231" s="11" t="s">
        <v>7390</v>
      </c>
      <c r="O2231" s="4" t="s">
        <v>19</v>
      </c>
      <c r="R2231" s="4" t="s">
        <v>16</v>
      </c>
    </row>
    <row r="2232" spans="1:18" x14ac:dyDescent="0.3">
      <c r="A2232" t="s">
        <v>7301</v>
      </c>
      <c r="C2232" s="3">
        <v>45666</v>
      </c>
      <c r="D2232" s="11" t="s">
        <v>7302</v>
      </c>
      <c r="E2232" s="11" t="s">
        <v>5107</v>
      </c>
      <c r="G2232" s="7" t="s">
        <v>7303</v>
      </c>
      <c r="I2232" s="17">
        <v>34700</v>
      </c>
      <c r="K2232" s="4">
        <v>500</v>
      </c>
      <c r="L2232" s="11" t="s">
        <v>7320</v>
      </c>
      <c r="O2232" s="4" t="s">
        <v>19</v>
      </c>
      <c r="R2232" s="4" t="s">
        <v>16</v>
      </c>
    </row>
    <row r="2233" spans="1:18" x14ac:dyDescent="0.3">
      <c r="A2233" t="s">
        <v>7304</v>
      </c>
      <c r="C2233" s="3">
        <v>45667</v>
      </c>
      <c r="D2233" s="11" t="s">
        <v>7305</v>
      </c>
      <c r="E2233" s="11" t="s">
        <v>7960</v>
      </c>
      <c r="G2233" s="7" t="s">
        <v>7308</v>
      </c>
      <c r="I2233" s="17">
        <v>35963</v>
      </c>
      <c r="K2233" s="4">
        <v>500</v>
      </c>
      <c r="L2233" s="11" t="s">
        <v>7307</v>
      </c>
      <c r="M2233" s="11" t="s">
        <v>7306</v>
      </c>
      <c r="O2233" s="4" t="s">
        <v>19</v>
      </c>
      <c r="R2233" s="4" t="s">
        <v>19</v>
      </c>
    </row>
    <row r="2234" spans="1:18" x14ac:dyDescent="0.3">
      <c r="A2234" t="s">
        <v>7309</v>
      </c>
      <c r="C2234" s="3">
        <v>45667</v>
      </c>
      <c r="D2234" s="11" t="s">
        <v>7310</v>
      </c>
      <c r="E2234" s="11" t="s">
        <v>7960</v>
      </c>
      <c r="G2234" s="7" t="s">
        <v>7311</v>
      </c>
      <c r="I2234" s="17">
        <v>36495</v>
      </c>
      <c r="K2234" s="4">
        <v>500</v>
      </c>
      <c r="L2234" s="11" t="s">
        <v>7321</v>
      </c>
      <c r="M2234" s="11" t="s">
        <v>7322</v>
      </c>
      <c r="O2234" s="4" t="s">
        <v>19</v>
      </c>
      <c r="R2234" s="4" t="s">
        <v>19</v>
      </c>
    </row>
    <row r="2235" spans="1:18" x14ac:dyDescent="0.3">
      <c r="A2235" t="s">
        <v>7335</v>
      </c>
      <c r="C2235" s="3">
        <v>45668</v>
      </c>
      <c r="D2235" s="11" t="s">
        <v>7336</v>
      </c>
      <c r="E2235" s="11" t="s">
        <v>5107</v>
      </c>
      <c r="G2235" s="7" t="s">
        <v>7337</v>
      </c>
      <c r="I2235" s="17">
        <v>31413</v>
      </c>
      <c r="K2235" s="4">
        <v>500</v>
      </c>
      <c r="L2235" s="11" t="s">
        <v>7338</v>
      </c>
      <c r="M2235" s="11" t="s">
        <v>7339</v>
      </c>
      <c r="O2235" s="4" t="s">
        <v>19</v>
      </c>
      <c r="P2235" s="4" t="s">
        <v>19</v>
      </c>
      <c r="Q2235" s="4" t="s">
        <v>19</v>
      </c>
      <c r="R2235" s="4" t="s">
        <v>16</v>
      </c>
    </row>
    <row r="2236" spans="1:18" x14ac:dyDescent="0.3">
      <c r="A2236" t="s">
        <v>7363</v>
      </c>
      <c r="C2236" s="3">
        <v>45671</v>
      </c>
      <c r="D2236" s="11" t="s">
        <v>7364</v>
      </c>
      <c r="E2236" s="11" t="s">
        <v>5107</v>
      </c>
      <c r="G2236" s="7" t="s">
        <v>7365</v>
      </c>
      <c r="I2236" s="17">
        <v>30786</v>
      </c>
      <c r="K2236" s="4">
        <v>500</v>
      </c>
      <c r="L2236" s="11" t="s">
        <v>7366</v>
      </c>
      <c r="M2236" s="11" t="s">
        <v>7367</v>
      </c>
      <c r="O2236" s="4" t="s">
        <v>19</v>
      </c>
      <c r="P2236" s="4" t="s">
        <v>19</v>
      </c>
      <c r="Q2236" s="4" t="s">
        <v>19</v>
      </c>
      <c r="R2236" s="4" t="s">
        <v>16</v>
      </c>
    </row>
    <row r="2237" spans="1:18" x14ac:dyDescent="0.3">
      <c r="A2237" t="s">
        <v>7369</v>
      </c>
      <c r="C2237" s="3">
        <v>45671</v>
      </c>
      <c r="D2237" s="11" t="s">
        <v>7370</v>
      </c>
      <c r="E2237" s="11" t="s">
        <v>5107</v>
      </c>
      <c r="G2237" s="7" t="s">
        <v>7371</v>
      </c>
      <c r="H2237" s="7" t="s">
        <v>7368</v>
      </c>
      <c r="I2237" s="17">
        <v>39912</v>
      </c>
      <c r="K2237" s="4">
        <v>500</v>
      </c>
      <c r="O2237" s="4" t="s">
        <v>19</v>
      </c>
      <c r="P2237" s="4" t="s">
        <v>19</v>
      </c>
      <c r="Q2237" s="4" t="s">
        <v>19</v>
      </c>
      <c r="R2237" s="4" t="s">
        <v>19</v>
      </c>
    </row>
    <row r="2238" spans="1:18" x14ac:dyDescent="0.3">
      <c r="A2238" t="s">
        <v>7377</v>
      </c>
      <c r="C2238" s="3">
        <v>45671</v>
      </c>
      <c r="D2238" s="11" t="s">
        <v>7378</v>
      </c>
      <c r="E2238" s="11" t="s">
        <v>5107</v>
      </c>
      <c r="G2238" s="7" t="s">
        <v>7379</v>
      </c>
      <c r="H2238" s="7" t="s">
        <v>7376</v>
      </c>
      <c r="I2238" s="17">
        <v>17066</v>
      </c>
      <c r="K2238" s="4">
        <v>500</v>
      </c>
      <c r="L2238" s="11" t="s">
        <v>7380</v>
      </c>
      <c r="M2238" s="11" t="s">
        <v>7072</v>
      </c>
      <c r="N2238" s="11" t="s">
        <v>7381</v>
      </c>
      <c r="O2238" s="4" t="s">
        <v>19</v>
      </c>
      <c r="P2238" s="4" t="s">
        <v>19</v>
      </c>
      <c r="Q2238" s="4" t="s">
        <v>19</v>
      </c>
      <c r="R2238" s="4" t="s">
        <v>16</v>
      </c>
    </row>
    <row r="2239" spans="1:18" x14ac:dyDescent="0.3">
      <c r="A2239" t="s">
        <v>7384</v>
      </c>
      <c r="C2239" s="3">
        <v>45672</v>
      </c>
      <c r="D2239" s="11" t="s">
        <v>7385</v>
      </c>
      <c r="E2239" s="11" t="s">
        <v>7389</v>
      </c>
      <c r="G2239" s="7" t="s">
        <v>7386</v>
      </c>
      <c r="I2239" s="17">
        <v>20181</v>
      </c>
      <c r="K2239" s="4">
        <v>500</v>
      </c>
      <c r="L2239" s="11" t="s">
        <v>7387</v>
      </c>
      <c r="M2239" s="11" t="s">
        <v>7388</v>
      </c>
      <c r="O2239" s="4" t="s">
        <v>19</v>
      </c>
      <c r="P2239" s="4" t="s">
        <v>19</v>
      </c>
      <c r="Q2239" s="4" t="s">
        <v>19</v>
      </c>
      <c r="R2239" s="4" t="s">
        <v>16</v>
      </c>
    </row>
    <row r="2240" spans="1:18" x14ac:dyDescent="0.3">
      <c r="A2240" t="s">
        <v>7404</v>
      </c>
      <c r="C2240" s="3">
        <v>45674</v>
      </c>
      <c r="D2240" s="11" t="s">
        <v>7405</v>
      </c>
      <c r="E2240" s="11" t="s">
        <v>5107</v>
      </c>
      <c r="G2240" s="7" t="s">
        <v>844</v>
      </c>
      <c r="K2240" s="4">
        <v>2000</v>
      </c>
      <c r="M2240" s="11" t="s">
        <v>7406</v>
      </c>
      <c r="O2240" s="4" t="s">
        <v>19</v>
      </c>
      <c r="P2240" s="4" t="s">
        <v>19</v>
      </c>
      <c r="Q2240" s="4" t="s">
        <v>19</v>
      </c>
      <c r="R2240" s="4" t="s">
        <v>16</v>
      </c>
    </row>
    <row r="2241" spans="1:18" x14ac:dyDescent="0.3">
      <c r="A2241" t="s">
        <v>7413</v>
      </c>
      <c r="C2241" s="3">
        <v>45674</v>
      </c>
      <c r="D2241" s="11" t="s">
        <v>7414</v>
      </c>
      <c r="E2241" s="11" t="s">
        <v>5107</v>
      </c>
      <c r="G2241" s="7" t="s">
        <v>164</v>
      </c>
      <c r="K2241" s="4">
        <v>500</v>
      </c>
      <c r="M2241" s="11" t="s">
        <v>7415</v>
      </c>
      <c r="O2241" s="4" t="s">
        <v>19</v>
      </c>
      <c r="P2241" s="4" t="s">
        <v>19</v>
      </c>
      <c r="Q2241" s="4" t="s">
        <v>19</v>
      </c>
      <c r="R2241" s="4" t="s">
        <v>16</v>
      </c>
    </row>
    <row r="2242" spans="1:18" x14ac:dyDescent="0.3">
      <c r="A2242" t="s">
        <v>7422</v>
      </c>
      <c r="C2242" s="3">
        <v>45675</v>
      </c>
      <c r="D2242" s="11" t="s">
        <v>7423</v>
      </c>
      <c r="E2242" s="11" t="s">
        <v>5107</v>
      </c>
      <c r="G2242" s="7" t="s">
        <v>7424</v>
      </c>
      <c r="I2242" s="17">
        <v>28880</v>
      </c>
      <c r="J2242" s="137" t="s">
        <v>7463</v>
      </c>
      <c r="K2242" s="4">
        <v>400</v>
      </c>
      <c r="L2242" s="11" t="s">
        <v>7426</v>
      </c>
      <c r="M2242" s="11" t="s">
        <v>7425</v>
      </c>
      <c r="O2242" s="4" t="s">
        <v>19</v>
      </c>
      <c r="P2242" s="4" t="s">
        <v>19</v>
      </c>
      <c r="Q2242" s="4" t="s">
        <v>19</v>
      </c>
      <c r="R2242" s="4" t="s">
        <v>16</v>
      </c>
    </row>
    <row r="2243" spans="1:18" x14ac:dyDescent="0.3">
      <c r="A2243" t="s">
        <v>7443</v>
      </c>
      <c r="C2243" s="3">
        <v>45678</v>
      </c>
      <c r="D2243" s="11" t="s">
        <v>7444</v>
      </c>
      <c r="E2243" s="11" t="s">
        <v>5107</v>
      </c>
      <c r="G2243" s="7" t="s">
        <v>7445</v>
      </c>
      <c r="I2243" s="17">
        <v>35305</v>
      </c>
      <c r="K2243" s="4">
        <v>500</v>
      </c>
      <c r="L2243" s="11" t="s">
        <v>7456</v>
      </c>
      <c r="M2243" s="11" t="s">
        <v>7446</v>
      </c>
      <c r="O2243" s="4" t="s">
        <v>19</v>
      </c>
      <c r="P2243" s="4" t="s">
        <v>19</v>
      </c>
      <c r="Q2243" s="4" t="s">
        <v>19</v>
      </c>
      <c r="R2243" s="4" t="s">
        <v>16</v>
      </c>
    </row>
    <row r="2244" spans="1:18" x14ac:dyDescent="0.3">
      <c r="A2244" t="s">
        <v>7447</v>
      </c>
      <c r="C2244" s="3">
        <v>45678</v>
      </c>
      <c r="D2244" s="11" t="s">
        <v>7448</v>
      </c>
      <c r="E2244" s="11" t="s">
        <v>5107</v>
      </c>
      <c r="G2244" s="7" t="s">
        <v>7449</v>
      </c>
      <c r="I2244" s="17">
        <v>29485</v>
      </c>
      <c r="K2244" s="4">
        <v>500</v>
      </c>
      <c r="L2244" s="11" t="s">
        <v>7450</v>
      </c>
      <c r="M2244" s="11" t="s">
        <v>7451</v>
      </c>
      <c r="N2244" s="11" t="s">
        <v>7452</v>
      </c>
      <c r="O2244" s="4" t="s">
        <v>19</v>
      </c>
      <c r="P2244" s="4" t="s">
        <v>19</v>
      </c>
      <c r="Q2244" s="4" t="s">
        <v>19</v>
      </c>
      <c r="R2244" s="4" t="s">
        <v>16</v>
      </c>
    </row>
    <row r="2245" spans="1:18" x14ac:dyDescent="0.3">
      <c r="A2245" t="s">
        <v>7478</v>
      </c>
      <c r="C2245" s="3">
        <v>45682</v>
      </c>
      <c r="D2245" s="11" t="s">
        <v>7479</v>
      </c>
      <c r="E2245" s="11" t="s">
        <v>7515</v>
      </c>
      <c r="G2245" s="7" t="s">
        <v>7480</v>
      </c>
      <c r="I2245" s="17">
        <v>37622</v>
      </c>
      <c r="K2245" s="4">
        <v>500</v>
      </c>
      <c r="M2245" s="11" t="s">
        <v>7481</v>
      </c>
      <c r="N2245" s="11" t="s">
        <v>7482</v>
      </c>
      <c r="O2245" s="4" t="s">
        <v>19</v>
      </c>
      <c r="P2245" s="4" t="s">
        <v>19</v>
      </c>
      <c r="Q2245" s="4" t="s">
        <v>19</v>
      </c>
      <c r="R2245" s="4" t="s">
        <v>16</v>
      </c>
    </row>
    <row r="2246" spans="1:18" x14ac:dyDescent="0.3">
      <c r="A2246" t="s">
        <v>7499</v>
      </c>
      <c r="C2246" s="3">
        <v>45684</v>
      </c>
      <c r="D2246" s="11" t="s">
        <v>7493</v>
      </c>
      <c r="E2246" s="11" t="s">
        <v>7515</v>
      </c>
      <c r="G2246" s="7" t="s">
        <v>7494</v>
      </c>
      <c r="I2246" s="47" t="s">
        <v>7497</v>
      </c>
      <c r="K2246" s="4">
        <v>500</v>
      </c>
      <c r="L2246" s="11" t="s">
        <v>7496</v>
      </c>
      <c r="M2246" s="11" t="s">
        <v>7495</v>
      </c>
      <c r="O2246" s="4" t="s">
        <v>19</v>
      </c>
      <c r="P2246" s="4" t="s">
        <v>19</v>
      </c>
      <c r="Q2246" s="4" t="s">
        <v>19</v>
      </c>
      <c r="R2246" s="4" t="s">
        <v>19</v>
      </c>
    </row>
    <row r="2247" spans="1:18" x14ac:dyDescent="0.3">
      <c r="A2247" t="s">
        <v>7505</v>
      </c>
      <c r="C2247" s="3">
        <v>45685</v>
      </c>
      <c r="D2247" s="11" t="s">
        <v>7504</v>
      </c>
      <c r="E2247" s="11" t="s">
        <v>7566</v>
      </c>
      <c r="G2247" s="7" t="s">
        <v>877</v>
      </c>
      <c r="I2247" s="17">
        <v>30310</v>
      </c>
      <c r="K2247" s="4">
        <v>500</v>
      </c>
      <c r="L2247" s="11" t="s">
        <v>7506</v>
      </c>
      <c r="M2247" s="11" t="s">
        <v>7507</v>
      </c>
      <c r="O2247" s="4" t="s">
        <v>19</v>
      </c>
      <c r="P2247" s="4" t="s">
        <v>19</v>
      </c>
      <c r="Q2247" s="4" t="s">
        <v>19</v>
      </c>
      <c r="R2247" s="4" t="s">
        <v>16</v>
      </c>
    </row>
    <row r="2248" spans="1:18" x14ac:dyDescent="0.3">
      <c r="A2248" t="s">
        <v>7508</v>
      </c>
      <c r="C2248" s="3">
        <v>45685</v>
      </c>
      <c r="D2248" s="11" t="s">
        <v>7509</v>
      </c>
      <c r="E2248" s="11" t="s">
        <v>7535</v>
      </c>
      <c r="G2248" s="7" t="s">
        <v>7510</v>
      </c>
      <c r="I2248" s="17">
        <v>34955</v>
      </c>
      <c r="K2248" s="4">
        <v>500</v>
      </c>
      <c r="L2248" s="11" t="s">
        <v>7511</v>
      </c>
      <c r="M2248" s="11" t="s">
        <v>7512</v>
      </c>
      <c r="O2248" s="4" t="s">
        <v>19</v>
      </c>
      <c r="P2248" s="4" t="s">
        <v>19</v>
      </c>
      <c r="Q2248" s="4" t="s">
        <v>19</v>
      </c>
      <c r="R2248" s="4" t="s">
        <v>16</v>
      </c>
    </row>
    <row r="2249" spans="1:18" x14ac:dyDescent="0.3">
      <c r="A2249" t="s">
        <v>7523</v>
      </c>
      <c r="C2249" s="3">
        <v>45687</v>
      </c>
      <c r="D2249" s="11" t="s">
        <v>7524</v>
      </c>
      <c r="E2249" s="11" t="s">
        <v>7535</v>
      </c>
      <c r="G2249" s="7" t="s">
        <v>7525</v>
      </c>
      <c r="I2249" s="17">
        <v>32947</v>
      </c>
      <c r="K2249" s="4">
        <v>500</v>
      </c>
      <c r="L2249" s="11" t="s">
        <v>7526</v>
      </c>
      <c r="M2249" s="11" t="s">
        <v>7527</v>
      </c>
      <c r="O2249" s="4" t="s">
        <v>19</v>
      </c>
      <c r="P2249" s="4" t="s">
        <v>19</v>
      </c>
      <c r="Q2249" s="4" t="s">
        <v>19</v>
      </c>
      <c r="R2249" s="4" t="s">
        <v>16</v>
      </c>
    </row>
    <row r="2250" spans="1:18" x14ac:dyDescent="0.3">
      <c r="A2250" t="s">
        <v>7530</v>
      </c>
      <c r="C2250" s="3">
        <v>45687</v>
      </c>
      <c r="D2250" s="11" t="s">
        <v>7531</v>
      </c>
      <c r="E2250" s="11" t="s">
        <v>7542</v>
      </c>
      <c r="G2250" s="7" t="s">
        <v>7532</v>
      </c>
      <c r="I2250" s="17">
        <v>24108</v>
      </c>
      <c r="K2250" s="4">
        <v>500</v>
      </c>
      <c r="L2250" s="11" t="s">
        <v>7533</v>
      </c>
      <c r="M2250" s="11" t="s">
        <v>7534</v>
      </c>
      <c r="O2250" s="4" t="s">
        <v>19</v>
      </c>
      <c r="P2250" s="4" t="s">
        <v>19</v>
      </c>
      <c r="Q2250" s="4" t="s">
        <v>19</v>
      </c>
      <c r="R2250" s="4" t="s">
        <v>16</v>
      </c>
    </row>
    <row r="2251" spans="1:18" x14ac:dyDescent="0.3">
      <c r="A2251" t="s">
        <v>7536</v>
      </c>
      <c r="C2251" s="3">
        <v>45688</v>
      </c>
      <c r="D2251" s="11" t="s">
        <v>7503</v>
      </c>
      <c r="E2251" s="11" t="s">
        <v>5107</v>
      </c>
      <c r="G2251" s="7" t="s">
        <v>7537</v>
      </c>
      <c r="K2251" s="4">
        <v>500</v>
      </c>
      <c r="L2251" s="11" t="s">
        <v>7538</v>
      </c>
      <c r="M2251" s="11" t="s">
        <v>7539</v>
      </c>
      <c r="O2251" s="4" t="s">
        <v>19</v>
      </c>
      <c r="P2251" s="4" t="s">
        <v>19</v>
      </c>
      <c r="Q2251" s="4" t="s">
        <v>19</v>
      </c>
      <c r="R2251" s="4" t="s">
        <v>16</v>
      </c>
    </row>
    <row r="2252" spans="1:18" x14ac:dyDescent="0.3">
      <c r="A2252" t="s">
        <v>7548</v>
      </c>
      <c r="C2252" s="3">
        <v>45689</v>
      </c>
      <c r="D2252" s="11" t="s">
        <v>7549</v>
      </c>
      <c r="E2252" s="11" t="s">
        <v>7565</v>
      </c>
      <c r="G2252" s="7" t="s">
        <v>7550</v>
      </c>
      <c r="I2252" s="17">
        <v>33870</v>
      </c>
      <c r="K2252" s="4">
        <v>500</v>
      </c>
      <c r="L2252" s="11" t="s">
        <v>7551</v>
      </c>
      <c r="M2252" s="11" t="s">
        <v>7552</v>
      </c>
      <c r="O2252" s="4" t="s">
        <v>19</v>
      </c>
      <c r="P2252" s="4" t="s">
        <v>19</v>
      </c>
      <c r="Q2252" s="4" t="s">
        <v>19</v>
      </c>
      <c r="R2252" s="4" t="s">
        <v>16</v>
      </c>
    </row>
    <row r="2253" spans="1:18" x14ac:dyDescent="0.3">
      <c r="A2253" t="s">
        <v>7555</v>
      </c>
      <c r="C2253" s="3">
        <v>45690</v>
      </c>
      <c r="D2253" s="11" t="s">
        <v>7561</v>
      </c>
      <c r="E2253" s="11" t="s">
        <v>7609</v>
      </c>
      <c r="G2253" s="7" t="s">
        <v>7562</v>
      </c>
      <c r="K2253" s="4">
        <v>500</v>
      </c>
      <c r="L2253" s="11" t="s">
        <v>7607</v>
      </c>
      <c r="M2253" s="11" t="s">
        <v>7608</v>
      </c>
      <c r="O2253" s="4" t="s">
        <v>19</v>
      </c>
      <c r="P2253" s="4" t="s">
        <v>19</v>
      </c>
      <c r="Q2253" s="4" t="s">
        <v>19</v>
      </c>
      <c r="R2253" s="4" t="s">
        <v>16</v>
      </c>
    </row>
    <row r="2254" spans="1:18" x14ac:dyDescent="0.3">
      <c r="A2254" t="s">
        <v>7574</v>
      </c>
      <c r="C2254" s="3">
        <v>45698</v>
      </c>
      <c r="D2254" s="11" t="s">
        <v>7575</v>
      </c>
      <c r="E2254" s="11" t="s">
        <v>7609</v>
      </c>
      <c r="G2254" s="7" t="s">
        <v>7576</v>
      </c>
      <c r="I2254" s="17">
        <v>35796</v>
      </c>
      <c r="K2254" s="4">
        <v>500</v>
      </c>
      <c r="L2254" s="11" t="s">
        <v>7577</v>
      </c>
      <c r="M2254" s="11" t="s">
        <v>7578</v>
      </c>
      <c r="O2254" s="4" t="s">
        <v>19</v>
      </c>
      <c r="P2254" s="4" t="s">
        <v>19</v>
      </c>
      <c r="Q2254" s="4" t="s">
        <v>19</v>
      </c>
      <c r="R2254" s="4" t="s">
        <v>16</v>
      </c>
    </row>
    <row r="2255" spans="1:18" x14ac:dyDescent="0.3">
      <c r="A2255" t="s">
        <v>7581</v>
      </c>
      <c r="C2255" s="3">
        <v>45698</v>
      </c>
      <c r="D2255" s="11" t="s">
        <v>7583</v>
      </c>
      <c r="E2255" s="11" t="s">
        <v>5107</v>
      </c>
      <c r="G2255" s="7" t="s">
        <v>7584</v>
      </c>
      <c r="I2255" s="17">
        <v>38910</v>
      </c>
      <c r="K2255" s="4">
        <v>500</v>
      </c>
      <c r="L2255" s="11" t="s">
        <v>7585</v>
      </c>
      <c r="M2255" s="11" t="s">
        <v>7582</v>
      </c>
      <c r="O2255" s="4" t="s">
        <v>19</v>
      </c>
      <c r="P2255" s="4" t="s">
        <v>19</v>
      </c>
      <c r="Q2255" s="4" t="s">
        <v>19</v>
      </c>
      <c r="R2255" s="4" t="s">
        <v>19</v>
      </c>
    </row>
    <row r="2256" spans="1:18" x14ac:dyDescent="0.3">
      <c r="A2256" t="s">
        <v>7591</v>
      </c>
      <c r="C2256" s="3">
        <v>45698</v>
      </c>
      <c r="D2256" s="11" t="s">
        <v>7595</v>
      </c>
      <c r="E2256" s="11" t="s">
        <v>5107</v>
      </c>
      <c r="G2256" s="7" t="s">
        <v>7592</v>
      </c>
      <c r="I2256" s="17">
        <v>37710</v>
      </c>
      <c r="K2256" s="4">
        <v>500</v>
      </c>
      <c r="L2256" s="11" t="s">
        <v>7594</v>
      </c>
      <c r="M2256" s="11" t="s">
        <v>7593</v>
      </c>
      <c r="O2256" s="4" t="s">
        <v>19</v>
      </c>
      <c r="P2256" s="4" t="s">
        <v>19</v>
      </c>
      <c r="Q2256" s="4" t="s">
        <v>19</v>
      </c>
      <c r="R2256" s="4" t="s">
        <v>14</v>
      </c>
    </row>
    <row r="2257" spans="1:18" x14ac:dyDescent="0.3">
      <c r="A2257" t="s">
        <v>7597</v>
      </c>
      <c r="C2257" s="3">
        <v>45699</v>
      </c>
      <c r="D2257" s="11" t="s">
        <v>7600</v>
      </c>
      <c r="E2257" s="11" t="s">
        <v>7629</v>
      </c>
      <c r="G2257" s="7" t="s">
        <v>107</v>
      </c>
      <c r="I2257" s="17">
        <v>30358</v>
      </c>
      <c r="K2257" s="4">
        <v>500</v>
      </c>
      <c r="L2257" s="11" t="s">
        <v>7598</v>
      </c>
      <c r="M2257" s="11" t="s">
        <v>7599</v>
      </c>
      <c r="O2257" s="4" t="s">
        <v>19</v>
      </c>
      <c r="P2257" s="4" t="s">
        <v>19</v>
      </c>
      <c r="Q2257" s="4" t="s">
        <v>19</v>
      </c>
      <c r="R2257" s="4" t="s">
        <v>14</v>
      </c>
    </row>
    <row r="2258" spans="1:18" x14ac:dyDescent="0.3">
      <c r="A2258" t="s">
        <v>7618</v>
      </c>
      <c r="C2258" s="3">
        <v>45701</v>
      </c>
      <c r="D2258" s="11" t="s">
        <v>7619</v>
      </c>
      <c r="E2258" s="11" t="s">
        <v>7632</v>
      </c>
      <c r="G2258" s="7" t="s">
        <v>7620</v>
      </c>
      <c r="I2258" s="17">
        <v>36908</v>
      </c>
      <c r="K2258" s="4">
        <v>500</v>
      </c>
      <c r="L2258" s="11" t="s">
        <v>7621</v>
      </c>
      <c r="M2258" s="11" t="s">
        <v>7622</v>
      </c>
      <c r="O2258" s="4" t="s">
        <v>19</v>
      </c>
      <c r="P2258" s="4" t="s">
        <v>19</v>
      </c>
      <c r="Q2258" s="4" t="s">
        <v>19</v>
      </c>
      <c r="R2258" s="4" t="s">
        <v>16</v>
      </c>
    </row>
    <row r="2259" spans="1:18" x14ac:dyDescent="0.3">
      <c r="A2259" t="s">
        <v>7624</v>
      </c>
      <c r="C2259" s="3">
        <v>45701</v>
      </c>
      <c r="D2259" s="11" t="s">
        <v>7625</v>
      </c>
      <c r="E2259" s="11" t="s">
        <v>5107</v>
      </c>
      <c r="G2259" s="7" t="s">
        <v>7268</v>
      </c>
      <c r="I2259" s="17">
        <v>33726</v>
      </c>
      <c r="K2259" s="4">
        <v>500</v>
      </c>
      <c r="L2259" s="11" t="s">
        <v>7626</v>
      </c>
      <c r="M2259" s="11" t="s">
        <v>7627</v>
      </c>
      <c r="O2259" s="4" t="s">
        <v>19</v>
      </c>
      <c r="P2259" s="4" t="s">
        <v>19</v>
      </c>
      <c r="Q2259" s="4" t="s">
        <v>19</v>
      </c>
      <c r="R2259" s="4" t="s">
        <v>2525</v>
      </c>
    </row>
    <row r="2260" spans="1:18" x14ac:dyDescent="0.3">
      <c r="A2260" t="s">
        <v>7642</v>
      </c>
      <c r="C2260" s="3">
        <v>45703</v>
      </c>
      <c r="D2260" s="11" t="s">
        <v>7643</v>
      </c>
      <c r="E2260" s="11" t="s">
        <v>5107</v>
      </c>
      <c r="G2260" s="7" t="s">
        <v>5329</v>
      </c>
      <c r="I2260" s="17">
        <v>33638</v>
      </c>
      <c r="K2260" s="4">
        <v>500</v>
      </c>
      <c r="L2260" s="11" t="s">
        <v>7645</v>
      </c>
      <c r="M2260" s="11" t="s">
        <v>7644</v>
      </c>
      <c r="O2260" s="4" t="s">
        <v>19</v>
      </c>
      <c r="P2260" s="4" t="s">
        <v>19</v>
      </c>
      <c r="Q2260" s="4" t="s">
        <v>19</v>
      </c>
      <c r="R2260" s="4" t="s">
        <v>16</v>
      </c>
    </row>
    <row r="2261" spans="1:18" x14ac:dyDescent="0.3">
      <c r="A2261" t="s">
        <v>7650</v>
      </c>
      <c r="C2261" s="3">
        <v>45705</v>
      </c>
      <c r="D2261" s="11" t="s">
        <v>7651</v>
      </c>
      <c r="E2261" s="11" t="s">
        <v>7673</v>
      </c>
      <c r="G2261" s="7" t="s">
        <v>7654</v>
      </c>
      <c r="I2261" s="17">
        <v>41027</v>
      </c>
      <c r="K2261" s="4">
        <v>500</v>
      </c>
      <c r="L2261" s="11" t="s">
        <v>7655</v>
      </c>
      <c r="M2261" s="11" t="s">
        <v>4201</v>
      </c>
      <c r="O2261" s="4" t="s">
        <v>19</v>
      </c>
      <c r="P2261" s="4" t="s">
        <v>19</v>
      </c>
      <c r="Q2261" s="4" t="s">
        <v>19</v>
      </c>
      <c r="R2261" s="4" t="s">
        <v>16</v>
      </c>
    </row>
    <row r="2262" spans="1:18" x14ac:dyDescent="0.3">
      <c r="A2262" t="s">
        <v>7656</v>
      </c>
      <c r="C2262" s="3">
        <v>45705</v>
      </c>
      <c r="D2262" s="11" t="s">
        <v>7658</v>
      </c>
      <c r="E2262" s="11" t="s">
        <v>7673</v>
      </c>
      <c r="G2262" s="7" t="s">
        <v>7667</v>
      </c>
      <c r="I2262" s="17">
        <v>38267</v>
      </c>
      <c r="K2262" s="4">
        <v>500</v>
      </c>
      <c r="L2262" s="11" t="s">
        <v>7668</v>
      </c>
      <c r="M2262" s="11" t="s">
        <v>7657</v>
      </c>
      <c r="O2262" s="4" t="s">
        <v>19</v>
      </c>
      <c r="P2262" s="4" t="s">
        <v>19</v>
      </c>
      <c r="Q2262" s="4" t="s">
        <v>19</v>
      </c>
      <c r="R2262" s="4" t="s">
        <v>16</v>
      </c>
    </row>
    <row r="2263" spans="1:18" x14ac:dyDescent="0.3">
      <c r="A2263" t="s">
        <v>7662</v>
      </c>
      <c r="C2263" s="3">
        <v>45706</v>
      </c>
      <c r="D2263" s="11" t="s">
        <v>7663</v>
      </c>
      <c r="E2263" s="11" t="s">
        <v>7696</v>
      </c>
      <c r="G2263" s="7" t="s">
        <v>7665</v>
      </c>
      <c r="I2263" s="17">
        <v>39097</v>
      </c>
      <c r="K2263" s="4">
        <v>500</v>
      </c>
      <c r="L2263" s="11" t="s">
        <v>7666</v>
      </c>
      <c r="M2263" s="11" t="s">
        <v>7664</v>
      </c>
      <c r="O2263" s="4" t="s">
        <v>19</v>
      </c>
      <c r="P2263" s="4" t="s">
        <v>19</v>
      </c>
      <c r="Q2263" s="4" t="s">
        <v>19</v>
      </c>
      <c r="R2263" s="4" t="s">
        <v>16</v>
      </c>
    </row>
    <row r="2264" spans="1:18" x14ac:dyDescent="0.3">
      <c r="A2264" t="s">
        <v>7677</v>
      </c>
      <c r="C2264" s="3">
        <v>45707</v>
      </c>
      <c r="D2264" s="11" t="s">
        <v>7678</v>
      </c>
      <c r="E2264" s="11" t="s">
        <v>5107</v>
      </c>
      <c r="G2264" s="7" t="s">
        <v>7680</v>
      </c>
      <c r="K2264" s="4">
        <v>500</v>
      </c>
      <c r="M2264" s="11" t="s">
        <v>7679</v>
      </c>
      <c r="O2264" s="4" t="s">
        <v>19</v>
      </c>
      <c r="P2264" s="4" t="s">
        <v>19</v>
      </c>
      <c r="Q2264" s="4" t="s">
        <v>19</v>
      </c>
      <c r="R2264" s="4" t="s">
        <v>19</v>
      </c>
    </row>
    <row r="2265" spans="1:18" x14ac:dyDescent="0.3">
      <c r="A2265" t="s">
        <v>7684</v>
      </c>
      <c r="C2265" s="3">
        <v>45707</v>
      </c>
      <c r="D2265" s="11" t="s">
        <v>7685</v>
      </c>
      <c r="E2265" s="11" t="s">
        <v>7708</v>
      </c>
      <c r="G2265" s="7" t="s">
        <v>7697</v>
      </c>
      <c r="I2265" s="17">
        <v>23012</v>
      </c>
      <c r="K2265" s="4">
        <v>500</v>
      </c>
      <c r="L2265" s="11" t="s">
        <v>7698</v>
      </c>
      <c r="M2265" s="11" t="s">
        <v>7686</v>
      </c>
      <c r="O2265" s="4" t="s">
        <v>19</v>
      </c>
      <c r="P2265" s="4" t="s">
        <v>19</v>
      </c>
      <c r="Q2265" s="4" t="s">
        <v>19</v>
      </c>
      <c r="R2265" s="4" t="s">
        <v>19</v>
      </c>
    </row>
    <row r="2266" spans="1:18" x14ac:dyDescent="0.3">
      <c r="A2266" t="s">
        <v>7688</v>
      </c>
      <c r="C2266" s="3">
        <v>45708</v>
      </c>
      <c r="D2266" s="11" t="s">
        <v>7689</v>
      </c>
      <c r="E2266" s="11" t="s">
        <v>5107</v>
      </c>
      <c r="G2266" s="7" t="s">
        <v>7690</v>
      </c>
      <c r="I2266" s="17">
        <v>21930</v>
      </c>
      <c r="K2266" s="4">
        <v>500</v>
      </c>
      <c r="L2266" s="11" t="s">
        <v>7703</v>
      </c>
      <c r="M2266" s="11" t="s">
        <v>7691</v>
      </c>
      <c r="O2266" s="4" t="s">
        <v>19</v>
      </c>
      <c r="P2266" s="4" t="s">
        <v>19</v>
      </c>
      <c r="Q2266" s="4" t="s">
        <v>19</v>
      </c>
      <c r="R2266" s="4" t="s">
        <v>16</v>
      </c>
    </row>
    <row r="2267" spans="1:18" x14ac:dyDescent="0.3">
      <c r="A2267" t="s">
        <v>7692</v>
      </c>
      <c r="C2267" s="3">
        <v>45708</v>
      </c>
      <c r="D2267" s="11" t="s">
        <v>7693</v>
      </c>
      <c r="E2267" s="11" t="s">
        <v>7711</v>
      </c>
      <c r="G2267" s="7" t="s">
        <v>7695</v>
      </c>
      <c r="I2267" s="17">
        <v>37109</v>
      </c>
      <c r="K2267" s="4">
        <v>500</v>
      </c>
      <c r="L2267" s="11" t="s">
        <v>7712</v>
      </c>
      <c r="M2267" s="11" t="s">
        <v>7694</v>
      </c>
      <c r="O2267" s="4" t="s">
        <v>19</v>
      </c>
      <c r="P2267" s="4" t="s">
        <v>19</v>
      </c>
      <c r="Q2267" s="4" t="s">
        <v>19</v>
      </c>
      <c r="R2267" s="4" t="s">
        <v>16</v>
      </c>
    </row>
    <row r="2268" spans="1:18" x14ac:dyDescent="0.3">
      <c r="A2268" t="s">
        <v>7699</v>
      </c>
      <c r="C2268" s="3">
        <v>45708</v>
      </c>
      <c r="D2268" s="11" t="s">
        <v>7700</v>
      </c>
      <c r="E2268" s="11" t="s">
        <v>5107</v>
      </c>
      <c r="G2268" s="7" t="s">
        <v>7702</v>
      </c>
      <c r="I2268" s="17">
        <v>33618</v>
      </c>
      <c r="K2268" s="4">
        <v>500</v>
      </c>
      <c r="L2268" s="11" t="s">
        <v>7701</v>
      </c>
      <c r="M2268" s="11" t="s">
        <v>3073</v>
      </c>
      <c r="O2268" s="4" t="s">
        <v>19</v>
      </c>
      <c r="P2268" s="4" t="s">
        <v>19</v>
      </c>
      <c r="Q2268" s="4" t="s">
        <v>19</v>
      </c>
      <c r="R2268" s="4" t="s">
        <v>19</v>
      </c>
    </row>
    <row r="2269" spans="1:18" x14ac:dyDescent="0.3">
      <c r="A2269" t="s">
        <v>7705</v>
      </c>
      <c r="C2269" s="3">
        <v>45708</v>
      </c>
      <c r="D2269" s="11" t="s">
        <v>7706</v>
      </c>
      <c r="E2269" s="11" t="s">
        <v>7711</v>
      </c>
      <c r="G2269" s="7" t="s">
        <v>5884</v>
      </c>
      <c r="I2269" s="17">
        <v>32874</v>
      </c>
      <c r="K2269" s="4">
        <v>500</v>
      </c>
      <c r="M2269" s="11" t="s">
        <v>7707</v>
      </c>
      <c r="O2269" s="4" t="s">
        <v>19</v>
      </c>
      <c r="P2269" s="4" t="s">
        <v>19</v>
      </c>
      <c r="Q2269" s="4" t="s">
        <v>19</v>
      </c>
      <c r="R2269" s="4" t="s">
        <v>16</v>
      </c>
    </row>
    <row r="2270" spans="1:18" x14ac:dyDescent="0.3">
      <c r="A2270" t="s">
        <v>7723</v>
      </c>
      <c r="C2270" s="3">
        <v>45713</v>
      </c>
      <c r="D2270" s="11" t="s">
        <v>7724</v>
      </c>
      <c r="E2270" s="11" t="s">
        <v>7774</v>
      </c>
      <c r="G2270" s="7" t="s">
        <v>7725</v>
      </c>
      <c r="I2270" s="17">
        <v>31413</v>
      </c>
      <c r="K2270" s="4">
        <v>500</v>
      </c>
      <c r="L2270" s="11" t="s">
        <v>10374</v>
      </c>
      <c r="M2270" s="11" t="s">
        <v>7726</v>
      </c>
      <c r="O2270" s="4" t="s">
        <v>19</v>
      </c>
      <c r="P2270" s="4" t="s">
        <v>19</v>
      </c>
      <c r="Q2270" s="4" t="s">
        <v>19</v>
      </c>
      <c r="R2270" s="4" t="s">
        <v>16</v>
      </c>
    </row>
    <row r="2271" spans="1:18" x14ac:dyDescent="0.3">
      <c r="A2271" t="s">
        <v>7736</v>
      </c>
      <c r="C2271" s="3" t="s">
        <v>7743</v>
      </c>
      <c r="D2271" s="11" t="s">
        <v>7738</v>
      </c>
      <c r="E2271" s="11" t="s">
        <v>7765</v>
      </c>
      <c r="G2271" s="7" t="s">
        <v>7737</v>
      </c>
      <c r="I2271" s="17">
        <v>35458</v>
      </c>
      <c r="K2271" s="4">
        <v>500</v>
      </c>
      <c r="L2271" s="11" t="s">
        <v>7740</v>
      </c>
      <c r="M2271" s="11" t="s">
        <v>7739</v>
      </c>
      <c r="O2271" s="4" t="s">
        <v>19</v>
      </c>
      <c r="P2271" s="4" t="s">
        <v>19</v>
      </c>
      <c r="Q2271" s="4" t="s">
        <v>19</v>
      </c>
      <c r="R2271" s="4" t="s">
        <v>16</v>
      </c>
    </row>
    <row r="2272" spans="1:18" x14ac:dyDescent="0.3">
      <c r="A2272" t="s">
        <v>7742</v>
      </c>
      <c r="C2272" s="3">
        <v>45715</v>
      </c>
      <c r="D2272" s="11" t="s">
        <v>7744</v>
      </c>
      <c r="E2272" s="11" t="s">
        <v>9126</v>
      </c>
      <c r="G2272" s="7" t="s">
        <v>7745</v>
      </c>
      <c r="I2272" s="17">
        <v>29239</v>
      </c>
      <c r="K2272" s="4">
        <v>350</v>
      </c>
      <c r="L2272" s="11" t="s">
        <v>9130</v>
      </c>
      <c r="M2272" s="11" t="s">
        <v>8375</v>
      </c>
      <c r="O2272" s="4" t="s">
        <v>19</v>
      </c>
      <c r="P2272" s="4" t="s">
        <v>19</v>
      </c>
      <c r="Q2272" s="4" t="s">
        <v>19</v>
      </c>
      <c r="R2272" s="4" t="s">
        <v>9131</v>
      </c>
    </row>
    <row r="2273" spans="1:18" x14ac:dyDescent="0.3">
      <c r="A2273" t="s">
        <v>7746</v>
      </c>
      <c r="C2273" s="3">
        <v>45716</v>
      </c>
      <c r="D2273" s="11" t="s">
        <v>7747</v>
      </c>
      <c r="E2273" s="11" t="s">
        <v>5107</v>
      </c>
      <c r="G2273" s="7" t="s">
        <v>7748</v>
      </c>
      <c r="I2273" s="17">
        <v>38483</v>
      </c>
      <c r="K2273" s="4">
        <v>500</v>
      </c>
      <c r="L2273" s="11" t="s">
        <v>7749</v>
      </c>
      <c r="M2273" s="11" t="s">
        <v>7750</v>
      </c>
      <c r="N2273" s="11" t="s">
        <v>7751</v>
      </c>
      <c r="O2273" s="4" t="s">
        <v>19</v>
      </c>
      <c r="P2273" s="4" t="s">
        <v>19</v>
      </c>
      <c r="Q2273" s="4" t="s">
        <v>19</v>
      </c>
      <c r="R2273" s="4" t="s">
        <v>16</v>
      </c>
    </row>
    <row r="2274" spans="1:18" x14ac:dyDescent="0.3">
      <c r="A2274" t="s">
        <v>7777</v>
      </c>
      <c r="C2274" s="3">
        <v>45726</v>
      </c>
      <c r="D2274" s="11" t="s">
        <v>7778</v>
      </c>
      <c r="E2274" s="11" t="s">
        <v>10355</v>
      </c>
      <c r="G2274" s="7" t="s">
        <v>10354</v>
      </c>
      <c r="I2274" s="17">
        <v>27212</v>
      </c>
      <c r="K2274" s="4">
        <v>500</v>
      </c>
      <c r="L2274" s="11" t="s">
        <v>10356</v>
      </c>
      <c r="M2274" s="11" t="s">
        <v>7779</v>
      </c>
      <c r="O2274" s="4" t="s">
        <v>19</v>
      </c>
      <c r="P2274" s="4" t="s">
        <v>19</v>
      </c>
      <c r="Q2274" s="4" t="s">
        <v>19</v>
      </c>
      <c r="R2274" s="4" t="s">
        <v>16</v>
      </c>
    </row>
    <row r="2275" spans="1:18" x14ac:dyDescent="0.3">
      <c r="A2275" t="s">
        <v>7807</v>
      </c>
      <c r="C2275" s="3">
        <v>45729</v>
      </c>
      <c r="D2275" s="11" t="s">
        <v>7808</v>
      </c>
      <c r="E2275" s="11" t="s">
        <v>7936</v>
      </c>
      <c r="G2275" s="7" t="s">
        <v>7822</v>
      </c>
      <c r="I2275" s="17">
        <v>38012</v>
      </c>
      <c r="K2275" s="4">
        <v>500</v>
      </c>
      <c r="L2275" s="11" t="s">
        <v>7937</v>
      </c>
      <c r="M2275" s="11" t="s">
        <v>7938</v>
      </c>
      <c r="O2275" s="4" t="s">
        <v>19</v>
      </c>
      <c r="P2275" s="4" t="s">
        <v>19</v>
      </c>
      <c r="Q2275" s="4" t="s">
        <v>19</v>
      </c>
      <c r="R2275" s="4" t="s">
        <v>16</v>
      </c>
    </row>
    <row r="2276" spans="1:18" x14ac:dyDescent="0.3">
      <c r="A2276" t="s">
        <v>7816</v>
      </c>
      <c r="C2276" s="3">
        <v>45729</v>
      </c>
      <c r="D2276" s="11" t="s">
        <v>7817</v>
      </c>
      <c r="E2276" s="11" t="s">
        <v>7915</v>
      </c>
      <c r="G2276" s="7" t="s">
        <v>7820</v>
      </c>
      <c r="I2276" s="17">
        <v>38854</v>
      </c>
      <c r="K2276" s="4">
        <v>300</v>
      </c>
      <c r="L2276" s="11" t="s">
        <v>7821</v>
      </c>
      <c r="M2276" s="11" t="s">
        <v>7818</v>
      </c>
      <c r="O2276" s="4" t="s">
        <v>19</v>
      </c>
      <c r="P2276" s="4" t="s">
        <v>19</v>
      </c>
      <c r="Q2276" s="4" t="s">
        <v>19</v>
      </c>
      <c r="R2276" s="4" t="s">
        <v>16</v>
      </c>
    </row>
    <row r="2277" spans="1:18" x14ac:dyDescent="0.3">
      <c r="A2277" t="s">
        <v>7825</v>
      </c>
      <c r="C2277" s="3">
        <v>45729</v>
      </c>
      <c r="D2277" s="11" t="s">
        <v>7826</v>
      </c>
      <c r="E2277" s="11" t="s">
        <v>8007</v>
      </c>
      <c r="G2277" s="7" t="s">
        <v>7827</v>
      </c>
      <c r="K2277" s="4">
        <v>500</v>
      </c>
      <c r="L2277" s="11" t="s">
        <v>8006</v>
      </c>
      <c r="M2277" s="11" t="s">
        <v>4193</v>
      </c>
      <c r="O2277" s="4" t="s">
        <v>14</v>
      </c>
      <c r="P2277" s="4" t="s">
        <v>19</v>
      </c>
      <c r="Q2277" s="4" t="s">
        <v>19</v>
      </c>
      <c r="R2277" s="4" t="s">
        <v>15</v>
      </c>
    </row>
    <row r="2278" spans="1:18" x14ac:dyDescent="0.3">
      <c r="A2278" t="s">
        <v>7836</v>
      </c>
      <c r="C2278" s="3">
        <v>45731</v>
      </c>
      <c r="D2278" s="11" t="s">
        <v>7837</v>
      </c>
      <c r="E2278" s="11" t="s">
        <v>7892</v>
      </c>
      <c r="G2278" s="7" t="s">
        <v>7838</v>
      </c>
      <c r="I2278" s="17">
        <v>29661</v>
      </c>
      <c r="K2278" s="4">
        <v>500</v>
      </c>
      <c r="L2278" s="11" t="s">
        <v>7839</v>
      </c>
      <c r="M2278" s="11" t="s">
        <v>7840</v>
      </c>
      <c r="O2278" s="4" t="s">
        <v>19</v>
      </c>
      <c r="P2278" s="4" t="s">
        <v>19</v>
      </c>
      <c r="Q2278" s="4" t="s">
        <v>19</v>
      </c>
      <c r="R2278" s="4" t="s">
        <v>16</v>
      </c>
    </row>
    <row r="2279" spans="1:18" x14ac:dyDescent="0.3">
      <c r="A2279" t="s">
        <v>7876</v>
      </c>
      <c r="C2279" s="3">
        <v>45734</v>
      </c>
      <c r="D2279" s="11" t="s">
        <v>7877</v>
      </c>
      <c r="E2279" s="11" t="s">
        <v>7892</v>
      </c>
      <c r="G2279" s="7" t="s">
        <v>7878</v>
      </c>
      <c r="I2279" s="17">
        <v>22240</v>
      </c>
      <c r="K2279" s="4">
        <v>300</v>
      </c>
      <c r="L2279" s="11" t="s">
        <v>7896</v>
      </c>
      <c r="M2279" s="11" t="s">
        <v>7879</v>
      </c>
      <c r="O2279" s="4" t="s">
        <v>19</v>
      </c>
      <c r="P2279" s="4" t="s">
        <v>19</v>
      </c>
      <c r="Q2279" s="4" t="s">
        <v>19</v>
      </c>
      <c r="R2279" s="4" t="s">
        <v>16</v>
      </c>
    </row>
    <row r="2280" spans="1:18" x14ac:dyDescent="0.3">
      <c r="A2280" t="s">
        <v>7889</v>
      </c>
      <c r="C2280" s="3">
        <v>45735</v>
      </c>
      <c r="D2280" s="11" t="s">
        <v>7890</v>
      </c>
      <c r="E2280" s="11" t="s">
        <v>7903</v>
      </c>
      <c r="G2280" s="7" t="s">
        <v>7895</v>
      </c>
      <c r="I2280" s="17">
        <v>24080</v>
      </c>
      <c r="K2280" s="4">
        <v>500</v>
      </c>
      <c r="L2280" s="11" t="s">
        <v>7901</v>
      </c>
      <c r="M2280" s="11" t="s">
        <v>7902</v>
      </c>
      <c r="O2280" s="4" t="s">
        <v>19</v>
      </c>
      <c r="P2280" s="4" t="s">
        <v>19</v>
      </c>
      <c r="Q2280" s="4" t="s">
        <v>19</v>
      </c>
      <c r="R2280" s="4" t="s">
        <v>16</v>
      </c>
    </row>
    <row r="2281" spans="1:18" x14ac:dyDescent="0.3">
      <c r="A2281" t="s">
        <v>7898</v>
      </c>
      <c r="C2281" s="3">
        <v>45735</v>
      </c>
      <c r="D2281" s="11" t="s">
        <v>7899</v>
      </c>
      <c r="E2281" s="11" t="s">
        <v>7903</v>
      </c>
      <c r="G2281" s="7" t="s">
        <v>7900</v>
      </c>
      <c r="K2281" s="4">
        <v>500</v>
      </c>
      <c r="L2281" s="11" t="s">
        <v>7907</v>
      </c>
      <c r="M2281" s="11" t="s">
        <v>7908</v>
      </c>
      <c r="O2281" s="4" t="s">
        <v>19</v>
      </c>
      <c r="P2281" s="4" t="s">
        <v>19</v>
      </c>
      <c r="Q2281" s="4" t="s">
        <v>19</v>
      </c>
      <c r="R2281" s="4" t="s">
        <v>15</v>
      </c>
    </row>
    <row r="2282" spans="1:18" x14ac:dyDescent="0.3">
      <c r="A2282" t="s">
        <v>7909</v>
      </c>
      <c r="C2282" s="3">
        <v>45736</v>
      </c>
      <c r="D2282" s="11" t="s">
        <v>7910</v>
      </c>
      <c r="E2282" s="11" t="s">
        <v>7915</v>
      </c>
      <c r="G2282" s="7" t="s">
        <v>7911</v>
      </c>
      <c r="I2282" s="17">
        <v>20098</v>
      </c>
      <c r="K2282" s="4">
        <v>2000</v>
      </c>
      <c r="L2282" s="11" t="s">
        <v>7912</v>
      </c>
      <c r="M2282" s="11" t="s">
        <v>7913</v>
      </c>
      <c r="O2282" s="4" t="s">
        <v>19</v>
      </c>
      <c r="P2282" s="4" t="s">
        <v>19</v>
      </c>
      <c r="Q2282" s="4" t="s">
        <v>19</v>
      </c>
      <c r="R2282" s="4" t="s">
        <v>16</v>
      </c>
    </row>
    <row r="2283" spans="1:18" ht="14.4" x14ac:dyDescent="0.3">
      <c r="A2283" t="s">
        <v>7922</v>
      </c>
      <c r="C2283" s="3">
        <v>45739</v>
      </c>
      <c r="D2283" s="11" t="s">
        <v>7923</v>
      </c>
      <c r="E2283" s="11" t="s">
        <v>7960</v>
      </c>
      <c r="G2283" s="7" t="s">
        <v>7925</v>
      </c>
      <c r="I2283" s="11" t="s">
        <v>7924</v>
      </c>
      <c r="K2283" s="4">
        <v>500</v>
      </c>
      <c r="L2283" s="11" t="s">
        <v>7926</v>
      </c>
      <c r="M2283" s="11" t="s">
        <v>7927</v>
      </c>
      <c r="O2283" s="4" t="s">
        <v>19</v>
      </c>
      <c r="P2283" s="4" t="s">
        <v>19</v>
      </c>
      <c r="Q2283" s="4" t="s">
        <v>19</v>
      </c>
      <c r="R2283" s="4" t="s">
        <v>16</v>
      </c>
    </row>
    <row r="2284" spans="1:18" x14ac:dyDescent="0.3">
      <c r="A2284" t="s">
        <v>7928</v>
      </c>
      <c r="C2284" s="3">
        <v>45739</v>
      </c>
      <c r="D2284" s="11" t="s">
        <v>7929</v>
      </c>
      <c r="E2284" s="11" t="s">
        <v>8037</v>
      </c>
      <c r="G2284" s="7" t="s">
        <v>688</v>
      </c>
      <c r="I2284" s="17">
        <v>29782</v>
      </c>
      <c r="K2284" s="4">
        <v>500</v>
      </c>
      <c r="L2284" s="11" t="s">
        <v>7930</v>
      </c>
      <c r="M2284" s="11" t="s">
        <v>7931</v>
      </c>
      <c r="O2284" s="4" t="s">
        <v>19</v>
      </c>
      <c r="P2284" s="4" t="s">
        <v>19</v>
      </c>
      <c r="Q2284" s="4" t="s">
        <v>19</v>
      </c>
      <c r="R2284" s="4" t="s">
        <v>19</v>
      </c>
    </row>
    <row r="2285" spans="1:18" x14ac:dyDescent="0.3">
      <c r="A2285" t="s">
        <v>7941</v>
      </c>
      <c r="C2285" s="3">
        <v>45740</v>
      </c>
      <c r="D2285" s="11" t="s">
        <v>7942</v>
      </c>
      <c r="E2285" s="11" t="s">
        <v>8000</v>
      </c>
      <c r="G2285" s="7" t="s">
        <v>7943</v>
      </c>
      <c r="I2285" s="17">
        <v>19771</v>
      </c>
      <c r="K2285" s="4">
        <v>500</v>
      </c>
      <c r="L2285" s="11" t="s">
        <v>7945</v>
      </c>
      <c r="M2285" s="11" t="s">
        <v>7944</v>
      </c>
      <c r="O2285" s="4" t="s">
        <v>19</v>
      </c>
      <c r="P2285" s="4" t="s">
        <v>19</v>
      </c>
      <c r="Q2285" s="4" t="s">
        <v>19</v>
      </c>
      <c r="R2285" s="4" t="s">
        <v>16</v>
      </c>
    </row>
    <row r="2286" spans="1:18" x14ac:dyDescent="0.3">
      <c r="A2286" t="s">
        <v>7946</v>
      </c>
      <c r="C2286" s="3">
        <v>45740</v>
      </c>
      <c r="D2286" s="11" t="s">
        <v>7947</v>
      </c>
      <c r="E2286" s="11" t="s">
        <v>5107</v>
      </c>
      <c r="G2286" s="7" t="s">
        <v>7948</v>
      </c>
      <c r="K2286" s="4">
        <v>950</v>
      </c>
      <c r="L2286" s="11" t="s">
        <v>7949</v>
      </c>
      <c r="M2286" s="11" t="s">
        <v>7950</v>
      </c>
      <c r="O2286" s="4" t="s">
        <v>19</v>
      </c>
      <c r="P2286" s="4" t="s">
        <v>19</v>
      </c>
      <c r="Q2286" s="4" t="s">
        <v>19</v>
      </c>
      <c r="R2286" s="4" t="s">
        <v>16</v>
      </c>
    </row>
    <row r="2287" spans="1:18" x14ac:dyDescent="0.3">
      <c r="A2287" t="s">
        <v>7954</v>
      </c>
      <c r="C2287" s="3">
        <v>45741</v>
      </c>
      <c r="D2287" s="11" t="s">
        <v>7955</v>
      </c>
      <c r="E2287" s="11" t="s">
        <v>5107</v>
      </c>
      <c r="G2287" s="7" t="s">
        <v>7956</v>
      </c>
      <c r="I2287" s="17">
        <v>38938</v>
      </c>
      <c r="K2287" s="4">
        <v>500</v>
      </c>
      <c r="L2287" s="11" t="s">
        <v>7957</v>
      </c>
      <c r="M2287" s="11" t="s">
        <v>7958</v>
      </c>
      <c r="N2287" s="11" t="s">
        <v>7959</v>
      </c>
      <c r="O2287" s="4" t="s">
        <v>19</v>
      </c>
      <c r="P2287" s="4" t="s">
        <v>19</v>
      </c>
      <c r="Q2287" s="4" t="s">
        <v>19</v>
      </c>
      <c r="R2287" s="4" t="s">
        <v>16</v>
      </c>
    </row>
    <row r="2288" spans="1:18" x14ac:dyDescent="0.3">
      <c r="A2288" t="s">
        <v>7961</v>
      </c>
      <c r="C2288" s="3">
        <v>45741</v>
      </c>
      <c r="D2288" s="11" t="s">
        <v>7962</v>
      </c>
      <c r="E2288" s="11" t="s">
        <v>7960</v>
      </c>
      <c r="G2288" s="7" t="s">
        <v>7963</v>
      </c>
      <c r="I2288" s="17">
        <v>27090</v>
      </c>
      <c r="K2288" s="4">
        <v>1000</v>
      </c>
      <c r="L2288" s="11" t="s">
        <v>7964</v>
      </c>
      <c r="M2288" s="11" t="s">
        <v>7965</v>
      </c>
      <c r="O2288" s="4" t="s">
        <v>19</v>
      </c>
      <c r="P2288" s="4" t="s">
        <v>19</v>
      </c>
      <c r="Q2288" s="4" t="s">
        <v>19</v>
      </c>
      <c r="R2288" s="4" t="s">
        <v>16</v>
      </c>
    </row>
    <row r="2289" spans="1:18" x14ac:dyDescent="0.3">
      <c r="A2289" t="s">
        <v>7966</v>
      </c>
      <c r="C2289" s="3">
        <v>45742</v>
      </c>
      <c r="D2289" s="11" t="s">
        <v>7968</v>
      </c>
      <c r="E2289" s="11" t="s">
        <v>7960</v>
      </c>
      <c r="G2289" s="7" t="s">
        <v>7970</v>
      </c>
      <c r="I2289" s="17">
        <v>23224</v>
      </c>
      <c r="K2289" s="4">
        <v>750</v>
      </c>
      <c r="L2289" s="11" t="s">
        <v>7979</v>
      </c>
      <c r="M2289" s="11" t="s">
        <v>7972</v>
      </c>
      <c r="O2289" s="4" t="s">
        <v>19</v>
      </c>
      <c r="P2289" s="4" t="s">
        <v>19</v>
      </c>
      <c r="Q2289" s="4" t="s">
        <v>19</v>
      </c>
      <c r="R2289" s="4" t="s">
        <v>16</v>
      </c>
    </row>
    <row r="2290" spans="1:18" x14ac:dyDescent="0.3">
      <c r="A2290" t="s">
        <v>7967</v>
      </c>
      <c r="C2290" s="3">
        <v>45742</v>
      </c>
      <c r="D2290" s="11" t="s">
        <v>7969</v>
      </c>
      <c r="E2290" s="11" t="s">
        <v>7981</v>
      </c>
      <c r="G2290" s="7" t="s">
        <v>7971</v>
      </c>
      <c r="I2290" s="17">
        <v>26222</v>
      </c>
      <c r="K2290" s="4">
        <v>750</v>
      </c>
      <c r="L2290" s="11" t="s">
        <v>7980</v>
      </c>
      <c r="M2290" s="11" t="s">
        <v>7972</v>
      </c>
      <c r="O2290" s="4" t="s">
        <v>19</v>
      </c>
      <c r="P2290" s="4" t="s">
        <v>19</v>
      </c>
      <c r="Q2290" s="4" t="s">
        <v>19</v>
      </c>
      <c r="R2290" s="4" t="s">
        <v>16</v>
      </c>
    </row>
    <row r="2291" spans="1:18" x14ac:dyDescent="0.3">
      <c r="A2291" t="s">
        <v>7974</v>
      </c>
      <c r="C2291" s="3">
        <v>45742</v>
      </c>
      <c r="D2291" s="11" t="s">
        <v>7975</v>
      </c>
      <c r="E2291" s="11" t="s">
        <v>8036</v>
      </c>
      <c r="G2291" s="7" t="s">
        <v>7976</v>
      </c>
      <c r="I2291" s="17">
        <v>41891</v>
      </c>
      <c r="K2291" s="4">
        <v>500</v>
      </c>
      <c r="L2291" s="11" t="s">
        <v>7977</v>
      </c>
      <c r="M2291" s="11" t="s">
        <v>7978</v>
      </c>
      <c r="O2291" s="4" t="s">
        <v>19</v>
      </c>
      <c r="P2291" s="4" t="s">
        <v>19</v>
      </c>
      <c r="Q2291" s="4" t="s">
        <v>19</v>
      </c>
      <c r="R2291" s="4" t="s">
        <v>19</v>
      </c>
    </row>
    <row r="2292" spans="1:18" x14ac:dyDescent="0.3">
      <c r="A2292" t="s">
        <v>7992</v>
      </c>
      <c r="C2292" s="3">
        <v>45866</v>
      </c>
      <c r="D2292" s="11" t="s">
        <v>7996</v>
      </c>
      <c r="E2292" s="11" t="s">
        <v>8022</v>
      </c>
      <c r="G2292" s="7" t="s">
        <v>7995</v>
      </c>
      <c r="I2292" s="17">
        <v>34752</v>
      </c>
      <c r="K2292" s="4">
        <v>2000</v>
      </c>
      <c r="L2292" s="11" t="s">
        <v>7994</v>
      </c>
      <c r="M2292" s="11" t="s">
        <v>7993</v>
      </c>
      <c r="O2292" s="4" t="s">
        <v>19</v>
      </c>
      <c r="P2292" s="4" t="s">
        <v>19</v>
      </c>
      <c r="Q2292" s="4" t="s">
        <v>19</v>
      </c>
      <c r="R2292" s="4" t="s">
        <v>16</v>
      </c>
    </row>
    <row r="2293" spans="1:18" x14ac:dyDescent="0.3">
      <c r="A2293" t="s">
        <v>8015</v>
      </c>
      <c r="C2293" s="3">
        <v>45748</v>
      </c>
      <c r="D2293" s="11" t="s">
        <v>8016</v>
      </c>
      <c r="E2293" s="11" t="s">
        <v>8040</v>
      </c>
      <c r="G2293" s="7" t="s">
        <v>5713</v>
      </c>
      <c r="I2293" s="17">
        <v>37625</v>
      </c>
      <c r="K2293" s="4">
        <v>500</v>
      </c>
      <c r="L2293" s="11" t="s">
        <v>8017</v>
      </c>
      <c r="M2293" s="11" t="s">
        <v>8018</v>
      </c>
      <c r="O2293" s="4" t="s">
        <v>19</v>
      </c>
      <c r="P2293" s="4" t="s">
        <v>19</v>
      </c>
      <c r="Q2293" s="4" t="s">
        <v>19</v>
      </c>
      <c r="R2293" s="4" t="s">
        <v>16</v>
      </c>
    </row>
    <row r="2294" spans="1:18" x14ac:dyDescent="0.3">
      <c r="A2294" t="s">
        <v>8030</v>
      </c>
      <c r="C2294" s="3">
        <v>45749</v>
      </c>
      <c r="D2294" s="11" t="s">
        <v>8031</v>
      </c>
      <c r="E2294" s="11" t="s">
        <v>8040</v>
      </c>
      <c r="G2294" s="7" t="s">
        <v>8035</v>
      </c>
      <c r="I2294" s="17">
        <v>41192</v>
      </c>
      <c r="K2294" s="4">
        <v>500</v>
      </c>
      <c r="L2294" s="11" t="s">
        <v>8033</v>
      </c>
      <c r="M2294" s="11" t="s">
        <v>7644</v>
      </c>
      <c r="O2294" s="4" t="s">
        <v>19</v>
      </c>
      <c r="P2294" s="4" t="s">
        <v>19</v>
      </c>
      <c r="Q2294" s="4" t="s">
        <v>19</v>
      </c>
      <c r="R2294" s="4" t="s">
        <v>19</v>
      </c>
    </row>
    <row r="2295" spans="1:18" x14ac:dyDescent="0.3">
      <c r="A2295" t="s">
        <v>8043</v>
      </c>
      <c r="C2295" s="3">
        <v>45751</v>
      </c>
      <c r="D2295" s="11" t="s">
        <v>8044</v>
      </c>
      <c r="E2295" s="11" t="s">
        <v>8057</v>
      </c>
      <c r="G2295" s="7" t="s">
        <v>8045</v>
      </c>
      <c r="I2295" s="17">
        <v>36651</v>
      </c>
      <c r="K2295" s="4">
        <v>500</v>
      </c>
      <c r="L2295" s="11" t="s">
        <v>8046</v>
      </c>
      <c r="M2295" s="11" t="s">
        <v>8047</v>
      </c>
      <c r="O2295" s="4" t="s">
        <v>19</v>
      </c>
      <c r="P2295" s="4" t="s">
        <v>19</v>
      </c>
      <c r="Q2295" s="4" t="s">
        <v>19</v>
      </c>
      <c r="R2295" s="4" t="s">
        <v>10232</v>
      </c>
    </row>
    <row r="2296" spans="1:18" x14ac:dyDescent="0.3">
      <c r="A2296" t="s">
        <v>8061</v>
      </c>
      <c r="C2296" s="3">
        <v>45755</v>
      </c>
      <c r="D2296" s="11" t="s">
        <v>8063</v>
      </c>
      <c r="E2296" s="11" t="s">
        <v>8073</v>
      </c>
      <c r="G2296" s="7" t="s">
        <v>8062</v>
      </c>
      <c r="I2296" s="17">
        <v>30317</v>
      </c>
      <c r="K2296" s="4">
        <v>500</v>
      </c>
      <c r="L2296" s="11" t="s">
        <v>8072</v>
      </c>
      <c r="M2296" s="11" t="s">
        <v>8076</v>
      </c>
      <c r="O2296" s="4" t="s">
        <v>19</v>
      </c>
      <c r="P2296" s="4" t="s">
        <v>19</v>
      </c>
      <c r="Q2296" s="4" t="s">
        <v>19</v>
      </c>
      <c r="R2296" s="4" t="s">
        <v>16</v>
      </c>
    </row>
    <row r="2297" spans="1:18" x14ac:dyDescent="0.3">
      <c r="A2297" t="s">
        <v>8069</v>
      </c>
      <c r="C2297" s="3">
        <v>45757</v>
      </c>
      <c r="D2297" s="11" t="s">
        <v>8074</v>
      </c>
      <c r="G2297" s="7" t="s">
        <v>8075</v>
      </c>
      <c r="I2297" s="17">
        <v>34700</v>
      </c>
      <c r="K2297" s="4">
        <v>500</v>
      </c>
      <c r="L2297" s="11" t="s">
        <v>8117</v>
      </c>
      <c r="M2297" s="11" t="s">
        <v>8117</v>
      </c>
      <c r="O2297" s="4" t="s">
        <v>19</v>
      </c>
      <c r="P2297" s="4" t="s">
        <v>19</v>
      </c>
      <c r="Q2297" s="4" t="s">
        <v>19</v>
      </c>
      <c r="R2297" s="4" t="s">
        <v>16</v>
      </c>
    </row>
    <row r="2298" spans="1:18" x14ac:dyDescent="0.3">
      <c r="A2298" t="s">
        <v>8077</v>
      </c>
      <c r="C2298" s="3">
        <v>45757</v>
      </c>
      <c r="D2298" s="11" t="s">
        <v>8078</v>
      </c>
      <c r="E2298" s="11" t="s">
        <v>8283</v>
      </c>
      <c r="G2298" s="7" t="s">
        <v>8079</v>
      </c>
      <c r="I2298" s="17">
        <v>32918</v>
      </c>
      <c r="K2298" s="4">
        <v>500</v>
      </c>
      <c r="L2298" s="11" t="s">
        <v>8080</v>
      </c>
      <c r="M2298" s="11" t="s">
        <v>8081</v>
      </c>
      <c r="O2298" s="4" t="s">
        <v>19</v>
      </c>
      <c r="P2298" s="4" t="s">
        <v>19</v>
      </c>
      <c r="Q2298" s="4" t="s">
        <v>19</v>
      </c>
      <c r="R2298" s="4" t="s">
        <v>16</v>
      </c>
    </row>
    <row r="2299" spans="1:18" x14ac:dyDescent="0.3">
      <c r="A2299" t="s">
        <v>8085</v>
      </c>
      <c r="C2299" s="3">
        <v>45759</v>
      </c>
      <c r="D2299" s="11" t="s">
        <v>8086</v>
      </c>
      <c r="G2299" s="7" t="s">
        <v>8087</v>
      </c>
      <c r="I2299" s="17">
        <v>32195</v>
      </c>
      <c r="K2299" s="4">
        <v>500</v>
      </c>
      <c r="L2299" s="11" t="s">
        <v>8088</v>
      </c>
      <c r="M2299" s="11" t="s">
        <v>8089</v>
      </c>
      <c r="O2299" s="4" t="s">
        <v>19</v>
      </c>
      <c r="P2299" s="4" t="s">
        <v>19</v>
      </c>
      <c r="Q2299" s="4" t="s">
        <v>19</v>
      </c>
      <c r="R2299" s="4" t="s">
        <v>16</v>
      </c>
    </row>
    <row r="2300" spans="1:18" x14ac:dyDescent="0.3">
      <c r="A2300" t="s">
        <v>8090</v>
      </c>
      <c r="C2300" s="3">
        <v>45759</v>
      </c>
      <c r="D2300" s="11" t="s">
        <v>8091</v>
      </c>
      <c r="G2300" s="7" t="s">
        <v>220</v>
      </c>
      <c r="I2300" s="17">
        <v>32509</v>
      </c>
      <c r="K2300" s="4">
        <v>500</v>
      </c>
      <c r="L2300" s="11" t="s">
        <v>8096</v>
      </c>
      <c r="M2300" s="11" t="s">
        <v>8131</v>
      </c>
      <c r="O2300" s="4" t="s">
        <v>19</v>
      </c>
      <c r="P2300" s="4" t="s">
        <v>19</v>
      </c>
      <c r="Q2300" s="4" t="s">
        <v>19</v>
      </c>
      <c r="R2300" s="4" t="s">
        <v>19</v>
      </c>
    </row>
    <row r="2301" spans="1:18" x14ac:dyDescent="0.3">
      <c r="A2301" t="s">
        <v>8099</v>
      </c>
      <c r="C2301" s="3">
        <v>45761</v>
      </c>
      <c r="D2301" s="11" t="s">
        <v>8100</v>
      </c>
      <c r="E2301" s="11" t="s">
        <v>8119</v>
      </c>
      <c r="G2301" s="7" t="s">
        <v>8115</v>
      </c>
      <c r="I2301" s="17">
        <v>35098</v>
      </c>
      <c r="K2301" s="4">
        <v>500</v>
      </c>
      <c r="L2301" s="11" t="s">
        <v>8116</v>
      </c>
      <c r="M2301" s="11" t="s">
        <v>8120</v>
      </c>
      <c r="O2301" s="4" t="s">
        <v>19</v>
      </c>
      <c r="P2301" s="4" t="s">
        <v>19</v>
      </c>
      <c r="Q2301" s="4" t="s">
        <v>19</v>
      </c>
      <c r="R2301" s="4" t="s">
        <v>16</v>
      </c>
    </row>
    <row r="2302" spans="1:18" x14ac:dyDescent="0.3">
      <c r="A2302" t="s">
        <v>8108</v>
      </c>
      <c r="C2302" s="3">
        <v>45763</v>
      </c>
      <c r="D2302" s="11" t="s">
        <v>8109</v>
      </c>
      <c r="E2302" s="11" t="s">
        <v>8255</v>
      </c>
      <c r="G2302" s="7" t="s">
        <v>8110</v>
      </c>
      <c r="I2302" s="17">
        <v>42040</v>
      </c>
      <c r="K2302" s="4">
        <v>500</v>
      </c>
      <c r="L2302" s="11" t="s">
        <v>8111</v>
      </c>
      <c r="M2302" s="11" t="s">
        <v>3305</v>
      </c>
      <c r="O2302" s="4" t="s">
        <v>19</v>
      </c>
      <c r="P2302" s="4" t="s">
        <v>19</v>
      </c>
      <c r="Q2302" s="4" t="s">
        <v>19</v>
      </c>
      <c r="R2302" s="4" t="s">
        <v>19</v>
      </c>
    </row>
    <row r="2303" spans="1:18" x14ac:dyDescent="0.3">
      <c r="A2303" t="s">
        <v>8112</v>
      </c>
      <c r="C2303" s="3">
        <v>45763</v>
      </c>
      <c r="D2303" s="11" t="s">
        <v>4798</v>
      </c>
      <c r="E2303" s="11" t="s">
        <v>8119</v>
      </c>
      <c r="G2303" s="7" t="s">
        <v>8113</v>
      </c>
      <c r="K2303" s="4">
        <v>500</v>
      </c>
      <c r="L2303" s="11" t="s">
        <v>8118</v>
      </c>
      <c r="M2303" s="11" t="s">
        <v>8114</v>
      </c>
      <c r="O2303" s="4" t="s">
        <v>19</v>
      </c>
      <c r="P2303" s="4" t="s">
        <v>19</v>
      </c>
      <c r="Q2303" s="4" t="s">
        <v>19</v>
      </c>
      <c r="R2303" s="4" t="s">
        <v>16</v>
      </c>
    </row>
    <row r="2304" spans="1:18" x14ac:dyDescent="0.3">
      <c r="A2304" t="s">
        <v>8123</v>
      </c>
      <c r="C2304" s="3">
        <v>45764</v>
      </c>
      <c r="D2304" s="11" t="s">
        <v>8124</v>
      </c>
      <c r="E2304" s="11" t="s">
        <v>8136</v>
      </c>
      <c r="G2304" s="7" t="s">
        <v>8127</v>
      </c>
      <c r="K2304" s="4">
        <v>500</v>
      </c>
      <c r="L2304" s="11" t="s">
        <v>8128</v>
      </c>
      <c r="M2304" s="11" t="s">
        <v>8125</v>
      </c>
      <c r="O2304" s="4" t="s">
        <v>19</v>
      </c>
      <c r="P2304" s="4" t="s">
        <v>19</v>
      </c>
      <c r="Q2304" s="4" t="s">
        <v>19</v>
      </c>
      <c r="R2304" s="4" t="s">
        <v>16</v>
      </c>
    </row>
    <row r="2305" spans="1:18" x14ac:dyDescent="0.3">
      <c r="A2305" t="s">
        <v>8141</v>
      </c>
      <c r="C2305" s="3">
        <v>45769</v>
      </c>
      <c r="D2305" s="11" t="s">
        <v>8142</v>
      </c>
      <c r="E2305" s="11" t="s">
        <v>8164</v>
      </c>
      <c r="G2305" s="7" t="s">
        <v>8144</v>
      </c>
      <c r="I2305" s="17">
        <v>38912</v>
      </c>
      <c r="K2305" s="4">
        <v>500</v>
      </c>
      <c r="L2305" s="11" t="s">
        <v>8146</v>
      </c>
      <c r="M2305" s="11" t="s">
        <v>8143</v>
      </c>
      <c r="O2305" s="4" t="s">
        <v>19</v>
      </c>
      <c r="P2305" s="4" t="s">
        <v>19</v>
      </c>
      <c r="Q2305" s="4" t="s">
        <v>19</v>
      </c>
      <c r="R2305" s="4" t="s">
        <v>16</v>
      </c>
    </row>
    <row r="2306" spans="1:18" x14ac:dyDescent="0.3">
      <c r="A2306" t="s">
        <v>8148</v>
      </c>
      <c r="C2306" s="3">
        <v>45770</v>
      </c>
      <c r="D2306" s="11" t="s">
        <v>8149</v>
      </c>
      <c r="E2306" s="11" t="s">
        <v>8211</v>
      </c>
      <c r="G2306" s="7" t="s">
        <v>8151</v>
      </c>
      <c r="I2306" s="17">
        <v>37868</v>
      </c>
      <c r="K2306" s="4">
        <v>500</v>
      </c>
      <c r="L2306" s="11" t="s">
        <v>8165</v>
      </c>
      <c r="M2306" s="11" t="s">
        <v>8150</v>
      </c>
      <c r="O2306" s="4" t="s">
        <v>19</v>
      </c>
      <c r="P2306" s="4" t="s">
        <v>19</v>
      </c>
      <c r="Q2306" s="4" t="s">
        <v>19</v>
      </c>
      <c r="R2306" s="4" t="s">
        <v>16</v>
      </c>
    </row>
    <row r="2307" spans="1:18" x14ac:dyDescent="0.3">
      <c r="A2307" t="s">
        <v>8153</v>
      </c>
      <c r="C2307" s="3">
        <v>45771</v>
      </c>
      <c r="D2307" s="11" t="s">
        <v>8154</v>
      </c>
      <c r="E2307" s="11" t="s">
        <v>8175</v>
      </c>
      <c r="G2307" s="7" t="s">
        <v>4125</v>
      </c>
      <c r="K2307" s="4">
        <v>500</v>
      </c>
      <c r="L2307" s="11" t="s">
        <v>8166</v>
      </c>
      <c r="M2307" s="11" t="s">
        <v>8155</v>
      </c>
      <c r="O2307" s="4" t="s">
        <v>19</v>
      </c>
      <c r="P2307" s="4" t="s">
        <v>19</v>
      </c>
      <c r="Q2307" s="4" t="s">
        <v>19</v>
      </c>
      <c r="R2307" s="4" t="s">
        <v>16</v>
      </c>
    </row>
    <row r="2308" spans="1:18" x14ac:dyDescent="0.3">
      <c r="A2308" t="s">
        <v>8159</v>
      </c>
      <c r="C2308" s="3">
        <v>45772</v>
      </c>
      <c r="D2308" s="11" t="s">
        <v>8163</v>
      </c>
      <c r="E2308" s="11" t="s">
        <v>8186</v>
      </c>
      <c r="G2308" s="7" t="s">
        <v>8160</v>
      </c>
      <c r="I2308" s="17">
        <v>36161</v>
      </c>
      <c r="K2308" s="4">
        <v>500</v>
      </c>
      <c r="L2308" s="11" t="s">
        <v>8162</v>
      </c>
      <c r="M2308" s="11" t="s">
        <v>8161</v>
      </c>
      <c r="O2308" s="4" t="s">
        <v>19</v>
      </c>
      <c r="P2308" s="4" t="s">
        <v>19</v>
      </c>
      <c r="Q2308" s="4" t="s">
        <v>19</v>
      </c>
      <c r="R2308" s="4" t="s">
        <v>16</v>
      </c>
    </row>
    <row r="2309" spans="1:18" x14ac:dyDescent="0.3">
      <c r="A2309" t="s">
        <v>8170</v>
      </c>
      <c r="C2309" s="3">
        <v>45772</v>
      </c>
      <c r="D2309" s="11" t="s">
        <v>8171</v>
      </c>
      <c r="E2309" s="11" t="s">
        <v>8249</v>
      </c>
      <c r="G2309" s="7" t="s">
        <v>8172</v>
      </c>
      <c r="I2309" s="17">
        <v>35000</v>
      </c>
      <c r="K2309" s="4">
        <v>500</v>
      </c>
      <c r="L2309" s="11" t="s">
        <v>8173</v>
      </c>
      <c r="M2309" s="11" t="s">
        <v>8174</v>
      </c>
      <c r="O2309" s="4" t="s">
        <v>19</v>
      </c>
      <c r="P2309" s="4" t="s">
        <v>19</v>
      </c>
      <c r="Q2309" s="4" t="s">
        <v>19</v>
      </c>
      <c r="R2309" s="4" t="s">
        <v>16</v>
      </c>
    </row>
    <row r="2310" spans="1:18" x14ac:dyDescent="0.3">
      <c r="A2310" t="s">
        <v>8178</v>
      </c>
      <c r="C2310" s="3">
        <v>45773</v>
      </c>
      <c r="D2310" s="11" t="s">
        <v>8179</v>
      </c>
      <c r="E2310" s="11" t="s">
        <v>8197</v>
      </c>
      <c r="G2310" s="7" t="s">
        <v>8180</v>
      </c>
      <c r="I2310" s="17">
        <v>21367</v>
      </c>
      <c r="K2310" s="4">
        <v>500</v>
      </c>
      <c r="L2310" s="11" t="s">
        <v>8181</v>
      </c>
      <c r="M2310" s="11" t="s">
        <v>8125</v>
      </c>
      <c r="O2310" s="4" t="s">
        <v>19</v>
      </c>
      <c r="P2310" s="4" t="s">
        <v>19</v>
      </c>
      <c r="Q2310" s="4" t="s">
        <v>19</v>
      </c>
      <c r="R2310" s="4" t="s">
        <v>16</v>
      </c>
    </row>
    <row r="2311" spans="1:18" x14ac:dyDescent="0.3">
      <c r="A2311" t="s">
        <v>8191</v>
      </c>
      <c r="C2311" s="3">
        <v>45775</v>
      </c>
      <c r="D2311" s="11" t="s">
        <v>8192</v>
      </c>
      <c r="E2311" s="11" t="s">
        <v>8211</v>
      </c>
      <c r="G2311" s="7" t="s">
        <v>8194</v>
      </c>
      <c r="I2311" s="17">
        <v>34988</v>
      </c>
      <c r="K2311" s="4">
        <v>500</v>
      </c>
      <c r="L2311" s="11" t="s">
        <v>8210</v>
      </c>
      <c r="M2311" s="11" t="s">
        <v>8193</v>
      </c>
      <c r="O2311" s="4" t="s">
        <v>19</v>
      </c>
      <c r="P2311" s="4" t="s">
        <v>19</v>
      </c>
      <c r="Q2311" s="4" t="s">
        <v>19</v>
      </c>
      <c r="R2311" s="4" t="s">
        <v>16</v>
      </c>
    </row>
    <row r="2312" spans="1:18" x14ac:dyDescent="0.3">
      <c r="A2312" t="s">
        <v>8202</v>
      </c>
      <c r="C2312" s="3">
        <v>45776</v>
      </c>
      <c r="D2312" s="11" t="s">
        <v>8203</v>
      </c>
      <c r="G2312" s="7" t="s">
        <v>8205</v>
      </c>
      <c r="I2312" s="17">
        <v>34571</v>
      </c>
      <c r="K2312" s="4">
        <v>500</v>
      </c>
      <c r="L2312" s="11" t="s">
        <v>8222</v>
      </c>
      <c r="M2312" s="11" t="s">
        <v>8230</v>
      </c>
      <c r="N2312" s="11" t="s">
        <v>5515</v>
      </c>
      <c r="O2312" s="4" t="s">
        <v>19</v>
      </c>
      <c r="P2312" s="4" t="s">
        <v>19</v>
      </c>
      <c r="Q2312" s="4" t="s">
        <v>19</v>
      </c>
      <c r="R2312" s="4" t="s">
        <v>16</v>
      </c>
    </row>
    <row r="2313" spans="1:18" x14ac:dyDescent="0.3">
      <c r="A2313" t="s">
        <v>8213</v>
      </c>
      <c r="C2313" s="3">
        <v>45778</v>
      </c>
      <c r="D2313" s="11" t="s">
        <v>8214</v>
      </c>
      <c r="E2313" s="11" t="s">
        <v>8328</v>
      </c>
      <c r="G2313" s="7" t="s">
        <v>8215</v>
      </c>
      <c r="I2313" s="17">
        <v>41402</v>
      </c>
      <c r="K2313" s="4">
        <v>400</v>
      </c>
      <c r="L2313" s="11" t="s">
        <v>8216</v>
      </c>
      <c r="M2313" s="11" t="s">
        <v>8217</v>
      </c>
      <c r="O2313" s="4" t="s">
        <v>19</v>
      </c>
      <c r="P2313" s="4" t="s">
        <v>19</v>
      </c>
      <c r="Q2313" s="4" t="s">
        <v>19</v>
      </c>
      <c r="R2313" s="4" t="s">
        <v>19</v>
      </c>
    </row>
    <row r="2314" spans="1:18" ht="14.4" x14ac:dyDescent="0.3">
      <c r="A2314" t="s">
        <v>8218</v>
      </c>
      <c r="C2314" s="3">
        <v>45778</v>
      </c>
      <c r="D2314" s="11" t="s">
        <v>8219</v>
      </c>
      <c r="E2314" s="11" t="s">
        <v>8328</v>
      </c>
      <c r="G2314" s="7" t="s">
        <v>8326</v>
      </c>
      <c r="I2314" s="3">
        <v>40731</v>
      </c>
      <c r="K2314" s="4">
        <v>400</v>
      </c>
      <c r="L2314" s="11" t="s">
        <v>8327</v>
      </c>
      <c r="M2314" s="11" t="s">
        <v>8217</v>
      </c>
      <c r="O2314" s="4" t="s">
        <v>19</v>
      </c>
      <c r="P2314" s="4" t="s">
        <v>19</v>
      </c>
      <c r="Q2314" s="4" t="s">
        <v>19</v>
      </c>
      <c r="R2314" s="4" t="s">
        <v>19</v>
      </c>
    </row>
    <row r="2315" spans="1:18" x14ac:dyDescent="0.3">
      <c r="A2315" t="s">
        <v>8234</v>
      </c>
      <c r="C2315" s="3">
        <v>45781</v>
      </c>
      <c r="D2315" s="11" t="s">
        <v>8242</v>
      </c>
      <c r="E2315" s="11" t="s">
        <v>8266</v>
      </c>
      <c r="G2315" s="7" t="s">
        <v>8235</v>
      </c>
      <c r="I2315" s="17">
        <v>29834</v>
      </c>
      <c r="K2315" s="4">
        <v>500</v>
      </c>
      <c r="L2315" s="11" t="s">
        <v>8237</v>
      </c>
      <c r="M2315" s="11" t="s">
        <v>8236</v>
      </c>
      <c r="O2315" s="4" t="s">
        <v>16</v>
      </c>
      <c r="P2315" s="4" t="s">
        <v>19</v>
      </c>
      <c r="Q2315" s="4" t="s">
        <v>19</v>
      </c>
      <c r="R2315" s="4" t="s">
        <v>19</v>
      </c>
    </row>
    <row r="2316" spans="1:18" x14ac:dyDescent="0.3">
      <c r="A2316" t="s">
        <v>8241</v>
      </c>
      <c r="C2316" s="3">
        <v>45783</v>
      </c>
      <c r="D2316" s="11" t="s">
        <v>8243</v>
      </c>
      <c r="E2316" s="11" t="s">
        <v>8255</v>
      </c>
      <c r="G2316" s="7" t="s">
        <v>8244</v>
      </c>
      <c r="I2316" s="17">
        <v>33651</v>
      </c>
      <c r="K2316" s="4">
        <v>2000</v>
      </c>
      <c r="L2316" s="11" t="s">
        <v>8245</v>
      </c>
      <c r="M2316" s="11" t="s">
        <v>8246</v>
      </c>
      <c r="O2316" s="4" t="s">
        <v>16</v>
      </c>
      <c r="P2316" s="4" t="s">
        <v>19</v>
      </c>
      <c r="Q2316" s="4" t="s">
        <v>19</v>
      </c>
      <c r="R2316" s="4" t="s">
        <v>16</v>
      </c>
    </row>
    <row r="2317" spans="1:18" x14ac:dyDescent="0.3">
      <c r="A2317" t="s">
        <v>8258</v>
      </c>
      <c r="C2317" s="3">
        <v>45784</v>
      </c>
      <c r="D2317" s="11" t="s">
        <v>8259</v>
      </c>
      <c r="E2317" s="11" t="s">
        <v>8266</v>
      </c>
      <c r="G2317" s="7" t="s">
        <v>8260</v>
      </c>
      <c r="I2317" s="17">
        <v>38443</v>
      </c>
      <c r="K2317" s="4">
        <v>500</v>
      </c>
      <c r="L2317" s="11" t="s">
        <v>8267</v>
      </c>
      <c r="M2317" s="11" t="s">
        <v>8261</v>
      </c>
      <c r="O2317" s="4" t="s">
        <v>16</v>
      </c>
      <c r="P2317" s="4" t="s">
        <v>19</v>
      </c>
      <c r="Q2317" s="4" t="s">
        <v>19</v>
      </c>
      <c r="R2317" s="4" t="s">
        <v>16</v>
      </c>
    </row>
    <row r="2318" spans="1:18" x14ac:dyDescent="0.3">
      <c r="A2318" t="s">
        <v>8270</v>
      </c>
      <c r="C2318" s="3">
        <v>45786</v>
      </c>
      <c r="D2318" s="11" t="s">
        <v>8271</v>
      </c>
      <c r="E2318" s="11" t="s">
        <v>8310</v>
      </c>
      <c r="G2318" s="7" t="s">
        <v>8308</v>
      </c>
      <c r="I2318" s="17">
        <v>23121</v>
      </c>
      <c r="K2318" s="4">
        <v>1900</v>
      </c>
      <c r="L2318" s="11" t="s">
        <v>8307</v>
      </c>
      <c r="M2318" s="11" t="s">
        <v>8306</v>
      </c>
      <c r="O2318" s="4" t="s">
        <v>16</v>
      </c>
      <c r="P2318" s="4" t="s">
        <v>19</v>
      </c>
      <c r="Q2318" s="4" t="s">
        <v>19</v>
      </c>
      <c r="R2318" s="4" t="s">
        <v>16</v>
      </c>
    </row>
    <row r="2319" spans="1:18" x14ac:dyDescent="0.3">
      <c r="A2319" t="s">
        <v>8285</v>
      </c>
      <c r="C2319" s="3">
        <v>45791</v>
      </c>
      <c r="D2319" s="11" t="s">
        <v>8286</v>
      </c>
      <c r="E2319" s="11" t="s">
        <v>8291</v>
      </c>
      <c r="G2319" s="7" t="s">
        <v>8290</v>
      </c>
      <c r="I2319" s="17">
        <v>28269</v>
      </c>
      <c r="K2319" s="4">
        <v>500</v>
      </c>
      <c r="L2319" s="11" t="s">
        <v>8289</v>
      </c>
      <c r="M2319" s="11" t="s">
        <v>8287</v>
      </c>
      <c r="O2319" s="4" t="s">
        <v>16</v>
      </c>
      <c r="P2319" s="4" t="s">
        <v>19</v>
      </c>
      <c r="Q2319" s="4" t="s">
        <v>19</v>
      </c>
      <c r="R2319" s="4" t="s">
        <v>16</v>
      </c>
    </row>
    <row r="2320" spans="1:18" x14ac:dyDescent="0.3">
      <c r="A2320" t="s">
        <v>8301</v>
      </c>
      <c r="C2320" s="3">
        <v>45792</v>
      </c>
      <c r="D2320" s="11" t="s">
        <v>8302</v>
      </c>
      <c r="E2320" s="11" t="s">
        <v>10058</v>
      </c>
      <c r="G2320" s="7" t="s">
        <v>8303</v>
      </c>
      <c r="I2320" s="17">
        <v>28832</v>
      </c>
      <c r="K2320" s="4">
        <v>500</v>
      </c>
      <c r="L2320" s="11" t="s">
        <v>8305</v>
      </c>
      <c r="M2320" s="11" t="s">
        <v>8304</v>
      </c>
      <c r="O2320" s="4" t="s">
        <v>16</v>
      </c>
      <c r="P2320" s="4" t="s">
        <v>19</v>
      </c>
      <c r="Q2320" s="4" t="s">
        <v>19</v>
      </c>
      <c r="R2320" s="4" t="s">
        <v>16</v>
      </c>
    </row>
    <row r="2321" spans="1:18" x14ac:dyDescent="0.3">
      <c r="A2321" t="s">
        <v>8309</v>
      </c>
      <c r="C2321" s="3">
        <v>45794</v>
      </c>
      <c r="D2321" s="11" t="s">
        <v>8312</v>
      </c>
      <c r="G2321" s="7" t="s">
        <v>8313</v>
      </c>
      <c r="I2321" s="17">
        <v>38487</v>
      </c>
      <c r="K2321" s="4">
        <v>2000</v>
      </c>
      <c r="L2321" s="11" t="s">
        <v>8314</v>
      </c>
      <c r="M2321" s="11" t="s">
        <v>8331</v>
      </c>
      <c r="O2321" s="4" t="s">
        <v>16</v>
      </c>
      <c r="P2321" s="4" t="s">
        <v>19</v>
      </c>
      <c r="Q2321" s="4" t="s">
        <v>19</v>
      </c>
      <c r="R2321" s="4" t="s">
        <v>16</v>
      </c>
    </row>
    <row r="2322" spans="1:18" x14ac:dyDescent="0.3">
      <c r="A2322" t="s">
        <v>8317</v>
      </c>
      <c r="C2322" s="3">
        <v>45795</v>
      </c>
      <c r="D2322" s="11" t="s">
        <v>8318</v>
      </c>
      <c r="E2322" s="11" t="s">
        <v>8485</v>
      </c>
      <c r="G2322" s="7" t="s">
        <v>8322</v>
      </c>
      <c r="I2322" s="17">
        <v>33984</v>
      </c>
      <c r="K2322" s="4">
        <v>2000</v>
      </c>
      <c r="L2322" s="11" t="s">
        <v>8323</v>
      </c>
      <c r="M2322" s="11" t="s">
        <v>8324</v>
      </c>
      <c r="O2322" s="4" t="s">
        <v>16</v>
      </c>
      <c r="P2322" s="4" t="s">
        <v>19</v>
      </c>
      <c r="Q2322" s="4" t="s">
        <v>19</v>
      </c>
      <c r="R2322" s="4" t="s">
        <v>16</v>
      </c>
    </row>
    <row r="2323" spans="1:18" x14ac:dyDescent="0.3">
      <c r="A2323" t="s">
        <v>8347</v>
      </c>
      <c r="C2323" s="3">
        <v>45804</v>
      </c>
      <c r="D2323" s="11" t="s">
        <v>8348</v>
      </c>
      <c r="G2323" s="7" t="s">
        <v>8350</v>
      </c>
      <c r="I2323" s="17">
        <v>35796</v>
      </c>
      <c r="K2323" s="4">
        <v>500</v>
      </c>
      <c r="L2323" s="11" t="s">
        <v>8351</v>
      </c>
      <c r="M2323" s="11" t="s">
        <v>8352</v>
      </c>
      <c r="O2323" s="4" t="s">
        <v>16</v>
      </c>
      <c r="P2323" s="4" t="s">
        <v>19</v>
      </c>
      <c r="Q2323" s="4" t="s">
        <v>19</v>
      </c>
      <c r="R2323" s="4" t="s">
        <v>15</v>
      </c>
    </row>
    <row r="2324" spans="1:18" x14ac:dyDescent="0.3">
      <c r="A2324" t="s">
        <v>8357</v>
      </c>
      <c r="C2324" s="3">
        <v>45807</v>
      </c>
      <c r="D2324" s="11" t="s">
        <v>8361</v>
      </c>
      <c r="E2324" s="11" t="s">
        <v>8385</v>
      </c>
      <c r="G2324" s="7" t="s">
        <v>8362</v>
      </c>
      <c r="I2324" s="17">
        <v>36923</v>
      </c>
      <c r="K2324" s="4">
        <v>2000</v>
      </c>
      <c r="L2324" s="11" t="s">
        <v>8363</v>
      </c>
      <c r="M2324" s="11" t="s">
        <v>9760</v>
      </c>
      <c r="O2324" s="4" t="s">
        <v>16</v>
      </c>
      <c r="P2324" s="4" t="s">
        <v>16</v>
      </c>
      <c r="Q2324" s="4" t="s">
        <v>19</v>
      </c>
      <c r="R2324" s="4" t="s">
        <v>9761</v>
      </c>
    </row>
    <row r="2325" spans="1:18" x14ac:dyDescent="0.3">
      <c r="A2325" t="s">
        <v>8365</v>
      </c>
      <c r="C2325" s="3">
        <v>45808</v>
      </c>
      <c r="D2325" s="11" t="s">
        <v>8366</v>
      </c>
      <c r="E2325" s="11" t="s">
        <v>8775</v>
      </c>
      <c r="G2325" s="7" t="s">
        <v>8367</v>
      </c>
      <c r="I2325" s="47" t="s">
        <v>8776</v>
      </c>
      <c r="K2325" s="4">
        <v>2000</v>
      </c>
      <c r="L2325" s="11" t="s">
        <v>8369</v>
      </c>
      <c r="M2325" s="11" t="s">
        <v>8368</v>
      </c>
      <c r="O2325" s="4" t="s">
        <v>16</v>
      </c>
      <c r="P2325" s="4" t="s">
        <v>19</v>
      </c>
      <c r="Q2325" s="4" t="s">
        <v>19</v>
      </c>
      <c r="R2325" s="4" t="s">
        <v>14</v>
      </c>
    </row>
    <row r="2326" spans="1:18" x14ac:dyDescent="0.3">
      <c r="A2326" t="s">
        <v>8387</v>
      </c>
      <c r="C2326" s="3">
        <v>45813</v>
      </c>
      <c r="D2326" s="11" t="s">
        <v>8388</v>
      </c>
      <c r="E2326" s="11" t="s">
        <v>8397</v>
      </c>
      <c r="G2326" s="7" t="s">
        <v>8391</v>
      </c>
      <c r="I2326" s="17">
        <v>32509</v>
      </c>
      <c r="K2326" s="4">
        <v>500</v>
      </c>
      <c r="L2326" s="11" t="s">
        <v>8389</v>
      </c>
      <c r="M2326" s="11" t="s">
        <v>8390</v>
      </c>
      <c r="O2326" s="4" t="s">
        <v>16</v>
      </c>
      <c r="P2326" s="4" t="s">
        <v>19</v>
      </c>
      <c r="Q2326" s="4" t="s">
        <v>19</v>
      </c>
      <c r="R2326" s="4" t="s">
        <v>14</v>
      </c>
    </row>
    <row r="2327" spans="1:18" x14ac:dyDescent="0.3">
      <c r="A2327" t="s">
        <v>8408</v>
      </c>
      <c r="C2327" s="3">
        <v>45818</v>
      </c>
      <c r="D2327" s="11" t="s">
        <v>8409</v>
      </c>
      <c r="E2327" s="11" t="s">
        <v>8448</v>
      </c>
      <c r="G2327" s="7" t="s">
        <v>8447</v>
      </c>
      <c r="I2327" s="17">
        <v>41225</v>
      </c>
      <c r="K2327" s="4">
        <v>500</v>
      </c>
      <c r="L2327" s="11" t="s">
        <v>8449</v>
      </c>
      <c r="M2327" s="11" t="s">
        <v>6144</v>
      </c>
      <c r="O2327" s="4" t="s">
        <v>16</v>
      </c>
      <c r="P2327" s="4" t="s">
        <v>19</v>
      </c>
      <c r="Q2327" s="4" t="s">
        <v>19</v>
      </c>
      <c r="R2327" s="4" t="s">
        <v>15</v>
      </c>
    </row>
    <row r="2328" spans="1:18" x14ac:dyDescent="0.3">
      <c r="A2328" t="s">
        <v>8415</v>
      </c>
      <c r="C2328" s="3">
        <v>45819</v>
      </c>
      <c r="D2328" s="11" t="s">
        <v>8416</v>
      </c>
      <c r="E2328" s="11" t="s">
        <v>8437</v>
      </c>
      <c r="G2328" s="7" t="s">
        <v>8417</v>
      </c>
      <c r="I2328" s="17">
        <v>39152</v>
      </c>
      <c r="K2328" s="4">
        <v>500</v>
      </c>
      <c r="L2328" s="11" t="s">
        <v>8419</v>
      </c>
      <c r="M2328" s="11" t="s">
        <v>8418</v>
      </c>
      <c r="O2328" s="4" t="s">
        <v>16</v>
      </c>
      <c r="P2328" s="4" t="s">
        <v>19</v>
      </c>
      <c r="Q2328" s="4" t="s">
        <v>19</v>
      </c>
      <c r="R2328" s="4" t="s">
        <v>15</v>
      </c>
    </row>
    <row r="2329" spans="1:18" x14ac:dyDescent="0.3">
      <c r="A2329" t="s">
        <v>8422</v>
      </c>
      <c r="C2329" s="3">
        <v>45819</v>
      </c>
      <c r="D2329" s="11" t="s">
        <v>8429</v>
      </c>
      <c r="E2329" s="11" t="s">
        <v>8432</v>
      </c>
      <c r="G2329" s="7" t="s">
        <v>8431</v>
      </c>
      <c r="I2329" s="17">
        <v>34439</v>
      </c>
      <c r="K2329" s="4">
        <v>500</v>
      </c>
      <c r="L2329" s="11" t="s">
        <v>8433</v>
      </c>
      <c r="M2329" s="11" t="s">
        <v>8434</v>
      </c>
      <c r="O2329" s="4" t="s">
        <v>16</v>
      </c>
      <c r="P2329" s="4" t="s">
        <v>19</v>
      </c>
      <c r="Q2329" s="4" t="s">
        <v>19</v>
      </c>
      <c r="R2329" s="4" t="s">
        <v>16</v>
      </c>
    </row>
    <row r="2330" spans="1:18" x14ac:dyDescent="0.3">
      <c r="A2330" t="s">
        <v>8423</v>
      </c>
      <c r="C2330" s="3">
        <v>45819</v>
      </c>
      <c r="D2330" s="11" t="s">
        <v>8591</v>
      </c>
      <c r="E2330" s="11" t="s">
        <v>14</v>
      </c>
    </row>
    <row r="2331" spans="1:18" x14ac:dyDescent="0.3">
      <c r="A2331" t="s">
        <v>8439</v>
      </c>
      <c r="C2331" s="3">
        <v>45821</v>
      </c>
      <c r="D2331" s="11" t="s">
        <v>8443</v>
      </c>
      <c r="E2331" s="11" t="s">
        <v>8456</v>
      </c>
      <c r="G2331" s="7" t="s">
        <v>8453</v>
      </c>
      <c r="I2331" s="17">
        <v>28703</v>
      </c>
      <c r="K2331" s="4">
        <v>2000</v>
      </c>
      <c r="L2331" s="11" t="s">
        <v>8454</v>
      </c>
      <c r="M2331" s="11" t="s">
        <v>8455</v>
      </c>
      <c r="O2331" s="4" t="s">
        <v>16</v>
      </c>
      <c r="P2331" s="4" t="s">
        <v>19</v>
      </c>
      <c r="Q2331" s="4" t="s">
        <v>19</v>
      </c>
      <c r="R2331" s="4" t="s">
        <v>16</v>
      </c>
    </row>
    <row r="2332" spans="1:18" x14ac:dyDescent="0.3">
      <c r="A2332" t="s">
        <v>8452</v>
      </c>
      <c r="C2332" s="3">
        <v>45824</v>
      </c>
      <c r="D2332" s="11" t="s">
        <v>8459</v>
      </c>
      <c r="E2332" s="11" t="s">
        <v>8456</v>
      </c>
      <c r="G2332" s="7" t="s">
        <v>8460</v>
      </c>
      <c r="I2332" s="17">
        <v>40768</v>
      </c>
      <c r="K2332" s="4">
        <v>500</v>
      </c>
      <c r="L2332" s="11" t="s">
        <v>8463</v>
      </c>
      <c r="M2332" s="11" t="s">
        <v>8458</v>
      </c>
      <c r="O2332" s="4" t="s">
        <v>16</v>
      </c>
      <c r="P2332" s="4" t="s">
        <v>19</v>
      </c>
      <c r="Q2332" s="4" t="s">
        <v>19</v>
      </c>
      <c r="R2332" s="4" t="s">
        <v>16</v>
      </c>
    </row>
    <row r="2333" spans="1:18" x14ac:dyDescent="0.3">
      <c r="A2333" t="s">
        <v>8475</v>
      </c>
      <c r="C2333" s="3">
        <v>45825</v>
      </c>
      <c r="D2333" s="11" t="s">
        <v>8497</v>
      </c>
      <c r="E2333" s="11" t="s">
        <v>14</v>
      </c>
      <c r="G2333" s="7" t="s">
        <v>8476</v>
      </c>
      <c r="I2333" s="17">
        <v>33800</v>
      </c>
      <c r="K2333" s="4">
        <v>2000</v>
      </c>
      <c r="L2333" s="11" t="s">
        <v>8478</v>
      </c>
      <c r="M2333" s="11" t="s">
        <v>8477</v>
      </c>
      <c r="O2333" s="4" t="s">
        <v>16</v>
      </c>
      <c r="P2333" s="4" t="s">
        <v>19</v>
      </c>
      <c r="Q2333" s="4" t="s">
        <v>19</v>
      </c>
      <c r="R2333" s="4" t="s">
        <v>16</v>
      </c>
    </row>
    <row r="2334" spans="1:18" x14ac:dyDescent="0.3">
      <c r="A2334" t="s">
        <v>8487</v>
      </c>
      <c r="C2334" s="3">
        <v>45828</v>
      </c>
      <c r="D2334" s="11" t="s">
        <v>8488</v>
      </c>
      <c r="E2334" s="11" t="s">
        <v>8525</v>
      </c>
      <c r="G2334" s="7" t="s">
        <v>8489</v>
      </c>
      <c r="I2334" s="17">
        <v>37972</v>
      </c>
      <c r="K2334" s="4">
        <v>1000</v>
      </c>
      <c r="L2334" s="11" t="s">
        <v>8495</v>
      </c>
      <c r="M2334" s="11" t="s">
        <v>8490</v>
      </c>
      <c r="O2334" s="4" t="s">
        <v>16</v>
      </c>
      <c r="P2334" s="4" t="s">
        <v>19</v>
      </c>
      <c r="Q2334" s="4" t="s">
        <v>19</v>
      </c>
      <c r="R2334" s="4" t="s">
        <v>16</v>
      </c>
    </row>
    <row r="2335" spans="1:18" x14ac:dyDescent="0.3">
      <c r="A2335" t="s">
        <v>8491</v>
      </c>
      <c r="C2335" s="3">
        <v>45828</v>
      </c>
      <c r="D2335" s="11" t="s">
        <v>8492</v>
      </c>
      <c r="E2335" s="11" t="s">
        <v>8500</v>
      </c>
      <c r="G2335" s="7" t="s">
        <v>432</v>
      </c>
      <c r="I2335" s="17">
        <v>31413</v>
      </c>
      <c r="K2335" s="4">
        <v>500</v>
      </c>
      <c r="L2335" s="11" t="s">
        <v>8494</v>
      </c>
      <c r="M2335" s="11" t="s">
        <v>8493</v>
      </c>
      <c r="O2335" s="4" t="s">
        <v>16</v>
      </c>
      <c r="P2335" s="4" t="s">
        <v>19</v>
      </c>
      <c r="Q2335" s="4" t="s">
        <v>19</v>
      </c>
      <c r="R2335" s="4" t="s">
        <v>19</v>
      </c>
    </row>
    <row r="2336" spans="1:18" x14ac:dyDescent="0.3">
      <c r="A2336" t="s">
        <v>8502</v>
      </c>
      <c r="C2336" s="3">
        <v>45829</v>
      </c>
      <c r="D2336" s="11" t="s">
        <v>8504</v>
      </c>
      <c r="E2336" s="11" t="s">
        <v>8516</v>
      </c>
      <c r="G2336" s="7" t="s">
        <v>8510</v>
      </c>
      <c r="I2336" s="17">
        <v>31440</v>
      </c>
      <c r="K2336" s="4">
        <v>500</v>
      </c>
      <c r="L2336" s="11" t="s">
        <v>8511</v>
      </c>
      <c r="O2336" s="4" t="s">
        <v>16</v>
      </c>
      <c r="P2336" s="4" t="s">
        <v>19</v>
      </c>
      <c r="Q2336" s="4" t="s">
        <v>19</v>
      </c>
      <c r="R2336" s="4" t="s">
        <v>19</v>
      </c>
    </row>
    <row r="2337" spans="1:18" x14ac:dyDescent="0.3">
      <c r="A2337" t="s">
        <v>8517</v>
      </c>
      <c r="C2337" s="3">
        <v>45830</v>
      </c>
      <c r="D2337" s="11" t="s">
        <v>8518</v>
      </c>
      <c r="E2337" s="11" t="s">
        <v>8584</v>
      </c>
      <c r="G2337" s="7" t="s">
        <v>8520</v>
      </c>
      <c r="I2337" s="17">
        <v>24354</v>
      </c>
      <c r="K2337" s="4">
        <v>500</v>
      </c>
      <c r="L2337" s="11" t="s">
        <v>8533</v>
      </c>
      <c r="M2337" s="11" t="s">
        <v>8519</v>
      </c>
      <c r="O2337" s="4" t="s">
        <v>16</v>
      </c>
      <c r="P2337" s="4" t="s">
        <v>19</v>
      </c>
      <c r="Q2337" s="4" t="s">
        <v>19</v>
      </c>
      <c r="R2337" s="4" t="s">
        <v>16</v>
      </c>
    </row>
    <row r="2338" spans="1:18" x14ac:dyDescent="0.3">
      <c r="A2338" t="s">
        <v>8535</v>
      </c>
      <c r="C2338" s="3">
        <v>45833</v>
      </c>
      <c r="D2338" s="11" t="s">
        <v>8536</v>
      </c>
      <c r="E2338" s="11" t="s">
        <v>14</v>
      </c>
      <c r="G2338" s="7" t="s">
        <v>8537</v>
      </c>
      <c r="I2338" s="17">
        <v>33026</v>
      </c>
      <c r="K2338" s="4">
        <v>500</v>
      </c>
      <c r="L2338" s="11" t="s">
        <v>8539</v>
      </c>
      <c r="M2338" s="11" t="s">
        <v>8538</v>
      </c>
      <c r="O2338" s="4" t="s">
        <v>16</v>
      </c>
      <c r="P2338" s="4" t="s">
        <v>19</v>
      </c>
      <c r="Q2338" s="4" t="s">
        <v>19</v>
      </c>
      <c r="R2338" s="4" t="s">
        <v>16</v>
      </c>
    </row>
    <row r="2339" spans="1:18" x14ac:dyDescent="0.3">
      <c r="A2339" t="s">
        <v>8554</v>
      </c>
      <c r="C2339" s="3">
        <v>45836</v>
      </c>
      <c r="D2339" s="11" t="s">
        <v>8553</v>
      </c>
      <c r="E2339" s="11" t="s">
        <v>8584</v>
      </c>
      <c r="G2339" s="7" t="s">
        <v>8556</v>
      </c>
      <c r="I2339" s="17">
        <v>38144</v>
      </c>
      <c r="K2339" s="4">
        <v>2000</v>
      </c>
      <c r="L2339" s="11" t="s">
        <v>8589</v>
      </c>
      <c r="M2339" s="11" t="s">
        <v>8555</v>
      </c>
      <c r="O2339" s="4" t="s">
        <v>16</v>
      </c>
      <c r="P2339" s="4" t="s">
        <v>19</v>
      </c>
      <c r="Q2339" s="4" t="s">
        <v>19</v>
      </c>
      <c r="R2339" s="4" t="s">
        <v>9967</v>
      </c>
    </row>
    <row r="2340" spans="1:18" x14ac:dyDescent="0.3">
      <c r="A2340" t="s">
        <v>8569</v>
      </c>
      <c r="C2340" s="3">
        <v>45840</v>
      </c>
      <c r="D2340" s="11" t="s">
        <v>8570</v>
      </c>
      <c r="E2340" s="11" t="s">
        <v>8584</v>
      </c>
      <c r="G2340" s="7" t="s">
        <v>8571</v>
      </c>
      <c r="I2340" s="17">
        <v>34235</v>
      </c>
      <c r="K2340" s="4">
        <v>1050</v>
      </c>
      <c r="L2340" s="11" t="s">
        <v>8573</v>
      </c>
      <c r="M2340" s="11" t="s">
        <v>8572</v>
      </c>
      <c r="O2340" s="4" t="s">
        <v>16</v>
      </c>
      <c r="P2340" s="4" t="s">
        <v>16</v>
      </c>
      <c r="Q2340" s="4" t="s">
        <v>16</v>
      </c>
      <c r="R2340" s="4" t="s">
        <v>16</v>
      </c>
    </row>
    <row r="2341" spans="1:18" x14ac:dyDescent="0.3">
      <c r="A2341" t="s">
        <v>8579</v>
      </c>
      <c r="C2341" s="3">
        <v>45841</v>
      </c>
      <c r="D2341" s="11" t="s">
        <v>8583</v>
      </c>
      <c r="E2341" s="11" t="s">
        <v>8678</v>
      </c>
      <c r="G2341" s="7" t="s">
        <v>8580</v>
      </c>
      <c r="I2341" s="17">
        <v>37247</v>
      </c>
      <c r="K2341" s="4">
        <v>500</v>
      </c>
      <c r="L2341" s="11" t="s">
        <v>8582</v>
      </c>
      <c r="M2341" s="11" t="s">
        <v>8581</v>
      </c>
      <c r="O2341" s="4" t="s">
        <v>16</v>
      </c>
      <c r="P2341" s="4" t="s">
        <v>19</v>
      </c>
      <c r="Q2341" s="4" t="s">
        <v>19</v>
      </c>
      <c r="R2341" s="4" t="s">
        <v>16</v>
      </c>
    </row>
    <row r="2342" spans="1:18" x14ac:dyDescent="0.3">
      <c r="A2342" t="s">
        <v>8585</v>
      </c>
      <c r="C2342" s="3">
        <v>45841</v>
      </c>
      <c r="D2342" s="11" t="s">
        <v>8586</v>
      </c>
      <c r="E2342" s="11" t="s">
        <v>8604</v>
      </c>
      <c r="G2342" s="7" t="s">
        <v>8587</v>
      </c>
      <c r="I2342" s="17">
        <v>35561</v>
      </c>
      <c r="K2342" s="4">
        <v>1000</v>
      </c>
      <c r="L2342" s="11" t="s">
        <v>8590</v>
      </c>
      <c r="M2342" s="11" t="s">
        <v>8588</v>
      </c>
      <c r="O2342" s="4" t="s">
        <v>19</v>
      </c>
      <c r="P2342" s="4" t="s">
        <v>16</v>
      </c>
      <c r="Q2342" s="4" t="s">
        <v>16</v>
      </c>
      <c r="R2342" s="4" t="s">
        <v>16</v>
      </c>
    </row>
    <row r="2343" spans="1:18" x14ac:dyDescent="0.3">
      <c r="A2343" t="s">
        <v>8592</v>
      </c>
      <c r="C2343" s="3">
        <v>45842</v>
      </c>
      <c r="D2343" s="11" t="s">
        <v>8593</v>
      </c>
      <c r="E2343" s="11" t="s">
        <v>8604</v>
      </c>
      <c r="G2343" s="7" t="s">
        <v>8594</v>
      </c>
      <c r="I2343" s="17">
        <v>33188</v>
      </c>
      <c r="K2343" s="4">
        <v>500</v>
      </c>
      <c r="L2343" s="11" t="s">
        <v>8596</v>
      </c>
      <c r="M2343" s="11" t="s">
        <v>8595</v>
      </c>
      <c r="O2343" s="4" t="s">
        <v>19</v>
      </c>
      <c r="P2343" s="4" t="s">
        <v>19</v>
      </c>
      <c r="Q2343" s="4" t="s">
        <v>19</v>
      </c>
      <c r="R2343" s="4" t="s">
        <v>19</v>
      </c>
    </row>
    <row r="2344" spans="1:18" x14ac:dyDescent="0.3">
      <c r="A2344" t="s">
        <v>8607</v>
      </c>
      <c r="C2344" s="3">
        <v>45843</v>
      </c>
      <c r="D2344" s="11" t="s">
        <v>8608</v>
      </c>
      <c r="E2344" s="11" t="s">
        <v>8604</v>
      </c>
      <c r="G2344" s="7" t="s">
        <v>8613</v>
      </c>
      <c r="I2344" s="17">
        <v>33576</v>
      </c>
      <c r="K2344" s="4">
        <v>500</v>
      </c>
      <c r="L2344" s="11" t="s">
        <v>8612</v>
      </c>
      <c r="M2344" s="11" t="s">
        <v>8609</v>
      </c>
      <c r="O2344" s="4" t="s">
        <v>19</v>
      </c>
      <c r="P2344" s="4" t="s">
        <v>19</v>
      </c>
      <c r="Q2344" s="4" t="s">
        <v>19</v>
      </c>
      <c r="R2344" s="4" t="s">
        <v>16</v>
      </c>
    </row>
    <row r="2345" spans="1:18" x14ac:dyDescent="0.3">
      <c r="A2345" t="s">
        <v>8636</v>
      </c>
      <c r="C2345" s="3">
        <v>45850</v>
      </c>
      <c r="D2345" s="39" t="s">
        <v>8637</v>
      </c>
      <c r="E2345" s="11" t="s">
        <v>8667</v>
      </c>
      <c r="G2345" s="7" t="s">
        <v>8638</v>
      </c>
      <c r="I2345" s="17">
        <v>25934</v>
      </c>
      <c r="K2345" s="4">
        <v>2000</v>
      </c>
      <c r="L2345" s="11" t="s">
        <v>8640</v>
      </c>
      <c r="M2345" s="11" t="s">
        <v>8639</v>
      </c>
      <c r="O2345" s="4" t="s">
        <v>19</v>
      </c>
      <c r="P2345" s="4" t="s">
        <v>19</v>
      </c>
      <c r="Q2345" s="4" t="s">
        <v>19</v>
      </c>
      <c r="R2345" s="4" t="s">
        <v>16</v>
      </c>
    </row>
    <row r="2346" spans="1:18" x14ac:dyDescent="0.3">
      <c r="A2346" t="s">
        <v>8660</v>
      </c>
      <c r="D2346" s="11" t="s">
        <v>8685</v>
      </c>
      <c r="E2346" s="11" t="s">
        <v>8712</v>
      </c>
      <c r="G2346" s="7" t="s">
        <v>8662</v>
      </c>
      <c r="I2346" s="17">
        <v>40977</v>
      </c>
      <c r="J2346" s="4" t="s">
        <v>8729</v>
      </c>
      <c r="K2346" s="4">
        <v>400</v>
      </c>
      <c r="L2346" s="11" t="s">
        <v>8686</v>
      </c>
      <c r="M2346" s="11" t="s">
        <v>8687</v>
      </c>
      <c r="O2346" s="4" t="s">
        <v>19</v>
      </c>
      <c r="P2346" s="4" t="s">
        <v>19</v>
      </c>
      <c r="Q2346" s="4" t="s">
        <v>19</v>
      </c>
      <c r="R2346" s="4" t="s">
        <v>19</v>
      </c>
    </row>
    <row r="2347" spans="1:18" x14ac:dyDescent="0.3">
      <c r="A2347" t="s">
        <v>8710</v>
      </c>
      <c r="C2347" s="3">
        <v>45855</v>
      </c>
      <c r="D2347" s="11" t="s">
        <v>8683</v>
      </c>
      <c r="E2347" s="11" t="s">
        <v>8711</v>
      </c>
      <c r="G2347" s="7" t="s">
        <v>8684</v>
      </c>
      <c r="I2347" s="17">
        <v>40976</v>
      </c>
      <c r="J2347" s="4" t="s">
        <v>8729</v>
      </c>
      <c r="K2347" s="4">
        <v>500</v>
      </c>
      <c r="L2347" s="11" t="s">
        <v>8688</v>
      </c>
      <c r="M2347" s="11" t="s">
        <v>3174</v>
      </c>
      <c r="O2347" s="4" t="s">
        <v>19</v>
      </c>
      <c r="P2347" s="4" t="s">
        <v>19</v>
      </c>
      <c r="Q2347" s="4" t="s">
        <v>19</v>
      </c>
      <c r="R2347" s="4" t="s">
        <v>19</v>
      </c>
    </row>
    <row r="2348" spans="1:18" x14ac:dyDescent="0.3">
      <c r="A2348" t="s">
        <v>8713</v>
      </c>
      <c r="C2348" s="3">
        <v>45860</v>
      </c>
      <c r="D2348" s="11" t="s">
        <v>4987</v>
      </c>
      <c r="E2348" s="11" t="s">
        <v>8723</v>
      </c>
      <c r="G2348" s="7" t="s">
        <v>8714</v>
      </c>
      <c r="I2348" s="17">
        <v>38718</v>
      </c>
      <c r="J2348" s="4" t="s">
        <v>8729</v>
      </c>
      <c r="K2348" s="4">
        <v>500</v>
      </c>
      <c r="L2348" s="11" t="s">
        <v>8716</v>
      </c>
      <c r="M2348" s="11" t="s">
        <v>8715</v>
      </c>
      <c r="O2348" s="4" t="s">
        <v>19</v>
      </c>
      <c r="P2348" s="4" t="s">
        <v>19</v>
      </c>
      <c r="Q2348" s="4" t="s">
        <v>19</v>
      </c>
      <c r="R2348" s="4" t="s">
        <v>16</v>
      </c>
    </row>
    <row r="2349" spans="1:18" x14ac:dyDescent="0.3">
      <c r="A2349" t="s">
        <v>8728</v>
      </c>
      <c r="C2349" s="3">
        <v>45862</v>
      </c>
      <c r="D2349" s="11" t="s">
        <v>8730</v>
      </c>
      <c r="G2349" s="7" t="s">
        <v>8731</v>
      </c>
      <c r="I2349" s="17">
        <v>20194</v>
      </c>
      <c r="K2349" s="4">
        <v>500</v>
      </c>
      <c r="L2349" s="11" t="s">
        <v>8732</v>
      </c>
      <c r="M2349" s="11" t="s">
        <v>8733</v>
      </c>
      <c r="N2349" s="11" t="s">
        <v>8734</v>
      </c>
      <c r="O2349" s="4" t="s">
        <v>19</v>
      </c>
      <c r="P2349" s="4" t="s">
        <v>19</v>
      </c>
      <c r="Q2349" s="4" t="s">
        <v>19</v>
      </c>
      <c r="R2349" s="4" t="s">
        <v>19</v>
      </c>
    </row>
    <row r="2350" spans="1:18" x14ac:dyDescent="0.3">
      <c r="A2350" t="s">
        <v>8738</v>
      </c>
      <c r="C2350" s="3">
        <v>45863</v>
      </c>
      <c r="D2350" s="11" t="s">
        <v>4996</v>
      </c>
      <c r="E2350" s="11" t="s">
        <v>8752</v>
      </c>
      <c r="G2350" s="7" t="s">
        <v>8739</v>
      </c>
      <c r="I2350" s="17">
        <v>36143</v>
      </c>
      <c r="J2350" s="4" t="s">
        <v>8729</v>
      </c>
      <c r="K2350" s="4">
        <v>500</v>
      </c>
      <c r="L2350" s="11" t="s">
        <v>8740</v>
      </c>
      <c r="M2350" s="11" t="s">
        <v>8741</v>
      </c>
      <c r="O2350" s="4" t="s">
        <v>19</v>
      </c>
      <c r="P2350" s="4" t="s">
        <v>19</v>
      </c>
      <c r="Q2350" s="4" t="s">
        <v>19</v>
      </c>
      <c r="R2350" s="4" t="s">
        <v>16</v>
      </c>
    </row>
    <row r="2351" spans="1:18" x14ac:dyDescent="0.3">
      <c r="A2351" t="s">
        <v>8742</v>
      </c>
      <c r="C2351" s="3">
        <v>45863</v>
      </c>
      <c r="D2351" s="11" t="s">
        <v>8743</v>
      </c>
      <c r="E2351" s="11" t="s">
        <v>8752</v>
      </c>
      <c r="G2351" s="7" t="s">
        <v>8744</v>
      </c>
      <c r="I2351" s="17">
        <v>20455</v>
      </c>
      <c r="J2351" s="4" t="s">
        <v>8729</v>
      </c>
      <c r="K2351" s="4">
        <v>500</v>
      </c>
      <c r="L2351" s="11" t="s">
        <v>8745</v>
      </c>
      <c r="M2351" s="11" t="s">
        <v>8746</v>
      </c>
      <c r="O2351" s="4" t="s">
        <v>19</v>
      </c>
      <c r="P2351" s="4" t="s">
        <v>19</v>
      </c>
      <c r="Q2351" s="4" t="s">
        <v>19</v>
      </c>
      <c r="R2351" s="4" t="s">
        <v>16</v>
      </c>
    </row>
    <row r="2352" spans="1:18" x14ac:dyDescent="0.3">
      <c r="A2352" t="s">
        <v>8753</v>
      </c>
      <c r="C2352" s="3">
        <v>45864</v>
      </c>
      <c r="D2352" s="11" t="s">
        <v>8754</v>
      </c>
      <c r="E2352" s="11" t="s">
        <v>9392</v>
      </c>
      <c r="G2352" s="7" t="s">
        <v>8755</v>
      </c>
      <c r="I2352" s="17">
        <v>29624</v>
      </c>
      <c r="J2352" s="4" t="s">
        <v>8729</v>
      </c>
      <c r="K2352" s="4">
        <v>500</v>
      </c>
      <c r="L2352" s="11" t="s">
        <v>8757</v>
      </c>
      <c r="M2352" s="11" t="s">
        <v>8756</v>
      </c>
      <c r="O2352" s="4" t="s">
        <v>19</v>
      </c>
      <c r="P2352" s="4" t="s">
        <v>19</v>
      </c>
      <c r="Q2352" s="4" t="s">
        <v>19</v>
      </c>
      <c r="R2352" s="4" t="s">
        <v>16</v>
      </c>
    </row>
    <row r="2353" spans="1:18" x14ac:dyDescent="0.3">
      <c r="A2353" t="s">
        <v>8769</v>
      </c>
      <c r="C2353" s="3">
        <v>45867</v>
      </c>
      <c r="D2353" s="11" t="s">
        <v>8770</v>
      </c>
      <c r="E2353" s="11" t="s">
        <v>14</v>
      </c>
      <c r="G2353" s="7" t="s">
        <v>774</v>
      </c>
      <c r="I2353" s="17">
        <v>36109</v>
      </c>
      <c r="J2353" s="4" t="s">
        <v>8729</v>
      </c>
      <c r="K2353" s="4">
        <v>1000</v>
      </c>
      <c r="L2353" s="11" t="s">
        <v>8773</v>
      </c>
      <c r="M2353" s="11" t="s">
        <v>8771</v>
      </c>
      <c r="N2353" s="11" t="s">
        <v>8772</v>
      </c>
      <c r="O2353" s="4" t="s">
        <v>19</v>
      </c>
      <c r="P2353" s="4" t="s">
        <v>19</v>
      </c>
      <c r="Q2353" s="4" t="s">
        <v>19</v>
      </c>
      <c r="R2353" s="4" t="s">
        <v>16</v>
      </c>
    </row>
    <row r="2354" spans="1:18" x14ac:dyDescent="0.3">
      <c r="A2354" t="s">
        <v>8797</v>
      </c>
      <c r="C2354" s="3">
        <v>45873</v>
      </c>
      <c r="D2354" s="11" t="s">
        <v>8798</v>
      </c>
      <c r="E2354" s="11" t="s">
        <v>14</v>
      </c>
      <c r="G2354" s="7" t="s">
        <v>8800</v>
      </c>
      <c r="K2354" s="4">
        <v>500</v>
      </c>
      <c r="M2354" s="11" t="s">
        <v>8799</v>
      </c>
      <c r="O2354" s="4" t="s">
        <v>19</v>
      </c>
      <c r="P2354" s="4" t="s">
        <v>19</v>
      </c>
      <c r="Q2354" s="4" t="s">
        <v>19</v>
      </c>
      <c r="R2354" s="4" t="s">
        <v>16</v>
      </c>
    </row>
    <row r="2355" spans="1:18" x14ac:dyDescent="0.3">
      <c r="C2355" s="3">
        <v>45875</v>
      </c>
      <c r="D2355" s="11" t="s">
        <v>8851</v>
      </c>
      <c r="E2355" s="11" t="s">
        <v>8887</v>
      </c>
      <c r="G2355" s="7" t="s">
        <v>7948</v>
      </c>
      <c r="I2355" s="17">
        <v>39064</v>
      </c>
      <c r="K2355" s="4">
        <v>500</v>
      </c>
      <c r="L2355" s="11" t="s">
        <v>8852</v>
      </c>
      <c r="M2355" s="11" t="s">
        <v>8888</v>
      </c>
      <c r="O2355" s="4" t="s">
        <v>19</v>
      </c>
      <c r="P2355" s="4" t="s">
        <v>19</v>
      </c>
      <c r="Q2355" s="4" t="s">
        <v>19</v>
      </c>
      <c r="R2355" s="4" t="s">
        <v>16</v>
      </c>
    </row>
    <row r="2356" spans="1:18" x14ac:dyDescent="0.3">
      <c r="A2356" t="s">
        <v>8824</v>
      </c>
      <c r="C2356" s="3">
        <v>45876</v>
      </c>
      <c r="D2356" s="11" t="s">
        <v>8825</v>
      </c>
      <c r="E2356" s="11" t="s">
        <v>8835</v>
      </c>
      <c r="G2356" s="7" t="s">
        <v>8834</v>
      </c>
      <c r="I2356" s="17">
        <v>35493</v>
      </c>
      <c r="K2356" s="4">
        <v>2000</v>
      </c>
      <c r="L2356" s="11" t="s">
        <v>8833</v>
      </c>
      <c r="M2356" s="11" t="s">
        <v>8826</v>
      </c>
      <c r="O2356" s="4" t="s">
        <v>19</v>
      </c>
      <c r="P2356" s="4" t="s">
        <v>19</v>
      </c>
      <c r="Q2356" s="4" t="s">
        <v>19</v>
      </c>
      <c r="R2356" s="4" t="s">
        <v>16</v>
      </c>
    </row>
    <row r="2357" spans="1:18" x14ac:dyDescent="0.3">
      <c r="A2357" t="s">
        <v>8865</v>
      </c>
      <c r="C2357" s="3">
        <v>45883</v>
      </c>
      <c r="D2357" s="11" t="s">
        <v>8866</v>
      </c>
      <c r="E2357" s="11" t="s">
        <v>8887</v>
      </c>
      <c r="G2357" s="7" t="s">
        <v>8867</v>
      </c>
      <c r="I2357" s="17">
        <v>40148</v>
      </c>
      <c r="J2357" s="4" t="s">
        <v>8729</v>
      </c>
      <c r="K2357" s="4">
        <v>500</v>
      </c>
      <c r="L2357" s="11" t="s">
        <v>8870</v>
      </c>
      <c r="M2357" s="11" t="s">
        <v>8868</v>
      </c>
      <c r="O2357" s="4" t="s">
        <v>19</v>
      </c>
      <c r="P2357" s="4" t="s">
        <v>19</v>
      </c>
      <c r="Q2357" s="4" t="s">
        <v>19</v>
      </c>
      <c r="R2357" s="4" t="s">
        <v>16</v>
      </c>
    </row>
    <row r="2358" spans="1:18" x14ac:dyDescent="0.3">
      <c r="A2358" t="s">
        <v>8889</v>
      </c>
      <c r="C2358" s="3">
        <v>45888</v>
      </c>
      <c r="D2358" s="11" t="s">
        <v>8890</v>
      </c>
      <c r="E2358" s="11" t="s">
        <v>8887</v>
      </c>
      <c r="G2358" s="7" t="s">
        <v>8891</v>
      </c>
      <c r="I2358" s="17">
        <v>37599</v>
      </c>
      <c r="J2358" s="4" t="s">
        <v>8729</v>
      </c>
      <c r="K2358" s="4">
        <v>500</v>
      </c>
      <c r="L2358" s="11" t="s">
        <v>8898</v>
      </c>
      <c r="M2358" s="11" t="s">
        <v>8892</v>
      </c>
      <c r="O2358" s="4" t="s">
        <v>19</v>
      </c>
      <c r="P2358" s="4" t="s">
        <v>19</v>
      </c>
      <c r="Q2358" s="4" t="s">
        <v>19</v>
      </c>
      <c r="R2358" s="4" t="s">
        <v>16</v>
      </c>
    </row>
    <row r="2359" spans="1:18" x14ac:dyDescent="0.3">
      <c r="A2359" t="s">
        <v>8903</v>
      </c>
      <c r="C2359" s="3">
        <v>45889</v>
      </c>
      <c r="D2359" s="11" t="s">
        <v>8906</v>
      </c>
      <c r="E2359" s="11" t="s">
        <v>8927</v>
      </c>
      <c r="G2359" s="7" t="s">
        <v>224</v>
      </c>
      <c r="I2359" s="17">
        <v>40130</v>
      </c>
      <c r="J2359" s="4" t="s">
        <v>8729</v>
      </c>
      <c r="K2359" s="4">
        <v>1000</v>
      </c>
      <c r="L2359" s="11" t="s">
        <v>8904</v>
      </c>
      <c r="M2359" s="11" t="s">
        <v>8905</v>
      </c>
      <c r="O2359" s="4" t="s">
        <v>19</v>
      </c>
      <c r="P2359" s="4" t="s">
        <v>19</v>
      </c>
      <c r="Q2359" s="4" t="s">
        <v>19</v>
      </c>
      <c r="R2359" s="4" t="s">
        <v>19</v>
      </c>
    </row>
    <row r="2360" spans="1:18" x14ac:dyDescent="0.3">
      <c r="A2360" t="s">
        <v>8913</v>
      </c>
      <c r="C2360" s="3">
        <v>45892</v>
      </c>
      <c r="D2360" s="11" t="s">
        <v>8914</v>
      </c>
      <c r="E2360" s="11" t="s">
        <v>9952</v>
      </c>
      <c r="F2360" s="11" t="s">
        <v>9954</v>
      </c>
      <c r="G2360" s="7" t="s">
        <v>8915</v>
      </c>
      <c r="I2360" s="17">
        <v>29221</v>
      </c>
      <c r="K2360" s="4">
        <v>500</v>
      </c>
      <c r="L2360" s="11" t="s">
        <v>8916</v>
      </c>
      <c r="M2360" s="11" t="s">
        <v>9951</v>
      </c>
      <c r="O2360" s="4" t="s">
        <v>19</v>
      </c>
      <c r="P2360" s="4" t="s">
        <v>19</v>
      </c>
      <c r="Q2360" s="4" t="s">
        <v>19</v>
      </c>
      <c r="R2360" s="4" t="s">
        <v>16</v>
      </c>
    </row>
    <row r="2361" spans="1:18" x14ac:dyDescent="0.3">
      <c r="A2361" t="s">
        <v>8940</v>
      </c>
      <c r="C2361" s="3">
        <v>45897</v>
      </c>
      <c r="D2361" s="11" t="s">
        <v>8941</v>
      </c>
      <c r="E2361" s="11" t="s">
        <v>8942</v>
      </c>
      <c r="F2361" s="11" t="s">
        <v>8960</v>
      </c>
      <c r="G2361" s="7" t="s">
        <v>209</v>
      </c>
      <c r="I2361" s="17">
        <v>25296</v>
      </c>
      <c r="J2361" s="4" t="s">
        <v>8729</v>
      </c>
      <c r="K2361" s="4">
        <v>2000</v>
      </c>
      <c r="L2361" s="11" t="s">
        <v>8944</v>
      </c>
      <c r="M2361" s="11" t="s">
        <v>8943</v>
      </c>
      <c r="O2361" s="4" t="s">
        <v>19</v>
      </c>
      <c r="P2361" s="4" t="s">
        <v>19</v>
      </c>
      <c r="Q2361" s="4" t="s">
        <v>19</v>
      </c>
      <c r="R2361" s="4" t="s">
        <v>16</v>
      </c>
    </row>
    <row r="2362" spans="1:18" x14ac:dyDescent="0.3">
      <c r="A2362" t="s">
        <v>8954</v>
      </c>
      <c r="C2362" s="3">
        <v>45898</v>
      </c>
      <c r="D2362" s="11" t="s">
        <v>8955</v>
      </c>
      <c r="E2362" s="11" t="s">
        <v>8960</v>
      </c>
      <c r="F2362" s="11" t="s">
        <v>8997</v>
      </c>
      <c r="G2362" s="7" t="s">
        <v>191</v>
      </c>
      <c r="I2362" s="17">
        <v>31778</v>
      </c>
      <c r="J2362" s="4" t="s">
        <v>8729</v>
      </c>
      <c r="K2362" s="4">
        <v>500</v>
      </c>
      <c r="L2362" s="11" t="s">
        <v>8959</v>
      </c>
      <c r="M2362" s="11" t="s">
        <v>8956</v>
      </c>
      <c r="O2362" s="4" t="s">
        <v>19</v>
      </c>
      <c r="P2362" s="4" t="s">
        <v>19</v>
      </c>
      <c r="Q2362" s="4" t="s">
        <v>19</v>
      </c>
      <c r="R2362" s="4" t="s">
        <v>16</v>
      </c>
    </row>
    <row r="2363" spans="1:18" x14ac:dyDescent="0.3">
      <c r="A2363" t="s">
        <v>8962</v>
      </c>
      <c r="C2363" s="3">
        <v>45899</v>
      </c>
      <c r="D2363" s="11" t="s">
        <v>8963</v>
      </c>
      <c r="E2363" s="11" t="s">
        <v>8996</v>
      </c>
      <c r="F2363" s="11" t="s">
        <v>8997</v>
      </c>
      <c r="G2363" s="7" t="s">
        <v>8964</v>
      </c>
      <c r="I2363" s="17">
        <v>39044</v>
      </c>
      <c r="J2363" s="4" t="s">
        <v>8729</v>
      </c>
      <c r="K2363" s="4">
        <v>500</v>
      </c>
      <c r="L2363" s="11" t="s">
        <v>8966</v>
      </c>
      <c r="M2363" s="11" t="s">
        <v>8965</v>
      </c>
      <c r="O2363" s="4" t="s">
        <v>19</v>
      </c>
      <c r="P2363" s="4" t="s">
        <v>19</v>
      </c>
      <c r="Q2363" s="4" t="s">
        <v>19</v>
      </c>
      <c r="R2363" s="4" t="s">
        <v>16</v>
      </c>
    </row>
    <row r="2364" spans="1:18" x14ac:dyDescent="0.3">
      <c r="A2364" t="s">
        <v>8982</v>
      </c>
      <c r="C2364" s="3">
        <v>45901</v>
      </c>
      <c r="D2364" s="11" t="s">
        <v>8983</v>
      </c>
      <c r="E2364" s="11" t="s">
        <v>8996</v>
      </c>
      <c r="F2364" s="11" t="s">
        <v>8997</v>
      </c>
      <c r="G2364" s="7" t="s">
        <v>8984</v>
      </c>
      <c r="I2364" s="17">
        <v>31415</v>
      </c>
      <c r="J2364" s="4" t="s">
        <v>8729</v>
      </c>
      <c r="K2364" s="4">
        <v>500</v>
      </c>
      <c r="L2364" s="11" t="s">
        <v>8986</v>
      </c>
      <c r="M2364" s="11" t="s">
        <v>8985</v>
      </c>
      <c r="O2364" s="4" t="s">
        <v>19</v>
      </c>
      <c r="P2364" s="4" t="s">
        <v>19</v>
      </c>
      <c r="Q2364" s="4" t="s">
        <v>19</v>
      </c>
      <c r="R2364" s="4" t="s">
        <v>16</v>
      </c>
    </row>
    <row r="2365" spans="1:18" x14ac:dyDescent="0.3">
      <c r="A2365" t="s">
        <v>8989</v>
      </c>
      <c r="C2365" s="3">
        <v>45901</v>
      </c>
      <c r="D2365" s="11" t="s">
        <v>8990</v>
      </c>
      <c r="E2365" s="11" t="s">
        <v>8996</v>
      </c>
      <c r="F2365" s="11" t="s">
        <v>8997</v>
      </c>
      <c r="G2365" s="7" t="s">
        <v>192</v>
      </c>
      <c r="I2365" s="17">
        <v>39687</v>
      </c>
      <c r="J2365" s="4" t="s">
        <v>8729</v>
      </c>
      <c r="K2365" s="4">
        <v>500</v>
      </c>
      <c r="L2365" s="11" t="s">
        <v>8992</v>
      </c>
      <c r="M2365" s="11" t="s">
        <v>5506</v>
      </c>
      <c r="O2365" s="4" t="s">
        <v>19</v>
      </c>
      <c r="P2365" s="4" t="s">
        <v>19</v>
      </c>
      <c r="Q2365" s="4" t="s">
        <v>19</v>
      </c>
      <c r="R2365" s="4" t="s">
        <v>19</v>
      </c>
    </row>
    <row r="2366" spans="1:18" x14ac:dyDescent="0.3">
      <c r="A2366" t="s">
        <v>9037</v>
      </c>
      <c r="C2366" s="3">
        <v>45903</v>
      </c>
      <c r="D2366" s="11" t="s">
        <v>8999</v>
      </c>
      <c r="E2366" s="11" t="s">
        <v>9034</v>
      </c>
      <c r="F2366" s="11" t="s">
        <v>9034</v>
      </c>
      <c r="G2366" s="7" t="s">
        <v>9000</v>
      </c>
      <c r="I2366" s="17">
        <v>28126</v>
      </c>
      <c r="K2366" s="4">
        <v>500</v>
      </c>
      <c r="L2366" s="11" t="s">
        <v>9036</v>
      </c>
      <c r="M2366" s="11" t="s">
        <v>9001</v>
      </c>
      <c r="O2366" s="4" t="s">
        <v>19</v>
      </c>
      <c r="P2366" s="4" t="s">
        <v>19</v>
      </c>
      <c r="Q2366" s="4" t="s">
        <v>19</v>
      </c>
      <c r="R2366" s="4" t="s">
        <v>16</v>
      </c>
    </row>
    <row r="2367" spans="1:18" x14ac:dyDescent="0.3">
      <c r="A2367" t="s">
        <v>9008</v>
      </c>
      <c r="C2367" s="3">
        <v>45904</v>
      </c>
      <c r="D2367" s="11" t="s">
        <v>9009</v>
      </c>
      <c r="E2367" s="11" t="s">
        <v>9057</v>
      </c>
      <c r="F2367" s="11" t="s">
        <v>9034</v>
      </c>
      <c r="G2367" s="7" t="s">
        <v>9012</v>
      </c>
      <c r="I2367" s="17">
        <v>39109</v>
      </c>
      <c r="K2367" s="4">
        <v>500</v>
      </c>
      <c r="L2367" s="11" t="s">
        <v>9011</v>
      </c>
      <c r="M2367" s="11" t="s">
        <v>9010</v>
      </c>
      <c r="O2367" s="4" t="s">
        <v>19</v>
      </c>
      <c r="P2367" s="4" t="s">
        <v>19</v>
      </c>
      <c r="Q2367" s="4" t="s">
        <v>19</v>
      </c>
      <c r="R2367" s="4" t="s">
        <v>19</v>
      </c>
    </row>
    <row r="2368" spans="1:18" x14ac:dyDescent="0.3">
      <c r="A2368" t="s">
        <v>9025</v>
      </c>
      <c r="C2368" s="3">
        <v>45906</v>
      </c>
      <c r="D2368" s="11" t="s">
        <v>9026</v>
      </c>
      <c r="E2368" s="11" t="s">
        <v>9041</v>
      </c>
      <c r="F2368" s="11" t="s">
        <v>9057</v>
      </c>
      <c r="G2368" s="7" t="s">
        <v>9029</v>
      </c>
      <c r="I2368" s="17">
        <v>18515</v>
      </c>
      <c r="K2368" s="4">
        <v>500</v>
      </c>
      <c r="L2368" s="11" t="s">
        <v>9028</v>
      </c>
      <c r="M2368" s="11" t="s">
        <v>9027</v>
      </c>
      <c r="O2368" s="4" t="s">
        <v>19</v>
      </c>
      <c r="P2368" s="4" t="s">
        <v>19</v>
      </c>
      <c r="Q2368" s="4" t="s">
        <v>19</v>
      </c>
      <c r="R2368" s="4" t="s">
        <v>16</v>
      </c>
    </row>
    <row r="2369" spans="1:18" x14ac:dyDescent="0.3">
      <c r="A2369" t="s">
        <v>9030</v>
      </c>
      <c r="C2369" s="3">
        <v>45906</v>
      </c>
      <c r="D2369" s="11" t="s">
        <v>9031</v>
      </c>
      <c r="E2369" s="11" t="s">
        <v>9061</v>
      </c>
      <c r="F2369" s="11" t="s">
        <v>9057</v>
      </c>
      <c r="G2369" s="7" t="s">
        <v>9032</v>
      </c>
      <c r="K2369" s="4">
        <v>500</v>
      </c>
      <c r="L2369" s="11" t="s">
        <v>9060</v>
      </c>
      <c r="M2369" s="11" t="s">
        <v>9033</v>
      </c>
      <c r="O2369" s="4" t="s">
        <v>19</v>
      </c>
      <c r="P2369" s="4" t="s">
        <v>19</v>
      </c>
      <c r="Q2369" s="4" t="s">
        <v>19</v>
      </c>
      <c r="R2369" s="4" t="s">
        <v>16</v>
      </c>
    </row>
    <row r="2370" spans="1:18" x14ac:dyDescent="0.3">
      <c r="A2370" t="s">
        <v>9038</v>
      </c>
      <c r="C2370" s="3">
        <v>45907</v>
      </c>
      <c r="D2370" s="11" t="s">
        <v>9042</v>
      </c>
      <c r="E2370" s="11" t="s">
        <v>9066</v>
      </c>
      <c r="G2370" s="7" t="s">
        <v>9058</v>
      </c>
      <c r="I2370" s="17">
        <v>38423</v>
      </c>
      <c r="K2370" s="4">
        <v>500</v>
      </c>
      <c r="L2370" s="11" t="s">
        <v>9059</v>
      </c>
      <c r="M2370" s="11" t="s">
        <v>9065</v>
      </c>
      <c r="O2370" s="4" t="s">
        <v>19</v>
      </c>
      <c r="P2370" s="4" t="s">
        <v>19</v>
      </c>
      <c r="Q2370" s="4" t="s">
        <v>19</v>
      </c>
      <c r="R2370" s="4" t="s">
        <v>16</v>
      </c>
    </row>
    <row r="2371" spans="1:18" x14ac:dyDescent="0.3">
      <c r="A2371" t="s">
        <v>9049</v>
      </c>
      <c r="C2371" s="3">
        <v>45909</v>
      </c>
      <c r="D2371" s="11" t="s">
        <v>9050</v>
      </c>
      <c r="E2371" s="11" t="s">
        <v>9057</v>
      </c>
      <c r="F2371" s="11" t="s">
        <v>9057</v>
      </c>
      <c r="G2371" s="7" t="s">
        <v>3858</v>
      </c>
      <c r="I2371" s="17">
        <v>28618</v>
      </c>
      <c r="K2371" s="4">
        <v>2000</v>
      </c>
      <c r="L2371" s="11" t="s">
        <v>9056</v>
      </c>
      <c r="M2371" s="11" t="s">
        <v>9051</v>
      </c>
      <c r="O2371" s="4" t="s">
        <v>19</v>
      </c>
      <c r="P2371" s="4" t="s">
        <v>19</v>
      </c>
      <c r="Q2371" s="4" t="s">
        <v>19</v>
      </c>
      <c r="R2371" s="4" t="s">
        <v>16</v>
      </c>
    </row>
    <row r="2372" spans="1:18" x14ac:dyDescent="0.3">
      <c r="A2372" t="s">
        <v>9068</v>
      </c>
      <c r="C2372" s="3">
        <v>45912</v>
      </c>
      <c r="D2372" s="11" t="s">
        <v>9069</v>
      </c>
      <c r="E2372" s="11" t="s">
        <v>9089</v>
      </c>
      <c r="F2372" s="11" t="s">
        <v>9066</v>
      </c>
      <c r="G2372" s="7" t="s">
        <v>9070</v>
      </c>
      <c r="I2372" s="17">
        <v>30127</v>
      </c>
      <c r="K2372" s="4">
        <v>500</v>
      </c>
      <c r="L2372" s="11" t="s">
        <v>9071</v>
      </c>
      <c r="M2372" s="11" t="s">
        <v>9072</v>
      </c>
      <c r="O2372" s="4" t="s">
        <v>19</v>
      </c>
      <c r="P2372" s="4" t="s">
        <v>19</v>
      </c>
      <c r="Q2372" s="4" t="s">
        <v>19</v>
      </c>
      <c r="R2372" s="4" t="s">
        <v>19</v>
      </c>
    </row>
    <row r="2373" spans="1:18" x14ac:dyDescent="0.3">
      <c r="A2373" t="s">
        <v>9076</v>
      </c>
      <c r="C2373" s="3">
        <v>45912</v>
      </c>
      <c r="D2373" s="11" t="s">
        <v>9079</v>
      </c>
      <c r="E2373" s="11" t="s">
        <v>9479</v>
      </c>
      <c r="F2373" s="11" t="s">
        <v>9066</v>
      </c>
      <c r="G2373" s="7" t="s">
        <v>9077</v>
      </c>
      <c r="I2373" s="17">
        <v>38543</v>
      </c>
      <c r="K2373" s="4">
        <v>500</v>
      </c>
      <c r="L2373" s="11" t="s">
        <v>9078</v>
      </c>
      <c r="M2373" s="11" t="s">
        <v>9080</v>
      </c>
      <c r="O2373" s="4" t="s">
        <v>19</v>
      </c>
      <c r="P2373" s="4" t="s">
        <v>19</v>
      </c>
      <c r="Q2373" s="4" t="s">
        <v>19</v>
      </c>
      <c r="R2373" s="4" t="s">
        <v>19</v>
      </c>
    </row>
    <row r="2374" spans="1:18" x14ac:dyDescent="0.3">
      <c r="A2374" t="s">
        <v>9082</v>
      </c>
      <c r="C2374" s="3">
        <v>45913</v>
      </c>
      <c r="D2374" s="11" t="s">
        <v>9083</v>
      </c>
      <c r="E2374" s="11" t="s">
        <v>9174</v>
      </c>
      <c r="F2374" s="11" t="s">
        <v>9125</v>
      </c>
      <c r="G2374" s="7" t="s">
        <v>9084</v>
      </c>
      <c r="I2374" s="17">
        <v>27055</v>
      </c>
      <c r="K2374" s="4">
        <v>500</v>
      </c>
      <c r="L2374" s="11" t="s">
        <v>9085</v>
      </c>
      <c r="M2374" s="11" t="s">
        <v>9072</v>
      </c>
      <c r="O2374" s="4" t="s">
        <v>19</v>
      </c>
      <c r="P2374" s="4" t="s">
        <v>19</v>
      </c>
      <c r="Q2374" s="4" t="s">
        <v>19</v>
      </c>
      <c r="R2374" s="4" t="s">
        <v>19</v>
      </c>
    </row>
    <row r="2375" spans="1:18" x14ac:dyDescent="0.3">
      <c r="A2375" t="s">
        <v>9087</v>
      </c>
      <c r="C2375" s="3">
        <v>45913</v>
      </c>
      <c r="D2375" s="11" t="s">
        <v>9088</v>
      </c>
      <c r="E2375" s="11" t="s">
        <v>9174</v>
      </c>
      <c r="F2375" s="11" t="s">
        <v>9125</v>
      </c>
      <c r="G2375" s="7" t="s">
        <v>5357</v>
      </c>
      <c r="I2375" s="17">
        <v>29221</v>
      </c>
      <c r="K2375" s="4">
        <v>500</v>
      </c>
      <c r="L2375" s="11" t="s">
        <v>9171</v>
      </c>
      <c r="M2375" s="11" t="s">
        <v>9172</v>
      </c>
      <c r="O2375" s="4" t="s">
        <v>19</v>
      </c>
      <c r="P2375" s="4" t="s">
        <v>19</v>
      </c>
      <c r="Q2375" s="4" t="s">
        <v>19</v>
      </c>
      <c r="R2375" s="4" t="s">
        <v>9173</v>
      </c>
    </row>
    <row r="2376" spans="1:18" x14ac:dyDescent="0.3">
      <c r="A2376" t="s">
        <v>9091</v>
      </c>
      <c r="C2376" s="3">
        <v>45913</v>
      </c>
      <c r="D2376" s="11" t="s">
        <v>9092</v>
      </c>
      <c r="E2376" s="11" t="s">
        <v>9126</v>
      </c>
      <c r="F2376" s="11" t="s">
        <v>9125</v>
      </c>
      <c r="G2376" s="7" t="s">
        <v>107</v>
      </c>
      <c r="I2376" s="17">
        <v>30317</v>
      </c>
      <c r="K2376" s="4">
        <v>500</v>
      </c>
      <c r="L2376" s="11" t="s">
        <v>9093</v>
      </c>
      <c r="M2376" s="11" t="s">
        <v>8715</v>
      </c>
      <c r="O2376" s="4" t="s">
        <v>19</v>
      </c>
      <c r="P2376" s="4" t="s">
        <v>19</v>
      </c>
      <c r="Q2376" s="4" t="s">
        <v>19</v>
      </c>
      <c r="R2376" s="4" t="s">
        <v>9127</v>
      </c>
    </row>
    <row r="2377" spans="1:18" x14ac:dyDescent="0.3">
      <c r="A2377" t="s">
        <v>9102</v>
      </c>
      <c r="C2377" s="3">
        <v>45916</v>
      </c>
      <c r="D2377" s="11" t="s">
        <v>9103</v>
      </c>
      <c r="E2377" s="11" t="s">
        <v>9126</v>
      </c>
      <c r="F2377" s="11" t="s">
        <v>9125</v>
      </c>
      <c r="G2377" s="7" t="s">
        <v>9104</v>
      </c>
      <c r="I2377" s="17">
        <v>36892</v>
      </c>
      <c r="K2377" s="4">
        <v>2000</v>
      </c>
      <c r="L2377" s="11" t="s">
        <v>9106</v>
      </c>
      <c r="M2377" s="11" t="s">
        <v>9105</v>
      </c>
      <c r="O2377" s="4" t="s">
        <v>19</v>
      </c>
      <c r="P2377" s="4" t="s">
        <v>19</v>
      </c>
      <c r="Q2377" s="4" t="s">
        <v>19</v>
      </c>
      <c r="R2377" s="4" t="s">
        <v>16</v>
      </c>
    </row>
    <row r="2378" spans="1:18" x14ac:dyDescent="0.3">
      <c r="A2378" t="s">
        <v>9118</v>
      </c>
      <c r="C2378" s="3">
        <v>45918</v>
      </c>
      <c r="D2378" s="11" t="s">
        <v>9119</v>
      </c>
      <c r="F2378" s="11" t="s">
        <v>9148</v>
      </c>
      <c r="G2378" s="7" t="s">
        <v>9120</v>
      </c>
      <c r="I2378" s="17">
        <v>40456</v>
      </c>
      <c r="K2378" s="4">
        <v>8000</v>
      </c>
      <c r="L2378" s="11" t="s">
        <v>9122</v>
      </c>
      <c r="M2378" s="11" t="s">
        <v>9121</v>
      </c>
      <c r="O2378" s="4" t="s">
        <v>19</v>
      </c>
      <c r="P2378" s="4" t="s">
        <v>19</v>
      </c>
      <c r="Q2378" s="4" t="s">
        <v>19</v>
      </c>
      <c r="R2378" s="4" t="s">
        <v>19</v>
      </c>
    </row>
    <row r="2379" spans="1:18" x14ac:dyDescent="0.3">
      <c r="A2379" t="s">
        <v>9132</v>
      </c>
      <c r="C2379" s="3">
        <v>45918</v>
      </c>
      <c r="D2379" s="11" t="s">
        <v>9133</v>
      </c>
      <c r="E2379" s="11" t="s">
        <v>9148</v>
      </c>
      <c r="F2379" s="11" t="s">
        <v>9148</v>
      </c>
      <c r="G2379" s="7" t="s">
        <v>9134</v>
      </c>
      <c r="I2379" s="17">
        <v>39178</v>
      </c>
      <c r="K2379" s="4">
        <v>500</v>
      </c>
      <c r="L2379" s="11" t="s">
        <v>9135</v>
      </c>
      <c r="M2379" s="11" t="s">
        <v>9136</v>
      </c>
      <c r="O2379" s="4" t="s">
        <v>19</v>
      </c>
      <c r="P2379" s="4" t="s">
        <v>19</v>
      </c>
      <c r="Q2379" s="4" t="s">
        <v>19</v>
      </c>
      <c r="R2379" s="4" t="s">
        <v>19</v>
      </c>
    </row>
    <row r="2380" spans="1:18" x14ac:dyDescent="0.3">
      <c r="A2380" t="s">
        <v>9142</v>
      </c>
      <c r="C2380" s="3">
        <v>45919</v>
      </c>
      <c r="D2380" s="11" t="s">
        <v>9143</v>
      </c>
      <c r="E2380" s="11" t="s">
        <v>9160</v>
      </c>
      <c r="F2380" s="11" t="s">
        <v>9160</v>
      </c>
      <c r="G2380" s="7" t="s">
        <v>9145</v>
      </c>
      <c r="I2380" s="17">
        <v>29235</v>
      </c>
      <c r="K2380" s="4">
        <v>2000</v>
      </c>
      <c r="L2380" s="11" t="s">
        <v>9146</v>
      </c>
      <c r="M2380" s="11" t="s">
        <v>9144</v>
      </c>
      <c r="O2380" s="4" t="s">
        <v>19</v>
      </c>
      <c r="P2380" s="4" t="s">
        <v>19</v>
      </c>
      <c r="Q2380" s="4" t="s">
        <v>19</v>
      </c>
      <c r="R2380" s="4" t="s">
        <v>9147</v>
      </c>
    </row>
    <row r="2381" spans="1:18" x14ac:dyDescent="0.3">
      <c r="A2381" t="s">
        <v>9153</v>
      </c>
      <c r="C2381" s="3">
        <v>45920</v>
      </c>
      <c r="D2381" s="11" t="s">
        <v>9161</v>
      </c>
      <c r="E2381" s="11" t="s">
        <v>9160</v>
      </c>
      <c r="F2381" s="11" t="s">
        <v>9229</v>
      </c>
      <c r="G2381" s="7" t="s">
        <v>9164</v>
      </c>
      <c r="I2381" s="17">
        <v>39714</v>
      </c>
      <c r="K2381" s="4">
        <v>500</v>
      </c>
      <c r="L2381" s="11" t="s">
        <v>9166</v>
      </c>
      <c r="M2381" s="11" t="s">
        <v>9165</v>
      </c>
      <c r="O2381" s="4" t="s">
        <v>19</v>
      </c>
      <c r="P2381" s="4" t="s">
        <v>19</v>
      </c>
      <c r="Q2381" s="4" t="s">
        <v>19</v>
      </c>
      <c r="R2381" s="4" t="s">
        <v>19</v>
      </c>
    </row>
    <row r="2382" spans="1:18" x14ac:dyDescent="0.3">
      <c r="A2382" t="s">
        <v>9202</v>
      </c>
      <c r="C2382" s="3">
        <v>45925</v>
      </c>
      <c r="D2382" s="11" t="s">
        <v>9189</v>
      </c>
      <c r="E2382" s="11" t="s">
        <v>9229</v>
      </c>
      <c r="F2382" s="11" t="s">
        <v>9209</v>
      </c>
      <c r="G2382" s="7" t="s">
        <v>9190</v>
      </c>
      <c r="I2382" s="17">
        <v>30969</v>
      </c>
      <c r="K2382" s="4">
        <v>500</v>
      </c>
      <c r="L2382" s="11" t="s">
        <v>9193</v>
      </c>
      <c r="M2382" s="11" t="s">
        <v>9194</v>
      </c>
      <c r="O2382" s="4" t="s">
        <v>19</v>
      </c>
      <c r="P2382" s="4" t="s">
        <v>19</v>
      </c>
      <c r="Q2382" s="4" t="s">
        <v>19</v>
      </c>
      <c r="R2382" s="4" t="s">
        <v>9201</v>
      </c>
    </row>
    <row r="2383" spans="1:18" x14ac:dyDescent="0.3">
      <c r="A2383" t="s">
        <v>9196</v>
      </c>
      <c r="C2383" s="3">
        <v>45925</v>
      </c>
      <c r="D2383" s="11" t="s">
        <v>9197</v>
      </c>
      <c r="E2383" s="11" t="s">
        <v>9292</v>
      </c>
      <c r="F2383" s="11" t="s">
        <v>9229</v>
      </c>
      <c r="G2383" s="7" t="s">
        <v>9198</v>
      </c>
      <c r="I2383" s="17">
        <v>37324</v>
      </c>
      <c r="K2383" s="4">
        <v>500</v>
      </c>
      <c r="L2383" s="11" t="s">
        <v>9199</v>
      </c>
      <c r="M2383" s="11" t="s">
        <v>9200</v>
      </c>
      <c r="O2383" s="4" t="s">
        <v>19</v>
      </c>
      <c r="P2383" s="4" t="s">
        <v>19</v>
      </c>
      <c r="Q2383" s="4" t="s">
        <v>19</v>
      </c>
      <c r="R2383" s="4" t="s">
        <v>9230</v>
      </c>
    </row>
    <row r="2384" spans="1:18" x14ac:dyDescent="0.3">
      <c r="A2384" t="s">
        <v>9207</v>
      </c>
      <c r="C2384" s="3">
        <v>45926</v>
      </c>
      <c r="D2384" s="11" t="s">
        <v>9208</v>
      </c>
      <c r="E2384" s="11" t="s">
        <v>9243</v>
      </c>
      <c r="F2384" s="11" t="s">
        <v>9229</v>
      </c>
      <c r="G2384" s="7" t="s">
        <v>9210</v>
      </c>
      <c r="I2384" s="17">
        <v>32174</v>
      </c>
      <c r="K2384" s="4">
        <v>500</v>
      </c>
      <c r="L2384" s="11" t="s">
        <v>9232</v>
      </c>
      <c r="M2384" s="11" t="s">
        <v>9211</v>
      </c>
      <c r="O2384" s="4" t="s">
        <v>19</v>
      </c>
      <c r="P2384" s="4" t="s">
        <v>19</v>
      </c>
      <c r="Q2384" s="4" t="s">
        <v>19</v>
      </c>
      <c r="R2384" s="4" t="s">
        <v>9231</v>
      </c>
    </row>
    <row r="2385" spans="1:18" x14ac:dyDescent="0.3">
      <c r="A2385" t="s">
        <v>9212</v>
      </c>
      <c r="C2385" s="3">
        <v>45926</v>
      </c>
      <c r="D2385" s="11" t="s">
        <v>9213</v>
      </c>
      <c r="E2385" s="11" t="s">
        <v>9243</v>
      </c>
      <c r="F2385" s="11" t="s">
        <v>9229</v>
      </c>
      <c r="G2385" s="7" t="s">
        <v>9214</v>
      </c>
      <c r="I2385" s="17">
        <v>40636</v>
      </c>
      <c r="K2385" s="4">
        <v>500</v>
      </c>
      <c r="L2385" s="11" t="s">
        <v>9233</v>
      </c>
      <c r="M2385" s="11" t="s">
        <v>9211</v>
      </c>
      <c r="O2385" s="4" t="s">
        <v>19</v>
      </c>
      <c r="P2385" s="4" t="s">
        <v>19</v>
      </c>
      <c r="Q2385" s="4" t="s">
        <v>19</v>
      </c>
      <c r="R2385" s="4" t="s">
        <v>19</v>
      </c>
    </row>
    <row r="2386" spans="1:18" x14ac:dyDescent="0.3">
      <c r="A2386" t="s">
        <v>9246</v>
      </c>
      <c r="C2386" s="3">
        <v>45934</v>
      </c>
      <c r="D2386" s="11" t="s">
        <v>9247</v>
      </c>
      <c r="E2386" s="11" t="s">
        <v>9278</v>
      </c>
      <c r="F2386" s="11" t="s">
        <v>9278</v>
      </c>
      <c r="G2386" s="7" t="s">
        <v>220</v>
      </c>
      <c r="I2386" s="17">
        <v>38097</v>
      </c>
      <c r="K2386" s="4">
        <v>500</v>
      </c>
      <c r="L2386" s="11" t="s">
        <v>9248</v>
      </c>
      <c r="M2386" s="11" t="s">
        <v>9249</v>
      </c>
      <c r="O2386" s="4" t="s">
        <v>19</v>
      </c>
      <c r="P2386" s="4" t="s">
        <v>19</v>
      </c>
      <c r="Q2386" s="4" t="s">
        <v>19</v>
      </c>
      <c r="R2386" s="4" t="s">
        <v>9250</v>
      </c>
    </row>
    <row r="2387" spans="1:18" x14ac:dyDescent="0.3">
      <c r="A2387" t="s">
        <v>9254</v>
      </c>
      <c r="C2387" s="3">
        <v>45934</v>
      </c>
      <c r="D2387" s="11" t="s">
        <v>9255</v>
      </c>
      <c r="E2387" s="11" t="s">
        <v>9278</v>
      </c>
      <c r="F2387" s="11" t="s">
        <v>9278</v>
      </c>
      <c r="G2387" s="7" t="s">
        <v>1594</v>
      </c>
      <c r="I2387" s="17">
        <v>37664</v>
      </c>
      <c r="K2387" s="4">
        <v>500</v>
      </c>
      <c r="L2387" s="11" t="s">
        <v>9256</v>
      </c>
      <c r="M2387" s="11" t="s">
        <v>9249</v>
      </c>
      <c r="O2387" s="4" t="s">
        <v>19</v>
      </c>
      <c r="P2387" s="4" t="s">
        <v>19</v>
      </c>
      <c r="Q2387" s="4" t="s">
        <v>19</v>
      </c>
      <c r="R2387" s="4" t="s">
        <v>9257</v>
      </c>
    </row>
    <row r="2388" spans="1:18" x14ac:dyDescent="0.3">
      <c r="A2388" t="s">
        <v>9259</v>
      </c>
      <c r="C2388" s="3">
        <v>45934</v>
      </c>
      <c r="D2388" s="11" t="s">
        <v>9260</v>
      </c>
      <c r="E2388" s="11" t="s">
        <v>9278</v>
      </c>
      <c r="F2388" s="11" t="s">
        <v>9278</v>
      </c>
      <c r="G2388" s="7" t="s">
        <v>9261</v>
      </c>
      <c r="I2388" s="17">
        <v>35917</v>
      </c>
      <c r="K2388" s="4">
        <v>500</v>
      </c>
      <c r="L2388" s="11" t="s">
        <v>9281</v>
      </c>
      <c r="M2388" s="11" t="s">
        <v>9282</v>
      </c>
      <c r="O2388" s="4" t="s">
        <v>19</v>
      </c>
      <c r="P2388" s="4" t="s">
        <v>19</v>
      </c>
      <c r="Q2388" s="4" t="s">
        <v>19</v>
      </c>
      <c r="R2388" s="4" t="s">
        <v>16</v>
      </c>
    </row>
    <row r="2389" spans="1:18" x14ac:dyDescent="0.3">
      <c r="A2389" t="s">
        <v>9267</v>
      </c>
      <c r="C2389" s="3">
        <v>45934</v>
      </c>
      <c r="D2389" s="11" t="s">
        <v>9268</v>
      </c>
      <c r="E2389" s="11" t="s">
        <v>9479</v>
      </c>
      <c r="F2389" s="11" t="s">
        <v>9278</v>
      </c>
      <c r="G2389" s="7" t="s">
        <v>9269</v>
      </c>
      <c r="I2389" s="17">
        <v>38070</v>
      </c>
      <c r="K2389" s="4">
        <v>500</v>
      </c>
      <c r="L2389" s="11" t="s">
        <v>9271</v>
      </c>
      <c r="M2389" s="11" t="s">
        <v>9270</v>
      </c>
      <c r="O2389" s="4" t="s">
        <v>19</v>
      </c>
      <c r="P2389" s="4" t="s">
        <v>19</v>
      </c>
      <c r="Q2389" s="4" t="s">
        <v>19</v>
      </c>
      <c r="R2389" s="4" t="s">
        <v>9272</v>
      </c>
    </row>
    <row r="2390" spans="1:18" x14ac:dyDescent="0.3">
      <c r="A2390" t="s">
        <v>9283</v>
      </c>
      <c r="C2390" s="3">
        <v>45934</v>
      </c>
      <c r="D2390" s="11" t="s">
        <v>9284</v>
      </c>
      <c r="E2390" s="11" t="s">
        <v>9305</v>
      </c>
      <c r="F2390" s="11" t="s">
        <v>9292</v>
      </c>
      <c r="G2390" s="7" t="s">
        <v>9286</v>
      </c>
      <c r="I2390" s="17">
        <v>33658</v>
      </c>
      <c r="K2390" s="4">
        <v>500</v>
      </c>
      <c r="L2390" s="11" t="s">
        <v>9293</v>
      </c>
      <c r="M2390" s="11" t="s">
        <v>9285</v>
      </c>
      <c r="O2390" s="4" t="s">
        <v>19</v>
      </c>
      <c r="P2390" s="4" t="s">
        <v>19</v>
      </c>
      <c r="Q2390" s="4" t="s">
        <v>19</v>
      </c>
      <c r="R2390" s="4" t="s">
        <v>9294</v>
      </c>
    </row>
    <row r="2391" spans="1:18" x14ac:dyDescent="0.3">
      <c r="A2391" t="s">
        <v>9320</v>
      </c>
      <c r="C2391" s="3">
        <v>45941</v>
      </c>
      <c r="D2391" s="11" t="s">
        <v>9321</v>
      </c>
      <c r="E2391" s="11" t="s">
        <v>9346</v>
      </c>
      <c r="F2391" s="11" t="s">
        <v>9420</v>
      </c>
      <c r="G2391" s="7" t="s">
        <v>9322</v>
      </c>
      <c r="I2391" s="17">
        <v>32551</v>
      </c>
      <c r="K2391" s="4">
        <v>500</v>
      </c>
      <c r="L2391" s="11" t="s">
        <v>9323</v>
      </c>
      <c r="M2391" s="11" t="s">
        <v>9341</v>
      </c>
      <c r="O2391" s="4" t="s">
        <v>19</v>
      </c>
      <c r="P2391" s="4" t="s">
        <v>19</v>
      </c>
      <c r="Q2391" s="4" t="s">
        <v>19</v>
      </c>
      <c r="R2391" s="4" t="s">
        <v>9324</v>
      </c>
    </row>
    <row r="2392" spans="1:18" x14ac:dyDescent="0.3">
      <c r="A2392" t="s">
        <v>9331</v>
      </c>
      <c r="C2392" s="3">
        <v>45944</v>
      </c>
      <c r="D2392" s="11" t="s">
        <v>9334</v>
      </c>
      <c r="E2392" s="11" t="s">
        <v>9402</v>
      </c>
      <c r="F2392" s="11" t="s">
        <v>9354</v>
      </c>
      <c r="G2392" s="11" t="s">
        <v>9339</v>
      </c>
      <c r="I2392" s="17">
        <v>38270</v>
      </c>
      <c r="K2392" s="4">
        <v>2000</v>
      </c>
      <c r="L2392" s="11" t="s">
        <v>9342</v>
      </c>
      <c r="M2392" s="11" t="s">
        <v>9403</v>
      </c>
      <c r="O2392" s="4" t="s">
        <v>19</v>
      </c>
      <c r="P2392" s="4" t="s">
        <v>19</v>
      </c>
      <c r="Q2392" s="4" t="s">
        <v>19</v>
      </c>
      <c r="R2392" s="4" t="s">
        <v>9345</v>
      </c>
    </row>
    <row r="2393" spans="1:18" x14ac:dyDescent="0.3">
      <c r="A2393" t="s">
        <v>9332</v>
      </c>
      <c r="C2393" s="3">
        <v>45944</v>
      </c>
      <c r="D2393" s="11" t="s">
        <v>9333</v>
      </c>
      <c r="E2393" s="11" t="s">
        <v>9347</v>
      </c>
      <c r="F2393" s="11" t="s">
        <v>9354</v>
      </c>
      <c r="G2393" s="11" t="s">
        <v>9340</v>
      </c>
      <c r="K2393" s="4">
        <v>500</v>
      </c>
      <c r="L2393" s="11" t="s">
        <v>9343</v>
      </c>
      <c r="M2393" s="11" t="s">
        <v>9336</v>
      </c>
      <c r="O2393" s="4" t="s">
        <v>19</v>
      </c>
      <c r="P2393" s="4" t="s">
        <v>19</v>
      </c>
      <c r="Q2393" s="4" t="s">
        <v>19</v>
      </c>
      <c r="R2393" s="4" t="s">
        <v>9344</v>
      </c>
    </row>
    <row r="2394" spans="1:18" x14ac:dyDescent="0.3">
      <c r="A2394" t="s">
        <v>9353</v>
      </c>
      <c r="C2394" s="3">
        <v>45945</v>
      </c>
      <c r="D2394" s="11" t="s">
        <v>9356</v>
      </c>
      <c r="E2394" s="11" t="s">
        <v>9479</v>
      </c>
      <c r="F2394" s="11" t="s">
        <v>9420</v>
      </c>
      <c r="G2394" s="7" t="s">
        <v>9357</v>
      </c>
      <c r="I2394" s="17">
        <v>18190</v>
      </c>
      <c r="K2394" s="4">
        <v>500</v>
      </c>
      <c r="L2394" s="11" t="s">
        <v>9358</v>
      </c>
      <c r="M2394" s="11" t="s">
        <v>9359</v>
      </c>
      <c r="O2394" s="4" t="s">
        <v>19</v>
      </c>
      <c r="P2394" s="4" t="s">
        <v>19</v>
      </c>
      <c r="Q2394" s="4" t="s">
        <v>19</v>
      </c>
      <c r="R2394" s="4" t="s">
        <v>19</v>
      </c>
    </row>
    <row r="2395" spans="1:18" x14ac:dyDescent="0.3">
      <c r="A2395" t="s">
        <v>9409</v>
      </c>
      <c r="C2395" s="3">
        <v>45954</v>
      </c>
      <c r="D2395" s="11" t="s">
        <v>9410</v>
      </c>
      <c r="E2395" s="11" t="s">
        <v>9420</v>
      </c>
      <c r="F2395" s="11" t="s">
        <v>9420</v>
      </c>
      <c r="G2395" s="7" t="s">
        <v>9411</v>
      </c>
      <c r="I2395" s="17">
        <v>40547</v>
      </c>
      <c r="K2395" s="4">
        <v>500</v>
      </c>
      <c r="L2395" s="11" t="s">
        <v>9422</v>
      </c>
      <c r="M2395" s="11" t="s">
        <v>9412</v>
      </c>
      <c r="O2395" s="4" t="s">
        <v>19</v>
      </c>
      <c r="P2395" s="4" t="s">
        <v>19</v>
      </c>
      <c r="Q2395" s="4" t="s">
        <v>19</v>
      </c>
      <c r="R2395" s="4" t="s">
        <v>19</v>
      </c>
    </row>
    <row r="2396" spans="1:18" x14ac:dyDescent="0.3">
      <c r="A2396" t="s">
        <v>9413</v>
      </c>
      <c r="C2396" s="3">
        <v>45954</v>
      </c>
      <c r="D2396" s="11" t="s">
        <v>9414</v>
      </c>
      <c r="E2396" s="11" t="s">
        <v>9434</v>
      </c>
      <c r="F2396" s="11" t="s">
        <v>9420</v>
      </c>
      <c r="G2396" s="7" t="s">
        <v>9421</v>
      </c>
      <c r="I2396" s="17">
        <v>31448</v>
      </c>
      <c r="K2396" s="4">
        <v>2000</v>
      </c>
      <c r="L2396" s="11" t="s">
        <v>9430</v>
      </c>
      <c r="M2396" s="11" t="s">
        <v>9431</v>
      </c>
      <c r="O2396" s="4" t="s">
        <v>19</v>
      </c>
      <c r="P2396" s="4" t="s">
        <v>19</v>
      </c>
      <c r="Q2396" s="4" t="s">
        <v>19</v>
      </c>
      <c r="R2396" s="4" t="s">
        <v>9435</v>
      </c>
    </row>
    <row r="2397" spans="1:18" x14ac:dyDescent="0.3">
      <c r="A2397" t="s">
        <v>9442</v>
      </c>
      <c r="C2397" s="3">
        <v>45958</v>
      </c>
      <c r="D2397" s="11" t="s">
        <v>9443</v>
      </c>
      <c r="E2397" s="11" t="s">
        <v>9462</v>
      </c>
      <c r="F2397" s="11" t="s">
        <v>9463</v>
      </c>
      <c r="G2397" s="7" t="s">
        <v>9444</v>
      </c>
      <c r="I2397" s="17">
        <v>36593</v>
      </c>
      <c r="K2397" s="4">
        <v>2000</v>
      </c>
      <c r="L2397" s="11" t="s">
        <v>9445</v>
      </c>
      <c r="M2397" s="11" t="s">
        <v>9446</v>
      </c>
      <c r="O2397" s="4" t="s">
        <v>19</v>
      </c>
      <c r="P2397" s="4" t="s">
        <v>19</v>
      </c>
      <c r="Q2397" s="4" t="s">
        <v>19</v>
      </c>
      <c r="R2397" s="4" t="s">
        <v>9464</v>
      </c>
    </row>
    <row r="2398" spans="1:18" x14ac:dyDescent="0.3">
      <c r="A2398" t="s">
        <v>9454</v>
      </c>
      <c r="C2398" s="3">
        <v>45961</v>
      </c>
      <c r="D2398" s="11" t="s">
        <v>9457</v>
      </c>
      <c r="E2398" s="11" t="s">
        <v>9462</v>
      </c>
      <c r="G2398" s="7" t="s">
        <v>220</v>
      </c>
      <c r="I2398" s="17">
        <v>34681</v>
      </c>
      <c r="K2398" s="4">
        <v>500</v>
      </c>
      <c r="L2398" s="11" t="s">
        <v>9458</v>
      </c>
      <c r="O2398" s="4" t="s">
        <v>19</v>
      </c>
      <c r="P2398" s="4" t="s">
        <v>19</v>
      </c>
      <c r="Q2398" s="4" t="s">
        <v>19</v>
      </c>
      <c r="R2398" s="4" t="s">
        <v>9459</v>
      </c>
    </row>
    <row r="2399" spans="1:18" x14ac:dyDescent="0.3">
      <c r="A2399" t="s">
        <v>9494</v>
      </c>
      <c r="C2399" s="3">
        <v>45965</v>
      </c>
      <c r="D2399" s="11" t="s">
        <v>9518</v>
      </c>
      <c r="E2399" s="11" t="s">
        <v>14</v>
      </c>
      <c r="F2399" s="11" t="s">
        <v>9519</v>
      </c>
      <c r="K2399" s="4">
        <v>2000</v>
      </c>
      <c r="O2399" s="4" t="s">
        <v>19</v>
      </c>
      <c r="P2399" s="4" t="s">
        <v>19</v>
      </c>
      <c r="Q2399" s="4" t="s">
        <v>19</v>
      </c>
    </row>
    <row r="2400" spans="1:18" x14ac:dyDescent="0.3">
      <c r="A2400" t="s">
        <v>9503</v>
      </c>
      <c r="C2400" s="3">
        <v>45975</v>
      </c>
      <c r="D2400" s="11" t="s">
        <v>9505</v>
      </c>
      <c r="E2400" s="11" t="s">
        <v>9525</v>
      </c>
      <c r="F2400" s="11" t="s">
        <v>9526</v>
      </c>
      <c r="G2400" s="11" t="s">
        <v>9504</v>
      </c>
      <c r="I2400" s="17">
        <v>38546</v>
      </c>
      <c r="K2400" s="4">
        <v>500</v>
      </c>
      <c r="L2400" s="11" t="s">
        <v>9506</v>
      </c>
      <c r="M2400" s="11" t="s">
        <v>9507</v>
      </c>
      <c r="O2400" s="4" t="s">
        <v>19</v>
      </c>
      <c r="P2400" s="4" t="s">
        <v>19</v>
      </c>
      <c r="Q2400" s="4" t="s">
        <v>19</v>
      </c>
      <c r="R2400" s="4" t="s">
        <v>9508</v>
      </c>
    </row>
    <row r="2401" spans="1:18" x14ac:dyDescent="0.3">
      <c r="A2401" t="s">
        <v>9520</v>
      </c>
      <c r="C2401" s="3">
        <v>45976</v>
      </c>
      <c r="D2401" s="11" t="s">
        <v>9522</v>
      </c>
      <c r="E2401" s="11" t="s">
        <v>9545</v>
      </c>
      <c r="F2401" s="11" t="s">
        <v>9572</v>
      </c>
      <c r="G2401" s="7" t="s">
        <v>9521</v>
      </c>
      <c r="I2401" s="17">
        <v>37622</v>
      </c>
      <c r="K2401" s="4">
        <v>500</v>
      </c>
      <c r="L2401" s="11" t="s">
        <v>9544</v>
      </c>
      <c r="M2401" s="11" t="s">
        <v>9523</v>
      </c>
      <c r="R2401" s="4" t="s">
        <v>15</v>
      </c>
    </row>
    <row r="2402" spans="1:18" x14ac:dyDescent="0.3">
      <c r="A2402" t="s">
        <v>9534</v>
      </c>
      <c r="C2402" s="3">
        <v>45978</v>
      </c>
      <c r="D2402" s="11" t="s">
        <v>9537</v>
      </c>
      <c r="E2402" s="11" t="s">
        <v>9578</v>
      </c>
      <c r="F2402" s="11" t="s">
        <v>9572</v>
      </c>
      <c r="G2402" s="7" t="s">
        <v>9535</v>
      </c>
      <c r="I2402" s="17">
        <v>37724</v>
      </c>
      <c r="K2402" s="4">
        <v>500</v>
      </c>
      <c r="L2402" s="11" t="s">
        <v>9577</v>
      </c>
      <c r="M2402" s="11" t="s">
        <v>9536</v>
      </c>
    </row>
    <row r="2403" spans="1:18" x14ac:dyDescent="0.3">
      <c r="A2403" t="s">
        <v>9539</v>
      </c>
      <c r="C2403" s="3">
        <v>45978</v>
      </c>
      <c r="D2403" s="11" t="s">
        <v>9540</v>
      </c>
      <c r="E2403" s="11" t="s">
        <v>9596</v>
      </c>
      <c r="F2403" s="11" t="s">
        <v>9572</v>
      </c>
      <c r="G2403" s="7" t="s">
        <v>9541</v>
      </c>
      <c r="I2403" s="17">
        <v>38630</v>
      </c>
      <c r="K2403" s="4">
        <v>500</v>
      </c>
      <c r="L2403" s="11" t="s">
        <v>9608</v>
      </c>
      <c r="M2403" s="11" t="s">
        <v>9542</v>
      </c>
      <c r="O2403" s="4" t="s">
        <v>19</v>
      </c>
      <c r="P2403" s="4" t="s">
        <v>19</v>
      </c>
      <c r="Q2403" s="4" t="s">
        <v>19</v>
      </c>
      <c r="R2403" s="4" t="s">
        <v>16</v>
      </c>
    </row>
    <row r="2404" spans="1:18" x14ac:dyDescent="0.3">
      <c r="A2404" t="s">
        <v>9546</v>
      </c>
      <c r="C2404" s="3">
        <v>45978</v>
      </c>
      <c r="D2404" s="11" t="s">
        <v>9547</v>
      </c>
      <c r="E2404" s="11" t="s">
        <v>9571</v>
      </c>
      <c r="F2404" s="11" t="s">
        <v>9572</v>
      </c>
      <c r="G2404" s="7" t="s">
        <v>9548</v>
      </c>
      <c r="I2404" s="17">
        <v>26665</v>
      </c>
      <c r="K2404" s="4">
        <v>500</v>
      </c>
      <c r="L2404" s="11" t="s">
        <v>9550</v>
      </c>
      <c r="M2404" s="11" t="s">
        <v>9549</v>
      </c>
      <c r="O2404" s="4" t="s">
        <v>19</v>
      </c>
      <c r="P2404" s="4" t="s">
        <v>19</v>
      </c>
      <c r="Q2404" s="4" t="s">
        <v>19</v>
      </c>
      <c r="R2404" s="4" t="s">
        <v>19</v>
      </c>
    </row>
    <row r="2405" spans="1:18" x14ac:dyDescent="0.3">
      <c r="A2405" t="s">
        <v>9555</v>
      </c>
      <c r="C2405" s="3">
        <v>45978</v>
      </c>
      <c r="D2405" s="11" t="s">
        <v>9556</v>
      </c>
      <c r="E2405" s="11" t="s">
        <v>9807</v>
      </c>
      <c r="F2405" s="11" t="s">
        <v>9572</v>
      </c>
      <c r="G2405" s="7" t="s">
        <v>9557</v>
      </c>
      <c r="I2405" s="17">
        <v>32894</v>
      </c>
      <c r="K2405" s="4">
        <v>500</v>
      </c>
      <c r="L2405" s="11" t="s">
        <v>9558</v>
      </c>
      <c r="M2405" s="11" t="s">
        <v>9559</v>
      </c>
      <c r="O2405" s="4" t="s">
        <v>16</v>
      </c>
      <c r="P2405" s="4" t="s">
        <v>19</v>
      </c>
      <c r="Q2405" s="4" t="s">
        <v>19</v>
      </c>
      <c r="R2405" s="4" t="s">
        <v>19</v>
      </c>
    </row>
    <row r="2406" spans="1:18" x14ac:dyDescent="0.3">
      <c r="A2406" t="s">
        <v>9565</v>
      </c>
      <c r="C2406" s="3">
        <v>45979</v>
      </c>
      <c r="D2406" s="11" t="s">
        <v>9566</v>
      </c>
      <c r="E2406" s="11" t="s">
        <v>9573</v>
      </c>
      <c r="F2406" s="11" t="s">
        <v>9596</v>
      </c>
      <c r="G2406" s="7" t="s">
        <v>9567</v>
      </c>
      <c r="I2406" s="17">
        <v>35930</v>
      </c>
      <c r="K2406" s="4">
        <v>500</v>
      </c>
      <c r="L2406" s="11" t="s">
        <v>9568</v>
      </c>
      <c r="M2406" s="11" t="s">
        <v>9569</v>
      </c>
      <c r="O2406" s="4" t="s">
        <v>16</v>
      </c>
      <c r="P2406" s="4" t="s">
        <v>19</v>
      </c>
      <c r="Q2406" s="4" t="s">
        <v>19</v>
      </c>
      <c r="R2406" s="4" t="s">
        <v>19</v>
      </c>
    </row>
    <row r="2407" spans="1:18" x14ac:dyDescent="0.3">
      <c r="A2407" t="s">
        <v>9582</v>
      </c>
      <c r="C2407" s="3">
        <v>45980</v>
      </c>
      <c r="D2407" s="11" t="s">
        <v>9583</v>
      </c>
      <c r="E2407" s="11" t="s">
        <v>9596</v>
      </c>
      <c r="F2407" s="11" t="s">
        <v>9596</v>
      </c>
      <c r="G2407" s="7" t="s">
        <v>358</v>
      </c>
      <c r="I2407" s="17">
        <v>39361</v>
      </c>
      <c r="K2407" s="4">
        <v>500</v>
      </c>
      <c r="L2407" s="11" t="s">
        <v>9584</v>
      </c>
      <c r="M2407" s="11" t="s">
        <v>9585</v>
      </c>
    </row>
    <row r="2408" spans="1:18" x14ac:dyDescent="0.3">
      <c r="A2408" t="s">
        <v>9594</v>
      </c>
      <c r="C2408" s="3">
        <v>45981</v>
      </c>
      <c r="D2408" s="11" t="s">
        <v>9595</v>
      </c>
      <c r="E2408" s="11" t="s">
        <v>9573</v>
      </c>
      <c r="F2408" s="11" t="s">
        <v>9624</v>
      </c>
      <c r="G2408" s="7" t="s">
        <v>9597</v>
      </c>
      <c r="I2408" s="17">
        <v>37803</v>
      </c>
      <c r="K2408" s="4">
        <v>500</v>
      </c>
      <c r="L2408" s="11" t="s">
        <v>9598</v>
      </c>
      <c r="M2408" s="11" t="s">
        <v>9599</v>
      </c>
      <c r="O2408" s="4" t="s">
        <v>16</v>
      </c>
      <c r="P2408" s="4" t="s">
        <v>19</v>
      </c>
      <c r="Q2408" s="4" t="s">
        <v>19</v>
      </c>
      <c r="R2408" s="4" t="s">
        <v>9600</v>
      </c>
    </row>
    <row r="2409" spans="1:18" x14ac:dyDescent="0.3">
      <c r="A2409" t="s">
        <v>9603</v>
      </c>
      <c r="C2409" s="3">
        <v>45981</v>
      </c>
      <c r="D2409" s="11" t="s">
        <v>9604</v>
      </c>
      <c r="E2409" s="11" t="s">
        <v>9628</v>
      </c>
      <c r="F2409" s="11" t="s">
        <v>9624</v>
      </c>
      <c r="G2409" s="7" t="s">
        <v>9605</v>
      </c>
      <c r="I2409" s="17">
        <v>36397</v>
      </c>
      <c r="K2409" s="4">
        <v>500</v>
      </c>
      <c r="L2409" s="11" t="s">
        <v>9617</v>
      </c>
      <c r="M2409" s="11" t="s">
        <v>9606</v>
      </c>
      <c r="O2409" s="4" t="s">
        <v>16</v>
      </c>
      <c r="P2409" s="4" t="s">
        <v>19</v>
      </c>
      <c r="Q2409" s="4" t="s">
        <v>19</v>
      </c>
    </row>
    <row r="2410" spans="1:18" x14ac:dyDescent="0.3">
      <c r="A2410" t="s">
        <v>9611</v>
      </c>
      <c r="C2410" s="3">
        <v>45982</v>
      </c>
      <c r="D2410" s="11" t="s">
        <v>9612</v>
      </c>
      <c r="E2410" s="11" t="s">
        <v>9638</v>
      </c>
      <c r="F2410" s="11" t="s">
        <v>9624</v>
      </c>
      <c r="G2410" s="7" t="s">
        <v>9613</v>
      </c>
      <c r="I2410" s="17">
        <v>32874</v>
      </c>
      <c r="K2410" s="4">
        <v>500</v>
      </c>
      <c r="L2410" s="11" t="s">
        <v>9615</v>
      </c>
      <c r="M2410" s="11" t="s">
        <v>9614</v>
      </c>
      <c r="O2410" s="4" t="s">
        <v>16</v>
      </c>
      <c r="P2410" s="4" t="s">
        <v>19</v>
      </c>
      <c r="Q2410" s="4" t="s">
        <v>19</v>
      </c>
      <c r="R2410" s="4" t="s">
        <v>9616</v>
      </c>
    </row>
    <row r="2411" spans="1:18" x14ac:dyDescent="0.3">
      <c r="A2411" t="s">
        <v>9618</v>
      </c>
      <c r="C2411" s="3">
        <v>45982</v>
      </c>
      <c r="D2411" s="11" t="s">
        <v>9619</v>
      </c>
      <c r="E2411" s="11" t="s">
        <v>9673</v>
      </c>
      <c r="F2411" s="11" t="s">
        <v>9624</v>
      </c>
      <c r="G2411" s="7" t="s">
        <v>9620</v>
      </c>
      <c r="I2411" s="17">
        <v>38414</v>
      </c>
      <c r="K2411" s="4">
        <v>500</v>
      </c>
      <c r="L2411" s="11" t="s">
        <v>9621</v>
      </c>
      <c r="M2411" s="11" t="s">
        <v>9622</v>
      </c>
      <c r="O2411" s="4" t="s">
        <v>19</v>
      </c>
      <c r="P2411" s="4" t="s">
        <v>19</v>
      </c>
      <c r="Q2411" s="4" t="s">
        <v>19</v>
      </c>
      <c r="R2411" s="4" t="s">
        <v>9623</v>
      </c>
    </row>
    <row r="2412" spans="1:18" x14ac:dyDescent="0.3">
      <c r="A2412" t="s">
        <v>9630</v>
      </c>
      <c r="C2412" s="3">
        <v>45983</v>
      </c>
      <c r="D2412" s="11" t="s">
        <v>9631</v>
      </c>
      <c r="E2412" s="11" t="s">
        <v>9681</v>
      </c>
      <c r="F2412" s="11" t="s">
        <v>9638</v>
      </c>
      <c r="G2412" s="7" t="s">
        <v>8079</v>
      </c>
      <c r="I2412" s="17">
        <v>37525</v>
      </c>
      <c r="K2412" s="4">
        <v>500</v>
      </c>
      <c r="L2412" s="11" t="s">
        <v>9633</v>
      </c>
      <c r="M2412" s="11" t="s">
        <v>9634</v>
      </c>
      <c r="O2412" s="4" t="s">
        <v>19</v>
      </c>
      <c r="P2412" s="4" t="s">
        <v>19</v>
      </c>
      <c r="Q2412" s="4" t="s">
        <v>19</v>
      </c>
      <c r="R2412" s="4" t="s">
        <v>9632</v>
      </c>
    </row>
    <row r="2413" spans="1:18" x14ac:dyDescent="0.3">
      <c r="A2413" t="s">
        <v>9637</v>
      </c>
      <c r="C2413" s="3">
        <v>45985</v>
      </c>
      <c r="D2413" s="11" t="s">
        <v>9643</v>
      </c>
      <c r="E2413" s="11" t="s">
        <v>9573</v>
      </c>
      <c r="F2413" s="11" t="s">
        <v>9638</v>
      </c>
      <c r="G2413" s="7" t="s">
        <v>9659</v>
      </c>
      <c r="I2413" s="17">
        <v>23995</v>
      </c>
      <c r="K2413" s="4">
        <v>500</v>
      </c>
      <c r="L2413" s="11" t="s">
        <v>9660</v>
      </c>
      <c r="M2413" s="11" t="s">
        <v>9661</v>
      </c>
      <c r="O2413" s="4" t="s">
        <v>16</v>
      </c>
      <c r="P2413" s="4" t="s">
        <v>19</v>
      </c>
      <c r="Q2413" s="4" t="s">
        <v>19</v>
      </c>
    </row>
    <row r="2414" spans="1:18" x14ac:dyDescent="0.3">
      <c r="A2414" t="s">
        <v>9640</v>
      </c>
      <c r="C2414" s="3">
        <v>45985</v>
      </c>
      <c r="D2414" s="11" t="s">
        <v>9644</v>
      </c>
      <c r="E2414" s="11" t="s">
        <v>6637</v>
      </c>
      <c r="F2414" s="11" t="s">
        <v>9638</v>
      </c>
      <c r="G2414" s="7" t="s">
        <v>9646</v>
      </c>
      <c r="I2414" s="17">
        <v>39495</v>
      </c>
      <c r="K2414" s="4">
        <v>500</v>
      </c>
      <c r="L2414" s="11" t="s">
        <v>9647</v>
      </c>
      <c r="M2414" s="11" t="s">
        <v>9599</v>
      </c>
      <c r="O2414" s="4" t="s">
        <v>19</v>
      </c>
      <c r="P2414" s="4" t="s">
        <v>19</v>
      </c>
      <c r="Q2414" s="4" t="s">
        <v>19</v>
      </c>
      <c r="R2414" s="4" t="s">
        <v>19</v>
      </c>
    </row>
    <row r="2415" spans="1:18" x14ac:dyDescent="0.3">
      <c r="A2415" t="s">
        <v>9649</v>
      </c>
      <c r="C2415" s="3">
        <v>45985</v>
      </c>
      <c r="D2415" s="11" t="s">
        <v>9650</v>
      </c>
      <c r="E2415" s="11" t="s">
        <v>9573</v>
      </c>
      <c r="F2415" s="11" t="s">
        <v>9673</v>
      </c>
      <c r="G2415" s="7" t="s">
        <v>1452</v>
      </c>
      <c r="I2415" s="17">
        <v>41003</v>
      </c>
      <c r="K2415" s="4">
        <v>500</v>
      </c>
      <c r="L2415" s="11" t="s">
        <v>9708</v>
      </c>
      <c r="M2415" s="11" t="s">
        <v>9709</v>
      </c>
      <c r="O2415" s="4" t="s">
        <v>19</v>
      </c>
      <c r="P2415" s="4" t="s">
        <v>19</v>
      </c>
      <c r="Q2415" s="4" t="s">
        <v>19</v>
      </c>
      <c r="R2415" s="4" t="s">
        <v>19</v>
      </c>
    </row>
    <row r="2416" spans="1:18" x14ac:dyDescent="0.3">
      <c r="A2416" t="s">
        <v>9653</v>
      </c>
      <c r="C2416" s="3">
        <v>45986</v>
      </c>
      <c r="D2416" s="11" t="s">
        <v>9654</v>
      </c>
      <c r="E2416" s="11" t="s">
        <v>9731</v>
      </c>
      <c r="F2416" s="11" t="s">
        <v>9673</v>
      </c>
      <c r="G2416" s="7" t="s">
        <v>9655</v>
      </c>
      <c r="I2416" s="17">
        <v>36540</v>
      </c>
      <c r="K2416" s="4">
        <v>500</v>
      </c>
      <c r="L2416" s="11" t="s">
        <v>9656</v>
      </c>
      <c r="M2416" s="11" t="s">
        <v>9657</v>
      </c>
      <c r="O2416" s="4" t="s">
        <v>19</v>
      </c>
      <c r="P2416" s="4" t="s">
        <v>19</v>
      </c>
      <c r="Q2416" s="4" t="s">
        <v>19</v>
      </c>
      <c r="R2416" s="4" t="s">
        <v>9658</v>
      </c>
    </row>
    <row r="2417" spans="1:18" x14ac:dyDescent="0.3">
      <c r="A2417" t="s">
        <v>9663</v>
      </c>
      <c r="C2417" s="3">
        <v>45986</v>
      </c>
      <c r="D2417" s="11" t="s">
        <v>9664</v>
      </c>
      <c r="E2417" s="11" t="s">
        <v>9681</v>
      </c>
      <c r="F2417" s="11" t="s">
        <v>9673</v>
      </c>
      <c r="G2417" s="7" t="s">
        <v>9665</v>
      </c>
      <c r="I2417" s="17">
        <v>26665</v>
      </c>
      <c r="K2417" s="4">
        <v>500</v>
      </c>
      <c r="L2417" s="11" t="s">
        <v>9666</v>
      </c>
      <c r="M2417" s="11" t="s">
        <v>9667</v>
      </c>
      <c r="N2417" s="11" t="s">
        <v>9668</v>
      </c>
      <c r="O2417" s="4" t="s">
        <v>19</v>
      </c>
      <c r="P2417" s="4" t="s">
        <v>19</v>
      </c>
      <c r="Q2417" s="4" t="s">
        <v>19</v>
      </c>
    </row>
    <row r="2418" spans="1:18" x14ac:dyDescent="0.3">
      <c r="A2418" t="s">
        <v>9677</v>
      </c>
      <c r="C2418" s="3">
        <v>45987</v>
      </c>
      <c r="D2418" s="11" t="s">
        <v>9678</v>
      </c>
      <c r="E2418" s="11" t="s">
        <v>9715</v>
      </c>
      <c r="F2418" s="11" t="s">
        <v>9681</v>
      </c>
      <c r="G2418" s="7" t="s">
        <v>9679</v>
      </c>
      <c r="I2418" s="17">
        <v>33970</v>
      </c>
      <c r="K2418" s="4">
        <v>1000</v>
      </c>
      <c r="L2418" s="11" t="s">
        <v>9723</v>
      </c>
      <c r="M2418" s="11" t="s">
        <v>9680</v>
      </c>
      <c r="O2418" s="4" t="s">
        <v>19</v>
      </c>
      <c r="P2418" s="4" t="s">
        <v>19</v>
      </c>
      <c r="Q2418" s="4" t="s">
        <v>19</v>
      </c>
    </row>
    <row r="2419" spans="1:18" x14ac:dyDescent="0.3">
      <c r="A2419" t="s">
        <v>9682</v>
      </c>
      <c r="C2419" s="3">
        <v>45987</v>
      </c>
      <c r="D2419" s="11" t="s">
        <v>9683</v>
      </c>
      <c r="E2419" s="11" t="s">
        <v>9681</v>
      </c>
      <c r="F2419" s="11" t="s">
        <v>9681</v>
      </c>
      <c r="G2419" s="7" t="s">
        <v>9684</v>
      </c>
      <c r="I2419" s="17">
        <v>38455</v>
      </c>
      <c r="K2419" s="4">
        <v>500</v>
      </c>
      <c r="L2419" s="11" t="s">
        <v>9710</v>
      </c>
      <c r="M2419" s="11" t="s">
        <v>9685</v>
      </c>
      <c r="O2419" s="4" t="s">
        <v>19</v>
      </c>
      <c r="P2419" s="4" t="s">
        <v>19</v>
      </c>
      <c r="Q2419" s="4" t="s">
        <v>19</v>
      </c>
      <c r="R2419" s="4" t="s">
        <v>14</v>
      </c>
    </row>
    <row r="2420" spans="1:18" x14ac:dyDescent="0.3">
      <c r="A2420" t="s">
        <v>9686</v>
      </c>
      <c r="C2420" s="3">
        <v>45987</v>
      </c>
      <c r="D2420" s="11" t="s">
        <v>9687</v>
      </c>
      <c r="E2420" s="11" t="s">
        <v>9715</v>
      </c>
      <c r="F2420" s="11" t="s">
        <v>9681</v>
      </c>
      <c r="G2420" s="7" t="s">
        <v>9688</v>
      </c>
      <c r="K2420" s="4">
        <v>2000</v>
      </c>
      <c r="L2420" s="11" t="s">
        <v>9714</v>
      </c>
      <c r="M2420" s="11" t="s">
        <v>9689</v>
      </c>
      <c r="O2420" s="4" t="s">
        <v>14</v>
      </c>
      <c r="P2420" s="4" t="s">
        <v>19</v>
      </c>
      <c r="Q2420" s="4" t="s">
        <v>19</v>
      </c>
    </row>
    <row r="2421" spans="1:18" x14ac:dyDescent="0.3">
      <c r="A2421" t="s">
        <v>9692</v>
      </c>
      <c r="C2421" s="3">
        <v>45987</v>
      </c>
      <c r="D2421" s="11" t="s">
        <v>9693</v>
      </c>
      <c r="E2421" s="11" t="s">
        <v>9681</v>
      </c>
      <c r="F2421" s="11" t="s">
        <v>9681</v>
      </c>
      <c r="G2421" s="7" t="s">
        <v>807</v>
      </c>
      <c r="I2421" s="17">
        <v>38043</v>
      </c>
      <c r="K2421" s="4">
        <v>500</v>
      </c>
      <c r="L2421" s="11" t="s">
        <v>9711</v>
      </c>
      <c r="M2421" s="11" t="s">
        <v>9694</v>
      </c>
      <c r="O2421" s="4" t="s">
        <v>19</v>
      </c>
      <c r="P2421" s="4" t="s">
        <v>19</v>
      </c>
      <c r="Q2421" s="4" t="s">
        <v>19</v>
      </c>
      <c r="R2421" s="4" t="s">
        <v>9695</v>
      </c>
    </row>
    <row r="2422" spans="1:18" x14ac:dyDescent="0.3">
      <c r="A2422" t="s">
        <v>9696</v>
      </c>
      <c r="C2422" s="3">
        <v>45987</v>
      </c>
      <c r="D2422" s="11" t="s">
        <v>9697</v>
      </c>
      <c r="E2422" s="11" t="s">
        <v>9715</v>
      </c>
      <c r="F2422" s="11" t="s">
        <v>9681</v>
      </c>
      <c r="G2422" s="7" t="s">
        <v>9698</v>
      </c>
      <c r="I2422" s="17">
        <v>31778</v>
      </c>
      <c r="K2422" s="4">
        <v>500</v>
      </c>
      <c r="L2422" s="11" t="s">
        <v>9699</v>
      </c>
      <c r="M2422" s="11" t="s">
        <v>9700</v>
      </c>
      <c r="O2422" s="4" t="s">
        <v>19</v>
      </c>
      <c r="P2422" s="4" t="s">
        <v>19</v>
      </c>
      <c r="Q2422" s="4" t="s">
        <v>19</v>
      </c>
      <c r="R2422" s="4" t="s">
        <v>19</v>
      </c>
    </row>
    <row r="2423" spans="1:18" x14ac:dyDescent="0.3">
      <c r="A2423" t="s">
        <v>9701</v>
      </c>
      <c r="C2423" s="3">
        <v>45987</v>
      </c>
      <c r="D2423" s="11" t="s">
        <v>9702</v>
      </c>
      <c r="E2423" s="11" t="s">
        <v>9731</v>
      </c>
      <c r="F2423" s="11" t="s">
        <v>9681</v>
      </c>
      <c r="G2423" s="7" t="s">
        <v>615</v>
      </c>
      <c r="I2423" s="17">
        <v>40418</v>
      </c>
      <c r="K2423" s="4">
        <v>500</v>
      </c>
      <c r="L2423" s="11" t="s">
        <v>9703</v>
      </c>
      <c r="M2423" s="11" t="s">
        <v>9704</v>
      </c>
      <c r="O2423" s="4" t="s">
        <v>19</v>
      </c>
      <c r="P2423" s="4" t="s">
        <v>19</v>
      </c>
      <c r="Q2423" s="4" t="s">
        <v>19</v>
      </c>
      <c r="R2423" s="4" t="s">
        <v>19</v>
      </c>
    </row>
    <row r="2424" spans="1:18" x14ac:dyDescent="0.3">
      <c r="A2424" t="s">
        <v>9713</v>
      </c>
      <c r="C2424" s="3">
        <v>45987</v>
      </c>
      <c r="D2424" s="11" t="s">
        <v>9705</v>
      </c>
      <c r="E2424" s="11" t="s">
        <v>9731</v>
      </c>
      <c r="F2424" s="11" t="s">
        <v>9681</v>
      </c>
      <c r="G2424" s="7" t="s">
        <v>9706</v>
      </c>
      <c r="I2424" s="17">
        <v>39631</v>
      </c>
      <c r="K2424" s="4">
        <v>500</v>
      </c>
      <c r="L2424" s="11" t="s">
        <v>9739</v>
      </c>
      <c r="M2424" s="11" t="s">
        <v>9707</v>
      </c>
      <c r="O2424" s="4" t="s">
        <v>19</v>
      </c>
      <c r="P2424" s="4" t="s">
        <v>19</v>
      </c>
      <c r="Q2424" s="4" t="s">
        <v>19</v>
      </c>
    </row>
    <row r="2425" spans="1:18" x14ac:dyDescent="0.3">
      <c r="A2425" t="s">
        <v>9718</v>
      </c>
      <c r="C2425" s="3">
        <v>45988</v>
      </c>
      <c r="D2425" s="11" t="s">
        <v>9721</v>
      </c>
      <c r="E2425" s="11" t="s">
        <v>9793</v>
      </c>
      <c r="F2425" s="11" t="s">
        <v>9715</v>
      </c>
      <c r="G2425" s="7" t="s">
        <v>99</v>
      </c>
      <c r="I2425" s="17">
        <v>23842</v>
      </c>
      <c r="K2425" s="4">
        <v>500</v>
      </c>
      <c r="L2425" s="11" t="s">
        <v>9719</v>
      </c>
      <c r="O2425" s="4" t="s">
        <v>19</v>
      </c>
      <c r="P2425" s="4" t="s">
        <v>19</v>
      </c>
      <c r="Q2425" s="4" t="s">
        <v>19</v>
      </c>
      <c r="R2425" s="4" t="s">
        <v>9720</v>
      </c>
    </row>
    <row r="2426" spans="1:18" x14ac:dyDescent="0.3">
      <c r="A2426" t="s">
        <v>9725</v>
      </c>
      <c r="C2426" s="3">
        <v>45989</v>
      </c>
      <c r="D2426" s="11" t="s">
        <v>9726</v>
      </c>
      <c r="E2426" s="11" t="s">
        <v>9743</v>
      </c>
      <c r="F2426" s="11" t="s">
        <v>9731</v>
      </c>
      <c r="G2426" s="7" t="s">
        <v>9727</v>
      </c>
      <c r="I2426" s="17">
        <v>24768</v>
      </c>
      <c r="K2426" s="4">
        <v>500</v>
      </c>
      <c r="L2426" s="11" t="s">
        <v>9728</v>
      </c>
      <c r="M2426" s="11" t="s">
        <v>9729</v>
      </c>
      <c r="O2426" s="4" t="s">
        <v>19</v>
      </c>
      <c r="P2426" s="4" t="s">
        <v>19</v>
      </c>
      <c r="Q2426" s="4" t="s">
        <v>19</v>
      </c>
    </row>
    <row r="2427" spans="1:18" x14ac:dyDescent="0.3">
      <c r="A2427" t="s">
        <v>9732</v>
      </c>
      <c r="C2427" s="3">
        <v>45989</v>
      </c>
      <c r="D2427" s="11" t="s">
        <v>9733</v>
      </c>
      <c r="E2427" s="11" t="s">
        <v>9743</v>
      </c>
      <c r="F2427" s="11" t="s">
        <v>9731</v>
      </c>
      <c r="G2427" s="7" t="s">
        <v>9734</v>
      </c>
      <c r="I2427" s="17">
        <v>30713</v>
      </c>
      <c r="K2427" s="4">
        <v>500</v>
      </c>
      <c r="L2427" s="11" t="s">
        <v>9735</v>
      </c>
      <c r="M2427" s="11" t="s">
        <v>9736</v>
      </c>
      <c r="O2427" s="4" t="s">
        <v>19</v>
      </c>
      <c r="P2427" s="4" t="s">
        <v>19</v>
      </c>
      <c r="Q2427" s="4" t="s">
        <v>19</v>
      </c>
      <c r="R2427" s="4" t="s">
        <v>9737</v>
      </c>
    </row>
    <row r="2428" spans="1:18" x14ac:dyDescent="0.3">
      <c r="A2428" t="s">
        <v>9750</v>
      </c>
      <c r="C2428" s="3">
        <v>45992</v>
      </c>
      <c r="D2428" s="11" t="s">
        <v>9788</v>
      </c>
      <c r="E2428" s="11" t="s">
        <v>9789</v>
      </c>
      <c r="F2428" s="11" t="s">
        <v>9790</v>
      </c>
      <c r="G2428" s="7" t="s">
        <v>9752</v>
      </c>
      <c r="I2428" s="17">
        <v>24108</v>
      </c>
      <c r="K2428" s="4">
        <v>1000</v>
      </c>
      <c r="L2428" s="11" t="s">
        <v>9753</v>
      </c>
      <c r="M2428" s="11" t="s">
        <v>9754</v>
      </c>
      <c r="O2428" s="4" t="s">
        <v>19</v>
      </c>
      <c r="P2428" s="4" t="s">
        <v>19</v>
      </c>
      <c r="Q2428" s="4" t="s">
        <v>19</v>
      </c>
      <c r="R2428" s="4" t="s">
        <v>9755</v>
      </c>
    </row>
    <row r="2429" spans="1:18" x14ac:dyDescent="0.3">
      <c r="A2429" t="s">
        <v>9764</v>
      </c>
      <c r="C2429" s="3">
        <v>45992</v>
      </c>
      <c r="D2429" s="11" t="s">
        <v>9765</v>
      </c>
      <c r="E2429" s="11" t="s">
        <v>9789</v>
      </c>
      <c r="F2429" s="11" t="s">
        <v>9790</v>
      </c>
      <c r="G2429" s="7" t="s">
        <v>9767</v>
      </c>
      <c r="I2429" s="17">
        <v>37650</v>
      </c>
      <c r="K2429" s="4">
        <v>500</v>
      </c>
      <c r="L2429" s="11" t="s">
        <v>9768</v>
      </c>
      <c r="M2429" s="11" t="s">
        <v>9766</v>
      </c>
      <c r="O2429" s="4" t="s">
        <v>16</v>
      </c>
      <c r="P2429" s="4" t="s">
        <v>19</v>
      </c>
      <c r="Q2429" s="4" t="s">
        <v>19</v>
      </c>
      <c r="R2429" s="4" t="s">
        <v>9769</v>
      </c>
    </row>
    <row r="2430" spans="1:18" x14ac:dyDescent="0.3">
      <c r="A2430" t="s">
        <v>9773</v>
      </c>
      <c r="C2430" s="3">
        <v>45993</v>
      </c>
      <c r="D2430" s="11" t="s">
        <v>9775</v>
      </c>
      <c r="E2430" s="11" t="s">
        <v>9793</v>
      </c>
      <c r="F2430" s="11" t="s">
        <v>9839</v>
      </c>
      <c r="G2430" s="7" t="s">
        <v>9781</v>
      </c>
      <c r="I2430" s="17">
        <v>33604</v>
      </c>
      <c r="K2430" s="4">
        <v>1000</v>
      </c>
      <c r="L2430" s="11" t="s">
        <v>9794</v>
      </c>
      <c r="M2430" s="11" t="s">
        <v>3773</v>
      </c>
      <c r="O2430" s="4" t="s">
        <v>16</v>
      </c>
      <c r="P2430" s="4" t="s">
        <v>19</v>
      </c>
      <c r="Q2430" s="4" t="s">
        <v>19</v>
      </c>
    </row>
    <row r="2431" spans="1:18" x14ac:dyDescent="0.3">
      <c r="A2431" t="s">
        <v>9774</v>
      </c>
      <c r="C2431" s="3">
        <v>45993</v>
      </c>
      <c r="D2431" s="11" t="s">
        <v>9776</v>
      </c>
      <c r="E2431" s="11" t="s">
        <v>9573</v>
      </c>
      <c r="F2431" s="11" t="s">
        <v>9789</v>
      </c>
      <c r="G2431" s="7" t="s">
        <v>9777</v>
      </c>
      <c r="I2431" s="17">
        <v>36047</v>
      </c>
      <c r="K2431" s="4">
        <v>500</v>
      </c>
      <c r="L2431" s="11" t="s">
        <v>9778</v>
      </c>
      <c r="M2431" s="11" t="s">
        <v>9780</v>
      </c>
      <c r="O2431" s="4" t="s">
        <v>16</v>
      </c>
      <c r="P2431" s="4" t="s">
        <v>19</v>
      </c>
      <c r="Q2431" s="4" t="s">
        <v>19</v>
      </c>
      <c r="R2431" s="4" t="s">
        <v>9779</v>
      </c>
    </row>
    <row r="2432" spans="1:18" x14ac:dyDescent="0.3">
      <c r="A2432" t="s">
        <v>9795</v>
      </c>
      <c r="C2432" s="3">
        <v>45995</v>
      </c>
      <c r="D2432" s="11" t="s">
        <v>9797</v>
      </c>
      <c r="E2432" s="11" t="s">
        <v>9878</v>
      </c>
      <c r="F2432" s="11" t="s">
        <v>9807</v>
      </c>
      <c r="G2432" s="7" t="s">
        <v>9798</v>
      </c>
      <c r="I2432" s="17">
        <v>25887</v>
      </c>
      <c r="K2432" s="4">
        <v>2000</v>
      </c>
      <c r="L2432" s="11" t="s">
        <v>9799</v>
      </c>
      <c r="M2432" s="11" t="s">
        <v>1550</v>
      </c>
      <c r="O2432" s="4" t="s">
        <v>16</v>
      </c>
      <c r="P2432" s="4" t="s">
        <v>19</v>
      </c>
      <c r="Q2432" s="4" t="s">
        <v>19</v>
      </c>
    </row>
    <row r="2433" spans="1:18" x14ac:dyDescent="0.3">
      <c r="A2433" t="s">
        <v>9800</v>
      </c>
      <c r="C2433" s="3">
        <v>45996</v>
      </c>
      <c r="D2433" s="11" t="s">
        <v>9801</v>
      </c>
      <c r="E2433" s="11" t="s">
        <v>9838</v>
      </c>
      <c r="F2433" s="11" t="s">
        <v>9840</v>
      </c>
      <c r="G2433" s="7" t="s">
        <v>9802</v>
      </c>
      <c r="I2433" s="17">
        <v>36154</v>
      </c>
      <c r="K2433" s="4">
        <v>1000</v>
      </c>
      <c r="L2433" s="11" t="s">
        <v>9803</v>
      </c>
      <c r="M2433" s="11" t="s">
        <v>9804</v>
      </c>
      <c r="O2433" s="4" t="s">
        <v>16</v>
      </c>
      <c r="P2433" s="4" t="s">
        <v>19</v>
      </c>
      <c r="Q2433" s="4" t="s">
        <v>19</v>
      </c>
      <c r="R2433" s="4" t="s">
        <v>9805</v>
      </c>
    </row>
    <row r="2434" spans="1:18" x14ac:dyDescent="0.3">
      <c r="A2434" t="s">
        <v>9823</v>
      </c>
      <c r="C2434" s="3">
        <v>46001</v>
      </c>
      <c r="D2434" s="11" t="s">
        <v>9825</v>
      </c>
      <c r="E2434" s="11" t="s">
        <v>9573</v>
      </c>
      <c r="F2434" s="11" t="s">
        <v>9838</v>
      </c>
      <c r="G2434" s="7" t="s">
        <v>9826</v>
      </c>
      <c r="K2434" s="4">
        <v>500</v>
      </c>
      <c r="M2434" s="11" t="s">
        <v>9824</v>
      </c>
    </row>
    <row r="2435" spans="1:18" x14ac:dyDescent="0.3">
      <c r="A2435" t="s">
        <v>9834</v>
      </c>
      <c r="C2435" s="3">
        <v>46002</v>
      </c>
      <c r="D2435" s="11" t="s">
        <v>9835</v>
      </c>
      <c r="E2435" s="11" t="s">
        <v>9573</v>
      </c>
      <c r="F2435" s="11" t="s">
        <v>9838</v>
      </c>
      <c r="G2435" s="7" t="s">
        <v>9836</v>
      </c>
      <c r="I2435" s="17"/>
      <c r="K2435" s="4">
        <v>500</v>
      </c>
      <c r="M2435" s="11" t="s">
        <v>9837</v>
      </c>
    </row>
    <row r="2436" spans="1:18" x14ac:dyDescent="0.3">
      <c r="A2436" t="s">
        <v>9842</v>
      </c>
      <c r="C2436" s="3">
        <v>46003</v>
      </c>
      <c r="D2436" s="11" t="s">
        <v>9843</v>
      </c>
      <c r="E2436" s="11" t="s">
        <v>9897</v>
      </c>
      <c r="F2436" s="11" t="s">
        <v>9887</v>
      </c>
      <c r="G2436" s="7" t="s">
        <v>9844</v>
      </c>
      <c r="I2436" s="17">
        <v>32419</v>
      </c>
      <c r="K2436" s="4">
        <v>3000</v>
      </c>
      <c r="L2436" s="11" t="s">
        <v>9893</v>
      </c>
      <c r="M2436" s="11" t="s">
        <v>9896</v>
      </c>
      <c r="O2436" s="4" t="s">
        <v>19</v>
      </c>
      <c r="P2436" s="4" t="s">
        <v>19</v>
      </c>
      <c r="Q2436" s="4" t="s">
        <v>19</v>
      </c>
      <c r="R2436" s="4" t="s">
        <v>9892</v>
      </c>
    </row>
    <row r="2437" spans="1:18" x14ac:dyDescent="0.3">
      <c r="A2437" t="s">
        <v>9848</v>
      </c>
      <c r="C2437" s="3">
        <v>46005</v>
      </c>
      <c r="D2437" s="11" t="s">
        <v>9849</v>
      </c>
      <c r="E2437" s="11" t="s">
        <v>9925</v>
      </c>
      <c r="F2437" s="11" t="s">
        <v>9887</v>
      </c>
      <c r="G2437" s="7" t="s">
        <v>9850</v>
      </c>
      <c r="I2437" s="17">
        <v>39346</v>
      </c>
      <c r="K2437" s="4">
        <v>500</v>
      </c>
      <c r="L2437" s="11" t="s">
        <v>9924</v>
      </c>
      <c r="M2437" s="11" t="s">
        <v>9851</v>
      </c>
      <c r="O2437" s="4" t="s">
        <v>19</v>
      </c>
      <c r="P2437" s="4" t="s">
        <v>19</v>
      </c>
      <c r="Q2437" s="4" t="s">
        <v>19</v>
      </c>
      <c r="R2437" s="4" t="s">
        <v>9852</v>
      </c>
    </row>
    <row r="2438" spans="1:18" x14ac:dyDescent="0.3">
      <c r="A2438" t="s">
        <v>9855</v>
      </c>
      <c r="C2438" s="3">
        <v>46006</v>
      </c>
      <c r="D2438" s="11" t="s">
        <v>9857</v>
      </c>
      <c r="E2438" s="11" t="s">
        <v>9886</v>
      </c>
      <c r="F2438" s="11" t="s">
        <v>9887</v>
      </c>
      <c r="G2438" s="7" t="s">
        <v>9859</v>
      </c>
      <c r="I2438" s="17">
        <v>31413</v>
      </c>
      <c r="K2438" s="4">
        <v>500</v>
      </c>
      <c r="L2438" s="11" t="s">
        <v>9861</v>
      </c>
      <c r="M2438" s="11" t="s">
        <v>9860</v>
      </c>
      <c r="O2438" s="4" t="s">
        <v>16</v>
      </c>
      <c r="P2438" s="4" t="s">
        <v>19</v>
      </c>
      <c r="Q2438" s="4" t="s">
        <v>19</v>
      </c>
      <c r="R2438" s="4" t="s">
        <v>9862</v>
      </c>
    </row>
    <row r="2439" spans="1:18" x14ac:dyDescent="0.3">
      <c r="A2439" t="s">
        <v>9863</v>
      </c>
      <c r="C2439" s="3">
        <v>46006</v>
      </c>
      <c r="D2439" s="11" t="s">
        <v>9864</v>
      </c>
      <c r="E2439" s="11" t="s">
        <v>9897</v>
      </c>
      <c r="F2439" s="11" t="s">
        <v>9878</v>
      </c>
      <c r="G2439" s="7" t="s">
        <v>9865</v>
      </c>
      <c r="I2439" s="17">
        <v>27756</v>
      </c>
      <c r="K2439" s="4">
        <v>2000</v>
      </c>
      <c r="L2439" s="11" t="s">
        <v>9894</v>
      </c>
      <c r="M2439" s="11" t="s">
        <v>9866</v>
      </c>
      <c r="O2439" s="4" t="s">
        <v>16</v>
      </c>
      <c r="P2439" s="4" t="s">
        <v>19</v>
      </c>
      <c r="Q2439" s="4" t="s">
        <v>19</v>
      </c>
      <c r="R2439" s="4" t="s">
        <v>9895</v>
      </c>
    </row>
    <row r="2440" spans="1:18" x14ac:dyDescent="0.3">
      <c r="A2440" t="s">
        <v>9869</v>
      </c>
      <c r="C2440" s="3">
        <v>46006</v>
      </c>
      <c r="D2440" s="11" t="s">
        <v>9870</v>
      </c>
      <c r="E2440" s="11" t="s">
        <v>9573</v>
      </c>
      <c r="F2440" s="11" t="s">
        <v>9878</v>
      </c>
      <c r="G2440" s="7" t="s">
        <v>9872</v>
      </c>
      <c r="I2440" s="17">
        <v>38638</v>
      </c>
      <c r="K2440" s="4">
        <v>500</v>
      </c>
      <c r="L2440" s="11" t="s">
        <v>9891</v>
      </c>
      <c r="M2440" s="11" t="s">
        <v>9871</v>
      </c>
      <c r="O2440" s="4" t="s">
        <v>16</v>
      </c>
      <c r="P2440" s="4" t="s">
        <v>19</v>
      </c>
      <c r="Q2440" s="4" t="s">
        <v>19</v>
      </c>
      <c r="R2440" s="4" t="s">
        <v>2563</v>
      </c>
    </row>
    <row r="2441" spans="1:18" x14ac:dyDescent="0.3">
      <c r="A2441" t="s">
        <v>9873</v>
      </c>
      <c r="C2441" s="3">
        <v>46006</v>
      </c>
      <c r="D2441" s="11" t="s">
        <v>9874</v>
      </c>
      <c r="E2441" s="11" t="s">
        <v>9897</v>
      </c>
      <c r="F2441" s="11" t="s">
        <v>9878</v>
      </c>
      <c r="G2441" s="7" t="s">
        <v>9875</v>
      </c>
      <c r="I2441" s="17">
        <v>39570</v>
      </c>
      <c r="K2441" s="4">
        <v>500</v>
      </c>
      <c r="L2441" s="11" t="s">
        <v>9890</v>
      </c>
      <c r="M2441" s="11" t="s">
        <v>9876</v>
      </c>
      <c r="O2441" s="4" t="s">
        <v>19</v>
      </c>
      <c r="P2441" s="4" t="s">
        <v>19</v>
      </c>
      <c r="Q2441" s="4" t="s">
        <v>19</v>
      </c>
      <c r="R2441" s="4" t="s">
        <v>19</v>
      </c>
    </row>
    <row r="2442" spans="1:18" x14ac:dyDescent="0.3">
      <c r="A2442" t="s">
        <v>9882</v>
      </c>
      <c r="C2442" s="3">
        <v>46007</v>
      </c>
      <c r="D2442" s="11" t="s">
        <v>9883</v>
      </c>
      <c r="E2442" s="11" t="s">
        <v>9897</v>
      </c>
      <c r="F2442" s="11" t="s">
        <v>9897</v>
      </c>
      <c r="G2442" s="7" t="s">
        <v>9884</v>
      </c>
      <c r="I2442" s="17">
        <v>36551</v>
      </c>
      <c r="K2442" s="4">
        <v>1000</v>
      </c>
      <c r="L2442" s="11" t="s">
        <v>9888</v>
      </c>
      <c r="M2442" s="11" t="s">
        <v>9885</v>
      </c>
      <c r="O2442" s="4" t="s">
        <v>16</v>
      </c>
      <c r="P2442" s="4" t="s">
        <v>19</v>
      </c>
      <c r="Q2442" s="4" t="s">
        <v>19</v>
      </c>
      <c r="R2442" s="4" t="s">
        <v>9889</v>
      </c>
    </row>
    <row r="2443" spans="1:18" x14ac:dyDescent="0.3">
      <c r="A2443" t="s">
        <v>9898</v>
      </c>
      <c r="C2443" s="3">
        <v>46008</v>
      </c>
      <c r="D2443" s="11" t="s">
        <v>9900</v>
      </c>
      <c r="E2443" s="11" t="s">
        <v>9573</v>
      </c>
      <c r="F2443" s="11" t="s">
        <v>9921</v>
      </c>
      <c r="G2443" s="7" t="s">
        <v>9901</v>
      </c>
      <c r="I2443" s="17">
        <v>39358</v>
      </c>
      <c r="K2443" s="4">
        <v>500</v>
      </c>
      <c r="L2443" s="11" t="s">
        <v>9914</v>
      </c>
      <c r="M2443" s="11" t="s">
        <v>9899</v>
      </c>
      <c r="O2443" s="4" t="s">
        <v>19</v>
      </c>
      <c r="P2443" s="4" t="s">
        <v>19</v>
      </c>
      <c r="Q2443" s="4" t="s">
        <v>19</v>
      </c>
      <c r="R2443" s="4" t="s">
        <v>9915</v>
      </c>
    </row>
    <row r="2444" spans="1:18" x14ac:dyDescent="0.3">
      <c r="A2444" t="s">
        <v>9902</v>
      </c>
      <c r="C2444" s="3">
        <v>46008</v>
      </c>
      <c r="D2444" s="11" t="s">
        <v>9903</v>
      </c>
      <c r="E2444" s="11" t="s">
        <v>9573</v>
      </c>
      <c r="F2444" s="11" t="s">
        <v>9921</v>
      </c>
      <c r="G2444" s="7" t="s">
        <v>9904</v>
      </c>
      <c r="I2444" s="17">
        <v>41710</v>
      </c>
      <c r="K2444" s="4">
        <v>500</v>
      </c>
      <c r="L2444" s="11" t="s">
        <v>9905</v>
      </c>
      <c r="M2444" s="11" t="s">
        <v>7406</v>
      </c>
      <c r="O2444" s="4" t="s">
        <v>19</v>
      </c>
      <c r="P2444" s="4" t="s">
        <v>19</v>
      </c>
      <c r="Q2444" s="4" t="s">
        <v>19</v>
      </c>
      <c r="R2444" s="4" t="s">
        <v>19</v>
      </c>
    </row>
    <row r="2445" spans="1:18" x14ac:dyDescent="0.3">
      <c r="A2445" t="s">
        <v>9906</v>
      </c>
      <c r="C2445" s="3">
        <v>46008</v>
      </c>
      <c r="D2445" s="11" t="s">
        <v>9907</v>
      </c>
      <c r="E2445" s="11" t="s">
        <v>9573</v>
      </c>
      <c r="F2445" s="11" t="s">
        <v>9921</v>
      </c>
      <c r="G2445" s="7" t="s">
        <v>9909</v>
      </c>
      <c r="I2445" s="17">
        <v>42161</v>
      </c>
      <c r="K2445" s="4">
        <v>500</v>
      </c>
      <c r="L2445" s="11" t="s">
        <v>9908</v>
      </c>
      <c r="M2445" s="11" t="s">
        <v>7406</v>
      </c>
      <c r="O2445" s="4" t="s">
        <v>19</v>
      </c>
      <c r="P2445" s="4" t="s">
        <v>19</v>
      </c>
      <c r="Q2445" s="4" t="s">
        <v>19</v>
      </c>
      <c r="R2445" s="4" t="s">
        <v>19</v>
      </c>
    </row>
    <row r="2446" spans="1:18" x14ac:dyDescent="0.3">
      <c r="A2446" t="s">
        <v>9916</v>
      </c>
      <c r="C2446" s="3">
        <v>46009</v>
      </c>
      <c r="D2446" s="11" t="s">
        <v>9920</v>
      </c>
      <c r="E2446" s="11" t="s">
        <v>9943</v>
      </c>
      <c r="F2446" s="11" t="s">
        <v>9925</v>
      </c>
      <c r="G2446" s="7" t="s">
        <v>9917</v>
      </c>
      <c r="I2446" s="17">
        <v>30107</v>
      </c>
      <c r="K2446" s="4">
        <v>500</v>
      </c>
      <c r="L2446" s="11" t="s">
        <v>9927</v>
      </c>
      <c r="M2446" s="11" t="s">
        <v>9918</v>
      </c>
      <c r="O2446" s="4" t="s">
        <v>16</v>
      </c>
      <c r="P2446" s="4" t="s">
        <v>19</v>
      </c>
      <c r="Q2446" s="4" t="s">
        <v>19</v>
      </c>
      <c r="R2446" s="4" t="s">
        <v>9919</v>
      </c>
    </row>
    <row r="2447" spans="1:18" x14ac:dyDescent="0.3">
      <c r="A2447" t="s">
        <v>9928</v>
      </c>
      <c r="C2447" s="3">
        <v>46010</v>
      </c>
      <c r="D2447" s="11" t="s">
        <v>9929</v>
      </c>
      <c r="E2447" s="11" t="s">
        <v>9962</v>
      </c>
      <c r="F2447" s="11" t="s">
        <v>9925</v>
      </c>
      <c r="G2447" s="7" t="s">
        <v>9932</v>
      </c>
      <c r="I2447" s="17">
        <v>38966</v>
      </c>
      <c r="K2447" s="4">
        <v>500</v>
      </c>
      <c r="L2447" s="11" t="s">
        <v>9933</v>
      </c>
      <c r="M2447" s="11" t="s">
        <v>9930</v>
      </c>
      <c r="N2447" s="11" t="s">
        <v>9931</v>
      </c>
      <c r="O2447" s="4" t="s">
        <v>16</v>
      </c>
      <c r="P2447" s="4" t="s">
        <v>19</v>
      </c>
      <c r="Q2447" s="4" t="s">
        <v>19</v>
      </c>
    </row>
    <row r="2448" spans="1:18" x14ac:dyDescent="0.3">
      <c r="A2448" t="s">
        <v>9937</v>
      </c>
      <c r="C2448" s="3">
        <v>46014</v>
      </c>
      <c r="D2448" s="11" t="s">
        <v>9939</v>
      </c>
      <c r="E2448" s="11" t="s">
        <v>9952</v>
      </c>
      <c r="F2448" s="11" t="s">
        <v>9953</v>
      </c>
      <c r="G2448" s="7" t="s">
        <v>9940</v>
      </c>
      <c r="I2448" s="17">
        <v>38060</v>
      </c>
      <c r="K2448" s="4">
        <v>500</v>
      </c>
      <c r="L2448" s="11" t="s">
        <v>9942</v>
      </c>
      <c r="M2448" s="11" t="s">
        <v>9941</v>
      </c>
      <c r="O2448" s="4" t="s">
        <v>16</v>
      </c>
      <c r="P2448" s="4" t="s">
        <v>19</v>
      </c>
      <c r="Q2448" s="4" t="s">
        <v>19</v>
      </c>
    </row>
    <row r="2449" spans="1:18" x14ac:dyDescent="0.3">
      <c r="A2449" t="s">
        <v>9964</v>
      </c>
      <c r="C2449" s="3">
        <v>46022</v>
      </c>
      <c r="D2449" s="11" t="s">
        <v>9965</v>
      </c>
      <c r="E2449" s="11" t="s">
        <v>10002</v>
      </c>
      <c r="F2449" s="11" t="s">
        <v>9969</v>
      </c>
      <c r="G2449" s="7" t="s">
        <v>9966</v>
      </c>
      <c r="I2449" s="17">
        <v>31777</v>
      </c>
      <c r="K2449" s="4">
        <v>2000</v>
      </c>
      <c r="L2449" s="11" t="s">
        <v>9972</v>
      </c>
      <c r="M2449" s="11" t="s">
        <v>9973</v>
      </c>
      <c r="O2449" s="4" t="s">
        <v>19</v>
      </c>
      <c r="P2449" s="4" t="s">
        <v>19</v>
      </c>
      <c r="Q2449" s="4" t="s">
        <v>19</v>
      </c>
      <c r="R2449" s="4" t="s">
        <v>9974</v>
      </c>
    </row>
    <row r="2450" spans="1:18" x14ac:dyDescent="0.3">
      <c r="A2450" t="s">
        <v>9976</v>
      </c>
      <c r="C2450" s="3">
        <v>46025</v>
      </c>
      <c r="D2450" s="11" t="s">
        <v>8129</v>
      </c>
      <c r="G2450" s="7" t="s">
        <v>9977</v>
      </c>
      <c r="I2450" s="17">
        <v>36176</v>
      </c>
      <c r="K2450" s="4">
        <v>1000</v>
      </c>
      <c r="L2450" s="11" t="s">
        <v>9978</v>
      </c>
      <c r="M2450" s="11" t="s">
        <v>9979</v>
      </c>
      <c r="O2450" s="4" t="s">
        <v>16</v>
      </c>
      <c r="P2450" s="4" t="s">
        <v>16</v>
      </c>
      <c r="Q2450" s="4" t="s">
        <v>19</v>
      </c>
      <c r="R2450" s="4" t="s">
        <v>9980</v>
      </c>
    </row>
    <row r="2451" spans="1:18" x14ac:dyDescent="0.3">
      <c r="A2451" t="s">
        <v>9996</v>
      </c>
      <c r="C2451" s="3">
        <v>46028</v>
      </c>
      <c r="D2451" s="11" t="s">
        <v>10000</v>
      </c>
      <c r="E2451" s="11" t="s">
        <v>10011</v>
      </c>
      <c r="F2451" s="11" t="s">
        <v>10002</v>
      </c>
      <c r="G2451" s="7" t="s">
        <v>9997</v>
      </c>
      <c r="I2451" s="17">
        <v>29097</v>
      </c>
      <c r="K2451" s="4">
        <v>200</v>
      </c>
      <c r="L2451" s="11" t="s">
        <v>9999</v>
      </c>
      <c r="M2451" s="11" t="s">
        <v>9998</v>
      </c>
      <c r="O2451" s="4" t="s">
        <v>19</v>
      </c>
      <c r="P2451" s="4" t="s">
        <v>16</v>
      </c>
      <c r="Q2451" s="4" t="s">
        <v>19</v>
      </c>
    </row>
    <row r="2452" spans="1:18" x14ac:dyDescent="0.3">
      <c r="A2452" t="s">
        <v>10001</v>
      </c>
      <c r="C2452" s="3">
        <v>46028</v>
      </c>
      <c r="D2452" s="11" t="s">
        <v>10003</v>
      </c>
      <c r="E2452" s="11" t="s">
        <v>10010</v>
      </c>
      <c r="F2452" s="11" t="s">
        <v>10011</v>
      </c>
      <c r="G2452" t="s">
        <v>10004</v>
      </c>
      <c r="I2452" s="17">
        <v>40769</v>
      </c>
      <c r="K2452" s="4">
        <v>500</v>
      </c>
      <c r="L2452" s="11" t="s">
        <v>10012</v>
      </c>
      <c r="M2452" s="11" t="s">
        <v>10005</v>
      </c>
      <c r="O2452" s="4" t="s">
        <v>19</v>
      </c>
      <c r="P2452" s="4" t="s">
        <v>16</v>
      </c>
      <c r="Q2452" s="4" t="s">
        <v>19</v>
      </c>
    </row>
    <row r="2453" spans="1:18" x14ac:dyDescent="0.3">
      <c r="A2453" t="s">
        <v>10014</v>
      </c>
      <c r="C2453" s="3">
        <v>46031</v>
      </c>
      <c r="D2453" s="11" t="s">
        <v>10015</v>
      </c>
      <c r="E2453" s="11" t="s">
        <v>10049</v>
      </c>
      <c r="F2453" s="11" t="s">
        <v>10034</v>
      </c>
      <c r="G2453" s="7" t="s">
        <v>10016</v>
      </c>
      <c r="I2453" s="17">
        <v>33788</v>
      </c>
      <c r="K2453" s="4">
        <v>500</v>
      </c>
      <c r="L2453" s="11" t="s">
        <v>10017</v>
      </c>
      <c r="M2453" s="11" t="s">
        <v>10048</v>
      </c>
      <c r="O2453" s="4" t="s">
        <v>19</v>
      </c>
      <c r="P2453" s="4" t="s">
        <v>16</v>
      </c>
      <c r="Q2453" s="4" t="s">
        <v>19</v>
      </c>
      <c r="R2453" s="4" t="s">
        <v>10018</v>
      </c>
    </row>
    <row r="2454" spans="1:18" x14ac:dyDescent="0.3">
      <c r="A2454" t="s">
        <v>10050</v>
      </c>
      <c r="C2454" s="3">
        <v>46034</v>
      </c>
      <c r="D2454" s="11" t="s">
        <v>10033</v>
      </c>
      <c r="E2454" s="11" t="s">
        <v>10039</v>
      </c>
      <c r="F2454" s="11" t="s">
        <v>10034</v>
      </c>
      <c r="G2454" s="7" t="s">
        <v>10035</v>
      </c>
      <c r="I2454" s="17">
        <v>21916</v>
      </c>
      <c r="K2454" s="4">
        <v>500</v>
      </c>
      <c r="L2454" s="11" t="s">
        <v>10036</v>
      </c>
      <c r="M2454" s="11" t="s">
        <v>10037</v>
      </c>
      <c r="N2454" s="11" t="s">
        <v>10038</v>
      </c>
      <c r="O2454" s="4" t="s">
        <v>19</v>
      </c>
      <c r="P2454" s="4" t="s">
        <v>16</v>
      </c>
      <c r="Q2454" s="4" t="s">
        <v>19</v>
      </c>
    </row>
    <row r="2455" spans="1:18" x14ac:dyDescent="0.3">
      <c r="A2455" t="s">
        <v>10051</v>
      </c>
      <c r="C2455" s="3">
        <v>46035</v>
      </c>
      <c r="D2455" s="11" t="s">
        <v>10052</v>
      </c>
      <c r="E2455" s="11" t="s">
        <v>10063</v>
      </c>
      <c r="F2455" s="11" t="s">
        <v>10039</v>
      </c>
      <c r="G2455" s="7" t="s">
        <v>10059</v>
      </c>
      <c r="I2455" s="17">
        <v>30682</v>
      </c>
      <c r="K2455" s="4">
        <v>500</v>
      </c>
      <c r="L2455" s="11" t="s">
        <v>10060</v>
      </c>
      <c r="M2455" s="11" t="s">
        <v>10061</v>
      </c>
      <c r="O2455" s="4" t="s">
        <v>19</v>
      </c>
      <c r="P2455" s="4" t="s">
        <v>16</v>
      </c>
      <c r="Q2455" s="4" t="s">
        <v>19</v>
      </c>
    </row>
    <row r="2456" spans="1:18" x14ac:dyDescent="0.3">
      <c r="A2456" t="s">
        <v>10077</v>
      </c>
      <c r="C2456" s="3">
        <v>46042</v>
      </c>
      <c r="D2456" s="11" t="s">
        <v>10066</v>
      </c>
      <c r="E2456" s="11" t="s">
        <v>10118</v>
      </c>
      <c r="F2456" s="11" t="s">
        <v>10118</v>
      </c>
      <c r="G2456" s="7" t="s">
        <v>10067</v>
      </c>
      <c r="I2456" s="17">
        <v>35431</v>
      </c>
      <c r="K2456" s="4">
        <v>1000</v>
      </c>
      <c r="L2456" s="11" t="s">
        <v>10116</v>
      </c>
      <c r="M2456" s="11" t="s">
        <v>10117</v>
      </c>
      <c r="O2456" s="4" t="s">
        <v>19</v>
      </c>
      <c r="P2456" s="4" t="s">
        <v>16</v>
      </c>
      <c r="Q2456" s="4" t="s">
        <v>19</v>
      </c>
    </row>
    <row r="2457" spans="1:18" x14ac:dyDescent="0.3">
      <c r="C2457" s="3">
        <v>46043</v>
      </c>
      <c r="D2457" s="11" t="s">
        <v>10070</v>
      </c>
      <c r="E2457" s="11" t="s">
        <v>10169</v>
      </c>
      <c r="F2457" s="11" t="s">
        <v>10118</v>
      </c>
      <c r="G2457" s="7" t="s">
        <v>10110</v>
      </c>
      <c r="I2457" s="17">
        <v>39116</v>
      </c>
      <c r="K2457" s="4">
        <v>500</v>
      </c>
      <c r="L2457" s="11" t="s">
        <v>10167</v>
      </c>
      <c r="M2457" s="11" t="s">
        <v>10168</v>
      </c>
    </row>
    <row r="2458" spans="1:18" x14ac:dyDescent="0.3">
      <c r="A2458" t="s">
        <v>10076</v>
      </c>
      <c r="C2458" s="3">
        <v>46043</v>
      </c>
      <c r="D2458" s="11" t="s">
        <v>10078</v>
      </c>
      <c r="E2458" s="11" t="s">
        <v>10138</v>
      </c>
      <c r="F2458" s="11" t="s">
        <v>10138</v>
      </c>
      <c r="G2458" s="7" t="s">
        <v>261</v>
      </c>
      <c r="I2458" s="17">
        <v>34012</v>
      </c>
      <c r="K2458" s="4">
        <v>500</v>
      </c>
      <c r="L2458" s="11" t="s">
        <v>10079</v>
      </c>
      <c r="M2458" s="11" t="s">
        <v>10080</v>
      </c>
      <c r="O2458" s="4" t="s">
        <v>16</v>
      </c>
      <c r="P2458" s="4" t="s">
        <v>19</v>
      </c>
      <c r="Q2458" s="4" t="s">
        <v>19</v>
      </c>
    </row>
    <row r="2459" spans="1:18" x14ac:dyDescent="0.3">
      <c r="A2459" t="s">
        <v>10102</v>
      </c>
      <c r="C2459" s="3">
        <v>46051</v>
      </c>
      <c r="D2459" s="11" t="s">
        <v>10160</v>
      </c>
      <c r="E2459" s="11" t="s">
        <v>10157</v>
      </c>
      <c r="F2459" s="11" t="s">
        <v>10158</v>
      </c>
      <c r="G2459" s="7" t="s">
        <v>9706</v>
      </c>
      <c r="I2459" s="17">
        <v>37944</v>
      </c>
      <c r="K2459" s="4">
        <v>500</v>
      </c>
      <c r="L2459" s="11" t="s">
        <v>10104</v>
      </c>
      <c r="M2459" s="11" t="s">
        <v>10105</v>
      </c>
      <c r="O2459" s="4" t="s">
        <v>16</v>
      </c>
      <c r="P2459" s="4" t="s">
        <v>19</v>
      </c>
      <c r="Q2459" s="4" t="s">
        <v>19</v>
      </c>
      <c r="R2459" s="4" t="s">
        <v>10106</v>
      </c>
    </row>
    <row r="2460" spans="1:18" x14ac:dyDescent="0.3">
      <c r="A2460" t="s">
        <v>10120</v>
      </c>
      <c r="C2460" s="3">
        <v>46053</v>
      </c>
      <c r="D2460" s="11" t="s">
        <v>10128</v>
      </c>
      <c r="E2460" s="11" t="s">
        <v>10157</v>
      </c>
      <c r="F2460" s="11" t="s">
        <v>10158</v>
      </c>
      <c r="G2460" s="7" t="s">
        <v>10129</v>
      </c>
      <c r="I2460" s="17">
        <v>34629</v>
      </c>
      <c r="K2460" s="4">
        <v>1000</v>
      </c>
      <c r="L2460" s="11" t="s">
        <v>10130</v>
      </c>
      <c r="M2460" s="11" t="s">
        <v>10131</v>
      </c>
      <c r="O2460" s="4" t="s">
        <v>16</v>
      </c>
      <c r="P2460" s="4" t="s">
        <v>19</v>
      </c>
      <c r="Q2460" s="4" t="s">
        <v>19</v>
      </c>
      <c r="R2460" s="4" t="s">
        <v>10132</v>
      </c>
    </row>
    <row r="2461" spans="1:18" x14ac:dyDescent="0.3">
      <c r="A2461" t="s">
        <v>10135</v>
      </c>
      <c r="C2461" s="3">
        <v>46055</v>
      </c>
      <c r="D2461" s="11" t="s">
        <v>10146</v>
      </c>
      <c r="E2461" s="11" t="s">
        <v>10175</v>
      </c>
      <c r="F2461" s="11" t="s">
        <v>10157</v>
      </c>
      <c r="G2461" s="7" t="s">
        <v>10147</v>
      </c>
      <c r="K2461" s="4">
        <v>500</v>
      </c>
      <c r="L2461" s="11" t="s">
        <v>10148</v>
      </c>
      <c r="M2461" s="11" t="s">
        <v>10149</v>
      </c>
      <c r="O2461" s="4" t="s">
        <v>19</v>
      </c>
      <c r="P2461" s="4" t="s">
        <v>19</v>
      </c>
      <c r="Q2461" s="4" t="s">
        <v>19</v>
      </c>
      <c r="R2461" s="4" t="s">
        <v>10150</v>
      </c>
    </row>
    <row r="2462" spans="1:18" x14ac:dyDescent="0.3">
      <c r="A2462" t="s">
        <v>10162</v>
      </c>
      <c r="C2462" s="3">
        <v>46057</v>
      </c>
      <c r="D2462" s="11" t="s">
        <v>10165</v>
      </c>
      <c r="E2462" s="11" t="s">
        <v>10212</v>
      </c>
      <c r="F2462" s="11" t="s">
        <v>10157</v>
      </c>
      <c r="G2462" s="7" t="s">
        <v>10164</v>
      </c>
      <c r="I2462" s="17">
        <v>27395</v>
      </c>
      <c r="K2462" s="4">
        <v>500</v>
      </c>
      <c r="L2462" s="11" t="s">
        <v>10163</v>
      </c>
      <c r="M2462" s="11" t="s">
        <v>2168</v>
      </c>
      <c r="O2462" s="4" t="s">
        <v>19</v>
      </c>
      <c r="P2462" s="4" t="s">
        <v>19</v>
      </c>
      <c r="Q2462" s="4" t="s">
        <v>19</v>
      </c>
      <c r="R2462" s="4" t="s">
        <v>10166</v>
      </c>
    </row>
    <row r="2463" spans="1:18" x14ac:dyDescent="0.3">
      <c r="A2463" t="s">
        <v>10180</v>
      </c>
      <c r="C2463" s="3">
        <v>46060</v>
      </c>
      <c r="D2463" s="11" t="s">
        <v>10181</v>
      </c>
      <c r="E2463" s="11" t="s">
        <v>10224</v>
      </c>
      <c r="F2463" s="11" t="s">
        <v>10213</v>
      </c>
      <c r="G2463" s="7" t="s">
        <v>10182</v>
      </c>
      <c r="I2463" s="17">
        <v>35467</v>
      </c>
      <c r="K2463" s="4">
        <v>1000</v>
      </c>
      <c r="L2463" s="11" t="s">
        <v>10223</v>
      </c>
      <c r="M2463" s="11" t="s">
        <v>10183</v>
      </c>
      <c r="O2463" s="4" t="s">
        <v>19</v>
      </c>
      <c r="P2463" s="4" t="s">
        <v>19</v>
      </c>
      <c r="Q2463" s="4" t="s">
        <v>19</v>
      </c>
    </row>
    <row r="2464" spans="1:18" x14ac:dyDescent="0.3">
      <c r="A2464" t="s">
        <v>10196</v>
      </c>
      <c r="C2464" s="3">
        <v>46065</v>
      </c>
      <c r="D2464" s="11" t="s">
        <v>10197</v>
      </c>
      <c r="E2464" s="11" t="s">
        <v>10225</v>
      </c>
      <c r="F2464" s="11" t="s">
        <v>10212</v>
      </c>
      <c r="G2464" s="7" t="s">
        <v>10198</v>
      </c>
      <c r="I2464" s="17">
        <v>37987</v>
      </c>
      <c r="K2464" s="4">
        <v>500</v>
      </c>
      <c r="L2464" s="11" t="s">
        <v>10199</v>
      </c>
      <c r="M2464" s="11" t="s">
        <v>10200</v>
      </c>
      <c r="O2464" s="4" t="s">
        <v>19</v>
      </c>
      <c r="P2464" s="4" t="s">
        <v>19</v>
      </c>
      <c r="Q2464" s="4" t="s">
        <v>19</v>
      </c>
    </row>
    <row r="2465" spans="1:18" x14ac:dyDescent="0.3">
      <c r="A2465" t="s">
        <v>10205</v>
      </c>
      <c r="C2465" s="3">
        <v>46065</v>
      </c>
      <c r="D2465" s="11" t="s">
        <v>10206</v>
      </c>
      <c r="E2465" s="11" t="s">
        <v>10278</v>
      </c>
      <c r="F2465" s="11" t="s">
        <v>10212</v>
      </c>
      <c r="G2465" s="7" t="s">
        <v>10207</v>
      </c>
      <c r="K2465" s="4">
        <v>500</v>
      </c>
      <c r="L2465" s="11" t="s">
        <v>10259</v>
      </c>
      <c r="M2465" s="11" t="s">
        <v>10208</v>
      </c>
      <c r="O2465" s="4" t="s">
        <v>19</v>
      </c>
      <c r="P2465" s="4" t="s">
        <v>19</v>
      </c>
      <c r="Q2465" s="4" t="s">
        <v>19</v>
      </c>
    </row>
    <row r="2466" spans="1:18" x14ac:dyDescent="0.3">
      <c r="A2466" t="s">
        <v>10217</v>
      </c>
      <c r="C2466" s="3">
        <v>46070</v>
      </c>
      <c r="D2466" s="11" t="s">
        <v>10221</v>
      </c>
      <c r="E2466" s="11" t="s">
        <v>10233</v>
      </c>
      <c r="F2466" s="11" t="s">
        <v>7673</v>
      </c>
      <c r="G2466" s="7" t="s">
        <v>10218</v>
      </c>
      <c r="I2466" s="17">
        <v>39755</v>
      </c>
      <c r="K2466" s="4">
        <v>500</v>
      </c>
      <c r="L2466" s="11" t="s">
        <v>10219</v>
      </c>
      <c r="M2466" s="11" t="s">
        <v>10220</v>
      </c>
      <c r="O2466" s="4" t="s">
        <v>19</v>
      </c>
      <c r="P2466" s="4" t="s">
        <v>19</v>
      </c>
      <c r="Q2466" s="4" t="s">
        <v>19</v>
      </c>
    </row>
    <row r="2467" spans="1:18" x14ac:dyDescent="0.3">
      <c r="A2467" t="s">
        <v>10226</v>
      </c>
      <c r="C2467" s="3">
        <v>46071</v>
      </c>
      <c r="D2467" s="11" t="s">
        <v>10230</v>
      </c>
      <c r="E2467" s="11" t="s">
        <v>10233</v>
      </c>
      <c r="F2467" s="11" t="s">
        <v>7673</v>
      </c>
      <c r="G2467" s="7" t="s">
        <v>10229</v>
      </c>
      <c r="I2467" s="17">
        <v>36262</v>
      </c>
      <c r="K2467" s="4">
        <v>8000</v>
      </c>
      <c r="L2467" s="11" t="s">
        <v>10227</v>
      </c>
      <c r="M2467" s="11" t="s">
        <v>8047</v>
      </c>
      <c r="O2467" s="4" t="s">
        <v>16</v>
      </c>
      <c r="P2467" s="4" t="s">
        <v>19</v>
      </c>
      <c r="Q2467" s="4" t="s">
        <v>19</v>
      </c>
      <c r="R2467" s="4" t="s">
        <v>10228</v>
      </c>
    </row>
    <row r="2468" spans="1:18" x14ac:dyDescent="0.3">
      <c r="A2468" t="s">
        <v>10250</v>
      </c>
      <c r="C2468" s="3">
        <v>46077</v>
      </c>
      <c r="D2468" s="11" t="s">
        <v>10253</v>
      </c>
      <c r="E2468" s="11" t="s">
        <v>10275</v>
      </c>
      <c r="F2468" s="11" t="s">
        <v>10264</v>
      </c>
      <c r="G2468" s="7" t="s">
        <v>10257</v>
      </c>
      <c r="I2468" s="17">
        <v>34104</v>
      </c>
      <c r="K2468" s="4">
        <v>2000</v>
      </c>
      <c r="L2468" s="11" t="s">
        <v>10254</v>
      </c>
      <c r="M2468" s="11" t="s">
        <v>10255</v>
      </c>
      <c r="O2468" s="4" t="s">
        <v>19</v>
      </c>
      <c r="P2468" s="4" t="s">
        <v>16</v>
      </c>
      <c r="Q2468" s="4" t="s">
        <v>19</v>
      </c>
      <c r="R2468" s="4" t="s">
        <v>10256</v>
      </c>
    </row>
    <row r="2469" spans="1:18" x14ac:dyDescent="0.3">
      <c r="A2469" t="s">
        <v>10271</v>
      </c>
      <c r="C2469" s="3">
        <v>46080</v>
      </c>
      <c r="D2469" s="11" t="s">
        <v>10272</v>
      </c>
      <c r="E2469" s="11" t="s">
        <v>10414</v>
      </c>
      <c r="F2469" s="11" t="s">
        <v>10275</v>
      </c>
      <c r="G2469" s="7" t="s">
        <v>10274</v>
      </c>
      <c r="K2469" s="4">
        <v>500</v>
      </c>
      <c r="M2469" s="11" t="s">
        <v>10273</v>
      </c>
      <c r="O2469" s="4" t="s">
        <v>19</v>
      </c>
      <c r="P2469" s="4" t="s">
        <v>16</v>
      </c>
      <c r="Q2469" s="4" t="s">
        <v>19</v>
      </c>
      <c r="R2469" s="4" t="s">
        <v>16</v>
      </c>
    </row>
    <row r="2470" spans="1:18" x14ac:dyDescent="0.3">
      <c r="A2470" t="s">
        <v>10333</v>
      </c>
      <c r="C2470" s="3">
        <v>46099</v>
      </c>
      <c r="D2470" s="11" t="s">
        <v>10334</v>
      </c>
      <c r="E2470" s="11" t="s">
        <v>10548</v>
      </c>
      <c r="F2470" s="11" t="s">
        <v>10353</v>
      </c>
      <c r="G2470" s="7" t="s">
        <v>10335</v>
      </c>
      <c r="I2470" s="17">
        <v>41375</v>
      </c>
      <c r="K2470" s="4">
        <v>1500</v>
      </c>
      <c r="L2470" s="11" t="s">
        <v>10336</v>
      </c>
      <c r="M2470" s="11" t="s">
        <v>10337</v>
      </c>
      <c r="O2470" s="4" t="s">
        <v>19</v>
      </c>
      <c r="P2470" s="4" t="s">
        <v>16</v>
      </c>
      <c r="Q2470" s="4" t="s">
        <v>19</v>
      </c>
      <c r="R2470" s="4" t="s">
        <v>19</v>
      </c>
    </row>
    <row r="2471" spans="1:18" x14ac:dyDescent="0.3">
      <c r="A2471" t="s">
        <v>10347</v>
      </c>
      <c r="C2471" s="3">
        <v>46104</v>
      </c>
      <c r="D2471" s="11" t="s">
        <v>10348</v>
      </c>
      <c r="E2471" s="11" t="s">
        <v>10352</v>
      </c>
      <c r="F2471" s="11" t="s">
        <v>10352</v>
      </c>
      <c r="G2471" s="7" t="s">
        <v>10350</v>
      </c>
      <c r="I2471" s="17">
        <v>30317</v>
      </c>
      <c r="K2471" s="4">
        <v>500</v>
      </c>
      <c r="L2471" s="11" t="s">
        <v>10351</v>
      </c>
      <c r="M2471" s="11" t="s">
        <v>10349</v>
      </c>
      <c r="O2471" s="4" t="s">
        <v>19</v>
      </c>
      <c r="P2471" s="4" t="s">
        <v>16</v>
      </c>
      <c r="Q2471" s="4" t="s">
        <v>19</v>
      </c>
    </row>
    <row r="2472" spans="1:18" x14ac:dyDescent="0.3">
      <c r="A2472" t="s">
        <v>10383</v>
      </c>
      <c r="C2472" s="3">
        <v>46114</v>
      </c>
      <c r="D2472" s="11" t="s">
        <v>10388</v>
      </c>
      <c r="E2472" s="11" t="s">
        <v>10462</v>
      </c>
      <c r="F2472" s="11" t="s">
        <v>10413</v>
      </c>
      <c r="G2472" s="7" t="s">
        <v>10392</v>
      </c>
      <c r="I2472" s="17">
        <v>24473</v>
      </c>
      <c r="K2472" s="4">
        <v>500</v>
      </c>
      <c r="L2472" s="11" t="s">
        <v>10393</v>
      </c>
      <c r="M2472" s="11" t="s">
        <v>10387</v>
      </c>
      <c r="O2472" s="4" t="s">
        <v>16</v>
      </c>
      <c r="P2472" s="4" t="s">
        <v>16</v>
      </c>
      <c r="Q2472" s="4" t="s">
        <v>19</v>
      </c>
      <c r="R2472" s="4" t="s">
        <v>10394</v>
      </c>
    </row>
    <row r="2473" spans="1:18" x14ac:dyDescent="0.3">
      <c r="A2473" t="s">
        <v>10386</v>
      </c>
      <c r="C2473" s="3">
        <v>46114</v>
      </c>
      <c r="D2473" s="11" t="s">
        <v>10389</v>
      </c>
      <c r="E2473" s="11" t="s">
        <v>10462</v>
      </c>
      <c r="F2473" s="11" t="s">
        <v>10413</v>
      </c>
      <c r="G2473" s="7" t="s">
        <v>10390</v>
      </c>
      <c r="I2473" s="17">
        <v>22051</v>
      </c>
      <c r="K2473" s="4">
        <v>500</v>
      </c>
      <c r="L2473" s="11" t="s">
        <v>10391</v>
      </c>
      <c r="M2473" s="11" t="s">
        <v>10387</v>
      </c>
      <c r="O2473" s="4" t="s">
        <v>16</v>
      </c>
      <c r="P2473" s="4" t="s">
        <v>16</v>
      </c>
      <c r="Q2473" s="4" t="s">
        <v>19</v>
      </c>
      <c r="R2473" s="4" t="s">
        <v>19</v>
      </c>
    </row>
    <row r="2474" spans="1:18" x14ac:dyDescent="0.3">
      <c r="A2474" t="s">
        <v>10403</v>
      </c>
      <c r="C2474" s="3">
        <v>46118</v>
      </c>
      <c r="D2474" s="11" t="s">
        <v>10407</v>
      </c>
      <c r="E2474" s="11" t="s">
        <v>10410</v>
      </c>
      <c r="F2474" s="11" t="s">
        <v>10410</v>
      </c>
      <c r="G2474" s="7" t="s">
        <v>10419</v>
      </c>
      <c r="I2474" s="17">
        <v>24838</v>
      </c>
      <c r="K2474" s="4">
        <v>2000</v>
      </c>
      <c r="L2474" s="11" t="s">
        <v>10416</v>
      </c>
      <c r="M2474" s="11" t="s">
        <v>10420</v>
      </c>
      <c r="O2474" s="4" t="s">
        <v>16</v>
      </c>
      <c r="P2474" s="4" t="s">
        <v>19</v>
      </c>
      <c r="Q2474" s="4" t="s">
        <v>19</v>
      </c>
      <c r="R2474" s="4" t="s">
        <v>10415</v>
      </c>
    </row>
    <row r="2475" spans="1:18" x14ac:dyDescent="0.3">
      <c r="A2475" t="s">
        <v>10404</v>
      </c>
      <c r="C2475" s="3">
        <v>46118</v>
      </c>
      <c r="D2475" s="11" t="s">
        <v>10408</v>
      </c>
      <c r="E2475" s="11" t="s">
        <v>10410</v>
      </c>
      <c r="F2475" s="11" t="s">
        <v>10410</v>
      </c>
      <c r="G2475" s="7" t="s">
        <v>10409</v>
      </c>
      <c r="I2475" s="17">
        <v>24838</v>
      </c>
      <c r="K2475" s="4">
        <v>2000</v>
      </c>
      <c r="L2475" s="11" t="s">
        <v>10412</v>
      </c>
      <c r="M2475" s="11" t="s">
        <v>10411</v>
      </c>
      <c r="O2475" s="4" t="s">
        <v>16</v>
      </c>
      <c r="P2475" s="4" t="s">
        <v>19</v>
      </c>
      <c r="Q2475" s="4" t="s">
        <v>19</v>
      </c>
      <c r="R2475" s="4" t="s">
        <v>10417</v>
      </c>
    </row>
    <row r="2476" spans="1:18" x14ac:dyDescent="0.3">
      <c r="A2476" t="s">
        <v>10431</v>
      </c>
      <c r="C2476" s="3">
        <v>46121</v>
      </c>
      <c r="D2476" s="11" t="s">
        <v>10436</v>
      </c>
      <c r="E2476" s="11" t="s">
        <v>10453</v>
      </c>
      <c r="F2476" s="11" t="s">
        <v>10452</v>
      </c>
      <c r="G2476" s="7" t="s">
        <v>10432</v>
      </c>
      <c r="I2476" s="17">
        <v>24902</v>
      </c>
      <c r="K2476" s="4">
        <v>2000</v>
      </c>
      <c r="L2476" s="11" t="s">
        <v>10433</v>
      </c>
      <c r="M2476" s="11" t="s">
        <v>10434</v>
      </c>
      <c r="O2476" s="4" t="s">
        <v>16</v>
      </c>
      <c r="P2476" s="4" t="s">
        <v>19</v>
      </c>
      <c r="Q2476" s="4" t="s">
        <v>19</v>
      </c>
      <c r="R2476" s="4" t="s">
        <v>10435</v>
      </c>
    </row>
    <row r="2477" spans="1:18" x14ac:dyDescent="0.3">
      <c r="A2477" t="s">
        <v>10446</v>
      </c>
      <c r="C2477" s="3">
        <v>46122</v>
      </c>
      <c r="D2477" s="11" t="s">
        <v>10447</v>
      </c>
      <c r="E2477" s="11" t="s">
        <v>10492</v>
      </c>
      <c r="F2477" s="11" t="s">
        <v>10493</v>
      </c>
      <c r="G2477" s="7" t="s">
        <v>10448</v>
      </c>
      <c r="I2477" s="17">
        <v>41358</v>
      </c>
      <c r="K2477" s="4">
        <v>500</v>
      </c>
      <c r="L2477" s="11" t="s">
        <v>10454</v>
      </c>
      <c r="M2477" s="11" t="s">
        <v>9896</v>
      </c>
      <c r="O2477" s="4" t="s">
        <v>19</v>
      </c>
      <c r="P2477" s="4" t="s">
        <v>19</v>
      </c>
      <c r="Q2477" s="4" t="s">
        <v>19</v>
      </c>
    </row>
    <row r="2478" spans="1:18" x14ac:dyDescent="0.3">
      <c r="A2478" t="s">
        <v>10467</v>
      </c>
      <c r="C2478" s="3">
        <v>46125</v>
      </c>
      <c r="D2478" s="11" t="s">
        <v>10468</v>
      </c>
      <c r="E2478" s="11" t="s">
        <v>10483</v>
      </c>
      <c r="F2478" s="11" t="s">
        <v>10482</v>
      </c>
      <c r="G2478" s="7" t="s">
        <v>10469</v>
      </c>
      <c r="I2478" s="17">
        <v>25569</v>
      </c>
      <c r="K2478" s="4">
        <v>1000</v>
      </c>
      <c r="L2478" s="11" t="s">
        <v>10470</v>
      </c>
      <c r="M2478" s="11" t="s">
        <v>10471</v>
      </c>
      <c r="O2478" s="4" t="s">
        <v>19</v>
      </c>
      <c r="P2478" s="4" t="s">
        <v>19</v>
      </c>
      <c r="Q2478" s="4" t="s">
        <v>19</v>
      </c>
    </row>
    <row r="2479" spans="1:18" x14ac:dyDescent="0.3">
      <c r="A2479" t="s">
        <v>10474</v>
      </c>
      <c r="C2479" s="3">
        <v>46126</v>
      </c>
      <c r="D2479" s="11" t="s">
        <v>10480</v>
      </c>
      <c r="E2479" s="11" t="s">
        <v>10492</v>
      </c>
      <c r="F2479" s="11" t="s">
        <v>10515</v>
      </c>
      <c r="G2479" s="7" t="s">
        <v>4463</v>
      </c>
      <c r="I2479" s="17">
        <v>35070</v>
      </c>
      <c r="K2479" s="4">
        <v>2000</v>
      </c>
      <c r="L2479" s="11" t="s">
        <v>10475</v>
      </c>
      <c r="M2479" s="11" t="s">
        <v>10476</v>
      </c>
      <c r="O2479" s="4" t="s">
        <v>16</v>
      </c>
      <c r="P2479" s="4" t="s">
        <v>16</v>
      </c>
      <c r="Q2479" s="4" t="s">
        <v>19</v>
      </c>
      <c r="R2479" s="4" t="s">
        <v>10477</v>
      </c>
    </row>
    <row r="2480" spans="1:18" x14ac:dyDescent="0.3">
      <c r="A2480" t="s">
        <v>10495</v>
      </c>
      <c r="C2480" s="3">
        <v>45763</v>
      </c>
      <c r="D2480" s="11" t="s">
        <v>10498</v>
      </c>
      <c r="E2480" s="11" t="s">
        <v>10525</v>
      </c>
      <c r="F2480" s="11" t="s">
        <v>10515</v>
      </c>
      <c r="G2480" s="7" t="s">
        <v>10501</v>
      </c>
      <c r="I2480" s="17">
        <v>33128</v>
      </c>
      <c r="K2480" s="4">
        <v>2000</v>
      </c>
      <c r="L2480" s="11" t="s">
        <v>10502</v>
      </c>
      <c r="M2480" s="11" t="s">
        <v>10524</v>
      </c>
      <c r="O2480" s="4" t="s">
        <v>16</v>
      </c>
      <c r="P2480" s="4" t="s">
        <v>19</v>
      </c>
      <c r="Q2480" s="4" t="s">
        <v>19</v>
      </c>
      <c r="R2480" s="4" t="s">
        <v>10503</v>
      </c>
    </row>
    <row r="2481" spans="1:18" x14ac:dyDescent="0.3">
      <c r="A2481" t="s">
        <v>10499</v>
      </c>
      <c r="C2481" s="3">
        <v>46129</v>
      </c>
      <c r="D2481" s="11" t="s">
        <v>10500</v>
      </c>
      <c r="E2481" s="11" t="s">
        <v>10515</v>
      </c>
      <c r="F2481" s="11" t="s">
        <v>10515</v>
      </c>
      <c r="G2481" s="7" t="s">
        <v>10506</v>
      </c>
      <c r="I2481" s="17">
        <v>40041</v>
      </c>
      <c r="K2481" s="4">
        <v>500</v>
      </c>
      <c r="L2481" s="11" t="s">
        <v>10507</v>
      </c>
      <c r="M2481" s="11" t="s">
        <v>10504</v>
      </c>
      <c r="N2481" s="11" t="s">
        <v>10505</v>
      </c>
      <c r="O2481" s="4" t="s">
        <v>19</v>
      </c>
      <c r="P2481" s="4" t="s">
        <v>19</v>
      </c>
      <c r="Q2481" s="4" t="s">
        <v>19</v>
      </c>
    </row>
    <row r="2482" spans="1:18" x14ac:dyDescent="0.3">
      <c r="A2482" t="s">
        <v>10513</v>
      </c>
      <c r="C2482" s="3">
        <v>46129</v>
      </c>
      <c r="D2482" s="11" t="s">
        <v>10518</v>
      </c>
      <c r="E2482" s="11" t="s">
        <v>10550</v>
      </c>
      <c r="F2482" s="11" t="s">
        <v>10531</v>
      </c>
      <c r="G2482" s="7" t="s">
        <v>10551</v>
      </c>
      <c r="I2482" s="17">
        <v>41187</v>
      </c>
      <c r="K2482" s="4">
        <v>500</v>
      </c>
      <c r="L2482" s="11" t="s">
        <v>10552</v>
      </c>
      <c r="M2482" s="11" t="s">
        <v>10514</v>
      </c>
      <c r="O2482" s="4" t="s">
        <v>16</v>
      </c>
      <c r="P2482" s="4" t="s">
        <v>19</v>
      </c>
      <c r="Q2482" s="4" t="s">
        <v>19</v>
      </c>
    </row>
    <row r="2483" spans="1:18" x14ac:dyDescent="0.3">
      <c r="A2483" t="s">
        <v>10516</v>
      </c>
      <c r="C2483" s="3">
        <v>46129</v>
      </c>
      <c r="D2483" s="11" t="s">
        <v>10520</v>
      </c>
      <c r="E2483" s="11" t="s">
        <v>10566</v>
      </c>
      <c r="F2483" s="11" t="s">
        <v>10531</v>
      </c>
      <c r="G2483" s="7" t="s">
        <v>10564</v>
      </c>
      <c r="I2483" s="17">
        <v>41318</v>
      </c>
      <c r="K2483" s="4">
        <v>500</v>
      </c>
      <c r="L2483" s="11" t="s">
        <v>10565</v>
      </c>
      <c r="M2483" s="11" t="s">
        <v>1456</v>
      </c>
      <c r="O2483" s="4" t="s">
        <v>16</v>
      </c>
      <c r="P2483" s="4" t="s">
        <v>19</v>
      </c>
      <c r="Q2483" s="4" t="s">
        <v>19</v>
      </c>
    </row>
    <row r="2484" spans="1:18" x14ac:dyDescent="0.3">
      <c r="A2484" t="s">
        <v>10526</v>
      </c>
      <c r="C2484" s="3">
        <v>46132</v>
      </c>
      <c r="D2484" s="11" t="s">
        <v>10530</v>
      </c>
      <c r="E2484" s="11" t="s">
        <v>10541</v>
      </c>
      <c r="F2484" s="11" t="s">
        <v>10541</v>
      </c>
      <c r="G2484" s="7" t="s">
        <v>10527</v>
      </c>
      <c r="I2484" s="17">
        <v>39439</v>
      </c>
      <c r="K2484" s="4">
        <v>500</v>
      </c>
      <c r="L2484" s="11" t="s">
        <v>10528</v>
      </c>
      <c r="M2484" s="11" t="s">
        <v>10529</v>
      </c>
      <c r="O2484" s="4" t="s">
        <v>19</v>
      </c>
      <c r="P2484" s="4" t="s">
        <v>19</v>
      </c>
      <c r="Q2484" s="4" t="s">
        <v>19</v>
      </c>
    </row>
    <row r="2485" spans="1:18" x14ac:dyDescent="0.3">
      <c r="A2485" t="s">
        <v>10532</v>
      </c>
      <c r="C2485" s="3">
        <v>46133</v>
      </c>
      <c r="D2485" s="11" t="s">
        <v>10534</v>
      </c>
      <c r="E2485" s="11" t="s">
        <v>10566</v>
      </c>
      <c r="F2485" s="11" t="s">
        <v>10541</v>
      </c>
      <c r="G2485" s="7" t="s">
        <v>10535</v>
      </c>
      <c r="K2485" s="4">
        <v>500</v>
      </c>
      <c r="L2485" s="11" t="s">
        <v>10542</v>
      </c>
      <c r="M2485" s="11" t="s">
        <v>10543</v>
      </c>
      <c r="O2485" s="4" t="s">
        <v>19</v>
      </c>
      <c r="P2485" s="4" t="s">
        <v>19</v>
      </c>
      <c r="Q2485" s="4" t="s">
        <v>19</v>
      </c>
    </row>
    <row r="2486" spans="1:18" x14ac:dyDescent="0.3">
      <c r="A2486" t="s">
        <v>10554</v>
      </c>
      <c r="C2486" s="3">
        <v>46138</v>
      </c>
      <c r="D2486" s="11" t="s">
        <v>10556</v>
      </c>
      <c r="E2486" s="11" t="s">
        <v>10566</v>
      </c>
      <c r="F2486" s="11" t="s">
        <v>10577</v>
      </c>
      <c r="G2486" s="7" t="s">
        <v>10571</v>
      </c>
      <c r="I2486" s="47" t="s">
        <v>10572</v>
      </c>
      <c r="K2486" s="4">
        <v>500</v>
      </c>
      <c r="L2486" s="11" t="s">
        <v>10573</v>
      </c>
      <c r="M2486" s="11" t="s">
        <v>10574</v>
      </c>
    </row>
    <row r="2487" spans="1:18" x14ac:dyDescent="0.3">
      <c r="A2487" t="s">
        <v>10555</v>
      </c>
      <c r="C2487" s="3">
        <v>46138</v>
      </c>
      <c r="D2487" s="11" t="s">
        <v>10557</v>
      </c>
      <c r="F2487" s="11" t="s">
        <v>10577</v>
      </c>
      <c r="G2487" s="7" t="s">
        <v>10558</v>
      </c>
      <c r="I2487" s="17">
        <v>39470</v>
      </c>
      <c r="K2487" s="4">
        <v>2000</v>
      </c>
      <c r="M2487" s="11" t="s">
        <v>10559</v>
      </c>
    </row>
    <row r="2488" spans="1:18" x14ac:dyDescent="0.3">
      <c r="A2488" t="s">
        <v>10567</v>
      </c>
      <c r="C2488" s="3">
        <v>46139</v>
      </c>
      <c r="D2488" s="11" t="s">
        <v>10568</v>
      </c>
      <c r="E2488" s="11" t="s">
        <v>10576</v>
      </c>
      <c r="F2488" s="11" t="s">
        <v>10576</v>
      </c>
      <c r="G2488" s="7" t="s">
        <v>10569</v>
      </c>
      <c r="I2488" s="17">
        <v>19793</v>
      </c>
      <c r="K2488" s="4">
        <v>200</v>
      </c>
      <c r="L2488" s="11" t="s">
        <v>10570</v>
      </c>
      <c r="M2488" s="11" t="s">
        <v>10575</v>
      </c>
    </row>
    <row r="2489" spans="1:18" x14ac:dyDescent="0.3">
      <c r="A2489" t="s">
        <v>10591</v>
      </c>
      <c r="C2489" s="3">
        <v>46147</v>
      </c>
      <c r="D2489" s="11" t="s">
        <v>10592</v>
      </c>
      <c r="E2489" s="11" t="s">
        <v>10603</v>
      </c>
      <c r="F2489" s="11" t="s">
        <v>10604</v>
      </c>
      <c r="G2489" s="7" t="s">
        <v>10595</v>
      </c>
      <c r="I2489" s="17">
        <v>31547</v>
      </c>
      <c r="K2489" s="4">
        <v>2000</v>
      </c>
      <c r="L2489" s="11" t="s">
        <v>10596</v>
      </c>
      <c r="M2489" s="11" t="s">
        <v>10597</v>
      </c>
      <c r="O2489" s="4" t="s">
        <v>19</v>
      </c>
      <c r="P2489" s="4" t="s">
        <v>19</v>
      </c>
      <c r="Q2489" s="4" t="s">
        <v>19</v>
      </c>
      <c r="R2489" s="4" t="s">
        <v>10598</v>
      </c>
    </row>
    <row r="2490" spans="1:18" x14ac:dyDescent="0.3">
      <c r="A2490" t="s">
        <v>10624</v>
      </c>
      <c r="C2490" s="3">
        <v>46151</v>
      </c>
      <c r="D2490" s="11" t="s">
        <v>10625</v>
      </c>
      <c r="E2490" s="11" t="s">
        <v>10642</v>
      </c>
      <c r="F2490" s="11" t="s">
        <v>10641</v>
      </c>
      <c r="G2490" s="7" t="s">
        <v>10631</v>
      </c>
      <c r="I2490" s="17">
        <v>40915</v>
      </c>
      <c r="K2490" s="4">
        <v>500</v>
      </c>
      <c r="L2490" s="11" t="s">
        <v>10638</v>
      </c>
      <c r="M2490" s="11" t="s">
        <v>10626</v>
      </c>
      <c r="O2490" s="4" t="s">
        <v>19</v>
      </c>
      <c r="P2490" s="4" t="s">
        <v>19</v>
      </c>
      <c r="Q2490" s="4" t="s">
        <v>19</v>
      </c>
      <c r="R2490" s="4" t="s">
        <v>19</v>
      </c>
    </row>
    <row r="2491" spans="1:18" x14ac:dyDescent="0.3">
      <c r="A2491" t="s">
        <v>10629</v>
      </c>
      <c r="C2491" s="3">
        <v>46151</v>
      </c>
      <c r="D2491" s="11" t="s">
        <v>10630</v>
      </c>
      <c r="E2491" s="11" t="s">
        <v>10642</v>
      </c>
      <c r="F2491" s="11" t="s">
        <v>10641</v>
      </c>
      <c r="G2491" s="7" t="s">
        <v>10640</v>
      </c>
      <c r="I2491" s="17">
        <v>40816</v>
      </c>
      <c r="K2491" s="4">
        <v>500</v>
      </c>
      <c r="L2491" s="11" t="s">
        <v>10639</v>
      </c>
      <c r="M2491" s="11" t="s">
        <v>10626</v>
      </c>
      <c r="O2491" s="4" t="s">
        <v>19</v>
      </c>
      <c r="P2491" s="4" t="s">
        <v>19</v>
      </c>
      <c r="Q2491" s="4" t="s">
        <v>19</v>
      </c>
      <c r="R2491" s="4" t="s">
        <v>19</v>
      </c>
    </row>
    <row r="2492" spans="1:18" x14ac:dyDescent="0.3">
      <c r="A2492" t="s">
        <v>10656</v>
      </c>
      <c r="C2492" s="3">
        <v>46167</v>
      </c>
      <c r="D2492" s="11" t="s">
        <v>10658</v>
      </c>
      <c r="E2492" s="11" t="s">
        <v>10686</v>
      </c>
      <c r="F2492" s="11" t="s">
        <v>10665</v>
      </c>
      <c r="G2492" s="7" t="s">
        <v>10664</v>
      </c>
      <c r="K2492" s="4">
        <v>500</v>
      </c>
      <c r="L2492" s="11" t="s">
        <v>10666</v>
      </c>
      <c r="M2492" s="11" t="s">
        <v>10657</v>
      </c>
      <c r="O2492" s="4" t="s">
        <v>19</v>
      </c>
      <c r="P2492" s="4" t="s">
        <v>19</v>
      </c>
      <c r="Q2492" s="4" t="s">
        <v>19</v>
      </c>
    </row>
    <row r="2493" spans="1:18" x14ac:dyDescent="0.3">
      <c r="A2493" t="s">
        <v>10659</v>
      </c>
      <c r="C2493" s="3">
        <v>46168</v>
      </c>
      <c r="D2493" s="11" t="s">
        <v>10660</v>
      </c>
      <c r="E2493" s="11" t="s">
        <v>10685</v>
      </c>
      <c r="F2493" s="11" t="s">
        <v>10665</v>
      </c>
      <c r="G2493" s="7" t="s">
        <v>10661</v>
      </c>
      <c r="I2493" s="17">
        <v>38387</v>
      </c>
      <c r="K2493" s="4">
        <v>500</v>
      </c>
      <c r="L2493" s="11" t="s">
        <v>10663</v>
      </c>
      <c r="M2493" s="11" t="s">
        <v>10662</v>
      </c>
      <c r="O2493" s="4" t="s">
        <v>19</v>
      </c>
      <c r="P2493" s="4" t="s">
        <v>19</v>
      </c>
      <c r="Q2493" s="4" t="s">
        <v>19</v>
      </c>
    </row>
    <row r="2494" spans="1:18" x14ac:dyDescent="0.3">
      <c r="A2494" t="s">
        <v>10667</v>
      </c>
      <c r="C2494" s="3">
        <v>46168</v>
      </c>
      <c r="D2494" s="11" t="s">
        <v>10671</v>
      </c>
      <c r="E2494" s="11" t="s">
        <v>10685</v>
      </c>
      <c r="F2494" s="11" t="s">
        <v>10673</v>
      </c>
      <c r="G2494" s="7" t="s">
        <v>3960</v>
      </c>
      <c r="I2494" s="17">
        <v>34579</v>
      </c>
      <c r="K2494" s="4">
        <v>500</v>
      </c>
      <c r="L2494" s="11" t="s">
        <v>10672</v>
      </c>
      <c r="M2494" s="11" t="s">
        <v>10668</v>
      </c>
      <c r="O2494" s="4" t="s">
        <v>19</v>
      </c>
      <c r="P2494" s="4" t="s">
        <v>19</v>
      </c>
      <c r="Q2494" s="4" t="s">
        <v>19</v>
      </c>
    </row>
    <row r="2495" spans="1:18" x14ac:dyDescent="0.3">
      <c r="A2495" t="s">
        <v>10677</v>
      </c>
      <c r="C2495" s="3">
        <v>46178</v>
      </c>
      <c r="D2495" s="11" t="s">
        <v>10678</v>
      </c>
      <c r="E2495" s="11" t="s">
        <v>10688</v>
      </c>
      <c r="F2495" s="11" t="s">
        <v>10689</v>
      </c>
      <c r="G2495" s="7" t="s">
        <v>10679</v>
      </c>
      <c r="I2495" s="17">
        <v>38554</v>
      </c>
      <c r="K2495" s="4">
        <v>500</v>
      </c>
      <c r="L2495" s="11" t="s">
        <v>10680</v>
      </c>
      <c r="M2495" s="11" t="s">
        <v>10687</v>
      </c>
      <c r="O2495" s="4" t="s">
        <v>19</v>
      </c>
      <c r="P2495" s="4" t="s">
        <v>19</v>
      </c>
      <c r="Q2495" s="4" t="s">
        <v>19</v>
      </c>
      <c r="R2495" s="4" t="s">
        <v>10681</v>
      </c>
    </row>
    <row r="2496" spans="1:18" x14ac:dyDescent="0.3">
      <c r="A2496" t="s">
        <v>10690</v>
      </c>
      <c r="C2496" s="3">
        <v>46179</v>
      </c>
      <c r="D2496" s="11" t="s">
        <v>10694</v>
      </c>
      <c r="E2496" s="11" t="s">
        <v>10701</v>
      </c>
      <c r="F2496" s="11" t="s">
        <v>10701</v>
      </c>
      <c r="G2496" s="7" t="s">
        <v>10693</v>
      </c>
      <c r="I2496" s="17">
        <v>29952</v>
      </c>
      <c r="K2496" s="4">
        <v>2000</v>
      </c>
      <c r="L2496" s="11" t="s">
        <v>10692</v>
      </c>
      <c r="M2496" s="11" t="s">
        <v>10691</v>
      </c>
      <c r="O2496" s="4" t="s">
        <v>19</v>
      </c>
      <c r="P2496" s="4" t="s">
        <v>19</v>
      </c>
      <c r="Q2496" s="4" t="s">
        <v>19</v>
      </c>
    </row>
    <row r="2497" spans="1:18" x14ac:dyDescent="0.3">
      <c r="A2497" t="s">
        <v>10696</v>
      </c>
      <c r="C2497" s="3">
        <v>46181</v>
      </c>
      <c r="D2497" s="11" t="s">
        <v>10697</v>
      </c>
      <c r="E2497" s="11" t="s">
        <v>10738</v>
      </c>
      <c r="F2497" s="11" t="s">
        <v>10701</v>
      </c>
      <c r="G2497" s="7" t="s">
        <v>10698</v>
      </c>
      <c r="I2497" s="17">
        <v>39477</v>
      </c>
      <c r="K2497" s="4">
        <v>1000</v>
      </c>
      <c r="L2497" s="11" t="s">
        <v>10699</v>
      </c>
      <c r="M2497" s="11" t="s">
        <v>10700</v>
      </c>
      <c r="O2497" s="4" t="s">
        <v>19</v>
      </c>
      <c r="P2497" s="4" t="s">
        <v>19</v>
      </c>
      <c r="Q2497" s="4" t="s">
        <v>19</v>
      </c>
    </row>
    <row r="2498" spans="1:18" x14ac:dyDescent="0.3">
      <c r="A2498" t="s">
        <v>10702</v>
      </c>
      <c r="C2498" s="3">
        <v>46181</v>
      </c>
      <c r="D2498" s="11" t="s">
        <v>10707</v>
      </c>
      <c r="E2498" s="11" t="s">
        <v>10727</v>
      </c>
      <c r="F2498" s="11" t="s">
        <v>10701</v>
      </c>
      <c r="G2498" s="7" t="s">
        <v>10703</v>
      </c>
      <c r="I2498" s="17">
        <v>26157</v>
      </c>
      <c r="K2498" s="4">
        <v>5000</v>
      </c>
      <c r="L2498" s="11" t="s">
        <v>10706</v>
      </c>
      <c r="M2498" s="11" t="s">
        <v>10704</v>
      </c>
      <c r="O2498" s="4" t="s">
        <v>19</v>
      </c>
      <c r="P2498" s="4" t="s">
        <v>19</v>
      </c>
      <c r="Q2498" s="4" t="s">
        <v>19</v>
      </c>
      <c r="R2498" s="4" t="s">
        <v>10705</v>
      </c>
    </row>
    <row r="2499" spans="1:18" x14ac:dyDescent="0.3">
      <c r="A2499" t="s">
        <v>10709</v>
      </c>
      <c r="C2499" s="3">
        <v>46182</v>
      </c>
      <c r="D2499" s="11" t="s">
        <v>10711</v>
      </c>
      <c r="E2499" s="11" t="s">
        <v>16</v>
      </c>
      <c r="F2499" s="11" t="s">
        <v>10726</v>
      </c>
      <c r="G2499" s="7" t="s">
        <v>10710</v>
      </c>
      <c r="I2499" s="17">
        <v>40746</v>
      </c>
      <c r="K2499" s="4">
        <v>2000</v>
      </c>
      <c r="L2499" s="11" t="s">
        <v>10814</v>
      </c>
      <c r="M2499" s="11" t="s">
        <v>1697</v>
      </c>
      <c r="O2499" s="4" t="s">
        <v>19</v>
      </c>
      <c r="P2499" s="4" t="s">
        <v>19</v>
      </c>
      <c r="Q2499" s="4" t="s">
        <v>19</v>
      </c>
    </row>
    <row r="2500" spans="1:18" x14ac:dyDescent="0.3">
      <c r="A2500" t="s">
        <v>10717</v>
      </c>
      <c r="C2500" s="3">
        <v>46182</v>
      </c>
      <c r="D2500" s="11" t="s">
        <v>10720</v>
      </c>
      <c r="E2500" s="56">
        <v>46183</v>
      </c>
      <c r="F2500" s="11" t="s">
        <v>10726</v>
      </c>
      <c r="G2500" s="7" t="s">
        <v>10721</v>
      </c>
      <c r="I2500" s="17">
        <v>25817</v>
      </c>
      <c r="K2500" s="4">
        <v>500</v>
      </c>
      <c r="L2500" s="11" t="s">
        <v>10724</v>
      </c>
      <c r="M2500" s="11" t="s">
        <v>10722</v>
      </c>
      <c r="O2500" s="4" t="s">
        <v>19</v>
      </c>
      <c r="P2500" s="4" t="s">
        <v>19</v>
      </c>
      <c r="Q2500" s="4" t="s">
        <v>19</v>
      </c>
    </row>
    <row r="2501" spans="1:18" x14ac:dyDescent="0.3">
      <c r="A2501" t="s">
        <v>10717</v>
      </c>
      <c r="C2501" s="3">
        <v>46183</v>
      </c>
      <c r="D2501" s="11" t="s">
        <v>10718</v>
      </c>
      <c r="E2501" s="11" t="s">
        <v>10745</v>
      </c>
      <c r="F2501" s="11" t="s">
        <v>10726</v>
      </c>
      <c r="G2501" s="50" t="s">
        <v>10719</v>
      </c>
      <c r="I2501" s="17">
        <v>22041</v>
      </c>
      <c r="K2501" s="4">
        <v>500</v>
      </c>
      <c r="L2501" s="11" t="s">
        <v>10723</v>
      </c>
      <c r="M2501" s="11" t="s">
        <v>10722</v>
      </c>
      <c r="O2501" s="4" t="s">
        <v>19</v>
      </c>
      <c r="P2501" s="4" t="s">
        <v>19</v>
      </c>
      <c r="Q2501" s="4" t="s">
        <v>19</v>
      </c>
    </row>
    <row r="2502" spans="1:18" x14ac:dyDescent="0.3">
      <c r="A2502" t="s">
        <v>10732</v>
      </c>
      <c r="C2502" s="3">
        <v>46184</v>
      </c>
      <c r="D2502" s="11" t="s">
        <v>10739</v>
      </c>
      <c r="E2502" s="11" t="s">
        <v>10738</v>
      </c>
      <c r="F2502" s="11" t="s">
        <v>10738</v>
      </c>
      <c r="G2502" s="7" t="s">
        <v>10733</v>
      </c>
      <c r="I2502" s="17">
        <v>39208</v>
      </c>
      <c r="K2502" s="4">
        <v>500</v>
      </c>
      <c r="L2502" s="11" t="s">
        <v>10734</v>
      </c>
      <c r="M2502" s="11" t="s">
        <v>10735</v>
      </c>
      <c r="O2502" s="4" t="s">
        <v>19</v>
      </c>
      <c r="P2502" s="4" t="s">
        <v>19</v>
      </c>
      <c r="Q2502" s="4" t="s">
        <v>19</v>
      </c>
      <c r="R2502" s="4" t="s">
        <v>10736</v>
      </c>
    </row>
    <row r="2503" spans="1:18" x14ac:dyDescent="0.3">
      <c r="A2503" t="s">
        <v>10753</v>
      </c>
      <c r="C2503" s="3">
        <v>46189</v>
      </c>
      <c r="D2503" s="11" t="s">
        <v>10754</v>
      </c>
      <c r="E2503" s="11" t="s">
        <v>10770</v>
      </c>
      <c r="F2503" s="11" t="s">
        <v>10771</v>
      </c>
      <c r="G2503" s="7" t="s">
        <v>10755</v>
      </c>
      <c r="I2503" s="17">
        <v>39578</v>
      </c>
      <c r="K2503" s="4">
        <v>500</v>
      </c>
      <c r="L2503" s="11" t="s">
        <v>10756</v>
      </c>
      <c r="M2503" s="11" t="s">
        <v>10757</v>
      </c>
      <c r="O2503" s="4" t="s">
        <v>14</v>
      </c>
      <c r="P2503" s="4" t="s">
        <v>19</v>
      </c>
      <c r="Q2503" s="4" t="s">
        <v>19</v>
      </c>
      <c r="R2503" s="4" t="s">
        <v>10758</v>
      </c>
    </row>
    <row r="2504" spans="1:18" x14ac:dyDescent="0.3">
      <c r="A2504" t="s">
        <v>10775</v>
      </c>
      <c r="C2504" s="3">
        <v>46193</v>
      </c>
      <c r="D2504" s="11" t="s">
        <v>10776</v>
      </c>
      <c r="E2504" s="11" t="s">
        <v>10823</v>
      </c>
      <c r="F2504" s="11" t="s">
        <v>10777</v>
      </c>
      <c r="G2504" s="7" t="s">
        <v>10779</v>
      </c>
      <c r="I2504" s="17">
        <v>37648</v>
      </c>
      <c r="K2504" s="4">
        <v>500</v>
      </c>
      <c r="L2504" s="11" t="s">
        <v>10795</v>
      </c>
      <c r="M2504" s="11" t="s">
        <v>10778</v>
      </c>
      <c r="O2504" s="4" t="s">
        <v>14</v>
      </c>
      <c r="P2504" s="4" t="s">
        <v>19</v>
      </c>
      <c r="Q2504" s="4" t="s">
        <v>19</v>
      </c>
      <c r="R2504" s="4" t="s">
        <v>10796</v>
      </c>
    </row>
    <row r="2505" spans="1:18" x14ac:dyDescent="0.3">
      <c r="A2505" t="s">
        <v>10782</v>
      </c>
      <c r="C2505" s="3">
        <v>46195</v>
      </c>
      <c r="D2505" s="11" t="s">
        <v>10785</v>
      </c>
      <c r="E2505" s="11" t="s">
        <v>11047</v>
      </c>
      <c r="F2505" s="11" t="s">
        <v>10798</v>
      </c>
      <c r="G2505" s="7" t="s">
        <v>10797</v>
      </c>
      <c r="I2505" s="17">
        <v>39463</v>
      </c>
      <c r="K2505" s="4">
        <v>1000</v>
      </c>
      <c r="L2505" s="11" t="s">
        <v>10793</v>
      </c>
      <c r="M2505" s="11" t="s">
        <v>10792</v>
      </c>
      <c r="O2505" s="4" t="s">
        <v>14</v>
      </c>
      <c r="P2505" s="4" t="s">
        <v>19</v>
      </c>
      <c r="Q2505" s="4" t="s">
        <v>19</v>
      </c>
      <c r="R2505" s="4" t="s">
        <v>10794</v>
      </c>
    </row>
    <row r="2506" spans="1:18" x14ac:dyDescent="0.3">
      <c r="A2506" t="s">
        <v>10784</v>
      </c>
      <c r="C2506" s="3">
        <v>46195</v>
      </c>
      <c r="D2506" s="11" t="s">
        <v>10787</v>
      </c>
      <c r="E2506" s="11" t="s">
        <v>10851</v>
      </c>
      <c r="F2506" s="11" t="s">
        <v>10799</v>
      </c>
      <c r="G2506" s="7" t="s">
        <v>10788</v>
      </c>
      <c r="I2506" s="17">
        <v>38829</v>
      </c>
      <c r="K2506" s="4">
        <v>500</v>
      </c>
      <c r="L2506" s="11" t="s">
        <v>10789</v>
      </c>
      <c r="M2506" s="11" t="s">
        <v>10790</v>
      </c>
      <c r="O2506" s="4" t="s">
        <v>14</v>
      </c>
      <c r="P2506" s="4" t="s">
        <v>19</v>
      </c>
      <c r="Q2506" s="4" t="s">
        <v>19</v>
      </c>
      <c r="R2506" s="4" t="s">
        <v>10791</v>
      </c>
    </row>
    <row r="2507" spans="1:18" x14ac:dyDescent="0.3">
      <c r="A2507" t="s">
        <v>10827</v>
      </c>
      <c r="C2507" s="3">
        <v>46202</v>
      </c>
      <c r="D2507" s="11" t="s">
        <v>10831</v>
      </c>
      <c r="E2507" s="11" t="s">
        <v>7420</v>
      </c>
      <c r="F2507" s="11" t="s">
        <v>10853</v>
      </c>
      <c r="G2507" s="7" t="s">
        <v>10830</v>
      </c>
      <c r="I2507" s="17">
        <v>39304</v>
      </c>
      <c r="K2507" s="4">
        <v>500</v>
      </c>
      <c r="L2507" s="11" t="s">
        <v>10829</v>
      </c>
      <c r="M2507" s="11" t="s">
        <v>10828</v>
      </c>
      <c r="O2507" s="4" t="s">
        <v>14</v>
      </c>
      <c r="P2507" s="4" t="s">
        <v>19</v>
      </c>
      <c r="Q2507" s="4" t="s">
        <v>19</v>
      </c>
    </row>
    <row r="2508" spans="1:18" x14ac:dyDescent="0.3">
      <c r="A2508" t="s">
        <v>10833</v>
      </c>
      <c r="C2508" s="3">
        <v>46202</v>
      </c>
      <c r="D2508" s="11" t="s">
        <v>10835</v>
      </c>
      <c r="E2508" s="11" t="s">
        <v>10851</v>
      </c>
      <c r="F2508" s="11" t="s">
        <v>10852</v>
      </c>
      <c r="G2508" s="7" t="s">
        <v>10849</v>
      </c>
      <c r="I2508" s="17">
        <v>33970</v>
      </c>
      <c r="K2508" s="4">
        <v>500</v>
      </c>
      <c r="L2508" s="11" t="s">
        <v>10850</v>
      </c>
      <c r="M2508" s="11" t="s">
        <v>10834</v>
      </c>
      <c r="O2508" s="4" t="s">
        <v>14</v>
      </c>
      <c r="P2508" s="4" t="s">
        <v>19</v>
      </c>
      <c r="Q2508" s="4" t="s">
        <v>19</v>
      </c>
    </row>
    <row r="2509" spans="1:18" x14ac:dyDescent="0.3">
      <c r="A2509" t="s">
        <v>10838</v>
      </c>
      <c r="C2509" s="3">
        <v>46203</v>
      </c>
      <c r="D2509" s="11" t="s">
        <v>10839</v>
      </c>
      <c r="F2509" s="11" t="s">
        <v>10852</v>
      </c>
      <c r="G2509" s="7" t="s">
        <v>10840</v>
      </c>
      <c r="I2509" s="17">
        <v>41536</v>
      </c>
      <c r="K2509" s="4">
        <v>500</v>
      </c>
      <c r="L2509" s="11" t="s">
        <v>10842</v>
      </c>
      <c r="M2509" s="11" t="s">
        <v>10841</v>
      </c>
      <c r="O2509" s="4" t="s">
        <v>14</v>
      </c>
      <c r="P2509" s="4" t="s">
        <v>19</v>
      </c>
      <c r="Q2509" s="4" t="s">
        <v>19</v>
      </c>
    </row>
    <row r="2510" spans="1:18" x14ac:dyDescent="0.3">
      <c r="A2510" t="s">
        <v>10864</v>
      </c>
      <c r="C2510" s="3">
        <v>46217</v>
      </c>
      <c r="O2510" s="4" t="s">
        <v>14</v>
      </c>
      <c r="P2510" s="4" t="s">
        <v>19</v>
      </c>
      <c r="Q2510" s="4" t="s">
        <v>19</v>
      </c>
    </row>
    <row r="2511" spans="1:18" x14ac:dyDescent="0.3">
      <c r="A2511" t="s">
        <v>10875</v>
      </c>
      <c r="C2511" s="3">
        <v>46218</v>
      </c>
      <c r="D2511" s="11" t="s">
        <v>10881</v>
      </c>
      <c r="E2511" s="11" t="s">
        <v>10921</v>
      </c>
      <c r="F2511" s="11" t="s">
        <v>10922</v>
      </c>
      <c r="G2511" s="7" t="s">
        <v>10882</v>
      </c>
      <c r="I2511" s="17">
        <v>26330</v>
      </c>
      <c r="K2511" s="4">
        <v>500</v>
      </c>
      <c r="L2511" s="11" t="s">
        <v>10883</v>
      </c>
      <c r="M2511" s="11" t="s">
        <v>10884</v>
      </c>
      <c r="O2511" s="4" t="s">
        <v>14</v>
      </c>
      <c r="P2511" s="4" t="s">
        <v>19</v>
      </c>
      <c r="Q2511" s="4" t="s">
        <v>19</v>
      </c>
      <c r="R2511" s="4" t="s">
        <v>10885</v>
      </c>
    </row>
    <row r="2512" spans="1:18" x14ac:dyDescent="0.3">
      <c r="A2512" t="s">
        <v>10891</v>
      </c>
      <c r="C2512" s="3">
        <v>46220</v>
      </c>
      <c r="D2512" s="11" t="s">
        <v>10892</v>
      </c>
      <c r="E2512" s="11" t="s">
        <v>10921</v>
      </c>
      <c r="F2512" s="11" t="s">
        <v>10927</v>
      </c>
      <c r="G2512" s="7" t="s">
        <v>8223</v>
      </c>
      <c r="I2512" s="17">
        <v>39267</v>
      </c>
      <c r="L2512" s="11" t="s">
        <v>10893</v>
      </c>
      <c r="M2512" s="11" t="s">
        <v>10894</v>
      </c>
      <c r="O2512" s="4" t="s">
        <v>14</v>
      </c>
      <c r="P2512" s="4" t="s">
        <v>19</v>
      </c>
      <c r="Q2512" s="4" t="s">
        <v>19</v>
      </c>
    </row>
    <row r="2513" spans="1:18" x14ac:dyDescent="0.3">
      <c r="A2513" t="s">
        <v>10898</v>
      </c>
      <c r="C2513" s="3">
        <v>46220</v>
      </c>
      <c r="D2513" s="11" t="s">
        <v>10899</v>
      </c>
      <c r="E2513" s="11" t="s">
        <v>10931</v>
      </c>
      <c r="F2513" s="11" t="s">
        <v>10927</v>
      </c>
      <c r="G2513" s="7" t="s">
        <v>10900</v>
      </c>
      <c r="K2513" s="4">
        <v>500</v>
      </c>
      <c r="L2513" s="11" t="s">
        <v>10936</v>
      </c>
      <c r="M2513" s="11" t="s">
        <v>2260</v>
      </c>
      <c r="O2513" s="4" t="s">
        <v>14</v>
      </c>
      <c r="P2513" s="4" t="s">
        <v>19</v>
      </c>
      <c r="Q2513" s="4" t="s">
        <v>19</v>
      </c>
    </row>
    <row r="2514" spans="1:18" x14ac:dyDescent="0.3">
      <c r="A2514" t="s">
        <v>10908</v>
      </c>
      <c r="C2514" s="3">
        <v>46223</v>
      </c>
      <c r="D2514" s="11" t="s">
        <v>10909</v>
      </c>
      <c r="E2514" s="11" t="s">
        <v>10931</v>
      </c>
      <c r="F2514" s="11" t="s">
        <v>10932</v>
      </c>
      <c r="G2514" s="7" t="s">
        <v>10910</v>
      </c>
      <c r="K2514" s="4">
        <v>500</v>
      </c>
      <c r="L2514" s="11" t="s">
        <v>10930</v>
      </c>
      <c r="M2514" s="11" t="s">
        <v>10911</v>
      </c>
      <c r="O2514" s="4" t="s">
        <v>14</v>
      </c>
      <c r="P2514" s="4" t="s">
        <v>19</v>
      </c>
      <c r="Q2514" s="4" t="s">
        <v>19</v>
      </c>
      <c r="R2514" s="4" t="s">
        <v>16</v>
      </c>
    </row>
    <row r="2515" spans="1:18" x14ac:dyDescent="0.3">
      <c r="A2515" t="s">
        <v>10923</v>
      </c>
      <c r="C2515" s="3">
        <v>46224</v>
      </c>
      <c r="D2515" s="11" t="s">
        <v>10926</v>
      </c>
      <c r="E2515" s="11" t="s">
        <v>10931</v>
      </c>
      <c r="F2515" s="11" t="s">
        <v>10921</v>
      </c>
      <c r="G2515" s="7" t="s">
        <v>10938</v>
      </c>
      <c r="I2515" s="17">
        <v>39031</v>
      </c>
      <c r="K2515" s="4">
        <v>500</v>
      </c>
      <c r="L2515" s="11" t="s">
        <v>10937</v>
      </c>
      <c r="M2515" s="11" t="s">
        <v>10924</v>
      </c>
      <c r="O2515" s="4" t="s">
        <v>14</v>
      </c>
      <c r="P2515" s="4" t="s">
        <v>19</v>
      </c>
      <c r="Q2515" s="4" t="s">
        <v>19</v>
      </c>
    </row>
    <row r="2516" spans="1:18" x14ac:dyDescent="0.3">
      <c r="A2516" t="s">
        <v>10956</v>
      </c>
      <c r="C2516" s="3">
        <v>46233</v>
      </c>
      <c r="D2516" s="11" t="s">
        <v>10957</v>
      </c>
      <c r="E2516" s="11" t="s">
        <v>10976</v>
      </c>
      <c r="F2516" s="11" t="s">
        <v>10977</v>
      </c>
      <c r="G2516" s="7" t="s">
        <v>10958</v>
      </c>
      <c r="I2516" s="17">
        <v>41261</v>
      </c>
      <c r="L2516" s="11" t="s">
        <v>10959</v>
      </c>
      <c r="M2516" s="11" t="s">
        <v>10960</v>
      </c>
      <c r="O2516" s="4" t="s">
        <v>19</v>
      </c>
      <c r="P2516" s="4" t="s">
        <v>19</v>
      </c>
      <c r="Q2516" s="4" t="s">
        <v>19</v>
      </c>
    </row>
    <row r="2517" spans="1:18" x14ac:dyDescent="0.3">
      <c r="A2517" t="s">
        <v>10963</v>
      </c>
      <c r="C2517" s="3">
        <v>46234</v>
      </c>
      <c r="D2517" s="11" t="s">
        <v>10964</v>
      </c>
      <c r="E2517" s="11" t="s">
        <v>10976</v>
      </c>
      <c r="F2517" s="11" t="s">
        <v>10977</v>
      </c>
      <c r="G2517" s="7" t="s">
        <v>10965</v>
      </c>
      <c r="K2517" s="4">
        <v>500</v>
      </c>
      <c r="L2517" s="11" t="s">
        <v>10967</v>
      </c>
      <c r="M2517" s="11" t="s">
        <v>10966</v>
      </c>
    </row>
    <row r="2518" spans="1:18" x14ac:dyDescent="0.3">
      <c r="A2518" t="s">
        <v>10986</v>
      </c>
      <c r="C2518" s="3">
        <v>46244</v>
      </c>
      <c r="D2518" s="11" t="s">
        <v>10990</v>
      </c>
      <c r="E2518" s="11" t="s">
        <v>11000</v>
      </c>
      <c r="F2518" s="11" t="s">
        <v>11001</v>
      </c>
      <c r="G2518" s="7" t="s">
        <v>10987</v>
      </c>
      <c r="I2518" s="17">
        <v>33747</v>
      </c>
      <c r="K2518" s="4">
        <v>500</v>
      </c>
      <c r="L2518" s="11" t="s">
        <v>11002</v>
      </c>
      <c r="M2518" s="11" t="s">
        <v>10988</v>
      </c>
      <c r="O2518" s="4" t="s">
        <v>14</v>
      </c>
      <c r="R2518" s="4" t="s">
        <v>14</v>
      </c>
    </row>
    <row r="2519" spans="1:18" x14ac:dyDescent="0.3">
      <c r="A2519" t="s">
        <v>10989</v>
      </c>
      <c r="C2519" s="3">
        <v>46244</v>
      </c>
      <c r="D2519" s="11" t="s">
        <v>10991</v>
      </c>
      <c r="E2519" s="11" t="s">
        <v>11000</v>
      </c>
      <c r="F2519" s="11" t="s">
        <v>11001</v>
      </c>
      <c r="G2519" s="7" t="s">
        <v>10992</v>
      </c>
      <c r="K2519" s="4">
        <v>500</v>
      </c>
      <c r="O2519" s="4" t="s">
        <v>14</v>
      </c>
    </row>
    <row r="2520" spans="1:18" x14ac:dyDescent="0.3">
      <c r="A2520" t="s">
        <v>10994</v>
      </c>
      <c r="C2520" s="3">
        <v>46245</v>
      </c>
      <c r="D2520" s="11" t="s">
        <v>10995</v>
      </c>
      <c r="F2520" s="11" t="s">
        <v>11012</v>
      </c>
      <c r="G2520" s="7" t="s">
        <v>10997</v>
      </c>
      <c r="K2520" s="4">
        <v>1000</v>
      </c>
      <c r="L2520" s="11" t="s">
        <v>11016</v>
      </c>
      <c r="M2520" s="11" t="s">
        <v>10996</v>
      </c>
    </row>
    <row r="2521" spans="1:18" x14ac:dyDescent="0.3">
      <c r="A2521" t="s">
        <v>11007</v>
      </c>
      <c r="C2521" s="3">
        <v>46247</v>
      </c>
      <c r="D2521" s="11" t="s">
        <v>11008</v>
      </c>
      <c r="E2521" s="11" t="s">
        <v>11014</v>
      </c>
      <c r="F2521" s="11" t="s">
        <v>11013</v>
      </c>
      <c r="G2521" s="7" t="s">
        <v>11009</v>
      </c>
      <c r="K2521" s="4">
        <v>500</v>
      </c>
      <c r="M2521" s="11" t="s">
        <v>11010</v>
      </c>
      <c r="O2521" s="4" t="s">
        <v>14</v>
      </c>
    </row>
    <row r="2522" spans="1:18" ht="14.4" x14ac:dyDescent="0.3">
      <c r="A2522" t="s">
        <v>11020</v>
      </c>
      <c r="C2522" s="3">
        <v>46253</v>
      </c>
      <c r="D2522" s="11" t="s">
        <v>11021</v>
      </c>
      <c r="F2522" s="11" t="s">
        <v>11024</v>
      </c>
      <c r="G2522" s="7" t="s">
        <v>11022</v>
      </c>
      <c r="I2522" s="11" t="s">
        <v>11023</v>
      </c>
      <c r="K2522" s="4">
        <v>500</v>
      </c>
      <c r="M2522" s="11" t="s">
        <v>11025</v>
      </c>
    </row>
    <row r="2523" spans="1:18" x14ac:dyDescent="0.3">
      <c r="A2523" t="s">
        <v>11032</v>
      </c>
      <c r="B2523" t="s">
        <v>11033</v>
      </c>
      <c r="C2523" s="3">
        <v>46254</v>
      </c>
      <c r="D2523" s="11" t="s">
        <v>11034</v>
      </c>
      <c r="G2523" s="7" t="s">
        <v>11035</v>
      </c>
      <c r="K2523" s="4">
        <v>500</v>
      </c>
      <c r="M2523" s="11" t="s">
        <v>11036</v>
      </c>
    </row>
    <row r="2524" spans="1:18" x14ac:dyDescent="0.3">
      <c r="A2524" t="s">
        <v>11042</v>
      </c>
      <c r="C2524" s="3">
        <v>46263</v>
      </c>
      <c r="D2524" s="11" t="s">
        <v>11043</v>
      </c>
      <c r="G2524" s="7" t="s">
        <v>11044</v>
      </c>
      <c r="I2524" s="17">
        <v>21856</v>
      </c>
      <c r="K2524" s="4">
        <v>500</v>
      </c>
      <c r="L2524" s="11" t="s">
        <v>11045</v>
      </c>
      <c r="M2524" s="11" t="s">
        <v>5940</v>
      </c>
      <c r="O2524" s="4" t="s">
        <v>16</v>
      </c>
      <c r="P2524" s="4" t="s">
        <v>19</v>
      </c>
      <c r="Q2524" s="4" t="s">
        <v>19</v>
      </c>
      <c r="R2524" s="4" t="s">
        <v>11046</v>
      </c>
    </row>
    <row r="2525" spans="1:18" x14ac:dyDescent="0.3">
      <c r="A2525" t="s">
        <v>11048</v>
      </c>
      <c r="C2525" s="3">
        <v>46273</v>
      </c>
      <c r="D2525" s="11" t="s">
        <v>8548</v>
      </c>
      <c r="E2525" s="11" t="s">
        <v>11053</v>
      </c>
      <c r="F2525" s="11" t="s">
        <v>11053</v>
      </c>
      <c r="G2525" s="7" t="s">
        <v>11050</v>
      </c>
      <c r="I2525" s="17">
        <v>38534</v>
      </c>
      <c r="K2525" s="4">
        <v>500</v>
      </c>
      <c r="L2525" s="11" t="s">
        <v>11056</v>
      </c>
      <c r="M2525" s="11" t="s">
        <v>11049</v>
      </c>
      <c r="O2525" s="4" t="s">
        <v>16</v>
      </c>
      <c r="P2525" s="4" t="s">
        <v>19</v>
      </c>
      <c r="R2525" s="4" t="s">
        <v>14</v>
      </c>
    </row>
    <row r="2526" spans="1:18" x14ac:dyDescent="0.3">
      <c r="A2526" t="s">
        <v>11052</v>
      </c>
      <c r="C2526" s="3">
        <v>46274</v>
      </c>
      <c r="D2526" s="11" t="s">
        <v>11054</v>
      </c>
      <c r="G2526" s="7" t="s">
        <v>11055</v>
      </c>
      <c r="I2526" s="17">
        <v>39296</v>
      </c>
      <c r="K2526" s="4">
        <v>500</v>
      </c>
      <c r="L2526" s="11" t="s">
        <v>11057</v>
      </c>
      <c r="M2526" s="11" t="s">
        <v>9860</v>
      </c>
      <c r="O2526" s="4" t="s">
        <v>16</v>
      </c>
      <c r="P2526" s="4" t="s">
        <v>19</v>
      </c>
      <c r="Q2526" s="4" t="s">
        <v>19</v>
      </c>
      <c r="R2526" s="4" t="s">
        <v>11058</v>
      </c>
    </row>
    <row r="2527" spans="1:18" x14ac:dyDescent="0.3">
      <c r="A2527" t="s">
        <v>11083</v>
      </c>
      <c r="C2527" s="3">
        <v>46293</v>
      </c>
      <c r="D2527" s="11" t="s">
        <v>11084</v>
      </c>
      <c r="G2527" s="7" t="s">
        <v>11085</v>
      </c>
      <c r="I2527" s="17">
        <v>36161</v>
      </c>
      <c r="K2527" s="4">
        <v>300</v>
      </c>
      <c r="L2527" s="11" t="s">
        <v>11086</v>
      </c>
      <c r="M2527" s="11" t="s">
        <v>11087</v>
      </c>
      <c r="O2527" s="4" t="s">
        <v>16</v>
      </c>
      <c r="P2527" s="4" t="s">
        <v>19</v>
      </c>
      <c r="Q2527" s="4" t="s">
        <v>19</v>
      </c>
      <c r="R2527" s="4" t="s">
        <v>11088</v>
      </c>
    </row>
    <row r="2528" spans="1:18" x14ac:dyDescent="0.3">
      <c r="A2528" t="s">
        <v>11089</v>
      </c>
      <c r="C2528" s="3">
        <v>46263</v>
      </c>
      <c r="D2528" s="11" t="s">
        <v>11090</v>
      </c>
      <c r="G2528" s="7" t="s">
        <v>11091</v>
      </c>
      <c r="I2528" s="17">
        <v>39628</v>
      </c>
      <c r="L2528" s="11" t="s">
        <v>11092</v>
      </c>
      <c r="O2528" s="4" t="s">
        <v>16</v>
      </c>
      <c r="P2528" s="4" t="s">
        <v>19</v>
      </c>
      <c r="Q2528" s="4" t="s">
        <v>19</v>
      </c>
      <c r="R2528" s="4" t="s">
        <v>11093</v>
      </c>
    </row>
  </sheetData>
  <autoFilter ref="C1:R1332" xr:uid="{00000000-0009-0000-0000-000000000000}">
    <sortState xmlns:xlrd2="http://schemas.microsoft.com/office/spreadsheetml/2017/richdata2" ref="C2:R1195">
      <sortCondition ref="D2:D1195"/>
    </sortState>
  </autoFilter>
  <sortState xmlns:xlrd2="http://schemas.microsoft.com/office/spreadsheetml/2017/richdata2" ref="C2:M16">
    <sortCondition ref="D2:D16"/>
  </sortState>
  <customSheetViews>
    <customSheetView guid="{A0CE3161-5061-442F-A27F-2BA55581F316}" showAutoFilter="1">
      <pane ySplit="1" topLeftCell="A1242" activePane="bottomLeft" state="frozen"/>
      <selection pane="bottomLeft" activeCell="D1257" sqref="D1257"/>
      <pageMargins left="0.70866141732283472" right="0.70866141732283472" top="0.35433070866141736" bottom="0.35433070866141736" header="0.31496062992125984" footer="0.31496062992125984"/>
      <pageSetup paperSize="9" orientation="portrait" r:id="rId1"/>
      <autoFilter ref="B1:O1331" xr:uid="{C4E5D557-D3A9-4170-8BE0-BCBD2D70559E}">
        <sortState xmlns:xlrd2="http://schemas.microsoft.com/office/spreadsheetml/2017/richdata2" ref="B2:O1194">
          <sortCondition ref="C2:C1194"/>
        </sortState>
      </autoFilter>
    </customSheetView>
    <customSheetView guid="{2FF9BCA9-095C-4E73-9C86-2243907C0824}" scale="55" showAutoFilter="1">
      <pane ySplit="1" topLeftCell="A1272" activePane="bottomLeft" state="frozen"/>
      <selection pane="bottomLeft" activeCell="U1294" sqref="U1294"/>
      <pageMargins left="0.70866141732283472" right="0.70866141732283472" top="0.35433070866141736" bottom="0.35433070866141736" header="0.31496062992125984" footer="0.31496062992125984"/>
      <pageSetup paperSize="9" orientation="portrait" r:id="rId2"/>
      <autoFilter ref="B1:O1331" xr:uid="{9DE65837-A1A5-4145-9FE2-14800DD5AA95}">
        <sortState xmlns:xlrd2="http://schemas.microsoft.com/office/spreadsheetml/2017/richdata2" ref="B2:O1194">
          <sortCondition ref="C2:C1194"/>
        </sortState>
      </autoFilter>
    </customSheetView>
    <customSheetView guid="{EB31AAB7-3CD3-47EA-8FB3-E6304DCC89B3}" showAutoFilter="1" hiddenColumns="1">
      <pane ySplit="1" topLeftCell="A1333" activePane="bottomLeft" state="frozen"/>
      <selection pane="bottomLeft" activeCell="A1340" sqref="A1340"/>
      <pageMargins left="0.70866141732283472" right="0.70866141732283472" top="0.35433070866141736" bottom="0.35433070866141736" header="0.31496062992125984" footer="0.31496062992125984"/>
      <pageSetup paperSize="9" orientation="portrait" r:id="rId3"/>
      <autoFilter ref="B1:O1331" xr:uid="{57D64AC7-AB72-43C0-8492-BCF4546CFFAE}">
        <sortState xmlns:xlrd2="http://schemas.microsoft.com/office/spreadsheetml/2017/richdata2" ref="B2:O1194">
          <sortCondition ref="C2:C1194"/>
        </sortState>
      </autoFilter>
    </customSheetView>
    <customSheetView guid="{1459FC0D-58BA-4BEC-951C-298999986759}" showAutoFilter="1">
      <pane ySplit="1" topLeftCell="A1345" activePane="bottomLeft" state="frozen"/>
      <selection pane="bottomLeft" activeCell="E1347" sqref="E1347"/>
      <pageMargins left="0.70866141732283472" right="0.70866141732283472" top="0.35433070866141736" bottom="0.35433070866141736" header="0.31496062992125984" footer="0.31496062992125984"/>
      <pageSetup paperSize="9" orientation="portrait" r:id="rId4"/>
      <autoFilter ref="B1:O1331" xr:uid="{3E298A75-FD74-42AF-80AB-DED8D990243C}">
        <sortState xmlns:xlrd2="http://schemas.microsoft.com/office/spreadsheetml/2017/richdata2" ref="B2:O1194">
          <sortCondition ref="C2:C1194"/>
        </sortState>
      </autoFilter>
    </customSheetView>
  </customSheetViews>
  <phoneticPr fontId="11" type="noConversion"/>
  <conditionalFormatting sqref="I1:I941 I943:I980 I982:I983 I986:I2482 I2484:I2524 I2527:I1048576">
    <cfRule type="expression" dxfId="30" priority="1">
      <formula>IF(AND(MONTH(I1542)=MONTH(TODAY()),DAY(I1542)=DAY(TODAY())),"good","bad")</formula>
    </cfRule>
  </conditionalFormatting>
  <conditionalFormatting sqref="I942">
    <cfRule type="expression" dxfId="29" priority="33">
      <formula>IF(AND(MONTH(L2483)=MONTH(TODAY()),DAY(L2483)=DAY(TODAY())),"good","bad")</formula>
    </cfRule>
  </conditionalFormatting>
  <conditionalFormatting sqref="I981">
    <cfRule type="expression" dxfId="28" priority="35">
      <formula>IF(AND(MONTH(#REF!)=MONTH(TODAY()),DAY(#REF!)=DAY(TODAY())),"good","bad")</formula>
    </cfRule>
  </conditionalFormatting>
  <conditionalFormatting sqref="I984">
    <cfRule type="expression" dxfId="27" priority="38">
      <formula>IF(AND(MONTH(#REF!)=MONTH(TODAY()),DAY(#REF!)=DAY(TODAY())),"good","bad")</formula>
    </cfRule>
  </conditionalFormatting>
  <conditionalFormatting sqref="I985">
    <cfRule type="expression" dxfId="26" priority="37">
      <formula>IF(AND(MONTH(I2525)=MONTH(TODAY()),DAY(I2525)=DAY(TODAY())),"good","bad")</formula>
    </cfRule>
  </conditionalFormatting>
  <conditionalFormatting sqref="I2525">
    <cfRule type="expression" dxfId="25" priority="40">
      <formula>IF(AND(MONTH(I4067)=MONTH(TODAY()),DAY(I4067)=DAY(TODAY())),"good","bad")</formula>
    </cfRule>
  </conditionalFormatting>
  <conditionalFormatting sqref="O1:O1505 O1507:O1612">
    <cfRule type="cellIs" dxfId="24" priority="26" operator="greaterThan">
      <formula>0</formula>
    </cfRule>
  </conditionalFormatting>
  <conditionalFormatting sqref="O2342:O2400">
    <cfRule type="cellIs" dxfId="23" priority="13" operator="greaterThan">
      <formula>0</formula>
    </cfRule>
    <cfRule type="cellIs" dxfId="22" priority="14" operator="equal">
      <formula>"Y"</formula>
    </cfRule>
  </conditionalFormatting>
  <conditionalFormatting sqref="O2403:O2404">
    <cfRule type="cellIs" dxfId="21" priority="6" operator="greaterThan">
      <formula>0</formula>
    </cfRule>
    <cfRule type="cellIs" dxfId="20" priority="7" operator="equal">
      <formula>"Y"</formula>
    </cfRule>
  </conditionalFormatting>
  <conditionalFormatting sqref="O2406">
    <cfRule type="cellIs" dxfId="19" priority="11" operator="greaterThan">
      <formula>0</formula>
    </cfRule>
    <cfRule type="cellIs" dxfId="18" priority="12" operator="equal">
      <formula>"Y"</formula>
    </cfRule>
  </conditionalFormatting>
  <conditionalFormatting sqref="O1:P1505 O1507:P1612">
    <cfRule type="cellIs" dxfId="17" priority="30" operator="equal">
      <formula>"Y"</formula>
    </cfRule>
  </conditionalFormatting>
  <conditionalFormatting sqref="O1614:P2269 Q2235:Q2269 O2270:Q2329 O2330:P2330 O2331:Q2400 O2401:P2402 O2403:Q2406 O2407:P2407 O2411:P1048576 O2408:Q2410">
    <cfRule type="cellIs" dxfId="16" priority="21" operator="equal">
      <formula>"Y"</formula>
    </cfRule>
  </conditionalFormatting>
  <conditionalFormatting sqref="O2405:Q2405">
    <cfRule type="cellIs" dxfId="15" priority="10" operator="greaterThan">
      <formula>0</formula>
    </cfRule>
  </conditionalFormatting>
  <conditionalFormatting sqref="O2408:Q2410">
    <cfRule type="cellIs" dxfId="14" priority="4" operator="greaterThan">
      <formula>0</formula>
    </cfRule>
    <cfRule type="cellIs" dxfId="13" priority="5" operator="equal">
      <formula>"Y"</formula>
    </cfRule>
  </conditionalFormatting>
  <conditionalFormatting sqref="P1:P1505 P1507:P1612">
    <cfRule type="cellIs" dxfId="12" priority="25" operator="greaterThan">
      <formula>0</formula>
    </cfRule>
    <cfRule type="cellIs" dxfId="11" priority="29" operator="equal">
      <formula>"Y"</formula>
    </cfRule>
  </conditionalFormatting>
  <conditionalFormatting sqref="P1614:P2269 Q2235:Q2269 P2270:Q2329 P2330 P2331:Q2400 P2401:P2402 P2403:Q2406 P2407 P2411:P1048576">
    <cfRule type="cellIs" dxfId="10" priority="20" operator="equal">
      <formula>"Y"</formula>
    </cfRule>
  </conditionalFormatting>
  <conditionalFormatting sqref="P2235:Q2269 O2270:Q2329 O2331:Q2400 O2403:Q2404 O2406:Q2406 O2408:Q2410 O1614:O2269 O2330 O2401:O2402 O2407 O2411:O1048576">
    <cfRule type="cellIs" dxfId="9" priority="17" operator="greaterThan">
      <formula>0</formula>
    </cfRule>
  </conditionalFormatting>
  <conditionalFormatting sqref="P2403:Q2406 P1614:P2269 Q2235:Q2269 P2270:Q2329 P2330 P2331:Q2400 P2401:P2402 P2407 P2411:P1048576">
    <cfRule type="cellIs" dxfId="8" priority="16" operator="greaterThan">
      <formula>0</formula>
    </cfRule>
  </conditionalFormatting>
  <conditionalFormatting sqref="Q1:Q1505 Q1507:Q1612">
    <cfRule type="cellIs" dxfId="7" priority="28" operator="equal">
      <formula>"Y"</formula>
    </cfRule>
  </conditionalFormatting>
  <conditionalFormatting sqref="Q1614:Q2234 Q2330 Q2401:Q2402 Q2407 Q2411:Q1048576">
    <cfRule type="cellIs" dxfId="6" priority="19" operator="equal">
      <formula>"Y"</formula>
    </cfRule>
  </conditionalFormatting>
  <conditionalFormatting sqref="R1:R1505 R1507:R1587 R1589:R1612">
    <cfRule type="cellIs" dxfId="5" priority="24" operator="equal">
      <formula>"Y"</formula>
    </cfRule>
    <cfRule type="cellIs" dxfId="4" priority="27" operator="equal">
      <formula>"Y"</formula>
    </cfRule>
  </conditionalFormatting>
  <conditionalFormatting sqref="R1588">
    <cfRule type="cellIs" dxfId="3" priority="22" operator="greaterThan">
      <formula>0</formula>
    </cfRule>
    <cfRule type="cellIs" dxfId="2" priority="23" operator="equal">
      <formula>"Y"</formula>
    </cfRule>
  </conditionalFormatting>
  <conditionalFormatting sqref="R1614:R1048576">
    <cfRule type="cellIs" dxfId="1" priority="15" operator="equal">
      <formula>"Y"</formula>
    </cfRule>
    <cfRule type="cellIs" dxfId="0" priority="18" operator="equal">
      <formula>"Y"</formula>
    </cfRule>
  </conditionalFormatting>
  <pageMargins left="0.70866141732283472" right="0.70866141732283472" top="0.35433070866141736" bottom="0.35433070866141736" header="0.31496062992125984" footer="0.31496062992125984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A874-93DF-4ED5-8F79-25AA5274DD38}">
  <dimension ref="A1:T9475"/>
  <sheetViews>
    <sheetView tabSelected="1" zoomScaleNormal="100" workbookViewId="0">
      <pane ySplit="3" topLeftCell="A9366" activePane="bottomLeft" state="frozen"/>
      <selection activeCell="I33" sqref="I33"/>
      <selection pane="bottomLeft" activeCell="H9442" sqref="H9442"/>
    </sheetView>
  </sheetViews>
  <sheetFormatPr defaultRowHeight="14.4" x14ac:dyDescent="0.3"/>
  <cols>
    <col min="1" max="1" width="18.5546875" style="4" customWidth="1"/>
    <col min="2" max="2" width="11.88671875" style="11" customWidth="1"/>
    <col min="3" max="3" width="27.5546875" style="50" customWidth="1"/>
    <col min="4" max="4" width="15.33203125" style="50" customWidth="1"/>
    <col min="5" max="5" width="6" style="90" customWidth="1"/>
    <col min="6" max="6" width="16.6640625" style="4" customWidth="1"/>
    <col min="7" max="7" width="13.33203125" style="2" customWidth="1"/>
    <col min="8" max="8" width="13.44140625" style="2" customWidth="1"/>
    <col min="9" max="9" width="14.44140625" style="2" customWidth="1"/>
    <col min="10" max="10" width="13.6640625" customWidth="1"/>
    <col min="11" max="11" width="16" bestFit="1" customWidth="1"/>
    <col min="12" max="12" width="11.6640625" style="2" customWidth="1"/>
    <col min="13" max="13" width="11.33203125" customWidth="1"/>
    <col min="14" max="14" width="9.44140625" bestFit="1" customWidth="1"/>
    <col min="15" max="15" width="11.5546875" bestFit="1" customWidth="1"/>
    <col min="16" max="16" width="11.5546875" customWidth="1"/>
    <col min="17" max="17" width="15.33203125" customWidth="1"/>
    <col min="18" max="18" width="11.88671875" customWidth="1"/>
    <col min="19" max="19" width="12.44140625" customWidth="1"/>
    <col min="20" max="20" width="24" customWidth="1"/>
  </cols>
  <sheetData>
    <row r="1" spans="1:15" x14ac:dyDescent="0.3">
      <c r="J1">
        <v>9000</v>
      </c>
    </row>
    <row r="2" spans="1:15" x14ac:dyDescent="0.3">
      <c r="A2" s="189" t="s">
        <v>2130</v>
      </c>
      <c r="B2" s="189"/>
      <c r="C2" s="189"/>
      <c r="D2" s="189"/>
      <c r="E2" s="189"/>
      <c r="F2" s="189"/>
      <c r="G2" s="189"/>
      <c r="H2" s="189"/>
      <c r="I2" s="189"/>
      <c r="J2" s="189"/>
    </row>
    <row r="3" spans="1:15" x14ac:dyDescent="0.3">
      <c r="A3" s="34" t="s">
        <v>0</v>
      </c>
      <c r="B3" s="172" t="s">
        <v>2131</v>
      </c>
      <c r="C3" s="111" t="s">
        <v>1</v>
      </c>
      <c r="D3" s="111" t="s">
        <v>2132</v>
      </c>
      <c r="E3" s="91" t="s">
        <v>6352</v>
      </c>
      <c r="F3" s="34" t="s">
        <v>2133</v>
      </c>
      <c r="G3" s="73" t="s">
        <v>2134</v>
      </c>
      <c r="H3" s="73" t="s">
        <v>2135</v>
      </c>
      <c r="I3" s="73" t="s">
        <v>2136</v>
      </c>
      <c r="J3" s="35" t="s">
        <v>2137</v>
      </c>
    </row>
    <row r="4" spans="1:15" x14ac:dyDescent="0.3">
      <c r="A4" s="3">
        <v>44682</v>
      </c>
      <c r="B4" s="11" t="s">
        <v>2138</v>
      </c>
      <c r="C4" s="50" t="s">
        <v>252</v>
      </c>
      <c r="F4" s="15"/>
      <c r="H4" s="78">
        <v>2000</v>
      </c>
      <c r="I4" s="78">
        <v>7209.3</v>
      </c>
      <c r="J4" s="79">
        <f t="shared" ref="J4:J47" si="0">I4-$J$1</f>
        <v>-1790.6999999999998</v>
      </c>
      <c r="L4" s="78">
        <f t="shared" ref="L4:L28" si="1">IF((G4+H4)&lt;=5000,(H4+G4)*0.004,20)+IF(E4="Y",25,0)</f>
        <v>8</v>
      </c>
    </row>
    <row r="5" spans="1:15" x14ac:dyDescent="0.3">
      <c r="A5" s="3">
        <v>44682</v>
      </c>
      <c r="B5" s="11" t="s">
        <v>1250</v>
      </c>
      <c r="F5" s="15"/>
      <c r="G5" s="2">
        <v>5000</v>
      </c>
      <c r="I5" s="78">
        <f t="shared" ref="I5:I80" si="2">I4+G5-H5</f>
        <v>12209.3</v>
      </c>
      <c r="J5" s="79">
        <f t="shared" si="0"/>
        <v>3209.2999999999993</v>
      </c>
      <c r="L5" s="78">
        <f t="shared" si="1"/>
        <v>20</v>
      </c>
    </row>
    <row r="6" spans="1:15" x14ac:dyDescent="0.3">
      <c r="A6" s="3">
        <v>44682</v>
      </c>
      <c r="B6" s="11" t="s">
        <v>2139</v>
      </c>
      <c r="C6" s="50" t="s">
        <v>1253</v>
      </c>
      <c r="F6" s="15"/>
      <c r="H6" s="2">
        <v>5000</v>
      </c>
      <c r="I6" s="78">
        <f t="shared" si="2"/>
        <v>7209.2999999999993</v>
      </c>
      <c r="J6" s="79">
        <f t="shared" si="0"/>
        <v>-1790.7000000000007</v>
      </c>
      <c r="L6" s="78">
        <f t="shared" si="1"/>
        <v>20</v>
      </c>
    </row>
    <row r="7" spans="1:15" x14ac:dyDescent="0.3">
      <c r="A7" s="3">
        <v>44682</v>
      </c>
      <c r="B7" s="11" t="s">
        <v>2141</v>
      </c>
      <c r="C7" s="50" t="s">
        <v>2141</v>
      </c>
      <c r="F7" s="15"/>
      <c r="H7" s="2">
        <v>2000</v>
      </c>
      <c r="I7" s="78">
        <f t="shared" si="2"/>
        <v>5209.2999999999993</v>
      </c>
      <c r="J7" s="79">
        <f t="shared" si="0"/>
        <v>-3790.7000000000007</v>
      </c>
      <c r="L7" s="78">
        <f t="shared" si="1"/>
        <v>8</v>
      </c>
    </row>
    <row r="8" spans="1:15" x14ac:dyDescent="0.3">
      <c r="A8" s="3">
        <v>44682</v>
      </c>
      <c r="B8" s="11" t="s">
        <v>2140</v>
      </c>
      <c r="C8" s="50" t="s">
        <v>1279</v>
      </c>
      <c r="F8" s="15"/>
      <c r="H8" s="2">
        <v>4000</v>
      </c>
      <c r="I8" s="78">
        <f t="shared" si="2"/>
        <v>1209.2999999999993</v>
      </c>
      <c r="J8" s="79">
        <f t="shared" si="0"/>
        <v>-7790.7000000000007</v>
      </c>
      <c r="L8" s="78">
        <f t="shared" si="1"/>
        <v>16</v>
      </c>
    </row>
    <row r="9" spans="1:15" x14ac:dyDescent="0.3">
      <c r="A9" s="3">
        <v>44683</v>
      </c>
      <c r="B9" s="11" t="s">
        <v>2142</v>
      </c>
      <c r="C9" s="50" t="s">
        <v>2021</v>
      </c>
      <c r="F9" s="15">
        <v>629728</v>
      </c>
      <c r="G9" s="2">
        <v>4000</v>
      </c>
      <c r="I9" s="78">
        <f t="shared" si="2"/>
        <v>5209.2999999999993</v>
      </c>
      <c r="J9" s="79">
        <f t="shared" si="0"/>
        <v>-3790.7000000000007</v>
      </c>
      <c r="L9" s="78">
        <f t="shared" si="1"/>
        <v>16</v>
      </c>
    </row>
    <row r="10" spans="1:15" x14ac:dyDescent="0.3">
      <c r="A10" s="3">
        <v>44683</v>
      </c>
      <c r="B10" s="11" t="s">
        <v>2143</v>
      </c>
      <c r="C10" s="50" t="s">
        <v>1279</v>
      </c>
      <c r="F10" s="15">
        <v>212218507448</v>
      </c>
      <c r="H10" s="2">
        <v>4000</v>
      </c>
      <c r="I10" s="78">
        <f t="shared" si="2"/>
        <v>1209.2999999999993</v>
      </c>
      <c r="J10" s="79">
        <f t="shared" si="0"/>
        <v>-7790.7000000000007</v>
      </c>
      <c r="L10" s="78">
        <f t="shared" si="1"/>
        <v>16</v>
      </c>
    </row>
    <row r="11" spans="1:15" x14ac:dyDescent="0.3">
      <c r="A11" s="3">
        <v>44685</v>
      </c>
      <c r="B11" s="11" t="s">
        <v>2144</v>
      </c>
      <c r="C11" s="50" t="s">
        <v>2145</v>
      </c>
      <c r="E11" s="90" t="s">
        <v>16</v>
      </c>
      <c r="F11" s="15">
        <v>212411963578</v>
      </c>
      <c r="H11" s="2">
        <v>100</v>
      </c>
      <c r="I11" s="78">
        <f t="shared" si="2"/>
        <v>1109.2999999999993</v>
      </c>
      <c r="J11" s="79">
        <f t="shared" si="0"/>
        <v>-7890.7000000000007</v>
      </c>
      <c r="L11" s="78">
        <f t="shared" si="1"/>
        <v>25.4</v>
      </c>
    </row>
    <row r="12" spans="1:15" x14ac:dyDescent="0.3">
      <c r="A12" s="3">
        <v>44685</v>
      </c>
      <c r="B12" s="11" t="s">
        <v>2146</v>
      </c>
      <c r="C12" s="50" t="s">
        <v>2147</v>
      </c>
      <c r="D12" s="50">
        <v>9798756883</v>
      </c>
      <c r="F12" s="15"/>
      <c r="G12" s="2">
        <v>10000</v>
      </c>
      <c r="I12" s="78">
        <f t="shared" si="2"/>
        <v>11109.3</v>
      </c>
      <c r="J12" s="79">
        <f t="shared" si="0"/>
        <v>2109.2999999999993</v>
      </c>
      <c r="L12" s="78">
        <f t="shared" si="1"/>
        <v>20</v>
      </c>
      <c r="O12">
        <v>15</v>
      </c>
    </row>
    <row r="13" spans="1:15" x14ac:dyDescent="0.3">
      <c r="A13" s="3">
        <v>44685</v>
      </c>
      <c r="B13" s="11" t="s">
        <v>1257</v>
      </c>
      <c r="C13" s="50" t="s">
        <v>1253</v>
      </c>
      <c r="F13" s="15">
        <v>212420512180</v>
      </c>
      <c r="H13" s="2">
        <v>5000</v>
      </c>
      <c r="I13" s="78">
        <f t="shared" si="2"/>
        <v>6109.2999999999993</v>
      </c>
      <c r="J13" s="79">
        <f t="shared" si="0"/>
        <v>-2890.7000000000007</v>
      </c>
      <c r="L13" s="78">
        <f t="shared" si="1"/>
        <v>20</v>
      </c>
    </row>
    <row r="14" spans="1:15" x14ac:dyDescent="0.3">
      <c r="A14" s="3">
        <v>44686</v>
      </c>
      <c r="C14" s="50" t="s">
        <v>2148</v>
      </c>
      <c r="D14" s="50">
        <v>72099825729</v>
      </c>
      <c r="F14" s="15"/>
      <c r="G14" s="2">
        <v>2000</v>
      </c>
      <c r="I14" s="78">
        <f t="shared" si="2"/>
        <v>8109.2999999999993</v>
      </c>
      <c r="J14" s="79">
        <f t="shared" si="0"/>
        <v>-890.70000000000073</v>
      </c>
      <c r="L14" s="78">
        <f t="shared" si="1"/>
        <v>8</v>
      </c>
      <c r="M14">
        <v>1000</v>
      </c>
    </row>
    <row r="15" spans="1:15" x14ac:dyDescent="0.3">
      <c r="A15" s="3">
        <v>44686</v>
      </c>
      <c r="B15" s="11" t="s">
        <v>1257</v>
      </c>
      <c r="C15" s="50" t="s">
        <v>1253</v>
      </c>
      <c r="F15" s="15">
        <v>212518826688</v>
      </c>
      <c r="H15" s="2">
        <v>3000</v>
      </c>
      <c r="I15" s="78">
        <f t="shared" si="2"/>
        <v>5109.2999999999993</v>
      </c>
      <c r="J15" s="79">
        <f t="shared" si="0"/>
        <v>-3890.7000000000007</v>
      </c>
      <c r="L15" s="78">
        <f t="shared" si="1"/>
        <v>12</v>
      </c>
    </row>
    <row r="16" spans="1:15" x14ac:dyDescent="0.3">
      <c r="A16" s="3">
        <v>44686</v>
      </c>
      <c r="B16" s="11" t="s">
        <v>2149</v>
      </c>
      <c r="C16" s="50" t="s">
        <v>2150</v>
      </c>
      <c r="E16" s="90" t="s">
        <v>16</v>
      </c>
      <c r="F16" s="15"/>
      <c r="H16" s="2">
        <v>200</v>
      </c>
      <c r="I16" s="78">
        <f t="shared" si="2"/>
        <v>4909.2999999999993</v>
      </c>
      <c r="J16" s="79">
        <f t="shared" si="0"/>
        <v>-4090.7000000000007</v>
      </c>
      <c r="L16" s="78">
        <f t="shared" si="1"/>
        <v>25.8</v>
      </c>
    </row>
    <row r="17" spans="1:12" x14ac:dyDescent="0.3">
      <c r="A17" s="3">
        <v>44686</v>
      </c>
      <c r="B17" s="11" t="s">
        <v>1170</v>
      </c>
      <c r="F17" s="15">
        <v>212519120262</v>
      </c>
      <c r="G17" s="2">
        <v>7800</v>
      </c>
      <c r="I17" s="78">
        <f t="shared" si="2"/>
        <v>12709.3</v>
      </c>
      <c r="J17" s="79">
        <f t="shared" si="0"/>
        <v>3709.2999999999993</v>
      </c>
      <c r="L17" s="78">
        <f t="shared" si="1"/>
        <v>20</v>
      </c>
    </row>
    <row r="18" spans="1:12" x14ac:dyDescent="0.3">
      <c r="A18" s="3">
        <v>44686</v>
      </c>
      <c r="B18" s="11" t="s">
        <v>2143</v>
      </c>
      <c r="C18" s="50" t="s">
        <v>1356</v>
      </c>
      <c r="F18" s="15"/>
      <c r="H18" s="2">
        <v>10000</v>
      </c>
      <c r="I18" s="78">
        <f t="shared" si="2"/>
        <v>2709.2999999999993</v>
      </c>
      <c r="J18" s="79">
        <f t="shared" si="0"/>
        <v>-6290.7000000000007</v>
      </c>
      <c r="L18" s="78">
        <f t="shared" si="1"/>
        <v>20</v>
      </c>
    </row>
    <row r="19" spans="1:12" x14ac:dyDescent="0.3">
      <c r="A19" s="3">
        <v>44686</v>
      </c>
      <c r="B19" s="11" t="s">
        <v>2151</v>
      </c>
      <c r="C19" s="50" t="s">
        <v>1355</v>
      </c>
      <c r="D19" s="50">
        <v>9955844105</v>
      </c>
      <c r="F19" s="15"/>
      <c r="H19" s="2">
        <v>500</v>
      </c>
      <c r="I19" s="78">
        <f t="shared" si="2"/>
        <v>2209.2999999999993</v>
      </c>
      <c r="J19" s="79">
        <f t="shared" si="0"/>
        <v>-6790.7000000000007</v>
      </c>
      <c r="L19" s="78">
        <f t="shared" si="1"/>
        <v>2</v>
      </c>
    </row>
    <row r="20" spans="1:12" x14ac:dyDescent="0.3">
      <c r="A20" s="3">
        <v>44687</v>
      </c>
      <c r="C20" s="50" t="s">
        <v>2152</v>
      </c>
      <c r="F20" s="15"/>
      <c r="G20" s="2">
        <v>10000</v>
      </c>
      <c r="I20" s="78">
        <f t="shared" si="2"/>
        <v>12209.3</v>
      </c>
      <c r="J20" s="79">
        <f t="shared" si="0"/>
        <v>3209.2999999999993</v>
      </c>
      <c r="L20" s="78">
        <f t="shared" si="1"/>
        <v>20</v>
      </c>
    </row>
    <row r="21" spans="1:12" x14ac:dyDescent="0.3">
      <c r="A21" s="3">
        <v>44687</v>
      </c>
      <c r="B21" s="11" t="s">
        <v>2143</v>
      </c>
      <c r="C21" s="103" t="s">
        <v>1279</v>
      </c>
      <c r="F21" s="15"/>
      <c r="H21" s="2">
        <v>10000</v>
      </c>
      <c r="I21" s="78">
        <f t="shared" si="2"/>
        <v>2209.2999999999993</v>
      </c>
      <c r="J21" s="79">
        <f t="shared" si="0"/>
        <v>-6790.7000000000007</v>
      </c>
      <c r="L21" s="78">
        <f t="shared" si="1"/>
        <v>20</v>
      </c>
    </row>
    <row r="22" spans="1:12" x14ac:dyDescent="0.3">
      <c r="A22" s="3">
        <v>44687</v>
      </c>
      <c r="B22" s="11" t="s">
        <v>2153</v>
      </c>
      <c r="E22" s="90" t="s">
        <v>14</v>
      </c>
      <c r="F22" s="15">
        <v>212612777859</v>
      </c>
      <c r="H22" s="2">
        <v>500</v>
      </c>
      <c r="I22" s="78">
        <f t="shared" si="2"/>
        <v>1709.2999999999993</v>
      </c>
      <c r="J22" s="79">
        <f t="shared" si="0"/>
        <v>-7290.7000000000007</v>
      </c>
      <c r="L22" s="78">
        <f t="shared" si="1"/>
        <v>27</v>
      </c>
    </row>
    <row r="23" spans="1:12" x14ac:dyDescent="0.3">
      <c r="A23" s="3">
        <v>44689</v>
      </c>
      <c r="B23" s="11" t="s">
        <v>1170</v>
      </c>
      <c r="F23" s="15">
        <v>212811934878</v>
      </c>
      <c r="G23" s="2">
        <v>900</v>
      </c>
      <c r="I23" s="78">
        <f t="shared" si="2"/>
        <v>2609.2999999999993</v>
      </c>
      <c r="J23" s="79">
        <f t="shared" si="0"/>
        <v>-6390.7000000000007</v>
      </c>
      <c r="L23" s="78">
        <f t="shared" si="1"/>
        <v>3.6</v>
      </c>
    </row>
    <row r="24" spans="1:12" x14ac:dyDescent="0.3">
      <c r="A24" s="3">
        <v>44690</v>
      </c>
      <c r="B24" s="11" t="s">
        <v>2169</v>
      </c>
      <c r="C24" s="50" t="s">
        <v>2170</v>
      </c>
      <c r="D24" s="50">
        <v>7209627589</v>
      </c>
      <c r="E24" s="90" t="s">
        <v>16</v>
      </c>
      <c r="F24" s="15">
        <v>212913469233</v>
      </c>
      <c r="H24" s="2">
        <v>1000</v>
      </c>
      <c r="I24" s="78">
        <f t="shared" si="2"/>
        <v>1609.2999999999993</v>
      </c>
      <c r="J24" s="79">
        <f t="shared" si="0"/>
        <v>-7390.7000000000007</v>
      </c>
      <c r="L24" s="78">
        <f t="shared" si="1"/>
        <v>29</v>
      </c>
    </row>
    <row r="25" spans="1:12" x14ac:dyDescent="0.3">
      <c r="A25" s="3">
        <v>44691</v>
      </c>
      <c r="B25" s="11" t="s">
        <v>2172</v>
      </c>
      <c r="C25" s="50" t="s">
        <v>2171</v>
      </c>
      <c r="D25" s="50">
        <v>7070948598</v>
      </c>
      <c r="F25" s="15">
        <v>213009802402</v>
      </c>
      <c r="G25" s="2">
        <v>3000</v>
      </c>
      <c r="I25" s="78">
        <f t="shared" si="2"/>
        <v>4609.2999999999993</v>
      </c>
      <c r="J25" s="79">
        <f t="shared" si="0"/>
        <v>-4390.7000000000007</v>
      </c>
      <c r="L25" s="78">
        <f t="shared" si="1"/>
        <v>12</v>
      </c>
    </row>
    <row r="26" spans="1:12" x14ac:dyDescent="0.3">
      <c r="A26" s="3">
        <v>44691</v>
      </c>
      <c r="B26" s="11" t="s">
        <v>2173</v>
      </c>
      <c r="F26"/>
      <c r="G26" s="2">
        <v>5000</v>
      </c>
      <c r="I26" s="78">
        <f t="shared" si="2"/>
        <v>9609.2999999999993</v>
      </c>
      <c r="J26" s="79">
        <f t="shared" si="0"/>
        <v>609.29999999999927</v>
      </c>
      <c r="L26" s="78">
        <f t="shared" si="1"/>
        <v>20</v>
      </c>
    </row>
    <row r="27" spans="1:12" x14ac:dyDescent="0.3">
      <c r="A27" s="3">
        <v>44691</v>
      </c>
      <c r="B27" s="11" t="s">
        <v>1250</v>
      </c>
      <c r="F27" s="15">
        <v>213012852966</v>
      </c>
      <c r="G27" s="2">
        <v>3000</v>
      </c>
      <c r="I27" s="78">
        <f t="shared" si="2"/>
        <v>12609.3</v>
      </c>
      <c r="J27" s="79">
        <f t="shared" si="0"/>
        <v>3609.2999999999993</v>
      </c>
      <c r="L27" s="78">
        <f t="shared" si="1"/>
        <v>12</v>
      </c>
    </row>
    <row r="28" spans="1:12" x14ac:dyDescent="0.3">
      <c r="A28" s="3">
        <v>44691</v>
      </c>
      <c r="B28" s="11" t="s">
        <v>2139</v>
      </c>
      <c r="C28" s="50" t="s">
        <v>1253</v>
      </c>
      <c r="F28" s="15">
        <v>213012883286</v>
      </c>
      <c r="G28" s="2">
        <v>500</v>
      </c>
      <c r="H28" s="109">
        <v>45955</v>
      </c>
      <c r="I28" s="78">
        <f t="shared" si="2"/>
        <v>-32845.699999999997</v>
      </c>
      <c r="J28" s="79">
        <f t="shared" si="0"/>
        <v>-41845.699999999997</v>
      </c>
      <c r="L28" s="78">
        <f t="shared" si="1"/>
        <v>20</v>
      </c>
    </row>
    <row r="29" spans="1:12" x14ac:dyDescent="0.3">
      <c r="A29" s="3">
        <v>44691</v>
      </c>
      <c r="C29" s="50" t="s">
        <v>2182</v>
      </c>
      <c r="F29" s="15"/>
      <c r="G29" s="2">
        <v>500</v>
      </c>
      <c r="H29" s="109">
        <v>45976</v>
      </c>
      <c r="I29" s="78">
        <f t="shared" si="2"/>
        <v>-78321.7</v>
      </c>
      <c r="J29" s="79">
        <f t="shared" si="0"/>
        <v>-87321.7</v>
      </c>
      <c r="L29" s="78"/>
    </row>
    <row r="30" spans="1:12" x14ac:dyDescent="0.3">
      <c r="A30" s="3">
        <v>44691</v>
      </c>
      <c r="B30" s="11" t="s">
        <v>2174</v>
      </c>
      <c r="C30" s="50" t="s">
        <v>2175</v>
      </c>
      <c r="E30" s="90" t="s">
        <v>14</v>
      </c>
      <c r="F30" s="15">
        <v>5063</v>
      </c>
      <c r="G30" s="2">
        <v>2100</v>
      </c>
      <c r="H30" s="109">
        <v>45986</v>
      </c>
      <c r="I30" s="78">
        <f t="shared" si="2"/>
        <v>-122207.7</v>
      </c>
      <c r="J30" s="79">
        <f t="shared" si="0"/>
        <v>-131207.70000000001</v>
      </c>
      <c r="L30" s="78">
        <f>IF((G30+H30)&lt;=5000,(H30+G30)*0.004,20)+IF(E30="Y",25,0)</f>
        <v>45</v>
      </c>
    </row>
    <row r="31" spans="1:12" x14ac:dyDescent="0.3">
      <c r="A31" s="3">
        <v>44692</v>
      </c>
      <c r="B31" s="11" t="s">
        <v>2180</v>
      </c>
      <c r="C31" s="50" t="s">
        <v>2181</v>
      </c>
      <c r="F31" s="15">
        <v>213111021763</v>
      </c>
      <c r="G31" s="2">
        <v>1000</v>
      </c>
      <c r="H31" s="109">
        <v>45989</v>
      </c>
      <c r="I31" s="78">
        <f t="shared" si="2"/>
        <v>-167196.70000000001</v>
      </c>
      <c r="J31" s="79">
        <f t="shared" si="0"/>
        <v>-176196.7</v>
      </c>
      <c r="L31" s="78">
        <f>IF((G31+H31)&lt;=5000,(H31+G31)*0.004,20)+IF(E31="Y",25,0)</f>
        <v>20</v>
      </c>
    </row>
    <row r="32" spans="1:12" x14ac:dyDescent="0.3">
      <c r="A32" s="3">
        <v>44692</v>
      </c>
      <c r="B32" s="11" t="s">
        <v>9374</v>
      </c>
      <c r="C32" s="50">
        <v>4418097</v>
      </c>
      <c r="F32" s="15" t="s">
        <v>9378</v>
      </c>
      <c r="G32" s="2">
        <v>1000</v>
      </c>
      <c r="H32" s="109">
        <v>45971</v>
      </c>
      <c r="I32" s="78">
        <f t="shared" si="2"/>
        <v>-212167.7</v>
      </c>
      <c r="J32" s="79">
        <f t="shared" si="0"/>
        <v>-221167.7</v>
      </c>
      <c r="L32" s="78">
        <f>IF((G32+H32)&lt;=5000,(H32+G32)*0.004,20)+IF(E32="Y",25,0)</f>
        <v>20</v>
      </c>
    </row>
    <row r="33" spans="1:12" x14ac:dyDescent="0.3">
      <c r="A33" s="3">
        <v>9905498895</v>
      </c>
      <c r="B33" s="11" t="s">
        <v>9384</v>
      </c>
      <c r="C33" s="50">
        <v>4421178</v>
      </c>
      <c r="F33" s="15">
        <v>6480</v>
      </c>
      <c r="G33" s="90">
        <v>1000</v>
      </c>
      <c r="H33" s="109">
        <v>45971</v>
      </c>
      <c r="I33" s="78">
        <f t="shared" si="2"/>
        <v>-257138.7</v>
      </c>
      <c r="J33" s="79">
        <f t="shared" si="0"/>
        <v>-266138.7</v>
      </c>
      <c r="L33" s="78" t="e">
        <f>IF((#REF!+H33)&lt;=5000,(H33+#REF!)*0.004,20)+IF(G33="Y",25,0)</f>
        <v>#REF!</v>
      </c>
    </row>
    <row r="34" spans="1:12" x14ac:dyDescent="0.3">
      <c r="A34" s="131" t="s">
        <v>2183</v>
      </c>
      <c r="F34" s="15"/>
      <c r="G34" s="2">
        <v>610</v>
      </c>
      <c r="I34" s="78">
        <f t="shared" si="2"/>
        <v>-256528.7</v>
      </c>
      <c r="J34" s="79">
        <f t="shared" si="0"/>
        <v>-265528.7</v>
      </c>
      <c r="L34" s="78"/>
    </row>
    <row r="35" spans="1:12" x14ac:dyDescent="0.3">
      <c r="A35" s="131"/>
      <c r="F35" s="15"/>
      <c r="I35" s="78"/>
      <c r="J35" s="79"/>
      <c r="L35" s="78"/>
    </row>
    <row r="36" spans="1:12" x14ac:dyDescent="0.3">
      <c r="A36" s="131"/>
      <c r="F36" s="15"/>
      <c r="I36" s="78"/>
      <c r="J36" s="79"/>
      <c r="L36" s="78"/>
    </row>
    <row r="37" spans="1:12" x14ac:dyDescent="0.3">
      <c r="A37" s="131"/>
      <c r="F37" s="15"/>
      <c r="I37" s="78"/>
      <c r="J37" s="79"/>
      <c r="L37" s="78"/>
    </row>
    <row r="38" spans="1:12" x14ac:dyDescent="0.3">
      <c r="A38" s="131"/>
      <c r="F38" s="15"/>
      <c r="I38" s="78"/>
      <c r="J38" s="79"/>
      <c r="L38" s="78"/>
    </row>
    <row r="39" spans="1:12" x14ac:dyDescent="0.3">
      <c r="A39" s="131"/>
      <c r="F39" s="15"/>
      <c r="I39" s="78"/>
      <c r="J39" s="79"/>
      <c r="L39" s="78"/>
    </row>
    <row r="40" spans="1:12" x14ac:dyDescent="0.3">
      <c r="A40" s="131"/>
      <c r="F40" s="15"/>
      <c r="I40" s="78"/>
      <c r="J40" s="79"/>
      <c r="L40" s="78"/>
    </row>
    <row r="41" spans="1:12" x14ac:dyDescent="0.3">
      <c r="A41" s="131"/>
      <c r="F41" s="15"/>
      <c r="I41" s="78"/>
      <c r="J41" s="79"/>
      <c r="L41" s="78"/>
    </row>
    <row r="42" spans="1:12" x14ac:dyDescent="0.3">
      <c r="A42" s="131"/>
      <c r="F42" s="15"/>
      <c r="I42" s="78"/>
      <c r="J42" s="79"/>
      <c r="L42" s="78"/>
    </row>
    <row r="43" spans="1:12" x14ac:dyDescent="0.3">
      <c r="A43" s="131"/>
      <c r="F43" s="15"/>
      <c r="I43" s="78"/>
      <c r="J43" s="79"/>
      <c r="L43" s="78"/>
    </row>
    <row r="44" spans="1:12" x14ac:dyDescent="0.3">
      <c r="A44" s="131"/>
      <c r="F44" s="15"/>
      <c r="I44" s="78"/>
      <c r="J44" s="79"/>
      <c r="L44" s="78"/>
    </row>
    <row r="45" spans="1:12" x14ac:dyDescent="0.3">
      <c r="A45" s="131"/>
      <c r="F45" s="15"/>
      <c r="I45" s="78"/>
      <c r="J45" s="79"/>
      <c r="L45" s="78"/>
    </row>
    <row r="46" spans="1:12" x14ac:dyDescent="0.3">
      <c r="A46" s="131"/>
      <c r="F46" s="15"/>
      <c r="I46" s="78"/>
      <c r="J46" s="79"/>
      <c r="L46" s="78"/>
    </row>
    <row r="47" spans="1:12" x14ac:dyDescent="0.3">
      <c r="A47" s="3">
        <v>44695</v>
      </c>
      <c r="C47" s="50" t="s">
        <v>1160</v>
      </c>
      <c r="F47" s="15">
        <v>213411398130</v>
      </c>
      <c r="G47" s="2">
        <v>2000</v>
      </c>
      <c r="I47" s="78">
        <f>I34+G47-H47</f>
        <v>-254528.7</v>
      </c>
      <c r="J47" s="79">
        <f t="shared" si="0"/>
        <v>-263528.7</v>
      </c>
      <c r="L47" s="78">
        <f t="shared" ref="L47:L57" si="3">IF((G47+H47)&lt;=5000,(H47+G47)*0.004,20)+IF(E47="Y",25,0)</f>
        <v>8</v>
      </c>
    </row>
    <row r="48" spans="1:12" x14ac:dyDescent="0.3">
      <c r="A48" s="3">
        <v>44695</v>
      </c>
      <c r="B48" s="11" t="s">
        <v>2184</v>
      </c>
      <c r="C48" s="50" t="s">
        <v>2186</v>
      </c>
      <c r="F48"/>
      <c r="H48" s="2">
        <v>3600</v>
      </c>
      <c r="I48" s="78">
        <f t="shared" si="2"/>
        <v>-258128.7</v>
      </c>
      <c r="J48" s="79">
        <f t="shared" ref="J48:J79" si="4">I48-$J$1</f>
        <v>-267128.7</v>
      </c>
      <c r="L48" s="78">
        <f t="shared" si="3"/>
        <v>14.4</v>
      </c>
    </row>
    <row r="49" spans="1:12" x14ac:dyDescent="0.3">
      <c r="A49" s="3">
        <v>44695</v>
      </c>
      <c r="B49" s="11" t="s">
        <v>2185</v>
      </c>
      <c r="C49" s="50" t="s">
        <v>2187</v>
      </c>
      <c r="F49" s="15">
        <v>213417638813</v>
      </c>
      <c r="H49" s="2">
        <v>400</v>
      </c>
      <c r="I49" s="78">
        <f t="shared" si="2"/>
        <v>-258528.7</v>
      </c>
      <c r="J49" s="79">
        <f t="shared" si="4"/>
        <v>-267528.7</v>
      </c>
      <c r="L49" s="78">
        <f t="shared" si="3"/>
        <v>1.6</v>
      </c>
    </row>
    <row r="50" spans="1:12" x14ac:dyDescent="0.3">
      <c r="A50" s="3">
        <v>44698</v>
      </c>
      <c r="B50" s="11" t="s">
        <v>1471</v>
      </c>
      <c r="C50" s="50" t="s">
        <v>1469</v>
      </c>
      <c r="F50" s="15">
        <v>213709523566</v>
      </c>
      <c r="H50" s="2">
        <v>500</v>
      </c>
      <c r="I50" s="78">
        <f t="shared" si="2"/>
        <v>-259028.7</v>
      </c>
      <c r="J50" s="79">
        <f t="shared" si="4"/>
        <v>-268028.7</v>
      </c>
      <c r="L50" s="78">
        <f t="shared" si="3"/>
        <v>2</v>
      </c>
    </row>
    <row r="51" spans="1:12" x14ac:dyDescent="0.3">
      <c r="A51" s="3">
        <v>44698</v>
      </c>
      <c r="B51" s="11" t="s">
        <v>2188</v>
      </c>
      <c r="C51" s="50" t="s">
        <v>2189</v>
      </c>
      <c r="F51" s="15">
        <v>213709530996</v>
      </c>
      <c r="H51" s="2">
        <v>1000</v>
      </c>
      <c r="I51" s="78">
        <f t="shared" si="2"/>
        <v>-260028.7</v>
      </c>
      <c r="J51" s="79">
        <f t="shared" si="4"/>
        <v>-269028.7</v>
      </c>
      <c r="L51" s="78">
        <f t="shared" si="3"/>
        <v>4</v>
      </c>
    </row>
    <row r="52" spans="1:12" x14ac:dyDescent="0.3">
      <c r="A52" s="3">
        <v>44699</v>
      </c>
      <c r="B52" s="11" t="s">
        <v>2197</v>
      </c>
      <c r="C52" s="50" t="s">
        <v>2198</v>
      </c>
      <c r="E52" s="90" t="s">
        <v>16</v>
      </c>
      <c r="F52" s="15"/>
      <c r="H52" s="2">
        <v>100</v>
      </c>
      <c r="I52" s="78">
        <f t="shared" si="2"/>
        <v>-260128.7</v>
      </c>
      <c r="J52" s="79">
        <f t="shared" si="4"/>
        <v>-269128.7</v>
      </c>
      <c r="L52" s="78">
        <f t="shared" si="3"/>
        <v>25.4</v>
      </c>
    </row>
    <row r="53" spans="1:12" x14ac:dyDescent="0.3">
      <c r="A53" s="3">
        <v>44699</v>
      </c>
      <c r="B53" s="11" t="s">
        <v>2199</v>
      </c>
      <c r="C53" s="50" t="s">
        <v>2190</v>
      </c>
      <c r="F53" s="15"/>
      <c r="H53" s="2">
        <v>100</v>
      </c>
      <c r="I53" s="78">
        <f t="shared" si="2"/>
        <v>-260228.7</v>
      </c>
      <c r="J53" s="79">
        <f t="shared" si="4"/>
        <v>-269228.7</v>
      </c>
      <c r="L53" s="78">
        <f t="shared" si="3"/>
        <v>0.4</v>
      </c>
    </row>
    <row r="54" spans="1:12" x14ac:dyDescent="0.3">
      <c r="A54" s="3">
        <v>44699</v>
      </c>
      <c r="B54" s="11" t="s">
        <v>2204</v>
      </c>
      <c r="C54" s="50" t="s">
        <v>2203</v>
      </c>
      <c r="F54" s="15">
        <v>213817801560</v>
      </c>
      <c r="G54" s="2">
        <v>2000</v>
      </c>
      <c r="I54" s="78">
        <f t="shared" si="2"/>
        <v>-258228.7</v>
      </c>
      <c r="J54" s="79">
        <f t="shared" si="4"/>
        <v>-267228.7</v>
      </c>
      <c r="L54" s="78">
        <f t="shared" si="3"/>
        <v>8</v>
      </c>
    </row>
    <row r="55" spans="1:12" x14ac:dyDescent="0.3">
      <c r="A55" s="3">
        <v>44699</v>
      </c>
      <c r="B55" s="11" t="s">
        <v>2197</v>
      </c>
      <c r="C55" s="50" t="s">
        <v>2198</v>
      </c>
      <c r="F55" s="15">
        <v>213817813431</v>
      </c>
      <c r="H55" s="2">
        <v>400</v>
      </c>
      <c r="I55" s="78">
        <f t="shared" si="2"/>
        <v>-258628.7</v>
      </c>
      <c r="J55" s="79">
        <f t="shared" si="4"/>
        <v>-267628.7</v>
      </c>
      <c r="L55" s="78">
        <f t="shared" si="3"/>
        <v>1.6</v>
      </c>
    </row>
    <row r="56" spans="1:12" x14ac:dyDescent="0.3">
      <c r="A56" s="3">
        <v>44699</v>
      </c>
      <c r="B56" s="11" t="s">
        <v>2205</v>
      </c>
      <c r="C56" s="50" t="s">
        <v>2206</v>
      </c>
      <c r="E56" s="90" t="s">
        <v>16</v>
      </c>
      <c r="F56" s="15"/>
      <c r="H56" s="2">
        <v>150</v>
      </c>
      <c r="I56" s="78">
        <f t="shared" si="2"/>
        <v>-258778.7</v>
      </c>
      <c r="J56" s="79">
        <f t="shared" si="4"/>
        <v>-267778.7</v>
      </c>
      <c r="L56" s="78">
        <f t="shared" si="3"/>
        <v>25.6</v>
      </c>
    </row>
    <row r="57" spans="1:12" x14ac:dyDescent="0.3">
      <c r="A57" s="3">
        <v>44699</v>
      </c>
      <c r="B57" s="11" t="s">
        <v>2211</v>
      </c>
      <c r="C57" s="50" t="s">
        <v>2212</v>
      </c>
      <c r="E57" s="90" t="s">
        <v>16</v>
      </c>
      <c r="F57" s="15">
        <v>213820644497</v>
      </c>
      <c r="H57" s="2">
        <v>100</v>
      </c>
      <c r="I57" s="78">
        <f t="shared" si="2"/>
        <v>-258878.7</v>
      </c>
      <c r="J57" s="79">
        <f t="shared" si="4"/>
        <v>-267878.7</v>
      </c>
      <c r="L57" s="78">
        <f t="shared" si="3"/>
        <v>25.4</v>
      </c>
    </row>
    <row r="58" spans="1:12" x14ac:dyDescent="0.3">
      <c r="A58" s="3">
        <v>44700</v>
      </c>
      <c r="C58" s="50" t="s">
        <v>2213</v>
      </c>
      <c r="F58" s="15"/>
      <c r="G58" s="2">
        <v>7000</v>
      </c>
      <c r="I58" s="78">
        <f t="shared" si="2"/>
        <v>-251878.7</v>
      </c>
      <c r="J58" s="79">
        <f t="shared" si="4"/>
        <v>-260878.7</v>
      </c>
      <c r="L58" s="78"/>
    </row>
    <row r="59" spans="1:12" x14ac:dyDescent="0.3">
      <c r="A59" s="3">
        <v>44700</v>
      </c>
      <c r="B59" s="11" t="s">
        <v>1257</v>
      </c>
      <c r="C59" s="50" t="s">
        <v>1253</v>
      </c>
      <c r="F59" s="15">
        <v>213912340875</v>
      </c>
      <c r="H59" s="2">
        <v>5000</v>
      </c>
      <c r="I59" s="78">
        <f t="shared" si="2"/>
        <v>-256878.7</v>
      </c>
      <c r="J59" s="79">
        <f t="shared" si="4"/>
        <v>-265878.7</v>
      </c>
      <c r="L59" s="78">
        <f t="shared" ref="L59:L87" si="5">IF((G59+H59)&lt;=5000,(H59+G59)*0.004,20)+IF(E59="Y",25,0)</f>
        <v>20</v>
      </c>
    </row>
    <row r="60" spans="1:12" x14ac:dyDescent="0.3">
      <c r="A60" s="3">
        <v>44702</v>
      </c>
      <c r="B60" s="11" t="s">
        <v>2217</v>
      </c>
      <c r="C60" s="50" t="s">
        <v>2218</v>
      </c>
      <c r="D60" s="50">
        <v>8825227510</v>
      </c>
      <c r="F60" s="15">
        <v>214112102770</v>
      </c>
      <c r="G60" s="2">
        <v>2000</v>
      </c>
      <c r="I60" s="78">
        <f t="shared" si="2"/>
        <v>-254878.7</v>
      </c>
      <c r="J60" s="79">
        <f t="shared" si="4"/>
        <v>-263878.7</v>
      </c>
      <c r="L60" s="78">
        <f t="shared" si="5"/>
        <v>8</v>
      </c>
    </row>
    <row r="61" spans="1:12" x14ac:dyDescent="0.3">
      <c r="A61" s="3">
        <v>44702</v>
      </c>
      <c r="B61" s="11" t="s">
        <v>2227</v>
      </c>
      <c r="E61" s="90" t="s">
        <v>16</v>
      </c>
      <c r="F61" s="15"/>
      <c r="H61" s="2">
        <v>100</v>
      </c>
      <c r="I61" s="78">
        <f t="shared" si="2"/>
        <v>-254978.7</v>
      </c>
      <c r="J61" s="79">
        <f t="shared" si="4"/>
        <v>-263978.7</v>
      </c>
      <c r="L61" s="78">
        <f t="shared" si="5"/>
        <v>25.4</v>
      </c>
    </row>
    <row r="62" spans="1:12" x14ac:dyDescent="0.3">
      <c r="A62" s="3">
        <v>44702</v>
      </c>
      <c r="B62" s="11" t="s">
        <v>2228</v>
      </c>
      <c r="C62" s="50" t="s">
        <v>2229</v>
      </c>
      <c r="E62" s="90" t="s">
        <v>16</v>
      </c>
      <c r="F62" s="15"/>
      <c r="H62" s="2">
        <v>150</v>
      </c>
      <c r="I62" s="78">
        <f t="shared" si="2"/>
        <v>-255128.7</v>
      </c>
      <c r="J62" s="79">
        <f t="shared" si="4"/>
        <v>-264128.7</v>
      </c>
      <c r="L62" s="78">
        <f t="shared" si="5"/>
        <v>25.6</v>
      </c>
    </row>
    <row r="63" spans="1:12" x14ac:dyDescent="0.3">
      <c r="A63" s="3">
        <v>44704</v>
      </c>
      <c r="B63" s="11" t="s">
        <v>2230</v>
      </c>
      <c r="C63" s="50" t="s">
        <v>2231</v>
      </c>
      <c r="F63" s="15">
        <v>214310941836</v>
      </c>
      <c r="H63" s="2">
        <v>3300</v>
      </c>
      <c r="I63" s="78">
        <f t="shared" si="2"/>
        <v>-258428.7</v>
      </c>
      <c r="J63" s="79">
        <f t="shared" si="4"/>
        <v>-267428.7</v>
      </c>
      <c r="L63" s="78">
        <f t="shared" si="5"/>
        <v>13.200000000000001</v>
      </c>
    </row>
    <row r="64" spans="1:12" x14ac:dyDescent="0.3">
      <c r="A64" s="3">
        <v>44704</v>
      </c>
      <c r="B64" s="11" t="s">
        <v>2199</v>
      </c>
      <c r="C64" s="50" t="s">
        <v>2190</v>
      </c>
      <c r="F64" s="15">
        <v>214312828563</v>
      </c>
      <c r="G64" s="2">
        <v>1000</v>
      </c>
      <c r="I64" s="78">
        <f t="shared" si="2"/>
        <v>-257428.7</v>
      </c>
      <c r="J64" s="79">
        <f t="shared" si="4"/>
        <v>-266428.7</v>
      </c>
      <c r="L64" s="78">
        <f t="shared" si="5"/>
        <v>4</v>
      </c>
    </row>
    <row r="65" spans="1:12" x14ac:dyDescent="0.3">
      <c r="A65" s="3">
        <v>44704</v>
      </c>
      <c r="B65" s="11" t="s">
        <v>2232</v>
      </c>
      <c r="C65" s="50" t="s">
        <v>2233</v>
      </c>
      <c r="E65" s="90" t="s">
        <v>16</v>
      </c>
      <c r="F65" s="15"/>
      <c r="H65" s="2">
        <v>100</v>
      </c>
      <c r="I65" s="78">
        <f t="shared" si="2"/>
        <v>-257528.7</v>
      </c>
      <c r="J65" s="79">
        <f t="shared" si="4"/>
        <v>-266528.7</v>
      </c>
      <c r="L65" s="78">
        <f t="shared" si="5"/>
        <v>25.4</v>
      </c>
    </row>
    <row r="66" spans="1:12" x14ac:dyDescent="0.3">
      <c r="A66" s="3">
        <v>44705</v>
      </c>
      <c r="B66" s="11" t="s">
        <v>2234</v>
      </c>
      <c r="C66" s="50" t="s">
        <v>2235</v>
      </c>
      <c r="D66" s="50">
        <v>6299599390</v>
      </c>
      <c r="F66" s="15">
        <v>214410624012</v>
      </c>
      <c r="G66" s="2">
        <v>2000</v>
      </c>
      <c r="I66" s="78">
        <f t="shared" si="2"/>
        <v>-255528.7</v>
      </c>
      <c r="J66" s="79">
        <f t="shared" si="4"/>
        <v>-264528.7</v>
      </c>
      <c r="L66" s="78">
        <f t="shared" si="5"/>
        <v>8</v>
      </c>
    </row>
    <row r="67" spans="1:12" x14ac:dyDescent="0.3">
      <c r="A67" s="3">
        <v>44705</v>
      </c>
      <c r="B67" s="11" t="s">
        <v>2236</v>
      </c>
      <c r="C67" s="50" t="s">
        <v>2237</v>
      </c>
      <c r="F67" s="15">
        <v>214410652712</v>
      </c>
      <c r="H67" s="2">
        <v>3000</v>
      </c>
      <c r="I67" s="78">
        <f t="shared" si="2"/>
        <v>-258528.7</v>
      </c>
      <c r="J67" s="79">
        <f t="shared" si="4"/>
        <v>-267528.7</v>
      </c>
      <c r="L67" s="78">
        <f t="shared" si="5"/>
        <v>12</v>
      </c>
    </row>
    <row r="68" spans="1:12" x14ac:dyDescent="0.3">
      <c r="A68" s="3">
        <v>44705</v>
      </c>
      <c r="B68" s="11" t="s">
        <v>2238</v>
      </c>
      <c r="C68" s="50" t="s">
        <v>2239</v>
      </c>
      <c r="F68" s="15"/>
      <c r="H68" s="2">
        <v>500</v>
      </c>
      <c r="I68" s="78">
        <f t="shared" si="2"/>
        <v>-259028.7</v>
      </c>
      <c r="J68" s="79">
        <f t="shared" si="4"/>
        <v>-268028.7</v>
      </c>
      <c r="L68" s="78">
        <f t="shared" si="5"/>
        <v>2</v>
      </c>
    </row>
    <row r="69" spans="1:12" x14ac:dyDescent="0.3">
      <c r="A69" s="3">
        <v>44706</v>
      </c>
      <c r="B69" s="11" t="s">
        <v>2232</v>
      </c>
      <c r="C69" s="50" t="s">
        <v>2233</v>
      </c>
      <c r="F69" s="15"/>
      <c r="H69" s="2">
        <v>700</v>
      </c>
      <c r="I69" s="78">
        <f t="shared" si="2"/>
        <v>-259728.7</v>
      </c>
      <c r="J69" s="79">
        <f t="shared" si="4"/>
        <v>-268728.7</v>
      </c>
      <c r="L69" s="78">
        <f t="shared" si="5"/>
        <v>2.8000000000000003</v>
      </c>
    </row>
    <row r="70" spans="1:12" x14ac:dyDescent="0.3">
      <c r="A70" s="3">
        <v>44707</v>
      </c>
      <c r="C70" s="50" t="s">
        <v>2241</v>
      </c>
      <c r="D70" s="50">
        <v>8542958757</v>
      </c>
      <c r="F70" s="15">
        <v>214612201950</v>
      </c>
      <c r="G70" s="2">
        <v>1000</v>
      </c>
      <c r="I70" s="78">
        <f t="shared" si="2"/>
        <v>-258728.7</v>
      </c>
      <c r="J70" s="79">
        <f t="shared" si="4"/>
        <v>-267728.7</v>
      </c>
      <c r="L70" s="78">
        <f t="shared" si="5"/>
        <v>4</v>
      </c>
    </row>
    <row r="71" spans="1:12" x14ac:dyDescent="0.3">
      <c r="A71" s="3">
        <v>44707</v>
      </c>
      <c r="C71" s="50" t="s">
        <v>1250</v>
      </c>
      <c r="F71" s="15">
        <v>214614562205</v>
      </c>
      <c r="G71" s="2">
        <v>6000</v>
      </c>
      <c r="I71" s="78">
        <f t="shared" si="2"/>
        <v>-252728.7</v>
      </c>
      <c r="J71" s="79">
        <f t="shared" si="4"/>
        <v>-261728.7</v>
      </c>
      <c r="L71" s="78">
        <f t="shared" si="5"/>
        <v>20</v>
      </c>
    </row>
    <row r="72" spans="1:12" x14ac:dyDescent="0.3">
      <c r="A72" s="3">
        <v>44707</v>
      </c>
      <c r="B72" s="11" t="s">
        <v>2240</v>
      </c>
      <c r="C72" s="50" t="s">
        <v>1385</v>
      </c>
      <c r="F72" s="15">
        <v>214614581584</v>
      </c>
      <c r="H72" s="2">
        <v>2000</v>
      </c>
      <c r="I72" s="78">
        <f t="shared" si="2"/>
        <v>-254728.7</v>
      </c>
      <c r="J72" s="79">
        <f t="shared" si="4"/>
        <v>-263728.7</v>
      </c>
      <c r="L72" s="78">
        <f t="shared" si="5"/>
        <v>8</v>
      </c>
    </row>
    <row r="73" spans="1:12" x14ac:dyDescent="0.3">
      <c r="A73" s="3">
        <v>44707</v>
      </c>
      <c r="B73" s="11" t="s">
        <v>2139</v>
      </c>
      <c r="C73" s="50" t="s">
        <v>1253</v>
      </c>
      <c r="F73" s="15">
        <v>214614570928</v>
      </c>
      <c r="H73" s="2">
        <v>5000</v>
      </c>
      <c r="I73" s="78">
        <f t="shared" si="2"/>
        <v>-259728.7</v>
      </c>
      <c r="J73" s="79">
        <f t="shared" si="4"/>
        <v>-268728.7</v>
      </c>
      <c r="L73" s="78">
        <f t="shared" si="5"/>
        <v>20</v>
      </c>
    </row>
    <row r="74" spans="1:12" x14ac:dyDescent="0.3">
      <c r="A74" s="3">
        <v>44707</v>
      </c>
      <c r="B74" s="11" t="s">
        <v>2242</v>
      </c>
      <c r="C74" s="50" t="s">
        <v>2243</v>
      </c>
      <c r="E74" s="90" t="s">
        <v>16</v>
      </c>
      <c r="F74"/>
      <c r="H74" s="2">
        <v>500</v>
      </c>
      <c r="I74" s="78">
        <f t="shared" si="2"/>
        <v>-260228.7</v>
      </c>
      <c r="J74" s="79">
        <f t="shared" si="4"/>
        <v>-269228.7</v>
      </c>
      <c r="L74" s="78">
        <f t="shared" si="5"/>
        <v>27</v>
      </c>
    </row>
    <row r="75" spans="1:12" x14ac:dyDescent="0.3">
      <c r="A75" s="3">
        <v>44708</v>
      </c>
      <c r="B75" s="11" t="s">
        <v>1250</v>
      </c>
      <c r="C75" s="50" t="s">
        <v>2245</v>
      </c>
      <c r="F75" s="15">
        <v>214717550579</v>
      </c>
      <c r="G75" s="2">
        <v>1000</v>
      </c>
      <c r="I75" s="78">
        <f t="shared" si="2"/>
        <v>-259228.7</v>
      </c>
      <c r="J75" s="79">
        <f t="shared" si="4"/>
        <v>-268228.7</v>
      </c>
      <c r="L75" s="78">
        <f t="shared" si="5"/>
        <v>4</v>
      </c>
    </row>
    <row r="76" spans="1:12" x14ac:dyDescent="0.3">
      <c r="A76" s="3">
        <v>44709</v>
      </c>
      <c r="B76" s="11" t="s">
        <v>1304</v>
      </c>
      <c r="C76" s="50" t="s">
        <v>2246</v>
      </c>
      <c r="F76" s="15">
        <v>214810613178</v>
      </c>
      <c r="H76" s="2">
        <v>500</v>
      </c>
      <c r="I76" s="78">
        <f t="shared" si="2"/>
        <v>-259728.7</v>
      </c>
      <c r="J76" s="79">
        <f t="shared" si="4"/>
        <v>-268728.7</v>
      </c>
      <c r="L76" s="78">
        <f t="shared" si="5"/>
        <v>2</v>
      </c>
    </row>
    <row r="77" spans="1:12" x14ac:dyDescent="0.3">
      <c r="A77" s="3">
        <v>44709</v>
      </c>
      <c r="B77" s="11" t="s">
        <v>2247</v>
      </c>
      <c r="C77" s="50" t="s">
        <v>2248</v>
      </c>
      <c r="E77" s="90" t="s">
        <v>16</v>
      </c>
      <c r="F77" s="15">
        <v>214811789834</v>
      </c>
      <c r="H77" s="2">
        <v>50</v>
      </c>
      <c r="I77" s="78">
        <f t="shared" si="2"/>
        <v>-259778.7</v>
      </c>
      <c r="J77" s="79">
        <f t="shared" si="4"/>
        <v>-268778.7</v>
      </c>
      <c r="L77" s="78">
        <f t="shared" si="5"/>
        <v>25.2</v>
      </c>
    </row>
    <row r="78" spans="1:12" x14ac:dyDescent="0.3">
      <c r="A78" s="3">
        <v>44709</v>
      </c>
      <c r="B78" s="11" t="s">
        <v>1160</v>
      </c>
      <c r="C78" s="50" t="s">
        <v>2249</v>
      </c>
      <c r="D78" s="50">
        <v>7209351669</v>
      </c>
      <c r="F78" s="15">
        <v>214811857380</v>
      </c>
      <c r="G78" s="2">
        <v>8000</v>
      </c>
      <c r="I78" s="78">
        <f t="shared" si="2"/>
        <v>-251778.7</v>
      </c>
      <c r="J78" s="79">
        <f t="shared" si="4"/>
        <v>-260778.7</v>
      </c>
      <c r="L78" s="78">
        <f t="shared" si="5"/>
        <v>20</v>
      </c>
    </row>
    <row r="79" spans="1:12" x14ac:dyDescent="0.3">
      <c r="A79" s="3">
        <v>44709</v>
      </c>
      <c r="B79" s="11" t="s">
        <v>1250</v>
      </c>
      <c r="C79" s="50" t="s">
        <v>2245</v>
      </c>
      <c r="F79" s="15">
        <v>214819397647</v>
      </c>
      <c r="G79" s="2">
        <v>500</v>
      </c>
      <c r="I79" s="78">
        <f t="shared" si="2"/>
        <v>-251278.7</v>
      </c>
      <c r="J79" s="79">
        <f t="shared" si="4"/>
        <v>-260278.7</v>
      </c>
      <c r="L79" s="78">
        <f t="shared" si="5"/>
        <v>2</v>
      </c>
    </row>
    <row r="80" spans="1:12" x14ac:dyDescent="0.3">
      <c r="A80" s="3">
        <v>44709</v>
      </c>
      <c r="B80" s="11" t="s">
        <v>2238</v>
      </c>
      <c r="C80" s="50" t="s">
        <v>2239</v>
      </c>
      <c r="F80" s="15">
        <v>214819403186</v>
      </c>
      <c r="H80" s="2">
        <v>1000</v>
      </c>
      <c r="I80" s="78">
        <f t="shared" si="2"/>
        <v>-252278.7</v>
      </c>
      <c r="J80" s="79">
        <f>I80-$J$1</f>
        <v>-261278.7</v>
      </c>
      <c r="L80" s="78">
        <f t="shared" si="5"/>
        <v>4</v>
      </c>
    </row>
    <row r="81" spans="1:14" x14ac:dyDescent="0.3">
      <c r="A81" s="3">
        <v>44709</v>
      </c>
      <c r="B81" s="11" t="s">
        <v>2251</v>
      </c>
      <c r="C81" s="50" t="s">
        <v>2250</v>
      </c>
      <c r="F81" s="15">
        <v>214819419736</v>
      </c>
      <c r="G81" s="2">
        <v>1500</v>
      </c>
      <c r="I81" s="78">
        <f t="shared" ref="I81:I167" si="6">I80+G81-H81</f>
        <v>-250778.7</v>
      </c>
      <c r="J81" s="79">
        <f>I81-$J$1</f>
        <v>-259778.7</v>
      </c>
      <c r="L81" s="78">
        <f t="shared" si="5"/>
        <v>6</v>
      </c>
    </row>
    <row r="82" spans="1:14" x14ac:dyDescent="0.3">
      <c r="A82" s="3">
        <v>44711</v>
      </c>
      <c r="B82" s="11" t="s">
        <v>2262</v>
      </c>
      <c r="C82" s="50" t="s">
        <v>2253</v>
      </c>
      <c r="E82" s="90" t="s">
        <v>16</v>
      </c>
      <c r="F82" s="15">
        <v>215012765985</v>
      </c>
      <c r="H82" s="2">
        <v>300</v>
      </c>
      <c r="I82" s="78">
        <f t="shared" si="6"/>
        <v>-251078.7</v>
      </c>
      <c r="J82" s="79">
        <f>I82-$J$1</f>
        <v>-260078.7</v>
      </c>
      <c r="L82" s="78">
        <f t="shared" si="5"/>
        <v>26.2</v>
      </c>
    </row>
    <row r="83" spans="1:14" x14ac:dyDescent="0.3">
      <c r="A83" s="3">
        <v>44711</v>
      </c>
      <c r="B83" s="11" t="s">
        <v>2263</v>
      </c>
      <c r="C83" s="50" t="s">
        <v>2264</v>
      </c>
      <c r="E83" s="90" t="s">
        <v>16</v>
      </c>
      <c r="F83" s="15">
        <v>215012786399</v>
      </c>
      <c r="H83" s="2">
        <v>200</v>
      </c>
      <c r="I83" s="78">
        <f t="shared" si="6"/>
        <v>-251278.7</v>
      </c>
      <c r="J83" s="79">
        <f>$J$1-I83</f>
        <v>260278.7</v>
      </c>
      <c r="L83" s="78">
        <f t="shared" si="5"/>
        <v>25.8</v>
      </c>
    </row>
    <row r="84" spans="1:14" x14ac:dyDescent="0.3">
      <c r="A84" s="3">
        <v>44711</v>
      </c>
      <c r="B84" s="11" t="s">
        <v>1257</v>
      </c>
      <c r="C84" s="50" t="s">
        <v>1253</v>
      </c>
      <c r="F84" s="15">
        <v>215012798202</v>
      </c>
      <c r="H84" s="2">
        <v>5000</v>
      </c>
      <c r="I84" s="78">
        <f t="shared" si="6"/>
        <v>-256278.7</v>
      </c>
      <c r="J84" s="79">
        <f>$J$1-I84</f>
        <v>265278.7</v>
      </c>
      <c r="L84" s="78">
        <f t="shared" si="5"/>
        <v>20</v>
      </c>
    </row>
    <row r="85" spans="1:14" x14ac:dyDescent="0.3">
      <c r="A85" s="3">
        <v>44711</v>
      </c>
      <c r="B85" s="11" t="s">
        <v>2238</v>
      </c>
      <c r="C85" s="50" t="s">
        <v>2239</v>
      </c>
      <c r="F85" s="15">
        <v>215018613760</v>
      </c>
      <c r="H85" s="2">
        <v>1000</v>
      </c>
      <c r="I85" s="78">
        <f t="shared" si="6"/>
        <v>-257278.7</v>
      </c>
      <c r="J85" s="79">
        <f>$J$1-I85</f>
        <v>266278.7</v>
      </c>
      <c r="L85" s="78">
        <f t="shared" si="5"/>
        <v>4</v>
      </c>
    </row>
    <row r="86" spans="1:14" x14ac:dyDescent="0.3">
      <c r="A86" s="3">
        <v>44711</v>
      </c>
      <c r="B86" s="11" t="s">
        <v>2265</v>
      </c>
      <c r="C86" s="50" t="s">
        <v>1636</v>
      </c>
      <c r="F86" s="15">
        <v>215019626407</v>
      </c>
      <c r="H86" s="2">
        <v>500</v>
      </c>
      <c r="I86" s="78">
        <f t="shared" si="6"/>
        <v>-257778.7</v>
      </c>
      <c r="J86" s="79">
        <f>$J$1-I86</f>
        <v>266778.7</v>
      </c>
      <c r="L86" s="78">
        <f t="shared" si="5"/>
        <v>2</v>
      </c>
    </row>
    <row r="87" spans="1:14" x14ac:dyDescent="0.3">
      <c r="A87" s="3">
        <v>44712</v>
      </c>
      <c r="F87" s="15"/>
      <c r="H87" s="2">
        <v>1000</v>
      </c>
      <c r="I87" s="78">
        <f t="shared" si="6"/>
        <v>-258778.7</v>
      </c>
      <c r="J87" s="79">
        <f>$J$1-I87</f>
        <v>267778.7</v>
      </c>
      <c r="L87" s="78">
        <f t="shared" si="5"/>
        <v>4</v>
      </c>
    </row>
    <row r="88" spans="1:14" x14ac:dyDescent="0.3">
      <c r="A88" s="77"/>
      <c r="B88" s="80"/>
      <c r="C88" s="112"/>
      <c r="D88" s="112"/>
      <c r="E88" s="92">
        <f>COUNTIF(E4:E87,"y")</f>
        <v>15</v>
      </c>
      <c r="F88" s="27">
        <f>G88+H88</f>
        <v>450808</v>
      </c>
      <c r="G88" s="81">
        <f>SUM(G4:G86)</f>
        <v>91410</v>
      </c>
      <c r="H88" s="81">
        <f>SUM(H4:H87)</f>
        <v>359398</v>
      </c>
      <c r="I88" s="82"/>
      <c r="J88" s="26"/>
      <c r="K88" s="26"/>
      <c r="L88" s="82" t="e">
        <f>SUM(L4:L87)</f>
        <v>#REF!</v>
      </c>
      <c r="M88" s="83"/>
      <c r="N88" s="26"/>
    </row>
    <row r="89" spans="1:14" x14ac:dyDescent="0.3">
      <c r="F89" s="15"/>
      <c r="I89" s="78"/>
    </row>
    <row r="90" spans="1:14" x14ac:dyDescent="0.3">
      <c r="A90" s="3">
        <v>44713</v>
      </c>
      <c r="B90" s="11" t="s">
        <v>2268</v>
      </c>
      <c r="F90" s="15"/>
      <c r="G90" s="2">
        <v>1629.3</v>
      </c>
      <c r="I90" s="78">
        <f t="shared" si="6"/>
        <v>1629.3</v>
      </c>
      <c r="J90">
        <f t="shared" ref="J90:J121" si="7">$J$1-I90</f>
        <v>7370.7</v>
      </c>
      <c r="L90" s="2">
        <v>0</v>
      </c>
    </row>
    <row r="91" spans="1:14" x14ac:dyDescent="0.3">
      <c r="A91" s="3">
        <v>44713</v>
      </c>
      <c r="B91" s="11" t="s">
        <v>2266</v>
      </c>
      <c r="C91" s="50" t="s">
        <v>2267</v>
      </c>
      <c r="D91" s="50">
        <v>7250991299</v>
      </c>
      <c r="F91" s="15">
        <v>215216321337</v>
      </c>
      <c r="G91" s="2">
        <v>3030</v>
      </c>
      <c r="I91" s="78">
        <f t="shared" si="6"/>
        <v>4659.3</v>
      </c>
      <c r="J91">
        <f t="shared" si="7"/>
        <v>4340.7</v>
      </c>
      <c r="L91" s="2">
        <f t="shared" ref="L91:L138" si="8">IF((G91+H91)&lt;=5000,(H91+G91)*0.004,20)+IF(E91="Y",25,0)</f>
        <v>12.120000000000001</v>
      </c>
    </row>
    <row r="92" spans="1:14" x14ac:dyDescent="0.3">
      <c r="A92" s="3">
        <v>44713</v>
      </c>
      <c r="B92" s="11" t="s">
        <v>2269</v>
      </c>
      <c r="C92" s="50" t="s">
        <v>585</v>
      </c>
      <c r="F92" s="15">
        <v>215216347301</v>
      </c>
      <c r="H92" s="2">
        <v>1500</v>
      </c>
      <c r="I92" s="78">
        <f t="shared" si="6"/>
        <v>3159.3</v>
      </c>
      <c r="J92">
        <f t="shared" si="7"/>
        <v>5840.7</v>
      </c>
      <c r="L92" s="2">
        <f t="shared" si="8"/>
        <v>6</v>
      </c>
    </row>
    <row r="93" spans="1:14" x14ac:dyDescent="0.3">
      <c r="A93" s="3">
        <v>44713</v>
      </c>
      <c r="B93" s="11" t="s">
        <v>2140</v>
      </c>
      <c r="C93" s="50" t="s">
        <v>1279</v>
      </c>
      <c r="F93" s="15">
        <v>215216355301</v>
      </c>
      <c r="H93" s="2">
        <v>3000</v>
      </c>
      <c r="I93" s="78">
        <f t="shared" si="6"/>
        <v>159.30000000000018</v>
      </c>
      <c r="J93">
        <f t="shared" si="7"/>
        <v>8840.7000000000007</v>
      </c>
      <c r="L93" s="2">
        <f t="shared" si="8"/>
        <v>12</v>
      </c>
    </row>
    <row r="94" spans="1:14" x14ac:dyDescent="0.3">
      <c r="A94" s="3">
        <v>44713</v>
      </c>
      <c r="B94" s="11" t="s">
        <v>1160</v>
      </c>
      <c r="C94" s="50" t="s">
        <v>2270</v>
      </c>
      <c r="D94" s="50">
        <v>8252623129</v>
      </c>
      <c r="F94" s="15">
        <v>215217629484</v>
      </c>
      <c r="G94" s="2">
        <v>8100</v>
      </c>
      <c r="I94" s="78">
        <f t="shared" si="6"/>
        <v>8259.2999999999993</v>
      </c>
      <c r="J94">
        <f t="shared" si="7"/>
        <v>740.70000000000073</v>
      </c>
      <c r="L94" s="2">
        <f t="shared" si="8"/>
        <v>20</v>
      </c>
    </row>
    <row r="95" spans="1:14" x14ac:dyDescent="0.3">
      <c r="A95" s="3">
        <v>44713</v>
      </c>
      <c r="B95" s="11" t="s">
        <v>1259</v>
      </c>
      <c r="C95" s="50" t="s">
        <v>1172</v>
      </c>
      <c r="F95" s="15">
        <v>21521641757</v>
      </c>
      <c r="H95" s="2">
        <v>1000</v>
      </c>
      <c r="I95" s="78">
        <f t="shared" si="6"/>
        <v>7259.2999999999993</v>
      </c>
      <c r="J95">
        <f t="shared" si="7"/>
        <v>1740.7000000000007</v>
      </c>
      <c r="L95" s="2">
        <f t="shared" si="8"/>
        <v>4</v>
      </c>
    </row>
    <row r="96" spans="1:14" x14ac:dyDescent="0.3">
      <c r="A96" s="3">
        <v>44713</v>
      </c>
      <c r="B96" s="11" t="s">
        <v>2271</v>
      </c>
      <c r="C96" s="50" t="s">
        <v>2272</v>
      </c>
      <c r="D96" s="50">
        <v>8409954513</v>
      </c>
      <c r="F96" s="15">
        <v>215219199194</v>
      </c>
      <c r="G96" s="2">
        <v>7000</v>
      </c>
      <c r="I96" s="78">
        <f t="shared" si="6"/>
        <v>14259.3</v>
      </c>
      <c r="J96">
        <f t="shared" si="7"/>
        <v>-5259.2999999999993</v>
      </c>
      <c r="L96" s="2">
        <f t="shared" si="8"/>
        <v>20</v>
      </c>
    </row>
    <row r="97" spans="1:12" x14ac:dyDescent="0.3">
      <c r="A97" s="3">
        <v>44713</v>
      </c>
      <c r="B97" s="11" t="s">
        <v>2238</v>
      </c>
      <c r="C97" s="50" t="s">
        <v>2239</v>
      </c>
      <c r="F97" s="15">
        <v>215219226192</v>
      </c>
      <c r="H97" s="2">
        <v>1000</v>
      </c>
      <c r="I97" s="78">
        <f t="shared" si="6"/>
        <v>13259.3</v>
      </c>
      <c r="J97">
        <f t="shared" si="7"/>
        <v>-4259.2999999999993</v>
      </c>
      <c r="L97" s="2">
        <f t="shared" si="8"/>
        <v>4</v>
      </c>
    </row>
    <row r="98" spans="1:12" x14ac:dyDescent="0.3">
      <c r="A98" s="3">
        <v>44714</v>
      </c>
      <c r="B98" s="11" t="s">
        <v>2140</v>
      </c>
      <c r="C98" s="50" t="s">
        <v>1279</v>
      </c>
      <c r="F98" s="15">
        <v>215309867661</v>
      </c>
      <c r="H98" s="2">
        <v>10000</v>
      </c>
      <c r="I98" s="78">
        <f t="shared" si="6"/>
        <v>3259.2999999999993</v>
      </c>
      <c r="J98">
        <f t="shared" si="7"/>
        <v>5740.7000000000007</v>
      </c>
      <c r="L98" s="2">
        <f t="shared" si="8"/>
        <v>20</v>
      </c>
    </row>
    <row r="99" spans="1:12" x14ac:dyDescent="0.3">
      <c r="A99" s="3">
        <v>44714</v>
      </c>
      <c r="B99" s="11" t="s">
        <v>1472</v>
      </c>
      <c r="D99" s="50">
        <v>8809833046</v>
      </c>
      <c r="F99" s="15"/>
      <c r="G99" s="2">
        <v>500</v>
      </c>
      <c r="I99" s="78">
        <f t="shared" si="6"/>
        <v>3759.2999999999993</v>
      </c>
      <c r="J99">
        <f t="shared" si="7"/>
        <v>5240.7000000000007</v>
      </c>
      <c r="L99" s="2">
        <f t="shared" si="8"/>
        <v>2</v>
      </c>
    </row>
    <row r="100" spans="1:12" x14ac:dyDescent="0.3">
      <c r="A100" s="3">
        <v>44714</v>
      </c>
      <c r="B100" s="11" t="s">
        <v>2241</v>
      </c>
      <c r="C100" s="50" t="s">
        <v>2273</v>
      </c>
      <c r="D100" s="50">
        <v>9097862092</v>
      </c>
      <c r="F100" s="15">
        <v>215319383205</v>
      </c>
      <c r="G100" s="2">
        <v>1000</v>
      </c>
      <c r="I100" s="78">
        <f t="shared" si="6"/>
        <v>4759.2999999999993</v>
      </c>
      <c r="J100">
        <f t="shared" si="7"/>
        <v>4240.7000000000007</v>
      </c>
      <c r="L100" s="2">
        <f t="shared" si="8"/>
        <v>4</v>
      </c>
    </row>
    <row r="101" spans="1:12" x14ac:dyDescent="0.3">
      <c r="A101" s="3">
        <v>44715</v>
      </c>
      <c r="B101" s="11" t="s">
        <v>1250</v>
      </c>
      <c r="C101" s="50" t="s">
        <v>2275</v>
      </c>
      <c r="F101" s="15">
        <v>215410504620</v>
      </c>
      <c r="G101" s="2">
        <v>3000</v>
      </c>
      <c r="I101" s="78">
        <f t="shared" si="6"/>
        <v>7759.2999999999993</v>
      </c>
      <c r="J101">
        <f t="shared" si="7"/>
        <v>1240.7000000000007</v>
      </c>
      <c r="L101" s="2">
        <f t="shared" si="8"/>
        <v>12</v>
      </c>
    </row>
    <row r="102" spans="1:12" x14ac:dyDescent="0.3">
      <c r="A102" s="3">
        <v>44715</v>
      </c>
      <c r="B102" s="11" t="s">
        <v>1257</v>
      </c>
      <c r="C102" s="50" t="s">
        <v>2274</v>
      </c>
      <c r="F102" s="15">
        <v>215410522597</v>
      </c>
      <c r="H102" s="2">
        <v>5000</v>
      </c>
      <c r="I102" s="78">
        <f t="shared" si="6"/>
        <v>2759.2999999999993</v>
      </c>
      <c r="J102">
        <f t="shared" si="7"/>
        <v>6240.7000000000007</v>
      </c>
      <c r="L102" s="2">
        <f t="shared" si="8"/>
        <v>20</v>
      </c>
    </row>
    <row r="103" spans="1:12" x14ac:dyDescent="0.3">
      <c r="A103" s="3">
        <v>44715</v>
      </c>
      <c r="B103" s="11" t="s">
        <v>1160</v>
      </c>
      <c r="C103" s="50" t="s">
        <v>2276</v>
      </c>
      <c r="D103" s="50">
        <v>9905235195</v>
      </c>
      <c r="F103" s="15">
        <v>215418718877</v>
      </c>
      <c r="G103" s="2">
        <v>1900</v>
      </c>
      <c r="I103" s="78">
        <f t="shared" si="6"/>
        <v>4659.2999999999993</v>
      </c>
      <c r="J103">
        <f t="shared" si="7"/>
        <v>4340.7000000000007</v>
      </c>
      <c r="L103" s="2">
        <f t="shared" si="8"/>
        <v>7.6000000000000005</v>
      </c>
    </row>
    <row r="104" spans="1:12" x14ac:dyDescent="0.3">
      <c r="A104" s="3">
        <v>44715</v>
      </c>
      <c r="B104" s="11" t="s">
        <v>2143</v>
      </c>
      <c r="C104" s="50" t="s">
        <v>1279</v>
      </c>
      <c r="F104" s="15">
        <v>215419995326</v>
      </c>
      <c r="H104" s="2">
        <v>4600</v>
      </c>
      <c r="I104" s="78">
        <f t="shared" si="6"/>
        <v>59.299999999999272</v>
      </c>
      <c r="J104">
        <f t="shared" si="7"/>
        <v>8940.7000000000007</v>
      </c>
      <c r="L104" s="2">
        <f t="shared" si="8"/>
        <v>18.400000000000002</v>
      </c>
    </row>
    <row r="105" spans="1:12" x14ac:dyDescent="0.3">
      <c r="A105" s="3">
        <v>44719</v>
      </c>
      <c r="B105" s="11" t="s">
        <v>1160</v>
      </c>
      <c r="F105" s="15">
        <v>215810041864</v>
      </c>
      <c r="G105" s="2">
        <v>1000</v>
      </c>
      <c r="I105" s="78">
        <f t="shared" si="6"/>
        <v>1059.2999999999993</v>
      </c>
      <c r="J105">
        <f t="shared" si="7"/>
        <v>7940.7000000000007</v>
      </c>
      <c r="L105" s="2">
        <f t="shared" si="8"/>
        <v>4</v>
      </c>
    </row>
    <row r="106" spans="1:12" x14ac:dyDescent="0.3">
      <c r="A106" s="3">
        <v>44719</v>
      </c>
      <c r="B106" s="11" t="s">
        <v>2277</v>
      </c>
      <c r="E106" s="90" t="s">
        <v>16</v>
      </c>
      <c r="F106" s="15">
        <v>21581281807</v>
      </c>
      <c r="H106" s="2">
        <v>50</v>
      </c>
      <c r="I106" s="78">
        <f t="shared" si="6"/>
        <v>1009.2999999999993</v>
      </c>
      <c r="J106">
        <f t="shared" si="7"/>
        <v>7990.7000000000007</v>
      </c>
      <c r="L106" s="2">
        <f t="shared" si="8"/>
        <v>25.2</v>
      </c>
    </row>
    <row r="107" spans="1:12" x14ac:dyDescent="0.3">
      <c r="A107" s="3">
        <v>44720</v>
      </c>
      <c r="B107" s="11" t="s">
        <v>1160</v>
      </c>
      <c r="D107" s="50">
        <v>9693663062</v>
      </c>
      <c r="F107" s="15">
        <v>215918638808</v>
      </c>
      <c r="G107" s="2">
        <v>5900</v>
      </c>
      <c r="I107" s="78">
        <f t="shared" si="6"/>
        <v>6909.2999999999993</v>
      </c>
      <c r="J107">
        <f t="shared" si="7"/>
        <v>2090.7000000000007</v>
      </c>
      <c r="L107" s="2">
        <f t="shared" si="8"/>
        <v>20</v>
      </c>
    </row>
    <row r="108" spans="1:12" x14ac:dyDescent="0.3">
      <c r="A108" s="3">
        <v>44720</v>
      </c>
      <c r="B108" s="11" t="s">
        <v>1256</v>
      </c>
      <c r="F108" s="15">
        <v>215918651422</v>
      </c>
      <c r="H108" s="2">
        <v>3000</v>
      </c>
      <c r="I108" s="78">
        <f t="shared" si="6"/>
        <v>3909.2999999999993</v>
      </c>
      <c r="J108">
        <f t="shared" si="7"/>
        <v>5090.7000000000007</v>
      </c>
      <c r="L108" s="2">
        <f t="shared" si="8"/>
        <v>12</v>
      </c>
    </row>
    <row r="109" spans="1:12" x14ac:dyDescent="0.3">
      <c r="A109" s="3">
        <v>44721</v>
      </c>
      <c r="B109" s="11" t="s">
        <v>2238</v>
      </c>
      <c r="C109" s="50" t="s">
        <v>2239</v>
      </c>
      <c r="F109" s="15">
        <v>216010938699</v>
      </c>
      <c r="H109" s="2">
        <v>1500</v>
      </c>
      <c r="I109" s="78">
        <f t="shared" si="6"/>
        <v>2409.2999999999993</v>
      </c>
      <c r="J109">
        <f t="shared" si="7"/>
        <v>6590.7000000000007</v>
      </c>
      <c r="L109" s="2">
        <f t="shared" si="8"/>
        <v>6</v>
      </c>
    </row>
    <row r="110" spans="1:12" x14ac:dyDescent="0.3">
      <c r="A110" s="3">
        <v>44721</v>
      </c>
      <c r="B110" s="11" t="s">
        <v>2282</v>
      </c>
      <c r="C110" s="50" t="s">
        <v>2281</v>
      </c>
      <c r="F110" s="15"/>
      <c r="G110" s="2">
        <v>3000</v>
      </c>
      <c r="I110" s="78">
        <f t="shared" si="6"/>
        <v>5409.2999999999993</v>
      </c>
      <c r="J110">
        <f t="shared" si="7"/>
        <v>3590.7000000000007</v>
      </c>
      <c r="L110" s="2">
        <f t="shared" si="8"/>
        <v>12</v>
      </c>
    </row>
    <row r="111" spans="1:12" x14ac:dyDescent="0.3">
      <c r="A111" s="3">
        <v>44721</v>
      </c>
      <c r="B111" s="11" t="s">
        <v>2280</v>
      </c>
      <c r="D111" s="50">
        <v>9308174062</v>
      </c>
      <c r="F111" s="15">
        <v>216010196341</v>
      </c>
      <c r="H111" s="2">
        <v>5000</v>
      </c>
      <c r="I111" s="78">
        <f t="shared" si="6"/>
        <v>409.29999999999927</v>
      </c>
      <c r="J111">
        <f t="shared" si="7"/>
        <v>8590.7000000000007</v>
      </c>
      <c r="L111" s="2">
        <f t="shared" si="8"/>
        <v>20</v>
      </c>
    </row>
    <row r="112" spans="1:12" x14ac:dyDescent="0.3">
      <c r="A112" s="3">
        <v>44721</v>
      </c>
      <c r="B112" s="11" t="s">
        <v>1160</v>
      </c>
      <c r="C112" s="50" t="s">
        <v>2283</v>
      </c>
      <c r="D112" s="50">
        <v>8102305117</v>
      </c>
      <c r="G112" s="2">
        <v>6500</v>
      </c>
      <c r="I112" s="78">
        <f t="shared" si="6"/>
        <v>6909.2999999999993</v>
      </c>
      <c r="J112">
        <f t="shared" si="7"/>
        <v>2090.7000000000007</v>
      </c>
      <c r="L112" s="2">
        <f t="shared" si="8"/>
        <v>20</v>
      </c>
    </row>
    <row r="113" spans="1:12" x14ac:dyDescent="0.3">
      <c r="A113" s="3">
        <v>44722</v>
      </c>
      <c r="B113" s="11" t="s">
        <v>1250</v>
      </c>
      <c r="C113" s="50" t="s">
        <v>1633</v>
      </c>
      <c r="G113" s="2">
        <v>1000</v>
      </c>
      <c r="I113" s="78">
        <f t="shared" si="6"/>
        <v>7909.2999999999993</v>
      </c>
      <c r="J113">
        <f t="shared" si="7"/>
        <v>1090.7000000000007</v>
      </c>
      <c r="L113" s="2">
        <f t="shared" si="8"/>
        <v>4</v>
      </c>
    </row>
    <row r="114" spans="1:12" x14ac:dyDescent="0.3">
      <c r="A114" s="3">
        <v>44722</v>
      </c>
      <c r="B114" s="11" t="s">
        <v>1250</v>
      </c>
      <c r="C114" s="50" t="s">
        <v>2284</v>
      </c>
      <c r="F114" s="15">
        <v>216112599885</v>
      </c>
      <c r="G114" s="2">
        <v>5000</v>
      </c>
      <c r="I114" s="78">
        <f t="shared" si="6"/>
        <v>12909.3</v>
      </c>
      <c r="J114">
        <f t="shared" si="7"/>
        <v>-3909.2999999999993</v>
      </c>
      <c r="L114" s="2">
        <f t="shared" si="8"/>
        <v>20</v>
      </c>
    </row>
    <row r="115" spans="1:12" x14ac:dyDescent="0.3">
      <c r="A115" s="3">
        <v>44722</v>
      </c>
      <c r="B115" s="11" t="s">
        <v>2184</v>
      </c>
      <c r="C115" s="50" t="s">
        <v>2285</v>
      </c>
      <c r="F115" s="15">
        <v>216113061107</v>
      </c>
      <c r="H115" s="2">
        <v>3600</v>
      </c>
      <c r="I115" s="78">
        <f t="shared" si="6"/>
        <v>9309.2999999999993</v>
      </c>
      <c r="J115">
        <f t="shared" si="7"/>
        <v>-309.29999999999927</v>
      </c>
      <c r="L115" s="2">
        <f t="shared" si="8"/>
        <v>14.4</v>
      </c>
    </row>
    <row r="116" spans="1:12" x14ac:dyDescent="0.3">
      <c r="A116" s="3">
        <v>44722</v>
      </c>
      <c r="B116" s="11" t="s">
        <v>2286</v>
      </c>
      <c r="F116" s="15">
        <v>216113068245</v>
      </c>
      <c r="H116" s="2">
        <v>4800</v>
      </c>
      <c r="I116" s="78">
        <f t="shared" si="6"/>
        <v>4509.2999999999993</v>
      </c>
      <c r="J116">
        <f t="shared" si="7"/>
        <v>4490.7000000000007</v>
      </c>
      <c r="L116" s="2">
        <f t="shared" si="8"/>
        <v>19.2</v>
      </c>
    </row>
    <row r="117" spans="1:12" x14ac:dyDescent="0.3">
      <c r="A117" s="3">
        <v>44722</v>
      </c>
      <c r="B117" s="11" t="s">
        <v>2143</v>
      </c>
      <c r="C117" s="50" t="s">
        <v>1279</v>
      </c>
      <c r="F117" s="15"/>
      <c r="H117" s="2">
        <v>4000</v>
      </c>
      <c r="I117" s="78">
        <f t="shared" si="6"/>
        <v>509.29999999999927</v>
      </c>
      <c r="J117">
        <f t="shared" si="7"/>
        <v>8490.7000000000007</v>
      </c>
      <c r="L117" s="2">
        <f t="shared" si="8"/>
        <v>16</v>
      </c>
    </row>
    <row r="118" spans="1:12" x14ac:dyDescent="0.3">
      <c r="A118" s="3">
        <v>44723</v>
      </c>
      <c r="B118" s="11" t="s">
        <v>2288</v>
      </c>
      <c r="E118" s="90" t="s">
        <v>16</v>
      </c>
      <c r="F118" s="15"/>
      <c r="H118" s="2">
        <v>100</v>
      </c>
      <c r="I118" s="78">
        <f t="shared" si="6"/>
        <v>409.29999999999927</v>
      </c>
      <c r="J118">
        <f t="shared" si="7"/>
        <v>8590.7000000000007</v>
      </c>
      <c r="L118" s="2">
        <f t="shared" si="8"/>
        <v>25.4</v>
      </c>
    </row>
    <row r="119" spans="1:12" x14ac:dyDescent="0.3">
      <c r="A119" s="3">
        <v>44723</v>
      </c>
      <c r="F119" s="15"/>
      <c r="G119" s="2">
        <v>1000</v>
      </c>
      <c r="I119" s="78">
        <f t="shared" si="6"/>
        <v>1409.2999999999993</v>
      </c>
      <c r="J119">
        <f t="shared" si="7"/>
        <v>7590.7000000000007</v>
      </c>
      <c r="L119" s="2">
        <f t="shared" si="8"/>
        <v>4</v>
      </c>
    </row>
    <row r="120" spans="1:12" x14ac:dyDescent="0.3">
      <c r="A120" s="3">
        <v>44725</v>
      </c>
      <c r="F120" s="15"/>
      <c r="G120" s="2">
        <v>15000</v>
      </c>
      <c r="I120" s="78">
        <f t="shared" si="6"/>
        <v>16409.3</v>
      </c>
      <c r="J120">
        <f t="shared" si="7"/>
        <v>-7409.2999999999993</v>
      </c>
      <c r="L120" s="2">
        <f t="shared" si="8"/>
        <v>20</v>
      </c>
    </row>
    <row r="121" spans="1:12" x14ac:dyDescent="0.3">
      <c r="A121" s="3">
        <v>44725</v>
      </c>
      <c r="B121" s="11" t="s">
        <v>1250</v>
      </c>
      <c r="F121" s="15">
        <v>216413333010</v>
      </c>
      <c r="G121" s="2">
        <v>500</v>
      </c>
      <c r="I121" s="78">
        <f t="shared" si="6"/>
        <v>16909.3</v>
      </c>
      <c r="J121">
        <f t="shared" si="7"/>
        <v>-7909.2999999999993</v>
      </c>
      <c r="L121" s="2">
        <f t="shared" si="8"/>
        <v>2</v>
      </c>
    </row>
    <row r="122" spans="1:12" x14ac:dyDescent="0.3">
      <c r="A122" s="3">
        <v>44725</v>
      </c>
      <c r="B122" s="11" t="s">
        <v>2241</v>
      </c>
      <c r="C122" s="50" t="s">
        <v>2287</v>
      </c>
      <c r="D122" s="50">
        <v>7781918281</v>
      </c>
      <c r="F122" s="15">
        <v>216413369297</v>
      </c>
      <c r="G122" s="2">
        <v>10000</v>
      </c>
      <c r="I122" s="78">
        <f t="shared" si="6"/>
        <v>26909.3</v>
      </c>
      <c r="J122">
        <f t="shared" ref="J122:J153" si="9">$J$1-I122</f>
        <v>-17909.3</v>
      </c>
      <c r="L122" s="2">
        <f t="shared" si="8"/>
        <v>20</v>
      </c>
    </row>
    <row r="123" spans="1:12" x14ac:dyDescent="0.3">
      <c r="A123" s="3">
        <v>44725</v>
      </c>
      <c r="B123" s="11" t="s">
        <v>1257</v>
      </c>
      <c r="C123" s="50" t="s">
        <v>2289</v>
      </c>
      <c r="F123" s="15"/>
      <c r="H123" s="2">
        <v>5000</v>
      </c>
      <c r="I123" s="78">
        <f t="shared" si="6"/>
        <v>21909.3</v>
      </c>
      <c r="J123">
        <f t="shared" si="9"/>
        <v>-12909.3</v>
      </c>
      <c r="L123" s="2">
        <f t="shared" si="8"/>
        <v>20</v>
      </c>
    </row>
    <row r="124" spans="1:12" x14ac:dyDescent="0.3">
      <c r="A124" s="3">
        <v>44725</v>
      </c>
      <c r="B124" s="11" t="s">
        <v>2140</v>
      </c>
      <c r="F124" s="15"/>
      <c r="H124" s="2">
        <v>10000</v>
      </c>
      <c r="I124" s="78">
        <f t="shared" si="6"/>
        <v>11909.3</v>
      </c>
      <c r="J124">
        <f t="shared" si="9"/>
        <v>-2909.2999999999993</v>
      </c>
      <c r="L124" s="2">
        <f t="shared" si="8"/>
        <v>20</v>
      </c>
    </row>
    <row r="125" spans="1:12" x14ac:dyDescent="0.3">
      <c r="A125" s="3">
        <v>44725</v>
      </c>
      <c r="B125" s="11" t="s">
        <v>2291</v>
      </c>
      <c r="C125" s="50" t="s">
        <v>2292</v>
      </c>
      <c r="F125" s="15">
        <v>216414618748</v>
      </c>
      <c r="H125" s="2">
        <v>4000</v>
      </c>
      <c r="I125" s="78">
        <f t="shared" si="6"/>
        <v>7909.2999999999993</v>
      </c>
      <c r="J125">
        <f t="shared" si="9"/>
        <v>1090.7000000000007</v>
      </c>
      <c r="L125" s="2">
        <f t="shared" si="8"/>
        <v>16</v>
      </c>
    </row>
    <row r="126" spans="1:12" x14ac:dyDescent="0.3">
      <c r="A126" s="3">
        <v>44725</v>
      </c>
      <c r="B126" s="11" t="s">
        <v>1250</v>
      </c>
      <c r="C126" s="50" t="s">
        <v>2293</v>
      </c>
      <c r="F126" s="15">
        <v>216419144008</v>
      </c>
      <c r="G126" s="2">
        <v>200</v>
      </c>
      <c r="I126" s="78">
        <f t="shared" si="6"/>
        <v>8109.2999999999993</v>
      </c>
      <c r="J126">
        <f t="shared" si="9"/>
        <v>890.70000000000073</v>
      </c>
      <c r="L126" s="2">
        <f t="shared" si="8"/>
        <v>0.8</v>
      </c>
    </row>
    <row r="127" spans="1:12" x14ac:dyDescent="0.3">
      <c r="A127" s="3">
        <v>44725</v>
      </c>
      <c r="B127" s="11" t="s">
        <v>1160</v>
      </c>
      <c r="F127" s="15">
        <v>216419153776</v>
      </c>
      <c r="G127" s="2">
        <v>1000</v>
      </c>
      <c r="I127" s="78">
        <f t="shared" si="6"/>
        <v>9109.2999999999993</v>
      </c>
      <c r="J127">
        <f t="shared" si="9"/>
        <v>-109.29999999999927</v>
      </c>
      <c r="L127" s="2">
        <f t="shared" si="8"/>
        <v>4</v>
      </c>
    </row>
    <row r="128" spans="1:12" x14ac:dyDescent="0.3">
      <c r="A128" s="3">
        <v>44725</v>
      </c>
      <c r="B128" s="11" t="s">
        <v>1472</v>
      </c>
      <c r="C128" s="50" t="s">
        <v>2294</v>
      </c>
      <c r="D128" s="50">
        <v>6297604434</v>
      </c>
      <c r="F128" s="15">
        <v>216419173949</v>
      </c>
      <c r="G128" s="2">
        <v>10000</v>
      </c>
      <c r="I128" s="78">
        <f t="shared" si="6"/>
        <v>19109.3</v>
      </c>
      <c r="J128">
        <f t="shared" si="9"/>
        <v>-10109.299999999999</v>
      </c>
      <c r="L128" s="2">
        <f t="shared" si="8"/>
        <v>20</v>
      </c>
    </row>
    <row r="129" spans="1:18" x14ac:dyDescent="0.3">
      <c r="A129" s="3">
        <v>44725</v>
      </c>
      <c r="B129" s="11" t="s">
        <v>1250</v>
      </c>
      <c r="C129" s="50" t="s">
        <v>2295</v>
      </c>
      <c r="F129" s="15">
        <v>216420231800</v>
      </c>
      <c r="G129" s="2">
        <v>4000</v>
      </c>
      <c r="I129" s="78">
        <f t="shared" si="6"/>
        <v>23109.3</v>
      </c>
      <c r="J129">
        <f t="shared" si="9"/>
        <v>-14109.3</v>
      </c>
      <c r="L129" s="2">
        <f t="shared" si="8"/>
        <v>16</v>
      </c>
    </row>
    <row r="130" spans="1:18" x14ac:dyDescent="0.3">
      <c r="A130" s="3">
        <v>44725</v>
      </c>
      <c r="B130" s="11" t="s">
        <v>1304</v>
      </c>
      <c r="C130" s="50" t="s">
        <v>2246</v>
      </c>
      <c r="F130" s="15">
        <v>216420237659</v>
      </c>
      <c r="H130" s="64">
        <v>1200</v>
      </c>
      <c r="I130" s="78">
        <f t="shared" si="6"/>
        <v>21909.3</v>
      </c>
      <c r="J130">
        <f t="shared" si="9"/>
        <v>-12909.3</v>
      </c>
      <c r="L130" s="2">
        <f t="shared" si="8"/>
        <v>4.8</v>
      </c>
    </row>
    <row r="131" spans="1:18" x14ac:dyDescent="0.3">
      <c r="A131" s="3">
        <v>44725</v>
      </c>
      <c r="B131" s="11" t="s">
        <v>2296</v>
      </c>
      <c r="C131" s="50" t="s">
        <v>2297</v>
      </c>
      <c r="E131" s="90" t="s">
        <v>16</v>
      </c>
      <c r="F131" s="15">
        <v>216420322839</v>
      </c>
      <c r="H131" s="2">
        <v>100</v>
      </c>
      <c r="I131" s="78">
        <f t="shared" si="6"/>
        <v>21809.3</v>
      </c>
      <c r="J131">
        <f t="shared" si="9"/>
        <v>-12809.3</v>
      </c>
      <c r="L131" s="2">
        <f t="shared" si="8"/>
        <v>25.4</v>
      </c>
    </row>
    <row r="132" spans="1:18" x14ac:dyDescent="0.3">
      <c r="A132" s="3">
        <v>44726</v>
      </c>
      <c r="B132" s="11" t="s">
        <v>2298</v>
      </c>
      <c r="F132" s="15">
        <v>216510114139</v>
      </c>
      <c r="G132" s="2">
        <v>2000</v>
      </c>
      <c r="I132" s="78">
        <f t="shared" si="6"/>
        <v>23809.3</v>
      </c>
      <c r="J132">
        <f t="shared" si="9"/>
        <v>-14809.3</v>
      </c>
      <c r="L132" s="2">
        <f t="shared" si="8"/>
        <v>8</v>
      </c>
    </row>
    <row r="133" spans="1:18" x14ac:dyDescent="0.3">
      <c r="A133" s="3">
        <v>44726</v>
      </c>
      <c r="B133" s="11" t="s">
        <v>2140</v>
      </c>
      <c r="C133" s="50" t="s">
        <v>1279</v>
      </c>
      <c r="F133" s="15">
        <v>216510150459</v>
      </c>
      <c r="H133" s="2">
        <v>10000</v>
      </c>
      <c r="I133" s="78">
        <f t="shared" si="6"/>
        <v>13809.3</v>
      </c>
      <c r="J133">
        <f t="shared" si="9"/>
        <v>-4809.2999999999993</v>
      </c>
      <c r="L133" s="2">
        <f t="shared" si="8"/>
        <v>20</v>
      </c>
    </row>
    <row r="134" spans="1:18" x14ac:dyDescent="0.3">
      <c r="A134" s="3">
        <v>44726</v>
      </c>
      <c r="B134" s="11" t="s">
        <v>2300</v>
      </c>
      <c r="C134" s="50" t="s">
        <v>2299</v>
      </c>
      <c r="E134" s="90" t="s">
        <v>16</v>
      </c>
      <c r="F134" s="15">
        <v>216511500309</v>
      </c>
      <c r="H134" s="2">
        <v>100</v>
      </c>
      <c r="I134" s="78">
        <f t="shared" si="6"/>
        <v>13709.3</v>
      </c>
      <c r="J134">
        <f t="shared" si="9"/>
        <v>-4709.2999999999993</v>
      </c>
      <c r="L134" s="2">
        <f t="shared" si="8"/>
        <v>25.4</v>
      </c>
    </row>
    <row r="135" spans="1:18" x14ac:dyDescent="0.3">
      <c r="A135" s="3">
        <v>44726</v>
      </c>
      <c r="B135" s="11" t="s">
        <v>2316</v>
      </c>
      <c r="C135" s="50" t="s">
        <v>2317</v>
      </c>
      <c r="E135" s="90" t="s">
        <v>16</v>
      </c>
      <c r="F135" s="15">
        <v>216513243741</v>
      </c>
      <c r="H135" s="2">
        <v>100</v>
      </c>
      <c r="I135" s="78">
        <f t="shared" si="6"/>
        <v>13609.3</v>
      </c>
      <c r="J135">
        <f t="shared" si="9"/>
        <v>-4609.2999999999993</v>
      </c>
      <c r="L135" s="2">
        <f t="shared" si="8"/>
        <v>25.4</v>
      </c>
    </row>
    <row r="136" spans="1:18" x14ac:dyDescent="0.3">
      <c r="A136" s="3">
        <v>44727</v>
      </c>
      <c r="B136" s="11" t="s">
        <v>2321</v>
      </c>
      <c r="C136" s="50" t="s">
        <v>35</v>
      </c>
      <c r="E136" s="90" t="s">
        <v>16</v>
      </c>
      <c r="F136" s="15">
        <v>216611378151</v>
      </c>
      <c r="H136" s="2">
        <v>300</v>
      </c>
      <c r="I136" s="78">
        <f t="shared" si="6"/>
        <v>13309.3</v>
      </c>
      <c r="J136">
        <f t="shared" si="9"/>
        <v>-4309.2999999999993</v>
      </c>
      <c r="L136" s="2">
        <f t="shared" si="8"/>
        <v>26.2</v>
      </c>
    </row>
    <row r="137" spans="1:18" x14ac:dyDescent="0.3">
      <c r="A137" s="3">
        <v>44727</v>
      </c>
      <c r="B137" s="11" t="s">
        <v>2322</v>
      </c>
      <c r="C137" s="50" t="s">
        <v>2323</v>
      </c>
      <c r="E137" s="90" t="s">
        <v>16</v>
      </c>
      <c r="F137" s="15">
        <v>216611413859</v>
      </c>
      <c r="H137" s="2">
        <v>2000</v>
      </c>
      <c r="I137" s="78">
        <f t="shared" si="6"/>
        <v>11309.3</v>
      </c>
      <c r="J137">
        <f t="shared" si="9"/>
        <v>-2309.2999999999993</v>
      </c>
      <c r="L137" s="2">
        <f t="shared" si="8"/>
        <v>33</v>
      </c>
    </row>
    <row r="138" spans="1:18" x14ac:dyDescent="0.3">
      <c r="A138" s="3">
        <v>44727</v>
      </c>
      <c r="B138" s="11" t="s">
        <v>2238</v>
      </c>
      <c r="C138" s="50" t="s">
        <v>2239</v>
      </c>
      <c r="F138" s="15"/>
      <c r="H138" s="74">
        <v>500</v>
      </c>
      <c r="I138" s="78">
        <f t="shared" si="6"/>
        <v>10809.3</v>
      </c>
      <c r="J138">
        <f t="shared" si="9"/>
        <v>-1809.2999999999993</v>
      </c>
      <c r="L138" s="2">
        <f t="shared" si="8"/>
        <v>2</v>
      </c>
    </row>
    <row r="139" spans="1:18" x14ac:dyDescent="0.3">
      <c r="A139" s="3">
        <v>44727</v>
      </c>
      <c r="C139" s="50" t="s">
        <v>2332</v>
      </c>
      <c r="F139" s="15"/>
      <c r="G139" s="2">
        <v>603</v>
      </c>
      <c r="H139" s="74"/>
      <c r="I139" s="78">
        <f t="shared" si="6"/>
        <v>11412.3</v>
      </c>
      <c r="J139">
        <f t="shared" si="9"/>
        <v>-2412.2999999999993</v>
      </c>
    </row>
    <row r="140" spans="1:18" x14ac:dyDescent="0.3">
      <c r="A140" s="3">
        <v>44727</v>
      </c>
      <c r="F140" s="15">
        <v>216618213679</v>
      </c>
      <c r="G140" s="2">
        <v>1000</v>
      </c>
      <c r="I140" s="78">
        <f t="shared" si="6"/>
        <v>12412.3</v>
      </c>
      <c r="J140">
        <f t="shared" si="9"/>
        <v>-3412.2999999999993</v>
      </c>
      <c r="L140" s="2">
        <f t="shared" ref="L140:L167" si="10">IF((G140+H140)&lt;=5000,(H140+G140)*0.004,20)+IF(E140="Y",25,0)</f>
        <v>4</v>
      </c>
    </row>
    <row r="141" spans="1:18" x14ac:dyDescent="0.3">
      <c r="A141" s="3">
        <v>44727</v>
      </c>
      <c r="B141" s="11" t="s">
        <v>2331</v>
      </c>
      <c r="E141" s="90" t="s">
        <v>14</v>
      </c>
      <c r="F141" s="15">
        <v>216618219444</v>
      </c>
      <c r="H141" s="2">
        <v>100</v>
      </c>
      <c r="I141" s="78">
        <f t="shared" si="6"/>
        <v>12312.3</v>
      </c>
      <c r="J141">
        <f t="shared" si="9"/>
        <v>-3312.2999999999993</v>
      </c>
      <c r="L141" s="2">
        <f t="shared" si="10"/>
        <v>25.4</v>
      </c>
    </row>
    <row r="142" spans="1:18" x14ac:dyDescent="0.3">
      <c r="A142" s="3">
        <v>44727</v>
      </c>
      <c r="B142" s="11" t="s">
        <v>2140</v>
      </c>
      <c r="F142" s="15"/>
      <c r="H142" s="2">
        <v>10000</v>
      </c>
      <c r="I142" s="78">
        <f t="shared" si="6"/>
        <v>2312.2999999999993</v>
      </c>
      <c r="J142">
        <f t="shared" si="9"/>
        <v>6687.7000000000007</v>
      </c>
      <c r="L142" s="2">
        <f t="shared" si="10"/>
        <v>20</v>
      </c>
    </row>
    <row r="143" spans="1:18" x14ac:dyDescent="0.3">
      <c r="A143" s="3">
        <v>44727</v>
      </c>
      <c r="B143" s="11" t="s">
        <v>1160</v>
      </c>
      <c r="F143" s="15"/>
      <c r="G143" s="2">
        <v>1000</v>
      </c>
      <c r="I143" s="78">
        <f t="shared" si="6"/>
        <v>3312.2999999999993</v>
      </c>
      <c r="J143">
        <f t="shared" si="9"/>
        <v>5687.7000000000007</v>
      </c>
      <c r="L143" s="2">
        <f t="shared" si="10"/>
        <v>4</v>
      </c>
      <c r="R143">
        <v>3312.43</v>
      </c>
    </row>
    <row r="144" spans="1:18" x14ac:dyDescent="0.3">
      <c r="A144" s="3">
        <v>44728</v>
      </c>
      <c r="B144" s="11" t="s">
        <v>2180</v>
      </c>
      <c r="C144" s="50" t="s">
        <v>1599</v>
      </c>
      <c r="F144" s="15">
        <v>216711628998</v>
      </c>
      <c r="G144" s="2">
        <v>5000</v>
      </c>
      <c r="I144" s="78">
        <f t="shared" si="6"/>
        <v>8312.2999999999993</v>
      </c>
      <c r="J144">
        <f t="shared" si="9"/>
        <v>687.70000000000073</v>
      </c>
      <c r="L144" s="2">
        <f t="shared" si="10"/>
        <v>20</v>
      </c>
    </row>
    <row r="145" spans="1:12" x14ac:dyDescent="0.3">
      <c r="A145" s="3">
        <v>44728</v>
      </c>
      <c r="B145" s="11" t="s">
        <v>2140</v>
      </c>
      <c r="C145" s="50" t="s">
        <v>1279</v>
      </c>
      <c r="F145" s="15">
        <v>216711673090</v>
      </c>
      <c r="H145" s="2">
        <v>5000</v>
      </c>
      <c r="I145" s="78">
        <f t="shared" si="6"/>
        <v>3312.2999999999993</v>
      </c>
      <c r="J145">
        <f t="shared" si="9"/>
        <v>5687.7000000000007</v>
      </c>
      <c r="L145" s="2">
        <f t="shared" si="10"/>
        <v>20</v>
      </c>
    </row>
    <row r="146" spans="1:12" x14ac:dyDescent="0.3">
      <c r="A146" s="3">
        <v>44728</v>
      </c>
      <c r="B146" s="11" t="s">
        <v>1472</v>
      </c>
      <c r="C146" s="50" t="s">
        <v>2333</v>
      </c>
      <c r="D146" s="50">
        <v>7480052292</v>
      </c>
      <c r="F146" s="15">
        <v>216713555896</v>
      </c>
      <c r="G146" s="2">
        <v>500</v>
      </c>
      <c r="I146" s="78">
        <f t="shared" si="6"/>
        <v>3812.2999999999993</v>
      </c>
      <c r="J146">
        <f t="shared" si="9"/>
        <v>5187.7000000000007</v>
      </c>
      <c r="L146" s="2">
        <f t="shared" si="10"/>
        <v>2</v>
      </c>
    </row>
    <row r="147" spans="1:12" x14ac:dyDescent="0.3">
      <c r="A147" s="3">
        <v>44729</v>
      </c>
      <c r="B147" s="11" t="s">
        <v>2241</v>
      </c>
      <c r="C147" s="50" t="s">
        <v>2334</v>
      </c>
      <c r="D147" s="50">
        <v>7781918281</v>
      </c>
      <c r="F147" s="15">
        <v>216710910388</v>
      </c>
      <c r="G147" s="2">
        <v>4000</v>
      </c>
      <c r="I147" s="78">
        <f t="shared" si="6"/>
        <v>7812.2999999999993</v>
      </c>
      <c r="J147">
        <f t="shared" si="9"/>
        <v>1187.7000000000007</v>
      </c>
      <c r="L147" s="2">
        <f t="shared" si="10"/>
        <v>16</v>
      </c>
    </row>
    <row r="148" spans="1:12" x14ac:dyDescent="0.3">
      <c r="A148" s="3">
        <v>44729</v>
      </c>
      <c r="B148" s="11" t="s">
        <v>2240</v>
      </c>
      <c r="D148" s="50">
        <v>8340157050</v>
      </c>
      <c r="F148" s="15"/>
      <c r="G148" s="2">
        <v>1000</v>
      </c>
      <c r="I148" s="78">
        <f t="shared" si="6"/>
        <v>8812.2999999999993</v>
      </c>
      <c r="J148">
        <f t="shared" si="9"/>
        <v>187.70000000000073</v>
      </c>
      <c r="L148" s="2">
        <f t="shared" si="10"/>
        <v>4</v>
      </c>
    </row>
    <row r="149" spans="1:12" x14ac:dyDescent="0.3">
      <c r="A149" s="3">
        <v>44730</v>
      </c>
      <c r="B149" s="11" t="s">
        <v>2140</v>
      </c>
      <c r="C149" s="50" t="s">
        <v>1279</v>
      </c>
      <c r="F149" s="15"/>
      <c r="H149" s="2">
        <v>7000</v>
      </c>
      <c r="I149" s="78">
        <f t="shared" si="6"/>
        <v>1812.2999999999993</v>
      </c>
      <c r="J149">
        <f t="shared" si="9"/>
        <v>7187.7000000000007</v>
      </c>
      <c r="L149" s="2">
        <f t="shared" si="10"/>
        <v>20</v>
      </c>
    </row>
    <row r="150" spans="1:12" x14ac:dyDescent="0.3">
      <c r="A150" s="3">
        <v>44731</v>
      </c>
      <c r="B150" s="11" t="s">
        <v>2335</v>
      </c>
      <c r="F150" s="15">
        <v>217010032426</v>
      </c>
      <c r="G150" s="2">
        <v>1600</v>
      </c>
      <c r="I150" s="78">
        <f t="shared" si="6"/>
        <v>3412.2999999999993</v>
      </c>
      <c r="J150">
        <f t="shared" si="9"/>
        <v>5587.7000000000007</v>
      </c>
      <c r="L150" s="2">
        <f t="shared" si="10"/>
        <v>6.4</v>
      </c>
    </row>
    <row r="151" spans="1:12" x14ac:dyDescent="0.3">
      <c r="A151" s="3">
        <v>44731</v>
      </c>
      <c r="B151" s="11" t="s">
        <v>1160</v>
      </c>
      <c r="F151" s="15"/>
      <c r="G151" s="2">
        <v>3000</v>
      </c>
      <c r="I151" s="78">
        <f t="shared" si="6"/>
        <v>6412.2999999999993</v>
      </c>
      <c r="J151">
        <f t="shared" si="9"/>
        <v>2587.7000000000007</v>
      </c>
      <c r="L151" s="2">
        <f t="shared" si="10"/>
        <v>12</v>
      </c>
    </row>
    <row r="152" spans="1:12" x14ac:dyDescent="0.3">
      <c r="A152" s="3">
        <v>44732</v>
      </c>
      <c r="B152" s="11" t="s">
        <v>1250</v>
      </c>
      <c r="C152" s="50" t="s">
        <v>2336</v>
      </c>
      <c r="F152" s="15"/>
      <c r="G152" s="2">
        <v>500</v>
      </c>
      <c r="I152" s="78">
        <f t="shared" si="6"/>
        <v>6912.2999999999993</v>
      </c>
      <c r="J152">
        <f t="shared" si="9"/>
        <v>2087.7000000000007</v>
      </c>
      <c r="L152" s="2">
        <f t="shared" si="10"/>
        <v>2</v>
      </c>
    </row>
    <row r="153" spans="1:12" x14ac:dyDescent="0.3">
      <c r="A153" s="3">
        <v>44732</v>
      </c>
      <c r="B153" s="11" t="s">
        <v>2238</v>
      </c>
      <c r="C153" s="50" t="s">
        <v>2239</v>
      </c>
      <c r="F153" s="15">
        <v>217114579468</v>
      </c>
      <c r="H153" s="2">
        <v>500</v>
      </c>
      <c r="I153" s="78">
        <f t="shared" si="6"/>
        <v>6412.2999999999993</v>
      </c>
      <c r="J153">
        <f t="shared" si="9"/>
        <v>2587.7000000000007</v>
      </c>
      <c r="L153" s="2">
        <f t="shared" si="10"/>
        <v>2</v>
      </c>
    </row>
    <row r="154" spans="1:12" x14ac:dyDescent="0.3">
      <c r="A154" s="3">
        <v>44732</v>
      </c>
      <c r="B154" s="11" t="s">
        <v>2140</v>
      </c>
      <c r="F154" s="15">
        <v>217114588628</v>
      </c>
      <c r="H154" s="2">
        <v>5000</v>
      </c>
      <c r="I154" s="78">
        <f t="shared" si="6"/>
        <v>1412.2999999999993</v>
      </c>
      <c r="J154">
        <f t="shared" ref="J154:J167" si="11">$J$1-I154</f>
        <v>7587.7000000000007</v>
      </c>
      <c r="L154" s="2">
        <f t="shared" si="10"/>
        <v>20</v>
      </c>
    </row>
    <row r="155" spans="1:12" x14ac:dyDescent="0.3">
      <c r="A155" s="3">
        <v>44732</v>
      </c>
      <c r="F155" s="15">
        <v>217118780137</v>
      </c>
      <c r="G155" s="2">
        <v>1000</v>
      </c>
      <c r="I155" s="78">
        <f t="shared" si="6"/>
        <v>2412.2999999999993</v>
      </c>
      <c r="J155">
        <f t="shared" si="11"/>
        <v>6587.7000000000007</v>
      </c>
      <c r="L155" s="2">
        <f t="shared" si="10"/>
        <v>4</v>
      </c>
    </row>
    <row r="156" spans="1:12" x14ac:dyDescent="0.3">
      <c r="A156" s="3">
        <v>44734</v>
      </c>
      <c r="B156" s="11" t="s">
        <v>1160</v>
      </c>
      <c r="F156" s="15"/>
      <c r="G156" s="2">
        <v>500</v>
      </c>
      <c r="I156" s="78">
        <f t="shared" si="6"/>
        <v>2912.2999999999993</v>
      </c>
      <c r="J156">
        <f t="shared" si="11"/>
        <v>6087.7000000000007</v>
      </c>
      <c r="L156" s="2">
        <f t="shared" si="10"/>
        <v>2</v>
      </c>
    </row>
    <row r="157" spans="1:12" x14ac:dyDescent="0.3">
      <c r="A157" s="3">
        <v>44735</v>
      </c>
      <c r="B157" s="11" t="s">
        <v>1160</v>
      </c>
      <c r="C157" s="50" t="s">
        <v>2283</v>
      </c>
      <c r="F157" s="15">
        <v>217417766752</v>
      </c>
      <c r="G157" s="2">
        <v>1000</v>
      </c>
      <c r="I157" s="78">
        <f t="shared" si="6"/>
        <v>3912.2999999999993</v>
      </c>
      <c r="J157">
        <f t="shared" si="11"/>
        <v>5087.7000000000007</v>
      </c>
      <c r="L157" s="2">
        <f t="shared" si="10"/>
        <v>4</v>
      </c>
    </row>
    <row r="158" spans="1:12" x14ac:dyDescent="0.3">
      <c r="A158" s="3">
        <v>44736</v>
      </c>
      <c r="B158" s="11" t="s">
        <v>2337</v>
      </c>
      <c r="D158" s="50">
        <v>6201399787</v>
      </c>
      <c r="F158"/>
      <c r="G158" s="2">
        <v>5300</v>
      </c>
      <c r="I158" s="78">
        <f t="shared" si="6"/>
        <v>9212.2999999999993</v>
      </c>
      <c r="J158">
        <f t="shared" si="11"/>
        <v>-212.29999999999927</v>
      </c>
      <c r="L158" s="2">
        <f t="shared" si="10"/>
        <v>20</v>
      </c>
    </row>
    <row r="159" spans="1:12" x14ac:dyDescent="0.3">
      <c r="A159" s="3">
        <v>44736</v>
      </c>
      <c r="B159" s="11" t="s">
        <v>2338</v>
      </c>
      <c r="F159" s="15"/>
      <c r="H159" s="2">
        <v>5000</v>
      </c>
      <c r="I159" s="78">
        <f t="shared" si="6"/>
        <v>4212.2999999999993</v>
      </c>
      <c r="J159">
        <f t="shared" si="11"/>
        <v>4787.7000000000007</v>
      </c>
      <c r="L159" s="2">
        <f t="shared" si="10"/>
        <v>20</v>
      </c>
    </row>
    <row r="160" spans="1:12" x14ac:dyDescent="0.3">
      <c r="A160" s="3">
        <v>44737</v>
      </c>
      <c r="B160" s="11" t="s">
        <v>1472</v>
      </c>
      <c r="C160" s="50" t="s">
        <v>2340</v>
      </c>
      <c r="D160" s="50">
        <v>9304835651</v>
      </c>
      <c r="F160" s="15">
        <v>217610114209</v>
      </c>
      <c r="G160" s="2">
        <v>6050</v>
      </c>
      <c r="I160" s="78">
        <f t="shared" si="6"/>
        <v>10262.299999999999</v>
      </c>
      <c r="J160">
        <f t="shared" si="11"/>
        <v>-1262.2999999999993</v>
      </c>
      <c r="L160" s="2">
        <f t="shared" si="10"/>
        <v>20</v>
      </c>
    </row>
    <row r="161" spans="1:14" x14ac:dyDescent="0.3">
      <c r="A161" s="3">
        <v>44739</v>
      </c>
      <c r="B161" s="11" t="s">
        <v>1250</v>
      </c>
      <c r="F161" s="15">
        <v>217811328912</v>
      </c>
      <c r="G161" s="2">
        <v>3000</v>
      </c>
      <c r="I161" s="78">
        <f t="shared" si="6"/>
        <v>13262.3</v>
      </c>
      <c r="J161">
        <f t="shared" si="11"/>
        <v>-4262.2999999999993</v>
      </c>
      <c r="L161" s="2">
        <f t="shared" si="10"/>
        <v>12</v>
      </c>
    </row>
    <row r="162" spans="1:14" x14ac:dyDescent="0.3">
      <c r="A162" s="3">
        <v>44740</v>
      </c>
      <c r="B162" s="11" t="s">
        <v>2238</v>
      </c>
      <c r="C162" s="50" t="s">
        <v>2239</v>
      </c>
      <c r="F162" s="15">
        <v>217909047783</v>
      </c>
      <c r="H162" s="2">
        <v>2000</v>
      </c>
      <c r="I162" s="78">
        <f t="shared" si="6"/>
        <v>11262.3</v>
      </c>
      <c r="J162">
        <f t="shared" si="11"/>
        <v>-2262.2999999999993</v>
      </c>
      <c r="L162" s="2">
        <f t="shared" si="10"/>
        <v>8</v>
      </c>
    </row>
    <row r="163" spans="1:14" x14ac:dyDescent="0.3">
      <c r="A163" s="3">
        <v>44740</v>
      </c>
      <c r="B163" s="11" t="s">
        <v>2338</v>
      </c>
      <c r="F163" s="15">
        <v>218012550103</v>
      </c>
      <c r="H163" s="2">
        <v>5000</v>
      </c>
      <c r="I163" s="78">
        <f t="shared" si="6"/>
        <v>6262.2999999999993</v>
      </c>
      <c r="J163">
        <f t="shared" si="11"/>
        <v>2737.7000000000007</v>
      </c>
      <c r="L163" s="2">
        <f t="shared" si="10"/>
        <v>20</v>
      </c>
    </row>
    <row r="164" spans="1:14" x14ac:dyDescent="0.3">
      <c r="A164" s="3">
        <v>44741</v>
      </c>
      <c r="B164" s="11" t="s">
        <v>1160</v>
      </c>
      <c r="F164" s="15">
        <v>218012550103</v>
      </c>
      <c r="G164" s="2">
        <v>3000</v>
      </c>
      <c r="I164" s="78">
        <f t="shared" si="6"/>
        <v>9262.2999999999993</v>
      </c>
      <c r="J164">
        <f t="shared" si="11"/>
        <v>-262.29999999999927</v>
      </c>
      <c r="L164" s="2">
        <f t="shared" si="10"/>
        <v>12</v>
      </c>
    </row>
    <row r="165" spans="1:14" x14ac:dyDescent="0.3">
      <c r="A165" s="3">
        <v>44741</v>
      </c>
      <c r="B165" s="11" t="s">
        <v>2138</v>
      </c>
      <c r="C165" s="50" t="s">
        <v>252</v>
      </c>
      <c r="F165" s="15">
        <v>218013759624</v>
      </c>
      <c r="H165" s="2">
        <v>9000</v>
      </c>
      <c r="I165" s="78">
        <f t="shared" si="6"/>
        <v>262.29999999999927</v>
      </c>
      <c r="J165">
        <f t="shared" si="11"/>
        <v>8737.7000000000007</v>
      </c>
      <c r="L165" s="2">
        <f t="shared" si="10"/>
        <v>20</v>
      </c>
    </row>
    <row r="166" spans="1:14" x14ac:dyDescent="0.3">
      <c r="A166" s="3">
        <v>44742</v>
      </c>
      <c r="B166" s="11" t="s">
        <v>1160</v>
      </c>
      <c r="C166" s="50" t="s">
        <v>2283</v>
      </c>
      <c r="F166" s="15">
        <v>218117942908</v>
      </c>
      <c r="G166" s="2">
        <v>10000</v>
      </c>
      <c r="I166" s="78">
        <f t="shared" si="6"/>
        <v>10262.299999999999</v>
      </c>
      <c r="J166">
        <f t="shared" si="11"/>
        <v>-1262.2999999999993</v>
      </c>
      <c r="L166" s="2">
        <f t="shared" si="10"/>
        <v>20</v>
      </c>
    </row>
    <row r="167" spans="1:14" x14ac:dyDescent="0.3">
      <c r="A167" s="3">
        <v>44742</v>
      </c>
      <c r="B167" s="11" t="s">
        <v>1250</v>
      </c>
      <c r="F167" s="15"/>
      <c r="G167" s="2">
        <v>5000</v>
      </c>
      <c r="I167" s="78">
        <f t="shared" si="6"/>
        <v>15262.3</v>
      </c>
      <c r="J167">
        <f t="shared" si="11"/>
        <v>-6262.2999999999993</v>
      </c>
      <c r="L167" s="2">
        <f t="shared" si="10"/>
        <v>20</v>
      </c>
    </row>
    <row r="168" spans="1:14" x14ac:dyDescent="0.3">
      <c r="F168" s="15"/>
    </row>
    <row r="169" spans="1:14" x14ac:dyDescent="0.3">
      <c r="A169" s="77"/>
      <c r="B169" s="80"/>
      <c r="C169" s="112"/>
      <c r="D169" s="112"/>
      <c r="E169" s="92">
        <f>COUNTIF(E90:E168,"y")</f>
        <v>8</v>
      </c>
      <c r="F169" s="28">
        <f>G169+H169</f>
        <v>273733</v>
      </c>
      <c r="G169" s="81">
        <f>SUM(G91:G168)</f>
        <v>143683</v>
      </c>
      <c r="H169" s="81">
        <f>SUM(H91:H168)</f>
        <v>130050</v>
      </c>
      <c r="I169" s="81"/>
      <c r="J169" s="26"/>
      <c r="K169" s="26"/>
      <c r="L169" s="81">
        <f>SUM(L90:L168)</f>
        <v>1053.1199999999999</v>
      </c>
      <c r="M169" s="26">
        <f>SUM(M90:M168)</f>
        <v>0</v>
      </c>
      <c r="N169" s="26"/>
    </row>
    <row r="171" spans="1:14" x14ac:dyDescent="0.3">
      <c r="I171" s="2">
        <v>15262</v>
      </c>
    </row>
    <row r="172" spans="1:14" x14ac:dyDescent="0.3">
      <c r="A172" s="3">
        <v>44743</v>
      </c>
      <c r="B172" s="11" t="s">
        <v>2266</v>
      </c>
      <c r="C172" s="50" t="s">
        <v>2342</v>
      </c>
      <c r="D172" s="50">
        <v>9555925249</v>
      </c>
      <c r="F172" s="15">
        <v>218210100384</v>
      </c>
      <c r="G172" s="2">
        <v>500</v>
      </c>
      <c r="I172" s="78">
        <f t="shared" ref="I172:I186" si="12">I171+G172-H172</f>
        <v>15762</v>
      </c>
      <c r="J172">
        <f t="shared" ref="J172:J203" si="13">$J$1-I172</f>
        <v>-6762</v>
      </c>
      <c r="L172" s="2">
        <f t="shared" ref="L172:L216" si="14">IF((G172+H172)&lt;=5000,(H172+G172)*0.004,20)+IF(E172="Y",25,0)</f>
        <v>2</v>
      </c>
    </row>
    <row r="173" spans="1:14" x14ac:dyDescent="0.3">
      <c r="A173" s="3">
        <v>44743</v>
      </c>
      <c r="B173" s="11" t="s">
        <v>2143</v>
      </c>
      <c r="F173" s="15"/>
      <c r="H173" s="2">
        <v>7000</v>
      </c>
      <c r="I173" s="78">
        <f t="shared" si="12"/>
        <v>8762</v>
      </c>
      <c r="J173">
        <f t="shared" si="13"/>
        <v>238</v>
      </c>
      <c r="L173" s="2">
        <f t="shared" si="14"/>
        <v>20</v>
      </c>
    </row>
    <row r="174" spans="1:14" x14ac:dyDescent="0.3">
      <c r="A174" s="3">
        <v>44744</v>
      </c>
      <c r="B174" s="11" t="s">
        <v>2343</v>
      </c>
      <c r="F174" s="15">
        <v>218312914598</v>
      </c>
      <c r="G174" s="2">
        <v>1100</v>
      </c>
      <c r="I174" s="78">
        <f t="shared" si="12"/>
        <v>9862</v>
      </c>
      <c r="J174">
        <f t="shared" si="13"/>
        <v>-862</v>
      </c>
      <c r="L174" s="2">
        <f t="shared" si="14"/>
        <v>4.4000000000000004</v>
      </c>
    </row>
    <row r="175" spans="1:14" x14ac:dyDescent="0.3">
      <c r="A175" s="3">
        <v>44744</v>
      </c>
      <c r="B175" s="11" t="s">
        <v>2238</v>
      </c>
      <c r="C175" s="50" t="s">
        <v>2239</v>
      </c>
      <c r="F175" s="15">
        <v>218312927158</v>
      </c>
      <c r="H175" s="2">
        <v>1500</v>
      </c>
      <c r="I175" s="78">
        <f t="shared" si="12"/>
        <v>8362</v>
      </c>
      <c r="J175">
        <f t="shared" si="13"/>
        <v>638</v>
      </c>
      <c r="L175" s="2">
        <f t="shared" si="14"/>
        <v>6</v>
      </c>
    </row>
    <row r="176" spans="1:14" x14ac:dyDescent="0.3">
      <c r="A176" s="3">
        <v>44744</v>
      </c>
      <c r="B176" s="11" t="s">
        <v>1257</v>
      </c>
      <c r="C176" s="50" t="s">
        <v>2274</v>
      </c>
      <c r="F176" s="15">
        <v>218316012455</v>
      </c>
      <c r="H176" s="2">
        <v>6000</v>
      </c>
      <c r="I176" s="78">
        <f t="shared" si="12"/>
        <v>2362</v>
      </c>
      <c r="J176">
        <f t="shared" si="13"/>
        <v>6638</v>
      </c>
      <c r="L176" s="2">
        <f t="shared" si="14"/>
        <v>20</v>
      </c>
    </row>
    <row r="177" spans="1:18" x14ac:dyDescent="0.3">
      <c r="A177" s="3">
        <v>44744</v>
      </c>
      <c r="B177" s="11" t="s">
        <v>1160</v>
      </c>
      <c r="F177" s="15">
        <v>218319392693</v>
      </c>
      <c r="G177" s="2">
        <v>500</v>
      </c>
      <c r="I177" s="78">
        <f t="shared" si="12"/>
        <v>2862</v>
      </c>
      <c r="J177">
        <f t="shared" si="13"/>
        <v>6138</v>
      </c>
      <c r="L177" s="2">
        <f t="shared" si="14"/>
        <v>2</v>
      </c>
    </row>
    <row r="178" spans="1:18" x14ac:dyDescent="0.3">
      <c r="A178" s="3">
        <v>44745</v>
      </c>
      <c r="B178" s="11" t="s">
        <v>1250</v>
      </c>
      <c r="C178" s="50" t="s">
        <v>2344</v>
      </c>
      <c r="D178" s="50">
        <v>9304431703</v>
      </c>
      <c r="F178" s="15">
        <v>218411204806</v>
      </c>
      <c r="G178" s="2">
        <v>500</v>
      </c>
      <c r="I178" s="78">
        <f t="shared" si="12"/>
        <v>3362</v>
      </c>
      <c r="J178">
        <f t="shared" si="13"/>
        <v>5638</v>
      </c>
      <c r="L178" s="2">
        <f t="shared" si="14"/>
        <v>2</v>
      </c>
    </row>
    <row r="179" spans="1:18" x14ac:dyDescent="0.3">
      <c r="A179" s="3">
        <v>44746</v>
      </c>
      <c r="B179" s="11" t="s">
        <v>1160</v>
      </c>
      <c r="F179" s="15">
        <v>218517718627</v>
      </c>
      <c r="G179" s="2">
        <v>10000</v>
      </c>
      <c r="I179" s="78">
        <f t="shared" si="12"/>
        <v>13362</v>
      </c>
      <c r="J179">
        <f t="shared" si="13"/>
        <v>-4362</v>
      </c>
      <c r="L179" s="2">
        <f t="shared" si="14"/>
        <v>20</v>
      </c>
    </row>
    <row r="180" spans="1:18" x14ac:dyDescent="0.3">
      <c r="A180" s="3">
        <v>44746</v>
      </c>
      <c r="B180" s="11" t="s">
        <v>2140</v>
      </c>
      <c r="C180" s="50" t="s">
        <v>1279</v>
      </c>
      <c r="F180" s="15"/>
      <c r="H180" s="2">
        <v>10000</v>
      </c>
      <c r="I180" s="78">
        <f t="shared" si="12"/>
        <v>3362</v>
      </c>
      <c r="J180">
        <f t="shared" si="13"/>
        <v>5638</v>
      </c>
      <c r="L180" s="2">
        <f t="shared" si="14"/>
        <v>20</v>
      </c>
    </row>
    <row r="181" spans="1:18" x14ac:dyDescent="0.3">
      <c r="A181" s="3">
        <v>44747</v>
      </c>
      <c r="F181" s="15"/>
      <c r="G181" s="2">
        <v>1000</v>
      </c>
      <c r="I181" s="78">
        <f t="shared" si="12"/>
        <v>4362</v>
      </c>
      <c r="J181">
        <f t="shared" si="13"/>
        <v>4638</v>
      </c>
      <c r="L181" s="2">
        <f t="shared" si="14"/>
        <v>4</v>
      </c>
    </row>
    <row r="182" spans="1:18" x14ac:dyDescent="0.3">
      <c r="A182" s="3">
        <v>44747</v>
      </c>
      <c r="B182" s="11" t="s">
        <v>1250</v>
      </c>
      <c r="C182" s="50" t="s">
        <v>2345</v>
      </c>
      <c r="F182" s="15"/>
      <c r="G182" s="2">
        <v>1500</v>
      </c>
      <c r="I182" s="78">
        <f t="shared" si="12"/>
        <v>5862</v>
      </c>
      <c r="J182">
        <f t="shared" si="13"/>
        <v>3138</v>
      </c>
      <c r="L182" s="2">
        <f t="shared" si="14"/>
        <v>6</v>
      </c>
    </row>
    <row r="183" spans="1:18" x14ac:dyDescent="0.3">
      <c r="A183" s="3">
        <v>44747</v>
      </c>
      <c r="B183" s="11" t="s">
        <v>1160</v>
      </c>
      <c r="F183" s="15"/>
      <c r="G183" s="2">
        <v>10000</v>
      </c>
      <c r="I183" s="78">
        <f t="shared" si="12"/>
        <v>15862</v>
      </c>
      <c r="J183">
        <f t="shared" si="13"/>
        <v>-6862</v>
      </c>
      <c r="L183" s="2">
        <f t="shared" si="14"/>
        <v>20</v>
      </c>
    </row>
    <row r="184" spans="1:18" x14ac:dyDescent="0.3">
      <c r="A184" s="3">
        <v>44747</v>
      </c>
      <c r="B184" s="11" t="s">
        <v>2140</v>
      </c>
      <c r="F184" s="15"/>
      <c r="H184" s="2">
        <v>7000</v>
      </c>
      <c r="I184" s="78">
        <f t="shared" si="12"/>
        <v>8862</v>
      </c>
      <c r="J184">
        <f t="shared" si="13"/>
        <v>138</v>
      </c>
      <c r="L184" s="2">
        <f t="shared" si="14"/>
        <v>20</v>
      </c>
    </row>
    <row r="185" spans="1:18" x14ac:dyDescent="0.3">
      <c r="A185" s="3">
        <v>44747</v>
      </c>
      <c r="B185" s="11" t="s">
        <v>2184</v>
      </c>
      <c r="C185" s="50" t="s">
        <v>577</v>
      </c>
      <c r="F185" s="15">
        <v>218709294721</v>
      </c>
      <c r="H185" s="2">
        <v>3600</v>
      </c>
      <c r="I185" s="78">
        <f t="shared" si="12"/>
        <v>5262</v>
      </c>
      <c r="J185">
        <f t="shared" si="13"/>
        <v>3738</v>
      </c>
      <c r="L185" s="2">
        <f t="shared" si="14"/>
        <v>14.4</v>
      </c>
      <c r="R185">
        <v>8932.93</v>
      </c>
    </row>
    <row r="186" spans="1:18" x14ac:dyDescent="0.3">
      <c r="A186" s="3">
        <v>44747</v>
      </c>
      <c r="B186" s="11" t="s">
        <v>2346</v>
      </c>
      <c r="C186" s="50" t="s">
        <v>2347</v>
      </c>
      <c r="F186" s="15">
        <v>218709300669</v>
      </c>
      <c r="H186" s="2">
        <v>2000</v>
      </c>
      <c r="I186" s="78">
        <f t="shared" si="12"/>
        <v>3262</v>
      </c>
      <c r="J186">
        <f t="shared" si="13"/>
        <v>5738</v>
      </c>
      <c r="L186" s="2">
        <f t="shared" si="14"/>
        <v>8</v>
      </c>
    </row>
    <row r="187" spans="1:18" x14ac:dyDescent="0.3">
      <c r="A187" s="3">
        <v>44749</v>
      </c>
      <c r="C187" s="50" t="s">
        <v>2348</v>
      </c>
      <c r="F187" s="15"/>
      <c r="G187" s="2">
        <v>5000</v>
      </c>
      <c r="I187" s="78">
        <f t="shared" ref="I187:I211" si="15">I186+G187-H187</f>
        <v>8262</v>
      </c>
      <c r="J187">
        <f t="shared" si="13"/>
        <v>738</v>
      </c>
      <c r="L187" s="2">
        <f t="shared" si="14"/>
        <v>20</v>
      </c>
    </row>
    <row r="188" spans="1:18" x14ac:dyDescent="0.3">
      <c r="A188" s="3">
        <v>44749</v>
      </c>
      <c r="B188" s="11" t="s">
        <v>1472</v>
      </c>
      <c r="C188" s="50" t="s">
        <v>2349</v>
      </c>
      <c r="D188" s="50">
        <v>8521140245</v>
      </c>
      <c r="F188" s="15">
        <v>218812886330</v>
      </c>
      <c r="G188" s="2">
        <v>10000</v>
      </c>
      <c r="I188" s="78">
        <f t="shared" si="15"/>
        <v>18262</v>
      </c>
      <c r="J188">
        <f t="shared" si="13"/>
        <v>-9262</v>
      </c>
      <c r="L188" s="2">
        <f t="shared" si="14"/>
        <v>20</v>
      </c>
    </row>
    <row r="189" spans="1:18" x14ac:dyDescent="0.3">
      <c r="A189" s="3">
        <v>44749</v>
      </c>
      <c r="B189" s="11" t="s">
        <v>2140</v>
      </c>
      <c r="F189"/>
      <c r="H189" s="2">
        <v>10000</v>
      </c>
      <c r="I189" s="78">
        <f t="shared" si="15"/>
        <v>8262</v>
      </c>
      <c r="J189">
        <f t="shared" si="13"/>
        <v>738</v>
      </c>
      <c r="L189" s="2">
        <f t="shared" si="14"/>
        <v>20</v>
      </c>
    </row>
    <row r="190" spans="1:18" x14ac:dyDescent="0.3">
      <c r="A190" s="3">
        <v>44749</v>
      </c>
      <c r="B190" s="11" t="s">
        <v>1160</v>
      </c>
      <c r="C190" s="50" t="s">
        <v>2350</v>
      </c>
      <c r="D190" s="50">
        <v>9931683670</v>
      </c>
      <c r="F190" s="15">
        <v>218818473576</v>
      </c>
      <c r="G190" s="2">
        <v>2000</v>
      </c>
      <c r="I190" s="78">
        <f t="shared" si="15"/>
        <v>10262</v>
      </c>
      <c r="J190">
        <f t="shared" si="13"/>
        <v>-1262</v>
      </c>
      <c r="L190" s="2">
        <f t="shared" si="14"/>
        <v>8</v>
      </c>
    </row>
    <row r="191" spans="1:18" x14ac:dyDescent="0.3">
      <c r="A191" s="3">
        <v>44749</v>
      </c>
      <c r="B191" s="11" t="s">
        <v>2351</v>
      </c>
      <c r="C191" s="50" t="s">
        <v>2352</v>
      </c>
      <c r="F191" s="15">
        <v>218819619397</v>
      </c>
      <c r="G191" s="2">
        <v>4500</v>
      </c>
      <c r="I191" s="78">
        <f t="shared" si="15"/>
        <v>14762</v>
      </c>
      <c r="J191">
        <f t="shared" si="13"/>
        <v>-5762</v>
      </c>
      <c r="L191" s="2">
        <f t="shared" si="14"/>
        <v>18</v>
      </c>
    </row>
    <row r="192" spans="1:18" x14ac:dyDescent="0.3">
      <c r="A192" s="3">
        <v>44749</v>
      </c>
      <c r="B192" s="11" t="s">
        <v>1472</v>
      </c>
      <c r="C192" s="50" t="s">
        <v>2353</v>
      </c>
      <c r="D192" s="50">
        <v>8521140245</v>
      </c>
      <c r="F192" s="15"/>
      <c r="G192" s="2">
        <v>2000</v>
      </c>
      <c r="I192" s="78">
        <f t="shared" si="15"/>
        <v>16762</v>
      </c>
      <c r="J192">
        <f t="shared" si="13"/>
        <v>-7762</v>
      </c>
      <c r="L192" s="2">
        <f t="shared" si="14"/>
        <v>8</v>
      </c>
    </row>
    <row r="193" spans="1:12" x14ac:dyDescent="0.3">
      <c r="A193" s="3">
        <v>37445</v>
      </c>
      <c r="B193" s="11" t="s">
        <v>1250</v>
      </c>
      <c r="F193" s="15"/>
      <c r="G193" s="2">
        <v>4500</v>
      </c>
      <c r="I193" s="78">
        <f t="shared" si="15"/>
        <v>21262</v>
      </c>
      <c r="J193">
        <f t="shared" si="13"/>
        <v>-12262</v>
      </c>
      <c r="L193" s="2">
        <f t="shared" si="14"/>
        <v>18</v>
      </c>
    </row>
    <row r="194" spans="1:12" x14ac:dyDescent="0.3">
      <c r="A194" s="3">
        <v>37445</v>
      </c>
      <c r="B194" s="11" t="s">
        <v>2140</v>
      </c>
      <c r="C194" s="50" t="s">
        <v>1279</v>
      </c>
      <c r="F194" s="15"/>
      <c r="H194" s="2">
        <v>10000</v>
      </c>
      <c r="I194" s="78">
        <f t="shared" si="15"/>
        <v>11262</v>
      </c>
      <c r="J194">
        <f t="shared" si="13"/>
        <v>-2262</v>
      </c>
      <c r="L194" s="2">
        <f t="shared" si="14"/>
        <v>20</v>
      </c>
    </row>
    <row r="195" spans="1:12" x14ac:dyDescent="0.3">
      <c r="A195" s="3">
        <v>44751</v>
      </c>
      <c r="B195" s="11" t="s">
        <v>2354</v>
      </c>
      <c r="F195" s="15">
        <v>219019237801</v>
      </c>
      <c r="G195" s="2">
        <v>800</v>
      </c>
      <c r="I195" s="78">
        <f t="shared" si="15"/>
        <v>12062</v>
      </c>
      <c r="J195">
        <f t="shared" si="13"/>
        <v>-3062</v>
      </c>
      <c r="L195" s="2">
        <f t="shared" si="14"/>
        <v>3.2</v>
      </c>
    </row>
    <row r="196" spans="1:12" x14ac:dyDescent="0.3">
      <c r="A196" s="3">
        <v>44751</v>
      </c>
      <c r="B196" s="11" t="s">
        <v>2140</v>
      </c>
      <c r="F196" s="15"/>
      <c r="H196" s="2">
        <v>10000</v>
      </c>
      <c r="I196" s="78">
        <f t="shared" si="15"/>
        <v>2062</v>
      </c>
      <c r="J196">
        <f t="shared" si="13"/>
        <v>6938</v>
      </c>
      <c r="L196" s="2">
        <f t="shared" si="14"/>
        <v>20</v>
      </c>
    </row>
    <row r="197" spans="1:12" x14ac:dyDescent="0.3">
      <c r="A197" s="3">
        <v>44752</v>
      </c>
      <c r="B197" s="11" t="s">
        <v>2241</v>
      </c>
      <c r="C197" s="50" t="s">
        <v>2357</v>
      </c>
      <c r="D197" s="50">
        <v>7033321811</v>
      </c>
      <c r="F197" s="15">
        <v>219117509587</v>
      </c>
      <c r="G197" s="2">
        <v>1000</v>
      </c>
      <c r="I197" s="78">
        <f t="shared" si="15"/>
        <v>3062</v>
      </c>
      <c r="J197">
        <f t="shared" si="13"/>
        <v>5938</v>
      </c>
      <c r="L197" s="2">
        <f t="shared" si="14"/>
        <v>4</v>
      </c>
    </row>
    <row r="198" spans="1:12" x14ac:dyDescent="0.3">
      <c r="A198" s="3">
        <v>44753</v>
      </c>
      <c r="B198" s="11" t="s">
        <v>2359</v>
      </c>
      <c r="C198" s="50" t="s">
        <v>2360</v>
      </c>
      <c r="D198" s="50">
        <v>7033628688</v>
      </c>
      <c r="E198" s="90" t="s">
        <v>16</v>
      </c>
      <c r="F198" s="15">
        <v>219210702767</v>
      </c>
      <c r="H198" s="2">
        <v>400</v>
      </c>
      <c r="I198" s="78">
        <f t="shared" si="15"/>
        <v>2662</v>
      </c>
      <c r="J198">
        <f t="shared" si="13"/>
        <v>6338</v>
      </c>
      <c r="L198" s="2">
        <f t="shared" si="14"/>
        <v>26.6</v>
      </c>
    </row>
    <row r="199" spans="1:12" x14ac:dyDescent="0.3">
      <c r="A199" s="3">
        <v>44753</v>
      </c>
      <c r="B199" s="11" t="s">
        <v>2184</v>
      </c>
      <c r="C199" s="50" t="s">
        <v>577</v>
      </c>
      <c r="D199" s="50" t="s">
        <v>2362</v>
      </c>
      <c r="F199" s="15">
        <v>219213739316</v>
      </c>
      <c r="G199" s="2">
        <v>3000</v>
      </c>
      <c r="I199" s="78">
        <f t="shared" si="15"/>
        <v>5662</v>
      </c>
      <c r="J199">
        <f t="shared" si="13"/>
        <v>3338</v>
      </c>
      <c r="L199" s="2">
        <f t="shared" si="14"/>
        <v>12</v>
      </c>
    </row>
    <row r="200" spans="1:12" x14ac:dyDescent="0.3">
      <c r="A200" s="3">
        <v>44753</v>
      </c>
      <c r="B200" s="11" t="s">
        <v>2355</v>
      </c>
      <c r="C200" s="50" t="s">
        <v>2356</v>
      </c>
      <c r="D200" s="50">
        <v>9031395162</v>
      </c>
      <c r="F200" s="15">
        <v>219213762450</v>
      </c>
      <c r="H200" s="2">
        <v>5000</v>
      </c>
      <c r="I200" s="78">
        <f t="shared" si="15"/>
        <v>662</v>
      </c>
      <c r="J200">
        <f t="shared" si="13"/>
        <v>8338</v>
      </c>
      <c r="L200" s="2">
        <f t="shared" si="14"/>
        <v>20</v>
      </c>
    </row>
    <row r="201" spans="1:12" x14ac:dyDescent="0.3">
      <c r="A201" s="3">
        <v>44753</v>
      </c>
      <c r="B201" s="11" t="s">
        <v>1160</v>
      </c>
      <c r="C201" s="50" t="s">
        <v>2283</v>
      </c>
      <c r="F201" s="15">
        <v>219217921090</v>
      </c>
      <c r="G201" s="2">
        <v>10000</v>
      </c>
      <c r="I201" s="78">
        <f t="shared" si="15"/>
        <v>10662</v>
      </c>
      <c r="J201">
        <f t="shared" si="13"/>
        <v>-1662</v>
      </c>
      <c r="L201" s="2">
        <f t="shared" si="14"/>
        <v>20</v>
      </c>
    </row>
    <row r="202" spans="1:12" x14ac:dyDescent="0.3">
      <c r="A202" s="3">
        <v>44753</v>
      </c>
      <c r="B202" s="11" t="s">
        <v>2184</v>
      </c>
      <c r="C202" s="50" t="s">
        <v>577</v>
      </c>
      <c r="F202" s="15">
        <v>219217941359</v>
      </c>
      <c r="H202" s="2">
        <v>3000</v>
      </c>
      <c r="I202" s="78">
        <f t="shared" si="15"/>
        <v>7662</v>
      </c>
      <c r="J202">
        <f t="shared" si="13"/>
        <v>1338</v>
      </c>
      <c r="L202" s="2">
        <f t="shared" si="14"/>
        <v>12</v>
      </c>
    </row>
    <row r="203" spans="1:12" x14ac:dyDescent="0.3">
      <c r="A203" s="3">
        <v>44753</v>
      </c>
      <c r="B203" s="11" t="s">
        <v>2140</v>
      </c>
      <c r="C203" s="50" t="s">
        <v>1279</v>
      </c>
      <c r="F203" s="15">
        <v>219217014453</v>
      </c>
      <c r="H203" s="2">
        <v>7000</v>
      </c>
      <c r="I203" s="78">
        <f t="shared" si="15"/>
        <v>662</v>
      </c>
      <c r="J203">
        <f t="shared" si="13"/>
        <v>8338</v>
      </c>
      <c r="L203" s="2">
        <f t="shared" si="14"/>
        <v>20</v>
      </c>
    </row>
    <row r="204" spans="1:12" x14ac:dyDescent="0.3">
      <c r="A204" s="3">
        <v>44754</v>
      </c>
      <c r="B204" s="11" t="s">
        <v>2180</v>
      </c>
      <c r="C204" s="50" t="s">
        <v>1599</v>
      </c>
      <c r="F204" s="15">
        <v>219310355337</v>
      </c>
      <c r="G204" s="2">
        <v>5000</v>
      </c>
      <c r="I204" s="78">
        <f t="shared" si="15"/>
        <v>5662</v>
      </c>
      <c r="J204">
        <f t="shared" ref="J204:J235" si="16">$J$1-I204</f>
        <v>3338</v>
      </c>
      <c r="L204" s="2">
        <f t="shared" si="14"/>
        <v>20</v>
      </c>
    </row>
    <row r="205" spans="1:12" x14ac:dyDescent="0.3">
      <c r="A205" s="3">
        <v>44754</v>
      </c>
      <c r="B205" s="11" t="s">
        <v>1170</v>
      </c>
      <c r="C205" s="50" t="s">
        <v>2363</v>
      </c>
      <c r="D205" s="50">
        <v>8825227510</v>
      </c>
      <c r="F205" s="15">
        <v>219311525961</v>
      </c>
      <c r="G205" s="2">
        <v>2000</v>
      </c>
      <c r="I205" s="78">
        <f t="shared" si="15"/>
        <v>7662</v>
      </c>
      <c r="J205">
        <f t="shared" si="16"/>
        <v>1338</v>
      </c>
      <c r="L205" s="2">
        <f t="shared" si="14"/>
        <v>8</v>
      </c>
    </row>
    <row r="206" spans="1:12" x14ac:dyDescent="0.3">
      <c r="A206" s="3">
        <v>44754</v>
      </c>
      <c r="B206" s="11" t="s">
        <v>1160</v>
      </c>
      <c r="C206" s="50" t="s">
        <v>2370</v>
      </c>
      <c r="D206" s="50">
        <v>9608531099</v>
      </c>
      <c r="F206" s="15">
        <v>219319154188</v>
      </c>
      <c r="G206" s="2">
        <v>9100</v>
      </c>
      <c r="I206" s="78">
        <f t="shared" si="15"/>
        <v>16762</v>
      </c>
      <c r="J206">
        <f t="shared" si="16"/>
        <v>-7762</v>
      </c>
      <c r="L206" s="2">
        <f t="shared" si="14"/>
        <v>20</v>
      </c>
    </row>
    <row r="207" spans="1:12" x14ac:dyDescent="0.3">
      <c r="A207" s="3">
        <v>44754</v>
      </c>
      <c r="B207" s="11" t="s">
        <v>2371</v>
      </c>
      <c r="C207" s="50" t="s">
        <v>2372</v>
      </c>
      <c r="E207" s="90" t="s">
        <v>14</v>
      </c>
      <c r="F207" s="15">
        <v>219319201720</v>
      </c>
      <c r="H207" s="2">
        <v>200</v>
      </c>
      <c r="I207" s="78">
        <f t="shared" si="15"/>
        <v>16562</v>
      </c>
      <c r="J207">
        <f t="shared" si="16"/>
        <v>-7562</v>
      </c>
      <c r="L207" s="2">
        <f t="shared" si="14"/>
        <v>25.8</v>
      </c>
    </row>
    <row r="208" spans="1:12" x14ac:dyDescent="0.3">
      <c r="A208" s="3">
        <v>44754</v>
      </c>
      <c r="B208" s="11" t="s">
        <v>1259</v>
      </c>
      <c r="C208" s="50" t="s">
        <v>201</v>
      </c>
      <c r="F208" s="15">
        <v>219319208325</v>
      </c>
      <c r="H208" s="2">
        <v>5000</v>
      </c>
      <c r="I208" s="78">
        <f t="shared" si="15"/>
        <v>11562</v>
      </c>
      <c r="J208">
        <f t="shared" si="16"/>
        <v>-2562</v>
      </c>
      <c r="L208" s="2">
        <f t="shared" si="14"/>
        <v>20</v>
      </c>
    </row>
    <row r="209" spans="1:20" x14ac:dyDescent="0.3">
      <c r="A209" s="3">
        <v>44754</v>
      </c>
      <c r="B209" s="11" t="s">
        <v>2373</v>
      </c>
      <c r="C209" s="50" t="s">
        <v>2374</v>
      </c>
      <c r="E209" s="90" t="s">
        <v>16</v>
      </c>
      <c r="F209" s="15">
        <v>219319216154</v>
      </c>
      <c r="H209" s="2">
        <v>200</v>
      </c>
      <c r="I209" s="78">
        <f t="shared" si="15"/>
        <v>11362</v>
      </c>
      <c r="J209">
        <f t="shared" si="16"/>
        <v>-2362</v>
      </c>
      <c r="L209" s="2">
        <f t="shared" si="14"/>
        <v>25.8</v>
      </c>
    </row>
    <row r="210" spans="1:20" x14ac:dyDescent="0.3">
      <c r="A210" s="3">
        <v>44754</v>
      </c>
      <c r="B210" s="11" t="s">
        <v>2375</v>
      </c>
      <c r="C210" s="50" t="s">
        <v>633</v>
      </c>
      <c r="D210" s="50">
        <v>9113364784</v>
      </c>
      <c r="E210" s="90" t="s">
        <v>16</v>
      </c>
      <c r="F210" s="15"/>
      <c r="H210" s="2">
        <v>100</v>
      </c>
      <c r="I210" s="78">
        <f t="shared" si="15"/>
        <v>11262</v>
      </c>
      <c r="J210">
        <f t="shared" si="16"/>
        <v>-2262</v>
      </c>
      <c r="L210" s="2">
        <f t="shared" si="14"/>
        <v>25.4</v>
      </c>
    </row>
    <row r="211" spans="1:20" x14ac:dyDescent="0.3">
      <c r="A211" s="3">
        <v>44754</v>
      </c>
      <c r="B211" s="11" t="s">
        <v>2140</v>
      </c>
      <c r="C211" s="50" t="s">
        <v>1279</v>
      </c>
      <c r="F211" s="15">
        <v>219321404207</v>
      </c>
      <c r="H211" s="2">
        <v>6000</v>
      </c>
      <c r="I211" s="78">
        <f t="shared" si="15"/>
        <v>5262</v>
      </c>
      <c r="J211">
        <f t="shared" si="16"/>
        <v>3738</v>
      </c>
      <c r="L211" s="2">
        <f t="shared" si="14"/>
        <v>20</v>
      </c>
    </row>
    <row r="212" spans="1:20" x14ac:dyDescent="0.3">
      <c r="A212" s="3">
        <v>44754</v>
      </c>
      <c r="B212" s="11" t="s">
        <v>2384</v>
      </c>
      <c r="C212" s="50" t="s">
        <v>2385</v>
      </c>
      <c r="F212" s="15">
        <v>219417277158</v>
      </c>
      <c r="H212" s="2">
        <v>5000</v>
      </c>
      <c r="I212" s="78">
        <f>I211+G212-H212</f>
        <v>262</v>
      </c>
      <c r="J212">
        <f t="shared" si="16"/>
        <v>8738</v>
      </c>
      <c r="L212" s="2">
        <f t="shared" si="14"/>
        <v>20</v>
      </c>
    </row>
    <row r="213" spans="1:20" x14ac:dyDescent="0.3">
      <c r="A213" s="3">
        <v>44756</v>
      </c>
      <c r="B213" s="11" t="s">
        <v>2386</v>
      </c>
      <c r="C213" s="50" t="s">
        <v>2387</v>
      </c>
      <c r="F213" s="15">
        <v>219512279566</v>
      </c>
      <c r="G213" s="2">
        <v>1400</v>
      </c>
      <c r="I213" s="78">
        <f>I212+G213-H213</f>
        <v>1662</v>
      </c>
      <c r="J213">
        <f t="shared" si="16"/>
        <v>7338</v>
      </c>
      <c r="L213" s="2">
        <f t="shared" si="14"/>
        <v>5.6000000000000005</v>
      </c>
    </row>
    <row r="214" spans="1:20" x14ac:dyDescent="0.3">
      <c r="A214" s="3">
        <v>44756</v>
      </c>
      <c r="B214" s="11" t="s">
        <v>2185</v>
      </c>
      <c r="C214" s="50" t="s">
        <v>2187</v>
      </c>
      <c r="F214" s="15">
        <v>219512296157</v>
      </c>
      <c r="H214" s="2">
        <v>1000</v>
      </c>
      <c r="I214" s="78">
        <f>I213+G214-H214</f>
        <v>662</v>
      </c>
      <c r="J214">
        <f t="shared" si="16"/>
        <v>8338</v>
      </c>
      <c r="L214" s="2">
        <f t="shared" si="14"/>
        <v>4</v>
      </c>
    </row>
    <row r="215" spans="1:20" x14ac:dyDescent="0.3">
      <c r="A215" s="3">
        <v>44756</v>
      </c>
      <c r="B215" s="11" t="s">
        <v>2393</v>
      </c>
      <c r="C215" s="50" t="s">
        <v>2394</v>
      </c>
      <c r="E215" s="90" t="s">
        <v>14</v>
      </c>
      <c r="F215" s="15"/>
      <c r="H215" s="2">
        <v>100</v>
      </c>
      <c r="I215" s="78">
        <f t="shared" ref="I215:I257" si="17">I214+G215-H215</f>
        <v>562</v>
      </c>
      <c r="J215">
        <f t="shared" si="16"/>
        <v>8438</v>
      </c>
      <c r="L215" s="2">
        <f t="shared" si="14"/>
        <v>25.4</v>
      </c>
    </row>
    <row r="216" spans="1:20" x14ac:dyDescent="0.3">
      <c r="A216" s="3">
        <v>44757</v>
      </c>
      <c r="B216" s="11" t="s">
        <v>2388</v>
      </c>
      <c r="C216" s="50" t="s">
        <v>2389</v>
      </c>
      <c r="E216" s="90" t="s">
        <v>16</v>
      </c>
      <c r="F216" s="15">
        <v>219613884836</v>
      </c>
      <c r="H216" s="2">
        <v>200</v>
      </c>
      <c r="I216" s="78">
        <f t="shared" si="17"/>
        <v>362</v>
      </c>
      <c r="J216">
        <f t="shared" si="16"/>
        <v>8638</v>
      </c>
      <c r="L216" s="2">
        <f t="shared" si="14"/>
        <v>25.8</v>
      </c>
    </row>
    <row r="217" spans="1:20" x14ac:dyDescent="0.3">
      <c r="A217" s="3">
        <v>44757</v>
      </c>
      <c r="C217" s="50" t="s">
        <v>2395</v>
      </c>
      <c r="F217" s="15"/>
      <c r="G217" s="2">
        <v>713.43</v>
      </c>
      <c r="I217" s="78">
        <f t="shared" si="17"/>
        <v>1075.4299999999998</v>
      </c>
      <c r="J217">
        <f t="shared" si="16"/>
        <v>7924.57</v>
      </c>
    </row>
    <row r="218" spans="1:20" x14ac:dyDescent="0.3">
      <c r="A218" s="3">
        <v>44760</v>
      </c>
      <c r="C218" s="50" t="s">
        <v>2396</v>
      </c>
      <c r="F218" s="15">
        <v>219920280001</v>
      </c>
      <c r="G218" s="2">
        <v>900</v>
      </c>
      <c r="I218" s="78">
        <f t="shared" si="17"/>
        <v>1975.4299999999998</v>
      </c>
      <c r="J218">
        <f t="shared" si="16"/>
        <v>7024.57</v>
      </c>
      <c r="L218" s="2">
        <f t="shared" ref="L218:L257" si="18">IF((G218+H218)&lt;=5000,(H218+G218)*0.004,20)+IF(E218="Y",25,0)</f>
        <v>3.6</v>
      </c>
    </row>
    <row r="219" spans="1:20" x14ac:dyDescent="0.3">
      <c r="A219" s="3">
        <v>44761</v>
      </c>
      <c r="B219" s="11" t="s">
        <v>2217</v>
      </c>
      <c r="F219" s="15">
        <v>220010052031</v>
      </c>
      <c r="G219" s="2">
        <v>1000</v>
      </c>
      <c r="I219" s="78">
        <f t="shared" si="17"/>
        <v>2975.43</v>
      </c>
      <c r="J219">
        <f t="shared" si="16"/>
        <v>6024.57</v>
      </c>
      <c r="L219" s="2">
        <f t="shared" si="18"/>
        <v>4</v>
      </c>
    </row>
    <row r="220" spans="1:20" x14ac:dyDescent="0.3">
      <c r="A220" s="3">
        <v>44761</v>
      </c>
      <c r="B220" s="11" t="s">
        <v>2397</v>
      </c>
      <c r="C220" s="50" t="s">
        <v>2398</v>
      </c>
      <c r="F220" s="15">
        <v>220011534931</v>
      </c>
      <c r="G220" s="2">
        <v>2000</v>
      </c>
      <c r="I220" s="78">
        <f t="shared" si="17"/>
        <v>4975.43</v>
      </c>
      <c r="J220">
        <f t="shared" si="16"/>
        <v>4024.5699999999997</v>
      </c>
      <c r="L220" s="2">
        <f t="shared" si="18"/>
        <v>8</v>
      </c>
      <c r="T220">
        <f>952820-150000-50000-2100-75000-121947</f>
        <v>553773</v>
      </c>
    </row>
    <row r="221" spans="1:20" x14ac:dyDescent="0.3">
      <c r="A221" s="3">
        <v>44761</v>
      </c>
      <c r="B221" s="11" t="s">
        <v>2298</v>
      </c>
      <c r="F221" s="15">
        <v>220012557141</v>
      </c>
      <c r="G221" s="2">
        <v>5000</v>
      </c>
      <c r="I221" s="78">
        <f t="shared" si="17"/>
        <v>9975.43</v>
      </c>
      <c r="J221">
        <f t="shared" si="16"/>
        <v>-975.43000000000029</v>
      </c>
      <c r="L221" s="2">
        <f t="shared" si="18"/>
        <v>20</v>
      </c>
    </row>
    <row r="222" spans="1:20" x14ac:dyDescent="0.3">
      <c r="A222" s="3">
        <v>44761</v>
      </c>
      <c r="B222" s="11" t="s">
        <v>1472</v>
      </c>
      <c r="C222" s="50" t="s">
        <v>2399</v>
      </c>
      <c r="D222" s="50">
        <v>8448328406</v>
      </c>
      <c r="F222" s="15">
        <v>220017205716</v>
      </c>
      <c r="G222" s="2">
        <v>3000</v>
      </c>
      <c r="I222" s="78">
        <f t="shared" si="17"/>
        <v>12975.43</v>
      </c>
      <c r="J222">
        <f t="shared" si="16"/>
        <v>-3975.4300000000003</v>
      </c>
      <c r="L222" s="2">
        <f t="shared" si="18"/>
        <v>12</v>
      </c>
    </row>
    <row r="223" spans="1:20" x14ac:dyDescent="0.3">
      <c r="A223" s="3">
        <v>44762</v>
      </c>
      <c r="B223" s="11" t="s">
        <v>2400</v>
      </c>
      <c r="C223" s="50" t="s">
        <v>2401</v>
      </c>
      <c r="F223" s="15">
        <v>220109178087</v>
      </c>
      <c r="H223" s="2">
        <v>2100</v>
      </c>
      <c r="I223" s="78">
        <f t="shared" si="17"/>
        <v>10875.43</v>
      </c>
      <c r="J223">
        <f t="shared" si="16"/>
        <v>-1875.4300000000003</v>
      </c>
      <c r="L223" s="2">
        <f t="shared" si="18"/>
        <v>8.4</v>
      </c>
    </row>
    <row r="224" spans="1:20" x14ac:dyDescent="0.3">
      <c r="A224" s="3">
        <v>44762</v>
      </c>
      <c r="B224" s="11" t="s">
        <v>1472</v>
      </c>
      <c r="C224" s="50" t="s">
        <v>2399</v>
      </c>
      <c r="D224" s="50">
        <v>8448328406</v>
      </c>
      <c r="F224" s="15">
        <v>220118755392</v>
      </c>
      <c r="G224" s="2">
        <v>5000</v>
      </c>
      <c r="I224" s="78">
        <f t="shared" si="17"/>
        <v>15875.43</v>
      </c>
      <c r="J224">
        <f t="shared" si="16"/>
        <v>-6875.43</v>
      </c>
      <c r="L224" s="2">
        <f t="shared" si="18"/>
        <v>20</v>
      </c>
    </row>
    <row r="225" spans="1:12" x14ac:dyDescent="0.3">
      <c r="A225" s="3">
        <v>44763</v>
      </c>
      <c r="B225" s="11" t="s">
        <v>2402</v>
      </c>
      <c r="C225" s="50" t="s">
        <v>2403</v>
      </c>
      <c r="F225" s="15">
        <v>220220242562</v>
      </c>
      <c r="H225" s="2">
        <v>5000</v>
      </c>
      <c r="I225" s="78">
        <f t="shared" si="17"/>
        <v>10875.43</v>
      </c>
      <c r="J225">
        <f t="shared" si="16"/>
        <v>-1875.4300000000003</v>
      </c>
      <c r="L225" s="2">
        <f t="shared" si="18"/>
        <v>20</v>
      </c>
    </row>
    <row r="226" spans="1:12" x14ac:dyDescent="0.3">
      <c r="A226" s="3">
        <v>44764</v>
      </c>
      <c r="B226" s="11" t="s">
        <v>2402</v>
      </c>
      <c r="C226" s="50" t="s">
        <v>2403</v>
      </c>
      <c r="F226" s="15">
        <v>220311133293</v>
      </c>
      <c r="H226" s="2">
        <v>4000</v>
      </c>
      <c r="I226" s="78">
        <f t="shared" si="17"/>
        <v>6875.43</v>
      </c>
      <c r="J226">
        <f t="shared" si="16"/>
        <v>2124.5699999999997</v>
      </c>
      <c r="L226" s="2">
        <f t="shared" si="18"/>
        <v>16</v>
      </c>
    </row>
    <row r="227" spans="1:12" x14ac:dyDescent="0.3">
      <c r="A227" s="3">
        <v>44764</v>
      </c>
      <c r="B227" s="11" t="s">
        <v>2143</v>
      </c>
      <c r="F227" s="15"/>
      <c r="H227" s="2">
        <v>5000</v>
      </c>
      <c r="I227" s="78">
        <f t="shared" si="17"/>
        <v>1875.4300000000003</v>
      </c>
      <c r="J227">
        <f t="shared" si="16"/>
        <v>7124.57</v>
      </c>
      <c r="L227" s="2">
        <f t="shared" si="18"/>
        <v>20</v>
      </c>
    </row>
    <row r="228" spans="1:12" x14ac:dyDescent="0.3">
      <c r="A228" s="3">
        <v>44764</v>
      </c>
      <c r="B228" s="11" t="s">
        <v>2247</v>
      </c>
      <c r="F228" s="15">
        <v>220319255609</v>
      </c>
      <c r="G228" s="2">
        <v>8000</v>
      </c>
      <c r="I228" s="78">
        <f t="shared" si="17"/>
        <v>9875.43</v>
      </c>
      <c r="J228">
        <f t="shared" si="16"/>
        <v>-875.43000000000029</v>
      </c>
      <c r="L228" s="2">
        <f t="shared" si="18"/>
        <v>20</v>
      </c>
    </row>
    <row r="229" spans="1:12" x14ac:dyDescent="0.3">
      <c r="A229" s="3">
        <v>44764</v>
      </c>
      <c r="B229" s="11" t="s">
        <v>1250</v>
      </c>
      <c r="F229" s="15"/>
      <c r="G229" s="2">
        <v>4000</v>
      </c>
      <c r="I229" s="78">
        <f t="shared" si="17"/>
        <v>13875.43</v>
      </c>
      <c r="J229">
        <f t="shared" si="16"/>
        <v>-4875.43</v>
      </c>
      <c r="L229" s="2">
        <f t="shared" si="18"/>
        <v>16</v>
      </c>
    </row>
    <row r="230" spans="1:12" x14ac:dyDescent="0.3">
      <c r="A230" s="3">
        <v>44765</v>
      </c>
      <c r="B230" s="11" t="s">
        <v>1160</v>
      </c>
      <c r="C230" s="50" t="s">
        <v>2370</v>
      </c>
      <c r="D230" s="50">
        <v>9608531011</v>
      </c>
      <c r="F230" s="15">
        <v>220411993485</v>
      </c>
      <c r="G230" s="2">
        <v>2000</v>
      </c>
      <c r="I230" s="78">
        <f t="shared" si="17"/>
        <v>15875.43</v>
      </c>
      <c r="J230">
        <f t="shared" si="16"/>
        <v>-6875.43</v>
      </c>
      <c r="L230" s="2">
        <f t="shared" si="18"/>
        <v>8</v>
      </c>
    </row>
    <row r="231" spans="1:12" x14ac:dyDescent="0.3">
      <c r="A231" s="3">
        <v>44765</v>
      </c>
      <c r="B231" s="11" t="s">
        <v>1160</v>
      </c>
      <c r="F231" s="15">
        <v>220417259021</v>
      </c>
      <c r="G231" s="2">
        <v>7000</v>
      </c>
      <c r="I231" s="78">
        <f t="shared" si="17"/>
        <v>22875.43</v>
      </c>
      <c r="J231">
        <f t="shared" si="16"/>
        <v>-13875.43</v>
      </c>
      <c r="L231" s="2">
        <f t="shared" si="18"/>
        <v>20</v>
      </c>
    </row>
    <row r="232" spans="1:12" x14ac:dyDescent="0.3">
      <c r="A232" s="3">
        <v>44765</v>
      </c>
      <c r="B232" s="11" t="s">
        <v>1160</v>
      </c>
      <c r="C232" s="50" t="s">
        <v>2404</v>
      </c>
      <c r="F232" s="15">
        <v>220417329572</v>
      </c>
      <c r="G232" s="2">
        <v>3000</v>
      </c>
      <c r="I232" s="78">
        <f t="shared" si="17"/>
        <v>25875.43</v>
      </c>
      <c r="J232">
        <f t="shared" si="16"/>
        <v>-16875.43</v>
      </c>
      <c r="L232" s="2">
        <f t="shared" si="18"/>
        <v>12</v>
      </c>
    </row>
    <row r="233" spans="1:12" x14ac:dyDescent="0.3">
      <c r="A233" s="3">
        <v>44765</v>
      </c>
      <c r="B233" s="11" t="s">
        <v>2405</v>
      </c>
      <c r="C233" s="50" t="s">
        <v>2406</v>
      </c>
      <c r="F233" s="15">
        <v>220417333437</v>
      </c>
      <c r="H233" s="2">
        <v>3000</v>
      </c>
      <c r="I233" s="78">
        <f t="shared" si="17"/>
        <v>22875.43</v>
      </c>
      <c r="J233">
        <f t="shared" si="16"/>
        <v>-13875.43</v>
      </c>
      <c r="L233" s="2">
        <f t="shared" si="18"/>
        <v>12</v>
      </c>
    </row>
    <row r="234" spans="1:12" x14ac:dyDescent="0.3">
      <c r="A234" s="3">
        <v>44765</v>
      </c>
      <c r="B234" s="11" t="s">
        <v>2140</v>
      </c>
      <c r="F234" s="15"/>
      <c r="H234" s="2">
        <v>10000</v>
      </c>
      <c r="I234" s="78">
        <f t="shared" si="17"/>
        <v>12875.43</v>
      </c>
      <c r="J234">
        <f t="shared" si="16"/>
        <v>-3875.4300000000003</v>
      </c>
      <c r="L234" s="2">
        <f t="shared" si="18"/>
        <v>20</v>
      </c>
    </row>
    <row r="235" spans="1:12" x14ac:dyDescent="0.3">
      <c r="A235" s="3">
        <v>44767</v>
      </c>
      <c r="B235" s="11" t="s">
        <v>1250</v>
      </c>
      <c r="F235" s="15">
        <v>220618476453</v>
      </c>
      <c r="G235" s="2">
        <v>1000</v>
      </c>
      <c r="I235" s="78">
        <f t="shared" si="17"/>
        <v>13875.43</v>
      </c>
      <c r="J235">
        <f t="shared" si="16"/>
        <v>-4875.43</v>
      </c>
      <c r="L235" s="2">
        <f t="shared" si="18"/>
        <v>4</v>
      </c>
    </row>
    <row r="236" spans="1:12" x14ac:dyDescent="0.3">
      <c r="A236" s="3">
        <v>44767</v>
      </c>
      <c r="B236" s="11" t="s">
        <v>2140</v>
      </c>
      <c r="F236" s="15">
        <v>220618485467</v>
      </c>
      <c r="H236" s="2">
        <v>10000</v>
      </c>
      <c r="I236" s="78">
        <f t="shared" si="17"/>
        <v>3875.4300000000003</v>
      </c>
      <c r="J236">
        <f t="shared" ref="J236:J257" si="19">$J$1-I236</f>
        <v>5124.57</v>
      </c>
      <c r="L236" s="2">
        <f t="shared" si="18"/>
        <v>20</v>
      </c>
    </row>
    <row r="237" spans="1:12" x14ac:dyDescent="0.3">
      <c r="A237" s="3">
        <v>44767</v>
      </c>
      <c r="B237" s="11" t="s">
        <v>2407</v>
      </c>
      <c r="C237" s="50" t="s">
        <v>2058</v>
      </c>
      <c r="D237" s="50">
        <v>8969518219</v>
      </c>
      <c r="F237" s="15"/>
      <c r="H237" s="2">
        <v>3000</v>
      </c>
      <c r="I237" s="78">
        <f t="shared" si="17"/>
        <v>875.43000000000029</v>
      </c>
      <c r="J237">
        <f t="shared" si="19"/>
        <v>8124.57</v>
      </c>
      <c r="L237" s="2">
        <f t="shared" si="18"/>
        <v>12</v>
      </c>
    </row>
    <row r="238" spans="1:12" x14ac:dyDescent="0.3">
      <c r="A238" s="3">
        <v>44768</v>
      </c>
      <c r="B238" s="11" t="s">
        <v>2408</v>
      </c>
      <c r="C238" s="50" t="s">
        <v>2409</v>
      </c>
      <c r="D238" s="50">
        <v>7717747591</v>
      </c>
      <c r="F238" s="15">
        <v>220719944204</v>
      </c>
      <c r="G238" s="2">
        <v>2000</v>
      </c>
      <c r="I238" s="78">
        <f t="shared" si="17"/>
        <v>2875.4300000000003</v>
      </c>
      <c r="J238">
        <f t="shared" si="19"/>
        <v>6124.57</v>
      </c>
      <c r="L238" s="2">
        <f t="shared" si="18"/>
        <v>8</v>
      </c>
    </row>
    <row r="239" spans="1:12" x14ac:dyDescent="0.3">
      <c r="A239" s="3">
        <v>44768</v>
      </c>
      <c r="B239" s="11" t="s">
        <v>2410</v>
      </c>
      <c r="C239" s="50" t="s">
        <v>2058</v>
      </c>
      <c r="F239" s="15"/>
      <c r="G239" s="2">
        <v>500</v>
      </c>
      <c r="I239" s="78">
        <f t="shared" si="17"/>
        <v>3375.4300000000003</v>
      </c>
      <c r="J239">
        <f t="shared" si="19"/>
        <v>5624.57</v>
      </c>
      <c r="L239" s="2">
        <f t="shared" si="18"/>
        <v>2</v>
      </c>
    </row>
    <row r="240" spans="1:12" x14ac:dyDescent="0.3">
      <c r="A240" s="3">
        <v>44768</v>
      </c>
      <c r="F240" s="15"/>
      <c r="G240" s="2">
        <v>500</v>
      </c>
      <c r="I240" s="78">
        <f t="shared" si="17"/>
        <v>3875.4300000000003</v>
      </c>
      <c r="J240">
        <f t="shared" si="19"/>
        <v>5124.57</v>
      </c>
      <c r="L240" s="2">
        <f t="shared" si="18"/>
        <v>2</v>
      </c>
    </row>
    <row r="241" spans="1:20" x14ac:dyDescent="0.3">
      <c r="A241" s="3">
        <v>44769</v>
      </c>
      <c r="B241" s="11" t="s">
        <v>2410</v>
      </c>
      <c r="C241" s="50" t="s">
        <v>2058</v>
      </c>
      <c r="F241" s="15"/>
      <c r="G241" s="2">
        <v>600</v>
      </c>
      <c r="I241" s="78">
        <f t="shared" si="17"/>
        <v>4475.43</v>
      </c>
      <c r="J241">
        <f t="shared" si="19"/>
        <v>4524.57</v>
      </c>
      <c r="L241" s="2">
        <f t="shared" si="18"/>
        <v>2.4</v>
      </c>
    </row>
    <row r="242" spans="1:20" x14ac:dyDescent="0.3">
      <c r="A242" s="3">
        <v>44769</v>
      </c>
      <c r="B242" s="11" t="s">
        <v>2411</v>
      </c>
      <c r="C242" s="50" t="s">
        <v>2412</v>
      </c>
      <c r="F242" s="15">
        <v>220912936517</v>
      </c>
      <c r="G242" s="2">
        <v>5000</v>
      </c>
      <c r="I242" s="78">
        <f t="shared" si="17"/>
        <v>9475.43</v>
      </c>
      <c r="J242">
        <f t="shared" si="19"/>
        <v>-475.43000000000029</v>
      </c>
      <c r="L242" s="2">
        <f t="shared" si="18"/>
        <v>20</v>
      </c>
    </row>
    <row r="243" spans="1:20" x14ac:dyDescent="0.3">
      <c r="A243" s="3">
        <v>44769</v>
      </c>
      <c r="B243" s="11" t="s">
        <v>2410</v>
      </c>
      <c r="C243" s="50" t="s">
        <v>2058</v>
      </c>
      <c r="F243" s="15"/>
      <c r="G243" s="2">
        <v>600</v>
      </c>
      <c r="I243" s="78">
        <f t="shared" si="17"/>
        <v>10075.43</v>
      </c>
      <c r="J243">
        <f t="shared" si="19"/>
        <v>-1075.4300000000003</v>
      </c>
      <c r="L243" s="2">
        <f t="shared" si="18"/>
        <v>2.4</v>
      </c>
    </row>
    <row r="244" spans="1:20" x14ac:dyDescent="0.3">
      <c r="A244" s="3">
        <v>44770</v>
      </c>
      <c r="B244" s="11" t="s">
        <v>2413</v>
      </c>
      <c r="F244" s="15">
        <v>220912987537</v>
      </c>
      <c r="H244" s="2">
        <v>5000</v>
      </c>
      <c r="I244" s="78">
        <f t="shared" si="17"/>
        <v>5075.43</v>
      </c>
      <c r="J244">
        <f t="shared" si="19"/>
        <v>3924.5699999999997</v>
      </c>
      <c r="L244" s="2">
        <f t="shared" si="18"/>
        <v>20</v>
      </c>
    </row>
    <row r="245" spans="1:20" x14ac:dyDescent="0.3">
      <c r="A245" s="3">
        <v>44770</v>
      </c>
      <c r="B245" s="11" t="s">
        <v>1250</v>
      </c>
      <c r="C245" s="50" t="s">
        <v>2414</v>
      </c>
      <c r="F245" s="15">
        <v>220912016661</v>
      </c>
      <c r="G245" s="2">
        <v>1000</v>
      </c>
      <c r="I245" s="78">
        <f t="shared" si="17"/>
        <v>6075.43</v>
      </c>
      <c r="J245">
        <f t="shared" si="19"/>
        <v>2924.5699999999997</v>
      </c>
      <c r="L245" s="2">
        <f t="shared" si="18"/>
        <v>4</v>
      </c>
    </row>
    <row r="246" spans="1:20" x14ac:dyDescent="0.3">
      <c r="A246" s="3">
        <v>44770</v>
      </c>
      <c r="B246" s="11" t="s">
        <v>1257</v>
      </c>
      <c r="C246" s="50" t="s">
        <v>2274</v>
      </c>
      <c r="F246" s="15"/>
      <c r="H246" s="2">
        <v>6000</v>
      </c>
      <c r="I246" s="78">
        <f t="shared" si="17"/>
        <v>75.430000000000291</v>
      </c>
      <c r="J246">
        <f t="shared" si="19"/>
        <v>8924.57</v>
      </c>
      <c r="L246" s="2">
        <f t="shared" si="18"/>
        <v>20</v>
      </c>
    </row>
    <row r="247" spans="1:20" x14ac:dyDescent="0.3">
      <c r="A247" s="3">
        <v>44770</v>
      </c>
      <c r="B247" s="11" t="s">
        <v>2415</v>
      </c>
      <c r="F247" s="15"/>
      <c r="H247" s="2">
        <v>100</v>
      </c>
      <c r="I247" s="78">
        <f t="shared" si="17"/>
        <v>-24.569999999999709</v>
      </c>
      <c r="J247">
        <f t="shared" si="19"/>
        <v>9024.57</v>
      </c>
      <c r="L247" s="2">
        <f t="shared" si="18"/>
        <v>0.4</v>
      </c>
    </row>
    <row r="248" spans="1:20" x14ac:dyDescent="0.3">
      <c r="A248" s="3">
        <v>44770</v>
      </c>
      <c r="B248" s="11" t="s">
        <v>2416</v>
      </c>
      <c r="C248" s="50" t="s">
        <v>2417</v>
      </c>
      <c r="D248" s="50">
        <v>7209530774</v>
      </c>
      <c r="F248" s="15">
        <v>220918423084</v>
      </c>
      <c r="G248" s="2">
        <v>3000</v>
      </c>
      <c r="I248" s="78">
        <f t="shared" si="17"/>
        <v>2975.4300000000003</v>
      </c>
      <c r="J248">
        <f t="shared" si="19"/>
        <v>6024.57</v>
      </c>
      <c r="L248" s="2">
        <f t="shared" si="18"/>
        <v>12</v>
      </c>
    </row>
    <row r="249" spans="1:20" x14ac:dyDescent="0.3">
      <c r="A249" s="3">
        <v>44771</v>
      </c>
      <c r="C249" s="50" t="s">
        <v>1472</v>
      </c>
      <c r="F249" s="15"/>
      <c r="G249" s="2">
        <v>9000</v>
      </c>
      <c r="I249" s="78">
        <f t="shared" si="17"/>
        <v>11975.43</v>
      </c>
      <c r="J249">
        <f t="shared" si="19"/>
        <v>-2975.4300000000003</v>
      </c>
      <c r="L249" s="2">
        <f t="shared" si="18"/>
        <v>20</v>
      </c>
    </row>
    <row r="250" spans="1:20" x14ac:dyDescent="0.3">
      <c r="A250" s="3">
        <v>44771</v>
      </c>
      <c r="B250" s="11" t="s">
        <v>2410</v>
      </c>
      <c r="C250" s="50" t="s">
        <v>2058</v>
      </c>
      <c r="F250" s="15"/>
      <c r="G250" s="2">
        <v>200</v>
      </c>
      <c r="I250" s="78">
        <f t="shared" si="17"/>
        <v>12175.43</v>
      </c>
      <c r="J250">
        <f t="shared" si="19"/>
        <v>-3175.4300000000003</v>
      </c>
      <c r="L250" s="2">
        <f t="shared" si="18"/>
        <v>0.8</v>
      </c>
    </row>
    <row r="251" spans="1:20" x14ac:dyDescent="0.3">
      <c r="A251" s="3">
        <v>44772</v>
      </c>
      <c r="B251" s="11" t="s">
        <v>2418</v>
      </c>
      <c r="C251" s="50" t="s">
        <v>2419</v>
      </c>
      <c r="F251" s="15"/>
      <c r="H251" s="2">
        <v>200</v>
      </c>
      <c r="I251" s="78">
        <f t="shared" si="17"/>
        <v>11975.43</v>
      </c>
      <c r="J251">
        <f t="shared" si="19"/>
        <v>-2975.4300000000003</v>
      </c>
      <c r="L251" s="2">
        <f t="shared" si="18"/>
        <v>0.8</v>
      </c>
    </row>
    <row r="252" spans="1:20" x14ac:dyDescent="0.3">
      <c r="A252" s="3">
        <v>44772</v>
      </c>
      <c r="B252" s="11" t="s">
        <v>1257</v>
      </c>
      <c r="C252" s="50" t="s">
        <v>2274</v>
      </c>
      <c r="F252" s="15"/>
      <c r="H252" s="2">
        <v>2000</v>
      </c>
      <c r="I252" s="78">
        <f t="shared" si="17"/>
        <v>9975.43</v>
      </c>
      <c r="J252">
        <f t="shared" si="19"/>
        <v>-975.43000000000029</v>
      </c>
      <c r="L252" s="2">
        <f t="shared" si="18"/>
        <v>8</v>
      </c>
    </row>
    <row r="253" spans="1:20" x14ac:dyDescent="0.3">
      <c r="A253" s="3">
        <v>44772</v>
      </c>
      <c r="B253" s="11" t="s">
        <v>1257</v>
      </c>
      <c r="F253" s="15">
        <v>221119936380</v>
      </c>
      <c r="G253" s="2">
        <v>1000</v>
      </c>
      <c r="I253" s="78">
        <f t="shared" si="17"/>
        <v>10975.43</v>
      </c>
      <c r="J253">
        <f t="shared" si="19"/>
        <v>-1975.4300000000003</v>
      </c>
      <c r="L253" s="2">
        <f t="shared" si="18"/>
        <v>4</v>
      </c>
      <c r="T253">
        <f>151120-45720</f>
        <v>105400</v>
      </c>
    </row>
    <row r="254" spans="1:20" x14ac:dyDescent="0.3">
      <c r="A254" s="3">
        <v>44773</v>
      </c>
      <c r="B254" s="11" t="s">
        <v>2266</v>
      </c>
      <c r="F254" s="15">
        <v>221211435713</v>
      </c>
      <c r="G254" s="2">
        <v>3000</v>
      </c>
      <c r="I254" s="78">
        <f t="shared" si="17"/>
        <v>13975.43</v>
      </c>
      <c r="J254">
        <f t="shared" si="19"/>
        <v>-4975.43</v>
      </c>
      <c r="L254" s="2">
        <f t="shared" si="18"/>
        <v>12</v>
      </c>
    </row>
    <row r="255" spans="1:20" x14ac:dyDescent="0.3">
      <c r="A255" s="3">
        <v>44773</v>
      </c>
      <c r="B255" s="11" t="s">
        <v>1250</v>
      </c>
      <c r="C255" s="50" t="s">
        <v>2284</v>
      </c>
      <c r="F255" s="15">
        <v>221212582685</v>
      </c>
      <c r="G255" s="2">
        <v>3000</v>
      </c>
      <c r="I255" s="78">
        <f t="shared" si="17"/>
        <v>16975.43</v>
      </c>
      <c r="J255">
        <f t="shared" si="19"/>
        <v>-7975.43</v>
      </c>
      <c r="L255" s="2">
        <f t="shared" si="18"/>
        <v>12</v>
      </c>
    </row>
    <row r="256" spans="1:20" x14ac:dyDescent="0.3">
      <c r="A256" s="3">
        <v>44773</v>
      </c>
      <c r="B256" s="11" t="s">
        <v>2140</v>
      </c>
      <c r="C256" s="50" t="s">
        <v>1279</v>
      </c>
      <c r="F256" s="15"/>
      <c r="H256" s="2">
        <v>10000</v>
      </c>
      <c r="I256" s="78">
        <f t="shared" si="17"/>
        <v>6975.43</v>
      </c>
      <c r="J256">
        <f t="shared" si="19"/>
        <v>2024.5699999999997</v>
      </c>
      <c r="L256" s="2">
        <f t="shared" si="18"/>
        <v>20</v>
      </c>
    </row>
    <row r="257" spans="1:14" x14ac:dyDescent="0.3">
      <c r="A257" s="3">
        <v>44773</v>
      </c>
      <c r="B257" s="11" t="s">
        <v>1250</v>
      </c>
      <c r="F257" s="15"/>
      <c r="G257" s="2">
        <v>2000</v>
      </c>
      <c r="I257" s="78">
        <f t="shared" si="17"/>
        <v>8975.43</v>
      </c>
      <c r="J257">
        <f t="shared" si="19"/>
        <v>24.569999999999709</v>
      </c>
      <c r="L257" s="2">
        <f t="shared" si="18"/>
        <v>8</v>
      </c>
    </row>
    <row r="258" spans="1:14" x14ac:dyDescent="0.3">
      <c r="A258" s="77"/>
      <c r="B258" s="80"/>
      <c r="C258" s="112"/>
      <c r="D258" s="112"/>
      <c r="E258" s="92">
        <f>COUNTIF(E172:E257,"y")</f>
        <v>6</v>
      </c>
      <c r="F258" s="28">
        <f>G258+H258</f>
        <v>325113.43</v>
      </c>
      <c r="G258" s="81">
        <f>SUM(G172:G257)</f>
        <v>159413.43</v>
      </c>
      <c r="H258" s="81">
        <f>SUM(H172:H257)</f>
        <v>165700</v>
      </c>
      <c r="I258" s="81"/>
      <c r="J258" s="26"/>
      <c r="K258" s="26"/>
      <c r="L258" s="81">
        <f>SUM(L172:L257)</f>
        <v>1139.1999999999998</v>
      </c>
      <c r="M258" s="26">
        <f>SUM(M172:M257)</f>
        <v>0</v>
      </c>
      <c r="N258" s="26"/>
    </row>
    <row r="259" spans="1:14" x14ac:dyDescent="0.3">
      <c r="F259" s="15"/>
    </row>
    <row r="261" spans="1:14" x14ac:dyDescent="0.3">
      <c r="A261" s="3">
        <v>44774</v>
      </c>
      <c r="B261" s="11" t="s">
        <v>2420</v>
      </c>
      <c r="F261" s="15"/>
      <c r="G261" s="2">
        <v>9246.36</v>
      </c>
      <c r="I261" s="78">
        <f t="shared" ref="I261:I298" si="20">I260+G261-H261</f>
        <v>9246.36</v>
      </c>
      <c r="J261">
        <f t="shared" ref="J261:J292" si="21">$J$1-I261</f>
        <v>-246.36000000000058</v>
      </c>
    </row>
    <row r="262" spans="1:14" x14ac:dyDescent="0.3">
      <c r="A262" s="3">
        <v>44774</v>
      </c>
      <c r="B262" s="11" t="s">
        <v>2421</v>
      </c>
      <c r="C262" s="50" t="s">
        <v>2422</v>
      </c>
      <c r="D262" s="50">
        <v>9031985788</v>
      </c>
      <c r="E262" s="90" t="s">
        <v>16</v>
      </c>
      <c r="F262" s="15">
        <v>221311948847</v>
      </c>
      <c r="H262" s="2">
        <v>300</v>
      </c>
      <c r="I262" s="78">
        <f t="shared" si="20"/>
        <v>8946.36</v>
      </c>
      <c r="J262">
        <f t="shared" si="21"/>
        <v>53.639999999999418</v>
      </c>
      <c r="L262" s="2">
        <f t="shared" ref="L262:L293" si="22">IF((G262+H262)&lt;=5000,(H262+G262)*0.004,20)+IF(E262="Y",25,0)</f>
        <v>26.2</v>
      </c>
    </row>
    <row r="263" spans="1:14" x14ac:dyDescent="0.3">
      <c r="A263" s="3">
        <v>44774</v>
      </c>
      <c r="B263" s="11" t="s">
        <v>2435</v>
      </c>
      <c r="C263" s="50" t="s">
        <v>2431</v>
      </c>
      <c r="D263" s="51" t="s">
        <v>2432</v>
      </c>
      <c r="E263" s="90" t="s">
        <v>16</v>
      </c>
      <c r="F263" s="15">
        <v>221312402249</v>
      </c>
      <c r="H263" s="2">
        <v>200</v>
      </c>
      <c r="I263" s="78">
        <f t="shared" si="20"/>
        <v>8746.36</v>
      </c>
      <c r="J263">
        <f t="shared" si="21"/>
        <v>253.63999999999942</v>
      </c>
      <c r="L263" s="2">
        <f t="shared" si="22"/>
        <v>25.8</v>
      </c>
    </row>
    <row r="264" spans="1:14" x14ac:dyDescent="0.3">
      <c r="A264" s="3">
        <v>44774</v>
      </c>
      <c r="B264" s="11" t="s">
        <v>2436</v>
      </c>
      <c r="C264" s="50" t="s">
        <v>2437</v>
      </c>
      <c r="D264" s="50">
        <v>8084689741</v>
      </c>
      <c r="F264" s="15">
        <v>221318220351</v>
      </c>
      <c r="H264" s="2">
        <v>900</v>
      </c>
      <c r="I264" s="78">
        <f t="shared" si="20"/>
        <v>7846.3600000000006</v>
      </c>
      <c r="J264">
        <f t="shared" si="21"/>
        <v>1153.6399999999994</v>
      </c>
      <c r="L264" s="2">
        <f t="shared" si="22"/>
        <v>3.6</v>
      </c>
    </row>
    <row r="265" spans="1:14" x14ac:dyDescent="0.3">
      <c r="A265" s="3">
        <v>44774</v>
      </c>
      <c r="B265" s="11" t="s">
        <v>1259</v>
      </c>
      <c r="C265" s="50" t="s">
        <v>1172</v>
      </c>
      <c r="F265" s="15">
        <v>221319467662</v>
      </c>
      <c r="H265" s="2">
        <v>5000</v>
      </c>
      <c r="I265" s="78">
        <f t="shared" si="20"/>
        <v>2846.3600000000006</v>
      </c>
      <c r="J265">
        <f t="shared" si="21"/>
        <v>6153.6399999999994</v>
      </c>
      <c r="L265" s="2">
        <f t="shared" si="22"/>
        <v>20</v>
      </c>
    </row>
    <row r="266" spans="1:14" x14ac:dyDescent="0.3">
      <c r="A266" s="3">
        <v>44774</v>
      </c>
      <c r="B266" s="11" t="s">
        <v>1160</v>
      </c>
      <c r="C266" s="50" t="s">
        <v>2438</v>
      </c>
      <c r="D266" s="50">
        <v>8298309421</v>
      </c>
      <c r="F266" s="15">
        <v>221319497966</v>
      </c>
      <c r="G266" s="2">
        <v>8000</v>
      </c>
      <c r="I266" s="78">
        <f t="shared" si="20"/>
        <v>10846.36</v>
      </c>
      <c r="J266">
        <f t="shared" si="21"/>
        <v>-1846.3600000000006</v>
      </c>
      <c r="L266" s="2">
        <f t="shared" si="22"/>
        <v>20</v>
      </c>
    </row>
    <row r="267" spans="1:14" x14ac:dyDescent="0.3">
      <c r="A267" s="3">
        <v>44775</v>
      </c>
      <c r="B267" s="11" t="s">
        <v>2351</v>
      </c>
      <c r="C267" s="50" t="s">
        <v>2439</v>
      </c>
      <c r="D267" s="50">
        <v>9204401811</v>
      </c>
      <c r="F267" s="15">
        <v>221409063006</v>
      </c>
      <c r="G267" s="2">
        <v>3000</v>
      </c>
      <c r="I267" s="78">
        <f t="shared" si="20"/>
        <v>13846.36</v>
      </c>
      <c r="J267">
        <f t="shared" si="21"/>
        <v>-4846.3600000000006</v>
      </c>
      <c r="L267" s="2">
        <f t="shared" si="22"/>
        <v>12</v>
      </c>
    </row>
    <row r="268" spans="1:14" x14ac:dyDescent="0.3">
      <c r="A268" s="3">
        <v>44775</v>
      </c>
      <c r="B268" s="11" t="s">
        <v>2140</v>
      </c>
      <c r="C268" s="50" t="s">
        <v>1279</v>
      </c>
      <c r="F268" s="15">
        <v>221410082341</v>
      </c>
      <c r="H268" s="2">
        <v>5000</v>
      </c>
      <c r="I268" s="78">
        <f t="shared" si="20"/>
        <v>8846.36</v>
      </c>
      <c r="J268">
        <f t="shared" si="21"/>
        <v>153.63999999999942</v>
      </c>
      <c r="L268" s="2">
        <f t="shared" si="22"/>
        <v>20</v>
      </c>
    </row>
    <row r="269" spans="1:14" x14ac:dyDescent="0.3">
      <c r="A269" s="3">
        <v>44775</v>
      </c>
      <c r="B269" s="11" t="s">
        <v>1259</v>
      </c>
      <c r="C269" s="50" t="s">
        <v>1172</v>
      </c>
      <c r="F269" s="15"/>
      <c r="H269" s="2">
        <v>5000</v>
      </c>
      <c r="I269" s="78">
        <f t="shared" si="20"/>
        <v>3846.3600000000006</v>
      </c>
      <c r="J269">
        <f t="shared" si="21"/>
        <v>5153.6399999999994</v>
      </c>
      <c r="L269" s="2">
        <f t="shared" si="22"/>
        <v>20</v>
      </c>
    </row>
    <row r="270" spans="1:14" x14ac:dyDescent="0.3">
      <c r="A270" s="3">
        <v>44775</v>
      </c>
      <c r="B270" s="11" t="s">
        <v>1160</v>
      </c>
      <c r="C270" s="50" t="s">
        <v>2440</v>
      </c>
      <c r="D270" s="50">
        <v>8235671046</v>
      </c>
      <c r="F270" s="15">
        <v>221410208739</v>
      </c>
      <c r="G270" s="2">
        <v>10000</v>
      </c>
      <c r="I270" s="78">
        <f t="shared" si="20"/>
        <v>13846.36</v>
      </c>
      <c r="J270">
        <f t="shared" si="21"/>
        <v>-4846.3600000000006</v>
      </c>
      <c r="L270" s="2">
        <f t="shared" si="22"/>
        <v>20</v>
      </c>
    </row>
    <row r="271" spans="1:14" x14ac:dyDescent="0.3">
      <c r="A271" s="3">
        <v>44775</v>
      </c>
      <c r="B271" s="11" t="s">
        <v>1250</v>
      </c>
      <c r="C271" s="50" t="s">
        <v>2441</v>
      </c>
      <c r="F271" s="15"/>
      <c r="H271" s="2">
        <v>10000</v>
      </c>
      <c r="I271" s="78">
        <f t="shared" si="20"/>
        <v>3846.3600000000006</v>
      </c>
      <c r="J271">
        <f t="shared" si="21"/>
        <v>5153.6399999999994</v>
      </c>
      <c r="L271" s="2">
        <f t="shared" si="22"/>
        <v>20</v>
      </c>
    </row>
    <row r="272" spans="1:14" x14ac:dyDescent="0.3">
      <c r="A272" s="3">
        <v>44775</v>
      </c>
      <c r="B272" s="11" t="s">
        <v>2354</v>
      </c>
      <c r="F272" s="15">
        <v>221420131725</v>
      </c>
      <c r="G272" s="2">
        <v>4000</v>
      </c>
      <c r="I272" s="78">
        <f t="shared" si="20"/>
        <v>7846.3600000000006</v>
      </c>
      <c r="J272">
        <f t="shared" si="21"/>
        <v>1153.6399999999994</v>
      </c>
      <c r="L272" s="2">
        <f t="shared" si="22"/>
        <v>16</v>
      </c>
    </row>
    <row r="273" spans="1:12" x14ac:dyDescent="0.3">
      <c r="A273" s="3">
        <v>44776</v>
      </c>
      <c r="B273" s="11" t="s">
        <v>2143</v>
      </c>
      <c r="F273" s="15"/>
      <c r="H273" s="2">
        <v>7000</v>
      </c>
      <c r="I273" s="78">
        <f t="shared" si="20"/>
        <v>846.36000000000058</v>
      </c>
      <c r="J273">
        <f t="shared" si="21"/>
        <v>8153.6399999999994</v>
      </c>
      <c r="L273" s="2">
        <f t="shared" si="22"/>
        <v>20</v>
      </c>
    </row>
    <row r="274" spans="1:12" x14ac:dyDescent="0.3">
      <c r="A274" s="3">
        <v>44776</v>
      </c>
      <c r="B274" s="11" t="s">
        <v>1250</v>
      </c>
      <c r="C274" s="50" t="s">
        <v>2250</v>
      </c>
      <c r="F274" s="15">
        <v>221519752067</v>
      </c>
      <c r="G274" s="2">
        <v>1000</v>
      </c>
      <c r="I274" s="78">
        <f t="shared" si="20"/>
        <v>1846.3600000000006</v>
      </c>
      <c r="J274">
        <f t="shared" si="21"/>
        <v>7153.6399999999994</v>
      </c>
      <c r="L274" s="2">
        <f t="shared" si="22"/>
        <v>4</v>
      </c>
    </row>
    <row r="275" spans="1:12" x14ac:dyDescent="0.3">
      <c r="A275" s="3">
        <v>44776</v>
      </c>
      <c r="B275" s="11" t="s">
        <v>1250</v>
      </c>
      <c r="C275" s="50" t="s">
        <v>2442</v>
      </c>
      <c r="D275" s="50">
        <v>6201399787</v>
      </c>
      <c r="F275" s="15">
        <v>221520875083</v>
      </c>
      <c r="G275" s="2">
        <v>5000</v>
      </c>
      <c r="I275" s="78">
        <f t="shared" si="20"/>
        <v>6846.3600000000006</v>
      </c>
      <c r="J275">
        <f t="shared" si="21"/>
        <v>2153.6399999999994</v>
      </c>
      <c r="L275" s="2">
        <f t="shared" si="22"/>
        <v>20</v>
      </c>
    </row>
    <row r="276" spans="1:12" x14ac:dyDescent="0.3">
      <c r="A276" s="3">
        <v>44776</v>
      </c>
      <c r="B276" s="11" t="s">
        <v>1250</v>
      </c>
      <c r="C276" s="50" t="s">
        <v>2443</v>
      </c>
      <c r="F276" s="15">
        <v>221520881422</v>
      </c>
      <c r="G276" s="2">
        <v>1000</v>
      </c>
      <c r="I276" s="78">
        <f t="shared" si="20"/>
        <v>7846.3600000000006</v>
      </c>
      <c r="J276">
        <f t="shared" si="21"/>
        <v>1153.6399999999994</v>
      </c>
      <c r="L276" s="2">
        <f t="shared" si="22"/>
        <v>4</v>
      </c>
    </row>
    <row r="277" spans="1:12" x14ac:dyDescent="0.3">
      <c r="A277" s="3">
        <v>44777</v>
      </c>
      <c r="B277" s="11" t="s">
        <v>2444</v>
      </c>
      <c r="C277" s="50" t="s">
        <v>2445</v>
      </c>
      <c r="F277" s="15"/>
      <c r="G277" s="2">
        <v>2550</v>
      </c>
      <c r="I277" s="78">
        <f t="shared" si="20"/>
        <v>10396.36</v>
      </c>
      <c r="J277">
        <f t="shared" si="21"/>
        <v>-1396.3600000000006</v>
      </c>
      <c r="L277" s="2">
        <f t="shared" si="22"/>
        <v>10.200000000000001</v>
      </c>
    </row>
    <row r="278" spans="1:12" x14ac:dyDescent="0.3">
      <c r="A278" s="3">
        <v>44777</v>
      </c>
      <c r="B278" s="11" t="s">
        <v>2241</v>
      </c>
      <c r="C278" s="50" t="s">
        <v>2446</v>
      </c>
      <c r="D278" s="50">
        <v>7033954515</v>
      </c>
      <c r="F278" s="15">
        <v>221611730183</v>
      </c>
      <c r="G278" s="2">
        <v>1000</v>
      </c>
      <c r="I278" s="78">
        <f t="shared" si="20"/>
        <v>11396.36</v>
      </c>
      <c r="J278">
        <f t="shared" si="21"/>
        <v>-2396.3600000000006</v>
      </c>
      <c r="L278" s="2">
        <f t="shared" si="22"/>
        <v>4</v>
      </c>
    </row>
    <row r="279" spans="1:12" x14ac:dyDescent="0.3">
      <c r="A279" s="3">
        <v>44777</v>
      </c>
      <c r="B279" s="11" t="s">
        <v>2143</v>
      </c>
      <c r="C279" s="50" t="s">
        <v>1279</v>
      </c>
      <c r="F279" s="15"/>
      <c r="H279" s="2">
        <v>10000</v>
      </c>
      <c r="I279" s="78">
        <f t="shared" si="20"/>
        <v>1396.3600000000006</v>
      </c>
      <c r="J279">
        <f t="shared" si="21"/>
        <v>7603.6399999999994</v>
      </c>
      <c r="L279" s="2">
        <f t="shared" si="22"/>
        <v>20</v>
      </c>
    </row>
    <row r="280" spans="1:12" x14ac:dyDescent="0.3">
      <c r="A280" s="3">
        <v>44777</v>
      </c>
      <c r="B280" s="11" t="s">
        <v>1250</v>
      </c>
      <c r="F280" s="15"/>
      <c r="G280" s="2">
        <v>2000</v>
      </c>
      <c r="I280" s="78">
        <f t="shared" si="20"/>
        <v>3396.3600000000006</v>
      </c>
      <c r="J280">
        <f t="shared" si="21"/>
        <v>5603.6399999999994</v>
      </c>
      <c r="L280" s="2">
        <f t="shared" si="22"/>
        <v>8</v>
      </c>
    </row>
    <row r="281" spans="1:12" x14ac:dyDescent="0.3">
      <c r="A281" s="3">
        <v>44777</v>
      </c>
      <c r="B281" s="11" t="s">
        <v>2241</v>
      </c>
      <c r="C281" s="50" t="s">
        <v>2446</v>
      </c>
      <c r="F281" s="15"/>
      <c r="G281" s="2">
        <v>3000</v>
      </c>
      <c r="I281" s="78">
        <f t="shared" si="20"/>
        <v>6396.3600000000006</v>
      </c>
      <c r="J281">
        <f t="shared" si="21"/>
        <v>2603.6399999999994</v>
      </c>
      <c r="L281" s="2">
        <f t="shared" si="22"/>
        <v>12</v>
      </c>
    </row>
    <row r="282" spans="1:12" x14ac:dyDescent="0.3">
      <c r="A282" s="3">
        <v>44777</v>
      </c>
      <c r="B282" s="11" t="s">
        <v>2447</v>
      </c>
      <c r="F282" s="15">
        <v>221617068107</v>
      </c>
      <c r="G282" s="2">
        <v>3800</v>
      </c>
      <c r="I282" s="78">
        <f t="shared" si="20"/>
        <v>10196.36</v>
      </c>
      <c r="J282">
        <f t="shared" si="21"/>
        <v>-1196.3600000000006</v>
      </c>
      <c r="L282" s="2">
        <f t="shared" si="22"/>
        <v>15.200000000000001</v>
      </c>
    </row>
    <row r="283" spans="1:12" x14ac:dyDescent="0.3">
      <c r="A283" s="3">
        <v>44777</v>
      </c>
      <c r="B283" s="11" t="s">
        <v>2448</v>
      </c>
      <c r="C283" s="50" t="s">
        <v>2274</v>
      </c>
      <c r="F283" s="15">
        <v>221617081075</v>
      </c>
      <c r="H283" s="2">
        <v>3000</v>
      </c>
      <c r="I283" s="78">
        <f t="shared" si="20"/>
        <v>7196.3600000000006</v>
      </c>
      <c r="J283">
        <f t="shared" si="21"/>
        <v>1803.6399999999994</v>
      </c>
      <c r="L283" s="2">
        <f t="shared" si="22"/>
        <v>12</v>
      </c>
    </row>
    <row r="284" spans="1:12" x14ac:dyDescent="0.3">
      <c r="A284" s="3">
        <v>44778</v>
      </c>
      <c r="B284" s="11" t="s">
        <v>1160</v>
      </c>
      <c r="C284" s="50" t="s">
        <v>2450</v>
      </c>
      <c r="F284" s="15">
        <v>221717682433</v>
      </c>
      <c r="G284" s="2">
        <v>8100</v>
      </c>
      <c r="I284" s="78">
        <f t="shared" si="20"/>
        <v>15296.36</v>
      </c>
      <c r="J284">
        <f t="shared" si="21"/>
        <v>-6296.3600000000006</v>
      </c>
      <c r="L284" s="2">
        <f t="shared" si="22"/>
        <v>20</v>
      </c>
    </row>
    <row r="285" spans="1:12" x14ac:dyDescent="0.3">
      <c r="A285" s="3">
        <v>44778</v>
      </c>
      <c r="C285" s="50" t="s">
        <v>2449</v>
      </c>
      <c r="F285" s="15"/>
      <c r="H285" s="2">
        <v>10000</v>
      </c>
      <c r="I285" s="78">
        <f t="shared" si="20"/>
        <v>5296.3600000000006</v>
      </c>
      <c r="J285">
        <f t="shared" si="21"/>
        <v>3703.6399999999994</v>
      </c>
      <c r="L285" s="2">
        <f t="shared" si="22"/>
        <v>20</v>
      </c>
    </row>
    <row r="286" spans="1:12" x14ac:dyDescent="0.3">
      <c r="A286" s="3">
        <v>44778</v>
      </c>
      <c r="F286" s="15"/>
      <c r="G286" s="2">
        <v>4100</v>
      </c>
      <c r="I286" s="78">
        <f t="shared" si="20"/>
        <v>9396.36</v>
      </c>
      <c r="J286">
        <f t="shared" si="21"/>
        <v>-396.36000000000058</v>
      </c>
      <c r="L286" s="2">
        <f t="shared" si="22"/>
        <v>16.399999999999999</v>
      </c>
    </row>
    <row r="287" spans="1:12" x14ac:dyDescent="0.3">
      <c r="A287" s="3">
        <v>44779</v>
      </c>
      <c r="B287" s="11" t="s">
        <v>1160</v>
      </c>
      <c r="C287" s="50" t="s">
        <v>2451</v>
      </c>
      <c r="D287" s="50">
        <v>8102305117</v>
      </c>
      <c r="F287" s="15">
        <v>221817176479</v>
      </c>
      <c r="G287" s="2">
        <v>1500</v>
      </c>
      <c r="I287" s="78">
        <f t="shared" si="20"/>
        <v>10896.36</v>
      </c>
      <c r="J287">
        <f t="shared" si="21"/>
        <v>-1896.3600000000006</v>
      </c>
      <c r="L287" s="2">
        <f t="shared" si="22"/>
        <v>6</v>
      </c>
    </row>
    <row r="288" spans="1:12" x14ac:dyDescent="0.3">
      <c r="A288" s="3">
        <v>44781</v>
      </c>
      <c r="B288" s="11" t="s">
        <v>1160</v>
      </c>
      <c r="F288" s="15"/>
      <c r="G288" s="2">
        <v>6500</v>
      </c>
      <c r="I288" s="78">
        <f t="shared" si="20"/>
        <v>17396.36</v>
      </c>
      <c r="J288">
        <f t="shared" si="21"/>
        <v>-8396.36</v>
      </c>
      <c r="L288" s="2">
        <f t="shared" si="22"/>
        <v>20</v>
      </c>
    </row>
    <row r="289" spans="1:12" x14ac:dyDescent="0.3">
      <c r="A289" s="3">
        <v>44781</v>
      </c>
      <c r="B289" s="11" t="s">
        <v>2286</v>
      </c>
      <c r="C289" s="50" t="s">
        <v>2449</v>
      </c>
      <c r="F289" s="15"/>
      <c r="H289" s="2">
        <v>10000</v>
      </c>
      <c r="I289" s="78">
        <f t="shared" si="20"/>
        <v>7396.3600000000006</v>
      </c>
      <c r="J289">
        <f t="shared" si="21"/>
        <v>1603.6399999999994</v>
      </c>
      <c r="L289" s="2">
        <f t="shared" si="22"/>
        <v>20</v>
      </c>
    </row>
    <row r="290" spans="1:12" x14ac:dyDescent="0.3">
      <c r="A290" s="3">
        <v>44781</v>
      </c>
      <c r="B290" s="11" t="s">
        <v>2184</v>
      </c>
      <c r="C290" s="50" t="s">
        <v>2186</v>
      </c>
      <c r="F290" s="15"/>
      <c r="H290" s="2">
        <v>4200</v>
      </c>
      <c r="I290" s="78">
        <f t="shared" si="20"/>
        <v>3196.3600000000006</v>
      </c>
      <c r="J290">
        <f t="shared" si="21"/>
        <v>5803.6399999999994</v>
      </c>
      <c r="L290" s="2">
        <f t="shared" si="22"/>
        <v>16.8</v>
      </c>
    </row>
    <row r="291" spans="1:12" x14ac:dyDescent="0.3">
      <c r="A291" s="3">
        <v>44781</v>
      </c>
      <c r="B291" s="11" t="s">
        <v>1160</v>
      </c>
      <c r="F291" s="15">
        <v>222017042253</v>
      </c>
      <c r="G291" s="2">
        <v>2100</v>
      </c>
      <c r="I291" s="78">
        <f t="shared" si="20"/>
        <v>5296.3600000000006</v>
      </c>
      <c r="J291">
        <f t="shared" si="21"/>
        <v>3703.6399999999994</v>
      </c>
      <c r="L291" s="2">
        <f t="shared" si="22"/>
        <v>8.4</v>
      </c>
    </row>
    <row r="292" spans="1:12" x14ac:dyDescent="0.3">
      <c r="A292" s="3">
        <v>44781</v>
      </c>
      <c r="B292" s="11" t="s">
        <v>1160</v>
      </c>
      <c r="C292" s="50" t="s">
        <v>2452</v>
      </c>
      <c r="D292" s="50">
        <v>7209603651</v>
      </c>
      <c r="F292" s="15"/>
      <c r="G292" s="2">
        <v>8000</v>
      </c>
      <c r="I292" s="78">
        <f t="shared" si="20"/>
        <v>13296.36</v>
      </c>
      <c r="J292">
        <f t="shared" si="21"/>
        <v>-4296.3600000000006</v>
      </c>
      <c r="L292" s="2">
        <f t="shared" si="22"/>
        <v>20</v>
      </c>
    </row>
    <row r="293" spans="1:12" x14ac:dyDescent="0.3">
      <c r="A293" s="3">
        <v>44781</v>
      </c>
      <c r="B293" s="11" t="s">
        <v>1160</v>
      </c>
      <c r="C293" s="50" t="s">
        <v>2453</v>
      </c>
      <c r="D293" s="50">
        <v>6205612193</v>
      </c>
      <c r="F293" s="15"/>
      <c r="G293" s="2">
        <v>2800</v>
      </c>
      <c r="I293" s="78">
        <f t="shared" si="20"/>
        <v>16096.36</v>
      </c>
      <c r="J293">
        <f t="shared" ref="J293:J324" si="23">$J$1-I293</f>
        <v>-7096.3600000000006</v>
      </c>
      <c r="L293" s="2">
        <f t="shared" si="22"/>
        <v>11.200000000000001</v>
      </c>
    </row>
    <row r="294" spans="1:12" x14ac:dyDescent="0.3">
      <c r="A294" s="3">
        <v>44781</v>
      </c>
      <c r="B294" s="11" t="s">
        <v>2143</v>
      </c>
      <c r="C294" s="50" t="s">
        <v>1279</v>
      </c>
      <c r="F294" s="15"/>
      <c r="H294" s="2">
        <v>5000</v>
      </c>
      <c r="I294" s="78">
        <f t="shared" si="20"/>
        <v>11096.36</v>
      </c>
      <c r="J294">
        <f t="shared" si="23"/>
        <v>-2096.3600000000006</v>
      </c>
      <c r="L294" s="2">
        <f t="shared" ref="L294:L325" si="24">IF((G294+H294)&lt;=5000,(H294+G294)*0.004,20)+IF(E294="Y",25,0)</f>
        <v>20</v>
      </c>
    </row>
    <row r="295" spans="1:12" x14ac:dyDescent="0.3">
      <c r="A295" s="3">
        <v>44782</v>
      </c>
      <c r="B295" s="11" t="s">
        <v>1250</v>
      </c>
      <c r="C295" s="50" t="s">
        <v>2454</v>
      </c>
      <c r="F295" s="15">
        <v>222119816001</v>
      </c>
      <c r="G295" s="2">
        <v>8000</v>
      </c>
      <c r="I295" s="78">
        <f t="shared" si="20"/>
        <v>19096.36</v>
      </c>
      <c r="J295">
        <f t="shared" si="23"/>
        <v>-10096.36</v>
      </c>
      <c r="L295" s="2">
        <f t="shared" si="24"/>
        <v>20</v>
      </c>
    </row>
    <row r="296" spans="1:12" x14ac:dyDescent="0.3">
      <c r="A296" s="3">
        <v>44782</v>
      </c>
      <c r="B296" s="11" t="s">
        <v>2455</v>
      </c>
      <c r="C296" s="50" t="s">
        <v>2449</v>
      </c>
      <c r="F296" s="15">
        <v>222119820869</v>
      </c>
      <c r="H296" s="2">
        <v>10000</v>
      </c>
      <c r="I296" s="78">
        <f t="shared" si="20"/>
        <v>9096.36</v>
      </c>
      <c r="J296">
        <f t="shared" si="23"/>
        <v>-96.360000000000582</v>
      </c>
      <c r="L296" s="2">
        <f t="shared" si="24"/>
        <v>20</v>
      </c>
    </row>
    <row r="297" spans="1:12" x14ac:dyDescent="0.3">
      <c r="A297" s="3">
        <v>44782</v>
      </c>
      <c r="B297" s="11" t="s">
        <v>2346</v>
      </c>
      <c r="C297" s="50" t="s">
        <v>2456</v>
      </c>
      <c r="F297" s="15">
        <v>222119827117</v>
      </c>
      <c r="H297" s="2">
        <v>2000</v>
      </c>
      <c r="I297" s="78">
        <f t="shared" si="20"/>
        <v>7096.3600000000006</v>
      </c>
      <c r="J297">
        <f t="shared" si="23"/>
        <v>1903.6399999999994</v>
      </c>
      <c r="L297" s="2">
        <f t="shared" si="24"/>
        <v>8</v>
      </c>
    </row>
    <row r="298" spans="1:12" x14ac:dyDescent="0.3">
      <c r="A298" s="3">
        <v>44783</v>
      </c>
      <c r="B298" s="11" t="s">
        <v>1160</v>
      </c>
      <c r="F298" s="15"/>
      <c r="G298" s="2">
        <v>2000</v>
      </c>
      <c r="I298" s="78">
        <f t="shared" si="20"/>
        <v>9096.36</v>
      </c>
      <c r="J298">
        <f t="shared" si="23"/>
        <v>-96.360000000000582</v>
      </c>
      <c r="L298" s="2">
        <f t="shared" si="24"/>
        <v>8</v>
      </c>
    </row>
    <row r="299" spans="1:12" x14ac:dyDescent="0.3">
      <c r="A299" s="3">
        <v>44783</v>
      </c>
      <c r="B299" s="11" t="s">
        <v>2457</v>
      </c>
      <c r="C299" s="50" t="s">
        <v>2458</v>
      </c>
      <c r="F299" s="15"/>
      <c r="H299" s="2">
        <v>6500</v>
      </c>
      <c r="I299" s="78">
        <f t="shared" ref="I299:I313" si="25">I298+G299-H299</f>
        <v>2596.3600000000006</v>
      </c>
      <c r="J299">
        <f t="shared" si="23"/>
        <v>6403.6399999999994</v>
      </c>
      <c r="L299" s="2">
        <f t="shared" si="24"/>
        <v>20</v>
      </c>
    </row>
    <row r="300" spans="1:12" x14ac:dyDescent="0.3">
      <c r="A300" s="3">
        <v>44783</v>
      </c>
      <c r="B300" s="11" t="s">
        <v>1472</v>
      </c>
      <c r="C300" s="50" t="s">
        <v>2459</v>
      </c>
      <c r="D300" s="50">
        <v>9523935388</v>
      </c>
      <c r="F300" s="15">
        <v>222217689829</v>
      </c>
      <c r="G300" s="2">
        <v>6900</v>
      </c>
      <c r="I300" s="78">
        <f t="shared" si="25"/>
        <v>9496.36</v>
      </c>
      <c r="J300">
        <f t="shared" si="23"/>
        <v>-496.36000000000058</v>
      </c>
      <c r="L300" s="2">
        <f t="shared" si="24"/>
        <v>20</v>
      </c>
    </row>
    <row r="301" spans="1:12" x14ac:dyDescent="0.3">
      <c r="A301" s="3">
        <v>44783</v>
      </c>
      <c r="B301" s="11" t="s">
        <v>2286</v>
      </c>
      <c r="F301" s="15"/>
      <c r="H301" s="2">
        <v>9000</v>
      </c>
      <c r="I301" s="78">
        <f t="shared" si="25"/>
        <v>496.36000000000058</v>
      </c>
      <c r="J301">
        <f t="shared" si="23"/>
        <v>8503.64</v>
      </c>
      <c r="L301" s="2">
        <f t="shared" si="24"/>
        <v>20</v>
      </c>
    </row>
    <row r="302" spans="1:12" x14ac:dyDescent="0.3">
      <c r="A302" s="3">
        <v>44783</v>
      </c>
      <c r="B302" s="11" t="s">
        <v>2460</v>
      </c>
      <c r="C302" s="50" t="s">
        <v>2461</v>
      </c>
      <c r="F302" s="15">
        <v>222217854483</v>
      </c>
      <c r="G302" s="2">
        <v>5000</v>
      </c>
      <c r="I302" s="78">
        <f t="shared" si="25"/>
        <v>5496.3600000000006</v>
      </c>
      <c r="J302">
        <f t="shared" si="23"/>
        <v>3503.6399999999994</v>
      </c>
      <c r="L302" s="2">
        <f t="shared" si="24"/>
        <v>20</v>
      </c>
    </row>
    <row r="303" spans="1:12" x14ac:dyDescent="0.3">
      <c r="A303" s="3">
        <v>44783</v>
      </c>
      <c r="B303" s="11" t="s">
        <v>2386</v>
      </c>
      <c r="C303" s="50" t="s">
        <v>2462</v>
      </c>
      <c r="F303" s="15"/>
      <c r="G303" s="2">
        <v>1000</v>
      </c>
      <c r="I303" s="78">
        <f t="shared" si="25"/>
        <v>6496.3600000000006</v>
      </c>
      <c r="J303">
        <f t="shared" si="23"/>
        <v>2503.6399999999994</v>
      </c>
      <c r="L303" s="2">
        <f t="shared" si="24"/>
        <v>4</v>
      </c>
    </row>
    <row r="304" spans="1:12" x14ac:dyDescent="0.3">
      <c r="A304" s="3">
        <v>44783</v>
      </c>
      <c r="B304" s="11" t="s">
        <v>1250</v>
      </c>
      <c r="F304" s="15">
        <v>222311858945</v>
      </c>
      <c r="G304" s="2">
        <v>1000</v>
      </c>
      <c r="I304" s="78">
        <f t="shared" si="25"/>
        <v>7496.3600000000006</v>
      </c>
      <c r="J304">
        <f t="shared" si="23"/>
        <v>1503.6399999999994</v>
      </c>
      <c r="L304" s="2">
        <f t="shared" si="24"/>
        <v>4</v>
      </c>
    </row>
    <row r="305" spans="1:12" x14ac:dyDescent="0.3">
      <c r="A305" s="3">
        <v>44783</v>
      </c>
      <c r="B305" s="11" t="s">
        <v>1250</v>
      </c>
      <c r="C305" s="50" t="s">
        <v>1518</v>
      </c>
      <c r="F305" s="15">
        <v>222316285956</v>
      </c>
      <c r="G305" s="2">
        <v>3000</v>
      </c>
      <c r="I305" s="78">
        <f t="shared" si="25"/>
        <v>10496.36</v>
      </c>
      <c r="J305">
        <f t="shared" si="23"/>
        <v>-1496.3600000000006</v>
      </c>
      <c r="L305" s="2">
        <f t="shared" si="24"/>
        <v>12</v>
      </c>
    </row>
    <row r="306" spans="1:12" x14ac:dyDescent="0.3">
      <c r="A306" s="3">
        <v>44783</v>
      </c>
      <c r="B306" s="11" t="s">
        <v>2351</v>
      </c>
      <c r="C306" s="50" t="s">
        <v>2463</v>
      </c>
      <c r="D306" s="50">
        <v>9204215721</v>
      </c>
      <c r="F306" s="15">
        <v>222317314187</v>
      </c>
      <c r="G306" s="2">
        <v>5000</v>
      </c>
      <c r="I306" s="78">
        <f t="shared" si="25"/>
        <v>15496.36</v>
      </c>
      <c r="J306">
        <f t="shared" si="23"/>
        <v>-6496.3600000000006</v>
      </c>
      <c r="L306" s="2">
        <f t="shared" si="24"/>
        <v>20</v>
      </c>
    </row>
    <row r="307" spans="1:12" x14ac:dyDescent="0.3">
      <c r="A307" s="3">
        <v>44783</v>
      </c>
      <c r="B307" s="11" t="s">
        <v>2286</v>
      </c>
      <c r="F307" s="15">
        <v>222317326540</v>
      </c>
      <c r="H307" s="2">
        <v>10000</v>
      </c>
      <c r="I307" s="78">
        <f t="shared" si="25"/>
        <v>5496.3600000000006</v>
      </c>
      <c r="J307">
        <f t="shared" si="23"/>
        <v>3503.6399999999994</v>
      </c>
      <c r="L307" s="2">
        <f t="shared" si="24"/>
        <v>20</v>
      </c>
    </row>
    <row r="308" spans="1:12" x14ac:dyDescent="0.3">
      <c r="A308" s="3">
        <v>44783</v>
      </c>
      <c r="B308" s="11" t="s">
        <v>2241</v>
      </c>
      <c r="C308" s="50" t="s">
        <v>2446</v>
      </c>
      <c r="D308" s="50">
        <v>9973890123</v>
      </c>
      <c r="F308" s="15">
        <v>222317503814</v>
      </c>
      <c r="G308" s="2">
        <v>1000</v>
      </c>
      <c r="I308" s="78">
        <f t="shared" si="25"/>
        <v>6496.3600000000006</v>
      </c>
      <c r="J308">
        <f t="shared" si="23"/>
        <v>2503.6399999999994</v>
      </c>
      <c r="L308" s="2">
        <f t="shared" si="24"/>
        <v>4</v>
      </c>
    </row>
    <row r="309" spans="1:12" x14ac:dyDescent="0.3">
      <c r="A309" s="3">
        <v>44783</v>
      </c>
      <c r="B309" s="11" t="s">
        <v>1160</v>
      </c>
      <c r="C309" s="50" t="s">
        <v>2464</v>
      </c>
      <c r="D309" s="50">
        <v>9608531099</v>
      </c>
      <c r="F309" s="15">
        <v>222410569476</v>
      </c>
      <c r="G309" s="2">
        <v>8100</v>
      </c>
      <c r="I309" s="78">
        <f t="shared" si="25"/>
        <v>14596.36</v>
      </c>
      <c r="J309">
        <f t="shared" si="23"/>
        <v>-5596.3600000000006</v>
      </c>
      <c r="L309" s="2">
        <f t="shared" si="24"/>
        <v>20</v>
      </c>
    </row>
    <row r="310" spans="1:12" x14ac:dyDescent="0.3">
      <c r="A310" s="3">
        <v>44785</v>
      </c>
      <c r="B310" s="11" t="s">
        <v>2465</v>
      </c>
      <c r="C310" s="50" t="s">
        <v>2466</v>
      </c>
      <c r="D310" s="50">
        <v>7209608165</v>
      </c>
      <c r="E310" s="90" t="s">
        <v>16</v>
      </c>
      <c r="F310" s="15">
        <v>222411825113</v>
      </c>
      <c r="H310" s="2">
        <v>100</v>
      </c>
      <c r="I310" s="78">
        <f t="shared" si="25"/>
        <v>14496.36</v>
      </c>
      <c r="J310">
        <f t="shared" si="23"/>
        <v>-5496.3600000000006</v>
      </c>
      <c r="L310" s="2">
        <f t="shared" si="24"/>
        <v>25.4</v>
      </c>
    </row>
    <row r="311" spans="1:12" x14ac:dyDescent="0.3">
      <c r="A311" s="3">
        <v>44785</v>
      </c>
      <c r="B311" s="11" t="s">
        <v>2282</v>
      </c>
      <c r="C311" s="50" t="s">
        <v>1998</v>
      </c>
      <c r="F311" s="15"/>
      <c r="G311" s="2">
        <v>3000</v>
      </c>
      <c r="I311" s="78">
        <f t="shared" si="25"/>
        <v>17496.36</v>
      </c>
      <c r="J311">
        <f t="shared" si="23"/>
        <v>-8496.36</v>
      </c>
      <c r="L311" s="2">
        <f t="shared" si="24"/>
        <v>12</v>
      </c>
    </row>
    <row r="312" spans="1:12" x14ac:dyDescent="0.3">
      <c r="A312" s="3">
        <v>44785</v>
      </c>
      <c r="B312" s="11" t="s">
        <v>2338</v>
      </c>
      <c r="C312" s="50" t="s">
        <v>1279</v>
      </c>
      <c r="F312" s="15"/>
      <c r="H312" s="2">
        <v>10000</v>
      </c>
      <c r="I312" s="78">
        <f t="shared" si="25"/>
        <v>7496.3600000000006</v>
      </c>
      <c r="J312">
        <f t="shared" si="23"/>
        <v>1503.6399999999994</v>
      </c>
      <c r="L312" s="2">
        <f t="shared" si="24"/>
        <v>20</v>
      </c>
    </row>
    <row r="313" spans="1:12" x14ac:dyDescent="0.3">
      <c r="A313" s="3">
        <v>44785</v>
      </c>
      <c r="B313" s="11" t="s">
        <v>1250</v>
      </c>
      <c r="F313" s="15">
        <v>222416332972</v>
      </c>
      <c r="G313" s="2">
        <v>10000</v>
      </c>
      <c r="I313" s="78">
        <f t="shared" si="25"/>
        <v>17496.36</v>
      </c>
      <c r="J313">
        <f t="shared" si="23"/>
        <v>-8496.36</v>
      </c>
      <c r="L313" s="2">
        <f t="shared" si="24"/>
        <v>20</v>
      </c>
    </row>
    <row r="314" spans="1:12" x14ac:dyDescent="0.3">
      <c r="A314" s="3">
        <v>44785</v>
      </c>
      <c r="B314" s="11" t="s">
        <v>1250</v>
      </c>
      <c r="C314" s="50" t="s">
        <v>2449</v>
      </c>
      <c r="F314" s="15"/>
      <c r="H314" s="2">
        <v>10000</v>
      </c>
      <c r="I314" s="78">
        <f>I313+G314-H314</f>
        <v>7496.3600000000006</v>
      </c>
      <c r="J314">
        <f t="shared" si="23"/>
        <v>1503.6399999999994</v>
      </c>
      <c r="L314" s="2">
        <f t="shared" si="24"/>
        <v>20</v>
      </c>
    </row>
    <row r="315" spans="1:12" x14ac:dyDescent="0.3">
      <c r="A315" s="3">
        <v>44785</v>
      </c>
      <c r="B315" s="11" t="s">
        <v>2467</v>
      </c>
      <c r="C315" s="50" t="s">
        <v>2468</v>
      </c>
      <c r="E315" s="90" t="s">
        <v>16</v>
      </c>
      <c r="F315" s="15"/>
      <c r="H315" s="2">
        <v>100</v>
      </c>
      <c r="I315" s="78">
        <f>I314+G315-H315</f>
        <v>7396.3600000000006</v>
      </c>
      <c r="J315">
        <f t="shared" si="23"/>
        <v>1603.6399999999994</v>
      </c>
      <c r="L315" s="2">
        <f t="shared" si="24"/>
        <v>25.4</v>
      </c>
    </row>
    <row r="316" spans="1:12" x14ac:dyDescent="0.3">
      <c r="A316" s="3">
        <v>44785</v>
      </c>
      <c r="B316" s="11" t="s">
        <v>1160</v>
      </c>
      <c r="F316" s="15">
        <v>222417565072</v>
      </c>
      <c r="G316" s="2">
        <v>500</v>
      </c>
      <c r="I316" s="78">
        <f>I315+G316-H316</f>
        <v>7896.3600000000006</v>
      </c>
      <c r="J316">
        <f t="shared" si="23"/>
        <v>1103.6399999999994</v>
      </c>
      <c r="L316" s="2">
        <f t="shared" si="24"/>
        <v>2</v>
      </c>
    </row>
    <row r="317" spans="1:12" x14ac:dyDescent="0.3">
      <c r="A317" s="3">
        <v>44785</v>
      </c>
      <c r="B317" s="11" t="s">
        <v>1160</v>
      </c>
      <c r="F317" s="15"/>
      <c r="G317" s="2">
        <v>8000</v>
      </c>
      <c r="I317" s="78">
        <f t="shared" ref="I317:I332" si="26">I316+G317-H317</f>
        <v>15896.36</v>
      </c>
      <c r="J317">
        <f t="shared" si="23"/>
        <v>-6896.3600000000006</v>
      </c>
      <c r="L317" s="2">
        <f t="shared" si="24"/>
        <v>20</v>
      </c>
    </row>
    <row r="318" spans="1:12" x14ac:dyDescent="0.3">
      <c r="A318" s="3">
        <v>44785</v>
      </c>
      <c r="B318" s="11" t="s">
        <v>1257</v>
      </c>
      <c r="C318" s="50" t="s">
        <v>1253</v>
      </c>
      <c r="F318" s="15"/>
      <c r="H318" s="2">
        <v>8000</v>
      </c>
      <c r="I318" s="78">
        <f t="shared" si="26"/>
        <v>7896.3600000000006</v>
      </c>
      <c r="J318">
        <f t="shared" si="23"/>
        <v>1103.6399999999994</v>
      </c>
      <c r="L318" s="2">
        <f t="shared" si="24"/>
        <v>20</v>
      </c>
    </row>
    <row r="319" spans="1:12" x14ac:dyDescent="0.3">
      <c r="A319" s="3">
        <v>44787</v>
      </c>
      <c r="B319" s="11" t="s">
        <v>2457</v>
      </c>
      <c r="C319" s="50" t="s">
        <v>2469</v>
      </c>
      <c r="F319" s="15">
        <v>222620822011</v>
      </c>
      <c r="H319" s="2">
        <v>7000</v>
      </c>
      <c r="I319" s="78">
        <f t="shared" si="26"/>
        <v>896.36000000000058</v>
      </c>
      <c r="J319">
        <f t="shared" si="23"/>
        <v>8103.6399999999994</v>
      </c>
      <c r="L319" s="2">
        <f t="shared" si="24"/>
        <v>20</v>
      </c>
    </row>
    <row r="320" spans="1:12" x14ac:dyDescent="0.3">
      <c r="A320" s="3">
        <v>44789</v>
      </c>
      <c r="B320" s="11" t="s">
        <v>2476</v>
      </c>
      <c r="C320" s="50" t="s">
        <v>2477</v>
      </c>
      <c r="E320" s="90" t="s">
        <v>16</v>
      </c>
      <c r="F320" s="15">
        <v>222812133047</v>
      </c>
      <c r="H320" s="2">
        <v>350</v>
      </c>
      <c r="I320" s="78">
        <f t="shared" si="26"/>
        <v>546.36000000000058</v>
      </c>
      <c r="J320">
        <f t="shared" si="23"/>
        <v>8453.64</v>
      </c>
      <c r="L320" s="2">
        <f t="shared" si="24"/>
        <v>26.4</v>
      </c>
    </row>
    <row r="321" spans="1:16" x14ac:dyDescent="0.3">
      <c r="A321" s="3">
        <v>44790</v>
      </c>
      <c r="B321" s="11" t="s">
        <v>1472</v>
      </c>
      <c r="C321" s="50" t="s">
        <v>2483</v>
      </c>
      <c r="F321" s="15">
        <v>222912876746</v>
      </c>
      <c r="G321" s="2">
        <v>500</v>
      </c>
      <c r="I321" s="78">
        <f t="shared" si="26"/>
        <v>1046.3600000000006</v>
      </c>
      <c r="J321">
        <f t="shared" si="23"/>
        <v>7953.6399999999994</v>
      </c>
      <c r="L321" s="2">
        <f t="shared" si="24"/>
        <v>2</v>
      </c>
    </row>
    <row r="322" spans="1:16" x14ac:dyDescent="0.3">
      <c r="A322" s="3">
        <v>44790</v>
      </c>
      <c r="B322" s="11" t="s">
        <v>1160</v>
      </c>
      <c r="C322" s="50" t="s">
        <v>2438</v>
      </c>
      <c r="D322" s="50">
        <v>9110951992</v>
      </c>
      <c r="F322" s="15">
        <v>222913399034</v>
      </c>
      <c r="G322" s="2">
        <v>10000</v>
      </c>
      <c r="I322" s="78">
        <f t="shared" si="26"/>
        <v>11046.36</v>
      </c>
      <c r="J322">
        <f t="shared" si="23"/>
        <v>-2046.3600000000006</v>
      </c>
      <c r="L322" s="2">
        <f t="shared" si="24"/>
        <v>20</v>
      </c>
    </row>
    <row r="323" spans="1:16" x14ac:dyDescent="0.3">
      <c r="A323" s="3">
        <v>44790</v>
      </c>
      <c r="B323" s="11" t="s">
        <v>2487</v>
      </c>
      <c r="F323" s="15"/>
      <c r="G323" s="2">
        <v>5000</v>
      </c>
      <c r="I323" s="78">
        <f t="shared" si="26"/>
        <v>16046.36</v>
      </c>
      <c r="J323">
        <f t="shared" si="23"/>
        <v>-7046.3600000000006</v>
      </c>
      <c r="L323" s="2">
        <f t="shared" si="24"/>
        <v>20</v>
      </c>
    </row>
    <row r="324" spans="1:16" x14ac:dyDescent="0.3">
      <c r="A324" s="3">
        <v>44790</v>
      </c>
      <c r="B324" s="11" t="s">
        <v>2140</v>
      </c>
      <c r="F324" s="15"/>
      <c r="H324" s="2">
        <v>10000</v>
      </c>
      <c r="I324" s="78">
        <f t="shared" si="26"/>
        <v>6046.3600000000006</v>
      </c>
      <c r="J324">
        <f t="shared" si="23"/>
        <v>2953.6399999999994</v>
      </c>
      <c r="L324" s="2">
        <f t="shared" si="24"/>
        <v>20</v>
      </c>
    </row>
    <row r="325" spans="1:16" x14ac:dyDescent="0.3">
      <c r="A325" s="3">
        <v>44791</v>
      </c>
      <c r="B325" s="11" t="s">
        <v>1472</v>
      </c>
      <c r="C325" s="50" t="s">
        <v>2488</v>
      </c>
      <c r="D325" s="50">
        <v>8797783108</v>
      </c>
      <c r="F325" s="15">
        <v>223017514130</v>
      </c>
      <c r="G325" s="2">
        <v>1000</v>
      </c>
      <c r="I325" s="78">
        <f t="shared" si="26"/>
        <v>7046.3600000000006</v>
      </c>
      <c r="J325">
        <f t="shared" ref="J325:J356" si="27">$J$1-I325</f>
        <v>1953.6399999999994</v>
      </c>
      <c r="L325" s="2">
        <f t="shared" si="24"/>
        <v>4</v>
      </c>
    </row>
    <row r="326" spans="1:16" x14ac:dyDescent="0.3">
      <c r="A326" s="3">
        <v>44792</v>
      </c>
      <c r="B326" s="11" t="s">
        <v>2241</v>
      </c>
      <c r="C326" s="50" t="s">
        <v>2489</v>
      </c>
      <c r="D326" s="50">
        <v>9905321988</v>
      </c>
      <c r="F326" s="15">
        <v>223111958949</v>
      </c>
      <c r="G326" s="2">
        <v>1000</v>
      </c>
      <c r="I326" s="78">
        <f t="shared" si="26"/>
        <v>8046.3600000000006</v>
      </c>
      <c r="J326">
        <f t="shared" si="27"/>
        <v>953.63999999999942</v>
      </c>
      <c r="L326" s="2">
        <f t="shared" ref="L326:L357" si="28">IF((G326+H326)&lt;=5000,(H326+G326)*0.004,20)+IF(E326="Y",25,0)</f>
        <v>4</v>
      </c>
    </row>
    <row r="327" spans="1:16" x14ac:dyDescent="0.3">
      <c r="A327" s="3">
        <v>44793</v>
      </c>
      <c r="B327" s="11" t="s">
        <v>2337</v>
      </c>
      <c r="C327" s="50" t="s">
        <v>2442</v>
      </c>
      <c r="D327" s="50">
        <v>6201399787</v>
      </c>
      <c r="F327" s="15">
        <v>223212433584</v>
      </c>
      <c r="G327" s="2">
        <v>8000</v>
      </c>
      <c r="I327" s="78">
        <f t="shared" si="26"/>
        <v>16046.36</v>
      </c>
      <c r="J327">
        <f t="shared" si="27"/>
        <v>-7046.3600000000006</v>
      </c>
      <c r="L327" s="2">
        <f t="shared" si="28"/>
        <v>20</v>
      </c>
    </row>
    <row r="328" spans="1:16" x14ac:dyDescent="0.3">
      <c r="A328" s="3">
        <v>44793</v>
      </c>
      <c r="B328" s="11" t="s">
        <v>2140</v>
      </c>
      <c r="C328" s="50" t="s">
        <v>1279</v>
      </c>
      <c r="F328" s="15"/>
      <c r="H328" s="2">
        <v>10000</v>
      </c>
      <c r="I328" s="78">
        <f t="shared" si="26"/>
        <v>6046.3600000000006</v>
      </c>
      <c r="J328">
        <f t="shared" si="27"/>
        <v>2953.6399999999994</v>
      </c>
      <c r="L328" s="2">
        <f t="shared" si="28"/>
        <v>20</v>
      </c>
    </row>
    <row r="329" spans="1:16" x14ac:dyDescent="0.3">
      <c r="A329" s="3">
        <v>44793</v>
      </c>
      <c r="B329" s="11" t="s">
        <v>1160</v>
      </c>
      <c r="C329" s="50" t="s">
        <v>2491</v>
      </c>
      <c r="D329" s="50">
        <v>9931772395</v>
      </c>
      <c r="F329" s="15">
        <v>223218177254</v>
      </c>
      <c r="G329" s="2">
        <v>1000</v>
      </c>
      <c r="I329" s="78">
        <f t="shared" si="26"/>
        <v>7046.3600000000006</v>
      </c>
      <c r="J329">
        <f t="shared" si="27"/>
        <v>1953.6399999999994</v>
      </c>
      <c r="L329" s="2">
        <f t="shared" si="28"/>
        <v>4</v>
      </c>
    </row>
    <row r="330" spans="1:16" x14ac:dyDescent="0.3">
      <c r="A330" s="3">
        <v>44793</v>
      </c>
      <c r="B330" s="11" t="s">
        <v>2241</v>
      </c>
      <c r="C330" s="50" t="s">
        <v>2492</v>
      </c>
      <c r="D330" s="50">
        <v>7320859285</v>
      </c>
      <c r="F330" s="15">
        <v>223218191319</v>
      </c>
      <c r="G330" s="2">
        <v>3000</v>
      </c>
      <c r="I330" s="78">
        <f t="shared" si="26"/>
        <v>10046.36</v>
      </c>
      <c r="J330">
        <f t="shared" si="27"/>
        <v>-1046.3600000000006</v>
      </c>
      <c r="L330" s="2">
        <f t="shared" si="28"/>
        <v>12</v>
      </c>
    </row>
    <row r="331" spans="1:16" x14ac:dyDescent="0.3">
      <c r="A331" s="3">
        <v>44793</v>
      </c>
      <c r="B331" s="11" t="s">
        <v>2271</v>
      </c>
      <c r="C331" s="50" t="s">
        <v>2493</v>
      </c>
      <c r="D331" s="50">
        <v>7739221846</v>
      </c>
      <c r="F331" s="15">
        <v>223218227289</v>
      </c>
      <c r="G331" s="2">
        <v>10000</v>
      </c>
      <c r="I331" s="78">
        <f t="shared" si="26"/>
        <v>20046.36</v>
      </c>
      <c r="J331">
        <f t="shared" si="27"/>
        <v>-11046.36</v>
      </c>
      <c r="L331" s="2">
        <f t="shared" si="28"/>
        <v>20</v>
      </c>
    </row>
    <row r="332" spans="1:16" x14ac:dyDescent="0.3">
      <c r="A332" s="3">
        <v>44793</v>
      </c>
      <c r="B332" s="11" t="s">
        <v>1160</v>
      </c>
      <c r="F332" s="15">
        <v>223218243584</v>
      </c>
      <c r="G332" s="2">
        <v>2000</v>
      </c>
      <c r="I332" s="78">
        <f t="shared" si="26"/>
        <v>22046.36</v>
      </c>
      <c r="J332">
        <f t="shared" si="27"/>
        <v>-13046.36</v>
      </c>
      <c r="L332" s="2">
        <f t="shared" si="28"/>
        <v>8</v>
      </c>
    </row>
    <row r="333" spans="1:16" x14ac:dyDescent="0.3">
      <c r="A333" s="3"/>
      <c r="C333" s="70" t="s">
        <v>2496</v>
      </c>
      <c r="F333" s="15"/>
      <c r="G333" s="64">
        <v>809</v>
      </c>
      <c r="I333" s="78">
        <f t="shared" ref="I333:I358" si="29">I332+G333-H333</f>
        <v>22855.360000000001</v>
      </c>
      <c r="J333">
        <f t="shared" si="27"/>
        <v>-13855.36</v>
      </c>
      <c r="L333" s="2">
        <f t="shared" si="28"/>
        <v>3.2360000000000002</v>
      </c>
    </row>
    <row r="334" spans="1:16" s="29" customFormat="1" x14ac:dyDescent="0.3">
      <c r="A334" s="3">
        <v>44794</v>
      </c>
      <c r="B334" s="173" t="s">
        <v>2494</v>
      </c>
      <c r="C334" s="104" t="s">
        <v>2495</v>
      </c>
      <c r="D334" s="104"/>
      <c r="E334" s="93"/>
      <c r="F334" s="15">
        <v>223317787229</v>
      </c>
      <c r="G334" s="46"/>
      <c r="H334" s="46">
        <v>500</v>
      </c>
      <c r="I334" s="78">
        <f t="shared" si="29"/>
        <v>22355.360000000001</v>
      </c>
      <c r="J334">
        <f t="shared" si="27"/>
        <v>-13355.36</v>
      </c>
      <c r="L334" s="2">
        <f t="shared" si="28"/>
        <v>2</v>
      </c>
    </row>
    <row r="335" spans="1:16" x14ac:dyDescent="0.3">
      <c r="A335" s="3">
        <v>44794</v>
      </c>
      <c r="B335" s="11" t="s">
        <v>2140</v>
      </c>
      <c r="C335" s="50" t="s">
        <v>1279</v>
      </c>
      <c r="F335" s="15"/>
      <c r="H335" s="2">
        <v>10000</v>
      </c>
      <c r="I335" s="78">
        <f t="shared" si="29"/>
        <v>12355.36</v>
      </c>
      <c r="J335">
        <f t="shared" si="27"/>
        <v>-3355.3600000000006</v>
      </c>
      <c r="L335" s="2">
        <f t="shared" si="28"/>
        <v>20</v>
      </c>
      <c r="O335" s="79"/>
      <c r="P335" s="79"/>
    </row>
    <row r="336" spans="1:16" x14ac:dyDescent="0.3">
      <c r="A336" s="3">
        <v>44794</v>
      </c>
      <c r="B336" s="11" t="s">
        <v>2271</v>
      </c>
      <c r="C336" s="50" t="s">
        <v>2493</v>
      </c>
      <c r="D336" s="50">
        <v>7739221846</v>
      </c>
      <c r="F336" s="15">
        <v>223317935427</v>
      </c>
      <c r="G336" s="2">
        <v>6000</v>
      </c>
      <c r="I336" s="78">
        <f t="shared" si="29"/>
        <v>18355.36</v>
      </c>
      <c r="J336">
        <f t="shared" si="27"/>
        <v>-9355.36</v>
      </c>
      <c r="L336" s="2">
        <f t="shared" si="28"/>
        <v>20</v>
      </c>
      <c r="O336" s="79"/>
      <c r="P336" s="79"/>
    </row>
    <row r="337" spans="1:16" x14ac:dyDescent="0.3">
      <c r="A337" s="3">
        <v>44794</v>
      </c>
      <c r="B337" s="11" t="s">
        <v>2251</v>
      </c>
      <c r="C337" s="50" t="s">
        <v>2250</v>
      </c>
      <c r="F337" s="15"/>
      <c r="G337" s="2">
        <v>2000</v>
      </c>
      <c r="I337" s="78">
        <f t="shared" si="29"/>
        <v>20355.36</v>
      </c>
      <c r="J337">
        <f t="shared" si="27"/>
        <v>-11355.36</v>
      </c>
      <c r="L337" s="2">
        <f t="shared" si="28"/>
        <v>8</v>
      </c>
      <c r="O337" s="79"/>
      <c r="P337" s="79"/>
    </row>
    <row r="338" spans="1:16" x14ac:dyDescent="0.3">
      <c r="A338" s="3">
        <v>44795</v>
      </c>
      <c r="B338" s="11" t="s">
        <v>2375</v>
      </c>
      <c r="C338" s="50" t="s">
        <v>633</v>
      </c>
      <c r="F338" s="15">
        <v>223409932874</v>
      </c>
      <c r="G338" s="2">
        <v>600</v>
      </c>
      <c r="I338" s="78">
        <f t="shared" si="29"/>
        <v>20955.36</v>
      </c>
      <c r="J338">
        <f t="shared" si="27"/>
        <v>-11955.36</v>
      </c>
      <c r="L338" s="2">
        <f t="shared" si="28"/>
        <v>2.4</v>
      </c>
      <c r="O338" s="79"/>
      <c r="P338" s="79"/>
    </row>
    <row r="339" spans="1:16" x14ac:dyDescent="0.3">
      <c r="A339" s="3">
        <v>44795</v>
      </c>
      <c r="B339" s="11" t="s">
        <v>1472</v>
      </c>
      <c r="F339" s="15">
        <v>223411664217</v>
      </c>
      <c r="G339" s="2">
        <v>1000</v>
      </c>
      <c r="I339" s="78">
        <f t="shared" si="29"/>
        <v>21955.360000000001</v>
      </c>
      <c r="J339">
        <f t="shared" si="27"/>
        <v>-12955.36</v>
      </c>
      <c r="L339" s="2">
        <f t="shared" si="28"/>
        <v>4</v>
      </c>
      <c r="O339" s="79"/>
      <c r="P339" s="79"/>
    </row>
    <row r="340" spans="1:16" x14ac:dyDescent="0.3">
      <c r="A340" s="3">
        <v>44795</v>
      </c>
      <c r="B340" s="11" t="s">
        <v>2140</v>
      </c>
      <c r="C340" s="50" t="s">
        <v>1279</v>
      </c>
      <c r="F340" s="15"/>
      <c r="H340" s="2">
        <v>10000</v>
      </c>
      <c r="I340" s="78">
        <f t="shared" si="29"/>
        <v>11955.36</v>
      </c>
      <c r="J340">
        <f t="shared" si="27"/>
        <v>-2955.3600000000006</v>
      </c>
      <c r="L340" s="2">
        <f t="shared" si="28"/>
        <v>20</v>
      </c>
      <c r="O340" s="79"/>
      <c r="P340" s="79"/>
    </row>
    <row r="341" spans="1:16" x14ac:dyDescent="0.3">
      <c r="A341" s="3">
        <v>44795</v>
      </c>
      <c r="B341" s="11" t="s">
        <v>2497</v>
      </c>
      <c r="C341" s="50" t="s">
        <v>2498</v>
      </c>
      <c r="E341" s="90" t="s">
        <v>16</v>
      </c>
      <c r="F341" s="15">
        <v>223417879494</v>
      </c>
      <c r="H341" s="2">
        <v>100</v>
      </c>
      <c r="I341" s="78">
        <f t="shared" si="29"/>
        <v>11855.36</v>
      </c>
      <c r="J341">
        <f t="shared" si="27"/>
        <v>-2855.3600000000006</v>
      </c>
      <c r="L341" s="2">
        <f t="shared" si="28"/>
        <v>25.4</v>
      </c>
      <c r="O341" s="79"/>
      <c r="P341" s="79"/>
    </row>
    <row r="342" spans="1:16" x14ac:dyDescent="0.3">
      <c r="A342" s="3">
        <v>44795</v>
      </c>
      <c r="B342" s="11" t="s">
        <v>2185</v>
      </c>
      <c r="C342" s="50" t="s">
        <v>2499</v>
      </c>
      <c r="F342" s="15">
        <v>223417891576</v>
      </c>
      <c r="H342" s="2">
        <v>500</v>
      </c>
      <c r="I342" s="78">
        <f t="shared" si="29"/>
        <v>11355.36</v>
      </c>
      <c r="J342">
        <f t="shared" si="27"/>
        <v>-2355.3600000000006</v>
      </c>
      <c r="L342" s="2">
        <f t="shared" si="28"/>
        <v>2</v>
      </c>
      <c r="O342" s="79"/>
      <c r="P342" s="79"/>
    </row>
    <row r="343" spans="1:16" x14ac:dyDescent="0.3">
      <c r="A343" s="3">
        <v>44795</v>
      </c>
      <c r="B343" s="11" t="s">
        <v>2501</v>
      </c>
      <c r="E343" s="90" t="s">
        <v>16</v>
      </c>
      <c r="F343" s="15"/>
      <c r="H343" s="2">
        <v>100</v>
      </c>
      <c r="I343" s="78">
        <f t="shared" si="29"/>
        <v>11255.36</v>
      </c>
      <c r="J343">
        <f t="shared" si="27"/>
        <v>-2255.3600000000006</v>
      </c>
      <c r="L343" s="2">
        <f t="shared" si="28"/>
        <v>25.4</v>
      </c>
      <c r="O343" s="79"/>
      <c r="P343" s="79"/>
    </row>
    <row r="344" spans="1:16" x14ac:dyDescent="0.3">
      <c r="A344" s="3">
        <v>44795</v>
      </c>
      <c r="B344" s="11" t="s">
        <v>2502</v>
      </c>
      <c r="C344" s="50" t="s">
        <v>2206</v>
      </c>
      <c r="F344" s="15">
        <v>223418415040</v>
      </c>
      <c r="H344" s="2">
        <v>1000</v>
      </c>
      <c r="I344" s="78">
        <f t="shared" si="29"/>
        <v>10255.36</v>
      </c>
      <c r="J344">
        <f t="shared" si="27"/>
        <v>-1255.3600000000006</v>
      </c>
      <c r="L344" s="2">
        <f t="shared" si="28"/>
        <v>4</v>
      </c>
      <c r="O344" s="79"/>
      <c r="P344" s="79"/>
    </row>
    <row r="345" spans="1:16" x14ac:dyDescent="0.3">
      <c r="A345" s="3">
        <v>44796</v>
      </c>
      <c r="B345" s="11" t="s">
        <v>1160</v>
      </c>
      <c r="C345" s="50" t="s">
        <v>2504</v>
      </c>
      <c r="F345" s="15">
        <v>223510339263</v>
      </c>
      <c r="G345" s="2">
        <v>2000</v>
      </c>
      <c r="I345" s="78">
        <f t="shared" si="29"/>
        <v>12255.36</v>
      </c>
      <c r="J345">
        <f t="shared" si="27"/>
        <v>-3255.3600000000006</v>
      </c>
      <c r="L345" s="2">
        <f t="shared" si="28"/>
        <v>8</v>
      </c>
      <c r="O345" s="79"/>
      <c r="P345" s="79"/>
    </row>
    <row r="346" spans="1:16" x14ac:dyDescent="0.3">
      <c r="A346" s="3">
        <v>44796</v>
      </c>
      <c r="B346" s="11" t="s">
        <v>1250</v>
      </c>
      <c r="F346" s="15">
        <v>223512397307</v>
      </c>
      <c r="G346" s="2">
        <v>1200</v>
      </c>
      <c r="I346" s="78">
        <f t="shared" si="29"/>
        <v>13455.36</v>
      </c>
      <c r="J346">
        <f t="shared" si="27"/>
        <v>-4455.3600000000006</v>
      </c>
      <c r="L346" s="2">
        <f t="shared" si="28"/>
        <v>4.8</v>
      </c>
      <c r="O346" s="79"/>
      <c r="P346" s="79"/>
    </row>
    <row r="347" spans="1:16" x14ac:dyDescent="0.3">
      <c r="A347" s="3">
        <v>44796</v>
      </c>
      <c r="B347" s="11" t="s">
        <v>1250</v>
      </c>
      <c r="C347" s="50" t="s">
        <v>2140</v>
      </c>
      <c r="F347" s="15"/>
      <c r="H347" s="2">
        <v>10000</v>
      </c>
      <c r="I347" s="78">
        <f t="shared" si="29"/>
        <v>3455.3600000000006</v>
      </c>
      <c r="J347">
        <f t="shared" si="27"/>
        <v>5544.6399999999994</v>
      </c>
      <c r="L347" s="2">
        <f t="shared" si="28"/>
        <v>20</v>
      </c>
      <c r="O347" s="79"/>
      <c r="P347" s="79"/>
    </row>
    <row r="348" spans="1:16" x14ac:dyDescent="0.3">
      <c r="A348" s="3">
        <v>44796</v>
      </c>
      <c r="B348" s="11" t="s">
        <v>2505</v>
      </c>
      <c r="C348" s="50" t="s">
        <v>2506</v>
      </c>
      <c r="D348" s="50">
        <v>7209975612</v>
      </c>
      <c r="E348" s="90" t="s">
        <v>16</v>
      </c>
      <c r="F348" s="15">
        <v>223514813418</v>
      </c>
      <c r="H348" s="2">
        <v>500</v>
      </c>
      <c r="I348" s="78">
        <f t="shared" si="29"/>
        <v>2955.3600000000006</v>
      </c>
      <c r="J348">
        <f t="shared" si="27"/>
        <v>6044.6399999999994</v>
      </c>
      <c r="L348" s="2">
        <f t="shared" si="28"/>
        <v>27</v>
      </c>
      <c r="O348" s="79"/>
      <c r="P348" s="79"/>
    </row>
    <row r="349" spans="1:16" x14ac:dyDescent="0.3">
      <c r="A349" s="3">
        <v>44796</v>
      </c>
      <c r="B349" s="11" t="s">
        <v>1160</v>
      </c>
      <c r="C349" s="50" t="s">
        <v>2512</v>
      </c>
      <c r="D349" s="50">
        <v>7209603651</v>
      </c>
      <c r="F349" s="15">
        <v>223517022944</v>
      </c>
      <c r="G349" s="2">
        <v>1000</v>
      </c>
      <c r="I349" s="78">
        <f t="shared" si="29"/>
        <v>3955.3600000000006</v>
      </c>
      <c r="J349">
        <f t="shared" si="27"/>
        <v>5044.6399999999994</v>
      </c>
      <c r="L349" s="2">
        <f t="shared" si="28"/>
        <v>4</v>
      </c>
      <c r="O349" s="79"/>
      <c r="P349" s="79"/>
    </row>
    <row r="350" spans="1:16" x14ac:dyDescent="0.3">
      <c r="A350" s="3">
        <v>44796</v>
      </c>
      <c r="B350" s="11" t="s">
        <v>1160</v>
      </c>
      <c r="C350" s="50" t="s">
        <v>2464</v>
      </c>
      <c r="F350" s="15">
        <v>223519341629</v>
      </c>
      <c r="G350" s="2">
        <v>3000</v>
      </c>
      <c r="I350" s="78">
        <f t="shared" si="29"/>
        <v>6955.3600000000006</v>
      </c>
      <c r="J350">
        <f t="shared" si="27"/>
        <v>2044.6399999999994</v>
      </c>
      <c r="L350" s="2">
        <f t="shared" si="28"/>
        <v>12</v>
      </c>
      <c r="O350" s="79"/>
      <c r="P350" s="79"/>
    </row>
    <row r="351" spans="1:16" x14ac:dyDescent="0.3">
      <c r="A351" s="3">
        <v>44796</v>
      </c>
      <c r="B351" s="11" t="s">
        <v>2457</v>
      </c>
      <c r="C351" s="50" t="s">
        <v>2458</v>
      </c>
      <c r="F351" s="15"/>
      <c r="H351" s="2">
        <v>5000</v>
      </c>
      <c r="I351" s="78">
        <f t="shared" si="29"/>
        <v>1955.3600000000006</v>
      </c>
      <c r="J351">
        <f t="shared" si="27"/>
        <v>7044.6399999999994</v>
      </c>
      <c r="L351" s="2">
        <f t="shared" si="28"/>
        <v>20</v>
      </c>
      <c r="O351" s="79"/>
      <c r="P351" s="79"/>
    </row>
    <row r="352" spans="1:16" x14ac:dyDescent="0.3">
      <c r="A352" s="3">
        <v>44797</v>
      </c>
      <c r="B352" s="11" t="s">
        <v>1250</v>
      </c>
      <c r="C352" s="50" t="s">
        <v>2513</v>
      </c>
      <c r="F352" s="15">
        <v>223609858110</v>
      </c>
      <c r="G352" s="2">
        <v>1400</v>
      </c>
      <c r="I352" s="78">
        <f t="shared" si="29"/>
        <v>3355.3600000000006</v>
      </c>
      <c r="J352">
        <f t="shared" si="27"/>
        <v>5644.6399999999994</v>
      </c>
      <c r="L352" s="2">
        <f t="shared" si="28"/>
        <v>5.6000000000000005</v>
      </c>
      <c r="O352" s="79"/>
      <c r="P352" s="79"/>
    </row>
    <row r="353" spans="1:16" x14ac:dyDescent="0.3">
      <c r="A353" s="3">
        <v>44797</v>
      </c>
      <c r="B353" s="11" t="s">
        <v>2271</v>
      </c>
      <c r="C353" s="50" t="s">
        <v>2514</v>
      </c>
      <c r="D353" s="50">
        <v>7739221846</v>
      </c>
      <c r="F353" s="15">
        <v>223618086654</v>
      </c>
      <c r="G353" s="2">
        <v>10000</v>
      </c>
      <c r="I353" s="78">
        <f t="shared" si="29"/>
        <v>13355.36</v>
      </c>
      <c r="J353">
        <f t="shared" si="27"/>
        <v>-4355.3600000000006</v>
      </c>
      <c r="L353" s="2">
        <f t="shared" si="28"/>
        <v>20</v>
      </c>
      <c r="O353" s="79"/>
      <c r="P353" s="79"/>
    </row>
    <row r="354" spans="1:16" x14ac:dyDescent="0.3">
      <c r="A354" s="3">
        <v>44797</v>
      </c>
      <c r="B354" s="11" t="s">
        <v>2140</v>
      </c>
      <c r="C354" s="50" t="s">
        <v>1279</v>
      </c>
      <c r="F354" s="15"/>
      <c r="H354" s="2">
        <v>10000</v>
      </c>
      <c r="I354" s="78">
        <f t="shared" si="29"/>
        <v>3355.3600000000006</v>
      </c>
      <c r="J354">
        <f t="shared" si="27"/>
        <v>5644.6399999999994</v>
      </c>
      <c r="L354" s="2">
        <f t="shared" si="28"/>
        <v>20</v>
      </c>
      <c r="O354" s="79"/>
      <c r="P354" s="79"/>
    </row>
    <row r="355" spans="1:16" x14ac:dyDescent="0.3">
      <c r="A355" s="3">
        <v>44798</v>
      </c>
      <c r="B355" s="11" t="s">
        <v>2515</v>
      </c>
      <c r="C355" s="50" t="s">
        <v>2516</v>
      </c>
      <c r="E355" s="90" t="s">
        <v>16</v>
      </c>
      <c r="F355" s="15">
        <v>223711427883</v>
      </c>
      <c r="H355" s="2">
        <v>200</v>
      </c>
      <c r="I355" s="78">
        <f t="shared" si="29"/>
        <v>3155.3600000000006</v>
      </c>
      <c r="J355">
        <f t="shared" si="27"/>
        <v>5844.6399999999994</v>
      </c>
      <c r="L355" s="2">
        <f t="shared" si="28"/>
        <v>25.8</v>
      </c>
      <c r="O355" s="79"/>
      <c r="P355" s="79"/>
    </row>
    <row r="356" spans="1:16" x14ac:dyDescent="0.3">
      <c r="A356" s="3">
        <v>44799</v>
      </c>
      <c r="B356" s="11" t="s">
        <v>1472</v>
      </c>
      <c r="C356" s="50" t="s">
        <v>2488</v>
      </c>
      <c r="D356" s="50">
        <v>8797783108</v>
      </c>
      <c r="F356" s="15">
        <v>223811444445</v>
      </c>
      <c r="G356" s="2">
        <v>2500</v>
      </c>
      <c r="I356" s="78">
        <f t="shared" si="29"/>
        <v>5655.3600000000006</v>
      </c>
      <c r="J356">
        <f t="shared" si="27"/>
        <v>3344.6399999999994</v>
      </c>
      <c r="L356" s="2">
        <f t="shared" si="28"/>
        <v>10</v>
      </c>
      <c r="O356" s="79"/>
      <c r="P356" s="79"/>
    </row>
    <row r="357" spans="1:16" x14ac:dyDescent="0.3">
      <c r="A357" s="3">
        <v>44799</v>
      </c>
      <c r="B357" s="11" t="s">
        <v>2526</v>
      </c>
      <c r="C357" s="50" t="s">
        <v>2527</v>
      </c>
      <c r="E357" s="90" t="s">
        <v>16</v>
      </c>
      <c r="F357" s="15">
        <v>223811478506</v>
      </c>
      <c r="H357" s="2">
        <v>200</v>
      </c>
      <c r="I357" s="78">
        <f t="shared" si="29"/>
        <v>5455.3600000000006</v>
      </c>
      <c r="J357">
        <f t="shared" ref="J357:J380" si="30">$J$1-I357</f>
        <v>3544.6399999999994</v>
      </c>
      <c r="L357" s="2">
        <f t="shared" si="28"/>
        <v>25.8</v>
      </c>
      <c r="O357" s="79"/>
      <c r="P357" s="79"/>
    </row>
    <row r="358" spans="1:16" x14ac:dyDescent="0.3">
      <c r="A358" s="3">
        <v>44799</v>
      </c>
      <c r="B358" s="11" t="s">
        <v>1250</v>
      </c>
      <c r="C358" s="50" t="s">
        <v>2190</v>
      </c>
      <c r="F358" s="15"/>
      <c r="G358" s="2">
        <v>2000</v>
      </c>
      <c r="I358" s="78">
        <f t="shared" si="29"/>
        <v>7455.3600000000006</v>
      </c>
      <c r="J358">
        <f t="shared" si="30"/>
        <v>1544.6399999999994</v>
      </c>
      <c r="L358" s="2">
        <f t="shared" ref="L358:L380" si="31">IF((G358+H358)&lt;=5000,(H358+G358)*0.004,20)+IF(E358="Y",25,0)</f>
        <v>8</v>
      </c>
      <c r="O358" s="79"/>
      <c r="P358" s="79"/>
    </row>
    <row r="359" spans="1:16" x14ac:dyDescent="0.3">
      <c r="A359" s="3">
        <v>44799</v>
      </c>
      <c r="B359" s="11" t="s">
        <v>2533</v>
      </c>
      <c r="C359" s="50" t="s">
        <v>2530</v>
      </c>
      <c r="D359" s="50">
        <v>7549341547</v>
      </c>
      <c r="E359" s="90" t="s">
        <v>16</v>
      </c>
      <c r="F359" s="15">
        <v>223813313659</v>
      </c>
      <c r="H359" s="2">
        <v>100</v>
      </c>
      <c r="I359" s="78">
        <f t="shared" ref="I359:I368" si="32">I358+G359-H359</f>
        <v>7355.3600000000006</v>
      </c>
      <c r="J359">
        <f t="shared" si="30"/>
        <v>1644.6399999999994</v>
      </c>
      <c r="L359" s="2">
        <f t="shared" si="31"/>
        <v>25.4</v>
      </c>
      <c r="O359" s="79"/>
      <c r="P359" s="79"/>
    </row>
    <row r="360" spans="1:16" x14ac:dyDescent="0.3">
      <c r="A360" s="3">
        <v>44799</v>
      </c>
      <c r="B360" s="11" t="s">
        <v>2544</v>
      </c>
      <c r="C360" s="50" t="s">
        <v>2539</v>
      </c>
      <c r="E360" s="90" t="s">
        <v>16</v>
      </c>
      <c r="F360" s="15"/>
      <c r="H360" s="2">
        <v>500</v>
      </c>
      <c r="I360" s="78">
        <f t="shared" si="32"/>
        <v>6855.3600000000006</v>
      </c>
      <c r="J360">
        <f t="shared" si="30"/>
        <v>2144.6399999999994</v>
      </c>
      <c r="L360" s="2">
        <f t="shared" si="31"/>
        <v>27</v>
      </c>
      <c r="O360" s="79"/>
      <c r="P360" s="79"/>
    </row>
    <row r="361" spans="1:16" x14ac:dyDescent="0.3">
      <c r="A361" s="3">
        <v>44800</v>
      </c>
      <c r="B361" s="11" t="s">
        <v>2542</v>
      </c>
      <c r="C361" s="50" t="s">
        <v>2543</v>
      </c>
      <c r="D361" s="50">
        <v>7488699236</v>
      </c>
      <c r="F361" s="15"/>
      <c r="H361" s="2">
        <v>1000</v>
      </c>
      <c r="I361" s="78">
        <f t="shared" si="32"/>
        <v>5855.3600000000006</v>
      </c>
      <c r="J361">
        <f t="shared" si="30"/>
        <v>3144.6399999999994</v>
      </c>
      <c r="L361" s="2">
        <f t="shared" si="31"/>
        <v>4</v>
      </c>
      <c r="O361" s="79"/>
      <c r="P361" s="79"/>
    </row>
    <row r="362" spans="1:16" x14ac:dyDescent="0.3">
      <c r="A362" s="3">
        <v>44800</v>
      </c>
      <c r="B362" s="11" t="s">
        <v>1250</v>
      </c>
      <c r="C362" s="50" t="s">
        <v>2545</v>
      </c>
      <c r="D362" s="113">
        <v>6201309013</v>
      </c>
      <c r="F362" s="15">
        <v>223912283868</v>
      </c>
      <c r="G362" s="2">
        <v>1500</v>
      </c>
      <c r="I362" s="78">
        <f t="shared" si="32"/>
        <v>7355.3600000000006</v>
      </c>
      <c r="J362">
        <f t="shared" si="30"/>
        <v>1644.6399999999994</v>
      </c>
      <c r="L362" s="2">
        <f t="shared" si="31"/>
        <v>6</v>
      </c>
      <c r="O362" s="79"/>
      <c r="P362" s="79"/>
    </row>
    <row r="363" spans="1:16" s="31" customFormat="1" x14ac:dyDescent="0.3">
      <c r="A363" s="3">
        <v>44802</v>
      </c>
      <c r="B363" s="11" t="s">
        <v>2546</v>
      </c>
      <c r="C363" s="106" t="s">
        <v>2547</v>
      </c>
      <c r="D363" s="106"/>
      <c r="E363" s="94"/>
      <c r="G363" s="75">
        <v>250</v>
      </c>
      <c r="H363" s="75"/>
      <c r="I363" s="78">
        <f t="shared" si="32"/>
        <v>7605.3600000000006</v>
      </c>
      <c r="J363">
        <f t="shared" si="30"/>
        <v>1394.6399999999994</v>
      </c>
      <c r="L363" s="2">
        <f t="shared" si="31"/>
        <v>1</v>
      </c>
    </row>
    <row r="364" spans="1:16" s="31" customFormat="1" x14ac:dyDescent="0.3">
      <c r="A364" s="3">
        <v>44802</v>
      </c>
      <c r="B364" s="11" t="s">
        <v>2548</v>
      </c>
      <c r="C364" s="106" t="s">
        <v>2547</v>
      </c>
      <c r="D364" s="106"/>
      <c r="E364" s="94" t="s">
        <v>14</v>
      </c>
      <c r="G364" s="75"/>
      <c r="H364" s="75">
        <v>300</v>
      </c>
      <c r="I364" s="78">
        <f t="shared" si="32"/>
        <v>7305.3600000000006</v>
      </c>
      <c r="J364">
        <f t="shared" si="30"/>
        <v>1694.6399999999994</v>
      </c>
      <c r="L364" s="2">
        <f t="shared" si="31"/>
        <v>26.2</v>
      </c>
    </row>
    <row r="365" spans="1:16" s="31" customFormat="1" x14ac:dyDescent="0.3">
      <c r="A365" s="3">
        <v>44802</v>
      </c>
      <c r="B365" s="11" t="s">
        <v>2457</v>
      </c>
      <c r="C365" s="106" t="s">
        <v>2551</v>
      </c>
      <c r="D365" s="106"/>
      <c r="E365" s="94"/>
      <c r="F365" s="15">
        <v>224113023882</v>
      </c>
      <c r="G365" s="75"/>
      <c r="H365" s="75">
        <v>6000</v>
      </c>
      <c r="I365" s="78">
        <f t="shared" si="32"/>
        <v>1305.3600000000006</v>
      </c>
      <c r="J365">
        <f t="shared" si="30"/>
        <v>7694.6399999999994</v>
      </c>
      <c r="L365" s="2">
        <f t="shared" si="31"/>
        <v>20</v>
      </c>
    </row>
    <row r="366" spans="1:16" x14ac:dyDescent="0.3">
      <c r="A366" s="3">
        <v>44802</v>
      </c>
      <c r="B366" s="11" t="s">
        <v>1160</v>
      </c>
      <c r="C366" s="106" t="s">
        <v>2552</v>
      </c>
      <c r="F366" s="15"/>
      <c r="G366" s="2">
        <v>1000</v>
      </c>
      <c r="I366" s="78">
        <f t="shared" si="32"/>
        <v>2305.3600000000006</v>
      </c>
      <c r="J366">
        <f t="shared" si="30"/>
        <v>6694.6399999999994</v>
      </c>
      <c r="L366" s="2">
        <f t="shared" si="31"/>
        <v>4</v>
      </c>
      <c r="O366" s="79"/>
      <c r="P366" s="79"/>
    </row>
    <row r="367" spans="1:16" x14ac:dyDescent="0.3">
      <c r="A367" s="3">
        <v>44802</v>
      </c>
      <c r="B367" s="11" t="s">
        <v>1472</v>
      </c>
      <c r="C367" s="106" t="s">
        <v>2333</v>
      </c>
      <c r="D367" s="50">
        <v>7480052292</v>
      </c>
      <c r="F367" s="15">
        <v>224114346227</v>
      </c>
      <c r="G367" s="2">
        <v>1000</v>
      </c>
      <c r="I367" s="78">
        <f t="shared" si="32"/>
        <v>3305.3600000000006</v>
      </c>
      <c r="J367">
        <f t="shared" si="30"/>
        <v>5694.6399999999994</v>
      </c>
      <c r="L367" s="2">
        <f t="shared" si="31"/>
        <v>4</v>
      </c>
      <c r="O367" s="79"/>
      <c r="P367" s="79"/>
    </row>
    <row r="368" spans="1:16" x14ac:dyDescent="0.3">
      <c r="A368" s="3">
        <v>44802</v>
      </c>
      <c r="B368" s="11" t="s">
        <v>1250</v>
      </c>
      <c r="C368" s="106" t="s">
        <v>2553</v>
      </c>
      <c r="F368" s="15">
        <v>224117398615</v>
      </c>
      <c r="G368" s="2">
        <v>10000</v>
      </c>
      <c r="I368" s="78">
        <f t="shared" si="32"/>
        <v>13305.36</v>
      </c>
      <c r="J368">
        <f t="shared" si="30"/>
        <v>-4305.3600000000006</v>
      </c>
      <c r="L368" s="2">
        <f t="shared" si="31"/>
        <v>20</v>
      </c>
      <c r="O368" s="79"/>
      <c r="P368" s="79"/>
    </row>
    <row r="369" spans="1:16" x14ac:dyDescent="0.3">
      <c r="A369" s="3">
        <v>44802</v>
      </c>
      <c r="B369" s="11" t="s">
        <v>1250</v>
      </c>
      <c r="C369" s="106" t="s">
        <v>2554</v>
      </c>
      <c r="F369" s="15"/>
      <c r="G369" s="2">
        <v>5000</v>
      </c>
      <c r="I369" s="78">
        <f t="shared" ref="I369:I377" si="33">I368+G369-H369</f>
        <v>18305.36</v>
      </c>
      <c r="J369">
        <f t="shared" si="30"/>
        <v>-9305.36</v>
      </c>
      <c r="L369" s="2">
        <f t="shared" si="31"/>
        <v>20</v>
      </c>
      <c r="O369" s="79"/>
      <c r="P369" s="79"/>
    </row>
    <row r="370" spans="1:16" x14ac:dyDescent="0.3">
      <c r="A370" s="3">
        <v>44802</v>
      </c>
      <c r="B370" s="11" t="s">
        <v>1257</v>
      </c>
      <c r="C370" s="106" t="s">
        <v>2274</v>
      </c>
      <c r="F370" s="15"/>
      <c r="H370" s="2">
        <v>5000</v>
      </c>
      <c r="I370" s="78">
        <f t="shared" si="33"/>
        <v>13305.36</v>
      </c>
      <c r="J370">
        <f t="shared" si="30"/>
        <v>-4305.3600000000006</v>
      </c>
      <c r="L370" s="2">
        <f t="shared" si="31"/>
        <v>20</v>
      </c>
      <c r="O370" s="79"/>
      <c r="P370" s="79"/>
    </row>
    <row r="371" spans="1:16" x14ac:dyDescent="0.3">
      <c r="A371" s="33">
        <v>44802</v>
      </c>
      <c r="B371" s="174" t="s">
        <v>2574</v>
      </c>
      <c r="C371" s="106" t="s">
        <v>2558</v>
      </c>
      <c r="E371" s="90" t="s">
        <v>16</v>
      </c>
      <c r="F371" s="15"/>
      <c r="H371" s="2">
        <v>100</v>
      </c>
      <c r="I371" s="78">
        <f t="shared" si="33"/>
        <v>13205.36</v>
      </c>
      <c r="J371">
        <f t="shared" si="30"/>
        <v>-4205.3600000000006</v>
      </c>
      <c r="L371" s="2">
        <f t="shared" si="31"/>
        <v>25.4</v>
      </c>
      <c r="O371" s="79"/>
      <c r="P371" s="79"/>
    </row>
    <row r="372" spans="1:16" x14ac:dyDescent="0.3">
      <c r="A372" s="33">
        <v>44802</v>
      </c>
      <c r="B372" s="174" t="s">
        <v>2575</v>
      </c>
      <c r="C372" s="106" t="s">
        <v>2560</v>
      </c>
      <c r="E372" s="90" t="s">
        <v>16</v>
      </c>
      <c r="F372" s="15"/>
      <c r="H372" s="2">
        <v>100</v>
      </c>
      <c r="I372" s="78">
        <f t="shared" si="33"/>
        <v>13105.36</v>
      </c>
      <c r="J372">
        <f t="shared" si="30"/>
        <v>-4105.3600000000006</v>
      </c>
      <c r="L372" s="2">
        <f t="shared" si="31"/>
        <v>25.4</v>
      </c>
      <c r="O372" s="79"/>
      <c r="P372" s="79"/>
    </row>
    <row r="373" spans="1:16" x14ac:dyDescent="0.3">
      <c r="A373" s="33">
        <v>44802</v>
      </c>
      <c r="B373" s="174" t="s">
        <v>2576</v>
      </c>
      <c r="C373" s="106" t="s">
        <v>2561</v>
      </c>
      <c r="E373" s="90" t="s">
        <v>16</v>
      </c>
      <c r="F373" s="15"/>
      <c r="H373" s="2">
        <v>150</v>
      </c>
      <c r="I373" s="78">
        <f t="shared" si="33"/>
        <v>12955.36</v>
      </c>
      <c r="J373">
        <f t="shared" si="30"/>
        <v>-3955.3600000000006</v>
      </c>
      <c r="L373" s="2">
        <f t="shared" si="31"/>
        <v>25.6</v>
      </c>
      <c r="O373" s="79"/>
      <c r="P373" s="79"/>
    </row>
    <row r="374" spans="1:16" x14ac:dyDescent="0.3">
      <c r="A374" s="33">
        <v>44803</v>
      </c>
      <c r="B374" s="174" t="s">
        <v>1257</v>
      </c>
      <c r="C374" s="106" t="s">
        <v>2274</v>
      </c>
      <c r="F374" s="15">
        <v>224210974296</v>
      </c>
      <c r="H374" s="2">
        <v>5000</v>
      </c>
      <c r="I374" s="78">
        <f t="shared" si="33"/>
        <v>7955.3600000000006</v>
      </c>
      <c r="J374">
        <f t="shared" si="30"/>
        <v>1044.6399999999994</v>
      </c>
      <c r="L374" s="2">
        <f t="shared" si="31"/>
        <v>20</v>
      </c>
      <c r="O374" s="79"/>
      <c r="P374" s="79"/>
    </row>
    <row r="375" spans="1:16" x14ac:dyDescent="0.3">
      <c r="A375" s="33">
        <v>44803</v>
      </c>
      <c r="B375" s="174" t="s">
        <v>2185</v>
      </c>
      <c r="C375" s="106" t="s">
        <v>2577</v>
      </c>
      <c r="F375" s="15"/>
      <c r="H375" s="2">
        <v>900</v>
      </c>
      <c r="I375" s="78">
        <f t="shared" si="33"/>
        <v>7055.3600000000006</v>
      </c>
      <c r="J375">
        <f t="shared" si="30"/>
        <v>1944.6399999999994</v>
      </c>
      <c r="L375" s="2">
        <f t="shared" si="31"/>
        <v>3.6</v>
      </c>
      <c r="O375" s="79"/>
      <c r="P375" s="79"/>
    </row>
    <row r="376" spans="1:16" x14ac:dyDescent="0.3">
      <c r="A376" s="33">
        <v>37499</v>
      </c>
      <c r="B376" s="174" t="s">
        <v>2578</v>
      </c>
      <c r="C376" s="106" t="s">
        <v>2579</v>
      </c>
      <c r="E376" s="90" t="s">
        <v>16</v>
      </c>
      <c r="F376" s="15">
        <v>224310683150</v>
      </c>
      <c r="H376" s="2">
        <v>200</v>
      </c>
      <c r="I376" s="78">
        <f t="shared" si="33"/>
        <v>6855.3600000000006</v>
      </c>
      <c r="J376">
        <f t="shared" si="30"/>
        <v>2144.6399999999994</v>
      </c>
      <c r="L376" s="2">
        <f t="shared" si="31"/>
        <v>25.8</v>
      </c>
      <c r="N376">
        <v>7505.61</v>
      </c>
      <c r="O376" s="79"/>
      <c r="P376" s="79"/>
    </row>
    <row r="377" spans="1:16" x14ac:dyDescent="0.3">
      <c r="A377" s="33">
        <v>37499</v>
      </c>
      <c r="B377" s="174" t="s">
        <v>2593</v>
      </c>
      <c r="C377" s="106" t="s">
        <v>2582</v>
      </c>
      <c r="E377" s="90" t="s">
        <v>16</v>
      </c>
      <c r="F377" s="15"/>
      <c r="H377" s="2">
        <v>150</v>
      </c>
      <c r="I377" s="78">
        <f t="shared" si="33"/>
        <v>6705.3600000000006</v>
      </c>
      <c r="J377">
        <f t="shared" si="30"/>
        <v>2294.6399999999994</v>
      </c>
      <c r="L377" s="2">
        <f t="shared" si="31"/>
        <v>25.6</v>
      </c>
      <c r="O377" s="79"/>
      <c r="P377" s="79"/>
    </row>
    <row r="378" spans="1:16" x14ac:dyDescent="0.3">
      <c r="A378" s="33">
        <v>37499</v>
      </c>
      <c r="B378" s="174" t="s">
        <v>2596</v>
      </c>
      <c r="C378" s="106" t="s">
        <v>2597</v>
      </c>
      <c r="E378" s="90" t="s">
        <v>16</v>
      </c>
      <c r="H378" s="2">
        <v>0</v>
      </c>
      <c r="I378" s="78">
        <f>I377+G378-H378</f>
        <v>6705.3600000000006</v>
      </c>
      <c r="J378">
        <f t="shared" si="30"/>
        <v>2294.6399999999994</v>
      </c>
      <c r="L378" s="2">
        <f t="shared" si="31"/>
        <v>25</v>
      </c>
      <c r="O378" s="79"/>
      <c r="P378" s="79"/>
    </row>
    <row r="379" spans="1:16" x14ac:dyDescent="0.3">
      <c r="A379" s="33">
        <v>37499</v>
      </c>
      <c r="B379" s="174" t="s">
        <v>2594</v>
      </c>
      <c r="C379" s="106" t="s">
        <v>2595</v>
      </c>
      <c r="D379" s="50">
        <v>9801647764</v>
      </c>
      <c r="F379" s="15">
        <v>224313634344</v>
      </c>
      <c r="G379" s="2">
        <v>1000</v>
      </c>
      <c r="I379" s="78">
        <f>I378+G379-H379</f>
        <v>7705.3600000000006</v>
      </c>
      <c r="J379">
        <f t="shared" si="30"/>
        <v>1294.6399999999994</v>
      </c>
      <c r="L379" s="2">
        <f t="shared" si="31"/>
        <v>4</v>
      </c>
      <c r="O379" s="79"/>
      <c r="P379" s="79"/>
    </row>
    <row r="380" spans="1:16" x14ac:dyDescent="0.3">
      <c r="A380" s="33">
        <v>37499</v>
      </c>
      <c r="B380" s="174" t="s">
        <v>2337</v>
      </c>
      <c r="C380" s="106" t="s">
        <v>2442</v>
      </c>
      <c r="F380" s="15"/>
      <c r="G380" s="2">
        <v>4500</v>
      </c>
      <c r="I380" s="78">
        <f>I379+G380-H380</f>
        <v>12205.36</v>
      </c>
      <c r="J380">
        <f t="shared" si="30"/>
        <v>-3205.3600000000006</v>
      </c>
      <c r="L380" s="2">
        <f t="shared" si="31"/>
        <v>18</v>
      </c>
      <c r="O380" s="79"/>
      <c r="P380" s="79"/>
    </row>
    <row r="381" spans="1:16" s="29" customFormat="1" ht="13.8" x14ac:dyDescent="0.25">
      <c r="A381" s="32"/>
      <c r="B381" s="173"/>
      <c r="C381" s="105"/>
      <c r="D381" s="105"/>
      <c r="E381" s="95"/>
      <c r="G381" s="45"/>
      <c r="H381" s="45"/>
      <c r="I381" s="45"/>
      <c r="L381" s="45"/>
    </row>
    <row r="382" spans="1:16" x14ac:dyDescent="0.3">
      <c r="A382" s="3"/>
      <c r="F382" s="15"/>
      <c r="I382" s="78"/>
    </row>
    <row r="383" spans="1:16" x14ac:dyDescent="0.3">
      <c r="A383" s="77"/>
      <c r="B383" s="80"/>
      <c r="C383" s="112"/>
      <c r="D383" s="112"/>
      <c r="E383" s="92">
        <f>COUNTIF(E262:E382,"y")</f>
        <v>19</v>
      </c>
      <c r="F383" s="28">
        <f>G383+H383</f>
        <v>475459</v>
      </c>
      <c r="G383" s="81">
        <f>SUM(G262:G382)</f>
        <v>239209</v>
      </c>
      <c r="H383" s="81">
        <f>SUM(H261:H382)</f>
        <v>236250</v>
      </c>
      <c r="I383" s="81"/>
      <c r="J383" s="26"/>
      <c r="K383" s="26"/>
      <c r="L383" s="81">
        <f>SUM(L261:L382)</f>
        <v>1820.4360000000001</v>
      </c>
      <c r="M383" s="26">
        <f>SUM(M261:M382)</f>
        <v>0</v>
      </c>
      <c r="N383" s="26"/>
    </row>
    <row r="384" spans="1:16" x14ac:dyDescent="0.3">
      <c r="F384" s="15"/>
    </row>
    <row r="385" spans="1:18" x14ac:dyDescent="0.3">
      <c r="A385" s="3">
        <v>44805</v>
      </c>
      <c r="B385" s="11" t="s">
        <v>2598</v>
      </c>
      <c r="C385" s="65"/>
      <c r="F385" s="15"/>
      <c r="G385" s="78">
        <f>I380</f>
        <v>12205.36</v>
      </c>
      <c r="I385" s="78">
        <f t="shared" ref="I385:I468" si="34">I384+G385-H385</f>
        <v>12205.36</v>
      </c>
      <c r="J385">
        <f t="shared" ref="J385:J411" si="35">$J$1-I385</f>
        <v>-3205.3600000000006</v>
      </c>
      <c r="L385" s="2">
        <f t="shared" ref="L385:L416" si="36">IF((G385+H385)&lt;=5000,(H385+G385)*0.004,20)+IF(E385="Y",25,0)</f>
        <v>20</v>
      </c>
    </row>
    <row r="386" spans="1:18" x14ac:dyDescent="0.3">
      <c r="A386" s="3">
        <v>44805</v>
      </c>
      <c r="B386" s="11" t="s">
        <v>1472</v>
      </c>
      <c r="C386" s="50" t="s">
        <v>2488</v>
      </c>
      <c r="D386" s="50">
        <v>8797783108</v>
      </c>
      <c r="F386" s="15">
        <v>224410824349</v>
      </c>
      <c r="G386" s="2">
        <v>5000</v>
      </c>
      <c r="H386" s="2">
        <v>0</v>
      </c>
      <c r="I386" s="78">
        <f t="shared" si="34"/>
        <v>17205.36</v>
      </c>
      <c r="J386">
        <f t="shared" si="35"/>
        <v>-8205.36</v>
      </c>
      <c r="L386" s="2">
        <f t="shared" si="36"/>
        <v>20</v>
      </c>
    </row>
    <row r="387" spans="1:18" x14ac:dyDescent="0.3">
      <c r="A387" s="3">
        <v>44805</v>
      </c>
      <c r="B387" s="11" t="s">
        <v>2140</v>
      </c>
      <c r="C387" s="50" t="s">
        <v>1279</v>
      </c>
      <c r="F387" s="15"/>
      <c r="H387" s="2">
        <v>10000</v>
      </c>
      <c r="I387" s="78">
        <f t="shared" si="34"/>
        <v>7205.3600000000006</v>
      </c>
      <c r="J387">
        <f t="shared" si="35"/>
        <v>1794.6399999999994</v>
      </c>
      <c r="L387" s="2">
        <f t="shared" si="36"/>
        <v>20</v>
      </c>
    </row>
    <row r="388" spans="1:18" x14ac:dyDescent="0.3">
      <c r="C388" s="50" t="s">
        <v>2600</v>
      </c>
      <c r="F388" s="15"/>
      <c r="G388" s="2">
        <v>800</v>
      </c>
      <c r="I388" s="78">
        <f t="shared" si="34"/>
        <v>8005.3600000000006</v>
      </c>
      <c r="J388">
        <f t="shared" si="35"/>
        <v>994.63999999999942</v>
      </c>
      <c r="L388" s="2">
        <f t="shared" si="36"/>
        <v>3.2</v>
      </c>
      <c r="R388" s="79"/>
    </row>
    <row r="389" spans="1:18" x14ac:dyDescent="0.3">
      <c r="A389" s="3">
        <v>44805</v>
      </c>
      <c r="B389" s="11" t="s">
        <v>2599</v>
      </c>
      <c r="C389" s="50" t="s">
        <v>1644</v>
      </c>
      <c r="D389" s="104"/>
      <c r="E389" s="93"/>
      <c r="F389" s="15">
        <v>224418792821</v>
      </c>
      <c r="G389" s="46"/>
      <c r="H389" s="46">
        <v>2500</v>
      </c>
      <c r="I389" s="78">
        <f t="shared" si="34"/>
        <v>5505.3600000000006</v>
      </c>
      <c r="J389">
        <f t="shared" si="35"/>
        <v>3494.6399999999994</v>
      </c>
      <c r="K389" s="30"/>
      <c r="L389" s="2">
        <f t="shared" si="36"/>
        <v>10</v>
      </c>
      <c r="M389" s="30"/>
      <c r="N389" s="29"/>
    </row>
    <row r="390" spans="1:18" x14ac:dyDescent="0.3">
      <c r="A390" s="3">
        <v>44805</v>
      </c>
      <c r="B390" s="173" t="s">
        <v>2601</v>
      </c>
      <c r="C390" s="104" t="s">
        <v>2602</v>
      </c>
      <c r="D390" s="104"/>
      <c r="E390" s="93"/>
      <c r="F390" s="15">
        <v>224418797925</v>
      </c>
      <c r="G390" s="46"/>
      <c r="H390" s="46">
        <v>1000</v>
      </c>
      <c r="I390" s="78">
        <f t="shared" si="34"/>
        <v>4505.3600000000006</v>
      </c>
      <c r="J390">
        <f t="shared" si="35"/>
        <v>4494.6399999999994</v>
      </c>
      <c r="K390" s="30"/>
      <c r="L390" s="46">
        <f t="shared" si="36"/>
        <v>4</v>
      </c>
      <c r="M390" s="30"/>
      <c r="N390" s="29"/>
    </row>
    <row r="391" spans="1:18" x14ac:dyDescent="0.3">
      <c r="A391" s="102">
        <v>44806</v>
      </c>
      <c r="B391" s="173" t="s">
        <v>2607</v>
      </c>
      <c r="C391" s="104" t="s">
        <v>2608</v>
      </c>
      <c r="D391" s="104"/>
      <c r="E391" s="93" t="s">
        <v>16</v>
      </c>
      <c r="F391" s="15"/>
      <c r="G391" s="46"/>
      <c r="H391" s="46">
        <v>100</v>
      </c>
      <c r="I391" s="78">
        <f t="shared" si="34"/>
        <v>4405.3600000000006</v>
      </c>
      <c r="J391">
        <f t="shared" si="35"/>
        <v>4594.6399999999994</v>
      </c>
      <c r="K391" s="30"/>
      <c r="L391" s="46">
        <f t="shared" si="36"/>
        <v>25.4</v>
      </c>
      <c r="M391" s="30"/>
      <c r="N391" s="29"/>
    </row>
    <row r="392" spans="1:18" x14ac:dyDescent="0.3">
      <c r="A392" s="102">
        <v>44806</v>
      </c>
      <c r="B392" s="173"/>
      <c r="C392" s="104" t="s">
        <v>2609</v>
      </c>
      <c r="D392" s="104"/>
      <c r="E392" s="93"/>
      <c r="F392" s="15">
        <v>224519899533</v>
      </c>
      <c r="G392" s="46">
        <v>5000</v>
      </c>
      <c r="H392" s="46"/>
      <c r="I392" s="78">
        <f t="shared" si="34"/>
        <v>9405.36</v>
      </c>
      <c r="J392">
        <f t="shared" si="35"/>
        <v>-405.36000000000058</v>
      </c>
      <c r="K392" s="30"/>
      <c r="L392" s="46">
        <f t="shared" si="36"/>
        <v>20</v>
      </c>
      <c r="M392" s="30"/>
      <c r="N392" s="29"/>
    </row>
    <row r="393" spans="1:18" x14ac:dyDescent="0.3">
      <c r="A393" s="102">
        <v>44806</v>
      </c>
      <c r="B393" s="173" t="s">
        <v>2460</v>
      </c>
      <c r="C393" s="104" t="s">
        <v>2021</v>
      </c>
      <c r="D393" s="104"/>
      <c r="E393" s="93"/>
      <c r="F393" s="15">
        <v>224519906618</v>
      </c>
      <c r="G393" s="46">
        <v>1000</v>
      </c>
      <c r="H393" s="46"/>
      <c r="I393" s="78">
        <f t="shared" si="34"/>
        <v>10405.36</v>
      </c>
      <c r="J393">
        <f t="shared" si="35"/>
        <v>-1405.3600000000006</v>
      </c>
      <c r="K393" s="30"/>
      <c r="L393" s="46">
        <f t="shared" si="36"/>
        <v>4</v>
      </c>
      <c r="M393" s="30"/>
      <c r="N393" s="29"/>
    </row>
    <row r="394" spans="1:18" x14ac:dyDescent="0.3">
      <c r="A394" s="102">
        <v>44807</v>
      </c>
      <c r="B394" s="173" t="s">
        <v>1472</v>
      </c>
      <c r="C394" s="104" t="s">
        <v>2488</v>
      </c>
      <c r="D394" s="104"/>
      <c r="E394" s="93"/>
      <c r="F394" s="15">
        <v>224610570638</v>
      </c>
      <c r="G394" s="46">
        <v>5000</v>
      </c>
      <c r="H394" s="46"/>
      <c r="I394" s="78">
        <f t="shared" si="34"/>
        <v>15405.36</v>
      </c>
      <c r="J394">
        <f t="shared" si="35"/>
        <v>-6405.3600000000006</v>
      </c>
      <c r="K394" s="30"/>
      <c r="L394" s="46">
        <f t="shared" si="36"/>
        <v>20</v>
      </c>
      <c r="M394" s="30"/>
      <c r="N394" s="29"/>
    </row>
    <row r="395" spans="1:18" x14ac:dyDescent="0.3">
      <c r="A395" s="102">
        <v>44807</v>
      </c>
      <c r="B395" s="174" t="s">
        <v>1250</v>
      </c>
      <c r="C395" s="106" t="s">
        <v>2609</v>
      </c>
      <c r="D395" s="106"/>
      <c r="E395" s="94"/>
      <c r="F395" s="15">
        <v>224610646171</v>
      </c>
      <c r="G395" s="75">
        <v>10000</v>
      </c>
      <c r="H395" s="75"/>
      <c r="I395" s="75">
        <f t="shared" si="34"/>
        <v>25405.360000000001</v>
      </c>
      <c r="J395" s="31">
        <f t="shared" si="35"/>
        <v>-16405.36</v>
      </c>
      <c r="L395" s="2">
        <f t="shared" si="36"/>
        <v>20</v>
      </c>
    </row>
    <row r="396" spans="1:18" x14ac:dyDescent="0.3">
      <c r="A396" s="102">
        <v>44807</v>
      </c>
      <c r="B396" s="174" t="s">
        <v>1472</v>
      </c>
      <c r="C396" s="106" t="s">
        <v>2339</v>
      </c>
      <c r="D396" s="106"/>
      <c r="E396" s="94"/>
      <c r="F396" s="31"/>
      <c r="G396" s="75">
        <v>10000</v>
      </c>
      <c r="H396" s="75"/>
      <c r="I396" s="75">
        <f t="shared" si="34"/>
        <v>35405.360000000001</v>
      </c>
      <c r="J396" s="31">
        <f t="shared" si="35"/>
        <v>-26405.360000000001</v>
      </c>
      <c r="L396" s="2">
        <f t="shared" si="36"/>
        <v>20</v>
      </c>
    </row>
    <row r="397" spans="1:18" x14ac:dyDescent="0.3">
      <c r="A397" s="102">
        <v>44807</v>
      </c>
      <c r="B397" s="174" t="s">
        <v>2140</v>
      </c>
      <c r="C397" s="106" t="s">
        <v>1279</v>
      </c>
      <c r="D397" s="106"/>
      <c r="E397" s="94"/>
      <c r="F397" s="31"/>
      <c r="G397" s="75"/>
      <c r="H397" s="75">
        <v>10000</v>
      </c>
      <c r="I397" s="75">
        <f t="shared" si="34"/>
        <v>25405.360000000001</v>
      </c>
      <c r="J397" s="31">
        <f t="shared" si="35"/>
        <v>-16405.36</v>
      </c>
      <c r="L397" s="2">
        <f t="shared" si="36"/>
        <v>20</v>
      </c>
    </row>
    <row r="398" spans="1:18" x14ac:dyDescent="0.3">
      <c r="A398" s="102">
        <v>44807</v>
      </c>
      <c r="B398" s="11" t="s">
        <v>1160</v>
      </c>
      <c r="C398" s="50" t="s">
        <v>2438</v>
      </c>
      <c r="D398" s="50">
        <v>9110951992</v>
      </c>
      <c r="F398" s="15">
        <v>224613783625</v>
      </c>
      <c r="G398" s="2">
        <v>5000</v>
      </c>
      <c r="I398" s="75">
        <f t="shared" si="34"/>
        <v>30405.360000000001</v>
      </c>
      <c r="J398" s="31">
        <f t="shared" si="35"/>
        <v>-21405.360000000001</v>
      </c>
      <c r="L398" s="2">
        <f t="shared" si="36"/>
        <v>20</v>
      </c>
    </row>
    <row r="399" spans="1:18" x14ac:dyDescent="0.3">
      <c r="A399" s="102">
        <v>44807</v>
      </c>
      <c r="B399" s="11" t="s">
        <v>1472</v>
      </c>
      <c r="C399" s="50" t="s">
        <v>2611</v>
      </c>
      <c r="D399" s="50">
        <v>8757705789</v>
      </c>
      <c r="F399" s="15">
        <v>224617937704</v>
      </c>
      <c r="G399" s="2">
        <v>10000</v>
      </c>
      <c r="I399" s="75">
        <f t="shared" si="34"/>
        <v>40405.360000000001</v>
      </c>
      <c r="J399" s="31">
        <f t="shared" si="35"/>
        <v>-31405.360000000001</v>
      </c>
      <c r="L399" s="2">
        <f t="shared" si="36"/>
        <v>20</v>
      </c>
      <c r="O399">
        <v>40355.61</v>
      </c>
    </row>
    <row r="400" spans="1:18" x14ac:dyDescent="0.3">
      <c r="A400" s="3">
        <v>44809</v>
      </c>
      <c r="B400" s="11" t="s">
        <v>1257</v>
      </c>
      <c r="C400" s="50" t="s">
        <v>2274</v>
      </c>
      <c r="F400" s="15">
        <v>224809708127</v>
      </c>
      <c r="H400" s="2">
        <v>9000</v>
      </c>
      <c r="I400" s="75">
        <f t="shared" si="34"/>
        <v>31405.360000000001</v>
      </c>
      <c r="J400" s="31">
        <f t="shared" si="35"/>
        <v>-22405.360000000001</v>
      </c>
      <c r="L400" s="2">
        <f t="shared" si="36"/>
        <v>20</v>
      </c>
    </row>
    <row r="401" spans="1:12" x14ac:dyDescent="0.3">
      <c r="A401" s="3">
        <v>44809</v>
      </c>
      <c r="B401" s="11" t="s">
        <v>2140</v>
      </c>
      <c r="C401" s="50" t="s">
        <v>2612</v>
      </c>
      <c r="F401" s="15"/>
      <c r="H401" s="2">
        <v>10000</v>
      </c>
      <c r="I401" s="75">
        <f t="shared" si="34"/>
        <v>21405.360000000001</v>
      </c>
      <c r="J401" s="31">
        <f t="shared" si="35"/>
        <v>-12405.36</v>
      </c>
      <c r="L401" s="2">
        <f t="shared" si="36"/>
        <v>20</v>
      </c>
    </row>
    <row r="402" spans="1:12" x14ac:dyDescent="0.3">
      <c r="A402" s="3">
        <v>44809</v>
      </c>
      <c r="B402" s="11" t="s">
        <v>2613</v>
      </c>
      <c r="F402"/>
      <c r="H402" s="2">
        <v>1000</v>
      </c>
      <c r="I402" s="75">
        <f t="shared" si="34"/>
        <v>20405.36</v>
      </c>
      <c r="J402" s="31">
        <f t="shared" si="35"/>
        <v>-11405.36</v>
      </c>
      <c r="L402" s="2">
        <f t="shared" si="36"/>
        <v>4</v>
      </c>
    </row>
    <row r="403" spans="1:12" x14ac:dyDescent="0.3">
      <c r="A403" s="3">
        <v>44809</v>
      </c>
      <c r="B403" s="11" t="s">
        <v>2614</v>
      </c>
      <c r="C403" s="50" t="s">
        <v>2615</v>
      </c>
      <c r="D403" s="50">
        <v>7488927596</v>
      </c>
      <c r="F403" s="15">
        <v>224812092269</v>
      </c>
      <c r="H403" s="74">
        <v>500</v>
      </c>
      <c r="I403" s="75">
        <f t="shared" si="34"/>
        <v>19905.36</v>
      </c>
      <c r="J403" s="31">
        <f t="shared" si="35"/>
        <v>-10905.36</v>
      </c>
      <c r="L403" s="2">
        <f t="shared" si="36"/>
        <v>2</v>
      </c>
    </row>
    <row r="404" spans="1:12" x14ac:dyDescent="0.3">
      <c r="A404" s="3">
        <v>44809</v>
      </c>
      <c r="B404" s="11" t="s">
        <v>1250</v>
      </c>
      <c r="C404" s="50" t="s">
        <v>2609</v>
      </c>
      <c r="F404" s="15">
        <v>224817849536</v>
      </c>
      <c r="G404" s="2">
        <v>5000</v>
      </c>
      <c r="I404" s="75">
        <f t="shared" si="34"/>
        <v>24905.360000000001</v>
      </c>
      <c r="J404" s="31">
        <f t="shared" si="35"/>
        <v>-15905.36</v>
      </c>
      <c r="L404" s="2">
        <f t="shared" si="36"/>
        <v>20</v>
      </c>
    </row>
    <row r="405" spans="1:12" x14ac:dyDescent="0.3">
      <c r="A405" s="3">
        <v>44809</v>
      </c>
      <c r="B405" s="11" t="s">
        <v>1250</v>
      </c>
      <c r="C405" s="50" t="s">
        <v>2616</v>
      </c>
      <c r="F405" s="15"/>
      <c r="G405" s="2">
        <v>200</v>
      </c>
      <c r="I405" s="75">
        <f t="shared" si="34"/>
        <v>25105.360000000001</v>
      </c>
      <c r="J405" s="31">
        <f t="shared" si="35"/>
        <v>-16105.36</v>
      </c>
      <c r="L405" s="2">
        <f t="shared" si="36"/>
        <v>0.8</v>
      </c>
    </row>
    <row r="406" spans="1:12" x14ac:dyDescent="0.3">
      <c r="A406" s="3">
        <v>44809</v>
      </c>
      <c r="B406" s="11" t="s">
        <v>1250</v>
      </c>
      <c r="F406" s="15">
        <v>244817875830</v>
      </c>
      <c r="G406" s="2">
        <v>100</v>
      </c>
      <c r="I406" s="75">
        <f t="shared" si="34"/>
        <v>25205.360000000001</v>
      </c>
      <c r="J406" s="31">
        <f t="shared" si="35"/>
        <v>-16205.36</v>
      </c>
      <c r="L406" s="2">
        <f t="shared" si="36"/>
        <v>0.4</v>
      </c>
    </row>
    <row r="407" spans="1:12" x14ac:dyDescent="0.3">
      <c r="A407" s="3">
        <v>44810</v>
      </c>
      <c r="B407" s="11" t="s">
        <v>1250</v>
      </c>
      <c r="C407" s="50" t="s">
        <v>633</v>
      </c>
      <c r="D407" s="50">
        <v>9113364784</v>
      </c>
      <c r="F407" s="15"/>
      <c r="H407" s="2">
        <v>3000</v>
      </c>
      <c r="I407" s="75">
        <f t="shared" si="34"/>
        <v>22205.360000000001</v>
      </c>
      <c r="J407" s="31">
        <f t="shared" si="35"/>
        <v>-13205.36</v>
      </c>
      <c r="L407" s="2">
        <f t="shared" si="36"/>
        <v>12</v>
      </c>
    </row>
    <row r="408" spans="1:12" x14ac:dyDescent="0.3">
      <c r="A408" s="3">
        <v>44810</v>
      </c>
      <c r="B408" s="11" t="s">
        <v>1250</v>
      </c>
      <c r="F408" s="15"/>
      <c r="H408" s="2">
        <v>10000</v>
      </c>
      <c r="I408" s="75">
        <f t="shared" si="34"/>
        <v>12205.36</v>
      </c>
      <c r="J408" s="31">
        <f t="shared" si="35"/>
        <v>-3205.3600000000006</v>
      </c>
      <c r="L408" s="2">
        <f t="shared" si="36"/>
        <v>20</v>
      </c>
    </row>
    <row r="409" spans="1:12" x14ac:dyDescent="0.3">
      <c r="A409" s="3">
        <v>44810</v>
      </c>
      <c r="B409" s="11" t="s">
        <v>1472</v>
      </c>
      <c r="C409" s="50" t="s">
        <v>2611</v>
      </c>
      <c r="D409" s="50">
        <v>8757705789</v>
      </c>
      <c r="F409" s="15">
        <v>224914983960</v>
      </c>
      <c r="G409" s="2">
        <v>10000</v>
      </c>
      <c r="I409" s="75">
        <f t="shared" si="34"/>
        <v>22205.360000000001</v>
      </c>
      <c r="J409" s="31">
        <f t="shared" si="35"/>
        <v>-13205.36</v>
      </c>
      <c r="L409" s="2">
        <f t="shared" si="36"/>
        <v>20</v>
      </c>
    </row>
    <row r="410" spans="1:12" x14ac:dyDescent="0.3">
      <c r="A410" s="3">
        <v>44810</v>
      </c>
      <c r="B410" s="11" t="s">
        <v>2140</v>
      </c>
      <c r="F410" s="15"/>
      <c r="H410" s="2">
        <v>10000</v>
      </c>
      <c r="I410" s="75">
        <f t="shared" si="34"/>
        <v>12205.36</v>
      </c>
      <c r="J410" s="31">
        <f t="shared" si="35"/>
        <v>-3205.3600000000006</v>
      </c>
      <c r="L410" s="2">
        <f t="shared" si="36"/>
        <v>20</v>
      </c>
    </row>
    <row r="411" spans="1:12" x14ac:dyDescent="0.3">
      <c r="A411" s="3">
        <v>44811</v>
      </c>
      <c r="B411" s="11" t="s">
        <v>2617</v>
      </c>
      <c r="C411" s="50" t="s">
        <v>2618</v>
      </c>
      <c r="F411" s="15">
        <v>225009947812</v>
      </c>
      <c r="H411" s="2">
        <v>1000</v>
      </c>
      <c r="I411" s="75">
        <f t="shared" si="34"/>
        <v>11205.36</v>
      </c>
      <c r="J411" s="31">
        <f t="shared" si="35"/>
        <v>-2205.3600000000006</v>
      </c>
      <c r="L411" s="2">
        <f t="shared" si="36"/>
        <v>4</v>
      </c>
    </row>
    <row r="412" spans="1:12" x14ac:dyDescent="0.3">
      <c r="A412" s="3">
        <v>44811</v>
      </c>
      <c r="B412" s="11" t="s">
        <v>1160</v>
      </c>
      <c r="C412" s="50" t="s">
        <v>2370</v>
      </c>
      <c r="F412" s="15">
        <v>225012042358</v>
      </c>
      <c r="G412" s="2">
        <v>4000</v>
      </c>
      <c r="I412" s="75">
        <f t="shared" si="34"/>
        <v>15205.36</v>
      </c>
      <c r="L412" s="2">
        <f t="shared" si="36"/>
        <v>16</v>
      </c>
    </row>
    <row r="413" spans="1:12" x14ac:dyDescent="0.3">
      <c r="A413" s="3">
        <v>44811</v>
      </c>
      <c r="B413" s="11" t="s">
        <v>2338</v>
      </c>
      <c r="C413" s="50" t="s">
        <v>1279</v>
      </c>
      <c r="F413" s="15">
        <v>225012055313</v>
      </c>
      <c r="H413" s="2">
        <v>10000</v>
      </c>
      <c r="I413" s="75">
        <f t="shared" si="34"/>
        <v>5205.3600000000006</v>
      </c>
      <c r="L413" s="2">
        <f t="shared" si="36"/>
        <v>20</v>
      </c>
    </row>
    <row r="414" spans="1:12" x14ac:dyDescent="0.3">
      <c r="A414" s="3">
        <v>44812</v>
      </c>
      <c r="B414" s="11" t="s">
        <v>2184</v>
      </c>
      <c r="C414" s="50" t="s">
        <v>577</v>
      </c>
      <c r="F414" s="15">
        <v>225111312363</v>
      </c>
      <c r="H414" s="2">
        <v>4200</v>
      </c>
      <c r="I414" s="75">
        <f t="shared" si="34"/>
        <v>1005.3600000000006</v>
      </c>
      <c r="L414" s="2">
        <f t="shared" si="36"/>
        <v>16.8</v>
      </c>
    </row>
    <row r="415" spans="1:12" x14ac:dyDescent="0.3">
      <c r="A415" s="3">
        <v>44812</v>
      </c>
      <c r="B415" s="11" t="s">
        <v>2346</v>
      </c>
      <c r="C415" s="50" t="s">
        <v>2456</v>
      </c>
      <c r="F415" s="15">
        <v>225111335338</v>
      </c>
      <c r="H415" s="2">
        <v>2000</v>
      </c>
      <c r="I415" s="75">
        <f t="shared" si="34"/>
        <v>-994.63999999999942</v>
      </c>
      <c r="L415" s="2">
        <f t="shared" si="36"/>
        <v>8</v>
      </c>
    </row>
    <row r="416" spans="1:12" x14ac:dyDescent="0.3">
      <c r="A416" s="3">
        <v>44812</v>
      </c>
      <c r="B416" s="11" t="s">
        <v>2286</v>
      </c>
      <c r="F416" s="15">
        <v>225111350140</v>
      </c>
      <c r="H416" s="2">
        <v>2400</v>
      </c>
      <c r="I416" s="75">
        <f t="shared" si="34"/>
        <v>-3394.6399999999994</v>
      </c>
      <c r="L416" s="2">
        <f t="shared" si="36"/>
        <v>9.6</v>
      </c>
    </row>
    <row r="417" spans="1:12" x14ac:dyDescent="0.3">
      <c r="A417" s="3">
        <v>44812</v>
      </c>
      <c r="B417" s="11" t="s">
        <v>2619</v>
      </c>
      <c r="F417" s="15">
        <v>225112072445</v>
      </c>
      <c r="G417" s="2">
        <v>1500</v>
      </c>
      <c r="I417" s="75">
        <f t="shared" si="34"/>
        <v>-1894.6399999999994</v>
      </c>
      <c r="L417" s="2">
        <f t="shared" ref="L417:L448" si="37">IF((G417+H417)&lt;=5000,(H417+G417)*0.004,20)+IF(E417="Y",25,0)</f>
        <v>6</v>
      </c>
    </row>
    <row r="418" spans="1:12" x14ac:dyDescent="0.3">
      <c r="A418" s="3">
        <v>44814</v>
      </c>
      <c r="B418" s="11" t="s">
        <v>1160</v>
      </c>
      <c r="C418" s="50" t="s">
        <v>2620</v>
      </c>
      <c r="D418" s="50">
        <v>6299129452</v>
      </c>
      <c r="F418" s="15">
        <v>225309336471</v>
      </c>
      <c r="G418" s="2">
        <v>800</v>
      </c>
      <c r="I418" s="75">
        <f t="shared" si="34"/>
        <v>-1094.6399999999994</v>
      </c>
      <c r="L418" s="2">
        <f t="shared" si="37"/>
        <v>3.2</v>
      </c>
    </row>
    <row r="419" spans="1:12" x14ac:dyDescent="0.3">
      <c r="A419" s="3">
        <v>44814</v>
      </c>
      <c r="B419" s="11" t="s">
        <v>2622</v>
      </c>
      <c r="C419" s="50" t="s">
        <v>2621</v>
      </c>
      <c r="D419" s="50">
        <v>6201309013</v>
      </c>
      <c r="F419" s="15">
        <v>225311984705</v>
      </c>
      <c r="G419" s="2">
        <v>2000</v>
      </c>
      <c r="I419" s="75">
        <f t="shared" si="34"/>
        <v>905.36000000000058</v>
      </c>
      <c r="L419" s="2">
        <f t="shared" si="37"/>
        <v>8</v>
      </c>
    </row>
    <row r="420" spans="1:12" x14ac:dyDescent="0.3">
      <c r="A420" s="3">
        <v>44814</v>
      </c>
      <c r="B420" s="11" t="s">
        <v>1257</v>
      </c>
      <c r="F420" s="15"/>
      <c r="H420" s="2">
        <v>5000</v>
      </c>
      <c r="I420" s="75">
        <f t="shared" si="34"/>
        <v>-4094.6399999999994</v>
      </c>
      <c r="L420" s="2">
        <f t="shared" si="37"/>
        <v>20</v>
      </c>
    </row>
    <row r="421" spans="1:12" x14ac:dyDescent="0.3">
      <c r="A421" s="3">
        <v>44814</v>
      </c>
      <c r="B421" s="11" t="s">
        <v>2623</v>
      </c>
      <c r="F421" s="15"/>
      <c r="H421" s="2">
        <v>500</v>
      </c>
      <c r="I421" s="75">
        <f t="shared" si="34"/>
        <v>-4594.6399999999994</v>
      </c>
      <c r="L421" s="2">
        <f t="shared" si="37"/>
        <v>2</v>
      </c>
    </row>
    <row r="422" spans="1:12" x14ac:dyDescent="0.3">
      <c r="A422" s="3">
        <v>44816</v>
      </c>
      <c r="B422" s="11" t="s">
        <v>2291</v>
      </c>
      <c r="C422" s="50" t="s">
        <v>2554</v>
      </c>
      <c r="D422" s="50">
        <v>7763928089</v>
      </c>
      <c r="F422" s="15">
        <v>225517336770</v>
      </c>
      <c r="G422" s="2">
        <v>1000</v>
      </c>
      <c r="I422" s="75">
        <f t="shared" si="34"/>
        <v>-3594.6399999999994</v>
      </c>
      <c r="L422" s="2">
        <f t="shared" si="37"/>
        <v>4</v>
      </c>
    </row>
    <row r="423" spans="1:12" x14ac:dyDescent="0.3">
      <c r="A423" s="3">
        <v>44817</v>
      </c>
      <c r="B423" s="11" t="s">
        <v>2232</v>
      </c>
      <c r="C423" s="50" t="s">
        <v>2233</v>
      </c>
      <c r="F423" s="15">
        <v>225613138824</v>
      </c>
      <c r="H423" s="2">
        <v>150</v>
      </c>
      <c r="I423" s="75">
        <f t="shared" si="34"/>
        <v>-3744.6399999999994</v>
      </c>
      <c r="L423" s="2">
        <f t="shared" si="37"/>
        <v>0.6</v>
      </c>
    </row>
    <row r="424" spans="1:12" x14ac:dyDescent="0.3">
      <c r="A424" s="3">
        <v>44817</v>
      </c>
      <c r="C424" s="50" t="s">
        <v>2624</v>
      </c>
      <c r="F424" s="15"/>
      <c r="H424" s="2">
        <v>29.5</v>
      </c>
      <c r="I424" s="75">
        <f t="shared" si="34"/>
        <v>-3774.1399999999994</v>
      </c>
      <c r="L424" s="2">
        <f t="shared" si="37"/>
        <v>0.11800000000000001</v>
      </c>
    </row>
    <row r="425" spans="1:12" x14ac:dyDescent="0.3">
      <c r="A425" s="3">
        <v>44817</v>
      </c>
      <c r="B425" s="11" t="s">
        <v>1472</v>
      </c>
      <c r="C425" s="50" t="s">
        <v>2385</v>
      </c>
      <c r="D425" s="50">
        <v>7480052292</v>
      </c>
      <c r="F425" s="15">
        <v>225614435708</v>
      </c>
      <c r="G425" s="2">
        <v>1000</v>
      </c>
      <c r="I425" s="75">
        <f t="shared" si="34"/>
        <v>-2774.1399999999994</v>
      </c>
      <c r="L425" s="2">
        <f t="shared" si="37"/>
        <v>4</v>
      </c>
    </row>
    <row r="426" spans="1:12" x14ac:dyDescent="0.3">
      <c r="A426" s="3">
        <v>44817</v>
      </c>
      <c r="B426" s="11" t="s">
        <v>1250</v>
      </c>
      <c r="C426" s="50" t="s">
        <v>2616</v>
      </c>
      <c r="F426" s="15">
        <v>225618745262</v>
      </c>
      <c r="G426" s="2">
        <v>8000</v>
      </c>
      <c r="I426" s="75">
        <f t="shared" si="34"/>
        <v>5225.8600000000006</v>
      </c>
      <c r="L426" s="2">
        <f t="shared" si="37"/>
        <v>20</v>
      </c>
    </row>
    <row r="427" spans="1:12" x14ac:dyDescent="0.3">
      <c r="A427" s="3">
        <v>44817</v>
      </c>
      <c r="B427" s="11" t="s">
        <v>2282</v>
      </c>
      <c r="C427" s="50" t="s">
        <v>1998</v>
      </c>
      <c r="F427" s="15"/>
      <c r="G427" s="2">
        <v>1000</v>
      </c>
      <c r="I427" s="75">
        <f t="shared" si="34"/>
        <v>6225.8600000000006</v>
      </c>
      <c r="L427" s="2">
        <f t="shared" si="37"/>
        <v>4</v>
      </c>
    </row>
    <row r="428" spans="1:12" x14ac:dyDescent="0.3">
      <c r="A428" s="3">
        <v>44818</v>
      </c>
      <c r="B428" s="11" t="s">
        <v>1160</v>
      </c>
      <c r="C428" s="50" t="s">
        <v>2625</v>
      </c>
      <c r="D428" s="50">
        <v>8809544365</v>
      </c>
      <c r="F428" s="15">
        <v>225717443795</v>
      </c>
      <c r="G428" s="2">
        <v>5000</v>
      </c>
      <c r="I428" s="75">
        <f t="shared" si="34"/>
        <v>11225.86</v>
      </c>
      <c r="L428" s="2">
        <f t="shared" si="37"/>
        <v>20</v>
      </c>
    </row>
    <row r="429" spans="1:12" x14ac:dyDescent="0.3">
      <c r="A429" s="3">
        <v>44818</v>
      </c>
      <c r="B429" s="11" t="s">
        <v>2291</v>
      </c>
      <c r="C429" s="50" t="s">
        <v>2554</v>
      </c>
      <c r="D429" s="50">
        <v>7763928089</v>
      </c>
      <c r="F429" s="15">
        <v>225717471488</v>
      </c>
      <c r="G429" s="2">
        <v>3950</v>
      </c>
      <c r="I429" s="75">
        <f t="shared" si="34"/>
        <v>15175.86</v>
      </c>
      <c r="L429" s="2">
        <f t="shared" si="37"/>
        <v>15.8</v>
      </c>
    </row>
    <row r="430" spans="1:12" x14ac:dyDescent="0.3">
      <c r="A430" s="3">
        <v>44818</v>
      </c>
      <c r="B430" s="11" t="s">
        <v>2140</v>
      </c>
      <c r="C430" s="50" t="s">
        <v>1279</v>
      </c>
      <c r="F430" s="15"/>
      <c r="H430" s="2">
        <v>10000</v>
      </c>
      <c r="I430" s="75">
        <f t="shared" si="34"/>
        <v>5175.8600000000006</v>
      </c>
      <c r="L430" s="2">
        <f t="shared" si="37"/>
        <v>20</v>
      </c>
    </row>
    <row r="431" spans="1:12" x14ac:dyDescent="0.3">
      <c r="A431" s="3">
        <v>44818</v>
      </c>
      <c r="B431" s="11" t="s">
        <v>1257</v>
      </c>
      <c r="C431" s="50" t="s">
        <v>2274</v>
      </c>
      <c r="F431" s="15">
        <v>225718577893</v>
      </c>
      <c r="H431" s="2">
        <v>5000</v>
      </c>
      <c r="I431" s="75">
        <f t="shared" si="34"/>
        <v>175.86000000000058</v>
      </c>
      <c r="L431" s="2">
        <f t="shared" si="37"/>
        <v>20</v>
      </c>
    </row>
    <row r="432" spans="1:12" x14ac:dyDescent="0.3">
      <c r="A432" s="3">
        <v>44820</v>
      </c>
      <c r="B432" s="11" t="s">
        <v>2180</v>
      </c>
      <c r="C432" s="50" t="s">
        <v>1599</v>
      </c>
      <c r="F432" s="15"/>
      <c r="G432" s="2">
        <v>5000</v>
      </c>
      <c r="I432" s="75">
        <f t="shared" si="34"/>
        <v>5175.8600000000006</v>
      </c>
      <c r="L432" s="2">
        <f t="shared" si="37"/>
        <v>20</v>
      </c>
    </row>
    <row r="433" spans="1:12" x14ac:dyDescent="0.3">
      <c r="A433" s="3">
        <v>44820</v>
      </c>
      <c r="B433" s="11" t="s">
        <v>2180</v>
      </c>
      <c r="C433" s="50" t="s">
        <v>1599</v>
      </c>
      <c r="F433" s="15"/>
      <c r="H433" s="74">
        <v>10000</v>
      </c>
      <c r="I433" s="75">
        <f t="shared" si="34"/>
        <v>-4824.1399999999994</v>
      </c>
      <c r="L433" s="2">
        <f t="shared" si="37"/>
        <v>20</v>
      </c>
    </row>
    <row r="434" spans="1:12" x14ac:dyDescent="0.3">
      <c r="A434" s="3">
        <v>44821</v>
      </c>
      <c r="B434" s="11" t="s">
        <v>1160</v>
      </c>
      <c r="F434" s="15">
        <v>226010887679</v>
      </c>
      <c r="G434" s="2">
        <v>1000</v>
      </c>
      <c r="I434" s="75">
        <f t="shared" si="34"/>
        <v>-3824.1399999999994</v>
      </c>
      <c r="L434" s="2">
        <f t="shared" si="37"/>
        <v>4</v>
      </c>
    </row>
    <row r="435" spans="1:12" x14ac:dyDescent="0.3">
      <c r="A435" s="3">
        <v>44821</v>
      </c>
      <c r="B435" s="11" t="s">
        <v>2180</v>
      </c>
      <c r="C435" s="50" t="s">
        <v>1599</v>
      </c>
      <c r="F435" s="15"/>
      <c r="H435" s="74">
        <v>500</v>
      </c>
      <c r="I435" s="75">
        <f t="shared" si="34"/>
        <v>-4324.1399999999994</v>
      </c>
      <c r="L435" s="2">
        <f t="shared" si="37"/>
        <v>2</v>
      </c>
    </row>
    <row r="436" spans="1:12" x14ac:dyDescent="0.3">
      <c r="A436" s="3">
        <v>44821</v>
      </c>
      <c r="B436" s="11" t="s">
        <v>1250</v>
      </c>
      <c r="C436" s="50" t="s">
        <v>2443</v>
      </c>
      <c r="F436" s="15">
        <v>226011431005</v>
      </c>
      <c r="G436" s="2">
        <v>1000</v>
      </c>
      <c r="I436" s="75">
        <f t="shared" si="34"/>
        <v>-3324.1399999999994</v>
      </c>
      <c r="L436" s="2">
        <f t="shared" si="37"/>
        <v>4</v>
      </c>
    </row>
    <row r="437" spans="1:12" x14ac:dyDescent="0.3">
      <c r="A437" s="3">
        <v>44821</v>
      </c>
      <c r="B437" s="11" t="s">
        <v>1250</v>
      </c>
      <c r="C437" s="50" t="s">
        <v>2626</v>
      </c>
      <c r="F437" s="15"/>
      <c r="G437" s="2">
        <v>3500</v>
      </c>
      <c r="I437" s="75">
        <f t="shared" si="34"/>
        <v>175.86000000000058</v>
      </c>
      <c r="L437" s="2">
        <f t="shared" si="37"/>
        <v>14</v>
      </c>
    </row>
    <row r="438" spans="1:12" x14ac:dyDescent="0.3">
      <c r="A438" s="3">
        <v>44822</v>
      </c>
      <c r="B438" s="11" t="s">
        <v>2241</v>
      </c>
      <c r="C438" s="50" t="s">
        <v>2627</v>
      </c>
      <c r="D438" s="50">
        <v>6294902878</v>
      </c>
      <c r="F438" s="15">
        <v>226111240261</v>
      </c>
      <c r="G438" s="2">
        <v>4000</v>
      </c>
      <c r="I438" s="75">
        <f t="shared" si="34"/>
        <v>4175.8600000000006</v>
      </c>
      <c r="L438" s="2">
        <f t="shared" si="37"/>
        <v>16</v>
      </c>
    </row>
    <row r="439" spans="1:12" x14ac:dyDescent="0.3">
      <c r="A439" s="3">
        <v>44822</v>
      </c>
      <c r="B439" s="11" t="s">
        <v>2338</v>
      </c>
      <c r="C439" s="50" t="s">
        <v>1279</v>
      </c>
      <c r="F439" s="15">
        <v>226111244101</v>
      </c>
      <c r="H439" s="2">
        <v>10000</v>
      </c>
      <c r="I439" s="75">
        <f t="shared" si="34"/>
        <v>-5824.1399999999994</v>
      </c>
      <c r="L439" s="2">
        <f t="shared" si="37"/>
        <v>20</v>
      </c>
    </row>
    <row r="440" spans="1:12" x14ac:dyDescent="0.3">
      <c r="A440" s="3">
        <v>44823</v>
      </c>
      <c r="B440" s="11" t="s">
        <v>1250</v>
      </c>
      <c r="C440" s="50" t="s">
        <v>2628</v>
      </c>
      <c r="F440" s="15"/>
      <c r="G440" s="2">
        <v>300</v>
      </c>
      <c r="I440" s="75">
        <f t="shared" si="34"/>
        <v>-5524.1399999999994</v>
      </c>
      <c r="L440" s="2">
        <f t="shared" si="37"/>
        <v>1.2</v>
      </c>
    </row>
    <row r="441" spans="1:12" x14ac:dyDescent="0.3">
      <c r="A441" s="3">
        <v>44823</v>
      </c>
      <c r="B441" s="11" t="s">
        <v>1472</v>
      </c>
      <c r="C441" s="50" t="s">
        <v>2488</v>
      </c>
      <c r="F441" s="15">
        <v>226217497718</v>
      </c>
      <c r="G441" s="2">
        <v>4000</v>
      </c>
      <c r="I441" s="75">
        <f t="shared" si="34"/>
        <v>-1524.1399999999994</v>
      </c>
      <c r="L441" s="2">
        <f t="shared" si="37"/>
        <v>16</v>
      </c>
    </row>
    <row r="442" spans="1:12" x14ac:dyDescent="0.3">
      <c r="A442" s="3">
        <v>44823</v>
      </c>
      <c r="B442" s="11">
        <v>4482</v>
      </c>
      <c r="C442" s="50" t="s">
        <v>1644</v>
      </c>
      <c r="F442" s="15">
        <v>226217517280</v>
      </c>
      <c r="H442" s="2">
        <v>2000</v>
      </c>
      <c r="I442" s="75">
        <f t="shared" si="34"/>
        <v>-3524.1399999999994</v>
      </c>
      <c r="L442" s="2">
        <f t="shared" si="37"/>
        <v>8</v>
      </c>
    </row>
    <row r="443" spans="1:12" x14ac:dyDescent="0.3">
      <c r="A443" s="3">
        <v>44823</v>
      </c>
      <c r="B443" s="11" t="s">
        <v>1250</v>
      </c>
      <c r="C443" s="50" t="s">
        <v>2626</v>
      </c>
      <c r="F443" s="15">
        <v>226218579702</v>
      </c>
      <c r="G443" s="2">
        <v>4500</v>
      </c>
      <c r="I443" s="75">
        <f t="shared" si="34"/>
        <v>975.86000000000058</v>
      </c>
      <c r="L443" s="2">
        <f t="shared" si="37"/>
        <v>18</v>
      </c>
    </row>
    <row r="444" spans="1:12" x14ac:dyDescent="0.3">
      <c r="A444" s="3">
        <v>44823</v>
      </c>
      <c r="B444" s="11" t="s">
        <v>2271</v>
      </c>
      <c r="C444" s="50" t="s">
        <v>2493</v>
      </c>
      <c r="D444" s="50">
        <v>7739221846</v>
      </c>
      <c r="F444" s="15">
        <v>226218622013</v>
      </c>
      <c r="G444" s="2">
        <v>4500</v>
      </c>
      <c r="I444" s="75">
        <f t="shared" si="34"/>
        <v>5475.8600000000006</v>
      </c>
      <c r="L444" s="2">
        <f t="shared" si="37"/>
        <v>18</v>
      </c>
    </row>
    <row r="445" spans="1:12" x14ac:dyDescent="0.3">
      <c r="A445" s="3">
        <v>44823</v>
      </c>
      <c r="B445" s="11" t="s">
        <v>2338</v>
      </c>
      <c r="C445" s="50" t="s">
        <v>1279</v>
      </c>
      <c r="F445" s="15"/>
      <c r="H445" s="2">
        <v>10000</v>
      </c>
      <c r="I445" s="75">
        <f t="shared" si="34"/>
        <v>-4524.1399999999994</v>
      </c>
      <c r="L445" s="2">
        <f t="shared" si="37"/>
        <v>20</v>
      </c>
    </row>
    <row r="446" spans="1:12" x14ac:dyDescent="0.3">
      <c r="A446" s="3">
        <v>44823</v>
      </c>
      <c r="B446" s="11" t="s">
        <v>2633</v>
      </c>
      <c r="C446" s="50" t="s">
        <v>2630</v>
      </c>
      <c r="E446" s="90" t="s">
        <v>16</v>
      </c>
      <c r="F446" s="15">
        <v>226219860120</v>
      </c>
      <c r="H446" s="2">
        <v>500</v>
      </c>
      <c r="I446" s="75">
        <f t="shared" si="34"/>
        <v>-5024.1399999999994</v>
      </c>
      <c r="L446" s="2">
        <f t="shared" si="37"/>
        <v>27</v>
      </c>
    </row>
    <row r="447" spans="1:12" x14ac:dyDescent="0.3">
      <c r="A447" s="3">
        <v>44824</v>
      </c>
      <c r="B447" s="11" t="s">
        <v>2232</v>
      </c>
      <c r="C447" s="50" t="s">
        <v>2233</v>
      </c>
      <c r="D447" s="50">
        <v>7004459030</v>
      </c>
      <c r="F447" s="15"/>
      <c r="H447" s="2">
        <v>500</v>
      </c>
      <c r="I447" s="75">
        <f t="shared" si="34"/>
        <v>-5524.1399999999994</v>
      </c>
      <c r="L447" s="2">
        <f t="shared" si="37"/>
        <v>2</v>
      </c>
    </row>
    <row r="448" spans="1:12" x14ac:dyDescent="0.3">
      <c r="A448" s="3">
        <v>44824</v>
      </c>
      <c r="B448" s="11" t="s">
        <v>2643</v>
      </c>
      <c r="C448" s="50" t="s">
        <v>2644</v>
      </c>
      <c r="E448" s="90" t="s">
        <v>16</v>
      </c>
      <c r="F448" s="15"/>
      <c r="H448" s="2">
        <v>100</v>
      </c>
      <c r="I448" s="75">
        <f t="shared" si="34"/>
        <v>-5624.1399999999994</v>
      </c>
      <c r="L448" s="2">
        <f t="shared" si="37"/>
        <v>25.4</v>
      </c>
    </row>
    <row r="449" spans="1:12" x14ac:dyDescent="0.3">
      <c r="A449" s="3">
        <v>44825</v>
      </c>
      <c r="B449" s="11" t="s">
        <v>2642</v>
      </c>
      <c r="C449" s="50" t="s">
        <v>2639</v>
      </c>
      <c r="E449" s="90" t="s">
        <v>16</v>
      </c>
      <c r="F449" s="15"/>
      <c r="H449" s="2">
        <v>200</v>
      </c>
      <c r="I449" s="75">
        <f t="shared" si="34"/>
        <v>-5824.1399999999994</v>
      </c>
      <c r="L449" s="2">
        <f t="shared" ref="L449:L476" si="38">IF((G449+H449)&lt;=5000,(H449+G449)*0.004,20)+IF(E449="Y",25,0)</f>
        <v>25.8</v>
      </c>
    </row>
    <row r="450" spans="1:12" x14ac:dyDescent="0.3">
      <c r="A450" s="3">
        <v>44825</v>
      </c>
      <c r="B450" s="11" t="s">
        <v>1250</v>
      </c>
      <c r="C450" s="50" t="s">
        <v>2645</v>
      </c>
      <c r="F450" s="15"/>
      <c r="G450" s="2">
        <v>500</v>
      </c>
      <c r="I450" s="75">
        <f t="shared" si="34"/>
        <v>-5324.1399999999994</v>
      </c>
      <c r="L450" s="2">
        <f t="shared" si="38"/>
        <v>2</v>
      </c>
    </row>
    <row r="451" spans="1:12" x14ac:dyDescent="0.3">
      <c r="A451" s="3">
        <v>44825</v>
      </c>
      <c r="B451" s="11" t="s">
        <v>2647</v>
      </c>
      <c r="C451" s="50" t="s">
        <v>2646</v>
      </c>
      <c r="D451" s="50">
        <v>7301498621</v>
      </c>
      <c r="E451" s="90" t="s">
        <v>16</v>
      </c>
      <c r="F451" s="15"/>
      <c r="H451" s="2">
        <v>200</v>
      </c>
      <c r="I451" s="75">
        <f t="shared" si="34"/>
        <v>-5524.1399999999994</v>
      </c>
      <c r="L451" s="2">
        <f t="shared" si="38"/>
        <v>25.8</v>
      </c>
    </row>
    <row r="452" spans="1:12" x14ac:dyDescent="0.3">
      <c r="A452" s="3">
        <v>44825</v>
      </c>
      <c r="B452" s="52" t="s">
        <v>2653</v>
      </c>
      <c r="C452" s="70" t="s">
        <v>2654</v>
      </c>
      <c r="D452" s="70"/>
      <c r="E452" s="96"/>
      <c r="F452" s="36"/>
      <c r="G452" s="55">
        <v>1216</v>
      </c>
      <c r="I452" s="75">
        <f t="shared" si="34"/>
        <v>-4308.1399999999994</v>
      </c>
      <c r="L452" s="2">
        <f t="shared" si="38"/>
        <v>4.8639999999999999</v>
      </c>
    </row>
    <row r="453" spans="1:12" x14ac:dyDescent="0.3">
      <c r="A453" s="3">
        <v>44826</v>
      </c>
      <c r="B453" s="11" t="s">
        <v>1472</v>
      </c>
      <c r="F453" s="15">
        <v>226510356624</v>
      </c>
      <c r="G453" s="2">
        <v>2000</v>
      </c>
      <c r="I453" s="75">
        <f t="shared" si="34"/>
        <v>-2308.1399999999994</v>
      </c>
      <c r="L453" s="2">
        <f t="shared" si="38"/>
        <v>8</v>
      </c>
    </row>
    <row r="454" spans="1:12" x14ac:dyDescent="0.3">
      <c r="A454" s="3">
        <v>44826</v>
      </c>
      <c r="B454" s="11" t="s">
        <v>2651</v>
      </c>
      <c r="C454" s="50" t="s">
        <v>2652</v>
      </c>
      <c r="F454" s="15">
        <v>226510374212</v>
      </c>
      <c r="H454" s="2">
        <v>1000</v>
      </c>
      <c r="I454" s="75">
        <f t="shared" si="34"/>
        <v>-3308.1399999999994</v>
      </c>
      <c r="L454" s="2">
        <f t="shared" si="38"/>
        <v>4</v>
      </c>
    </row>
    <row r="455" spans="1:12" x14ac:dyDescent="0.3">
      <c r="A455" s="3">
        <v>44826</v>
      </c>
      <c r="B455" s="11" t="s">
        <v>2655</v>
      </c>
      <c r="C455" s="50" t="s">
        <v>2656</v>
      </c>
      <c r="E455" s="90" t="s">
        <v>14</v>
      </c>
      <c r="F455" s="15"/>
      <c r="H455" s="2">
        <v>100</v>
      </c>
      <c r="I455" s="75">
        <f t="shared" si="34"/>
        <v>-3408.1399999999994</v>
      </c>
      <c r="L455" s="2">
        <f t="shared" si="38"/>
        <v>25.4</v>
      </c>
    </row>
    <row r="456" spans="1:12" x14ac:dyDescent="0.3">
      <c r="A456" s="3">
        <v>44828</v>
      </c>
      <c r="B456" s="11" t="s">
        <v>2542</v>
      </c>
      <c r="C456" s="50" t="s">
        <v>2669</v>
      </c>
      <c r="F456" s="15"/>
      <c r="H456" s="2">
        <v>1000</v>
      </c>
      <c r="I456" s="75">
        <f t="shared" si="34"/>
        <v>-4408.1399999999994</v>
      </c>
      <c r="L456" s="2">
        <f t="shared" si="38"/>
        <v>4</v>
      </c>
    </row>
    <row r="457" spans="1:12" x14ac:dyDescent="0.3">
      <c r="A457" s="3">
        <v>44828</v>
      </c>
      <c r="B457" s="11" t="s">
        <v>1160</v>
      </c>
      <c r="C457" s="50" t="s">
        <v>2670</v>
      </c>
      <c r="F457" s="15">
        <v>226718264666</v>
      </c>
      <c r="G457" s="2">
        <v>1000</v>
      </c>
      <c r="I457" s="75">
        <f t="shared" si="34"/>
        <v>-3408.1399999999994</v>
      </c>
      <c r="L457" s="2">
        <f t="shared" si="38"/>
        <v>4</v>
      </c>
    </row>
    <row r="458" spans="1:12" x14ac:dyDescent="0.3">
      <c r="A458" s="3">
        <v>44828</v>
      </c>
      <c r="B458" s="11" t="s">
        <v>1250</v>
      </c>
      <c r="C458" s="50" t="s">
        <v>2284</v>
      </c>
      <c r="F458" s="15"/>
      <c r="G458" s="2">
        <v>1000</v>
      </c>
      <c r="I458" s="75">
        <f t="shared" si="34"/>
        <v>-2408.1399999999994</v>
      </c>
      <c r="L458" s="2">
        <f t="shared" si="38"/>
        <v>4</v>
      </c>
    </row>
    <row r="459" spans="1:12" x14ac:dyDescent="0.3">
      <c r="A459" s="3">
        <v>44829</v>
      </c>
      <c r="B459" s="11" t="s">
        <v>2199</v>
      </c>
      <c r="C459" s="50" t="s">
        <v>2190</v>
      </c>
      <c r="F459" s="15">
        <v>226812221273</v>
      </c>
      <c r="G459" s="2">
        <v>4000</v>
      </c>
      <c r="I459" s="75">
        <f t="shared" si="34"/>
        <v>1591.8600000000006</v>
      </c>
      <c r="L459" s="2">
        <f t="shared" si="38"/>
        <v>16</v>
      </c>
    </row>
    <row r="460" spans="1:12" x14ac:dyDescent="0.3">
      <c r="A460" s="3">
        <v>44829</v>
      </c>
      <c r="B460" s="11" t="s">
        <v>1250</v>
      </c>
      <c r="C460" s="50" t="s">
        <v>2443</v>
      </c>
      <c r="F460" s="15">
        <v>226820618226</v>
      </c>
      <c r="G460" s="2">
        <v>1000</v>
      </c>
      <c r="I460" s="75">
        <f t="shared" si="34"/>
        <v>2591.8600000000006</v>
      </c>
      <c r="L460" s="2">
        <f t="shared" si="38"/>
        <v>4</v>
      </c>
    </row>
    <row r="461" spans="1:12" x14ac:dyDescent="0.3">
      <c r="A461" s="3">
        <v>44830</v>
      </c>
      <c r="B461" s="11" t="s">
        <v>2241</v>
      </c>
      <c r="C461" s="50" t="s">
        <v>2627</v>
      </c>
      <c r="D461" s="50">
        <v>6294902878</v>
      </c>
      <c r="F461" s="15">
        <v>226910152429</v>
      </c>
      <c r="G461" s="2">
        <v>4000</v>
      </c>
      <c r="I461" s="75">
        <f t="shared" si="34"/>
        <v>6591.8600000000006</v>
      </c>
      <c r="L461" s="2">
        <f t="shared" si="38"/>
        <v>16</v>
      </c>
    </row>
    <row r="462" spans="1:12" x14ac:dyDescent="0.3">
      <c r="A462" s="3">
        <v>44830</v>
      </c>
      <c r="B462" s="11" t="s">
        <v>2671</v>
      </c>
      <c r="C462" s="50" t="s">
        <v>2295</v>
      </c>
      <c r="F462" s="15">
        <v>226910191309</v>
      </c>
      <c r="G462" s="2">
        <v>3000</v>
      </c>
      <c r="I462" s="75">
        <f t="shared" si="34"/>
        <v>9591.86</v>
      </c>
      <c r="L462" s="2">
        <f t="shared" si="38"/>
        <v>12</v>
      </c>
    </row>
    <row r="463" spans="1:12" x14ac:dyDescent="0.3">
      <c r="A463" s="3">
        <v>44830</v>
      </c>
      <c r="B463" s="11" t="s">
        <v>2675</v>
      </c>
      <c r="C463" s="50" t="s">
        <v>2673</v>
      </c>
      <c r="E463" s="90" t="s">
        <v>16</v>
      </c>
      <c r="F463" s="15"/>
      <c r="H463" s="2">
        <v>500</v>
      </c>
      <c r="I463" s="75">
        <f t="shared" si="34"/>
        <v>9091.86</v>
      </c>
      <c r="L463" s="2">
        <f t="shared" si="38"/>
        <v>27</v>
      </c>
    </row>
    <row r="464" spans="1:12" x14ac:dyDescent="0.3">
      <c r="A464" s="3">
        <v>44830</v>
      </c>
      <c r="B464" s="11" t="s">
        <v>2271</v>
      </c>
      <c r="C464" s="50" t="s">
        <v>2493</v>
      </c>
      <c r="D464" s="50">
        <v>7739221846</v>
      </c>
      <c r="F464" s="15">
        <v>226912433945</v>
      </c>
      <c r="G464" s="2">
        <v>2500</v>
      </c>
      <c r="I464" s="75">
        <f t="shared" si="34"/>
        <v>11591.86</v>
      </c>
      <c r="L464" s="2">
        <f t="shared" si="38"/>
        <v>10</v>
      </c>
    </row>
    <row r="465" spans="1:14" x14ac:dyDescent="0.3">
      <c r="A465" s="3">
        <v>44831</v>
      </c>
      <c r="B465" s="11" t="s">
        <v>2619</v>
      </c>
      <c r="C465" s="50" t="s">
        <v>1633</v>
      </c>
      <c r="F465" s="15"/>
      <c r="G465" s="2">
        <v>500</v>
      </c>
      <c r="I465" s="75">
        <f t="shared" si="34"/>
        <v>12091.86</v>
      </c>
      <c r="L465" s="2">
        <f t="shared" si="38"/>
        <v>2</v>
      </c>
    </row>
    <row r="466" spans="1:14" x14ac:dyDescent="0.3">
      <c r="A466" s="3">
        <v>44831</v>
      </c>
      <c r="B466" s="11" t="s">
        <v>2351</v>
      </c>
      <c r="C466" s="50" t="s">
        <v>2676</v>
      </c>
      <c r="D466" s="50">
        <v>9693980960</v>
      </c>
      <c r="F466" s="15"/>
      <c r="G466" s="2">
        <v>500</v>
      </c>
      <c r="I466" s="75">
        <f t="shared" si="34"/>
        <v>12591.86</v>
      </c>
      <c r="L466" s="2">
        <f t="shared" si="38"/>
        <v>2</v>
      </c>
    </row>
    <row r="467" spans="1:14" x14ac:dyDescent="0.3">
      <c r="A467" s="3">
        <v>44831</v>
      </c>
      <c r="B467" s="11" t="s">
        <v>2241</v>
      </c>
      <c r="C467" s="50" t="s">
        <v>2677</v>
      </c>
      <c r="F467" s="15">
        <v>227019797698</v>
      </c>
      <c r="G467" s="2">
        <v>2000</v>
      </c>
      <c r="I467" s="75">
        <f t="shared" si="34"/>
        <v>14591.86</v>
      </c>
      <c r="L467" s="2">
        <f t="shared" si="38"/>
        <v>8</v>
      </c>
    </row>
    <row r="468" spans="1:14" x14ac:dyDescent="0.3">
      <c r="A468" s="3">
        <v>44831</v>
      </c>
      <c r="B468" s="11" t="s">
        <v>2678</v>
      </c>
      <c r="C468" s="50" t="s">
        <v>2679</v>
      </c>
      <c r="F468" s="15"/>
      <c r="H468" s="2">
        <v>10000</v>
      </c>
      <c r="I468" s="75">
        <f t="shared" si="34"/>
        <v>4591.8600000000006</v>
      </c>
      <c r="L468" s="2">
        <f t="shared" si="38"/>
        <v>20</v>
      </c>
    </row>
    <row r="469" spans="1:14" x14ac:dyDescent="0.3">
      <c r="A469" s="3">
        <v>44832</v>
      </c>
      <c r="B469" s="11" t="s">
        <v>2416</v>
      </c>
      <c r="C469" s="50" t="s">
        <v>2680</v>
      </c>
      <c r="D469" s="50">
        <v>8603846373</v>
      </c>
      <c r="F469" s="15">
        <v>227112279789</v>
      </c>
      <c r="G469" s="2">
        <v>1000</v>
      </c>
      <c r="I469" s="75">
        <f t="shared" ref="I469:I476" si="39">I468+G469-H469</f>
        <v>5591.8600000000006</v>
      </c>
      <c r="L469" s="2">
        <f t="shared" si="38"/>
        <v>4</v>
      </c>
    </row>
    <row r="470" spans="1:14" x14ac:dyDescent="0.3">
      <c r="A470" s="3">
        <v>44832</v>
      </c>
      <c r="B470" s="11" t="s">
        <v>2681</v>
      </c>
      <c r="C470" s="50" t="s">
        <v>2682</v>
      </c>
      <c r="F470" s="15">
        <v>227112298766</v>
      </c>
      <c r="H470" s="2">
        <v>500</v>
      </c>
      <c r="I470" s="75">
        <f t="shared" si="39"/>
        <v>5091.8600000000006</v>
      </c>
      <c r="L470" s="2">
        <f t="shared" si="38"/>
        <v>2</v>
      </c>
    </row>
    <row r="471" spans="1:14" x14ac:dyDescent="0.3">
      <c r="A471" s="3">
        <v>44832</v>
      </c>
      <c r="B471" s="11" t="s">
        <v>2678</v>
      </c>
      <c r="C471" s="50" t="s">
        <v>2679</v>
      </c>
      <c r="F471" s="15"/>
      <c r="H471" s="2">
        <v>5000</v>
      </c>
      <c r="I471" s="75">
        <f t="shared" si="39"/>
        <v>91.860000000000582</v>
      </c>
      <c r="L471" s="2">
        <f t="shared" si="38"/>
        <v>20</v>
      </c>
    </row>
    <row r="472" spans="1:14" x14ac:dyDescent="0.3">
      <c r="A472" s="3">
        <v>44834</v>
      </c>
      <c r="B472" s="11" t="s">
        <v>2689</v>
      </c>
      <c r="C472" s="50" t="s">
        <v>2690</v>
      </c>
      <c r="F472" s="15"/>
      <c r="H472" s="2">
        <v>5000</v>
      </c>
      <c r="I472" s="75">
        <f t="shared" si="39"/>
        <v>-4908.1399999999994</v>
      </c>
      <c r="L472" s="2">
        <f t="shared" si="38"/>
        <v>20</v>
      </c>
    </row>
    <row r="473" spans="1:14" x14ac:dyDescent="0.3">
      <c r="A473" s="3">
        <v>44834</v>
      </c>
      <c r="B473" s="11" t="s">
        <v>2691</v>
      </c>
      <c r="C473" s="50" t="s">
        <v>2692</v>
      </c>
      <c r="F473" s="15">
        <v>227317162613</v>
      </c>
      <c r="G473" s="2">
        <v>10000</v>
      </c>
      <c r="I473" s="75">
        <f t="shared" si="39"/>
        <v>5091.8600000000006</v>
      </c>
      <c r="L473" s="2">
        <f t="shared" si="38"/>
        <v>20</v>
      </c>
    </row>
    <row r="474" spans="1:14" x14ac:dyDescent="0.3">
      <c r="A474" s="3">
        <v>44834</v>
      </c>
      <c r="B474" s="11" t="s">
        <v>1257</v>
      </c>
      <c r="C474" s="50" t="s">
        <v>2274</v>
      </c>
      <c r="F474" s="15">
        <v>227319535067</v>
      </c>
      <c r="H474" s="2">
        <v>8000</v>
      </c>
      <c r="I474" s="75">
        <f t="shared" si="39"/>
        <v>-2908.1399999999994</v>
      </c>
      <c r="L474" s="2">
        <f t="shared" si="38"/>
        <v>20</v>
      </c>
    </row>
    <row r="475" spans="1:14" x14ac:dyDescent="0.3">
      <c r="A475" s="3">
        <v>44834</v>
      </c>
      <c r="B475" s="11" t="s">
        <v>1250</v>
      </c>
      <c r="C475" s="50" t="s">
        <v>2443</v>
      </c>
      <c r="F475" s="15">
        <v>227319543888</v>
      </c>
      <c r="G475" s="2">
        <v>3200</v>
      </c>
      <c r="I475" s="75">
        <f t="shared" si="39"/>
        <v>291.86000000000058</v>
      </c>
      <c r="L475" s="2">
        <f t="shared" si="38"/>
        <v>12.8</v>
      </c>
    </row>
    <row r="476" spans="1:14" x14ac:dyDescent="0.3">
      <c r="A476" s="3">
        <v>44834</v>
      </c>
      <c r="B476" s="11" t="s">
        <v>1250</v>
      </c>
      <c r="C476" s="50" t="s">
        <v>2250</v>
      </c>
      <c r="D476" s="50">
        <v>9608087215</v>
      </c>
      <c r="F476" s="15">
        <v>227319556138</v>
      </c>
      <c r="G476" s="2">
        <v>1000</v>
      </c>
      <c r="I476" s="75">
        <f t="shared" si="39"/>
        <v>1291.8600000000006</v>
      </c>
      <c r="L476" s="2">
        <f t="shared" si="38"/>
        <v>4</v>
      </c>
    </row>
    <row r="477" spans="1:14" x14ac:dyDescent="0.3">
      <c r="A477" s="77"/>
      <c r="B477" s="80"/>
      <c r="C477" s="112"/>
      <c r="D477" s="112"/>
      <c r="E477" s="92">
        <f>COUNTIF(E385:E476,"y")</f>
        <v>7</v>
      </c>
      <c r="F477" s="28">
        <f>G477+H477</f>
        <v>334045.5</v>
      </c>
      <c r="G477" s="81">
        <f>SUM(G386:G476)</f>
        <v>161566</v>
      </c>
      <c r="H477" s="81">
        <f>SUM(H386:H476)</f>
        <v>172479.5</v>
      </c>
      <c r="I477" s="81"/>
      <c r="J477" s="26"/>
      <c r="K477" s="26"/>
      <c r="L477" s="81">
        <f>SUM(L385:L476)</f>
        <v>1171.182</v>
      </c>
      <c r="M477" s="26">
        <f>SUM(M269:M476)</f>
        <v>0</v>
      </c>
      <c r="N477" s="26">
        <f>L477*0.8</f>
        <v>936.94560000000001</v>
      </c>
    </row>
    <row r="479" spans="1:14" x14ac:dyDescent="0.3">
      <c r="A479" s="3">
        <v>44835</v>
      </c>
      <c r="C479" s="50" t="s">
        <v>2693</v>
      </c>
      <c r="F479" s="15"/>
      <c r="I479" s="75">
        <v>7142.11</v>
      </c>
      <c r="L479" s="2">
        <f t="shared" ref="L479:L510" si="40">IF((G479+H479)&lt;=5000,(H479+G479)*0.004,20)+IF(E479="Y",25,0)</f>
        <v>0</v>
      </c>
    </row>
    <row r="480" spans="1:14" x14ac:dyDescent="0.3">
      <c r="A480" s="3">
        <v>44835</v>
      </c>
      <c r="B480" s="11" t="s">
        <v>2698</v>
      </c>
      <c r="C480" s="50" t="s">
        <v>2695</v>
      </c>
      <c r="E480" s="90" t="s">
        <v>16</v>
      </c>
      <c r="F480" s="15">
        <v>227413959282</v>
      </c>
      <c r="H480" s="2">
        <v>150</v>
      </c>
      <c r="I480" s="75">
        <f t="shared" ref="I480:I498" si="41">I479+G480-H480</f>
        <v>6992.11</v>
      </c>
      <c r="L480" s="2">
        <f t="shared" si="40"/>
        <v>25.6</v>
      </c>
    </row>
    <row r="481" spans="1:12" x14ac:dyDescent="0.3">
      <c r="A481" s="3">
        <v>44835</v>
      </c>
      <c r="B481" s="11" t="s">
        <v>2700</v>
      </c>
      <c r="C481" s="50" t="s">
        <v>2699</v>
      </c>
      <c r="E481" s="90" t="s">
        <v>16</v>
      </c>
      <c r="F481" s="15"/>
      <c r="H481" s="2">
        <v>100</v>
      </c>
      <c r="I481" s="75">
        <f t="shared" si="41"/>
        <v>6892.11</v>
      </c>
      <c r="L481" s="2">
        <f t="shared" si="40"/>
        <v>25.4</v>
      </c>
    </row>
    <row r="482" spans="1:12" x14ac:dyDescent="0.3">
      <c r="A482" s="3">
        <v>44835</v>
      </c>
      <c r="B482" s="11" t="s">
        <v>1160</v>
      </c>
      <c r="C482" s="50" t="s">
        <v>2701</v>
      </c>
      <c r="D482" s="50">
        <v>7903542834</v>
      </c>
      <c r="F482" s="15"/>
      <c r="G482" s="2">
        <v>3000</v>
      </c>
      <c r="I482" s="75">
        <f t="shared" si="41"/>
        <v>9892.11</v>
      </c>
      <c r="L482" s="2">
        <f t="shared" si="40"/>
        <v>12</v>
      </c>
    </row>
    <row r="483" spans="1:12" x14ac:dyDescent="0.3">
      <c r="A483" s="3">
        <v>44835</v>
      </c>
      <c r="B483" s="11" t="s">
        <v>2702</v>
      </c>
      <c r="C483" s="50" t="s">
        <v>2703</v>
      </c>
      <c r="F483" s="15">
        <v>227418184732</v>
      </c>
      <c r="H483" s="2">
        <v>2000</v>
      </c>
      <c r="I483" s="75">
        <f t="shared" si="41"/>
        <v>7892.1100000000006</v>
      </c>
      <c r="L483" s="2">
        <f t="shared" si="40"/>
        <v>8</v>
      </c>
    </row>
    <row r="484" spans="1:12" x14ac:dyDescent="0.3">
      <c r="A484" s="3">
        <v>44835</v>
      </c>
      <c r="B484" s="11" t="s">
        <v>2494</v>
      </c>
      <c r="C484" s="50" t="s">
        <v>2495</v>
      </c>
      <c r="F484" s="15">
        <v>227418315021</v>
      </c>
      <c r="H484" s="2">
        <v>1500</v>
      </c>
      <c r="I484" s="75">
        <f t="shared" si="41"/>
        <v>6392.1100000000006</v>
      </c>
      <c r="L484" s="2">
        <f t="shared" si="40"/>
        <v>6</v>
      </c>
    </row>
    <row r="485" spans="1:12" x14ac:dyDescent="0.3">
      <c r="A485" s="3">
        <v>44836</v>
      </c>
      <c r="B485" s="11" t="s">
        <v>2704</v>
      </c>
      <c r="C485" s="50" t="s">
        <v>913</v>
      </c>
      <c r="F485" s="15">
        <v>227510896356</v>
      </c>
      <c r="H485" s="2">
        <v>1500</v>
      </c>
      <c r="I485" s="75">
        <f t="shared" si="41"/>
        <v>4892.1100000000006</v>
      </c>
      <c r="L485" s="2">
        <f t="shared" si="40"/>
        <v>6</v>
      </c>
    </row>
    <row r="486" spans="1:12" x14ac:dyDescent="0.3">
      <c r="A486" s="3">
        <v>44836</v>
      </c>
      <c r="B486" s="11" t="s">
        <v>1160</v>
      </c>
      <c r="C486" s="50" t="s">
        <v>2705</v>
      </c>
      <c r="D486" s="50">
        <v>61400624231</v>
      </c>
      <c r="F486" s="15">
        <v>227513454961</v>
      </c>
      <c r="G486" s="2">
        <v>1000</v>
      </c>
      <c r="I486" s="75">
        <f t="shared" si="41"/>
        <v>5892.1100000000006</v>
      </c>
      <c r="L486" s="2">
        <f t="shared" si="40"/>
        <v>4</v>
      </c>
    </row>
    <row r="487" spans="1:12" x14ac:dyDescent="0.3">
      <c r="A487" s="3">
        <v>44837</v>
      </c>
      <c r="B487" s="11" t="s">
        <v>1160</v>
      </c>
      <c r="C487" s="50" t="s">
        <v>2706</v>
      </c>
      <c r="D487" s="50">
        <v>7992267817</v>
      </c>
      <c r="F487" s="15">
        <v>227610494218</v>
      </c>
      <c r="G487" s="2">
        <v>1000</v>
      </c>
      <c r="I487" s="75">
        <f t="shared" si="41"/>
        <v>6892.1100000000006</v>
      </c>
      <c r="L487" s="2">
        <f t="shared" si="40"/>
        <v>4</v>
      </c>
    </row>
    <row r="488" spans="1:12" x14ac:dyDescent="0.3">
      <c r="A488" s="3">
        <v>44837</v>
      </c>
      <c r="B488" s="11" t="s">
        <v>1472</v>
      </c>
      <c r="C488" s="50" t="s">
        <v>2707</v>
      </c>
      <c r="D488" s="50">
        <v>9102092283</v>
      </c>
      <c r="F488" s="15">
        <v>227611680837</v>
      </c>
      <c r="G488" s="2">
        <v>5000</v>
      </c>
      <c r="I488" s="75">
        <f t="shared" si="41"/>
        <v>11892.11</v>
      </c>
      <c r="L488" s="2">
        <f t="shared" si="40"/>
        <v>20</v>
      </c>
    </row>
    <row r="489" spans="1:12" x14ac:dyDescent="0.3">
      <c r="A489" s="3">
        <v>44837</v>
      </c>
      <c r="B489" s="11" t="s">
        <v>2139</v>
      </c>
      <c r="C489" s="50" t="s">
        <v>2274</v>
      </c>
      <c r="F489" s="15">
        <v>227612160559</v>
      </c>
      <c r="H489" s="2">
        <v>7000</v>
      </c>
      <c r="I489" s="75">
        <f t="shared" si="41"/>
        <v>4892.1100000000006</v>
      </c>
      <c r="L489" s="2">
        <f t="shared" si="40"/>
        <v>20</v>
      </c>
    </row>
    <row r="490" spans="1:12" x14ac:dyDescent="0.3">
      <c r="A490" s="3">
        <v>44837</v>
      </c>
      <c r="B490" s="11" t="s">
        <v>1160</v>
      </c>
      <c r="C490" s="50" t="s">
        <v>2708</v>
      </c>
      <c r="D490" s="50">
        <v>8102132045</v>
      </c>
      <c r="F490" s="15">
        <v>227612294873</v>
      </c>
      <c r="G490" s="2">
        <v>1500</v>
      </c>
      <c r="I490" s="75">
        <f t="shared" si="41"/>
        <v>6392.1100000000006</v>
      </c>
      <c r="L490" s="2">
        <f t="shared" si="40"/>
        <v>6</v>
      </c>
    </row>
    <row r="491" spans="1:12" x14ac:dyDescent="0.3">
      <c r="A491" s="3">
        <v>44838</v>
      </c>
      <c r="B491" s="11" t="s">
        <v>1160</v>
      </c>
      <c r="C491" s="50" t="s">
        <v>2709</v>
      </c>
      <c r="D491" s="50">
        <v>9204268926</v>
      </c>
      <c r="F491" s="15">
        <v>227710117643</v>
      </c>
      <c r="G491" s="2">
        <v>1000</v>
      </c>
      <c r="I491" s="75">
        <f t="shared" si="41"/>
        <v>7392.1100000000006</v>
      </c>
      <c r="L491" s="2">
        <f t="shared" si="40"/>
        <v>4</v>
      </c>
    </row>
    <row r="492" spans="1:12" x14ac:dyDescent="0.3">
      <c r="A492" s="3">
        <v>44838</v>
      </c>
      <c r="B492" s="11" t="s">
        <v>2139</v>
      </c>
      <c r="C492" s="50" t="s">
        <v>2274</v>
      </c>
      <c r="F492" s="15">
        <v>227710128626</v>
      </c>
      <c r="H492" s="2">
        <v>5000</v>
      </c>
      <c r="I492" s="75">
        <f t="shared" si="41"/>
        <v>2392.1100000000006</v>
      </c>
      <c r="L492" s="2">
        <f t="shared" si="40"/>
        <v>20</v>
      </c>
    </row>
    <row r="493" spans="1:12" x14ac:dyDescent="0.3">
      <c r="A493" s="3">
        <v>44840</v>
      </c>
      <c r="B493" s="11" t="s">
        <v>2416</v>
      </c>
      <c r="C493" s="50" t="s">
        <v>2710</v>
      </c>
      <c r="F493" s="15">
        <v>227911394992</v>
      </c>
      <c r="G493" s="2">
        <v>1000</v>
      </c>
      <c r="I493" s="75">
        <f t="shared" si="41"/>
        <v>3392.1100000000006</v>
      </c>
      <c r="L493" s="2">
        <f t="shared" si="40"/>
        <v>4</v>
      </c>
    </row>
    <row r="494" spans="1:12" x14ac:dyDescent="0.3">
      <c r="A494" s="3">
        <v>44840</v>
      </c>
      <c r="B494" s="11" t="s">
        <v>1160</v>
      </c>
      <c r="C494" s="50" t="s">
        <v>2711</v>
      </c>
      <c r="D494" s="50">
        <v>8093602634</v>
      </c>
      <c r="F494" s="15">
        <v>227912850905</v>
      </c>
      <c r="G494" s="2">
        <v>1000</v>
      </c>
      <c r="I494" s="75">
        <f t="shared" si="41"/>
        <v>4392.1100000000006</v>
      </c>
      <c r="L494" s="2">
        <f t="shared" si="40"/>
        <v>4</v>
      </c>
    </row>
    <row r="495" spans="1:12" x14ac:dyDescent="0.3">
      <c r="A495" s="3">
        <v>44840</v>
      </c>
      <c r="B495" s="11" t="s">
        <v>2138</v>
      </c>
      <c r="C495" s="50" t="s">
        <v>252</v>
      </c>
      <c r="F495" s="15">
        <v>227913363595</v>
      </c>
      <c r="H495" s="2">
        <v>2000</v>
      </c>
      <c r="I495" s="75">
        <f t="shared" si="41"/>
        <v>2392.1100000000006</v>
      </c>
      <c r="L495" s="2">
        <f t="shared" si="40"/>
        <v>8</v>
      </c>
    </row>
    <row r="496" spans="1:12" x14ac:dyDescent="0.3">
      <c r="A496" s="3">
        <v>44840</v>
      </c>
      <c r="B496" s="11" t="s">
        <v>2236</v>
      </c>
      <c r="C496" s="50" t="s">
        <v>2237</v>
      </c>
      <c r="D496" s="50">
        <v>9771417917</v>
      </c>
      <c r="F496" s="15">
        <v>2279199946745</v>
      </c>
      <c r="H496" s="2">
        <v>2000</v>
      </c>
      <c r="I496" s="75">
        <f t="shared" si="41"/>
        <v>392.11000000000058</v>
      </c>
      <c r="L496" s="2">
        <f t="shared" si="40"/>
        <v>8</v>
      </c>
    </row>
    <row r="497" spans="1:12" x14ac:dyDescent="0.3">
      <c r="A497" s="3">
        <v>44840</v>
      </c>
      <c r="B497" s="11" t="s">
        <v>2712</v>
      </c>
      <c r="C497" s="50" t="s">
        <v>2713</v>
      </c>
      <c r="E497" s="90" t="s">
        <v>16</v>
      </c>
      <c r="F497" s="15"/>
      <c r="H497" s="2">
        <v>350</v>
      </c>
      <c r="I497" s="75">
        <f t="shared" si="41"/>
        <v>42.110000000000582</v>
      </c>
      <c r="L497" s="2">
        <f t="shared" si="40"/>
        <v>26.4</v>
      </c>
    </row>
    <row r="498" spans="1:12" x14ac:dyDescent="0.3">
      <c r="A498" s="3">
        <v>44841</v>
      </c>
      <c r="B498" s="11" t="s">
        <v>1160</v>
      </c>
      <c r="C498" s="50" t="s">
        <v>2714</v>
      </c>
      <c r="D498" s="50">
        <v>6299828697</v>
      </c>
      <c r="F498" s="15">
        <v>228010793880</v>
      </c>
      <c r="G498" s="2">
        <v>10000</v>
      </c>
      <c r="I498" s="75">
        <f t="shared" si="41"/>
        <v>10042.11</v>
      </c>
      <c r="L498" s="2">
        <f t="shared" si="40"/>
        <v>20</v>
      </c>
    </row>
    <row r="499" spans="1:12" x14ac:dyDescent="0.3">
      <c r="A499" s="3">
        <v>44841</v>
      </c>
      <c r="B499" s="11" t="s">
        <v>2236</v>
      </c>
      <c r="C499" s="50" t="s">
        <v>2237</v>
      </c>
      <c r="D499" s="50">
        <v>9771417917</v>
      </c>
      <c r="F499" s="15">
        <v>228010810758</v>
      </c>
      <c r="H499" s="2">
        <v>1000</v>
      </c>
      <c r="I499" s="75">
        <f t="shared" ref="I499:I520" si="42">I498+G499-H499</f>
        <v>9042.11</v>
      </c>
      <c r="L499" s="2">
        <f t="shared" si="40"/>
        <v>4</v>
      </c>
    </row>
    <row r="500" spans="1:12" x14ac:dyDescent="0.3">
      <c r="A500" s="3">
        <v>44841</v>
      </c>
      <c r="B500" s="11" t="s">
        <v>2712</v>
      </c>
      <c r="C500" s="50" t="s">
        <v>2713</v>
      </c>
      <c r="F500" s="15">
        <v>228010817311</v>
      </c>
      <c r="H500" s="2">
        <v>1000</v>
      </c>
      <c r="I500" s="75">
        <f t="shared" si="42"/>
        <v>8042.1100000000006</v>
      </c>
      <c r="L500" s="2">
        <f t="shared" si="40"/>
        <v>4</v>
      </c>
    </row>
    <row r="501" spans="1:12" x14ac:dyDescent="0.3">
      <c r="A501" s="3">
        <v>44841</v>
      </c>
      <c r="B501" s="11" t="s">
        <v>2614</v>
      </c>
      <c r="C501" s="50" t="s">
        <v>2615</v>
      </c>
      <c r="F501" s="15">
        <v>228013845585</v>
      </c>
      <c r="H501" s="2">
        <v>200</v>
      </c>
      <c r="I501" s="75">
        <f t="shared" si="42"/>
        <v>7842.1100000000006</v>
      </c>
      <c r="L501" s="2">
        <f t="shared" si="40"/>
        <v>0.8</v>
      </c>
    </row>
    <row r="502" spans="1:12" x14ac:dyDescent="0.3">
      <c r="A502" s="3">
        <v>44841</v>
      </c>
      <c r="B502" s="11" t="s">
        <v>2238</v>
      </c>
      <c r="C502" s="50" t="s">
        <v>2715</v>
      </c>
      <c r="F502" s="15">
        <v>228017218295</v>
      </c>
      <c r="H502" s="2">
        <v>1000</v>
      </c>
      <c r="I502" s="75">
        <f t="shared" si="42"/>
        <v>6842.1100000000006</v>
      </c>
      <c r="L502" s="2">
        <f t="shared" si="40"/>
        <v>4</v>
      </c>
    </row>
    <row r="503" spans="1:12" x14ac:dyDescent="0.3">
      <c r="A503" s="3">
        <v>44841</v>
      </c>
      <c r="B503" s="11" t="s">
        <v>2716</v>
      </c>
      <c r="C503" s="50" t="s">
        <v>1279</v>
      </c>
      <c r="F503" s="15"/>
      <c r="H503" s="2">
        <v>5000</v>
      </c>
      <c r="I503" s="75">
        <f t="shared" si="42"/>
        <v>1842.1100000000006</v>
      </c>
      <c r="L503" s="2">
        <f t="shared" si="40"/>
        <v>20</v>
      </c>
    </row>
    <row r="504" spans="1:12" x14ac:dyDescent="0.3">
      <c r="A504" s="3">
        <v>44841</v>
      </c>
      <c r="C504" s="50" t="s">
        <v>2717</v>
      </c>
      <c r="F504" s="15"/>
      <c r="G504" s="2">
        <v>6000</v>
      </c>
      <c r="I504" s="75">
        <f t="shared" si="42"/>
        <v>7842.1100000000006</v>
      </c>
      <c r="L504" s="2">
        <f t="shared" si="40"/>
        <v>20</v>
      </c>
    </row>
    <row r="505" spans="1:12" x14ac:dyDescent="0.3">
      <c r="A505" s="3">
        <v>44841</v>
      </c>
      <c r="B505" s="11" t="s">
        <v>2718</v>
      </c>
      <c r="C505" s="50" t="s">
        <v>1469</v>
      </c>
      <c r="F505" s="15"/>
      <c r="H505" s="2">
        <v>500</v>
      </c>
      <c r="I505" s="75">
        <f t="shared" si="42"/>
        <v>7342.1100000000006</v>
      </c>
      <c r="L505" s="2">
        <f t="shared" si="40"/>
        <v>2</v>
      </c>
    </row>
    <row r="506" spans="1:12" x14ac:dyDescent="0.3">
      <c r="A506" s="3">
        <v>44842</v>
      </c>
      <c r="B506" s="11" t="s">
        <v>2457</v>
      </c>
      <c r="C506" s="50" t="s">
        <v>2458</v>
      </c>
      <c r="F506" s="15">
        <v>228111682410</v>
      </c>
      <c r="H506" s="2">
        <v>4200</v>
      </c>
      <c r="I506" s="75">
        <f t="shared" si="42"/>
        <v>3142.1100000000006</v>
      </c>
      <c r="L506" s="2">
        <f t="shared" si="40"/>
        <v>16.8</v>
      </c>
    </row>
    <row r="507" spans="1:12" x14ac:dyDescent="0.3">
      <c r="A507" s="3">
        <v>44842</v>
      </c>
      <c r="B507" s="11" t="s">
        <v>1160</v>
      </c>
      <c r="C507" s="50" t="s">
        <v>2719</v>
      </c>
      <c r="D507" s="50">
        <v>9304749874</v>
      </c>
      <c r="F507" s="15">
        <v>228120665220</v>
      </c>
      <c r="G507" s="2">
        <v>800</v>
      </c>
      <c r="I507" s="75">
        <f t="shared" si="42"/>
        <v>3942.1100000000006</v>
      </c>
      <c r="L507" s="2">
        <f t="shared" si="40"/>
        <v>3.2</v>
      </c>
    </row>
    <row r="508" spans="1:12" x14ac:dyDescent="0.3">
      <c r="A508" s="3">
        <v>44844</v>
      </c>
      <c r="B508" s="11" t="s">
        <v>1160</v>
      </c>
      <c r="C508" s="50" t="s">
        <v>2719</v>
      </c>
      <c r="F508" s="15">
        <v>228310101772</v>
      </c>
      <c r="G508" s="2">
        <v>2000</v>
      </c>
      <c r="I508" s="75">
        <f t="shared" si="42"/>
        <v>5942.1100000000006</v>
      </c>
      <c r="L508" s="2">
        <f t="shared" si="40"/>
        <v>8</v>
      </c>
    </row>
    <row r="509" spans="1:12" x14ac:dyDescent="0.3">
      <c r="A509" s="3">
        <v>44844</v>
      </c>
      <c r="B509" s="11" t="s">
        <v>2720</v>
      </c>
      <c r="C509" s="50" t="s">
        <v>2721</v>
      </c>
      <c r="F509" s="15">
        <v>228310122282</v>
      </c>
      <c r="H509" s="2">
        <v>5000</v>
      </c>
      <c r="I509" s="75">
        <f t="shared" si="42"/>
        <v>942.11000000000058</v>
      </c>
      <c r="L509" s="2">
        <f t="shared" si="40"/>
        <v>20</v>
      </c>
    </row>
    <row r="510" spans="1:12" x14ac:dyDescent="0.3">
      <c r="A510" s="3">
        <v>44844</v>
      </c>
      <c r="B510" s="11" t="s">
        <v>1250</v>
      </c>
      <c r="C510" s="50" t="s">
        <v>1036</v>
      </c>
      <c r="F510" s="15"/>
      <c r="G510" s="2">
        <v>10000</v>
      </c>
      <c r="I510" s="75">
        <f t="shared" si="42"/>
        <v>10942.11</v>
      </c>
      <c r="L510" s="2">
        <f t="shared" si="40"/>
        <v>20</v>
      </c>
    </row>
    <row r="511" spans="1:12" x14ac:dyDescent="0.3">
      <c r="A511" s="3">
        <v>44844</v>
      </c>
      <c r="B511" s="11" t="s">
        <v>1257</v>
      </c>
      <c r="C511" s="50" t="s">
        <v>2274</v>
      </c>
      <c r="F511" s="15"/>
      <c r="H511" s="2">
        <v>6000</v>
      </c>
      <c r="I511" s="75">
        <f t="shared" si="42"/>
        <v>4942.1100000000006</v>
      </c>
      <c r="L511" s="2">
        <f t="shared" ref="L511:L542" si="43">IF((G511+H511)&lt;=5000,(H511+G511)*0.004,20)+IF(E511="Y",25,0)</f>
        <v>20</v>
      </c>
    </row>
    <row r="512" spans="1:12" x14ac:dyDescent="0.3">
      <c r="A512" s="3">
        <v>44844</v>
      </c>
      <c r="B512" s="11" t="s">
        <v>1250</v>
      </c>
      <c r="C512" s="50" t="s">
        <v>2725</v>
      </c>
      <c r="F512" s="15"/>
      <c r="G512" s="2">
        <v>500</v>
      </c>
      <c r="I512" s="75">
        <f t="shared" si="42"/>
        <v>5442.1100000000006</v>
      </c>
      <c r="L512" s="2">
        <f t="shared" si="43"/>
        <v>2</v>
      </c>
    </row>
    <row r="513" spans="1:12" x14ac:dyDescent="0.3">
      <c r="A513" s="3">
        <v>44845</v>
      </c>
      <c r="B513" s="11" t="s">
        <v>1250</v>
      </c>
      <c r="C513" s="50" t="s">
        <v>2727</v>
      </c>
      <c r="F513" s="15"/>
      <c r="G513" s="2">
        <v>1100</v>
      </c>
      <c r="I513" s="75">
        <f t="shared" si="42"/>
        <v>6542.1100000000006</v>
      </c>
      <c r="L513" s="2">
        <f t="shared" si="43"/>
        <v>4.4000000000000004</v>
      </c>
    </row>
    <row r="514" spans="1:12" x14ac:dyDescent="0.3">
      <c r="A514" s="3">
        <v>44845</v>
      </c>
      <c r="B514" s="11" t="s">
        <v>2733</v>
      </c>
      <c r="C514" s="50" t="s">
        <v>2729</v>
      </c>
      <c r="E514" s="90" t="s">
        <v>16</v>
      </c>
      <c r="F514" s="15"/>
      <c r="H514" s="2">
        <v>200</v>
      </c>
      <c r="I514" s="75">
        <f t="shared" si="42"/>
        <v>6342.1100000000006</v>
      </c>
      <c r="L514" s="2">
        <f t="shared" si="43"/>
        <v>25.8</v>
      </c>
    </row>
    <row r="515" spans="1:12" x14ac:dyDescent="0.3">
      <c r="A515" s="3">
        <v>44845</v>
      </c>
      <c r="B515" s="11" t="s">
        <v>2346</v>
      </c>
      <c r="C515" s="50" t="s">
        <v>2456</v>
      </c>
      <c r="F515" s="15"/>
      <c r="H515" s="2">
        <v>3600</v>
      </c>
      <c r="I515" s="75">
        <f t="shared" si="42"/>
        <v>2742.1100000000006</v>
      </c>
      <c r="L515" s="2">
        <f t="shared" si="43"/>
        <v>14.4</v>
      </c>
    </row>
    <row r="516" spans="1:12" x14ac:dyDescent="0.3">
      <c r="A516" s="3">
        <v>44846</v>
      </c>
      <c r="B516" s="11" t="s">
        <v>2642</v>
      </c>
      <c r="C516" s="50" t="s">
        <v>2639</v>
      </c>
      <c r="H516" s="2">
        <v>1000</v>
      </c>
      <c r="I516" s="75">
        <f t="shared" si="42"/>
        <v>1742.1100000000006</v>
      </c>
      <c r="L516" s="2">
        <f t="shared" si="43"/>
        <v>4</v>
      </c>
    </row>
    <row r="517" spans="1:12" x14ac:dyDescent="0.3">
      <c r="A517" s="3">
        <v>44846</v>
      </c>
      <c r="B517" s="11" t="s">
        <v>1250</v>
      </c>
      <c r="C517" s="50" t="s">
        <v>2734</v>
      </c>
      <c r="F517" s="15"/>
      <c r="G517" s="2">
        <v>3000</v>
      </c>
      <c r="I517" s="75">
        <f t="shared" si="42"/>
        <v>4742.1100000000006</v>
      </c>
      <c r="L517" s="2">
        <f t="shared" si="43"/>
        <v>12</v>
      </c>
    </row>
    <row r="518" spans="1:12" x14ac:dyDescent="0.3">
      <c r="A518" s="3">
        <v>44846</v>
      </c>
      <c r="B518" s="11" t="s">
        <v>2184</v>
      </c>
      <c r="C518" s="50" t="s">
        <v>577</v>
      </c>
      <c r="F518" s="15"/>
      <c r="H518" s="2">
        <v>4200</v>
      </c>
      <c r="I518" s="75">
        <f t="shared" si="42"/>
        <v>542.11000000000058</v>
      </c>
      <c r="L518" s="2">
        <f t="shared" si="43"/>
        <v>16.8</v>
      </c>
    </row>
    <row r="519" spans="1:12" x14ac:dyDescent="0.3">
      <c r="A519" s="3">
        <v>44846</v>
      </c>
      <c r="B519" s="11" t="s">
        <v>2271</v>
      </c>
      <c r="C519" s="50" t="s">
        <v>2493</v>
      </c>
      <c r="D519" s="50">
        <v>7739221846</v>
      </c>
      <c r="F519" s="15">
        <v>228517712141</v>
      </c>
      <c r="G519" s="2">
        <v>1500</v>
      </c>
      <c r="I519" s="75">
        <f t="shared" si="42"/>
        <v>2042.1100000000006</v>
      </c>
      <c r="L519" s="2">
        <f t="shared" si="43"/>
        <v>6</v>
      </c>
    </row>
    <row r="520" spans="1:12" x14ac:dyDescent="0.3">
      <c r="A520" s="3">
        <v>44846</v>
      </c>
      <c r="B520" s="11" t="s">
        <v>1250</v>
      </c>
      <c r="C520" s="50" t="s">
        <v>2387</v>
      </c>
      <c r="F520" s="15"/>
      <c r="G520" s="2">
        <v>2200</v>
      </c>
      <c r="I520" s="75">
        <f t="shared" si="42"/>
        <v>4242.1100000000006</v>
      </c>
      <c r="L520" s="2">
        <f t="shared" si="43"/>
        <v>8.8000000000000007</v>
      </c>
    </row>
    <row r="521" spans="1:12" x14ac:dyDescent="0.3">
      <c r="A521" s="3">
        <v>44846</v>
      </c>
      <c r="B521" s="11" t="s">
        <v>2735</v>
      </c>
      <c r="C521" s="50" t="s">
        <v>1279</v>
      </c>
      <c r="F521" s="15"/>
      <c r="H521" s="2">
        <v>4000</v>
      </c>
      <c r="I521" s="75">
        <f t="shared" ref="I521:I575" si="44">I520+G521-H521</f>
        <v>242.11000000000058</v>
      </c>
      <c r="L521" s="2">
        <f t="shared" si="43"/>
        <v>16</v>
      </c>
    </row>
    <row r="522" spans="1:12" x14ac:dyDescent="0.3">
      <c r="A522" s="3">
        <v>44847</v>
      </c>
      <c r="B522" s="11" t="s">
        <v>1160</v>
      </c>
      <c r="C522" s="50" t="s">
        <v>231</v>
      </c>
      <c r="D522" s="50">
        <v>7739230189</v>
      </c>
      <c r="F522" s="15">
        <v>228612780241</v>
      </c>
      <c r="G522" s="2">
        <v>6000</v>
      </c>
      <c r="I522" s="75">
        <f t="shared" si="44"/>
        <v>6242.1100000000006</v>
      </c>
      <c r="L522" s="2">
        <f t="shared" si="43"/>
        <v>20</v>
      </c>
    </row>
    <row r="523" spans="1:12" x14ac:dyDescent="0.3">
      <c r="A523" s="3">
        <v>44847</v>
      </c>
      <c r="B523" s="11" t="s">
        <v>2238</v>
      </c>
      <c r="C523" s="50" t="s">
        <v>2715</v>
      </c>
      <c r="F523" s="15"/>
      <c r="H523" s="2">
        <v>4000</v>
      </c>
      <c r="I523" s="75">
        <f t="shared" si="44"/>
        <v>2242.1100000000006</v>
      </c>
      <c r="L523" s="2">
        <f t="shared" si="43"/>
        <v>16</v>
      </c>
    </row>
    <row r="524" spans="1:12" x14ac:dyDescent="0.3">
      <c r="A524" s="3">
        <v>44848</v>
      </c>
      <c r="B524" s="11" t="s">
        <v>1160</v>
      </c>
      <c r="C524" s="50" t="s">
        <v>2736</v>
      </c>
      <c r="F524" s="15">
        <v>228717473757</v>
      </c>
      <c r="G524" s="2">
        <v>4100</v>
      </c>
      <c r="I524" s="75">
        <f t="shared" si="44"/>
        <v>6342.1100000000006</v>
      </c>
      <c r="L524" s="2">
        <f t="shared" si="43"/>
        <v>16.399999999999999</v>
      </c>
    </row>
    <row r="525" spans="1:12" x14ac:dyDescent="0.3">
      <c r="A525" s="3">
        <v>44848</v>
      </c>
      <c r="B525" s="11" t="s">
        <v>2599</v>
      </c>
      <c r="C525" s="50" t="s">
        <v>1644</v>
      </c>
      <c r="F525" s="15">
        <v>228717505333</v>
      </c>
      <c r="H525" s="2">
        <v>3000</v>
      </c>
      <c r="I525" s="75">
        <f t="shared" si="44"/>
        <v>3342.1100000000006</v>
      </c>
      <c r="L525" s="2">
        <f t="shared" si="43"/>
        <v>12</v>
      </c>
    </row>
    <row r="526" spans="1:12" x14ac:dyDescent="0.3">
      <c r="A526" s="3">
        <v>44848</v>
      </c>
      <c r="B526" s="11" t="s">
        <v>1250</v>
      </c>
      <c r="C526" s="50" t="s">
        <v>2737</v>
      </c>
      <c r="F526" s="15"/>
      <c r="G526" s="2">
        <v>4000</v>
      </c>
      <c r="I526" s="75">
        <f t="shared" si="44"/>
        <v>7342.1100000000006</v>
      </c>
      <c r="L526" s="2">
        <f t="shared" si="43"/>
        <v>16</v>
      </c>
    </row>
    <row r="527" spans="1:12" x14ac:dyDescent="0.3">
      <c r="A527" s="3">
        <v>44849</v>
      </c>
      <c r="B527" s="11" t="s">
        <v>1160</v>
      </c>
      <c r="C527" s="50" t="s">
        <v>231</v>
      </c>
      <c r="F527" s="15">
        <v>228812497887</v>
      </c>
      <c r="G527" s="2">
        <v>2000</v>
      </c>
      <c r="I527" s="75">
        <f t="shared" si="44"/>
        <v>9342.11</v>
      </c>
      <c r="L527" s="2">
        <f t="shared" si="43"/>
        <v>8</v>
      </c>
    </row>
    <row r="528" spans="1:12" x14ac:dyDescent="0.3">
      <c r="A528" s="3">
        <v>44849</v>
      </c>
      <c r="B528" s="11" t="s">
        <v>2738</v>
      </c>
      <c r="C528" s="50" t="s">
        <v>2739</v>
      </c>
      <c r="E528" s="90" t="s">
        <v>16</v>
      </c>
      <c r="F528" s="15">
        <v>228818283564</v>
      </c>
      <c r="H528" s="2">
        <v>100</v>
      </c>
      <c r="I528" s="75">
        <f t="shared" si="44"/>
        <v>9242.11</v>
      </c>
      <c r="L528" s="2">
        <f t="shared" si="43"/>
        <v>25.4</v>
      </c>
    </row>
    <row r="529" spans="1:12" x14ac:dyDescent="0.3">
      <c r="A529" s="3">
        <v>44849</v>
      </c>
      <c r="B529" s="11" t="s">
        <v>2735</v>
      </c>
      <c r="C529" s="50" t="s">
        <v>1279</v>
      </c>
      <c r="F529" s="15"/>
      <c r="H529" s="2">
        <v>9000</v>
      </c>
      <c r="I529" s="75">
        <f t="shared" si="44"/>
        <v>242.11000000000058</v>
      </c>
      <c r="L529" s="2">
        <f t="shared" si="43"/>
        <v>20</v>
      </c>
    </row>
    <row r="530" spans="1:12" x14ac:dyDescent="0.3">
      <c r="A530" s="3">
        <v>44851</v>
      </c>
      <c r="B530" s="11" t="s">
        <v>2743</v>
      </c>
      <c r="F530" s="15"/>
      <c r="G530" s="2">
        <v>200</v>
      </c>
      <c r="I530" s="75">
        <f t="shared" si="44"/>
        <v>442.11000000000058</v>
      </c>
      <c r="L530" s="2">
        <f t="shared" si="43"/>
        <v>0.8</v>
      </c>
    </row>
    <row r="531" spans="1:12" x14ac:dyDescent="0.3">
      <c r="A531" s="3">
        <v>44851</v>
      </c>
      <c r="B531" s="11" t="s">
        <v>2744</v>
      </c>
      <c r="C531" s="50" t="s">
        <v>2745</v>
      </c>
      <c r="E531" s="90" t="s">
        <v>16</v>
      </c>
      <c r="F531" s="15"/>
      <c r="G531" s="2">
        <v>1</v>
      </c>
      <c r="I531" s="75">
        <f t="shared" si="44"/>
        <v>443.11000000000058</v>
      </c>
      <c r="L531" s="2">
        <f t="shared" si="43"/>
        <v>25.004000000000001</v>
      </c>
    </row>
    <row r="532" spans="1:12" x14ac:dyDescent="0.3">
      <c r="A532" s="3">
        <v>44851</v>
      </c>
      <c r="B532" s="11" t="s">
        <v>2184</v>
      </c>
      <c r="C532" s="50" t="s">
        <v>577</v>
      </c>
      <c r="F532" s="15"/>
      <c r="G532" s="2">
        <v>2000</v>
      </c>
      <c r="I532" s="75">
        <f t="shared" si="44"/>
        <v>2443.1100000000006</v>
      </c>
      <c r="L532" s="2">
        <f t="shared" si="43"/>
        <v>8</v>
      </c>
    </row>
    <row r="533" spans="1:12" x14ac:dyDescent="0.3">
      <c r="A533" s="3">
        <v>44851</v>
      </c>
      <c r="B533" s="11" t="s">
        <v>2746</v>
      </c>
      <c r="C533" s="50" t="s">
        <v>2747</v>
      </c>
      <c r="E533" s="90" t="s">
        <v>16</v>
      </c>
      <c r="F533" s="15">
        <v>229020222604</v>
      </c>
      <c r="H533" s="2">
        <v>1000</v>
      </c>
      <c r="I533" s="75">
        <f t="shared" si="44"/>
        <v>1443.1100000000006</v>
      </c>
      <c r="L533" s="2">
        <f t="shared" si="43"/>
        <v>29</v>
      </c>
    </row>
    <row r="534" spans="1:12" x14ac:dyDescent="0.3">
      <c r="A534" s="3">
        <v>44851</v>
      </c>
      <c r="B534" s="11" t="s">
        <v>2704</v>
      </c>
      <c r="C534" s="50" t="s">
        <v>913</v>
      </c>
      <c r="F534" s="15">
        <v>229020234711</v>
      </c>
      <c r="H534" s="2">
        <v>1000</v>
      </c>
      <c r="I534" s="75">
        <f t="shared" si="44"/>
        <v>443.11000000000058</v>
      </c>
      <c r="L534" s="2">
        <f t="shared" si="43"/>
        <v>4</v>
      </c>
    </row>
    <row r="535" spans="1:12" x14ac:dyDescent="0.3">
      <c r="A535" s="3">
        <v>44852</v>
      </c>
      <c r="C535" s="50" t="s">
        <v>2753</v>
      </c>
      <c r="F535" s="15"/>
      <c r="G535" s="2">
        <v>842.14</v>
      </c>
      <c r="I535" s="75">
        <f t="shared" si="44"/>
        <v>1285.2500000000005</v>
      </c>
      <c r="L535" s="2">
        <f t="shared" si="43"/>
        <v>3.36856</v>
      </c>
    </row>
    <row r="536" spans="1:12" x14ac:dyDescent="0.3">
      <c r="A536" s="3">
        <v>44852</v>
      </c>
      <c r="B536" s="11" t="s">
        <v>2251</v>
      </c>
      <c r="C536" s="50" t="s">
        <v>2725</v>
      </c>
      <c r="F536" s="15">
        <v>229118602181</v>
      </c>
      <c r="G536" s="2">
        <v>3600</v>
      </c>
      <c r="I536" s="75">
        <f t="shared" si="44"/>
        <v>4885.25</v>
      </c>
      <c r="L536" s="2">
        <f t="shared" si="43"/>
        <v>14.4</v>
      </c>
    </row>
    <row r="537" spans="1:12" x14ac:dyDescent="0.3">
      <c r="A537" s="3">
        <v>44852</v>
      </c>
      <c r="B537" s="11" t="s">
        <v>2184</v>
      </c>
      <c r="C537" s="50" t="s">
        <v>577</v>
      </c>
      <c r="F537" s="15"/>
      <c r="H537" s="2">
        <v>2000</v>
      </c>
      <c r="I537" s="75">
        <f t="shared" si="44"/>
        <v>2885.25</v>
      </c>
      <c r="L537" s="2">
        <f t="shared" si="43"/>
        <v>8</v>
      </c>
    </row>
    <row r="538" spans="1:12" x14ac:dyDescent="0.3">
      <c r="A538" s="3">
        <v>37549</v>
      </c>
      <c r="B538" s="11" t="s">
        <v>2759</v>
      </c>
      <c r="C538" s="50" t="s">
        <v>2760</v>
      </c>
      <c r="E538" s="90" t="s">
        <v>16</v>
      </c>
      <c r="F538" s="15">
        <v>229312614208</v>
      </c>
      <c r="H538" s="2">
        <v>100</v>
      </c>
      <c r="I538" s="75">
        <f t="shared" si="44"/>
        <v>2785.25</v>
      </c>
      <c r="L538" s="2">
        <f t="shared" si="43"/>
        <v>25.4</v>
      </c>
    </row>
    <row r="539" spans="1:12" x14ac:dyDescent="0.3">
      <c r="A539" s="3">
        <v>37549</v>
      </c>
      <c r="B539" s="11" t="s">
        <v>2767</v>
      </c>
      <c r="C539" s="50" t="s">
        <v>2766</v>
      </c>
      <c r="E539" s="90" t="s">
        <v>16</v>
      </c>
      <c r="F539" s="15">
        <v>229317861640</v>
      </c>
      <c r="H539" s="2">
        <v>100</v>
      </c>
      <c r="I539" s="75">
        <f t="shared" si="44"/>
        <v>2685.25</v>
      </c>
      <c r="L539" s="2">
        <f t="shared" si="43"/>
        <v>25.4</v>
      </c>
    </row>
    <row r="540" spans="1:12" x14ac:dyDescent="0.3">
      <c r="A540" s="3">
        <v>37549</v>
      </c>
      <c r="B540" s="11" t="s">
        <v>2768</v>
      </c>
      <c r="C540" s="50" t="s">
        <v>2763</v>
      </c>
      <c r="E540" s="90" t="s">
        <v>16</v>
      </c>
      <c r="F540" s="15">
        <v>229317871450</v>
      </c>
      <c r="H540" s="2">
        <v>100</v>
      </c>
      <c r="I540" s="75">
        <f t="shared" si="44"/>
        <v>2585.25</v>
      </c>
      <c r="L540" s="2">
        <f t="shared" si="43"/>
        <v>25.4</v>
      </c>
    </row>
    <row r="541" spans="1:12" x14ac:dyDescent="0.3">
      <c r="A541" s="3">
        <v>37549</v>
      </c>
      <c r="B541" s="11" t="s">
        <v>1160</v>
      </c>
      <c r="C541" s="50" t="s">
        <v>2769</v>
      </c>
      <c r="D541" s="50">
        <v>8434809648</v>
      </c>
      <c r="F541" s="15"/>
      <c r="G541" s="2">
        <v>900</v>
      </c>
      <c r="I541" s="75">
        <f t="shared" si="44"/>
        <v>3485.25</v>
      </c>
      <c r="L541" s="2">
        <f t="shared" si="43"/>
        <v>3.6</v>
      </c>
    </row>
    <row r="542" spans="1:12" x14ac:dyDescent="0.3">
      <c r="A542" s="3">
        <v>37549</v>
      </c>
      <c r="B542" s="11" t="s">
        <v>2770</v>
      </c>
      <c r="C542" s="50" t="s">
        <v>2771</v>
      </c>
      <c r="E542" s="90" t="s">
        <v>16</v>
      </c>
      <c r="F542" s="15">
        <v>229317991802</v>
      </c>
      <c r="H542" s="2">
        <v>450</v>
      </c>
      <c r="I542" s="75">
        <f t="shared" si="44"/>
        <v>3035.25</v>
      </c>
      <c r="L542" s="2">
        <f t="shared" si="43"/>
        <v>26.8</v>
      </c>
    </row>
    <row r="543" spans="1:12" x14ac:dyDescent="0.3">
      <c r="A543" s="3">
        <v>37549</v>
      </c>
      <c r="B543" s="11" t="s">
        <v>1250</v>
      </c>
      <c r="C543" s="50" t="s">
        <v>2284</v>
      </c>
      <c r="F543" s="15">
        <v>229317030075</v>
      </c>
      <c r="G543" s="2">
        <v>2000</v>
      </c>
      <c r="I543" s="75">
        <f t="shared" si="44"/>
        <v>5035.25</v>
      </c>
      <c r="L543" s="2">
        <f t="shared" ref="L543:L575" si="45">IF((G543+H543)&lt;=5000,(H543+G543)*0.004,20)+IF(E543="Y",25,0)</f>
        <v>8</v>
      </c>
    </row>
    <row r="544" spans="1:12" x14ac:dyDescent="0.3">
      <c r="A544" s="3">
        <v>37549</v>
      </c>
      <c r="B544" s="11" t="s">
        <v>2772</v>
      </c>
      <c r="C544" s="50" t="s">
        <v>2773</v>
      </c>
      <c r="E544" s="90" t="s">
        <v>16</v>
      </c>
      <c r="F544" s="15">
        <v>229318121459</v>
      </c>
      <c r="H544" s="2">
        <v>100</v>
      </c>
      <c r="I544" s="75">
        <f t="shared" si="44"/>
        <v>4935.25</v>
      </c>
      <c r="L544" s="2">
        <f t="shared" si="45"/>
        <v>25.4</v>
      </c>
    </row>
    <row r="545" spans="1:12" x14ac:dyDescent="0.3">
      <c r="A545" s="3">
        <v>37549</v>
      </c>
      <c r="B545" s="11" t="s">
        <v>1160</v>
      </c>
      <c r="C545" s="50" t="s">
        <v>2774</v>
      </c>
      <c r="D545" s="50">
        <v>8210917296</v>
      </c>
      <c r="F545" s="15">
        <v>229318147846</v>
      </c>
      <c r="G545" s="2">
        <v>3000</v>
      </c>
      <c r="I545" s="75">
        <f t="shared" si="44"/>
        <v>7935.25</v>
      </c>
      <c r="L545" s="2">
        <f t="shared" si="45"/>
        <v>12</v>
      </c>
    </row>
    <row r="546" spans="1:12" x14ac:dyDescent="0.3">
      <c r="A546" s="3">
        <v>37549</v>
      </c>
      <c r="B546" s="11" t="s">
        <v>2351</v>
      </c>
      <c r="C546" s="50" t="s">
        <v>2775</v>
      </c>
      <c r="F546" s="15"/>
      <c r="G546" s="2">
        <v>3600</v>
      </c>
      <c r="I546" s="75">
        <f t="shared" si="44"/>
        <v>11535.25</v>
      </c>
      <c r="L546" s="2">
        <f t="shared" si="45"/>
        <v>14.4</v>
      </c>
    </row>
    <row r="547" spans="1:12" x14ac:dyDescent="0.3">
      <c r="A547" s="3">
        <v>44855</v>
      </c>
      <c r="B547" s="11" t="s">
        <v>2777</v>
      </c>
      <c r="C547" s="50" t="s">
        <v>2778</v>
      </c>
      <c r="D547" s="50">
        <v>9832335077</v>
      </c>
      <c r="F547" s="15">
        <v>229417519595</v>
      </c>
      <c r="G547" s="2">
        <v>1000</v>
      </c>
      <c r="I547" s="75">
        <f t="shared" si="44"/>
        <v>12535.25</v>
      </c>
      <c r="L547" s="2">
        <f t="shared" si="45"/>
        <v>4</v>
      </c>
    </row>
    <row r="548" spans="1:12" x14ac:dyDescent="0.3">
      <c r="A548" s="3">
        <v>44855</v>
      </c>
      <c r="B548" s="11" t="s">
        <v>2735</v>
      </c>
      <c r="C548" s="50" t="s">
        <v>2779</v>
      </c>
      <c r="F548" s="15"/>
      <c r="H548" s="2">
        <v>10000</v>
      </c>
      <c r="I548" s="75">
        <f t="shared" si="44"/>
        <v>2535.25</v>
      </c>
      <c r="L548" s="2">
        <f t="shared" si="45"/>
        <v>20</v>
      </c>
    </row>
    <row r="549" spans="1:12" x14ac:dyDescent="0.3">
      <c r="A549" s="3">
        <v>44855</v>
      </c>
      <c r="B549" s="11" t="s">
        <v>1160</v>
      </c>
      <c r="C549" s="50" t="s">
        <v>2780</v>
      </c>
      <c r="D549" s="50">
        <v>8235429892</v>
      </c>
      <c r="F549" s="15">
        <v>229419410404</v>
      </c>
      <c r="G549" s="2">
        <v>1500</v>
      </c>
      <c r="I549" s="75">
        <f t="shared" si="44"/>
        <v>4035.25</v>
      </c>
      <c r="L549" s="2">
        <f t="shared" si="45"/>
        <v>6</v>
      </c>
    </row>
    <row r="550" spans="1:12" x14ac:dyDescent="0.3">
      <c r="A550" s="3">
        <v>44856</v>
      </c>
      <c r="B550" s="11" t="s">
        <v>2781</v>
      </c>
      <c r="C550" s="50" t="s">
        <v>2782</v>
      </c>
      <c r="F550" s="15">
        <v>229517999797</v>
      </c>
      <c r="H550" s="2">
        <v>1200</v>
      </c>
      <c r="I550" s="75">
        <f t="shared" si="44"/>
        <v>2835.25</v>
      </c>
      <c r="L550" s="2">
        <f t="shared" si="45"/>
        <v>4.8</v>
      </c>
    </row>
    <row r="551" spans="1:12" x14ac:dyDescent="0.3">
      <c r="A551" s="3"/>
      <c r="F551" s="15"/>
      <c r="G551" s="2">
        <v>1000</v>
      </c>
      <c r="I551" s="75">
        <f t="shared" si="44"/>
        <v>3835.25</v>
      </c>
      <c r="L551" s="2">
        <f t="shared" si="45"/>
        <v>4</v>
      </c>
    </row>
    <row r="552" spans="1:12" x14ac:dyDescent="0.3">
      <c r="A552" s="3">
        <v>44857</v>
      </c>
      <c r="B552" s="11" t="s">
        <v>1472</v>
      </c>
      <c r="C552" s="50" t="s">
        <v>2488</v>
      </c>
      <c r="F552" s="15">
        <v>229609092495</v>
      </c>
      <c r="G552" s="2">
        <v>1500</v>
      </c>
      <c r="I552" s="75">
        <f t="shared" si="44"/>
        <v>5335.25</v>
      </c>
      <c r="L552" s="2">
        <f t="shared" si="45"/>
        <v>6</v>
      </c>
    </row>
    <row r="553" spans="1:12" x14ac:dyDescent="0.3">
      <c r="A553" s="3">
        <v>44857</v>
      </c>
      <c r="C553" s="50" t="s">
        <v>2784</v>
      </c>
      <c r="F553" s="15"/>
      <c r="H553" s="2">
        <v>500</v>
      </c>
      <c r="I553" s="75">
        <f t="shared" si="44"/>
        <v>4835.25</v>
      </c>
      <c r="L553" s="2">
        <f t="shared" si="45"/>
        <v>2</v>
      </c>
    </row>
    <row r="554" spans="1:12" x14ac:dyDescent="0.3">
      <c r="A554" s="3">
        <v>44858</v>
      </c>
      <c r="B554" s="11" t="s">
        <v>2351</v>
      </c>
      <c r="C554" s="50" t="s">
        <v>2783</v>
      </c>
      <c r="D554" s="50">
        <v>9798478996</v>
      </c>
      <c r="F554" s="15"/>
      <c r="G554" s="2">
        <v>2000</v>
      </c>
      <c r="I554" s="75">
        <f t="shared" si="44"/>
        <v>6835.25</v>
      </c>
      <c r="L554" s="2">
        <f t="shared" si="45"/>
        <v>8</v>
      </c>
    </row>
    <row r="555" spans="1:12" x14ac:dyDescent="0.3">
      <c r="A555" s="3">
        <v>44858</v>
      </c>
      <c r="B555" s="11" t="s">
        <v>2148</v>
      </c>
      <c r="F555" s="15">
        <v>229714883558</v>
      </c>
      <c r="G555" s="2">
        <v>2100</v>
      </c>
      <c r="I555" s="75">
        <f t="shared" si="44"/>
        <v>8935.25</v>
      </c>
      <c r="L555" s="2">
        <f t="shared" si="45"/>
        <v>8.4</v>
      </c>
    </row>
    <row r="556" spans="1:12" x14ac:dyDescent="0.3">
      <c r="A556" s="3">
        <v>44858</v>
      </c>
      <c r="B556" s="11" t="s">
        <v>2735</v>
      </c>
      <c r="C556" s="50" t="s">
        <v>1356</v>
      </c>
      <c r="F556" s="15"/>
      <c r="H556" s="2">
        <v>8500</v>
      </c>
      <c r="I556" s="75">
        <f t="shared" si="44"/>
        <v>435.25</v>
      </c>
      <c r="L556" s="2">
        <f t="shared" si="45"/>
        <v>20</v>
      </c>
    </row>
    <row r="557" spans="1:12" x14ac:dyDescent="0.3">
      <c r="A557" s="3">
        <v>44859</v>
      </c>
      <c r="B557" s="11" t="s">
        <v>2337</v>
      </c>
      <c r="C557" s="50" t="s">
        <v>2626</v>
      </c>
      <c r="F557" s="15">
        <v>229811687799</v>
      </c>
      <c r="G557" s="2">
        <v>500</v>
      </c>
      <c r="I557" s="75">
        <f t="shared" si="44"/>
        <v>935.25</v>
      </c>
      <c r="L557" s="2">
        <f t="shared" si="45"/>
        <v>2</v>
      </c>
    </row>
    <row r="558" spans="1:12" x14ac:dyDescent="0.3">
      <c r="A558" s="3">
        <v>44859</v>
      </c>
      <c r="B558" s="11" t="s">
        <v>2232</v>
      </c>
      <c r="C558" s="50" t="s">
        <v>2635</v>
      </c>
      <c r="F558" s="15">
        <v>229812744718</v>
      </c>
      <c r="G558" s="2">
        <v>1100</v>
      </c>
      <c r="I558" s="75">
        <f t="shared" si="44"/>
        <v>2035.25</v>
      </c>
      <c r="L558" s="2">
        <f t="shared" si="45"/>
        <v>4.4000000000000004</v>
      </c>
    </row>
    <row r="559" spans="1:12" x14ac:dyDescent="0.3">
      <c r="A559" s="3">
        <v>44860</v>
      </c>
      <c r="B559" s="11" t="s">
        <v>2146</v>
      </c>
      <c r="C559" s="50" t="s">
        <v>2785</v>
      </c>
      <c r="F559" s="15">
        <v>229911454197</v>
      </c>
      <c r="G559" s="2">
        <v>2000</v>
      </c>
      <c r="I559" s="75">
        <f t="shared" si="44"/>
        <v>4035.25</v>
      </c>
      <c r="L559" s="2">
        <f t="shared" si="45"/>
        <v>8</v>
      </c>
    </row>
    <row r="560" spans="1:12" x14ac:dyDescent="0.3">
      <c r="A560" s="3">
        <v>44860</v>
      </c>
      <c r="B560" s="11" t="s">
        <v>1160</v>
      </c>
      <c r="C560" s="50" t="s">
        <v>2786</v>
      </c>
      <c r="D560" s="50">
        <v>8789860681</v>
      </c>
      <c r="F560" s="15">
        <v>229912614024</v>
      </c>
      <c r="G560" s="2">
        <v>2000</v>
      </c>
      <c r="I560" s="75">
        <f t="shared" si="44"/>
        <v>6035.25</v>
      </c>
      <c r="L560" s="2">
        <f t="shared" si="45"/>
        <v>8</v>
      </c>
    </row>
    <row r="561" spans="1:14" x14ac:dyDescent="0.3">
      <c r="A561" s="3">
        <v>44860</v>
      </c>
      <c r="B561" s="11" t="s">
        <v>2791</v>
      </c>
      <c r="C561" s="50" t="s">
        <v>2792</v>
      </c>
      <c r="E561" s="90" t="s">
        <v>14</v>
      </c>
      <c r="F561" s="15"/>
      <c r="H561" s="2">
        <v>500</v>
      </c>
      <c r="I561" s="75">
        <f t="shared" si="44"/>
        <v>5535.25</v>
      </c>
      <c r="L561" s="2">
        <f t="shared" si="45"/>
        <v>27</v>
      </c>
    </row>
    <row r="562" spans="1:14" x14ac:dyDescent="0.3">
      <c r="A562" s="3">
        <v>44860</v>
      </c>
      <c r="B562" s="11" t="s">
        <v>2735</v>
      </c>
      <c r="C562" s="50" t="s">
        <v>2779</v>
      </c>
      <c r="F562" s="15"/>
      <c r="H562" s="2">
        <v>5000</v>
      </c>
      <c r="I562" s="75">
        <f t="shared" si="44"/>
        <v>535.25</v>
      </c>
      <c r="L562" s="2">
        <f t="shared" si="45"/>
        <v>20</v>
      </c>
    </row>
    <row r="563" spans="1:14" x14ac:dyDescent="0.3">
      <c r="A563" s="3">
        <v>44861</v>
      </c>
      <c r="B563" s="11" t="s">
        <v>2793</v>
      </c>
      <c r="C563" s="50" t="s">
        <v>2794</v>
      </c>
      <c r="E563" s="90" t="s">
        <v>16</v>
      </c>
      <c r="F563" s="15"/>
      <c r="H563" s="2">
        <v>100</v>
      </c>
      <c r="I563" s="75">
        <f t="shared" si="44"/>
        <v>435.25</v>
      </c>
      <c r="L563" s="2">
        <f t="shared" si="45"/>
        <v>25.4</v>
      </c>
    </row>
    <row r="564" spans="1:14" x14ac:dyDescent="0.3">
      <c r="A564" s="3">
        <v>44861</v>
      </c>
      <c r="B564" s="11" t="s">
        <v>2795</v>
      </c>
      <c r="C564" s="50" t="s">
        <v>2796</v>
      </c>
      <c r="E564" s="90" t="s">
        <v>16</v>
      </c>
      <c r="F564" s="15"/>
      <c r="H564" s="2">
        <v>100</v>
      </c>
      <c r="I564" s="75">
        <f t="shared" si="44"/>
        <v>335.25</v>
      </c>
      <c r="L564" s="2">
        <f t="shared" si="45"/>
        <v>25.4</v>
      </c>
    </row>
    <row r="565" spans="1:14" x14ac:dyDescent="0.3">
      <c r="A565" s="3">
        <v>44861</v>
      </c>
      <c r="B565" s="11" t="s">
        <v>2802</v>
      </c>
      <c r="C565" s="50" t="s">
        <v>2295</v>
      </c>
      <c r="F565" s="15">
        <v>230020544141</v>
      </c>
      <c r="G565" s="2">
        <v>9000</v>
      </c>
      <c r="I565" s="75">
        <f t="shared" si="44"/>
        <v>9335.25</v>
      </c>
      <c r="L565" s="2">
        <f t="shared" si="45"/>
        <v>20</v>
      </c>
    </row>
    <row r="566" spans="1:14" x14ac:dyDescent="0.3">
      <c r="A566" s="3">
        <v>44861</v>
      </c>
      <c r="B566" s="11" t="s">
        <v>1257</v>
      </c>
      <c r="C566" s="50" t="s">
        <v>2274</v>
      </c>
      <c r="F566" s="15">
        <v>230020548921</v>
      </c>
      <c r="H566" s="2">
        <v>9000</v>
      </c>
      <c r="I566" s="75">
        <f t="shared" si="44"/>
        <v>335.25</v>
      </c>
      <c r="L566" s="2">
        <f t="shared" si="45"/>
        <v>20</v>
      </c>
    </row>
    <row r="567" spans="1:14" x14ac:dyDescent="0.3">
      <c r="A567" s="3">
        <v>44862</v>
      </c>
      <c r="B567" s="11" t="s">
        <v>2416</v>
      </c>
      <c r="C567" s="50" t="s">
        <v>2710</v>
      </c>
      <c r="F567" s="15">
        <v>230111683748</v>
      </c>
      <c r="G567" s="2">
        <v>1000</v>
      </c>
      <c r="I567" s="75">
        <f t="shared" si="44"/>
        <v>1335.25</v>
      </c>
      <c r="L567" s="2">
        <f t="shared" si="45"/>
        <v>4</v>
      </c>
    </row>
    <row r="568" spans="1:14" x14ac:dyDescent="0.3">
      <c r="A568" s="3">
        <v>44862</v>
      </c>
      <c r="B568" s="11" t="s">
        <v>2807</v>
      </c>
      <c r="C568" s="50" t="s">
        <v>2808</v>
      </c>
      <c r="E568" s="90" t="s">
        <v>16</v>
      </c>
      <c r="F568" s="15">
        <v>230112031702</v>
      </c>
      <c r="H568" s="2">
        <v>100</v>
      </c>
      <c r="I568" s="75">
        <f t="shared" si="44"/>
        <v>1235.25</v>
      </c>
      <c r="L568" s="2">
        <f t="shared" si="45"/>
        <v>25.4</v>
      </c>
    </row>
    <row r="569" spans="1:14" x14ac:dyDescent="0.3">
      <c r="A569" s="3">
        <v>44862</v>
      </c>
      <c r="B569" s="11" t="s">
        <v>2810</v>
      </c>
      <c r="C569" s="50" t="s">
        <v>2809</v>
      </c>
      <c r="E569" s="90" t="s">
        <v>16</v>
      </c>
      <c r="F569" s="15"/>
      <c r="H569" s="2">
        <v>100</v>
      </c>
      <c r="I569" s="75">
        <f t="shared" si="44"/>
        <v>1135.25</v>
      </c>
      <c r="L569" s="2">
        <f t="shared" si="45"/>
        <v>25.4</v>
      </c>
    </row>
    <row r="570" spans="1:14" x14ac:dyDescent="0.3">
      <c r="A570" s="3">
        <v>44862</v>
      </c>
      <c r="B570" s="11" t="s">
        <v>2818</v>
      </c>
      <c r="C570" s="50" t="s">
        <v>2812</v>
      </c>
      <c r="E570" s="90" t="s">
        <v>16</v>
      </c>
      <c r="F570" s="15"/>
      <c r="H570" s="2">
        <v>100</v>
      </c>
      <c r="I570" s="75">
        <f t="shared" si="44"/>
        <v>1035.25</v>
      </c>
      <c r="L570" s="2">
        <f t="shared" si="45"/>
        <v>25.4</v>
      </c>
    </row>
    <row r="571" spans="1:14" x14ac:dyDescent="0.3">
      <c r="A571" s="3">
        <v>44863</v>
      </c>
      <c r="B571" s="11" t="s">
        <v>2819</v>
      </c>
      <c r="C571" s="50" t="s">
        <v>2820</v>
      </c>
      <c r="E571" s="90" t="s">
        <v>16</v>
      </c>
      <c r="F571" s="15">
        <v>230212869517</v>
      </c>
      <c r="H571" s="2">
        <v>100</v>
      </c>
      <c r="I571" s="75">
        <f t="shared" si="44"/>
        <v>935.25</v>
      </c>
      <c r="L571" s="2">
        <f t="shared" si="45"/>
        <v>25.4</v>
      </c>
    </row>
    <row r="572" spans="1:14" x14ac:dyDescent="0.3">
      <c r="A572" s="3">
        <v>44863</v>
      </c>
      <c r="B572" s="11" t="s">
        <v>2825</v>
      </c>
      <c r="C572" s="50" t="s">
        <v>2826</v>
      </c>
      <c r="E572" s="90" t="s">
        <v>16</v>
      </c>
      <c r="F572" s="15">
        <v>230217647816</v>
      </c>
      <c r="H572" s="2">
        <v>100</v>
      </c>
      <c r="I572" s="75">
        <f t="shared" si="44"/>
        <v>835.25</v>
      </c>
      <c r="L572" s="2">
        <f t="shared" si="45"/>
        <v>25.4</v>
      </c>
    </row>
    <row r="573" spans="1:14" x14ac:dyDescent="0.3">
      <c r="A573" s="3">
        <v>44865</v>
      </c>
      <c r="B573" s="11" t="s">
        <v>1472</v>
      </c>
      <c r="C573" s="50" t="s">
        <v>2830</v>
      </c>
      <c r="F573" s="15"/>
      <c r="G573" s="2">
        <v>10000</v>
      </c>
      <c r="I573" s="75">
        <f t="shared" si="44"/>
        <v>10835.25</v>
      </c>
      <c r="L573" s="2">
        <f t="shared" si="45"/>
        <v>20</v>
      </c>
    </row>
    <row r="574" spans="1:14" x14ac:dyDescent="0.3">
      <c r="A574" s="3">
        <v>44865</v>
      </c>
      <c r="B574" s="11" t="s">
        <v>2144</v>
      </c>
      <c r="C574" s="50" t="s">
        <v>2145</v>
      </c>
      <c r="F574" s="15"/>
      <c r="H574" s="2">
        <v>2000</v>
      </c>
      <c r="I574" s="75">
        <f t="shared" si="44"/>
        <v>8835.25</v>
      </c>
      <c r="L574" s="2">
        <f t="shared" si="45"/>
        <v>8</v>
      </c>
    </row>
    <row r="575" spans="1:14" x14ac:dyDescent="0.3">
      <c r="A575" s="3">
        <v>44865</v>
      </c>
      <c r="B575" s="11" t="s">
        <v>2139</v>
      </c>
      <c r="C575" s="50" t="s">
        <v>2274</v>
      </c>
      <c r="F575" s="15"/>
      <c r="H575" s="2">
        <v>5000</v>
      </c>
      <c r="I575" s="75">
        <f t="shared" si="44"/>
        <v>3835.25</v>
      </c>
      <c r="L575" s="2">
        <f t="shared" si="45"/>
        <v>20</v>
      </c>
    </row>
    <row r="576" spans="1:14" x14ac:dyDescent="0.3">
      <c r="A576" s="77"/>
      <c r="B576" s="80"/>
      <c r="C576" s="112"/>
      <c r="D576" s="112"/>
      <c r="E576" s="92">
        <f>COUNTIF(E479:E575,"y")</f>
        <v>20</v>
      </c>
      <c r="F576" s="28">
        <f>G576+H576</f>
        <v>240393.14</v>
      </c>
      <c r="G576" s="81">
        <f>SUM(G479:G575)</f>
        <v>118543.14</v>
      </c>
      <c r="H576" s="81">
        <f>SUM(H479:H575)</f>
        <v>121850</v>
      </c>
      <c r="I576" s="81"/>
      <c r="K576" s="26"/>
      <c r="L576" s="81">
        <f>SUM(L479:L575)</f>
        <v>1299.5725600000005</v>
      </c>
      <c r="M576" s="26">
        <f>L576*0.8</f>
        <v>1039.6580480000005</v>
      </c>
      <c r="N576" s="26">
        <v>839</v>
      </c>
    </row>
    <row r="578" spans="1:12" x14ac:dyDescent="0.3">
      <c r="A578" s="3">
        <v>44866</v>
      </c>
      <c r="B578" s="11" t="s">
        <v>2831</v>
      </c>
      <c r="C578" s="50" t="s">
        <v>2832</v>
      </c>
      <c r="F578" s="15"/>
      <c r="G578" s="2">
        <f>I575</f>
        <v>3835.25</v>
      </c>
      <c r="I578" s="75">
        <f t="shared" ref="I578:I583" si="46">I577+G578-H578</f>
        <v>3835.25</v>
      </c>
      <c r="L578" s="2">
        <f t="shared" ref="L578:L609" si="47">IF((G578+H578)&lt;=5000,(H578+G578)*0.004,20)+IF(E578="Y",25,0)</f>
        <v>15.341000000000001</v>
      </c>
    </row>
    <row r="579" spans="1:12" x14ac:dyDescent="0.3">
      <c r="A579" s="3">
        <v>44866</v>
      </c>
      <c r="B579" s="11" t="s">
        <v>2232</v>
      </c>
      <c r="C579" s="50" t="s">
        <v>2635</v>
      </c>
      <c r="F579" s="15">
        <v>230511374880</v>
      </c>
      <c r="G579" s="2">
        <v>10000</v>
      </c>
      <c r="I579" s="75">
        <f t="shared" si="46"/>
        <v>13835.25</v>
      </c>
      <c r="L579" s="2">
        <f t="shared" si="47"/>
        <v>20</v>
      </c>
    </row>
    <row r="580" spans="1:12" x14ac:dyDescent="0.3">
      <c r="A580" s="3">
        <v>44866</v>
      </c>
      <c r="B580" s="11" t="s">
        <v>1257</v>
      </c>
      <c r="C580" s="50" t="s">
        <v>2289</v>
      </c>
      <c r="F580" s="15">
        <v>230511398426</v>
      </c>
      <c r="H580" s="2">
        <v>4000</v>
      </c>
      <c r="I580" s="75">
        <f t="shared" si="46"/>
        <v>9835.25</v>
      </c>
      <c r="L580" s="2">
        <f t="shared" si="47"/>
        <v>16</v>
      </c>
    </row>
    <row r="581" spans="1:12" x14ac:dyDescent="0.3">
      <c r="A581" s="3">
        <v>44867</v>
      </c>
      <c r="B581" s="11" t="s">
        <v>2833</v>
      </c>
      <c r="C581" s="50" t="s">
        <v>2834</v>
      </c>
      <c r="E581" s="90" t="s">
        <v>16</v>
      </c>
      <c r="F581" s="15">
        <v>230619356583</v>
      </c>
      <c r="H581" s="2">
        <v>100</v>
      </c>
      <c r="I581" s="75">
        <f t="shared" si="46"/>
        <v>9735.25</v>
      </c>
      <c r="L581" s="2">
        <f t="shared" si="47"/>
        <v>25.4</v>
      </c>
    </row>
    <row r="582" spans="1:12" x14ac:dyDescent="0.3">
      <c r="A582" s="3">
        <v>44868</v>
      </c>
      <c r="B582" s="11" t="s">
        <v>1472</v>
      </c>
      <c r="C582" s="50" t="s">
        <v>2835</v>
      </c>
      <c r="D582" s="50">
        <v>8271453328</v>
      </c>
      <c r="G582" s="2">
        <v>300</v>
      </c>
      <c r="I582" s="75">
        <f t="shared" si="46"/>
        <v>10035.25</v>
      </c>
      <c r="L582" s="2">
        <f t="shared" si="47"/>
        <v>1.2</v>
      </c>
    </row>
    <row r="583" spans="1:12" x14ac:dyDescent="0.3">
      <c r="A583" s="3">
        <v>44868</v>
      </c>
      <c r="B583" s="11" t="s">
        <v>2839</v>
      </c>
      <c r="C583" s="50" t="s">
        <v>2840</v>
      </c>
      <c r="E583" s="90" t="s">
        <v>16</v>
      </c>
      <c r="H583" s="2">
        <v>100</v>
      </c>
      <c r="I583" s="75">
        <f t="shared" si="46"/>
        <v>9935.25</v>
      </c>
      <c r="L583" s="2">
        <f t="shared" si="47"/>
        <v>25.4</v>
      </c>
    </row>
    <row r="584" spans="1:12" x14ac:dyDescent="0.3">
      <c r="A584" s="3">
        <v>44868</v>
      </c>
      <c r="B584" s="11" t="s">
        <v>1160</v>
      </c>
      <c r="C584" s="50" t="s">
        <v>2838</v>
      </c>
      <c r="G584" s="2">
        <v>1000</v>
      </c>
      <c r="I584" s="75">
        <f t="shared" ref="I584:I651" si="48">I583+G584-H584</f>
        <v>10935.25</v>
      </c>
      <c r="L584" s="2">
        <f t="shared" si="47"/>
        <v>4</v>
      </c>
    </row>
    <row r="585" spans="1:12" x14ac:dyDescent="0.3">
      <c r="A585" s="3">
        <v>44869</v>
      </c>
      <c r="B585" s="11" t="s">
        <v>2735</v>
      </c>
      <c r="C585" s="50" t="s">
        <v>1279</v>
      </c>
      <c r="H585" s="2">
        <v>10000</v>
      </c>
      <c r="I585" s="75">
        <f t="shared" si="48"/>
        <v>935.25</v>
      </c>
      <c r="L585" s="2">
        <f t="shared" si="47"/>
        <v>20</v>
      </c>
    </row>
    <row r="586" spans="1:12" x14ac:dyDescent="0.3">
      <c r="A586" s="3">
        <v>44870</v>
      </c>
      <c r="B586" s="11" t="s">
        <v>1160</v>
      </c>
      <c r="C586" s="50" t="s">
        <v>2846</v>
      </c>
      <c r="D586" s="50">
        <v>7857812547</v>
      </c>
      <c r="F586" s="15">
        <v>230911116461</v>
      </c>
      <c r="G586" s="2">
        <v>3000</v>
      </c>
      <c r="I586" s="75">
        <f t="shared" si="48"/>
        <v>3935.25</v>
      </c>
      <c r="L586" s="2">
        <f t="shared" si="47"/>
        <v>12</v>
      </c>
    </row>
    <row r="587" spans="1:12" x14ac:dyDescent="0.3">
      <c r="A587" s="3">
        <v>44870</v>
      </c>
      <c r="B587" s="11" t="s">
        <v>1160</v>
      </c>
      <c r="C587" s="50" t="s">
        <v>2847</v>
      </c>
      <c r="D587" s="50">
        <v>7679597871</v>
      </c>
      <c r="F587" s="15">
        <v>230917372175</v>
      </c>
      <c r="G587" s="2">
        <v>500</v>
      </c>
      <c r="I587" s="75">
        <f t="shared" si="48"/>
        <v>4435.25</v>
      </c>
      <c r="L587" s="2">
        <f t="shared" si="47"/>
        <v>2</v>
      </c>
    </row>
    <row r="588" spans="1:12" x14ac:dyDescent="0.3">
      <c r="A588" s="3">
        <v>44870</v>
      </c>
      <c r="B588" s="11" t="s">
        <v>2848</v>
      </c>
      <c r="C588" s="50" t="s">
        <v>2849</v>
      </c>
      <c r="F588" s="15">
        <v>230919701792</v>
      </c>
      <c r="H588" s="2">
        <v>3000</v>
      </c>
      <c r="I588" s="75">
        <f t="shared" si="48"/>
        <v>1435.25</v>
      </c>
      <c r="L588" s="2">
        <f t="shared" si="47"/>
        <v>12</v>
      </c>
    </row>
    <row r="589" spans="1:12" x14ac:dyDescent="0.3">
      <c r="A589" s="3">
        <v>44872</v>
      </c>
      <c r="B589" s="11" t="s">
        <v>2418</v>
      </c>
      <c r="C589" s="50" t="s">
        <v>2850</v>
      </c>
      <c r="F589" s="15">
        <v>231111749942</v>
      </c>
      <c r="H589" s="2">
        <v>500</v>
      </c>
      <c r="I589" s="75">
        <f t="shared" si="48"/>
        <v>935.25</v>
      </c>
      <c r="L589" s="2">
        <f t="shared" si="47"/>
        <v>2</v>
      </c>
    </row>
    <row r="590" spans="1:12" x14ac:dyDescent="0.3">
      <c r="A590" s="3">
        <v>44872</v>
      </c>
      <c r="B590" s="11" t="s">
        <v>2851</v>
      </c>
      <c r="C590" s="50" t="s">
        <v>2692</v>
      </c>
      <c r="F590" s="15">
        <v>231112646919</v>
      </c>
      <c r="G590" s="2">
        <v>10000</v>
      </c>
      <c r="I590" s="75">
        <f t="shared" si="48"/>
        <v>10935.25</v>
      </c>
      <c r="L590" s="2">
        <f t="shared" si="47"/>
        <v>20</v>
      </c>
    </row>
    <row r="591" spans="1:12" x14ac:dyDescent="0.3">
      <c r="A591" s="3">
        <v>44872</v>
      </c>
      <c r="B591" s="11" t="s">
        <v>2856</v>
      </c>
      <c r="E591" s="90" t="s">
        <v>16</v>
      </c>
      <c r="H591" s="2">
        <v>500</v>
      </c>
      <c r="I591" s="75">
        <f t="shared" si="48"/>
        <v>10435.25</v>
      </c>
      <c r="L591" s="2">
        <f t="shared" si="47"/>
        <v>27</v>
      </c>
    </row>
    <row r="592" spans="1:12" x14ac:dyDescent="0.3">
      <c r="A592" s="3">
        <v>44872</v>
      </c>
      <c r="B592" s="11" t="s">
        <v>2735</v>
      </c>
      <c r="C592" s="50" t="s">
        <v>1279</v>
      </c>
      <c r="H592" s="2">
        <v>10000</v>
      </c>
      <c r="I592" s="75">
        <f t="shared" si="48"/>
        <v>435.25</v>
      </c>
      <c r="L592" s="2">
        <f t="shared" si="47"/>
        <v>20</v>
      </c>
    </row>
    <row r="593" spans="1:12" x14ac:dyDescent="0.3">
      <c r="A593" s="3">
        <v>44873</v>
      </c>
      <c r="B593" s="11" t="s">
        <v>2337</v>
      </c>
      <c r="C593" s="50" t="s">
        <v>2858</v>
      </c>
      <c r="F593" s="15">
        <v>231210696254</v>
      </c>
      <c r="G593" s="2">
        <v>3500</v>
      </c>
      <c r="I593" s="75">
        <f t="shared" si="48"/>
        <v>3935.25</v>
      </c>
      <c r="L593" s="2">
        <f t="shared" si="47"/>
        <v>14</v>
      </c>
    </row>
    <row r="594" spans="1:12" x14ac:dyDescent="0.3">
      <c r="A594" s="3">
        <v>44873</v>
      </c>
      <c r="B594" s="11" t="s">
        <v>2860</v>
      </c>
      <c r="C594" s="50" t="s">
        <v>2859</v>
      </c>
      <c r="F594" s="15">
        <v>231210734654</v>
      </c>
      <c r="G594" s="2">
        <v>6100</v>
      </c>
      <c r="I594" s="75">
        <f t="shared" si="48"/>
        <v>10035.25</v>
      </c>
      <c r="L594" s="2">
        <f t="shared" si="47"/>
        <v>20</v>
      </c>
    </row>
    <row r="595" spans="1:12" x14ac:dyDescent="0.3">
      <c r="A595" s="3">
        <v>44873</v>
      </c>
      <c r="B595" s="11" t="s">
        <v>2861</v>
      </c>
      <c r="C595" s="50" t="s">
        <v>2862</v>
      </c>
      <c r="D595" s="50">
        <v>9570120437</v>
      </c>
      <c r="F595" s="15">
        <v>231211799340</v>
      </c>
      <c r="G595" s="2">
        <v>500</v>
      </c>
      <c r="I595" s="75">
        <f t="shared" si="48"/>
        <v>10535.25</v>
      </c>
      <c r="L595" s="2">
        <f t="shared" si="47"/>
        <v>2</v>
      </c>
    </row>
    <row r="596" spans="1:12" x14ac:dyDescent="0.3">
      <c r="A596" s="3">
        <v>44873</v>
      </c>
      <c r="B596" s="11" t="s">
        <v>2863</v>
      </c>
      <c r="C596" s="50" t="s">
        <v>128</v>
      </c>
      <c r="F596" s="15">
        <v>231211823929</v>
      </c>
      <c r="G596" s="2">
        <v>5000</v>
      </c>
      <c r="I596" s="75">
        <f t="shared" si="48"/>
        <v>15535.25</v>
      </c>
      <c r="L596" s="2">
        <f t="shared" si="47"/>
        <v>20</v>
      </c>
    </row>
    <row r="597" spans="1:12" x14ac:dyDescent="0.3">
      <c r="A597" s="3">
        <v>44873</v>
      </c>
      <c r="B597" s="11" t="s">
        <v>2864</v>
      </c>
      <c r="C597" s="50" t="s">
        <v>510</v>
      </c>
      <c r="F597" s="15"/>
      <c r="G597" s="2">
        <v>1000</v>
      </c>
      <c r="I597" s="75">
        <f t="shared" si="48"/>
        <v>16535.25</v>
      </c>
      <c r="L597" s="2">
        <f t="shared" si="47"/>
        <v>4</v>
      </c>
    </row>
    <row r="598" spans="1:12" x14ac:dyDescent="0.3">
      <c r="A598" s="3">
        <v>44873</v>
      </c>
      <c r="B598" s="11" t="s">
        <v>2619</v>
      </c>
      <c r="C598" s="50" t="s">
        <v>2865</v>
      </c>
      <c r="F598" s="15">
        <v>231212523925</v>
      </c>
      <c r="G598" s="2">
        <v>2000</v>
      </c>
      <c r="I598" s="75">
        <f t="shared" si="48"/>
        <v>18535.25</v>
      </c>
      <c r="L598" s="2">
        <f t="shared" si="47"/>
        <v>8</v>
      </c>
    </row>
    <row r="599" spans="1:12" x14ac:dyDescent="0.3">
      <c r="A599" s="3">
        <v>44873</v>
      </c>
      <c r="B599" s="11" t="s">
        <v>2735</v>
      </c>
      <c r="C599" s="50" t="s">
        <v>1279</v>
      </c>
      <c r="F599" s="15"/>
      <c r="H599" s="2">
        <v>10000</v>
      </c>
      <c r="I599" s="75">
        <f t="shared" si="48"/>
        <v>8535.25</v>
      </c>
      <c r="L599" s="2">
        <f t="shared" si="47"/>
        <v>20</v>
      </c>
    </row>
    <row r="600" spans="1:12" x14ac:dyDescent="0.3">
      <c r="A600" s="3">
        <v>44873</v>
      </c>
      <c r="B600" s="11" t="s">
        <v>2594</v>
      </c>
      <c r="C600" s="50" t="s">
        <v>2866</v>
      </c>
      <c r="F600" s="15"/>
      <c r="G600" s="2">
        <v>200</v>
      </c>
      <c r="I600" s="75">
        <f t="shared" si="48"/>
        <v>8735.25</v>
      </c>
      <c r="L600" s="2">
        <f t="shared" si="47"/>
        <v>0.8</v>
      </c>
    </row>
    <row r="601" spans="1:12" x14ac:dyDescent="0.3">
      <c r="A601" s="3">
        <v>44873</v>
      </c>
      <c r="B601" s="11" t="s">
        <v>2416</v>
      </c>
      <c r="C601" s="50" t="s">
        <v>2417</v>
      </c>
      <c r="D601" s="50">
        <v>7209530774</v>
      </c>
      <c r="F601" s="15">
        <v>231217793772</v>
      </c>
      <c r="G601" s="2">
        <v>5500</v>
      </c>
      <c r="I601" s="75">
        <f t="shared" si="48"/>
        <v>14235.25</v>
      </c>
      <c r="L601" s="2">
        <f t="shared" si="47"/>
        <v>20</v>
      </c>
    </row>
    <row r="602" spans="1:12" x14ac:dyDescent="0.3">
      <c r="A602" s="3">
        <v>44873</v>
      </c>
      <c r="B602" s="11" t="s">
        <v>1160</v>
      </c>
      <c r="C602" s="50" t="s">
        <v>2838</v>
      </c>
      <c r="D602" s="50">
        <v>7209351669</v>
      </c>
      <c r="F602" s="15">
        <v>231218031501</v>
      </c>
      <c r="G602" s="2">
        <v>2000</v>
      </c>
      <c r="I602" s="75">
        <f t="shared" si="48"/>
        <v>16235.25</v>
      </c>
      <c r="L602" s="2">
        <f t="shared" si="47"/>
        <v>8</v>
      </c>
    </row>
    <row r="603" spans="1:12" x14ac:dyDescent="0.3">
      <c r="A603" s="3">
        <v>44874</v>
      </c>
      <c r="B603" s="11" t="s">
        <v>1160</v>
      </c>
      <c r="C603" s="50" t="s">
        <v>2276</v>
      </c>
      <c r="D603" s="50">
        <v>9905235195</v>
      </c>
      <c r="F603" s="15">
        <v>231311144339</v>
      </c>
      <c r="G603" s="2">
        <v>1300</v>
      </c>
      <c r="I603" s="75">
        <f t="shared" si="48"/>
        <v>17535.25</v>
      </c>
      <c r="L603" s="2">
        <f t="shared" si="47"/>
        <v>5.2</v>
      </c>
    </row>
    <row r="604" spans="1:12" x14ac:dyDescent="0.3">
      <c r="A604" s="3">
        <v>44874</v>
      </c>
      <c r="B604" s="11" t="s">
        <v>2280</v>
      </c>
      <c r="C604" s="50" t="s">
        <v>2867</v>
      </c>
      <c r="D604" s="50">
        <v>9308174062</v>
      </c>
      <c r="F604" s="15">
        <v>231311161901</v>
      </c>
      <c r="H604" s="2">
        <v>5000</v>
      </c>
      <c r="I604" s="75">
        <f t="shared" si="48"/>
        <v>12535.25</v>
      </c>
      <c r="L604" s="2">
        <f t="shared" si="47"/>
        <v>20</v>
      </c>
    </row>
    <row r="605" spans="1:12" x14ac:dyDescent="0.3">
      <c r="A605" s="3">
        <v>44874</v>
      </c>
      <c r="B605" s="11" t="s">
        <v>2617</v>
      </c>
      <c r="C605" s="50" t="s">
        <v>2868</v>
      </c>
      <c r="F605" s="15">
        <v>231313126159</v>
      </c>
      <c r="G605" s="2">
        <v>4500</v>
      </c>
      <c r="I605" s="75">
        <f t="shared" si="48"/>
        <v>17035.25</v>
      </c>
      <c r="L605" s="2">
        <f t="shared" si="47"/>
        <v>18</v>
      </c>
    </row>
    <row r="606" spans="1:12" x14ac:dyDescent="0.3">
      <c r="A606" s="3">
        <v>44874</v>
      </c>
      <c r="B606" s="11" t="s">
        <v>2735</v>
      </c>
      <c r="F606" s="15">
        <v>231313146838</v>
      </c>
      <c r="H606" s="2">
        <v>10000</v>
      </c>
      <c r="I606" s="75">
        <f t="shared" si="48"/>
        <v>7035.25</v>
      </c>
      <c r="L606" s="2">
        <f t="shared" si="47"/>
        <v>20</v>
      </c>
    </row>
    <row r="607" spans="1:12" x14ac:dyDescent="0.3">
      <c r="A607" s="3">
        <v>44874</v>
      </c>
      <c r="B607" s="11" t="s">
        <v>2351</v>
      </c>
      <c r="C607" s="50" t="s">
        <v>2869</v>
      </c>
      <c r="D607" s="50">
        <v>9341147272</v>
      </c>
      <c r="F607" s="15">
        <v>231318992478</v>
      </c>
      <c r="G607" s="2">
        <v>8300</v>
      </c>
      <c r="I607" s="75">
        <f t="shared" si="48"/>
        <v>15335.25</v>
      </c>
      <c r="L607" s="2">
        <f t="shared" si="47"/>
        <v>20</v>
      </c>
    </row>
    <row r="608" spans="1:12" x14ac:dyDescent="0.3">
      <c r="A608" s="3">
        <v>44874</v>
      </c>
      <c r="B608" s="11" t="s">
        <v>2346</v>
      </c>
      <c r="C608" s="50" t="s">
        <v>2870</v>
      </c>
      <c r="F608" s="15"/>
      <c r="H608" s="2">
        <v>3600</v>
      </c>
      <c r="I608" s="75">
        <f t="shared" si="48"/>
        <v>11735.25</v>
      </c>
      <c r="L608" s="2">
        <f t="shared" si="47"/>
        <v>14.4</v>
      </c>
    </row>
    <row r="609" spans="1:12" x14ac:dyDescent="0.3">
      <c r="A609" s="3">
        <v>44874</v>
      </c>
      <c r="B609" s="11" t="s">
        <v>2184</v>
      </c>
      <c r="C609" s="50" t="s">
        <v>577</v>
      </c>
      <c r="F609" s="15"/>
      <c r="H609" s="2">
        <v>4200</v>
      </c>
      <c r="I609" s="75">
        <f t="shared" si="48"/>
        <v>7535.25</v>
      </c>
      <c r="L609" s="2">
        <f t="shared" si="47"/>
        <v>16.8</v>
      </c>
    </row>
    <row r="610" spans="1:12" x14ac:dyDescent="0.3">
      <c r="A610" s="3">
        <v>44875</v>
      </c>
      <c r="B610" s="11" t="s">
        <v>2873</v>
      </c>
      <c r="C610" s="50" t="s">
        <v>2875</v>
      </c>
      <c r="E610" s="90" t="s">
        <v>14</v>
      </c>
      <c r="F610" s="15"/>
      <c r="H610" s="2">
        <v>200</v>
      </c>
      <c r="I610" s="75">
        <f t="shared" si="48"/>
        <v>7335.25</v>
      </c>
      <c r="L610" s="2">
        <f t="shared" ref="L610:L641" si="49">IF((G610+H610)&lt;=5000,(H610+G610)*0.004,20)+IF(E610="Y",25,0)</f>
        <v>25.8</v>
      </c>
    </row>
    <row r="611" spans="1:12" x14ac:dyDescent="0.3">
      <c r="A611" s="3">
        <v>44875</v>
      </c>
      <c r="B611" s="11" t="s">
        <v>2169</v>
      </c>
      <c r="C611" s="50" t="s">
        <v>2874</v>
      </c>
      <c r="F611" s="15">
        <v>231412752179</v>
      </c>
      <c r="H611" s="2">
        <v>500</v>
      </c>
      <c r="I611" s="75">
        <f t="shared" si="48"/>
        <v>6835.25</v>
      </c>
      <c r="L611" s="2">
        <f t="shared" si="49"/>
        <v>2</v>
      </c>
    </row>
    <row r="612" spans="1:12" x14ac:dyDescent="0.3">
      <c r="A612" s="3">
        <v>44875</v>
      </c>
      <c r="B612" s="11" t="s">
        <v>2877</v>
      </c>
      <c r="C612" s="50" t="s">
        <v>2878</v>
      </c>
      <c r="F612" s="15"/>
      <c r="G612" s="2">
        <v>4000</v>
      </c>
      <c r="I612" s="75">
        <f t="shared" si="48"/>
        <v>10835.25</v>
      </c>
      <c r="L612" s="2">
        <f t="shared" si="49"/>
        <v>16</v>
      </c>
    </row>
    <row r="613" spans="1:12" x14ac:dyDescent="0.3">
      <c r="A613" s="3">
        <v>44875</v>
      </c>
      <c r="B613" s="11" t="s">
        <v>1250</v>
      </c>
      <c r="C613" s="50" t="s">
        <v>2734</v>
      </c>
      <c r="F613" s="15">
        <v>231412063836</v>
      </c>
      <c r="H613" s="2">
        <v>1500</v>
      </c>
      <c r="I613" s="75">
        <f t="shared" si="48"/>
        <v>9335.25</v>
      </c>
      <c r="L613" s="2">
        <f t="shared" si="49"/>
        <v>6</v>
      </c>
    </row>
    <row r="614" spans="1:12" x14ac:dyDescent="0.3">
      <c r="A614" s="3">
        <v>44875</v>
      </c>
      <c r="C614" s="50" t="s">
        <v>2616</v>
      </c>
      <c r="F614" s="15">
        <v>231416549710</v>
      </c>
      <c r="G614" s="2">
        <v>5000</v>
      </c>
      <c r="I614" s="75">
        <f t="shared" si="48"/>
        <v>14335.25</v>
      </c>
      <c r="L614" s="2">
        <f t="shared" si="49"/>
        <v>20</v>
      </c>
    </row>
    <row r="615" spans="1:12" x14ac:dyDescent="0.3">
      <c r="A615" s="3">
        <v>44875</v>
      </c>
      <c r="B615" s="11" t="s">
        <v>2735</v>
      </c>
      <c r="C615" s="50" t="s">
        <v>1279</v>
      </c>
      <c r="H615" s="2">
        <v>10000</v>
      </c>
      <c r="I615" s="75">
        <f t="shared" si="48"/>
        <v>4335.25</v>
      </c>
      <c r="L615" s="2">
        <f t="shared" si="49"/>
        <v>20</v>
      </c>
    </row>
    <row r="616" spans="1:12" x14ac:dyDescent="0.3">
      <c r="A616" s="3">
        <v>44876</v>
      </c>
      <c r="B616" s="11" t="s">
        <v>2879</v>
      </c>
      <c r="C616" s="50" t="s">
        <v>1352</v>
      </c>
      <c r="E616" s="90" t="s">
        <v>16</v>
      </c>
      <c r="F616" s="15">
        <v>231511468960</v>
      </c>
      <c r="H616" s="2">
        <v>100</v>
      </c>
      <c r="I616" s="75">
        <f t="shared" si="48"/>
        <v>4235.25</v>
      </c>
      <c r="L616" s="2">
        <f t="shared" si="49"/>
        <v>25.4</v>
      </c>
    </row>
    <row r="617" spans="1:12" x14ac:dyDescent="0.3">
      <c r="A617" s="3">
        <v>44876</v>
      </c>
      <c r="B617" s="11" t="s">
        <v>1250</v>
      </c>
      <c r="C617" s="50" t="s">
        <v>2882</v>
      </c>
      <c r="D617" s="50">
        <v>9793561178</v>
      </c>
      <c r="F617" s="15">
        <v>231511557062</v>
      </c>
      <c r="G617" s="2">
        <v>5000</v>
      </c>
      <c r="I617" s="75">
        <f t="shared" si="48"/>
        <v>9235.25</v>
      </c>
      <c r="L617" s="2">
        <f t="shared" si="49"/>
        <v>20</v>
      </c>
    </row>
    <row r="618" spans="1:12" x14ac:dyDescent="0.3">
      <c r="A618" s="3">
        <v>44876</v>
      </c>
      <c r="B618" s="11" t="s">
        <v>2457</v>
      </c>
      <c r="F618" s="15">
        <v>231511581709</v>
      </c>
      <c r="H618" s="2">
        <v>5000</v>
      </c>
      <c r="I618" s="75">
        <f t="shared" si="48"/>
        <v>4235.25</v>
      </c>
      <c r="L618" s="2">
        <f t="shared" si="49"/>
        <v>20</v>
      </c>
    </row>
    <row r="619" spans="1:12" x14ac:dyDescent="0.3">
      <c r="A619" s="3">
        <v>44876</v>
      </c>
      <c r="B619" s="11" t="s">
        <v>1250</v>
      </c>
      <c r="C619" s="50" t="s">
        <v>2883</v>
      </c>
      <c r="D619" s="50">
        <v>9060902727</v>
      </c>
      <c r="F619" s="15">
        <v>231512604725</v>
      </c>
      <c r="G619" s="2">
        <v>500</v>
      </c>
      <c r="I619" s="75">
        <f t="shared" si="48"/>
        <v>4735.25</v>
      </c>
      <c r="L619" s="2">
        <f t="shared" si="49"/>
        <v>2</v>
      </c>
    </row>
    <row r="620" spans="1:12" x14ac:dyDescent="0.3">
      <c r="A620" s="3">
        <v>44876</v>
      </c>
      <c r="B620" s="11" t="s">
        <v>1250</v>
      </c>
      <c r="C620" s="50" t="s">
        <v>2884</v>
      </c>
      <c r="D620" s="50">
        <v>9060902727</v>
      </c>
      <c r="G620" s="2">
        <v>500</v>
      </c>
      <c r="I620" s="75">
        <f t="shared" si="48"/>
        <v>5235.25</v>
      </c>
      <c r="L620" s="2">
        <f t="shared" si="49"/>
        <v>2</v>
      </c>
    </row>
    <row r="621" spans="1:12" x14ac:dyDescent="0.3">
      <c r="A621" s="3">
        <v>44876</v>
      </c>
      <c r="B621" s="11" t="s">
        <v>2236</v>
      </c>
      <c r="C621" s="50" t="s">
        <v>2885</v>
      </c>
      <c r="F621" s="15">
        <v>231512055897</v>
      </c>
      <c r="H621" s="2">
        <v>5000</v>
      </c>
      <c r="I621" s="75">
        <f t="shared" si="48"/>
        <v>235.25</v>
      </c>
      <c r="L621" s="2">
        <f t="shared" si="49"/>
        <v>20</v>
      </c>
    </row>
    <row r="622" spans="1:12" x14ac:dyDescent="0.3">
      <c r="A622" s="3">
        <v>44876</v>
      </c>
      <c r="B622" s="11" t="s">
        <v>2886</v>
      </c>
      <c r="C622" s="50" t="s">
        <v>2887</v>
      </c>
      <c r="F622" s="15"/>
      <c r="G622" s="2">
        <v>20000</v>
      </c>
      <c r="I622" s="75">
        <f t="shared" si="48"/>
        <v>20235.25</v>
      </c>
      <c r="L622" s="2">
        <f t="shared" si="49"/>
        <v>20</v>
      </c>
    </row>
    <row r="623" spans="1:12" x14ac:dyDescent="0.3">
      <c r="A623" s="3">
        <v>44876</v>
      </c>
      <c r="B623" s="11" t="s">
        <v>1250</v>
      </c>
      <c r="C623" s="50" t="s">
        <v>2616</v>
      </c>
      <c r="F623" s="15"/>
      <c r="G623" s="2">
        <v>2000</v>
      </c>
      <c r="I623" s="75">
        <f t="shared" si="48"/>
        <v>22235.25</v>
      </c>
      <c r="L623" s="2">
        <f t="shared" si="49"/>
        <v>8</v>
      </c>
    </row>
    <row r="624" spans="1:12" x14ac:dyDescent="0.3">
      <c r="A624" s="3">
        <v>44876</v>
      </c>
      <c r="B624" s="11" t="s">
        <v>2184</v>
      </c>
      <c r="C624" s="50" t="s">
        <v>577</v>
      </c>
      <c r="F624" s="15">
        <v>231517554984</v>
      </c>
      <c r="H624" s="2">
        <v>5000</v>
      </c>
      <c r="I624" s="75">
        <f t="shared" si="48"/>
        <v>17235.25</v>
      </c>
      <c r="L624" s="2">
        <f t="shared" si="49"/>
        <v>20</v>
      </c>
    </row>
    <row r="625" spans="1:12" x14ac:dyDescent="0.3">
      <c r="A625" s="3">
        <v>44876</v>
      </c>
      <c r="B625" s="11" t="s">
        <v>2346</v>
      </c>
      <c r="C625" s="50" t="s">
        <v>2870</v>
      </c>
      <c r="F625" s="15">
        <v>231517559749</v>
      </c>
      <c r="H625" s="2">
        <v>5000</v>
      </c>
      <c r="I625" s="75">
        <f t="shared" si="48"/>
        <v>12235.25</v>
      </c>
      <c r="L625" s="2">
        <f t="shared" si="49"/>
        <v>20</v>
      </c>
    </row>
    <row r="626" spans="1:12" x14ac:dyDescent="0.3">
      <c r="A626" s="3">
        <v>44876</v>
      </c>
      <c r="B626" s="11" t="s">
        <v>1257</v>
      </c>
      <c r="C626" s="50" t="s">
        <v>2289</v>
      </c>
      <c r="F626" s="15">
        <v>231517568281</v>
      </c>
      <c r="H626" s="2">
        <v>5000</v>
      </c>
      <c r="I626" s="75">
        <f t="shared" si="48"/>
        <v>7235.25</v>
      </c>
      <c r="L626" s="2">
        <f t="shared" si="49"/>
        <v>20</v>
      </c>
    </row>
    <row r="627" spans="1:12" x14ac:dyDescent="0.3">
      <c r="A627" s="3">
        <v>44876</v>
      </c>
      <c r="B627" s="11" t="s">
        <v>1250</v>
      </c>
      <c r="C627" s="50" t="s">
        <v>2888</v>
      </c>
      <c r="F627" s="15"/>
      <c r="G627" s="2">
        <v>3300</v>
      </c>
      <c r="I627" s="75">
        <f t="shared" si="48"/>
        <v>10535.25</v>
      </c>
      <c r="L627" s="2">
        <f t="shared" si="49"/>
        <v>13.200000000000001</v>
      </c>
    </row>
    <row r="628" spans="1:12" x14ac:dyDescent="0.3">
      <c r="A628" s="3">
        <v>44877</v>
      </c>
      <c r="B628" s="11" t="s">
        <v>1250</v>
      </c>
      <c r="C628" s="50" t="s">
        <v>2890</v>
      </c>
      <c r="F628" s="15"/>
      <c r="G628" s="2">
        <v>2000</v>
      </c>
      <c r="I628" s="75">
        <f t="shared" si="48"/>
        <v>12535.25</v>
      </c>
      <c r="L628" s="2">
        <f t="shared" si="49"/>
        <v>8</v>
      </c>
    </row>
    <row r="629" spans="1:12" x14ac:dyDescent="0.3">
      <c r="A629" s="3">
        <v>44877</v>
      </c>
      <c r="B629" s="11" t="s">
        <v>1257</v>
      </c>
      <c r="C629" s="50" t="s">
        <v>2274</v>
      </c>
      <c r="F629" s="15">
        <v>231611294512</v>
      </c>
      <c r="H629" s="2">
        <v>3000</v>
      </c>
      <c r="I629" s="75">
        <f t="shared" si="48"/>
        <v>9535.25</v>
      </c>
      <c r="L629" s="2">
        <f t="shared" si="49"/>
        <v>12</v>
      </c>
    </row>
    <row r="630" spans="1:12" x14ac:dyDescent="0.3">
      <c r="A630" s="3">
        <v>44877</v>
      </c>
      <c r="B630" s="11" t="s">
        <v>2346</v>
      </c>
      <c r="C630" s="50" t="s">
        <v>2870</v>
      </c>
      <c r="F630" s="15"/>
      <c r="H630" s="2">
        <v>5000</v>
      </c>
      <c r="I630" s="75">
        <f t="shared" si="48"/>
        <v>4535.25</v>
      </c>
      <c r="L630" s="2">
        <f t="shared" si="49"/>
        <v>20</v>
      </c>
    </row>
    <row r="631" spans="1:12" x14ac:dyDescent="0.3">
      <c r="A631" s="3">
        <v>44877</v>
      </c>
      <c r="B631" s="11" t="s">
        <v>2781</v>
      </c>
      <c r="C631" s="50" t="s">
        <v>2891</v>
      </c>
      <c r="F631" s="15">
        <v>231611311980</v>
      </c>
      <c r="H631" s="2">
        <v>1400</v>
      </c>
      <c r="I631" s="75">
        <f t="shared" si="48"/>
        <v>3135.25</v>
      </c>
      <c r="L631" s="2">
        <f t="shared" si="49"/>
        <v>5.6000000000000005</v>
      </c>
    </row>
    <row r="632" spans="1:12" x14ac:dyDescent="0.3">
      <c r="A632" s="3">
        <v>44877</v>
      </c>
      <c r="B632" s="11" t="s">
        <v>2184</v>
      </c>
      <c r="C632" s="50" t="s">
        <v>577</v>
      </c>
      <c r="F632" s="15"/>
      <c r="G632" s="2">
        <v>2000</v>
      </c>
      <c r="I632" s="75">
        <f t="shared" si="48"/>
        <v>5135.25</v>
      </c>
      <c r="L632" s="2">
        <f t="shared" si="49"/>
        <v>8</v>
      </c>
    </row>
    <row r="633" spans="1:12" x14ac:dyDescent="0.3">
      <c r="A633" s="3">
        <v>44877</v>
      </c>
      <c r="B633" s="11" t="s">
        <v>2138</v>
      </c>
      <c r="C633" s="50" t="s">
        <v>2892</v>
      </c>
      <c r="F633" s="15">
        <v>231613086061</v>
      </c>
      <c r="H633" s="2">
        <v>4500</v>
      </c>
      <c r="I633" s="75">
        <f t="shared" si="48"/>
        <v>635.25</v>
      </c>
      <c r="L633" s="2">
        <f t="shared" si="49"/>
        <v>18</v>
      </c>
    </row>
    <row r="634" spans="1:12" x14ac:dyDescent="0.3">
      <c r="A634" s="3">
        <v>44877</v>
      </c>
      <c r="B634" s="11" t="s">
        <v>2241</v>
      </c>
      <c r="C634" s="50" t="s">
        <v>2893</v>
      </c>
      <c r="D634" s="50">
        <v>9430747725</v>
      </c>
      <c r="F634" s="15"/>
      <c r="G634" s="2">
        <v>1500</v>
      </c>
      <c r="I634" s="75">
        <f t="shared" si="48"/>
        <v>2135.25</v>
      </c>
      <c r="L634" s="2">
        <f t="shared" si="49"/>
        <v>6</v>
      </c>
    </row>
    <row r="635" spans="1:12" x14ac:dyDescent="0.3">
      <c r="A635" s="3">
        <v>44878</v>
      </c>
      <c r="B635" s="11" t="s">
        <v>2238</v>
      </c>
      <c r="C635" s="50" t="s">
        <v>2239</v>
      </c>
      <c r="F635" s="15"/>
      <c r="H635" s="2">
        <v>1000</v>
      </c>
      <c r="I635" s="75">
        <f t="shared" si="48"/>
        <v>1135.25</v>
      </c>
      <c r="L635" s="2">
        <f t="shared" si="49"/>
        <v>4</v>
      </c>
    </row>
    <row r="636" spans="1:12" x14ac:dyDescent="0.3">
      <c r="A636" s="3">
        <v>44879</v>
      </c>
      <c r="B636" s="11" t="s">
        <v>1160</v>
      </c>
      <c r="C636" s="50" t="s">
        <v>2896</v>
      </c>
      <c r="D636" s="50">
        <v>8294518663</v>
      </c>
      <c r="F636" s="15">
        <v>231811659406</v>
      </c>
      <c r="G636" s="2">
        <v>6000</v>
      </c>
      <c r="I636" s="75">
        <f t="shared" si="48"/>
        <v>7135.25</v>
      </c>
      <c r="L636" s="2">
        <f t="shared" si="49"/>
        <v>20</v>
      </c>
    </row>
    <row r="637" spans="1:12" x14ac:dyDescent="0.3">
      <c r="A637" s="3">
        <v>44879</v>
      </c>
      <c r="B637" s="11" t="s">
        <v>2232</v>
      </c>
      <c r="C637" s="50" t="s">
        <v>2901</v>
      </c>
      <c r="F637" s="15"/>
      <c r="G637" s="2">
        <v>7000</v>
      </c>
      <c r="I637" s="75">
        <f t="shared" si="48"/>
        <v>14135.25</v>
      </c>
      <c r="L637" s="2">
        <f t="shared" si="49"/>
        <v>20</v>
      </c>
    </row>
    <row r="638" spans="1:12" x14ac:dyDescent="0.3">
      <c r="A638" s="3">
        <v>36844</v>
      </c>
      <c r="B638" s="11" t="s">
        <v>2940</v>
      </c>
      <c r="C638" s="50" t="s">
        <v>2941</v>
      </c>
      <c r="E638" s="90" t="s">
        <v>16</v>
      </c>
      <c r="F638" s="15"/>
      <c r="H638" s="2">
        <v>0</v>
      </c>
      <c r="I638" s="75">
        <f t="shared" si="48"/>
        <v>14135.25</v>
      </c>
      <c r="L638" s="2">
        <f t="shared" si="49"/>
        <v>25</v>
      </c>
    </row>
    <row r="639" spans="1:12" x14ac:dyDescent="0.3">
      <c r="A639" s="3">
        <v>44880</v>
      </c>
      <c r="B639" s="11" t="s">
        <v>2184</v>
      </c>
      <c r="C639" s="50" t="s">
        <v>577</v>
      </c>
      <c r="F639" s="15">
        <v>231910112201</v>
      </c>
      <c r="H639" s="2">
        <v>2000</v>
      </c>
      <c r="I639" s="75">
        <f t="shared" si="48"/>
        <v>12135.25</v>
      </c>
      <c r="L639" s="2">
        <f t="shared" si="49"/>
        <v>8</v>
      </c>
    </row>
    <row r="640" spans="1:12" x14ac:dyDescent="0.3">
      <c r="A640" s="3">
        <v>44880</v>
      </c>
      <c r="B640" s="11" t="s">
        <v>2704</v>
      </c>
      <c r="C640" s="50" t="s">
        <v>2905</v>
      </c>
      <c r="F640" s="15">
        <v>231910126754</v>
      </c>
      <c r="H640" s="2">
        <v>7000</v>
      </c>
      <c r="I640" s="75">
        <f t="shared" si="48"/>
        <v>5135.25</v>
      </c>
      <c r="L640" s="2">
        <f t="shared" si="49"/>
        <v>20</v>
      </c>
    </row>
    <row r="641" spans="1:12" x14ac:dyDescent="0.3">
      <c r="A641" s="3">
        <v>44880</v>
      </c>
      <c r="B641" s="11" t="s">
        <v>2906</v>
      </c>
      <c r="C641" s="50" t="s">
        <v>2907</v>
      </c>
      <c r="E641" s="90" t="s">
        <v>16</v>
      </c>
      <c r="F641" s="15"/>
      <c r="H641" s="2">
        <v>2000</v>
      </c>
      <c r="I641" s="75">
        <f t="shared" si="48"/>
        <v>3135.25</v>
      </c>
      <c r="L641" s="2">
        <f t="shared" si="49"/>
        <v>33</v>
      </c>
    </row>
    <row r="642" spans="1:12" x14ac:dyDescent="0.3">
      <c r="A642" s="3">
        <v>44880</v>
      </c>
      <c r="B642" s="11" t="s">
        <v>2911</v>
      </c>
      <c r="C642" s="50" t="s">
        <v>2912</v>
      </c>
      <c r="E642" s="90" t="s">
        <v>16</v>
      </c>
      <c r="F642" s="15"/>
      <c r="H642" s="2">
        <v>100</v>
      </c>
      <c r="I642" s="75">
        <f t="shared" si="48"/>
        <v>3035.25</v>
      </c>
      <c r="L642" s="2">
        <f t="shared" ref="L642:L670" si="50">IF((G642+H642)&lt;=5000,(H642+G642)*0.004,20)+IF(E642="Y",25,0)</f>
        <v>25.4</v>
      </c>
    </row>
    <row r="643" spans="1:12" x14ac:dyDescent="0.3">
      <c r="A643" s="3">
        <v>44880</v>
      </c>
      <c r="B643" s="11" t="s">
        <v>2916</v>
      </c>
      <c r="C643" s="50" t="s">
        <v>2915</v>
      </c>
      <c r="F643" s="15">
        <v>231917924977</v>
      </c>
      <c r="H643" s="2">
        <v>1000</v>
      </c>
      <c r="I643" s="75">
        <f t="shared" si="48"/>
        <v>2035.25</v>
      </c>
      <c r="L643" s="2">
        <f t="shared" si="50"/>
        <v>4</v>
      </c>
    </row>
    <row r="644" spans="1:12" x14ac:dyDescent="0.3">
      <c r="A644" s="3">
        <v>44880</v>
      </c>
      <c r="B644" s="11" t="s">
        <v>2777</v>
      </c>
      <c r="C644" s="50" t="s">
        <v>2917</v>
      </c>
      <c r="F644" s="15"/>
      <c r="G644" s="2">
        <v>2000</v>
      </c>
      <c r="I644" s="75">
        <f t="shared" si="48"/>
        <v>4035.25</v>
      </c>
      <c r="L644" s="2">
        <f t="shared" si="50"/>
        <v>8</v>
      </c>
    </row>
    <row r="645" spans="1:12" x14ac:dyDescent="0.3">
      <c r="A645" s="3">
        <v>44880</v>
      </c>
      <c r="C645" s="114" t="s">
        <v>2926</v>
      </c>
      <c r="F645" s="15"/>
      <c r="G645" s="64">
        <v>839.8</v>
      </c>
      <c r="I645" s="75">
        <f t="shared" si="48"/>
        <v>4875.05</v>
      </c>
      <c r="L645" s="2">
        <f t="shared" si="50"/>
        <v>3.3592</v>
      </c>
    </row>
    <row r="646" spans="1:12" x14ac:dyDescent="0.3">
      <c r="A646" s="3">
        <v>44881</v>
      </c>
      <c r="B646" s="11" t="s">
        <v>2924</v>
      </c>
      <c r="C646" s="50" t="s">
        <v>2925</v>
      </c>
      <c r="E646" s="90" t="s">
        <v>16</v>
      </c>
      <c r="F646" s="15">
        <v>232011709675</v>
      </c>
      <c r="H646" s="2">
        <v>200</v>
      </c>
      <c r="I646" s="75">
        <f t="shared" si="48"/>
        <v>4675.05</v>
      </c>
      <c r="L646" s="2">
        <f t="shared" si="50"/>
        <v>25.8</v>
      </c>
    </row>
    <row r="647" spans="1:12" x14ac:dyDescent="0.3">
      <c r="A647" s="3">
        <v>44881</v>
      </c>
      <c r="B647" s="11" t="s">
        <v>2927</v>
      </c>
      <c r="C647" s="50" t="s">
        <v>1599</v>
      </c>
      <c r="F647" s="15">
        <v>232011875310</v>
      </c>
      <c r="G647" s="2">
        <v>5000</v>
      </c>
      <c r="I647" s="75">
        <f t="shared" si="48"/>
        <v>9675.0499999999993</v>
      </c>
      <c r="L647" s="2">
        <f t="shared" si="50"/>
        <v>20</v>
      </c>
    </row>
    <row r="648" spans="1:12" x14ac:dyDescent="0.3">
      <c r="A648" s="3">
        <v>44881</v>
      </c>
      <c r="B648" s="11" t="s">
        <v>2929</v>
      </c>
      <c r="C648" s="50" t="s">
        <v>2930</v>
      </c>
      <c r="E648" s="90" t="s">
        <v>16</v>
      </c>
      <c r="F648" s="15">
        <v>232013526692</v>
      </c>
      <c r="H648" s="2">
        <v>1000</v>
      </c>
      <c r="I648" s="75">
        <f t="shared" si="48"/>
        <v>8675.0499999999993</v>
      </c>
      <c r="L648" s="2">
        <f t="shared" si="50"/>
        <v>29</v>
      </c>
    </row>
    <row r="649" spans="1:12" x14ac:dyDescent="0.3">
      <c r="A649" s="3">
        <v>44881</v>
      </c>
      <c r="B649" s="11" t="s">
        <v>1160</v>
      </c>
      <c r="C649" s="50" t="s">
        <v>2933</v>
      </c>
      <c r="D649" s="50">
        <v>9534132978</v>
      </c>
      <c r="F649" s="15">
        <v>232013633563</v>
      </c>
      <c r="G649" s="2">
        <v>500</v>
      </c>
      <c r="I649" s="75">
        <f t="shared" si="48"/>
        <v>9175.0499999999993</v>
      </c>
      <c r="L649" s="2">
        <f t="shared" si="50"/>
        <v>2</v>
      </c>
    </row>
    <row r="650" spans="1:12" x14ac:dyDescent="0.3">
      <c r="A650" s="3">
        <v>44881</v>
      </c>
      <c r="B650" s="11" t="s">
        <v>1160</v>
      </c>
      <c r="C650" s="50" t="s">
        <v>2930</v>
      </c>
      <c r="F650" s="15">
        <v>232013665722</v>
      </c>
      <c r="G650" s="2">
        <v>1500</v>
      </c>
      <c r="I650" s="75">
        <f t="shared" si="48"/>
        <v>10675.05</v>
      </c>
      <c r="L650" s="2">
        <f t="shared" si="50"/>
        <v>6</v>
      </c>
    </row>
    <row r="651" spans="1:12" x14ac:dyDescent="0.3">
      <c r="A651" s="3">
        <v>44881</v>
      </c>
      <c r="B651" s="11" t="s">
        <v>2934</v>
      </c>
      <c r="C651" s="50" t="s">
        <v>2935</v>
      </c>
      <c r="F651" s="15">
        <v>232016739690</v>
      </c>
      <c r="H651" s="2">
        <v>300</v>
      </c>
      <c r="I651" s="75">
        <f t="shared" si="48"/>
        <v>10375.049999999999</v>
      </c>
      <c r="L651" s="2">
        <f t="shared" si="50"/>
        <v>1.2</v>
      </c>
    </row>
    <row r="652" spans="1:12" x14ac:dyDescent="0.3">
      <c r="A652" s="3">
        <v>44881</v>
      </c>
      <c r="B652" s="11" t="s">
        <v>2936</v>
      </c>
      <c r="C652" s="50" t="s">
        <v>2937</v>
      </c>
      <c r="F652" s="15"/>
      <c r="G652" s="2">
        <v>2000</v>
      </c>
      <c r="I652" s="75">
        <f>I651+G652-H652</f>
        <v>12375.05</v>
      </c>
      <c r="L652" s="2">
        <f t="shared" si="50"/>
        <v>8</v>
      </c>
    </row>
    <row r="653" spans="1:12" x14ac:dyDescent="0.3">
      <c r="A653" s="3">
        <v>44881</v>
      </c>
      <c r="B653" s="11" t="s">
        <v>2716</v>
      </c>
      <c r="C653" s="50" t="s">
        <v>1356</v>
      </c>
      <c r="F653" s="15"/>
      <c r="H653" s="2">
        <v>10000</v>
      </c>
      <c r="I653" s="75">
        <f>I652+G653-H653</f>
        <v>2375.0499999999993</v>
      </c>
      <c r="L653" s="2">
        <f t="shared" si="50"/>
        <v>20</v>
      </c>
    </row>
    <row r="654" spans="1:12" x14ac:dyDescent="0.3">
      <c r="A654" s="3">
        <v>44882</v>
      </c>
      <c r="B654" s="11" t="s">
        <v>2940</v>
      </c>
      <c r="C654" s="50" t="s">
        <v>2941</v>
      </c>
      <c r="F654" s="15">
        <v>232111846754</v>
      </c>
      <c r="H654" s="2">
        <v>100</v>
      </c>
      <c r="I654" s="75">
        <f>I653+G654-H654</f>
        <v>2275.0499999999993</v>
      </c>
      <c r="L654" s="2">
        <f t="shared" si="50"/>
        <v>0.4</v>
      </c>
    </row>
    <row r="655" spans="1:12" x14ac:dyDescent="0.3">
      <c r="A655" s="3">
        <v>44882</v>
      </c>
      <c r="B655" s="11" t="s">
        <v>2651</v>
      </c>
      <c r="C655" s="50" t="s">
        <v>2652</v>
      </c>
      <c r="F655" s="15"/>
      <c r="H655" s="2">
        <v>800</v>
      </c>
      <c r="I655" s="75">
        <f t="shared" ref="I655:I681" si="51">I654+G655-H655</f>
        <v>1475.0499999999993</v>
      </c>
      <c r="L655" s="2">
        <f t="shared" si="50"/>
        <v>3.2</v>
      </c>
    </row>
    <row r="656" spans="1:12" x14ac:dyDescent="0.3">
      <c r="A656" s="3">
        <v>44883</v>
      </c>
      <c r="C656" s="50" t="s">
        <v>2616</v>
      </c>
      <c r="F656" s="15">
        <v>232217275834</v>
      </c>
      <c r="G656" s="2">
        <v>1000</v>
      </c>
      <c r="I656" s="75">
        <f t="shared" si="51"/>
        <v>2475.0499999999993</v>
      </c>
      <c r="L656" s="2">
        <f t="shared" si="50"/>
        <v>4</v>
      </c>
    </row>
    <row r="657" spans="1:12" x14ac:dyDescent="0.3">
      <c r="A657" s="3">
        <v>44883</v>
      </c>
      <c r="B657" s="11" t="s">
        <v>2238</v>
      </c>
      <c r="C657" s="50" t="s">
        <v>2239</v>
      </c>
      <c r="F657" s="15">
        <v>232217398770</v>
      </c>
      <c r="H657" s="2">
        <v>2470</v>
      </c>
      <c r="I657" s="75">
        <f t="shared" si="51"/>
        <v>5.0499999999992724</v>
      </c>
      <c r="L657" s="2">
        <f t="shared" si="50"/>
        <v>9.8800000000000008</v>
      </c>
    </row>
    <row r="658" spans="1:12" x14ac:dyDescent="0.3">
      <c r="A658" s="3">
        <v>44883</v>
      </c>
      <c r="B658" s="11" t="s">
        <v>2232</v>
      </c>
      <c r="C658" s="50" t="s">
        <v>2635</v>
      </c>
      <c r="F658" s="15"/>
      <c r="G658" s="2">
        <v>2000</v>
      </c>
      <c r="I658" s="75">
        <f t="shared" si="51"/>
        <v>2005.0499999999993</v>
      </c>
      <c r="L658" s="2">
        <f t="shared" si="50"/>
        <v>8</v>
      </c>
    </row>
    <row r="659" spans="1:12" x14ac:dyDescent="0.3">
      <c r="A659" s="3">
        <v>44884</v>
      </c>
      <c r="B659" s="11" t="s">
        <v>2942</v>
      </c>
      <c r="C659" s="50" t="s">
        <v>2943</v>
      </c>
      <c r="D659" s="50">
        <v>9064525599</v>
      </c>
      <c r="F659" s="15">
        <v>232317930310</v>
      </c>
      <c r="G659" s="2">
        <v>1500</v>
      </c>
      <c r="I659" s="75">
        <f t="shared" si="51"/>
        <v>3505.0499999999993</v>
      </c>
      <c r="L659" s="2">
        <f t="shared" si="50"/>
        <v>6</v>
      </c>
    </row>
    <row r="660" spans="1:12" x14ac:dyDescent="0.3">
      <c r="A660" s="3">
        <v>44884</v>
      </c>
      <c r="B660" s="11" t="s">
        <v>2944</v>
      </c>
      <c r="C660" s="50" t="s">
        <v>2492</v>
      </c>
      <c r="D660" s="50">
        <v>9801226384</v>
      </c>
      <c r="F660" s="15">
        <v>232318105724</v>
      </c>
      <c r="G660" s="2">
        <v>1500</v>
      </c>
      <c r="I660" s="75">
        <f t="shared" si="51"/>
        <v>5005.0499999999993</v>
      </c>
      <c r="L660" s="2">
        <f t="shared" si="50"/>
        <v>6</v>
      </c>
    </row>
    <row r="661" spans="1:12" x14ac:dyDescent="0.3">
      <c r="A661" s="3">
        <v>44884</v>
      </c>
      <c r="B661" s="11" t="s">
        <v>1257</v>
      </c>
      <c r="C661" s="50" t="s">
        <v>2289</v>
      </c>
      <c r="H661" s="2">
        <v>5000</v>
      </c>
      <c r="I661" s="75">
        <f t="shared" si="51"/>
        <v>5.0499999999992724</v>
      </c>
      <c r="L661" s="2">
        <f t="shared" si="50"/>
        <v>20</v>
      </c>
    </row>
    <row r="662" spans="1:12" x14ac:dyDescent="0.3">
      <c r="A662" s="3">
        <v>44886</v>
      </c>
      <c r="B662" s="11" t="s">
        <v>1160</v>
      </c>
      <c r="C662" s="50" t="s">
        <v>2945</v>
      </c>
      <c r="G662" s="2">
        <v>2000</v>
      </c>
      <c r="I662" s="75">
        <f t="shared" si="51"/>
        <v>2005.0499999999993</v>
      </c>
      <c r="L662" s="2">
        <f t="shared" si="50"/>
        <v>8</v>
      </c>
    </row>
    <row r="663" spans="1:12" x14ac:dyDescent="0.3">
      <c r="A663" s="3">
        <v>44886</v>
      </c>
      <c r="B663" s="11" t="s">
        <v>1250</v>
      </c>
      <c r="C663" s="50" t="s">
        <v>2858</v>
      </c>
      <c r="G663" s="2">
        <v>300</v>
      </c>
      <c r="I663" s="75">
        <f t="shared" si="51"/>
        <v>2305.0499999999993</v>
      </c>
      <c r="L663" s="2">
        <f t="shared" si="50"/>
        <v>1.2</v>
      </c>
    </row>
    <row r="664" spans="1:12" x14ac:dyDescent="0.3">
      <c r="A664" s="3">
        <v>44887</v>
      </c>
      <c r="B664" s="11" t="s">
        <v>2946</v>
      </c>
      <c r="C664" s="50" t="s">
        <v>2947</v>
      </c>
      <c r="E664" s="90" t="s">
        <v>16</v>
      </c>
      <c r="F664" s="15"/>
      <c r="H664" s="2">
        <v>100</v>
      </c>
      <c r="I664" s="75">
        <f t="shared" si="51"/>
        <v>2205.0499999999993</v>
      </c>
      <c r="L664" s="2">
        <f t="shared" si="50"/>
        <v>25.4</v>
      </c>
    </row>
    <row r="665" spans="1:12" x14ac:dyDescent="0.3">
      <c r="A665" s="3">
        <v>44887</v>
      </c>
      <c r="B665" s="11" t="s">
        <v>2241</v>
      </c>
      <c r="C665" s="50" t="s">
        <v>2948</v>
      </c>
      <c r="D665" s="50">
        <v>9631500251</v>
      </c>
      <c r="F665" s="15">
        <v>232618018019</v>
      </c>
      <c r="G665" s="2">
        <v>1500</v>
      </c>
      <c r="I665" s="75">
        <f t="shared" si="51"/>
        <v>3705.0499999999993</v>
      </c>
      <c r="L665" s="2">
        <f t="shared" si="50"/>
        <v>6</v>
      </c>
    </row>
    <row r="666" spans="1:12" x14ac:dyDescent="0.3">
      <c r="A666" s="3">
        <v>44887</v>
      </c>
      <c r="B666" s="11" t="s">
        <v>2138</v>
      </c>
      <c r="C666" s="50" t="s">
        <v>2892</v>
      </c>
      <c r="F666" s="15">
        <v>232618025145</v>
      </c>
      <c r="H666" s="2">
        <v>3000</v>
      </c>
      <c r="I666" s="75">
        <f t="shared" si="51"/>
        <v>705.04999999999927</v>
      </c>
      <c r="L666" s="2">
        <f t="shared" si="50"/>
        <v>12</v>
      </c>
    </row>
    <row r="667" spans="1:12" x14ac:dyDescent="0.3">
      <c r="A667" s="3">
        <v>44888</v>
      </c>
      <c r="B667" s="11" t="s">
        <v>2951</v>
      </c>
      <c r="C667" s="50" t="s">
        <v>229</v>
      </c>
      <c r="F667" s="15">
        <v>232716406671</v>
      </c>
      <c r="G667" s="2">
        <v>1500</v>
      </c>
      <c r="I667" s="75">
        <f t="shared" si="51"/>
        <v>2205.0499999999993</v>
      </c>
      <c r="L667" s="2">
        <f t="shared" si="50"/>
        <v>6</v>
      </c>
    </row>
    <row r="668" spans="1:12" x14ac:dyDescent="0.3">
      <c r="A668" s="3">
        <v>44888</v>
      </c>
      <c r="B668" s="11" t="s">
        <v>2955</v>
      </c>
      <c r="C668" s="50" t="s">
        <v>2516</v>
      </c>
      <c r="F668" s="15">
        <v>232717688638</v>
      </c>
      <c r="G668" s="2">
        <v>5000</v>
      </c>
      <c r="I668" s="75">
        <f t="shared" si="51"/>
        <v>7205.0499999999993</v>
      </c>
      <c r="L668" s="2">
        <f t="shared" si="50"/>
        <v>20</v>
      </c>
    </row>
    <row r="669" spans="1:12" x14ac:dyDescent="0.3">
      <c r="A669" s="3">
        <v>44888</v>
      </c>
      <c r="B669" s="11" t="s">
        <v>1257</v>
      </c>
      <c r="C669" s="50" t="s">
        <v>2289</v>
      </c>
      <c r="F669" s="15">
        <v>232717705215</v>
      </c>
      <c r="H669" s="2">
        <v>5000</v>
      </c>
      <c r="I669" s="75">
        <f t="shared" si="51"/>
        <v>2205.0499999999993</v>
      </c>
      <c r="L669" s="2">
        <f t="shared" si="50"/>
        <v>20</v>
      </c>
    </row>
    <row r="670" spans="1:12" x14ac:dyDescent="0.3">
      <c r="A670" s="3">
        <v>44889</v>
      </c>
      <c r="B670" s="11" t="s">
        <v>2599</v>
      </c>
      <c r="C670" s="50" t="s">
        <v>2956</v>
      </c>
      <c r="F670" s="15">
        <v>232810784641</v>
      </c>
      <c r="G670" s="2">
        <v>10000</v>
      </c>
      <c r="I670" s="75">
        <f t="shared" si="51"/>
        <v>12205.05</v>
      </c>
      <c r="L670" s="2">
        <f t="shared" si="50"/>
        <v>20</v>
      </c>
    </row>
    <row r="671" spans="1:12" x14ac:dyDescent="0.3">
      <c r="A671" s="3">
        <v>44889</v>
      </c>
      <c r="B671" s="11" t="s">
        <v>1388</v>
      </c>
      <c r="C671" s="50" t="s">
        <v>2961</v>
      </c>
      <c r="F671" s="15"/>
      <c r="H671" s="2">
        <v>10000</v>
      </c>
      <c r="I671" s="75">
        <f t="shared" si="51"/>
        <v>2205.0499999999993</v>
      </c>
    </row>
    <row r="672" spans="1:12" x14ac:dyDescent="0.3">
      <c r="A672" s="3">
        <v>44889</v>
      </c>
      <c r="B672" s="11" t="s">
        <v>2962</v>
      </c>
      <c r="C672" s="50" t="s">
        <v>2963</v>
      </c>
      <c r="E672" s="90" t="s">
        <v>16</v>
      </c>
      <c r="F672" s="15">
        <v>2328199</v>
      </c>
      <c r="H672" s="2">
        <v>150</v>
      </c>
      <c r="I672" s="75">
        <f t="shared" si="51"/>
        <v>2055.0499999999993</v>
      </c>
      <c r="L672" s="2">
        <f t="shared" ref="L672:L681" si="52">IF((G672+H672)&lt;=5000,(H672+G672)*0.004,20)+IF(E672="Y",25,0)</f>
        <v>25.6</v>
      </c>
    </row>
    <row r="673" spans="1:14" x14ac:dyDescent="0.3">
      <c r="A673" s="3">
        <v>44890</v>
      </c>
      <c r="B673" s="11" t="s">
        <v>2965</v>
      </c>
      <c r="C673" s="50" t="s">
        <v>2964</v>
      </c>
      <c r="F673" s="15">
        <v>232913765827</v>
      </c>
      <c r="H673" s="2">
        <v>1000</v>
      </c>
      <c r="I673" s="75">
        <f t="shared" si="51"/>
        <v>1055.0499999999993</v>
      </c>
      <c r="L673" s="2">
        <f t="shared" si="52"/>
        <v>4</v>
      </c>
    </row>
    <row r="674" spans="1:14" x14ac:dyDescent="0.3">
      <c r="A674" s="3">
        <v>44890</v>
      </c>
      <c r="B674" s="11" t="s">
        <v>2238</v>
      </c>
      <c r="C674" s="50" t="s">
        <v>2239</v>
      </c>
      <c r="E674" s="97"/>
      <c r="F674" s="38">
        <v>232920542118</v>
      </c>
      <c r="G674" s="64"/>
      <c r="H674" s="74">
        <v>500</v>
      </c>
      <c r="I674" s="75">
        <f t="shared" si="51"/>
        <v>555.04999999999927</v>
      </c>
      <c r="L674" s="2">
        <f t="shared" si="52"/>
        <v>2</v>
      </c>
    </row>
    <row r="675" spans="1:14" x14ac:dyDescent="0.3">
      <c r="A675" s="3">
        <v>44893</v>
      </c>
      <c r="B675" s="11" t="s">
        <v>2969</v>
      </c>
      <c r="C675" s="50" t="s">
        <v>2970</v>
      </c>
      <c r="E675" s="90" t="s">
        <v>16</v>
      </c>
      <c r="F675" s="15">
        <v>233212085296</v>
      </c>
      <c r="H675" s="2">
        <v>450</v>
      </c>
      <c r="I675" s="75">
        <f t="shared" si="51"/>
        <v>105.04999999999927</v>
      </c>
      <c r="L675" s="2">
        <f t="shared" si="52"/>
        <v>26.8</v>
      </c>
    </row>
    <row r="676" spans="1:14" x14ac:dyDescent="0.3">
      <c r="A676" s="3">
        <v>44893</v>
      </c>
      <c r="B676" s="11" t="s">
        <v>1472</v>
      </c>
      <c r="C676" s="50" t="s">
        <v>2974</v>
      </c>
      <c r="D676" s="50">
        <v>8797783108</v>
      </c>
      <c r="F676" s="15"/>
      <c r="G676" s="2">
        <v>10000</v>
      </c>
      <c r="I676" s="75">
        <f t="shared" si="51"/>
        <v>10105.049999999999</v>
      </c>
      <c r="L676" s="2">
        <f t="shared" si="52"/>
        <v>20</v>
      </c>
    </row>
    <row r="677" spans="1:14" x14ac:dyDescent="0.3">
      <c r="A677" s="3">
        <v>44893</v>
      </c>
      <c r="B677" s="11" t="s">
        <v>2863</v>
      </c>
      <c r="C677" s="50" t="s">
        <v>128</v>
      </c>
      <c r="F677" s="15"/>
      <c r="G677" s="2">
        <v>5000</v>
      </c>
      <c r="I677" s="75">
        <f t="shared" si="51"/>
        <v>15105.05</v>
      </c>
      <c r="L677" s="2">
        <f t="shared" si="52"/>
        <v>20</v>
      </c>
    </row>
    <row r="678" spans="1:14" x14ac:dyDescent="0.3">
      <c r="A678" s="3">
        <v>44893</v>
      </c>
      <c r="B678" s="11" t="s">
        <v>2351</v>
      </c>
      <c r="C678" s="50" t="s">
        <v>2975</v>
      </c>
      <c r="D678" s="50">
        <v>8709902261</v>
      </c>
      <c r="F678" s="15"/>
      <c r="G678" s="2">
        <v>2500</v>
      </c>
      <c r="I678" s="75">
        <f t="shared" si="51"/>
        <v>17605.05</v>
      </c>
      <c r="L678" s="2">
        <f t="shared" si="52"/>
        <v>10</v>
      </c>
    </row>
    <row r="679" spans="1:14" x14ac:dyDescent="0.3">
      <c r="A679" s="3">
        <v>44893</v>
      </c>
      <c r="B679" s="11" t="s">
        <v>2976</v>
      </c>
      <c r="C679" s="50" t="s">
        <v>1279</v>
      </c>
      <c r="D679" s="114"/>
      <c r="F679" s="15"/>
      <c r="H679" s="2">
        <v>10000</v>
      </c>
      <c r="I679" s="75">
        <f t="shared" si="51"/>
        <v>7605.0499999999993</v>
      </c>
      <c r="L679" s="2">
        <f t="shared" si="52"/>
        <v>20</v>
      </c>
    </row>
    <row r="680" spans="1:14" x14ac:dyDescent="0.3">
      <c r="A680" s="3">
        <v>44893</v>
      </c>
      <c r="C680" s="50" t="s">
        <v>577</v>
      </c>
      <c r="D680" s="114"/>
      <c r="F680" s="15"/>
      <c r="H680" s="2">
        <v>5000</v>
      </c>
      <c r="I680" s="75">
        <f t="shared" si="51"/>
        <v>2605.0499999999993</v>
      </c>
      <c r="L680" s="2">
        <f t="shared" si="52"/>
        <v>20</v>
      </c>
    </row>
    <row r="681" spans="1:14" x14ac:dyDescent="0.3">
      <c r="A681" s="3">
        <v>44894</v>
      </c>
      <c r="B681" s="11" t="s">
        <v>2977</v>
      </c>
      <c r="C681" s="50" t="s">
        <v>2978</v>
      </c>
      <c r="D681" s="50">
        <v>6203651118</v>
      </c>
      <c r="E681" s="90" t="s">
        <v>16</v>
      </c>
      <c r="F681"/>
      <c r="H681" s="2">
        <v>250</v>
      </c>
      <c r="I681" s="75">
        <f t="shared" si="51"/>
        <v>2355.0499999999993</v>
      </c>
      <c r="L681" s="2">
        <f t="shared" si="52"/>
        <v>26</v>
      </c>
    </row>
    <row r="682" spans="1:14" x14ac:dyDescent="0.3">
      <c r="A682" s="77"/>
      <c r="B682" s="80"/>
      <c r="C682" s="112"/>
      <c r="D682" s="112"/>
      <c r="E682" s="92">
        <f>COUNTIF(E578:E681,"y")</f>
        <v>14</v>
      </c>
      <c r="F682" s="28">
        <f>G682+H682</f>
        <v>363595.05</v>
      </c>
      <c r="G682" s="81">
        <f>SUM(G578:G681)</f>
        <v>182975.05</v>
      </c>
      <c r="H682" s="81">
        <f>SUM(H578:H681)</f>
        <v>180620</v>
      </c>
      <c r="I682" s="81"/>
      <c r="K682" s="26"/>
      <c r="L682" s="81">
        <f>SUM(L578:L681)</f>
        <v>1444.7802000000001</v>
      </c>
      <c r="M682" s="26">
        <f>L682*0.8</f>
        <v>1155.8241600000001</v>
      </c>
      <c r="N682" s="26"/>
    </row>
    <row r="684" spans="1:14" x14ac:dyDescent="0.3">
      <c r="A684" s="3">
        <v>44896</v>
      </c>
      <c r="B684" s="11" t="s">
        <v>2983</v>
      </c>
      <c r="C684" s="50" t="s">
        <v>2984</v>
      </c>
      <c r="D684" s="114"/>
      <c r="F684" s="15"/>
      <c r="I684" s="75">
        <v>2355</v>
      </c>
      <c r="L684" s="2">
        <v>0</v>
      </c>
    </row>
    <row r="685" spans="1:14" x14ac:dyDescent="0.3">
      <c r="A685" s="3">
        <v>44896</v>
      </c>
      <c r="B685" s="11" t="s">
        <v>2238</v>
      </c>
      <c r="C685" s="50" t="s">
        <v>2239</v>
      </c>
      <c r="D685" s="114"/>
      <c r="F685" s="15"/>
      <c r="H685" s="2">
        <v>2000</v>
      </c>
      <c r="I685" s="75">
        <f t="shared" ref="I685:I775" si="53">I684+G685-H685</f>
        <v>355</v>
      </c>
      <c r="L685" s="2">
        <f t="shared" ref="L685:L716" si="54">IF((G685+H685)&lt;=5000,(H685+G685)*0.004,20)+IF(E685="Y",25,0)</f>
        <v>8</v>
      </c>
    </row>
    <row r="686" spans="1:14" x14ac:dyDescent="0.3">
      <c r="A686" s="3">
        <v>44896</v>
      </c>
      <c r="B686" s="11" t="s">
        <v>1472</v>
      </c>
      <c r="C686" s="50" t="s">
        <v>2985</v>
      </c>
      <c r="F686"/>
      <c r="G686" s="2">
        <v>10000</v>
      </c>
      <c r="H686" s="2">
        <v>250</v>
      </c>
      <c r="I686" s="75">
        <f t="shared" si="53"/>
        <v>10105</v>
      </c>
      <c r="L686" s="2">
        <f t="shared" si="54"/>
        <v>20</v>
      </c>
    </row>
    <row r="687" spans="1:14" x14ac:dyDescent="0.3">
      <c r="A687" s="3">
        <v>44896</v>
      </c>
      <c r="B687" s="11" t="s">
        <v>1257</v>
      </c>
      <c r="C687" s="50" t="s">
        <v>2986</v>
      </c>
      <c r="F687"/>
      <c r="H687" s="2">
        <v>6000</v>
      </c>
      <c r="I687" s="75">
        <f t="shared" si="53"/>
        <v>4105</v>
      </c>
      <c r="L687" s="2">
        <f t="shared" si="54"/>
        <v>20</v>
      </c>
    </row>
    <row r="688" spans="1:14" x14ac:dyDescent="0.3">
      <c r="A688" s="3">
        <v>44896</v>
      </c>
      <c r="B688" s="11" t="s">
        <v>1471</v>
      </c>
      <c r="C688" s="50" t="s">
        <v>2987</v>
      </c>
      <c r="F688"/>
      <c r="H688" s="2">
        <v>500</v>
      </c>
      <c r="I688" s="75">
        <f t="shared" si="53"/>
        <v>3605</v>
      </c>
      <c r="L688" s="2">
        <f t="shared" si="54"/>
        <v>2</v>
      </c>
    </row>
    <row r="689" spans="1:13" x14ac:dyDescent="0.3">
      <c r="A689" s="3">
        <v>44896</v>
      </c>
      <c r="B689" s="11" t="s">
        <v>2988</v>
      </c>
      <c r="C689" s="50" t="s">
        <v>2989</v>
      </c>
      <c r="D689" s="50">
        <v>7667932691</v>
      </c>
      <c r="E689" s="90" t="s">
        <v>16</v>
      </c>
      <c r="F689"/>
      <c r="H689" s="2">
        <v>100</v>
      </c>
      <c r="I689" s="75">
        <f t="shared" si="53"/>
        <v>3505</v>
      </c>
      <c r="L689" s="2">
        <f t="shared" si="54"/>
        <v>25.4</v>
      </c>
    </row>
    <row r="690" spans="1:13" x14ac:dyDescent="0.3">
      <c r="A690" s="3">
        <v>44896</v>
      </c>
      <c r="B690" s="11" t="s">
        <v>1160</v>
      </c>
      <c r="C690" s="50" t="s">
        <v>2370</v>
      </c>
      <c r="G690" s="2">
        <v>2000</v>
      </c>
      <c r="I690" s="75">
        <f t="shared" si="53"/>
        <v>5505</v>
      </c>
      <c r="L690" s="2">
        <f t="shared" si="54"/>
        <v>8</v>
      </c>
    </row>
    <row r="691" spans="1:13" x14ac:dyDescent="0.3">
      <c r="A691" s="3">
        <v>44896</v>
      </c>
      <c r="B691" s="11" t="s">
        <v>2144</v>
      </c>
      <c r="C691" s="50" t="s">
        <v>2991</v>
      </c>
      <c r="F691" s="38"/>
      <c r="H691" s="2">
        <v>1800</v>
      </c>
      <c r="I691" s="75">
        <f t="shared" si="53"/>
        <v>3705</v>
      </c>
      <c r="L691" s="2">
        <f t="shared" si="54"/>
        <v>7.2</v>
      </c>
    </row>
    <row r="692" spans="1:13" x14ac:dyDescent="0.3">
      <c r="A692" s="3">
        <v>44896</v>
      </c>
      <c r="C692" s="50" t="s">
        <v>2626</v>
      </c>
      <c r="F692" s="38"/>
      <c r="G692" s="2">
        <v>10000</v>
      </c>
      <c r="I692" s="75">
        <f t="shared" si="53"/>
        <v>13705</v>
      </c>
      <c r="L692" s="2">
        <f t="shared" si="54"/>
        <v>20</v>
      </c>
    </row>
    <row r="693" spans="1:13" x14ac:dyDescent="0.3">
      <c r="A693" s="3">
        <v>44896</v>
      </c>
      <c r="B693" s="11" t="s">
        <v>2716</v>
      </c>
      <c r="C693" s="50" t="s">
        <v>1279</v>
      </c>
      <c r="F693" s="38"/>
      <c r="H693" s="2">
        <v>5000</v>
      </c>
      <c r="I693" s="75">
        <f t="shared" si="53"/>
        <v>8705</v>
      </c>
      <c r="L693" s="2">
        <f t="shared" si="54"/>
        <v>20</v>
      </c>
    </row>
    <row r="694" spans="1:13" x14ac:dyDescent="0.3">
      <c r="A694" s="3">
        <v>44897</v>
      </c>
      <c r="B694" s="11" t="s">
        <v>1257</v>
      </c>
      <c r="C694" s="50" t="s">
        <v>2986</v>
      </c>
      <c r="F694" s="38">
        <v>233611074829</v>
      </c>
      <c r="H694" s="2">
        <v>6000</v>
      </c>
      <c r="I694" s="75">
        <f t="shared" si="53"/>
        <v>2705</v>
      </c>
      <c r="L694" s="2">
        <f t="shared" si="54"/>
        <v>20</v>
      </c>
    </row>
    <row r="695" spans="1:13" x14ac:dyDescent="0.3">
      <c r="A695" s="3">
        <v>44897</v>
      </c>
      <c r="C695" s="50" t="s">
        <v>2734</v>
      </c>
      <c r="F695" s="38"/>
      <c r="G695" s="2">
        <v>500</v>
      </c>
      <c r="I695" s="75">
        <f t="shared" si="53"/>
        <v>3205</v>
      </c>
      <c r="L695" s="2">
        <f t="shared" si="54"/>
        <v>2</v>
      </c>
    </row>
    <row r="696" spans="1:13" x14ac:dyDescent="0.3">
      <c r="A696" s="3">
        <v>44898</v>
      </c>
      <c r="B696" s="11" t="s">
        <v>1160</v>
      </c>
      <c r="C696" s="50" t="s">
        <v>2993</v>
      </c>
      <c r="D696" s="50">
        <v>8809544365</v>
      </c>
      <c r="F696" s="38">
        <v>233711483773</v>
      </c>
      <c r="G696" s="2">
        <v>1000</v>
      </c>
      <c r="I696" s="75">
        <f t="shared" si="53"/>
        <v>4205</v>
      </c>
      <c r="L696" s="2">
        <f t="shared" si="54"/>
        <v>4</v>
      </c>
    </row>
    <row r="697" spans="1:13" x14ac:dyDescent="0.3">
      <c r="A697" s="3">
        <v>44898</v>
      </c>
      <c r="B697" s="11" t="s">
        <v>2994</v>
      </c>
      <c r="E697" s="90" t="s">
        <v>16</v>
      </c>
      <c r="F697" s="38"/>
      <c r="H697" s="2">
        <v>250</v>
      </c>
      <c r="I697" s="75">
        <f t="shared" si="53"/>
        <v>3955</v>
      </c>
      <c r="L697" s="2">
        <f t="shared" si="54"/>
        <v>26</v>
      </c>
    </row>
    <row r="698" spans="1:13" x14ac:dyDescent="0.3">
      <c r="A698" s="3">
        <v>44900</v>
      </c>
      <c r="B698" s="11" t="s">
        <v>2969</v>
      </c>
      <c r="C698" s="50" t="s">
        <v>2970</v>
      </c>
      <c r="F698" s="38">
        <v>233911375880</v>
      </c>
      <c r="H698" s="2">
        <v>500</v>
      </c>
      <c r="I698" s="75">
        <f t="shared" si="53"/>
        <v>3455</v>
      </c>
      <c r="L698" s="2">
        <f t="shared" si="54"/>
        <v>2</v>
      </c>
    </row>
    <row r="699" spans="1:13" x14ac:dyDescent="0.3">
      <c r="A699" s="3">
        <v>44900</v>
      </c>
      <c r="B699" s="11" t="s">
        <v>2232</v>
      </c>
      <c r="C699" s="50" t="s">
        <v>2233</v>
      </c>
      <c r="F699" s="38">
        <v>233912477369</v>
      </c>
      <c r="G699" s="2">
        <v>1000</v>
      </c>
      <c r="I699" s="75">
        <f t="shared" si="53"/>
        <v>4455</v>
      </c>
      <c r="L699" s="2">
        <f t="shared" si="54"/>
        <v>4</v>
      </c>
    </row>
    <row r="700" spans="1:13" x14ac:dyDescent="0.3">
      <c r="A700" s="3">
        <v>44900</v>
      </c>
      <c r="B700" s="11" t="s">
        <v>2997</v>
      </c>
      <c r="C700" s="50" t="s">
        <v>128</v>
      </c>
      <c r="F700" s="38"/>
      <c r="G700" s="2">
        <v>5000</v>
      </c>
      <c r="I700" s="75">
        <f t="shared" si="53"/>
        <v>9455</v>
      </c>
      <c r="L700" s="2">
        <f t="shared" si="54"/>
        <v>20</v>
      </c>
      <c r="M700" t="s">
        <v>2998</v>
      </c>
    </row>
    <row r="701" spans="1:13" x14ac:dyDescent="0.3">
      <c r="A701" s="3">
        <v>44900</v>
      </c>
      <c r="B701" s="11" t="s">
        <v>3002</v>
      </c>
      <c r="C701" s="50" t="s">
        <v>1279</v>
      </c>
      <c r="F701" s="38"/>
      <c r="H701" s="2">
        <v>7000</v>
      </c>
      <c r="I701" s="75">
        <f t="shared" si="53"/>
        <v>2455</v>
      </c>
      <c r="L701" s="2">
        <f t="shared" si="54"/>
        <v>20</v>
      </c>
    </row>
    <row r="702" spans="1:13" x14ac:dyDescent="0.3">
      <c r="A702" s="3">
        <v>44900</v>
      </c>
      <c r="B702" s="11" t="s">
        <v>3003</v>
      </c>
      <c r="C702" s="50" t="s">
        <v>3004</v>
      </c>
      <c r="E702" s="90" t="s">
        <v>16</v>
      </c>
      <c r="F702" s="38"/>
      <c r="H702" s="2">
        <v>500</v>
      </c>
      <c r="I702" s="75">
        <f t="shared" si="53"/>
        <v>1955</v>
      </c>
      <c r="L702" s="2">
        <f t="shared" si="54"/>
        <v>27</v>
      </c>
    </row>
    <row r="703" spans="1:13" x14ac:dyDescent="0.3">
      <c r="A703" s="3">
        <v>44901</v>
      </c>
      <c r="B703" s="11" t="s">
        <v>3013</v>
      </c>
      <c r="F703" s="38"/>
      <c r="G703" s="2">
        <v>2000</v>
      </c>
      <c r="I703" s="75">
        <f t="shared" si="53"/>
        <v>3955</v>
      </c>
      <c r="L703" s="2">
        <f t="shared" si="54"/>
        <v>8</v>
      </c>
    </row>
    <row r="704" spans="1:13" x14ac:dyDescent="0.3">
      <c r="A704" s="3">
        <v>44901</v>
      </c>
      <c r="B704" s="11" t="s">
        <v>3011</v>
      </c>
      <c r="C704" s="50" t="s">
        <v>3012</v>
      </c>
      <c r="E704" s="90" t="s">
        <v>16</v>
      </c>
      <c r="F704" s="38">
        <v>234016614799</v>
      </c>
      <c r="H704" s="2">
        <v>150</v>
      </c>
      <c r="I704" s="75">
        <f t="shared" si="53"/>
        <v>3805</v>
      </c>
      <c r="L704" s="2">
        <f t="shared" si="54"/>
        <v>25.6</v>
      </c>
    </row>
    <row r="705" spans="1:12" x14ac:dyDescent="0.3">
      <c r="A705" s="3">
        <v>44901</v>
      </c>
      <c r="B705" s="11" t="s">
        <v>2238</v>
      </c>
      <c r="C705" s="50" t="s">
        <v>2239</v>
      </c>
      <c r="F705" s="38">
        <v>234018904900</v>
      </c>
      <c r="H705" s="2">
        <v>3000</v>
      </c>
      <c r="I705" s="75">
        <f t="shared" si="53"/>
        <v>805</v>
      </c>
      <c r="L705" s="2">
        <f t="shared" si="54"/>
        <v>12</v>
      </c>
    </row>
    <row r="706" spans="1:12" x14ac:dyDescent="0.3">
      <c r="A706" s="3">
        <v>44902</v>
      </c>
      <c r="B706" s="11" t="s">
        <v>1160</v>
      </c>
      <c r="C706" s="50" t="s">
        <v>3017</v>
      </c>
      <c r="F706" s="38"/>
      <c r="G706" s="2">
        <v>2000</v>
      </c>
      <c r="I706" s="75">
        <f t="shared" si="53"/>
        <v>2805</v>
      </c>
      <c r="L706" s="2">
        <f t="shared" si="54"/>
        <v>8</v>
      </c>
    </row>
    <row r="707" spans="1:12" x14ac:dyDescent="0.3">
      <c r="A707" s="3">
        <v>44903</v>
      </c>
      <c r="B707" s="11" t="s">
        <v>3018</v>
      </c>
      <c r="C707" s="50" t="s">
        <v>1001</v>
      </c>
      <c r="E707" s="90" t="s">
        <v>16</v>
      </c>
      <c r="F707" s="38"/>
      <c r="H707" s="2">
        <v>200</v>
      </c>
      <c r="I707" s="75">
        <f t="shared" si="53"/>
        <v>2605</v>
      </c>
      <c r="L707" s="2">
        <f t="shared" si="54"/>
        <v>25.8</v>
      </c>
    </row>
    <row r="708" spans="1:12" x14ac:dyDescent="0.3">
      <c r="A708" s="3">
        <v>44903</v>
      </c>
      <c r="B708" s="11" t="s">
        <v>2804</v>
      </c>
      <c r="C708" s="50" t="s">
        <v>3022</v>
      </c>
      <c r="F708" s="38">
        <v>2342188022645</v>
      </c>
      <c r="H708" s="2">
        <v>2500</v>
      </c>
      <c r="I708" s="75">
        <f t="shared" si="53"/>
        <v>105</v>
      </c>
      <c r="L708" s="2">
        <f t="shared" si="54"/>
        <v>10</v>
      </c>
    </row>
    <row r="709" spans="1:12" x14ac:dyDescent="0.3">
      <c r="A709" s="3">
        <v>44903</v>
      </c>
      <c r="B709" s="11" t="s">
        <v>1160</v>
      </c>
      <c r="C709" s="50" t="s">
        <v>3017</v>
      </c>
      <c r="D709" s="50">
        <v>6299828697</v>
      </c>
      <c r="G709" s="2">
        <v>4500</v>
      </c>
      <c r="I709" s="75">
        <f t="shared" si="53"/>
        <v>4605</v>
      </c>
      <c r="L709" s="2">
        <f t="shared" si="54"/>
        <v>18</v>
      </c>
    </row>
    <row r="710" spans="1:12" x14ac:dyDescent="0.3">
      <c r="A710" s="3">
        <v>44903</v>
      </c>
      <c r="B710" s="11" t="s">
        <v>1250</v>
      </c>
      <c r="C710" s="50" t="s">
        <v>2626</v>
      </c>
      <c r="F710" s="38"/>
      <c r="G710" s="2">
        <v>2000</v>
      </c>
      <c r="I710" s="75">
        <f t="shared" si="53"/>
        <v>6605</v>
      </c>
      <c r="L710" s="2">
        <f t="shared" si="54"/>
        <v>8</v>
      </c>
    </row>
    <row r="711" spans="1:12" x14ac:dyDescent="0.3">
      <c r="A711" s="3">
        <v>44904</v>
      </c>
      <c r="B711" s="11" t="s">
        <v>2280</v>
      </c>
      <c r="C711" s="50" t="s">
        <v>3023</v>
      </c>
      <c r="D711" s="50">
        <v>9308174062</v>
      </c>
      <c r="F711" s="38"/>
      <c r="H711" s="2">
        <v>5500</v>
      </c>
      <c r="I711" s="75">
        <f t="shared" si="53"/>
        <v>1105</v>
      </c>
      <c r="L711" s="2">
        <f t="shared" si="54"/>
        <v>20</v>
      </c>
    </row>
    <row r="712" spans="1:12" x14ac:dyDescent="0.3">
      <c r="A712" s="3">
        <v>44904</v>
      </c>
      <c r="B712" s="11" t="s">
        <v>3024</v>
      </c>
      <c r="C712" s="50" t="s">
        <v>3025</v>
      </c>
      <c r="E712" s="90" t="s">
        <v>16</v>
      </c>
      <c r="F712" s="38"/>
      <c r="H712" s="2">
        <v>500</v>
      </c>
      <c r="I712" s="75">
        <f t="shared" si="53"/>
        <v>605</v>
      </c>
      <c r="L712" s="2">
        <f t="shared" si="54"/>
        <v>27</v>
      </c>
    </row>
    <row r="713" spans="1:12" x14ac:dyDescent="0.3">
      <c r="A713" s="3">
        <v>44904</v>
      </c>
      <c r="B713" s="11" t="s">
        <v>2144</v>
      </c>
      <c r="C713" s="50" t="s">
        <v>2991</v>
      </c>
      <c r="F713" s="38"/>
      <c r="G713" s="2">
        <v>500</v>
      </c>
      <c r="I713" s="75">
        <f t="shared" si="53"/>
        <v>1105</v>
      </c>
      <c r="L713" s="2">
        <f t="shared" si="54"/>
        <v>2</v>
      </c>
    </row>
    <row r="714" spans="1:12" x14ac:dyDescent="0.3">
      <c r="A714" s="3">
        <v>44904</v>
      </c>
      <c r="B714" s="11" t="s">
        <v>3027</v>
      </c>
      <c r="C714" s="50" t="s">
        <v>3028</v>
      </c>
      <c r="F714" s="38"/>
      <c r="G714" s="2">
        <v>500</v>
      </c>
      <c r="I714" s="75">
        <f t="shared" si="53"/>
        <v>1605</v>
      </c>
      <c r="L714" s="2">
        <f t="shared" si="54"/>
        <v>2</v>
      </c>
    </row>
    <row r="715" spans="1:12" x14ac:dyDescent="0.3">
      <c r="A715" s="3">
        <v>44905</v>
      </c>
      <c r="B715" s="11" t="s">
        <v>3029</v>
      </c>
      <c r="C715" s="50" t="s">
        <v>2734</v>
      </c>
      <c r="F715" s="38"/>
      <c r="H715" s="2">
        <v>1500</v>
      </c>
      <c r="I715" s="75">
        <f t="shared" si="53"/>
        <v>105</v>
      </c>
      <c r="L715" s="2">
        <f t="shared" si="54"/>
        <v>6</v>
      </c>
    </row>
    <row r="716" spans="1:12" x14ac:dyDescent="0.3">
      <c r="A716" s="3">
        <v>44905</v>
      </c>
      <c r="B716" s="11" t="s">
        <v>1160</v>
      </c>
      <c r="C716" s="50" t="s">
        <v>3030</v>
      </c>
      <c r="F716" s="38"/>
      <c r="G716" s="2">
        <v>1050</v>
      </c>
      <c r="I716" s="75">
        <f t="shared" si="53"/>
        <v>1155</v>
      </c>
      <c r="L716" s="2">
        <f t="shared" si="54"/>
        <v>4.2</v>
      </c>
    </row>
    <row r="717" spans="1:12" x14ac:dyDescent="0.3">
      <c r="A717" s="3">
        <v>44905</v>
      </c>
      <c r="B717" s="11" t="s">
        <v>3031</v>
      </c>
      <c r="C717" s="50" t="s">
        <v>3032</v>
      </c>
      <c r="F717" s="38"/>
      <c r="G717" s="2">
        <v>5000</v>
      </c>
      <c r="I717" s="75">
        <f t="shared" si="53"/>
        <v>6155</v>
      </c>
      <c r="L717" s="2">
        <f t="shared" ref="L717:L739" si="55">IF((G717+H717)&lt;=5000,(H717+G717)*0.004,20)+IF(E717="Y",25,0)</f>
        <v>20</v>
      </c>
    </row>
    <row r="718" spans="1:12" x14ac:dyDescent="0.3">
      <c r="A718" s="3">
        <v>44905</v>
      </c>
      <c r="B718" s="11" t="s">
        <v>2241</v>
      </c>
      <c r="C718" s="50" t="s">
        <v>3033</v>
      </c>
      <c r="F718" s="38">
        <v>234418924705</v>
      </c>
      <c r="G718" s="2">
        <v>7100</v>
      </c>
      <c r="I718" s="75">
        <f t="shared" si="53"/>
        <v>13255</v>
      </c>
      <c r="L718" s="2">
        <f t="shared" si="55"/>
        <v>20</v>
      </c>
    </row>
    <row r="719" spans="1:12" x14ac:dyDescent="0.3">
      <c r="A719" s="3">
        <v>44905</v>
      </c>
      <c r="B719" s="11" t="s">
        <v>2139</v>
      </c>
      <c r="C719" s="50" t="s">
        <v>2986</v>
      </c>
      <c r="F719" s="38">
        <v>234418936663</v>
      </c>
      <c r="H719" s="2">
        <v>5000</v>
      </c>
      <c r="I719" s="75">
        <f t="shared" si="53"/>
        <v>8255</v>
      </c>
      <c r="L719" s="2">
        <f t="shared" si="55"/>
        <v>20</v>
      </c>
    </row>
    <row r="720" spans="1:12" x14ac:dyDescent="0.3">
      <c r="A720" s="3">
        <v>44905</v>
      </c>
      <c r="B720" s="11" t="s">
        <v>2678</v>
      </c>
      <c r="C720" s="50" t="s">
        <v>3034</v>
      </c>
      <c r="H720" s="2">
        <v>5000</v>
      </c>
      <c r="I720" s="75">
        <f t="shared" si="53"/>
        <v>3255</v>
      </c>
      <c r="L720" s="2">
        <f t="shared" si="55"/>
        <v>20</v>
      </c>
    </row>
    <row r="721" spans="1:12" x14ac:dyDescent="0.3">
      <c r="A721" s="3">
        <v>44905</v>
      </c>
      <c r="B721" s="11" t="s">
        <v>2346</v>
      </c>
      <c r="C721" s="50" t="s">
        <v>3035</v>
      </c>
      <c r="F721" s="38">
        <v>234418949810</v>
      </c>
      <c r="H721" s="2">
        <v>2700</v>
      </c>
      <c r="I721" s="75">
        <f t="shared" si="53"/>
        <v>555</v>
      </c>
      <c r="L721" s="2">
        <f t="shared" si="55"/>
        <v>10.8</v>
      </c>
    </row>
    <row r="722" spans="1:12" x14ac:dyDescent="0.3">
      <c r="A722" s="3">
        <v>44907</v>
      </c>
      <c r="B722" s="11" t="s">
        <v>3036</v>
      </c>
      <c r="C722" s="50" t="s">
        <v>3037</v>
      </c>
      <c r="G722" s="2">
        <v>1000</v>
      </c>
      <c r="I722" s="75">
        <f t="shared" si="53"/>
        <v>1555</v>
      </c>
      <c r="L722" s="2">
        <f t="shared" si="55"/>
        <v>4</v>
      </c>
    </row>
    <row r="723" spans="1:12" x14ac:dyDescent="0.3">
      <c r="A723" s="3">
        <v>44907</v>
      </c>
      <c r="B723" s="11" t="s">
        <v>2232</v>
      </c>
      <c r="C723" s="50" t="s">
        <v>2635</v>
      </c>
      <c r="F723" s="38"/>
      <c r="G723" s="2">
        <v>3000</v>
      </c>
      <c r="I723" s="75">
        <f t="shared" si="53"/>
        <v>4555</v>
      </c>
      <c r="L723" s="2">
        <f t="shared" si="55"/>
        <v>12</v>
      </c>
    </row>
    <row r="724" spans="1:12" x14ac:dyDescent="0.3">
      <c r="A724" s="3">
        <v>44907</v>
      </c>
      <c r="B724" s="11" t="s">
        <v>3039</v>
      </c>
      <c r="C724" s="50" t="s">
        <v>3038</v>
      </c>
      <c r="F724" s="38"/>
      <c r="G724" s="2">
        <v>500</v>
      </c>
      <c r="I724" s="75">
        <f t="shared" si="53"/>
        <v>5055</v>
      </c>
      <c r="L724" s="2">
        <f t="shared" si="55"/>
        <v>2</v>
      </c>
    </row>
    <row r="725" spans="1:12" x14ac:dyDescent="0.3">
      <c r="A725" s="3">
        <v>44907</v>
      </c>
      <c r="B725" s="11" t="s">
        <v>2346</v>
      </c>
      <c r="C725" s="50" t="s">
        <v>3035</v>
      </c>
      <c r="F725" s="38"/>
      <c r="G725" s="2">
        <v>500</v>
      </c>
      <c r="I725" s="75">
        <f t="shared" si="53"/>
        <v>5555</v>
      </c>
      <c r="L725" s="2">
        <f t="shared" si="55"/>
        <v>2</v>
      </c>
    </row>
    <row r="726" spans="1:12" x14ac:dyDescent="0.3">
      <c r="A726" s="3">
        <v>44907</v>
      </c>
      <c r="B726" s="11" t="s">
        <v>2184</v>
      </c>
      <c r="C726" s="50" t="s">
        <v>2186</v>
      </c>
      <c r="F726" s="38"/>
      <c r="H726" s="2">
        <v>4200</v>
      </c>
      <c r="I726" s="75">
        <f t="shared" si="53"/>
        <v>1355</v>
      </c>
      <c r="L726" s="2">
        <f t="shared" si="55"/>
        <v>16.8</v>
      </c>
    </row>
    <row r="727" spans="1:12" x14ac:dyDescent="0.3">
      <c r="A727" s="3">
        <v>44907</v>
      </c>
      <c r="B727" s="11" t="s">
        <v>2185</v>
      </c>
      <c r="C727" s="50" t="s">
        <v>2187</v>
      </c>
      <c r="F727" s="38"/>
      <c r="H727" s="2">
        <v>1300</v>
      </c>
      <c r="I727" s="75">
        <f t="shared" si="53"/>
        <v>55</v>
      </c>
      <c r="L727" s="2">
        <f t="shared" si="55"/>
        <v>5.2</v>
      </c>
    </row>
    <row r="728" spans="1:12" x14ac:dyDescent="0.3">
      <c r="A728" s="3">
        <v>44908</v>
      </c>
      <c r="B728" s="11" t="s">
        <v>3042</v>
      </c>
      <c r="C728" s="50" t="s">
        <v>3043</v>
      </c>
      <c r="D728" s="50">
        <v>6205130094</v>
      </c>
      <c r="F728" s="38"/>
      <c r="G728" s="2">
        <v>2000</v>
      </c>
      <c r="I728" s="75">
        <f t="shared" si="53"/>
        <v>2055</v>
      </c>
      <c r="L728" s="2">
        <f t="shared" si="55"/>
        <v>8</v>
      </c>
    </row>
    <row r="729" spans="1:12" x14ac:dyDescent="0.3">
      <c r="A729" s="3">
        <v>44908</v>
      </c>
      <c r="B729" s="11" t="s">
        <v>3044</v>
      </c>
      <c r="C729" s="50" t="s">
        <v>3045</v>
      </c>
      <c r="F729" s="38">
        <v>234710864913</v>
      </c>
      <c r="H729" s="2">
        <v>1500</v>
      </c>
      <c r="I729" s="75">
        <f t="shared" si="53"/>
        <v>555</v>
      </c>
      <c r="L729" s="2">
        <f t="shared" si="55"/>
        <v>6</v>
      </c>
    </row>
    <row r="730" spans="1:12" x14ac:dyDescent="0.3">
      <c r="A730" s="3">
        <v>44908</v>
      </c>
      <c r="C730" s="50" t="s">
        <v>2250</v>
      </c>
      <c r="F730" s="4">
        <v>234717046002</v>
      </c>
      <c r="G730" s="2">
        <v>500</v>
      </c>
      <c r="I730" s="75">
        <f t="shared" si="53"/>
        <v>1055</v>
      </c>
      <c r="L730" s="2">
        <f t="shared" si="55"/>
        <v>2</v>
      </c>
    </row>
    <row r="731" spans="1:12" x14ac:dyDescent="0.3">
      <c r="A731" s="3">
        <v>44908</v>
      </c>
      <c r="B731" s="11" t="s">
        <v>3054</v>
      </c>
      <c r="C731" s="50" t="s">
        <v>3055</v>
      </c>
      <c r="E731" s="90" t="s">
        <v>16</v>
      </c>
      <c r="H731" s="2">
        <v>1000</v>
      </c>
      <c r="I731" s="75">
        <f t="shared" si="53"/>
        <v>55</v>
      </c>
      <c r="L731" s="2">
        <f t="shared" si="55"/>
        <v>29</v>
      </c>
    </row>
    <row r="732" spans="1:12" x14ac:dyDescent="0.3">
      <c r="A732" s="3">
        <v>44908</v>
      </c>
      <c r="B732" s="11" t="s">
        <v>3061</v>
      </c>
      <c r="C732" s="50" t="s">
        <v>3056</v>
      </c>
      <c r="D732" s="50" t="s">
        <v>3059</v>
      </c>
      <c r="E732" s="90" t="s">
        <v>16</v>
      </c>
      <c r="I732" s="75">
        <f t="shared" si="53"/>
        <v>55</v>
      </c>
      <c r="L732" s="2">
        <f t="shared" si="55"/>
        <v>25</v>
      </c>
    </row>
    <row r="733" spans="1:12" x14ac:dyDescent="0.3">
      <c r="A733" s="3">
        <v>44908</v>
      </c>
      <c r="B733" s="11" t="s">
        <v>3062</v>
      </c>
      <c r="C733" s="50" t="s">
        <v>3057</v>
      </c>
      <c r="D733" s="50" t="s">
        <v>3060</v>
      </c>
      <c r="E733" s="90" t="s">
        <v>16</v>
      </c>
      <c r="I733" s="75">
        <f t="shared" si="53"/>
        <v>55</v>
      </c>
      <c r="L733" s="2">
        <f t="shared" si="55"/>
        <v>25</v>
      </c>
    </row>
    <row r="734" spans="1:12" x14ac:dyDescent="0.3">
      <c r="A734" s="3">
        <v>44910</v>
      </c>
      <c r="B734" s="11" t="s">
        <v>2802</v>
      </c>
      <c r="C734" s="50" t="s">
        <v>231</v>
      </c>
      <c r="G734" s="2">
        <v>500</v>
      </c>
      <c r="I734" s="75">
        <f t="shared" si="53"/>
        <v>555</v>
      </c>
      <c r="L734" s="2">
        <f t="shared" si="55"/>
        <v>2</v>
      </c>
    </row>
    <row r="735" spans="1:12" x14ac:dyDescent="0.3">
      <c r="A735" s="3">
        <v>44910</v>
      </c>
      <c r="B735" s="11" t="s">
        <v>1160</v>
      </c>
      <c r="C735" s="50" t="s">
        <v>231</v>
      </c>
      <c r="G735" s="2">
        <v>800</v>
      </c>
      <c r="I735" s="75">
        <f t="shared" si="53"/>
        <v>1355</v>
      </c>
      <c r="L735" s="2">
        <f t="shared" si="55"/>
        <v>3.2</v>
      </c>
    </row>
    <row r="736" spans="1:12" x14ac:dyDescent="0.3">
      <c r="A736" s="3">
        <v>44910</v>
      </c>
      <c r="B736" s="11" t="s">
        <v>2802</v>
      </c>
      <c r="C736" s="50" t="s">
        <v>2233</v>
      </c>
      <c r="G736" s="2">
        <v>1500</v>
      </c>
      <c r="I736" s="75">
        <f t="shared" si="53"/>
        <v>2855</v>
      </c>
      <c r="L736" s="2">
        <f t="shared" si="55"/>
        <v>6</v>
      </c>
    </row>
    <row r="737" spans="1:12" x14ac:dyDescent="0.3">
      <c r="A737" s="3">
        <v>44910</v>
      </c>
      <c r="B737" s="11" t="s">
        <v>2138</v>
      </c>
      <c r="C737" s="50" t="s">
        <v>3063</v>
      </c>
      <c r="H737" s="2">
        <v>1000</v>
      </c>
      <c r="I737" s="75">
        <f t="shared" si="53"/>
        <v>1855</v>
      </c>
      <c r="L737" s="2">
        <f t="shared" si="55"/>
        <v>4</v>
      </c>
    </row>
    <row r="738" spans="1:12" x14ac:dyDescent="0.3">
      <c r="A738" s="3">
        <v>44910</v>
      </c>
      <c r="C738" s="114" t="s">
        <v>3065</v>
      </c>
      <c r="G738" s="2">
        <v>959.94</v>
      </c>
      <c r="I738" s="75">
        <f t="shared" si="53"/>
        <v>2814.94</v>
      </c>
      <c r="L738" s="2">
        <f t="shared" si="55"/>
        <v>3.8397600000000005</v>
      </c>
    </row>
    <row r="739" spans="1:12" x14ac:dyDescent="0.3">
      <c r="A739" s="3">
        <v>44910</v>
      </c>
      <c r="B739" s="11" t="s">
        <v>1160</v>
      </c>
      <c r="C739" s="50" t="s">
        <v>3064</v>
      </c>
      <c r="G739" s="2">
        <v>1000</v>
      </c>
      <c r="I739" s="75">
        <f t="shared" si="53"/>
        <v>3814.94</v>
      </c>
      <c r="L739" s="2">
        <f t="shared" si="55"/>
        <v>4</v>
      </c>
    </row>
    <row r="740" spans="1:12" x14ac:dyDescent="0.3">
      <c r="A740" s="3">
        <v>44910</v>
      </c>
      <c r="C740" s="114" t="s">
        <v>3066</v>
      </c>
      <c r="D740" s="114"/>
      <c r="E740" s="97"/>
      <c r="F740" s="10"/>
      <c r="G740" s="64">
        <v>150.05000000000001</v>
      </c>
      <c r="I740" s="75">
        <f t="shared" si="53"/>
        <v>3964.9900000000002</v>
      </c>
    </row>
    <row r="741" spans="1:12" x14ac:dyDescent="0.3">
      <c r="A741" s="3">
        <v>44910</v>
      </c>
      <c r="B741" s="11" t="s">
        <v>1250</v>
      </c>
      <c r="C741" s="50" t="s">
        <v>2626</v>
      </c>
      <c r="G741" s="2">
        <v>1500</v>
      </c>
      <c r="I741" s="75">
        <f t="shared" si="53"/>
        <v>5464.99</v>
      </c>
      <c r="L741" s="2">
        <f t="shared" ref="L741:L772" si="56">IF((G741+H741)&lt;=5000,(H741+G741)*0.004,20)+IF(E741="Y",25,0)</f>
        <v>6</v>
      </c>
    </row>
    <row r="742" spans="1:12" x14ac:dyDescent="0.3">
      <c r="A742" s="3">
        <v>44910</v>
      </c>
      <c r="B742" s="11" t="s">
        <v>1257</v>
      </c>
      <c r="C742" s="132" t="s">
        <v>2986</v>
      </c>
      <c r="H742" s="2">
        <v>5000</v>
      </c>
      <c r="I742" s="75">
        <f t="shared" si="53"/>
        <v>464.98999999999978</v>
      </c>
      <c r="L742" s="2">
        <f t="shared" si="56"/>
        <v>20</v>
      </c>
    </row>
    <row r="743" spans="1:12" x14ac:dyDescent="0.3">
      <c r="A743" s="3">
        <v>44911</v>
      </c>
      <c r="B743" s="11" t="s">
        <v>3067</v>
      </c>
      <c r="C743" s="50" t="s">
        <v>3068</v>
      </c>
      <c r="E743" s="90" t="s">
        <v>16</v>
      </c>
      <c r="H743" s="2">
        <v>150</v>
      </c>
      <c r="I743" s="75">
        <f t="shared" si="53"/>
        <v>314.98999999999978</v>
      </c>
      <c r="L743" s="2">
        <f t="shared" si="56"/>
        <v>25.6</v>
      </c>
    </row>
    <row r="744" spans="1:12" x14ac:dyDescent="0.3">
      <c r="A744" s="3">
        <v>44911</v>
      </c>
      <c r="C744" s="50" t="s">
        <v>192</v>
      </c>
      <c r="E744" s="90" t="s">
        <v>16</v>
      </c>
      <c r="H744" s="2">
        <v>50</v>
      </c>
      <c r="I744" s="75">
        <f t="shared" si="53"/>
        <v>264.98999999999978</v>
      </c>
      <c r="L744" s="2">
        <f t="shared" si="56"/>
        <v>25.2</v>
      </c>
    </row>
    <row r="745" spans="1:12" x14ac:dyDescent="0.3">
      <c r="A745" s="3">
        <v>44912</v>
      </c>
      <c r="B745" s="11" t="s">
        <v>1472</v>
      </c>
      <c r="C745" s="50" t="s">
        <v>3076</v>
      </c>
      <c r="G745" s="2">
        <v>1500</v>
      </c>
      <c r="I745" s="75">
        <f t="shared" si="53"/>
        <v>1764.9899999999998</v>
      </c>
      <c r="L745" s="2">
        <f t="shared" si="56"/>
        <v>6</v>
      </c>
    </row>
    <row r="746" spans="1:12" x14ac:dyDescent="0.3">
      <c r="A746" s="3">
        <v>44912</v>
      </c>
      <c r="B746" s="11" t="s">
        <v>1250</v>
      </c>
      <c r="C746" s="50" t="s">
        <v>3077</v>
      </c>
      <c r="G746" s="2">
        <v>1500</v>
      </c>
      <c r="I746" s="75">
        <f t="shared" si="53"/>
        <v>3264.99</v>
      </c>
      <c r="L746" s="2">
        <f t="shared" si="56"/>
        <v>6</v>
      </c>
    </row>
    <row r="747" spans="1:12" x14ac:dyDescent="0.3">
      <c r="A747" s="3">
        <v>44912</v>
      </c>
      <c r="B747" s="11" t="s">
        <v>1250</v>
      </c>
      <c r="C747" s="50" t="s">
        <v>2883</v>
      </c>
      <c r="G747" s="2">
        <v>400</v>
      </c>
      <c r="I747" s="75">
        <f t="shared" si="53"/>
        <v>3664.99</v>
      </c>
      <c r="L747" s="2">
        <f t="shared" si="56"/>
        <v>1.6</v>
      </c>
    </row>
    <row r="748" spans="1:12" x14ac:dyDescent="0.3">
      <c r="A748" s="3">
        <v>44912</v>
      </c>
      <c r="B748" s="11" t="s">
        <v>2965</v>
      </c>
      <c r="C748" s="50" t="s">
        <v>3071</v>
      </c>
      <c r="H748" s="2">
        <v>1000</v>
      </c>
      <c r="I748" s="75">
        <f t="shared" si="53"/>
        <v>2664.99</v>
      </c>
      <c r="L748" s="2">
        <f t="shared" si="56"/>
        <v>4</v>
      </c>
    </row>
    <row r="749" spans="1:12" x14ac:dyDescent="0.3">
      <c r="A749" s="3">
        <v>44912</v>
      </c>
      <c r="B749" s="11" t="s">
        <v>1250</v>
      </c>
      <c r="C749" s="50" t="s">
        <v>2250</v>
      </c>
      <c r="G749" s="2">
        <v>500</v>
      </c>
      <c r="I749" s="75">
        <f t="shared" si="53"/>
        <v>3164.99</v>
      </c>
      <c r="L749" s="2">
        <f t="shared" si="56"/>
        <v>2</v>
      </c>
    </row>
    <row r="750" spans="1:12" x14ac:dyDescent="0.3">
      <c r="A750" s="3">
        <v>44912</v>
      </c>
      <c r="B750" s="11" t="s">
        <v>3079</v>
      </c>
      <c r="C750" s="50" t="s">
        <v>3078</v>
      </c>
      <c r="E750" s="90" t="s">
        <v>16</v>
      </c>
      <c r="H750" s="2">
        <v>300</v>
      </c>
      <c r="I750" s="75">
        <f t="shared" si="53"/>
        <v>2864.99</v>
      </c>
      <c r="L750" s="2">
        <f t="shared" si="56"/>
        <v>26.2</v>
      </c>
    </row>
    <row r="751" spans="1:12" x14ac:dyDescent="0.3">
      <c r="A751" s="3">
        <v>44913</v>
      </c>
      <c r="B751" s="11" t="s">
        <v>1250</v>
      </c>
      <c r="C751" s="50" t="s">
        <v>3086</v>
      </c>
      <c r="G751" s="2">
        <v>5000</v>
      </c>
      <c r="I751" s="75">
        <f t="shared" si="53"/>
        <v>7864.99</v>
      </c>
      <c r="L751" s="2">
        <f t="shared" si="56"/>
        <v>20</v>
      </c>
    </row>
    <row r="752" spans="1:12" x14ac:dyDescent="0.3">
      <c r="A752" s="3">
        <v>44914</v>
      </c>
      <c r="B752" s="11" t="s">
        <v>2807</v>
      </c>
      <c r="C752" s="50" t="s">
        <v>3087</v>
      </c>
      <c r="H752" s="2">
        <v>1000</v>
      </c>
      <c r="I752" s="75">
        <f t="shared" si="53"/>
        <v>6864.99</v>
      </c>
      <c r="L752" s="2">
        <f t="shared" si="56"/>
        <v>4</v>
      </c>
    </row>
    <row r="753" spans="1:12" x14ac:dyDescent="0.3">
      <c r="A753" s="3">
        <v>44914</v>
      </c>
      <c r="B753" s="11" t="s">
        <v>2232</v>
      </c>
      <c r="G753" s="2">
        <v>500</v>
      </c>
      <c r="I753" s="75">
        <f t="shared" si="53"/>
        <v>7364.99</v>
      </c>
      <c r="L753" s="2">
        <f t="shared" si="56"/>
        <v>2</v>
      </c>
    </row>
    <row r="754" spans="1:12" x14ac:dyDescent="0.3">
      <c r="A754" s="3">
        <v>44914</v>
      </c>
      <c r="B754" s="11" t="s">
        <v>2457</v>
      </c>
      <c r="C754" s="50" t="s">
        <v>2458</v>
      </c>
      <c r="F754" s="11"/>
      <c r="H754" s="2">
        <v>2500</v>
      </c>
      <c r="I754" s="75">
        <f t="shared" si="53"/>
        <v>4864.99</v>
      </c>
      <c r="L754" s="2">
        <f t="shared" si="56"/>
        <v>10</v>
      </c>
    </row>
    <row r="755" spans="1:12" x14ac:dyDescent="0.3">
      <c r="A755" s="3">
        <v>44914</v>
      </c>
      <c r="B755" s="11" t="s">
        <v>2678</v>
      </c>
      <c r="C755" s="50" t="s">
        <v>3088</v>
      </c>
      <c r="F755" s="11"/>
      <c r="H755" s="2">
        <v>4000</v>
      </c>
      <c r="I755" s="75">
        <f t="shared" si="53"/>
        <v>864.98999999999978</v>
      </c>
      <c r="L755" s="2">
        <f t="shared" si="56"/>
        <v>16</v>
      </c>
    </row>
    <row r="756" spans="1:12" x14ac:dyDescent="0.3">
      <c r="A756" s="3">
        <v>44914</v>
      </c>
      <c r="B756" s="11" t="s">
        <v>1250</v>
      </c>
      <c r="C756" s="50" t="s">
        <v>2295</v>
      </c>
      <c r="F756" s="11"/>
      <c r="G756" s="2">
        <v>5000</v>
      </c>
      <c r="I756" s="75">
        <f t="shared" si="53"/>
        <v>5864.99</v>
      </c>
      <c r="L756" s="2">
        <f t="shared" si="56"/>
        <v>20</v>
      </c>
    </row>
    <row r="757" spans="1:12" x14ac:dyDescent="0.3">
      <c r="A757" s="3">
        <v>44914</v>
      </c>
      <c r="B757" s="11" t="s">
        <v>1250</v>
      </c>
      <c r="C757" s="50" t="s">
        <v>2626</v>
      </c>
      <c r="F757" s="15"/>
      <c r="G757" s="2">
        <v>500</v>
      </c>
      <c r="I757" s="75">
        <f t="shared" si="53"/>
        <v>6364.99</v>
      </c>
      <c r="L757" s="2">
        <f t="shared" si="56"/>
        <v>2</v>
      </c>
    </row>
    <row r="758" spans="1:12" x14ac:dyDescent="0.3">
      <c r="A758" s="3">
        <v>44915</v>
      </c>
      <c r="B758" s="11" t="s">
        <v>2678</v>
      </c>
      <c r="C758" s="50" t="s">
        <v>3034</v>
      </c>
      <c r="F758" s="15"/>
      <c r="H758" s="2">
        <v>6000</v>
      </c>
      <c r="I758" s="75">
        <f t="shared" si="53"/>
        <v>364.98999999999978</v>
      </c>
      <c r="L758" s="2">
        <f t="shared" si="56"/>
        <v>20</v>
      </c>
    </row>
    <row r="759" spans="1:12" x14ac:dyDescent="0.3">
      <c r="A759" s="3">
        <v>44915</v>
      </c>
      <c r="B759" s="11" t="s">
        <v>1160</v>
      </c>
      <c r="C759" s="50" t="s">
        <v>2993</v>
      </c>
      <c r="F759" s="15"/>
      <c r="G759" s="2">
        <v>500</v>
      </c>
      <c r="I759" s="75">
        <f t="shared" si="53"/>
        <v>864.98999999999978</v>
      </c>
      <c r="L759" s="2">
        <f t="shared" si="56"/>
        <v>2</v>
      </c>
    </row>
    <row r="760" spans="1:12" x14ac:dyDescent="0.3">
      <c r="A760" s="3">
        <v>44915</v>
      </c>
      <c r="B760" s="11" t="s">
        <v>2619</v>
      </c>
      <c r="C760" s="50" t="s">
        <v>1633</v>
      </c>
      <c r="F760" s="15"/>
      <c r="G760" s="2">
        <v>1000</v>
      </c>
      <c r="I760" s="75">
        <f t="shared" si="53"/>
        <v>1864.9899999999998</v>
      </c>
      <c r="L760" s="2">
        <f t="shared" si="56"/>
        <v>4</v>
      </c>
    </row>
    <row r="761" spans="1:12" x14ac:dyDescent="0.3">
      <c r="A761" s="3">
        <v>44915</v>
      </c>
      <c r="B761" s="11" t="s">
        <v>1160</v>
      </c>
      <c r="C761" s="50" t="s">
        <v>3091</v>
      </c>
      <c r="D761" s="50">
        <v>6201677321</v>
      </c>
      <c r="F761" s="15"/>
      <c r="G761" s="2">
        <v>500</v>
      </c>
      <c r="I761" s="75">
        <f t="shared" si="53"/>
        <v>2364.9899999999998</v>
      </c>
      <c r="L761" s="2">
        <f t="shared" si="56"/>
        <v>2</v>
      </c>
    </row>
    <row r="762" spans="1:12" x14ac:dyDescent="0.3">
      <c r="A762" s="3">
        <v>44916</v>
      </c>
      <c r="B762" s="11" t="s">
        <v>1250</v>
      </c>
      <c r="C762" s="50" t="s">
        <v>2250</v>
      </c>
      <c r="F762" s="15"/>
      <c r="G762" s="2">
        <v>1600</v>
      </c>
      <c r="I762" s="75">
        <f t="shared" si="53"/>
        <v>3964.99</v>
      </c>
      <c r="L762" s="2">
        <f t="shared" si="56"/>
        <v>6.4</v>
      </c>
    </row>
    <row r="763" spans="1:12" s="33" customFormat="1" x14ac:dyDescent="0.3">
      <c r="A763" s="3">
        <v>44916</v>
      </c>
      <c r="B763" s="11" t="s">
        <v>1250</v>
      </c>
      <c r="C763" s="50" t="s">
        <v>2295</v>
      </c>
      <c r="D763" s="106"/>
      <c r="E763" s="94"/>
      <c r="F763" s="43"/>
      <c r="G763" s="75">
        <v>5000</v>
      </c>
      <c r="H763" s="75"/>
      <c r="I763" s="75">
        <f t="shared" si="53"/>
        <v>8964.99</v>
      </c>
      <c r="L763" s="2">
        <f t="shared" si="56"/>
        <v>20</v>
      </c>
    </row>
    <row r="764" spans="1:12" s="33" customFormat="1" x14ac:dyDescent="0.3">
      <c r="A764" s="3">
        <v>44916</v>
      </c>
      <c r="B764" s="11">
        <v>4164</v>
      </c>
      <c r="C764" s="50" t="s">
        <v>2274</v>
      </c>
      <c r="D764" s="106"/>
      <c r="E764" s="94"/>
      <c r="F764" s="43"/>
      <c r="G764" s="75"/>
      <c r="H764" s="75">
        <v>5000</v>
      </c>
      <c r="I764" s="75">
        <f t="shared" si="53"/>
        <v>3964.99</v>
      </c>
      <c r="L764" s="2">
        <f t="shared" si="56"/>
        <v>20</v>
      </c>
    </row>
    <row r="765" spans="1:12" s="33" customFormat="1" x14ac:dyDescent="0.3">
      <c r="A765" s="3">
        <v>44917</v>
      </c>
      <c r="B765" s="174" t="s">
        <v>2351</v>
      </c>
      <c r="C765" s="50" t="s">
        <v>3093</v>
      </c>
      <c r="D765" s="106">
        <v>9508531910</v>
      </c>
      <c r="E765" s="94"/>
      <c r="F765" s="43"/>
      <c r="G765" s="75">
        <v>1000</v>
      </c>
      <c r="H765" s="75"/>
      <c r="I765" s="75">
        <f t="shared" si="53"/>
        <v>4964.99</v>
      </c>
      <c r="L765" s="2">
        <f t="shared" si="56"/>
        <v>4</v>
      </c>
    </row>
    <row r="766" spans="1:12" s="33" customFormat="1" x14ac:dyDescent="0.3">
      <c r="A766" s="41">
        <v>44918</v>
      </c>
      <c r="B766" s="174" t="s">
        <v>1250</v>
      </c>
      <c r="C766" s="106" t="s">
        <v>2626</v>
      </c>
      <c r="D766" s="106"/>
      <c r="E766" s="94"/>
      <c r="F766" s="43"/>
      <c r="G766" s="75">
        <v>1200</v>
      </c>
      <c r="H766" s="75"/>
      <c r="I766" s="75">
        <f t="shared" si="53"/>
        <v>6164.99</v>
      </c>
      <c r="L766" s="2">
        <f t="shared" si="56"/>
        <v>4.8</v>
      </c>
    </row>
    <row r="767" spans="1:12" s="33" customFormat="1" x14ac:dyDescent="0.3">
      <c r="A767" s="41">
        <v>44918</v>
      </c>
      <c r="B767" s="174" t="s">
        <v>1257</v>
      </c>
      <c r="C767" s="106" t="s">
        <v>2274</v>
      </c>
      <c r="D767" s="106"/>
      <c r="E767" s="94"/>
      <c r="F767" s="43"/>
      <c r="G767" s="75"/>
      <c r="H767" s="75">
        <v>6000</v>
      </c>
      <c r="I767" s="75">
        <f t="shared" si="53"/>
        <v>164.98999999999978</v>
      </c>
      <c r="L767" s="2">
        <f t="shared" si="56"/>
        <v>20</v>
      </c>
    </row>
    <row r="768" spans="1:12" s="33" customFormat="1" x14ac:dyDescent="0.3">
      <c r="A768" s="41">
        <v>44921</v>
      </c>
      <c r="B768" s="174" t="s">
        <v>1250</v>
      </c>
      <c r="C768" s="106"/>
      <c r="D768" s="106"/>
      <c r="E768" s="94"/>
      <c r="F768" s="43"/>
      <c r="G768" s="75">
        <v>600</v>
      </c>
      <c r="H768" s="75"/>
      <c r="I768" s="75">
        <f t="shared" si="53"/>
        <v>764.98999999999978</v>
      </c>
      <c r="L768" s="2">
        <f t="shared" si="56"/>
        <v>2.4</v>
      </c>
    </row>
    <row r="769" spans="1:14" s="33" customFormat="1" x14ac:dyDescent="0.3">
      <c r="A769" s="41">
        <v>44921</v>
      </c>
      <c r="B769" s="174"/>
      <c r="C769" s="106" t="s">
        <v>2887</v>
      </c>
      <c r="D769" s="106"/>
      <c r="E769" s="94"/>
      <c r="F769" s="43"/>
      <c r="G769" s="75">
        <v>10000</v>
      </c>
      <c r="H769" s="75"/>
      <c r="I769" s="75">
        <f t="shared" si="53"/>
        <v>10764.99</v>
      </c>
      <c r="L769" s="2">
        <f t="shared" si="56"/>
        <v>20</v>
      </c>
    </row>
    <row r="770" spans="1:14" s="33" customFormat="1" x14ac:dyDescent="0.3">
      <c r="A770" s="41">
        <v>44921</v>
      </c>
      <c r="B770" s="174" t="s">
        <v>1257</v>
      </c>
      <c r="C770" s="106" t="s">
        <v>2274</v>
      </c>
      <c r="D770" s="106"/>
      <c r="E770" s="94"/>
      <c r="F770" s="43">
        <v>236017747236</v>
      </c>
      <c r="G770" s="75"/>
      <c r="H770" s="75">
        <v>5500</v>
      </c>
      <c r="I770" s="75">
        <f t="shared" si="53"/>
        <v>5264.99</v>
      </c>
      <c r="L770" s="2">
        <f t="shared" si="56"/>
        <v>20</v>
      </c>
    </row>
    <row r="771" spans="1:14" s="33" customFormat="1" x14ac:dyDescent="0.3">
      <c r="A771" s="41">
        <v>44922</v>
      </c>
      <c r="B771" s="174" t="s">
        <v>2241</v>
      </c>
      <c r="C771" s="106"/>
      <c r="D771" s="106"/>
      <c r="E771" s="94"/>
      <c r="F771" s="43">
        <v>236110783871</v>
      </c>
      <c r="G771" s="75">
        <v>3050</v>
      </c>
      <c r="H771" s="75"/>
      <c r="I771" s="75">
        <f t="shared" si="53"/>
        <v>8314.99</v>
      </c>
      <c r="L771" s="2">
        <f t="shared" si="56"/>
        <v>12.200000000000001</v>
      </c>
    </row>
    <row r="772" spans="1:14" s="29" customFormat="1" x14ac:dyDescent="0.3">
      <c r="A772" s="41">
        <v>44922</v>
      </c>
      <c r="B772" s="175" t="s">
        <v>1257</v>
      </c>
      <c r="C772" s="50" t="s">
        <v>2289</v>
      </c>
      <c r="D772" s="105"/>
      <c r="E772" s="95"/>
      <c r="F772" s="43">
        <v>236110818239</v>
      </c>
      <c r="G772" s="45"/>
      <c r="H772" s="46">
        <v>3000</v>
      </c>
      <c r="I772" s="75">
        <f t="shared" si="53"/>
        <v>5314.99</v>
      </c>
      <c r="L772" s="2">
        <f t="shared" si="56"/>
        <v>12</v>
      </c>
    </row>
    <row r="773" spans="1:14" s="29" customFormat="1" x14ac:dyDescent="0.3">
      <c r="A773" s="41">
        <v>44922</v>
      </c>
      <c r="B773" s="175"/>
      <c r="C773" s="106"/>
      <c r="D773" s="105"/>
      <c r="E773" s="95" t="s">
        <v>16</v>
      </c>
      <c r="F773" s="44"/>
      <c r="G773" s="45">
        <v>1000</v>
      </c>
      <c r="H773" s="45"/>
      <c r="I773" s="75">
        <f t="shared" si="53"/>
        <v>6314.99</v>
      </c>
      <c r="L773" s="45"/>
    </row>
    <row r="774" spans="1:14" s="29" customFormat="1" x14ac:dyDescent="0.3">
      <c r="A774" s="41">
        <v>44922</v>
      </c>
      <c r="B774" s="175" t="s">
        <v>3095</v>
      </c>
      <c r="C774" s="106" t="s">
        <v>3096</v>
      </c>
      <c r="D774" s="105"/>
      <c r="E774" s="95" t="s">
        <v>16</v>
      </c>
      <c r="F774" s="44"/>
      <c r="G774" s="45"/>
      <c r="H774" s="45">
        <v>100</v>
      </c>
      <c r="I774" s="75">
        <f t="shared" si="53"/>
        <v>6214.99</v>
      </c>
      <c r="L774" s="45"/>
    </row>
    <row r="775" spans="1:14" s="29" customFormat="1" x14ac:dyDescent="0.3">
      <c r="A775" s="41">
        <v>44923</v>
      </c>
      <c r="B775" s="175" t="s">
        <v>3108</v>
      </c>
      <c r="C775" s="106" t="s">
        <v>3111</v>
      </c>
      <c r="D775" s="105"/>
      <c r="E775" s="95" t="s">
        <v>16</v>
      </c>
      <c r="F775" s="42"/>
      <c r="G775" s="45"/>
      <c r="H775" s="45">
        <v>150</v>
      </c>
      <c r="I775" s="75">
        <f t="shared" si="53"/>
        <v>6064.99</v>
      </c>
      <c r="L775" s="45"/>
    </row>
    <row r="776" spans="1:14" x14ac:dyDescent="0.3">
      <c r="H776" s="45"/>
      <c r="L776" s="2">
        <f>SUM(I776:K776)</f>
        <v>0</v>
      </c>
    </row>
    <row r="777" spans="1:14" x14ac:dyDescent="0.3">
      <c r="A777" s="77"/>
      <c r="B777" s="80"/>
      <c r="C777" s="112"/>
      <c r="D777" s="112"/>
      <c r="E777" s="92">
        <f>COUNTIF(E684:E776,"y")</f>
        <v>15</v>
      </c>
      <c r="F777" s="77">
        <f>G777+H777</f>
        <v>213109.99</v>
      </c>
      <c r="G777" s="81">
        <f>SUM(G684:G776)</f>
        <v>108409.99</v>
      </c>
      <c r="H777" s="81">
        <f>SUM(H684:H776)</f>
        <v>104700</v>
      </c>
      <c r="I777" s="81"/>
      <c r="J777" s="77"/>
      <c r="K777" s="77"/>
      <c r="L777" s="81">
        <f>SUM(L684:L776)</f>
        <v>1049.43976</v>
      </c>
      <c r="M777" s="77"/>
      <c r="N777" s="77"/>
    </row>
    <row r="779" spans="1:14" x14ac:dyDescent="0.3">
      <c r="A779" s="3">
        <v>44927</v>
      </c>
      <c r="B779" s="11" t="s">
        <v>2983</v>
      </c>
      <c r="C779" s="50" t="s">
        <v>2984</v>
      </c>
      <c r="D779" s="114"/>
      <c r="F779" s="11"/>
      <c r="I779" s="75">
        <f>I775</f>
        <v>6064.99</v>
      </c>
    </row>
    <row r="780" spans="1:14" x14ac:dyDescent="0.3">
      <c r="A780" s="3">
        <v>44933</v>
      </c>
      <c r="B780" s="11" t="s">
        <v>3109</v>
      </c>
      <c r="C780" s="50" t="s">
        <v>3110</v>
      </c>
      <c r="E780" s="90" t="s">
        <v>16</v>
      </c>
      <c r="F780" s="11"/>
      <c r="H780" s="2">
        <v>3000</v>
      </c>
      <c r="I780" s="75">
        <f t="shared" ref="I780:I841" si="57">I779+G780-H780</f>
        <v>3064.99</v>
      </c>
      <c r="L780" s="2">
        <f>IF((G780+H780)&lt;=5000,(H780+G780)*0.004,20)+IF(E780="Y",25,0)</f>
        <v>37</v>
      </c>
    </row>
    <row r="781" spans="1:14" x14ac:dyDescent="0.3">
      <c r="A781" s="3">
        <v>44934</v>
      </c>
      <c r="B781" s="11" t="s">
        <v>1160</v>
      </c>
      <c r="C781" s="50" t="s">
        <v>3114</v>
      </c>
      <c r="D781" s="50">
        <v>7321959054</v>
      </c>
      <c r="F781" s="11" t="s">
        <v>3116</v>
      </c>
      <c r="G781" s="2">
        <v>1000</v>
      </c>
      <c r="I781" s="75">
        <f t="shared" si="57"/>
        <v>4064.99</v>
      </c>
      <c r="L781" s="2">
        <f>IF((G781+H781)&lt;=5000,(H781+G781)*0.004,20)+IF(E781="Y",25,0)</f>
        <v>4</v>
      </c>
    </row>
    <row r="782" spans="1:14" x14ac:dyDescent="0.3">
      <c r="A782" s="3">
        <v>44934</v>
      </c>
      <c r="B782" s="11" t="s">
        <v>2965</v>
      </c>
      <c r="C782" s="50" t="s">
        <v>3115</v>
      </c>
      <c r="F782" s="11" t="s">
        <v>3117</v>
      </c>
      <c r="H782" s="2">
        <v>1000</v>
      </c>
      <c r="I782" s="75">
        <f t="shared" si="57"/>
        <v>3064.99</v>
      </c>
      <c r="L782" s="2">
        <f>IF((G782+H782)&lt;=5000,(H782+G782)*0.004,20)+IF(E782="Y",25,0)</f>
        <v>4</v>
      </c>
    </row>
    <row r="783" spans="1:14" x14ac:dyDescent="0.3">
      <c r="A783" s="3">
        <v>44935</v>
      </c>
      <c r="B783" s="11" t="s">
        <v>1160</v>
      </c>
      <c r="C783" s="50" t="s">
        <v>3118</v>
      </c>
      <c r="D783" s="50">
        <v>9835780540</v>
      </c>
      <c r="F783" s="11" t="s">
        <v>3119</v>
      </c>
      <c r="G783" s="2">
        <v>3000</v>
      </c>
      <c r="I783" s="75">
        <f t="shared" si="57"/>
        <v>6064.99</v>
      </c>
      <c r="L783" s="2">
        <f>IF((G783+H783)&lt;=5000,(H783+G783)*0.004,20)+IF(F783="Y",25,0)</f>
        <v>12</v>
      </c>
    </row>
    <row r="784" spans="1:14" x14ac:dyDescent="0.3">
      <c r="A784" s="3">
        <v>44935</v>
      </c>
      <c r="B784" s="11" t="s">
        <v>2346</v>
      </c>
      <c r="C784" s="51" t="s">
        <v>3120</v>
      </c>
      <c r="D784" s="51"/>
      <c r="F784" s="11"/>
      <c r="H784" s="2">
        <v>3600</v>
      </c>
      <c r="I784" s="75">
        <f t="shared" si="57"/>
        <v>2464.9899999999998</v>
      </c>
      <c r="L784" s="2">
        <f t="shared" ref="L784:L828" si="58">IF((G784+H784)&lt;=5000,(H784+G784)*0.004,20)+IF(E784="Y",25,0)</f>
        <v>14.4</v>
      </c>
    </row>
    <row r="785" spans="1:12" x14ac:dyDescent="0.3">
      <c r="A785" s="3">
        <v>44935</v>
      </c>
      <c r="B785" s="11" t="s">
        <v>1250</v>
      </c>
      <c r="C785" s="51" t="s">
        <v>2348</v>
      </c>
      <c r="D785" s="51"/>
      <c r="F785" s="11"/>
      <c r="G785" s="2">
        <v>5000</v>
      </c>
      <c r="I785" s="75">
        <f t="shared" si="57"/>
        <v>7464.99</v>
      </c>
      <c r="L785" s="2">
        <f t="shared" si="58"/>
        <v>20</v>
      </c>
    </row>
    <row r="786" spans="1:12" x14ac:dyDescent="0.3">
      <c r="A786" s="3">
        <v>44935</v>
      </c>
      <c r="B786" s="11" t="s">
        <v>2280</v>
      </c>
      <c r="C786" s="51" t="s">
        <v>2721</v>
      </c>
      <c r="D786" s="51"/>
      <c r="F786" s="11" t="s">
        <v>3121</v>
      </c>
      <c r="H786" s="2">
        <v>5000</v>
      </c>
      <c r="I786" s="75">
        <f t="shared" si="57"/>
        <v>2464.9899999999998</v>
      </c>
      <c r="L786" s="2">
        <f t="shared" si="58"/>
        <v>20</v>
      </c>
    </row>
    <row r="787" spans="1:12" x14ac:dyDescent="0.3">
      <c r="A787" s="3">
        <v>44935</v>
      </c>
      <c r="B787" s="11" t="s">
        <v>1160</v>
      </c>
      <c r="C787" s="51" t="s">
        <v>2276</v>
      </c>
      <c r="D787" s="51" t="s">
        <v>3122</v>
      </c>
      <c r="F787" s="11"/>
      <c r="G787" s="2">
        <v>6500</v>
      </c>
      <c r="I787" s="75">
        <f t="shared" si="57"/>
        <v>8964.99</v>
      </c>
      <c r="L787" s="2">
        <f t="shared" si="58"/>
        <v>20</v>
      </c>
    </row>
    <row r="788" spans="1:12" x14ac:dyDescent="0.3">
      <c r="A788" s="3">
        <v>44936</v>
      </c>
      <c r="B788" s="11" t="s">
        <v>3029</v>
      </c>
      <c r="C788" s="51" t="s">
        <v>1518</v>
      </c>
      <c r="D788" s="51"/>
      <c r="F788" s="11" t="s">
        <v>3125</v>
      </c>
      <c r="H788" s="2">
        <v>2000</v>
      </c>
      <c r="I788" s="75">
        <f t="shared" si="57"/>
        <v>6964.99</v>
      </c>
      <c r="L788" s="2">
        <f t="shared" si="58"/>
        <v>8</v>
      </c>
    </row>
    <row r="789" spans="1:12" x14ac:dyDescent="0.3">
      <c r="A789" s="3">
        <v>44936</v>
      </c>
      <c r="B789" s="11" t="s">
        <v>2184</v>
      </c>
      <c r="C789" s="51" t="s">
        <v>3126</v>
      </c>
      <c r="D789" s="51"/>
      <c r="F789" s="11"/>
      <c r="H789" s="2">
        <v>4200</v>
      </c>
      <c r="I789" s="75">
        <f t="shared" si="57"/>
        <v>2764.99</v>
      </c>
      <c r="L789" s="2">
        <f t="shared" si="58"/>
        <v>16.8</v>
      </c>
    </row>
    <row r="790" spans="1:12" x14ac:dyDescent="0.3">
      <c r="A790" s="3">
        <v>44936</v>
      </c>
      <c r="B790" s="11" t="s">
        <v>2337</v>
      </c>
      <c r="C790" s="51" t="s">
        <v>2626</v>
      </c>
      <c r="D790" s="51"/>
      <c r="F790" s="11"/>
      <c r="G790" s="2">
        <v>4000</v>
      </c>
      <c r="I790" s="75">
        <f t="shared" si="57"/>
        <v>6764.99</v>
      </c>
      <c r="L790" s="2">
        <f t="shared" si="58"/>
        <v>16</v>
      </c>
    </row>
    <row r="791" spans="1:12" x14ac:dyDescent="0.3">
      <c r="A791" s="3">
        <v>44936</v>
      </c>
      <c r="B791" s="11" t="s">
        <v>3127</v>
      </c>
      <c r="C791" s="51" t="s">
        <v>3128</v>
      </c>
      <c r="D791" s="51"/>
      <c r="F791" s="11" t="s">
        <v>3129</v>
      </c>
      <c r="H791" s="2">
        <v>3000</v>
      </c>
      <c r="I791" s="75">
        <f t="shared" si="57"/>
        <v>3764.99</v>
      </c>
      <c r="L791" s="2">
        <f t="shared" si="58"/>
        <v>12</v>
      </c>
    </row>
    <row r="792" spans="1:12" x14ac:dyDescent="0.3">
      <c r="A792" s="3">
        <v>44574</v>
      </c>
      <c r="B792" s="11" t="s">
        <v>2807</v>
      </c>
      <c r="C792" s="51" t="s">
        <v>3134</v>
      </c>
      <c r="D792" s="51"/>
      <c r="F792" s="11"/>
      <c r="H792" s="2">
        <v>2000</v>
      </c>
      <c r="I792" s="75">
        <f t="shared" si="57"/>
        <v>1764.9899999999998</v>
      </c>
      <c r="L792" s="2">
        <f t="shared" si="58"/>
        <v>8</v>
      </c>
    </row>
    <row r="793" spans="1:12" x14ac:dyDescent="0.3">
      <c r="A793" s="3">
        <v>44574</v>
      </c>
      <c r="B793" s="11" t="s">
        <v>2351</v>
      </c>
      <c r="C793" s="51" t="s">
        <v>3135</v>
      </c>
      <c r="D793" s="51" t="s">
        <v>3136</v>
      </c>
      <c r="F793" s="11"/>
      <c r="G793" s="2">
        <v>3100</v>
      </c>
      <c r="I793" s="75">
        <f t="shared" si="57"/>
        <v>4864.99</v>
      </c>
      <c r="L793" s="2">
        <f t="shared" si="58"/>
        <v>12.4</v>
      </c>
    </row>
    <row r="794" spans="1:12" x14ac:dyDescent="0.3">
      <c r="A794" s="3">
        <v>44940</v>
      </c>
      <c r="B794" s="11" t="s">
        <v>1250</v>
      </c>
      <c r="C794" s="51"/>
      <c r="D794" s="51"/>
      <c r="F794" s="11"/>
      <c r="G794" s="2">
        <v>500</v>
      </c>
      <c r="I794" s="75">
        <f t="shared" si="57"/>
        <v>5364.99</v>
      </c>
      <c r="L794" s="2">
        <f t="shared" si="58"/>
        <v>2</v>
      </c>
    </row>
    <row r="795" spans="1:12" x14ac:dyDescent="0.3">
      <c r="A795" s="3">
        <v>44940</v>
      </c>
      <c r="B795" s="11" t="s">
        <v>1257</v>
      </c>
      <c r="C795" s="51" t="s">
        <v>1253</v>
      </c>
      <c r="D795" s="51"/>
      <c r="F795" s="11"/>
      <c r="H795" s="2">
        <v>5000</v>
      </c>
      <c r="I795" s="75">
        <f t="shared" si="57"/>
        <v>364.98999999999978</v>
      </c>
      <c r="L795" s="2">
        <f t="shared" si="58"/>
        <v>20</v>
      </c>
    </row>
    <row r="796" spans="1:12" x14ac:dyDescent="0.3">
      <c r="A796" s="3">
        <v>44940</v>
      </c>
      <c r="B796" s="11" t="s">
        <v>1160</v>
      </c>
      <c r="C796" s="51" t="s">
        <v>2504</v>
      </c>
      <c r="D796" s="51"/>
      <c r="F796" s="11"/>
      <c r="G796" s="2">
        <v>2100</v>
      </c>
      <c r="I796" s="75">
        <f t="shared" si="57"/>
        <v>2464.9899999999998</v>
      </c>
      <c r="L796" s="2">
        <f t="shared" si="58"/>
        <v>8.4</v>
      </c>
    </row>
    <row r="797" spans="1:12" x14ac:dyDescent="0.3">
      <c r="A797" s="3">
        <v>44940</v>
      </c>
      <c r="B797" s="11" t="s">
        <v>3109</v>
      </c>
      <c r="C797" s="51" t="s">
        <v>3110</v>
      </c>
      <c r="D797" s="51"/>
      <c r="F797" s="11"/>
      <c r="G797" s="2">
        <v>200</v>
      </c>
      <c r="I797" s="75">
        <f t="shared" si="57"/>
        <v>2664.99</v>
      </c>
      <c r="L797" s="2">
        <f t="shared" si="58"/>
        <v>0.8</v>
      </c>
    </row>
    <row r="798" spans="1:12" x14ac:dyDescent="0.3">
      <c r="A798" s="3">
        <v>44940</v>
      </c>
      <c r="B798" s="11" t="s">
        <v>2351</v>
      </c>
      <c r="C798" s="51" t="s">
        <v>3137</v>
      </c>
      <c r="D798" s="51" t="s">
        <v>3138</v>
      </c>
      <c r="F798" s="11"/>
      <c r="G798" s="2">
        <v>4000</v>
      </c>
      <c r="I798" s="75">
        <f t="shared" si="57"/>
        <v>6664.99</v>
      </c>
      <c r="L798" s="2">
        <f t="shared" si="58"/>
        <v>16</v>
      </c>
    </row>
    <row r="799" spans="1:12" x14ac:dyDescent="0.3">
      <c r="A799" s="3">
        <v>44940</v>
      </c>
      <c r="B799" s="11" t="s">
        <v>2716</v>
      </c>
      <c r="C799" s="51" t="s">
        <v>1279</v>
      </c>
      <c r="D799" s="51"/>
      <c r="F799" s="11"/>
      <c r="H799" s="2">
        <v>5000</v>
      </c>
      <c r="I799" s="75">
        <f t="shared" si="57"/>
        <v>1664.9899999999998</v>
      </c>
      <c r="L799" s="2">
        <f t="shared" si="58"/>
        <v>20</v>
      </c>
    </row>
    <row r="800" spans="1:12" x14ac:dyDescent="0.3">
      <c r="A800" s="3">
        <v>44940</v>
      </c>
      <c r="B800" s="11" t="s">
        <v>2671</v>
      </c>
      <c r="C800" s="51" t="s">
        <v>3139</v>
      </c>
      <c r="D800" s="51"/>
      <c r="F800" s="11"/>
      <c r="G800" s="2">
        <v>8000</v>
      </c>
      <c r="I800" s="75">
        <f t="shared" si="57"/>
        <v>9664.99</v>
      </c>
      <c r="L800" s="2">
        <f t="shared" si="58"/>
        <v>20</v>
      </c>
    </row>
    <row r="801" spans="1:12" x14ac:dyDescent="0.3">
      <c r="A801" s="3">
        <v>44940</v>
      </c>
      <c r="B801" s="11" t="s">
        <v>1160</v>
      </c>
      <c r="C801" s="51" t="s">
        <v>3038</v>
      </c>
      <c r="D801" s="51" t="s">
        <v>3140</v>
      </c>
      <c r="F801" s="11"/>
      <c r="G801" s="2">
        <v>1000</v>
      </c>
      <c r="I801" s="75">
        <f t="shared" si="57"/>
        <v>10664.99</v>
      </c>
      <c r="L801" s="2">
        <f t="shared" si="58"/>
        <v>4</v>
      </c>
    </row>
    <row r="802" spans="1:12" x14ac:dyDescent="0.3">
      <c r="A802" s="3">
        <v>44942</v>
      </c>
      <c r="B802" s="11" t="s">
        <v>1160</v>
      </c>
      <c r="C802" s="51" t="s">
        <v>3030</v>
      </c>
      <c r="D802" s="51" t="s">
        <v>3141</v>
      </c>
      <c r="F802" s="11"/>
      <c r="G802" s="2">
        <v>1500</v>
      </c>
      <c r="I802" s="75">
        <f t="shared" si="57"/>
        <v>12164.99</v>
      </c>
      <c r="L802" s="2">
        <f t="shared" si="58"/>
        <v>6</v>
      </c>
    </row>
    <row r="803" spans="1:12" x14ac:dyDescent="0.3">
      <c r="A803" s="3">
        <v>44942</v>
      </c>
      <c r="B803" s="11" t="s">
        <v>1257</v>
      </c>
      <c r="C803" s="51" t="s">
        <v>1253</v>
      </c>
      <c r="D803" s="51"/>
      <c r="F803" s="11"/>
      <c r="H803" s="2">
        <v>1000</v>
      </c>
      <c r="I803" s="75">
        <f t="shared" si="57"/>
        <v>11164.99</v>
      </c>
      <c r="L803" s="2">
        <f t="shared" si="58"/>
        <v>4</v>
      </c>
    </row>
    <row r="804" spans="1:12" x14ac:dyDescent="0.3">
      <c r="A804" s="3">
        <v>44942</v>
      </c>
      <c r="B804" s="11" t="s">
        <v>3142</v>
      </c>
      <c r="C804" s="51" t="s">
        <v>1692</v>
      </c>
      <c r="D804" s="51"/>
      <c r="F804" s="11"/>
      <c r="G804" s="2">
        <v>3000</v>
      </c>
      <c r="I804" s="75">
        <f t="shared" si="57"/>
        <v>14164.99</v>
      </c>
      <c r="L804" s="2">
        <f t="shared" si="58"/>
        <v>12</v>
      </c>
    </row>
    <row r="805" spans="1:12" x14ac:dyDescent="0.3">
      <c r="A805" s="3">
        <v>44942</v>
      </c>
      <c r="B805" s="11" t="s">
        <v>2185</v>
      </c>
      <c r="C805" s="51" t="s">
        <v>2577</v>
      </c>
      <c r="D805" s="51"/>
      <c r="F805" s="11"/>
      <c r="H805" s="2">
        <v>200</v>
      </c>
      <c r="I805" s="75">
        <f t="shared" si="57"/>
        <v>13964.99</v>
      </c>
      <c r="L805" s="2">
        <f t="shared" si="58"/>
        <v>0.8</v>
      </c>
    </row>
    <row r="806" spans="1:12" x14ac:dyDescent="0.3">
      <c r="A806" s="3">
        <v>44943</v>
      </c>
      <c r="B806" s="11" t="s">
        <v>2839</v>
      </c>
      <c r="C806" s="51" t="s">
        <v>3143</v>
      </c>
      <c r="D806" s="51"/>
      <c r="F806" s="11"/>
      <c r="G806" s="2">
        <v>3000</v>
      </c>
      <c r="I806" s="75">
        <f t="shared" si="57"/>
        <v>16964.989999999998</v>
      </c>
      <c r="L806" s="2">
        <f t="shared" si="58"/>
        <v>12</v>
      </c>
    </row>
    <row r="807" spans="1:12" x14ac:dyDescent="0.3">
      <c r="A807" s="3">
        <v>44943</v>
      </c>
      <c r="B807" s="11" t="s">
        <v>1472</v>
      </c>
      <c r="C807" s="51" t="s">
        <v>3144</v>
      </c>
      <c r="D807" s="51"/>
      <c r="F807" s="11"/>
      <c r="G807" s="2">
        <v>4000</v>
      </c>
      <c r="I807" s="75">
        <f t="shared" si="57"/>
        <v>20964.989999999998</v>
      </c>
      <c r="L807" s="2">
        <f t="shared" si="58"/>
        <v>16</v>
      </c>
    </row>
    <row r="808" spans="1:12" x14ac:dyDescent="0.3">
      <c r="A808" s="3">
        <v>44944</v>
      </c>
      <c r="B808" s="11" t="s">
        <v>1250</v>
      </c>
      <c r="C808" s="51"/>
      <c r="D808" s="51"/>
      <c r="F808" s="11"/>
      <c r="G808" s="2">
        <v>400</v>
      </c>
      <c r="I808" s="75">
        <f t="shared" si="57"/>
        <v>21364.989999999998</v>
      </c>
      <c r="L808" s="2">
        <f t="shared" si="58"/>
        <v>1.6</v>
      </c>
    </row>
    <row r="809" spans="1:12" x14ac:dyDescent="0.3">
      <c r="A809" s="3">
        <v>44945</v>
      </c>
      <c r="B809" s="11" t="s">
        <v>2712</v>
      </c>
      <c r="C809" s="51" t="s">
        <v>3147</v>
      </c>
      <c r="D809" s="51"/>
      <c r="F809" s="11"/>
      <c r="G809" s="2">
        <v>4000</v>
      </c>
      <c r="I809" s="75">
        <f t="shared" si="57"/>
        <v>25364.989999999998</v>
      </c>
      <c r="L809" s="2">
        <f t="shared" si="58"/>
        <v>16</v>
      </c>
    </row>
    <row r="810" spans="1:12" x14ac:dyDescent="0.3">
      <c r="A810" s="3">
        <v>44945</v>
      </c>
      <c r="C810" s="51" t="s">
        <v>2626</v>
      </c>
      <c r="D810" s="51"/>
      <c r="F810" s="11"/>
      <c r="G810" s="2">
        <v>1200</v>
      </c>
      <c r="I810" s="75">
        <f t="shared" si="57"/>
        <v>26564.989999999998</v>
      </c>
      <c r="L810" s="2">
        <f t="shared" si="58"/>
        <v>4.8</v>
      </c>
    </row>
    <row r="811" spans="1:12" x14ac:dyDescent="0.3">
      <c r="A811" s="3">
        <v>44945</v>
      </c>
      <c r="C811" s="51"/>
      <c r="D811" s="51"/>
      <c r="F811" s="11"/>
      <c r="G811" s="2">
        <v>710.6</v>
      </c>
      <c r="I811" s="75">
        <f t="shared" si="57"/>
        <v>27275.589999999997</v>
      </c>
      <c r="L811" s="2">
        <f t="shared" si="58"/>
        <v>2.8424</v>
      </c>
    </row>
    <row r="812" spans="1:12" x14ac:dyDescent="0.3">
      <c r="A812" s="3">
        <v>44946</v>
      </c>
      <c r="B812" s="11" t="s">
        <v>3148</v>
      </c>
      <c r="C812" s="51" t="s">
        <v>1518</v>
      </c>
      <c r="D812" s="51"/>
      <c r="F812" s="11"/>
      <c r="G812" s="2">
        <v>500</v>
      </c>
      <c r="I812" s="75">
        <f t="shared" si="57"/>
        <v>27775.589999999997</v>
      </c>
      <c r="L812" s="2">
        <f t="shared" si="58"/>
        <v>2</v>
      </c>
    </row>
    <row r="813" spans="1:12" x14ac:dyDescent="0.3">
      <c r="A813" s="3">
        <v>44946</v>
      </c>
      <c r="B813" s="11" t="s">
        <v>1250</v>
      </c>
      <c r="C813" s="51" t="s">
        <v>2890</v>
      </c>
      <c r="D813" s="51"/>
      <c r="F813" s="11"/>
      <c r="G813" s="2">
        <v>1000</v>
      </c>
      <c r="I813" s="75">
        <f t="shared" si="57"/>
        <v>28775.589999999997</v>
      </c>
      <c r="L813" s="2">
        <f t="shared" si="58"/>
        <v>4</v>
      </c>
    </row>
    <row r="814" spans="1:12" x14ac:dyDescent="0.3">
      <c r="A814" s="3">
        <v>44949</v>
      </c>
      <c r="B814" s="11" t="s">
        <v>3149</v>
      </c>
      <c r="C814" s="51" t="s">
        <v>3150</v>
      </c>
      <c r="D814" s="51"/>
      <c r="E814" s="90" t="s">
        <v>16</v>
      </c>
      <c r="F814" s="11"/>
      <c r="H814" s="2">
        <v>100</v>
      </c>
      <c r="I814" s="75">
        <f t="shared" si="57"/>
        <v>28675.589999999997</v>
      </c>
      <c r="L814" s="2">
        <f t="shared" si="58"/>
        <v>25.4</v>
      </c>
    </row>
    <row r="815" spans="1:12" x14ac:dyDescent="0.3">
      <c r="A815" s="3">
        <v>44950</v>
      </c>
      <c r="B815" s="11" t="s">
        <v>3029</v>
      </c>
      <c r="C815" s="51"/>
      <c r="D815" s="51"/>
      <c r="F815" s="11"/>
      <c r="G815" s="2">
        <v>500</v>
      </c>
      <c r="I815" s="75">
        <f t="shared" si="57"/>
        <v>29175.589999999997</v>
      </c>
      <c r="L815" s="2">
        <f t="shared" si="58"/>
        <v>2</v>
      </c>
    </row>
    <row r="816" spans="1:12" x14ac:dyDescent="0.3">
      <c r="A816" s="3">
        <v>44950</v>
      </c>
      <c r="B816" s="11" t="s">
        <v>2716</v>
      </c>
      <c r="C816" s="51" t="s">
        <v>1279</v>
      </c>
      <c r="D816" s="51"/>
      <c r="F816" s="11"/>
      <c r="H816" s="2">
        <v>10000</v>
      </c>
      <c r="I816" s="75">
        <f t="shared" si="57"/>
        <v>19175.589999999997</v>
      </c>
      <c r="L816" s="2">
        <f t="shared" si="58"/>
        <v>20</v>
      </c>
    </row>
    <row r="817" spans="1:12" x14ac:dyDescent="0.3">
      <c r="A817" s="3">
        <v>44951</v>
      </c>
      <c r="B817" s="11" t="s">
        <v>3155</v>
      </c>
      <c r="C817" s="51" t="s">
        <v>3156</v>
      </c>
      <c r="D817" s="51" t="s">
        <v>3157</v>
      </c>
      <c r="F817" s="11"/>
      <c r="G817" s="2">
        <v>3500</v>
      </c>
      <c r="I817" s="75">
        <f t="shared" si="57"/>
        <v>22675.589999999997</v>
      </c>
      <c r="L817" s="2">
        <f t="shared" si="58"/>
        <v>14</v>
      </c>
    </row>
    <row r="818" spans="1:12" x14ac:dyDescent="0.3">
      <c r="A818" s="3">
        <v>44951</v>
      </c>
      <c r="B818" s="11" t="s">
        <v>2671</v>
      </c>
      <c r="C818" s="51" t="s">
        <v>3139</v>
      </c>
      <c r="D818" s="51"/>
      <c r="F818" s="11"/>
      <c r="G818" s="2">
        <v>3000</v>
      </c>
      <c r="I818" s="75">
        <f t="shared" si="57"/>
        <v>25675.589999999997</v>
      </c>
      <c r="L818" s="2">
        <f t="shared" si="58"/>
        <v>12</v>
      </c>
    </row>
    <row r="819" spans="1:12" x14ac:dyDescent="0.3">
      <c r="A819" s="3">
        <v>44951</v>
      </c>
      <c r="B819" s="11" t="s">
        <v>3158</v>
      </c>
      <c r="C819" s="51" t="s">
        <v>3159</v>
      </c>
      <c r="D819" s="51"/>
      <c r="E819" s="90" t="s">
        <v>16</v>
      </c>
      <c r="F819" s="11"/>
      <c r="H819" s="2">
        <v>1000</v>
      </c>
      <c r="I819" s="75">
        <f t="shared" si="57"/>
        <v>24675.589999999997</v>
      </c>
      <c r="L819" s="2">
        <f t="shared" si="58"/>
        <v>29</v>
      </c>
    </row>
    <row r="820" spans="1:12" x14ac:dyDescent="0.3">
      <c r="A820" s="3">
        <v>44951</v>
      </c>
      <c r="B820" s="11" t="s">
        <v>2617</v>
      </c>
      <c r="C820" s="51" t="s">
        <v>3160</v>
      </c>
      <c r="D820" s="51"/>
      <c r="F820" s="11"/>
      <c r="G820" s="2">
        <v>3000</v>
      </c>
      <c r="I820" s="75">
        <f t="shared" si="57"/>
        <v>27675.589999999997</v>
      </c>
      <c r="L820" s="2">
        <f t="shared" si="58"/>
        <v>12</v>
      </c>
    </row>
    <row r="821" spans="1:12" x14ac:dyDescent="0.3">
      <c r="A821" s="3">
        <v>44951</v>
      </c>
      <c r="B821" s="11" t="s">
        <v>1160</v>
      </c>
      <c r="C821" s="51" t="s">
        <v>2504</v>
      </c>
      <c r="D821" s="51"/>
      <c r="F821" s="11"/>
      <c r="G821" s="2">
        <v>600</v>
      </c>
      <c r="I821" s="75">
        <f t="shared" si="57"/>
        <v>28275.589999999997</v>
      </c>
      <c r="L821" s="2">
        <f t="shared" si="58"/>
        <v>2.4</v>
      </c>
    </row>
    <row r="822" spans="1:12" x14ac:dyDescent="0.3">
      <c r="A822" s="3">
        <v>44951</v>
      </c>
      <c r="B822" s="11" t="s">
        <v>1250</v>
      </c>
      <c r="C822" s="51"/>
      <c r="D822" s="51"/>
      <c r="F822" s="11"/>
      <c r="G822" s="2">
        <v>400</v>
      </c>
      <c r="I822" s="75">
        <f t="shared" si="57"/>
        <v>28675.589999999997</v>
      </c>
      <c r="L822" s="2">
        <f t="shared" si="58"/>
        <v>1.6</v>
      </c>
    </row>
    <row r="823" spans="1:12" x14ac:dyDescent="0.3">
      <c r="A823" s="3">
        <v>44951</v>
      </c>
      <c r="B823" s="11" t="s">
        <v>2678</v>
      </c>
      <c r="C823" s="51" t="s">
        <v>3165</v>
      </c>
      <c r="D823" s="51"/>
      <c r="F823" s="11"/>
      <c r="H823" s="2">
        <v>10000</v>
      </c>
      <c r="I823" s="75">
        <f t="shared" si="57"/>
        <v>18675.589999999997</v>
      </c>
      <c r="L823" s="2">
        <f t="shared" si="58"/>
        <v>20</v>
      </c>
    </row>
    <row r="824" spans="1:12" x14ac:dyDescent="0.3">
      <c r="A824" s="3">
        <v>44952</v>
      </c>
      <c r="B824" s="11" t="s">
        <v>3166</v>
      </c>
      <c r="C824" s="51" t="s">
        <v>3167</v>
      </c>
      <c r="D824" s="51" t="s">
        <v>3168</v>
      </c>
      <c r="F824" s="11"/>
      <c r="G824" s="2">
        <v>500</v>
      </c>
      <c r="I824" s="75">
        <f t="shared" si="57"/>
        <v>19175.589999999997</v>
      </c>
      <c r="L824" s="2">
        <f t="shared" si="58"/>
        <v>2</v>
      </c>
    </row>
    <row r="825" spans="1:12" x14ac:dyDescent="0.3">
      <c r="A825" s="3">
        <v>44952</v>
      </c>
      <c r="B825" s="11" t="s">
        <v>1250</v>
      </c>
      <c r="C825" s="51" t="s">
        <v>1518</v>
      </c>
      <c r="D825" s="51"/>
      <c r="F825" s="11"/>
      <c r="G825" s="2">
        <v>500</v>
      </c>
      <c r="I825" s="75">
        <f t="shared" si="57"/>
        <v>19675.589999999997</v>
      </c>
      <c r="L825" s="2">
        <f t="shared" si="58"/>
        <v>2</v>
      </c>
    </row>
    <row r="826" spans="1:12" x14ac:dyDescent="0.3">
      <c r="A826" s="3">
        <v>44953</v>
      </c>
      <c r="B826" s="11" t="s">
        <v>2337</v>
      </c>
      <c r="C826" s="51" t="s">
        <v>2626</v>
      </c>
      <c r="D826" s="51"/>
      <c r="F826" s="11"/>
      <c r="G826" s="2">
        <v>250</v>
      </c>
      <c r="I826" s="75">
        <f t="shared" si="57"/>
        <v>19925.589999999997</v>
      </c>
      <c r="L826" s="2">
        <f t="shared" si="58"/>
        <v>1</v>
      </c>
    </row>
    <row r="827" spans="1:12" x14ac:dyDescent="0.3">
      <c r="A827" s="3">
        <v>44953</v>
      </c>
      <c r="B827" s="11" t="s">
        <v>2678</v>
      </c>
      <c r="C827" s="51" t="s">
        <v>3169</v>
      </c>
      <c r="D827" s="51"/>
      <c r="F827" s="11"/>
      <c r="H827" s="2">
        <v>10000</v>
      </c>
      <c r="I827" s="75">
        <f t="shared" si="57"/>
        <v>9925.5899999999965</v>
      </c>
      <c r="L827" s="2">
        <f t="shared" si="58"/>
        <v>20</v>
      </c>
    </row>
    <row r="828" spans="1:12" x14ac:dyDescent="0.3">
      <c r="A828" s="3">
        <v>44953</v>
      </c>
      <c r="B828" s="11" t="s">
        <v>3170</v>
      </c>
      <c r="C828" s="51"/>
      <c r="D828" s="51"/>
      <c r="E828" s="90" t="s">
        <v>14</v>
      </c>
      <c r="F828" s="11"/>
      <c r="H828" s="2">
        <v>200</v>
      </c>
      <c r="I828" s="75">
        <f t="shared" si="57"/>
        <v>9725.5899999999965</v>
      </c>
      <c r="L828" s="2">
        <f t="shared" si="58"/>
        <v>25.8</v>
      </c>
    </row>
    <row r="829" spans="1:12" x14ac:dyDescent="0.3">
      <c r="A829" s="3">
        <v>44953</v>
      </c>
      <c r="B829" s="11" t="s">
        <v>3186</v>
      </c>
      <c r="C829" s="51"/>
      <c r="D829" s="51"/>
      <c r="E829" s="90" t="s">
        <v>14</v>
      </c>
      <c r="F829" s="11"/>
      <c r="H829" s="2">
        <v>500</v>
      </c>
      <c r="I829" s="75">
        <f t="shared" si="57"/>
        <v>9225.5899999999965</v>
      </c>
    </row>
    <row r="830" spans="1:12" x14ac:dyDescent="0.3">
      <c r="A830" s="3">
        <v>44953</v>
      </c>
      <c r="B830" s="11" t="s">
        <v>2241</v>
      </c>
      <c r="C830" s="51" t="s">
        <v>3172</v>
      </c>
      <c r="D830" s="51"/>
      <c r="F830" s="11"/>
      <c r="G830" s="2">
        <v>4000</v>
      </c>
      <c r="I830" s="75">
        <f t="shared" si="57"/>
        <v>13225.589999999997</v>
      </c>
      <c r="L830" s="2">
        <f t="shared" ref="L830:L841" si="59">IF((G830+H830)&lt;=5000,(H830+G830)*0.004,20)+IF(E830="Y",25,0)</f>
        <v>16</v>
      </c>
    </row>
    <row r="831" spans="1:12" x14ac:dyDescent="0.3">
      <c r="A831" s="3">
        <v>44953</v>
      </c>
      <c r="B831" s="11" t="s">
        <v>2241</v>
      </c>
      <c r="C831" s="51" t="s">
        <v>3172</v>
      </c>
      <c r="D831" s="51"/>
      <c r="F831" s="11"/>
      <c r="G831" s="2">
        <v>3000</v>
      </c>
      <c r="I831" s="75">
        <f t="shared" si="57"/>
        <v>16225.589999999997</v>
      </c>
      <c r="L831" s="2">
        <f t="shared" si="59"/>
        <v>12</v>
      </c>
    </row>
    <row r="832" spans="1:12" x14ac:dyDescent="0.3">
      <c r="A832" s="3">
        <v>44953</v>
      </c>
      <c r="B832" s="11" t="s">
        <v>2148</v>
      </c>
      <c r="C832" s="51" t="s">
        <v>3171</v>
      </c>
      <c r="D832" s="51"/>
      <c r="F832" s="11"/>
      <c r="G832" s="2">
        <v>3000</v>
      </c>
      <c r="I832" s="75">
        <f t="shared" si="57"/>
        <v>19225.589999999997</v>
      </c>
      <c r="L832" s="2">
        <f t="shared" si="59"/>
        <v>12</v>
      </c>
    </row>
    <row r="833" spans="1:14" x14ac:dyDescent="0.3">
      <c r="A833" s="3">
        <v>44953</v>
      </c>
      <c r="B833" s="11" t="s">
        <v>2138</v>
      </c>
      <c r="C833" s="51" t="s">
        <v>2461</v>
      </c>
      <c r="D833" s="51"/>
      <c r="F833" s="11"/>
      <c r="G833" s="2">
        <v>500</v>
      </c>
      <c r="I833" s="75">
        <f t="shared" si="57"/>
        <v>19725.589999999997</v>
      </c>
      <c r="L833" s="2">
        <f t="shared" si="59"/>
        <v>2</v>
      </c>
    </row>
    <row r="834" spans="1:14" x14ac:dyDescent="0.3">
      <c r="A834" s="3">
        <v>44953</v>
      </c>
      <c r="B834" s="11" t="s">
        <v>1257</v>
      </c>
      <c r="C834" s="51" t="s">
        <v>1253</v>
      </c>
      <c r="D834" s="51"/>
      <c r="F834" s="11"/>
      <c r="H834" s="2">
        <v>7000</v>
      </c>
      <c r="I834" s="75">
        <f t="shared" si="57"/>
        <v>12725.589999999997</v>
      </c>
      <c r="L834" s="2">
        <f t="shared" si="59"/>
        <v>20</v>
      </c>
    </row>
    <row r="835" spans="1:14" x14ac:dyDescent="0.3">
      <c r="A835" s="3">
        <v>44953</v>
      </c>
      <c r="B835" s="11" t="s">
        <v>1160</v>
      </c>
      <c r="C835" s="51" t="s">
        <v>3173</v>
      </c>
      <c r="D835" s="51" t="s">
        <v>3174</v>
      </c>
      <c r="F835" s="11"/>
      <c r="G835" s="2">
        <v>2000</v>
      </c>
      <c r="I835" s="75">
        <f t="shared" si="57"/>
        <v>14725.589999999997</v>
      </c>
      <c r="L835" s="2">
        <f t="shared" si="59"/>
        <v>8</v>
      </c>
    </row>
    <row r="836" spans="1:14" x14ac:dyDescent="0.3">
      <c r="A836" s="3">
        <v>44955</v>
      </c>
      <c r="B836" s="11" t="s">
        <v>3183</v>
      </c>
      <c r="C836" s="51" t="s">
        <v>3184</v>
      </c>
      <c r="D836" s="51" t="s">
        <v>3185</v>
      </c>
      <c r="F836" s="11"/>
      <c r="G836" s="2">
        <v>4200</v>
      </c>
      <c r="I836" s="75">
        <f t="shared" si="57"/>
        <v>18925.589999999997</v>
      </c>
      <c r="L836" s="2">
        <f t="shared" si="59"/>
        <v>16.8</v>
      </c>
    </row>
    <row r="837" spans="1:14" x14ac:dyDescent="0.3">
      <c r="A837" s="3">
        <v>44955</v>
      </c>
      <c r="B837" s="11" t="s">
        <v>3187</v>
      </c>
      <c r="C837" s="51" t="s">
        <v>3188</v>
      </c>
      <c r="D837" s="51"/>
      <c r="F837" s="11"/>
      <c r="H837" s="2">
        <v>10000</v>
      </c>
      <c r="I837" s="75">
        <f t="shared" si="57"/>
        <v>8925.5899999999965</v>
      </c>
      <c r="L837" s="2">
        <f t="shared" si="59"/>
        <v>20</v>
      </c>
    </row>
    <row r="838" spans="1:14" x14ac:dyDescent="0.3">
      <c r="A838" s="3">
        <v>44955</v>
      </c>
      <c r="B838" s="11" t="s">
        <v>3189</v>
      </c>
      <c r="C838" s="51"/>
      <c r="D838" s="51"/>
      <c r="F838" s="11"/>
      <c r="G838" s="2">
        <v>1000</v>
      </c>
      <c r="I838" s="75">
        <f t="shared" si="57"/>
        <v>9925.5899999999965</v>
      </c>
      <c r="L838" s="2">
        <f t="shared" si="59"/>
        <v>4</v>
      </c>
    </row>
    <row r="839" spans="1:14" x14ac:dyDescent="0.3">
      <c r="A839" s="3">
        <v>44956</v>
      </c>
      <c r="B839" s="11" t="s">
        <v>1250</v>
      </c>
      <c r="C839" s="51" t="s">
        <v>1518</v>
      </c>
      <c r="D839" s="51"/>
      <c r="F839" s="11"/>
      <c r="G839" s="2">
        <v>1000</v>
      </c>
      <c r="I839" s="75">
        <f t="shared" si="57"/>
        <v>10925.589999999997</v>
      </c>
      <c r="L839" s="2">
        <f t="shared" si="59"/>
        <v>4</v>
      </c>
    </row>
    <row r="840" spans="1:14" x14ac:dyDescent="0.3">
      <c r="A840" s="3">
        <v>44957</v>
      </c>
      <c r="B840" s="11" t="s">
        <v>1160</v>
      </c>
      <c r="C840" s="51" t="s">
        <v>3191</v>
      </c>
      <c r="D840" s="51" t="s">
        <v>3192</v>
      </c>
      <c r="F840" s="11"/>
      <c r="G840" s="2">
        <v>1300</v>
      </c>
      <c r="I840" s="75">
        <f t="shared" si="57"/>
        <v>12225.589999999997</v>
      </c>
      <c r="L840" s="2">
        <f t="shared" si="59"/>
        <v>5.2</v>
      </c>
    </row>
    <row r="841" spans="1:14" x14ac:dyDescent="0.3">
      <c r="A841" s="3">
        <v>44957</v>
      </c>
      <c r="B841" s="11" t="s">
        <v>3193</v>
      </c>
      <c r="C841" s="51" t="s">
        <v>3194</v>
      </c>
      <c r="D841" s="51"/>
      <c r="E841" s="90" t="s">
        <v>16</v>
      </c>
      <c r="F841" s="11"/>
      <c r="H841" s="2">
        <v>1000</v>
      </c>
      <c r="I841" s="75">
        <f t="shared" si="57"/>
        <v>11225.589999999997</v>
      </c>
      <c r="L841" s="2">
        <f t="shared" si="59"/>
        <v>29</v>
      </c>
    </row>
    <row r="842" spans="1:14" x14ac:dyDescent="0.3">
      <c r="A842" s="77"/>
      <c r="B842" s="80"/>
      <c r="C842" s="112"/>
      <c r="D842" s="112"/>
      <c r="E842" s="92">
        <f>COUNTIF(E780:E841,"y")</f>
        <v>6</v>
      </c>
      <c r="F842" s="77">
        <f>G842+H842</f>
        <v>174760.6</v>
      </c>
      <c r="G842" s="81">
        <f>SUM(G780:G841)</f>
        <v>89960.6</v>
      </c>
      <c r="H842" s="81">
        <f>SUM(H780:H841)</f>
        <v>84800</v>
      </c>
      <c r="I842" s="81"/>
      <c r="J842" s="77"/>
      <c r="K842" s="77"/>
      <c r="L842" s="81">
        <f>SUM(L780:L841)</f>
        <v>716.04240000000004</v>
      </c>
      <c r="M842" s="77"/>
      <c r="N842" s="77"/>
    </row>
    <row r="843" spans="1:14" x14ac:dyDescent="0.3">
      <c r="C843" s="51"/>
      <c r="D843" s="51"/>
      <c r="F843" s="11"/>
    </row>
    <row r="844" spans="1:14" x14ac:dyDescent="0.3">
      <c r="A844" s="3">
        <v>44958</v>
      </c>
      <c r="C844" s="51"/>
      <c r="D844" s="51"/>
      <c r="F844" s="11"/>
      <c r="G844" s="2">
        <v>11096.9</v>
      </c>
      <c r="I844" s="75">
        <f t="shared" ref="I844:I884" si="60">I843+G844-H844</f>
        <v>11096.9</v>
      </c>
    </row>
    <row r="845" spans="1:14" x14ac:dyDescent="0.3">
      <c r="A845" s="3">
        <v>44958</v>
      </c>
      <c r="B845" s="11" t="s">
        <v>1250</v>
      </c>
      <c r="C845" s="51"/>
      <c r="D845" s="51"/>
      <c r="F845" s="11"/>
      <c r="G845" s="2">
        <v>2000</v>
      </c>
      <c r="I845" s="75">
        <f t="shared" si="60"/>
        <v>13096.9</v>
      </c>
      <c r="L845" s="2">
        <f t="shared" ref="L845:L876" si="61">IF((G845+H845)&lt;=5000,(H845+G845)*0.004,20)+IF(E845="Y",25,0)</f>
        <v>8</v>
      </c>
    </row>
    <row r="846" spans="1:14" x14ac:dyDescent="0.3">
      <c r="A846" s="3">
        <v>44958</v>
      </c>
      <c r="B846" s="11" t="s">
        <v>1250</v>
      </c>
      <c r="C846" s="51"/>
      <c r="D846" s="51"/>
      <c r="F846" s="11"/>
      <c r="H846" s="2">
        <v>9000</v>
      </c>
      <c r="I846" s="75">
        <f t="shared" si="60"/>
        <v>4096.8999999999996</v>
      </c>
      <c r="L846" s="2">
        <f t="shared" si="61"/>
        <v>20</v>
      </c>
    </row>
    <row r="847" spans="1:14" x14ac:dyDescent="0.3">
      <c r="A847" s="3">
        <v>44958</v>
      </c>
      <c r="B847" s="11" t="s">
        <v>3198</v>
      </c>
      <c r="C847" s="51" t="s">
        <v>2554</v>
      </c>
      <c r="D847" s="51"/>
      <c r="F847" s="11"/>
      <c r="H847" s="2">
        <v>500</v>
      </c>
      <c r="I847" s="75">
        <f t="shared" si="60"/>
        <v>3596.8999999999996</v>
      </c>
      <c r="L847" s="2">
        <f t="shared" si="61"/>
        <v>2</v>
      </c>
    </row>
    <row r="848" spans="1:14" x14ac:dyDescent="0.3">
      <c r="A848" s="3">
        <v>44959</v>
      </c>
      <c r="B848" s="11" t="s">
        <v>1472</v>
      </c>
      <c r="C848" s="51" t="s">
        <v>3201</v>
      </c>
      <c r="D848" s="51" t="s">
        <v>3202</v>
      </c>
      <c r="F848" s="11" t="s">
        <v>3203</v>
      </c>
      <c r="G848" s="2">
        <v>2000</v>
      </c>
      <c r="I848" s="75">
        <f t="shared" si="60"/>
        <v>5596.9</v>
      </c>
      <c r="L848" s="2">
        <f t="shared" si="61"/>
        <v>8</v>
      </c>
    </row>
    <row r="849" spans="1:12" x14ac:dyDescent="0.3">
      <c r="A849" s="3">
        <v>44959</v>
      </c>
      <c r="B849" s="11" t="s">
        <v>2735</v>
      </c>
      <c r="C849" s="51" t="s">
        <v>1279</v>
      </c>
      <c r="D849" s="51"/>
      <c r="F849" s="11"/>
      <c r="H849" s="2">
        <v>4500</v>
      </c>
      <c r="I849" s="75">
        <f t="shared" si="60"/>
        <v>1096.8999999999996</v>
      </c>
      <c r="L849" s="2">
        <f t="shared" si="61"/>
        <v>18</v>
      </c>
    </row>
    <row r="850" spans="1:12" x14ac:dyDescent="0.3">
      <c r="A850" s="3">
        <v>44959</v>
      </c>
      <c r="B850" s="11" t="s">
        <v>2651</v>
      </c>
      <c r="C850" s="51" t="s">
        <v>2652</v>
      </c>
      <c r="D850" s="51"/>
      <c r="F850" s="11"/>
      <c r="H850" s="2">
        <v>700</v>
      </c>
      <c r="I850" s="75">
        <f t="shared" si="60"/>
        <v>396.89999999999964</v>
      </c>
      <c r="L850" s="2">
        <f t="shared" si="61"/>
        <v>2.8000000000000003</v>
      </c>
    </row>
    <row r="851" spans="1:12" x14ac:dyDescent="0.3">
      <c r="A851" s="3">
        <v>44959</v>
      </c>
      <c r="B851" s="11" t="s">
        <v>3204</v>
      </c>
      <c r="C851" s="51" t="s">
        <v>3205</v>
      </c>
      <c r="D851" s="51" t="s">
        <v>3206</v>
      </c>
      <c r="F851" s="11"/>
      <c r="G851" s="2">
        <v>500</v>
      </c>
      <c r="I851" s="75">
        <f t="shared" si="60"/>
        <v>896.89999999999964</v>
      </c>
      <c r="L851" s="2">
        <f t="shared" si="61"/>
        <v>2</v>
      </c>
    </row>
    <row r="852" spans="1:12" x14ac:dyDescent="0.3">
      <c r="A852" s="3">
        <v>44959</v>
      </c>
      <c r="B852" s="11" t="s">
        <v>1160</v>
      </c>
      <c r="C852" s="51" t="s">
        <v>3207</v>
      </c>
      <c r="D852" s="51" t="s">
        <v>3208</v>
      </c>
      <c r="F852" s="11"/>
      <c r="G852" s="2">
        <v>2000</v>
      </c>
      <c r="I852" s="75">
        <f t="shared" si="60"/>
        <v>2896.8999999999996</v>
      </c>
      <c r="L852" s="2">
        <f t="shared" si="61"/>
        <v>8</v>
      </c>
    </row>
    <row r="853" spans="1:12" x14ac:dyDescent="0.3">
      <c r="A853" s="3">
        <v>44959</v>
      </c>
      <c r="B853" s="11" t="s">
        <v>1250</v>
      </c>
      <c r="C853" s="51"/>
      <c r="D853" s="51"/>
      <c r="F853" s="11"/>
      <c r="G853" s="2">
        <v>500</v>
      </c>
      <c r="I853" s="75">
        <f t="shared" si="60"/>
        <v>3396.8999999999996</v>
      </c>
      <c r="L853" s="2">
        <f t="shared" si="61"/>
        <v>2</v>
      </c>
    </row>
    <row r="854" spans="1:12" x14ac:dyDescent="0.3">
      <c r="A854" s="3">
        <v>44959</v>
      </c>
      <c r="B854" s="11" t="s">
        <v>1250</v>
      </c>
      <c r="C854" s="51" t="s">
        <v>2626</v>
      </c>
      <c r="D854" s="51"/>
      <c r="F854" s="11"/>
      <c r="G854" s="2">
        <v>5000</v>
      </c>
      <c r="I854" s="75">
        <f t="shared" si="60"/>
        <v>8396.9</v>
      </c>
      <c r="L854" s="2">
        <f t="shared" si="61"/>
        <v>20</v>
      </c>
    </row>
    <row r="855" spans="1:12" x14ac:dyDescent="0.3">
      <c r="A855" s="3">
        <v>44959</v>
      </c>
      <c r="B855" s="11" t="s">
        <v>3210</v>
      </c>
      <c r="C855" s="51" t="s">
        <v>3211</v>
      </c>
      <c r="D855" s="51"/>
      <c r="E855" s="90" t="s">
        <v>16</v>
      </c>
      <c r="F855" s="11"/>
      <c r="H855" s="2">
        <v>200</v>
      </c>
      <c r="I855" s="75">
        <f t="shared" si="60"/>
        <v>8196.9</v>
      </c>
      <c r="L855" s="2">
        <f t="shared" si="61"/>
        <v>25.8</v>
      </c>
    </row>
    <row r="856" spans="1:12" x14ac:dyDescent="0.3">
      <c r="A856" s="3">
        <v>44959</v>
      </c>
      <c r="B856" s="11" t="s">
        <v>1257</v>
      </c>
      <c r="C856" s="51" t="s">
        <v>2289</v>
      </c>
      <c r="D856" s="51"/>
      <c r="F856" s="11"/>
      <c r="H856" s="2">
        <v>5000</v>
      </c>
      <c r="I856" s="75">
        <f t="shared" si="60"/>
        <v>3196.8999999999996</v>
      </c>
      <c r="L856" s="2">
        <f t="shared" si="61"/>
        <v>20</v>
      </c>
    </row>
    <row r="857" spans="1:12" x14ac:dyDescent="0.3">
      <c r="A857" s="3">
        <v>44960</v>
      </c>
      <c r="B857" s="11" t="s">
        <v>2232</v>
      </c>
      <c r="C857" s="51" t="s">
        <v>3212</v>
      </c>
      <c r="D857" s="51"/>
      <c r="F857" s="11"/>
      <c r="G857" s="2">
        <v>5000</v>
      </c>
      <c r="I857" s="75">
        <f t="shared" si="60"/>
        <v>8196.9</v>
      </c>
      <c r="L857" s="2">
        <f t="shared" si="61"/>
        <v>20</v>
      </c>
    </row>
    <row r="858" spans="1:12" x14ac:dyDescent="0.3">
      <c r="A858" s="3">
        <v>44960</v>
      </c>
      <c r="B858" s="11" t="s">
        <v>1257</v>
      </c>
      <c r="C858" s="51" t="s">
        <v>2289</v>
      </c>
      <c r="D858" s="51"/>
      <c r="F858" s="11"/>
      <c r="H858" s="2">
        <v>4000</v>
      </c>
      <c r="I858" s="75">
        <f t="shared" si="60"/>
        <v>4196.8999999999996</v>
      </c>
      <c r="L858" s="2">
        <f t="shared" si="61"/>
        <v>16</v>
      </c>
    </row>
    <row r="859" spans="1:12" x14ac:dyDescent="0.3">
      <c r="A859" s="3">
        <v>44960</v>
      </c>
      <c r="B859" s="11" t="s">
        <v>1472</v>
      </c>
      <c r="C859" s="51" t="s">
        <v>2488</v>
      </c>
      <c r="D859" s="51"/>
      <c r="F859" s="11"/>
      <c r="G859" s="2">
        <v>10000</v>
      </c>
      <c r="I859" s="75">
        <f t="shared" si="60"/>
        <v>14196.9</v>
      </c>
      <c r="L859" s="2">
        <f t="shared" si="61"/>
        <v>20</v>
      </c>
    </row>
    <row r="860" spans="1:12" x14ac:dyDescent="0.3">
      <c r="A860" s="3">
        <v>44961</v>
      </c>
      <c r="B860" s="11" t="s">
        <v>1471</v>
      </c>
      <c r="C860" s="51" t="s">
        <v>2987</v>
      </c>
      <c r="D860" s="51"/>
      <c r="F860" s="11"/>
      <c r="H860" s="2">
        <v>400</v>
      </c>
      <c r="I860" s="75">
        <f t="shared" si="60"/>
        <v>13796.9</v>
      </c>
      <c r="L860" s="2">
        <f t="shared" si="61"/>
        <v>1.6</v>
      </c>
    </row>
    <row r="861" spans="1:12" x14ac:dyDescent="0.3">
      <c r="A861" s="3">
        <v>44961</v>
      </c>
      <c r="B861" s="11" t="s">
        <v>2716</v>
      </c>
      <c r="C861" s="51" t="s">
        <v>1279</v>
      </c>
      <c r="D861" s="51"/>
      <c r="F861" s="11"/>
      <c r="H861" s="2">
        <v>3000</v>
      </c>
      <c r="I861" s="75">
        <f t="shared" si="60"/>
        <v>10796.9</v>
      </c>
      <c r="L861" s="2">
        <f t="shared" si="61"/>
        <v>12</v>
      </c>
    </row>
    <row r="862" spans="1:12" x14ac:dyDescent="0.3">
      <c r="A862" s="3">
        <v>44961</v>
      </c>
      <c r="B862" s="11" t="s">
        <v>1250</v>
      </c>
      <c r="C862" s="51"/>
      <c r="D862" s="51"/>
      <c r="F862" s="11"/>
      <c r="G862" s="2">
        <v>2000</v>
      </c>
      <c r="I862" s="75">
        <f t="shared" si="60"/>
        <v>12796.9</v>
      </c>
      <c r="L862" s="2">
        <f t="shared" si="61"/>
        <v>8</v>
      </c>
    </row>
    <row r="863" spans="1:12" x14ac:dyDescent="0.3">
      <c r="A863" s="3">
        <v>44961</v>
      </c>
      <c r="B863" s="11" t="s">
        <v>3218</v>
      </c>
      <c r="C863" s="51" t="s">
        <v>3219</v>
      </c>
      <c r="D863" s="51"/>
      <c r="E863" s="90" t="s">
        <v>16</v>
      </c>
      <c r="F863" s="11"/>
      <c r="H863" s="2">
        <v>100</v>
      </c>
      <c r="I863" s="75">
        <f t="shared" si="60"/>
        <v>12696.9</v>
      </c>
      <c r="L863" s="2">
        <f t="shared" si="61"/>
        <v>25.4</v>
      </c>
    </row>
    <row r="864" spans="1:12" x14ac:dyDescent="0.3">
      <c r="A864" s="3">
        <v>44961</v>
      </c>
      <c r="B864" s="11" t="s">
        <v>3222</v>
      </c>
      <c r="C864" s="51" t="s">
        <v>3225</v>
      </c>
      <c r="D864" s="51"/>
      <c r="E864" s="90" t="s">
        <v>16</v>
      </c>
      <c r="F864" s="11"/>
      <c r="H864" s="2">
        <v>100</v>
      </c>
      <c r="I864" s="75">
        <f t="shared" si="60"/>
        <v>12596.9</v>
      </c>
      <c r="L864" s="2">
        <f t="shared" si="61"/>
        <v>25.4</v>
      </c>
    </row>
    <row r="865" spans="1:12" x14ac:dyDescent="0.3">
      <c r="A865" s="3">
        <v>44961</v>
      </c>
      <c r="B865" s="11" t="s">
        <v>3223</v>
      </c>
      <c r="C865" s="51" t="s">
        <v>3224</v>
      </c>
      <c r="D865" s="51"/>
      <c r="F865" s="11"/>
      <c r="G865" s="2">
        <v>1000</v>
      </c>
      <c r="I865" s="75">
        <f t="shared" si="60"/>
        <v>13596.9</v>
      </c>
      <c r="L865" s="2">
        <f t="shared" si="61"/>
        <v>4</v>
      </c>
    </row>
    <row r="866" spans="1:12" x14ac:dyDescent="0.3">
      <c r="A866" s="3">
        <v>44961</v>
      </c>
      <c r="B866" s="11" t="s">
        <v>2241</v>
      </c>
      <c r="C866" s="51" t="s">
        <v>3229</v>
      </c>
      <c r="D866" s="51" t="s">
        <v>3230</v>
      </c>
      <c r="F866" s="11"/>
      <c r="G866" s="2">
        <v>600</v>
      </c>
      <c r="I866" s="75">
        <f t="shared" si="60"/>
        <v>14196.9</v>
      </c>
      <c r="L866" s="2">
        <f t="shared" si="61"/>
        <v>2.4</v>
      </c>
    </row>
    <row r="867" spans="1:12" x14ac:dyDescent="0.3">
      <c r="A867" s="3">
        <v>44962</v>
      </c>
      <c r="B867" s="11" t="s">
        <v>1250</v>
      </c>
      <c r="C867" s="51" t="s">
        <v>3231</v>
      </c>
      <c r="D867" s="51"/>
      <c r="F867" s="11"/>
      <c r="G867" s="2">
        <v>1000</v>
      </c>
      <c r="I867" s="75">
        <f t="shared" si="60"/>
        <v>15196.9</v>
      </c>
      <c r="L867" s="2">
        <f t="shared" si="61"/>
        <v>4</v>
      </c>
    </row>
    <row r="868" spans="1:12" x14ac:dyDescent="0.3">
      <c r="A868" s="3">
        <v>44963</v>
      </c>
      <c r="B868" s="11" t="s">
        <v>2236</v>
      </c>
      <c r="C868" s="51" t="s">
        <v>2237</v>
      </c>
      <c r="D868" s="51"/>
      <c r="F868" s="11"/>
      <c r="H868" s="2">
        <v>2500</v>
      </c>
      <c r="I868" s="75">
        <f t="shared" si="60"/>
        <v>12696.9</v>
      </c>
      <c r="L868" s="2">
        <f t="shared" si="61"/>
        <v>10</v>
      </c>
    </row>
    <row r="869" spans="1:12" x14ac:dyDescent="0.3">
      <c r="A869" s="3">
        <v>44963</v>
      </c>
      <c r="B869" s="11" t="s">
        <v>3232</v>
      </c>
      <c r="C869" s="51" t="s">
        <v>2414</v>
      </c>
      <c r="D869" s="51"/>
      <c r="F869" s="11"/>
      <c r="G869" s="2">
        <v>3000</v>
      </c>
      <c r="I869" s="75">
        <f t="shared" si="60"/>
        <v>15696.9</v>
      </c>
      <c r="L869" s="2">
        <f t="shared" si="61"/>
        <v>12</v>
      </c>
    </row>
    <row r="870" spans="1:12" x14ac:dyDescent="0.3">
      <c r="A870" s="3">
        <v>44963</v>
      </c>
      <c r="B870" s="11" t="s">
        <v>1160</v>
      </c>
      <c r="C870" s="51" t="s">
        <v>3234</v>
      </c>
      <c r="D870" s="51" t="s">
        <v>3235</v>
      </c>
      <c r="F870" s="11"/>
      <c r="G870" s="2">
        <v>5000</v>
      </c>
      <c r="I870" s="75">
        <f t="shared" si="60"/>
        <v>20696.900000000001</v>
      </c>
      <c r="L870" s="2">
        <f t="shared" si="61"/>
        <v>20</v>
      </c>
    </row>
    <row r="871" spans="1:12" x14ac:dyDescent="0.3">
      <c r="A871" s="3">
        <v>44964</v>
      </c>
      <c r="B871" s="11" t="s">
        <v>3236</v>
      </c>
      <c r="C871" s="51" t="s">
        <v>3237</v>
      </c>
      <c r="D871" s="51"/>
      <c r="F871" s="11"/>
      <c r="H871" s="2">
        <v>10000</v>
      </c>
      <c r="I871" s="75">
        <f t="shared" si="60"/>
        <v>10696.900000000001</v>
      </c>
      <c r="L871" s="2">
        <f t="shared" si="61"/>
        <v>20</v>
      </c>
    </row>
    <row r="872" spans="1:12" x14ac:dyDescent="0.3">
      <c r="A872" s="3">
        <v>44965</v>
      </c>
      <c r="B872" s="11" t="s">
        <v>2781</v>
      </c>
      <c r="C872" s="51" t="s">
        <v>2782</v>
      </c>
      <c r="D872" s="51"/>
      <c r="F872" s="11"/>
      <c r="H872" s="2">
        <v>4600</v>
      </c>
      <c r="I872" s="75">
        <f t="shared" si="60"/>
        <v>6096.9000000000015</v>
      </c>
      <c r="L872" s="2">
        <f t="shared" si="61"/>
        <v>18.400000000000002</v>
      </c>
    </row>
    <row r="873" spans="1:12" x14ac:dyDescent="0.3">
      <c r="A873" s="3">
        <v>44965</v>
      </c>
      <c r="B873" s="11" t="s">
        <v>1472</v>
      </c>
      <c r="C873" s="51" t="s">
        <v>3201</v>
      </c>
      <c r="D873" s="51"/>
      <c r="F873" s="11"/>
      <c r="G873" s="2">
        <v>5050</v>
      </c>
      <c r="I873" s="75">
        <f t="shared" si="60"/>
        <v>11146.900000000001</v>
      </c>
      <c r="L873" s="2">
        <f t="shared" si="61"/>
        <v>20</v>
      </c>
    </row>
    <row r="874" spans="1:12" x14ac:dyDescent="0.3">
      <c r="A874" s="3">
        <v>44965</v>
      </c>
      <c r="B874" s="11" t="s">
        <v>2678</v>
      </c>
      <c r="C874" s="51" t="s">
        <v>3034</v>
      </c>
      <c r="D874" s="51"/>
      <c r="F874" s="11"/>
      <c r="H874" s="2">
        <v>5000</v>
      </c>
      <c r="I874" s="75">
        <f t="shared" si="60"/>
        <v>6146.9000000000015</v>
      </c>
      <c r="L874" s="2">
        <f t="shared" si="61"/>
        <v>20</v>
      </c>
    </row>
    <row r="875" spans="1:12" x14ac:dyDescent="0.3">
      <c r="A875" s="3">
        <v>44965</v>
      </c>
      <c r="B875" s="11" t="s">
        <v>3108</v>
      </c>
      <c r="C875" s="51" t="s">
        <v>3238</v>
      </c>
      <c r="D875" s="51"/>
      <c r="F875" s="11"/>
      <c r="G875" s="2">
        <v>500</v>
      </c>
      <c r="I875" s="75">
        <f t="shared" si="60"/>
        <v>6646.9000000000015</v>
      </c>
      <c r="L875" s="2">
        <f t="shared" si="61"/>
        <v>2</v>
      </c>
    </row>
    <row r="876" spans="1:12" x14ac:dyDescent="0.3">
      <c r="A876" s="3">
        <v>44966</v>
      </c>
      <c r="B876" s="11" t="s">
        <v>1160</v>
      </c>
      <c r="C876" s="51" t="s">
        <v>3091</v>
      </c>
      <c r="D876" s="51"/>
      <c r="F876" s="11" t="s">
        <v>3239</v>
      </c>
      <c r="G876" s="2">
        <v>500</v>
      </c>
      <c r="I876" s="75">
        <f t="shared" si="60"/>
        <v>7146.9000000000015</v>
      </c>
      <c r="L876" s="2">
        <f t="shared" si="61"/>
        <v>2</v>
      </c>
    </row>
    <row r="877" spans="1:12" x14ac:dyDescent="0.3">
      <c r="A877" s="3">
        <v>44966</v>
      </c>
      <c r="B877" s="11" t="s">
        <v>2241</v>
      </c>
      <c r="C877" s="51" t="s">
        <v>2948</v>
      </c>
      <c r="D877" s="51"/>
      <c r="F877" s="11" t="s">
        <v>3240</v>
      </c>
      <c r="G877" s="2">
        <v>600</v>
      </c>
      <c r="I877" s="75">
        <f t="shared" si="60"/>
        <v>7746.9000000000015</v>
      </c>
      <c r="L877" s="2">
        <f t="shared" ref="L877:L908" si="62">IF((G877+H877)&lt;=5000,(H877+G877)*0.004,20)+IF(E877="Y",25,0)</f>
        <v>2.4</v>
      </c>
    </row>
    <row r="878" spans="1:12" x14ac:dyDescent="0.3">
      <c r="A878" s="3">
        <v>44966</v>
      </c>
      <c r="B878" s="11" t="s">
        <v>3241</v>
      </c>
      <c r="C878" s="51" t="s">
        <v>3242</v>
      </c>
      <c r="D878" s="51"/>
      <c r="F878" s="11"/>
      <c r="G878" s="2">
        <v>1000</v>
      </c>
      <c r="I878" s="75">
        <f t="shared" si="60"/>
        <v>8746.9000000000015</v>
      </c>
      <c r="L878" s="2">
        <f t="shared" si="62"/>
        <v>4</v>
      </c>
    </row>
    <row r="879" spans="1:12" x14ac:dyDescent="0.3">
      <c r="A879" s="3">
        <v>44966</v>
      </c>
      <c r="B879" s="11" t="s">
        <v>3243</v>
      </c>
      <c r="C879" s="51" t="s">
        <v>3034</v>
      </c>
      <c r="D879" s="51"/>
      <c r="F879" s="11"/>
      <c r="H879" s="2">
        <v>5000</v>
      </c>
      <c r="I879" s="75">
        <f t="shared" si="60"/>
        <v>3746.9000000000015</v>
      </c>
      <c r="L879" s="2">
        <f t="shared" si="62"/>
        <v>20</v>
      </c>
    </row>
    <row r="880" spans="1:12" x14ac:dyDescent="0.3">
      <c r="A880" s="3">
        <v>44966</v>
      </c>
      <c r="B880" s="11" t="s">
        <v>2241</v>
      </c>
      <c r="C880" s="51" t="s">
        <v>3244</v>
      </c>
      <c r="D880" s="51"/>
      <c r="F880" s="11"/>
      <c r="G880" s="2">
        <v>2500</v>
      </c>
      <c r="I880" s="75">
        <f t="shared" si="60"/>
        <v>6246.9000000000015</v>
      </c>
      <c r="L880" s="2">
        <f t="shared" si="62"/>
        <v>10</v>
      </c>
    </row>
    <row r="881" spans="1:12" x14ac:dyDescent="0.3">
      <c r="A881" s="3">
        <v>44967</v>
      </c>
      <c r="B881" s="11" t="s">
        <v>3127</v>
      </c>
      <c r="C881" s="51" t="s">
        <v>3245</v>
      </c>
      <c r="D881" s="51"/>
      <c r="F881" s="11"/>
      <c r="H881" s="2">
        <v>1000</v>
      </c>
      <c r="I881" s="75">
        <f t="shared" si="60"/>
        <v>5246.9000000000015</v>
      </c>
      <c r="L881" s="2">
        <f t="shared" si="62"/>
        <v>4</v>
      </c>
    </row>
    <row r="882" spans="1:12" x14ac:dyDescent="0.3">
      <c r="A882" s="3">
        <v>44967</v>
      </c>
      <c r="B882" s="11" t="s">
        <v>3127</v>
      </c>
      <c r="C882" s="51" t="s">
        <v>3245</v>
      </c>
      <c r="D882" s="51"/>
      <c r="F882" s="11"/>
      <c r="H882" s="2">
        <v>5000</v>
      </c>
      <c r="I882" s="75">
        <f t="shared" si="60"/>
        <v>246.90000000000146</v>
      </c>
      <c r="L882" s="2">
        <f t="shared" si="62"/>
        <v>20</v>
      </c>
    </row>
    <row r="883" spans="1:12" x14ac:dyDescent="0.3">
      <c r="A883" s="3">
        <v>44968</v>
      </c>
      <c r="B883" s="11" t="s">
        <v>2351</v>
      </c>
      <c r="C883" s="51" t="s">
        <v>3246</v>
      </c>
      <c r="D883" s="51"/>
      <c r="F883" s="11"/>
      <c r="G883" s="2">
        <v>2000</v>
      </c>
      <c r="I883" s="75">
        <f t="shared" si="60"/>
        <v>2246.9000000000015</v>
      </c>
      <c r="L883" s="2">
        <f t="shared" si="62"/>
        <v>8</v>
      </c>
    </row>
    <row r="884" spans="1:12" x14ac:dyDescent="0.3">
      <c r="A884" s="3">
        <v>44970</v>
      </c>
      <c r="C884" s="51" t="s">
        <v>3247</v>
      </c>
      <c r="D884" s="51"/>
      <c r="F884" s="11"/>
      <c r="G884" s="2">
        <v>3500</v>
      </c>
      <c r="I884" s="75">
        <f t="shared" si="60"/>
        <v>5746.9000000000015</v>
      </c>
      <c r="L884" s="2">
        <f t="shared" si="62"/>
        <v>14</v>
      </c>
    </row>
    <row r="885" spans="1:12" x14ac:dyDescent="0.3">
      <c r="A885" s="3">
        <v>44970</v>
      </c>
      <c r="B885" s="11" t="s">
        <v>3249</v>
      </c>
      <c r="C885" s="51" t="s">
        <v>3248</v>
      </c>
      <c r="D885" s="51"/>
      <c r="F885" s="11"/>
      <c r="H885" s="2">
        <v>5500</v>
      </c>
      <c r="I885" s="75">
        <f t="shared" ref="I885:I924" si="63">I884+G885-H885</f>
        <v>246.90000000000146</v>
      </c>
      <c r="L885" s="2">
        <f t="shared" si="62"/>
        <v>20</v>
      </c>
    </row>
    <row r="886" spans="1:12" x14ac:dyDescent="0.3">
      <c r="A886" s="3">
        <v>44971</v>
      </c>
      <c r="B886" s="11" t="s">
        <v>2232</v>
      </c>
      <c r="C886" s="51" t="s">
        <v>3251</v>
      </c>
      <c r="D886" s="51"/>
      <c r="F886" s="11"/>
      <c r="G886" s="2">
        <v>1400</v>
      </c>
      <c r="I886" s="75">
        <f t="shared" si="63"/>
        <v>1646.9000000000015</v>
      </c>
      <c r="L886" s="2">
        <f t="shared" si="62"/>
        <v>5.6000000000000005</v>
      </c>
    </row>
    <row r="887" spans="1:12" x14ac:dyDescent="0.3">
      <c r="A887" s="3">
        <v>44971</v>
      </c>
      <c r="C887" s="51" t="s">
        <v>3253</v>
      </c>
      <c r="D887" s="51"/>
      <c r="F887" s="11"/>
      <c r="G887" s="2">
        <v>557</v>
      </c>
      <c r="I887" s="75">
        <f t="shared" si="63"/>
        <v>2203.9000000000015</v>
      </c>
      <c r="L887" s="2">
        <f t="shared" si="62"/>
        <v>2.2280000000000002</v>
      </c>
    </row>
    <row r="888" spans="1:12" x14ac:dyDescent="0.3">
      <c r="A888" s="3">
        <v>44972</v>
      </c>
      <c r="B888" s="11" t="s">
        <v>1250</v>
      </c>
      <c r="C888" s="51" t="s">
        <v>3252</v>
      </c>
      <c r="D888" s="51"/>
      <c r="F888" s="11"/>
      <c r="G888" s="2">
        <v>10000</v>
      </c>
      <c r="I888" s="75">
        <f t="shared" si="63"/>
        <v>12203.900000000001</v>
      </c>
      <c r="L888" s="2">
        <f t="shared" si="62"/>
        <v>20</v>
      </c>
    </row>
    <row r="889" spans="1:12" x14ac:dyDescent="0.3">
      <c r="A889" s="3">
        <v>44972</v>
      </c>
      <c r="B889" s="11" t="s">
        <v>1257</v>
      </c>
      <c r="C889" s="51"/>
      <c r="D889" s="51"/>
      <c r="F889" s="11"/>
      <c r="H889" s="2">
        <v>5000</v>
      </c>
      <c r="I889" s="75">
        <f t="shared" si="63"/>
        <v>7203.9000000000015</v>
      </c>
      <c r="L889" s="2">
        <f t="shared" si="62"/>
        <v>20</v>
      </c>
    </row>
    <row r="890" spans="1:12" x14ac:dyDescent="0.3">
      <c r="A890" s="3">
        <v>44972</v>
      </c>
      <c r="B890" s="11" t="s">
        <v>2651</v>
      </c>
      <c r="C890" s="51" t="s">
        <v>2652</v>
      </c>
      <c r="D890" s="51"/>
      <c r="F890" s="11"/>
      <c r="H890" s="2">
        <v>500</v>
      </c>
      <c r="I890" s="75">
        <f t="shared" si="63"/>
        <v>6703.9000000000015</v>
      </c>
      <c r="L890" s="2">
        <f t="shared" si="62"/>
        <v>2</v>
      </c>
    </row>
    <row r="891" spans="1:12" x14ac:dyDescent="0.3">
      <c r="A891" s="3">
        <v>44975</v>
      </c>
      <c r="B891" s="11" t="s">
        <v>1257</v>
      </c>
      <c r="C891" s="51" t="s">
        <v>2289</v>
      </c>
      <c r="D891" s="51"/>
      <c r="F891" s="11"/>
      <c r="H891" s="2">
        <v>6500</v>
      </c>
      <c r="I891" s="75">
        <f t="shared" si="63"/>
        <v>203.90000000000146</v>
      </c>
      <c r="L891" s="2">
        <f t="shared" si="62"/>
        <v>20</v>
      </c>
    </row>
    <row r="892" spans="1:12" x14ac:dyDescent="0.3">
      <c r="A892" s="3">
        <v>44975</v>
      </c>
      <c r="B892" s="11" t="s">
        <v>2251</v>
      </c>
      <c r="C892" s="51" t="s">
        <v>3254</v>
      </c>
      <c r="D892" s="51"/>
      <c r="F892" s="11"/>
      <c r="G892" s="2">
        <v>6000</v>
      </c>
      <c r="I892" s="75">
        <f t="shared" si="63"/>
        <v>6203.9000000000015</v>
      </c>
      <c r="L892" s="2">
        <f t="shared" si="62"/>
        <v>20</v>
      </c>
    </row>
    <row r="893" spans="1:12" x14ac:dyDescent="0.3">
      <c r="A893" s="3">
        <v>44975</v>
      </c>
      <c r="B893" s="11" t="s">
        <v>2457</v>
      </c>
      <c r="C893" s="51" t="s">
        <v>2458</v>
      </c>
      <c r="D893" s="51"/>
      <c r="F893" s="11"/>
      <c r="H893" s="2">
        <v>5000</v>
      </c>
      <c r="I893" s="75">
        <f t="shared" si="63"/>
        <v>1203.9000000000015</v>
      </c>
      <c r="L893" s="2">
        <f t="shared" si="62"/>
        <v>20</v>
      </c>
    </row>
    <row r="894" spans="1:12" x14ac:dyDescent="0.3">
      <c r="A894" s="3">
        <v>44977</v>
      </c>
      <c r="B894" s="11" t="s">
        <v>1160</v>
      </c>
      <c r="C894" s="51"/>
      <c r="D894" s="51"/>
      <c r="F894" s="11"/>
      <c r="G894" s="2">
        <v>200</v>
      </c>
      <c r="I894" s="75">
        <f t="shared" si="63"/>
        <v>1403.9000000000015</v>
      </c>
      <c r="L894" s="2">
        <f t="shared" si="62"/>
        <v>0.8</v>
      </c>
    </row>
    <row r="895" spans="1:12" x14ac:dyDescent="0.3">
      <c r="A895" s="3">
        <v>44978</v>
      </c>
      <c r="B895" s="11" t="s">
        <v>3108</v>
      </c>
      <c r="C895" s="51" t="s">
        <v>3238</v>
      </c>
      <c r="D895" s="51"/>
      <c r="F895" s="11"/>
      <c r="G895" s="2">
        <v>1000</v>
      </c>
      <c r="I895" s="75">
        <f t="shared" si="63"/>
        <v>2403.9000000000015</v>
      </c>
      <c r="L895" s="2">
        <f t="shared" si="62"/>
        <v>4</v>
      </c>
    </row>
    <row r="896" spans="1:12" x14ac:dyDescent="0.3">
      <c r="A896" s="3">
        <v>44978</v>
      </c>
      <c r="B896" s="11" t="s">
        <v>3108</v>
      </c>
      <c r="C896" s="51" t="s">
        <v>3238</v>
      </c>
      <c r="D896" s="51"/>
      <c r="F896" s="11"/>
      <c r="G896" s="2">
        <v>550</v>
      </c>
      <c r="I896" s="75">
        <f t="shared" si="63"/>
        <v>2953.9000000000015</v>
      </c>
      <c r="L896" s="2">
        <f t="shared" si="62"/>
        <v>2.2000000000000002</v>
      </c>
    </row>
    <row r="897" spans="1:12" x14ac:dyDescent="0.3">
      <c r="A897" s="3">
        <v>44979</v>
      </c>
      <c r="C897" s="51"/>
      <c r="D897" s="51"/>
      <c r="F897" s="11"/>
      <c r="H897" s="2">
        <v>2000</v>
      </c>
      <c r="I897" s="75">
        <f t="shared" si="63"/>
        <v>953.90000000000146</v>
      </c>
      <c r="L897" s="2">
        <f t="shared" si="62"/>
        <v>8</v>
      </c>
    </row>
    <row r="898" spans="1:12" x14ac:dyDescent="0.3">
      <c r="A898" s="3">
        <v>44979</v>
      </c>
      <c r="C898" s="51"/>
      <c r="D898" s="51"/>
      <c r="F898" s="11"/>
      <c r="G898" s="2">
        <v>500</v>
      </c>
      <c r="I898" s="75">
        <f t="shared" si="63"/>
        <v>1453.9000000000015</v>
      </c>
      <c r="L898" s="2">
        <f t="shared" si="62"/>
        <v>2</v>
      </c>
    </row>
    <row r="899" spans="1:12" x14ac:dyDescent="0.3">
      <c r="A899" s="3">
        <v>44979</v>
      </c>
      <c r="B899" s="11" t="s">
        <v>2619</v>
      </c>
      <c r="C899" s="51" t="s">
        <v>3255</v>
      </c>
      <c r="D899" s="51"/>
      <c r="F899" s="11"/>
      <c r="G899" s="2">
        <v>1000</v>
      </c>
      <c r="I899" s="75">
        <f t="shared" si="63"/>
        <v>2453.9000000000015</v>
      </c>
      <c r="L899" s="2">
        <f t="shared" si="62"/>
        <v>4</v>
      </c>
    </row>
    <row r="900" spans="1:12" x14ac:dyDescent="0.3">
      <c r="A900" s="3">
        <v>44979</v>
      </c>
      <c r="B900" s="11" t="s">
        <v>3256</v>
      </c>
      <c r="C900" s="51" t="s">
        <v>3257</v>
      </c>
      <c r="D900" s="51"/>
      <c r="E900" s="90" t="s">
        <v>16</v>
      </c>
      <c r="F900" s="11"/>
      <c r="H900" s="2">
        <v>200</v>
      </c>
      <c r="I900" s="75">
        <f t="shared" si="63"/>
        <v>2253.9000000000015</v>
      </c>
      <c r="L900" s="2">
        <f t="shared" si="62"/>
        <v>25.8</v>
      </c>
    </row>
    <row r="901" spans="1:12" x14ac:dyDescent="0.3">
      <c r="A901" s="3">
        <v>44979</v>
      </c>
      <c r="B901" s="11" t="s">
        <v>1250</v>
      </c>
      <c r="C901" s="51" t="s">
        <v>3261</v>
      </c>
      <c r="D901" s="51"/>
      <c r="F901" s="11"/>
      <c r="H901" s="2">
        <v>1500</v>
      </c>
      <c r="I901" s="75">
        <f t="shared" si="63"/>
        <v>753.90000000000146</v>
      </c>
      <c r="L901" s="2">
        <f t="shared" si="62"/>
        <v>6</v>
      </c>
    </row>
    <row r="902" spans="1:12" x14ac:dyDescent="0.3">
      <c r="A902" s="3">
        <v>44979</v>
      </c>
      <c r="B902" s="11" t="s">
        <v>1160</v>
      </c>
      <c r="C902" s="51"/>
      <c r="D902" s="51"/>
      <c r="F902" s="11"/>
      <c r="G902" s="2">
        <v>1000</v>
      </c>
      <c r="I902" s="75">
        <f t="shared" si="63"/>
        <v>1753.9000000000015</v>
      </c>
      <c r="L902" s="2">
        <f t="shared" si="62"/>
        <v>4</v>
      </c>
    </row>
    <row r="903" spans="1:12" x14ac:dyDescent="0.3">
      <c r="A903" s="3">
        <v>44980</v>
      </c>
      <c r="B903" s="11" t="s">
        <v>1160</v>
      </c>
      <c r="C903" s="51" t="s">
        <v>3262</v>
      </c>
      <c r="D903" s="51"/>
      <c r="F903" s="11" t="s">
        <v>3264</v>
      </c>
      <c r="G903" s="2">
        <v>3000</v>
      </c>
      <c r="I903" s="75">
        <f t="shared" si="63"/>
        <v>4753.9000000000015</v>
      </c>
      <c r="L903" s="2">
        <f t="shared" si="62"/>
        <v>12</v>
      </c>
    </row>
    <row r="904" spans="1:12" x14ac:dyDescent="0.3">
      <c r="A904" s="3">
        <v>44980</v>
      </c>
      <c r="B904" s="11" t="s">
        <v>2346</v>
      </c>
      <c r="C904" s="51" t="s">
        <v>3263</v>
      </c>
      <c r="D904" s="51"/>
      <c r="F904" s="11" t="s">
        <v>3265</v>
      </c>
      <c r="H904" s="2">
        <v>3500</v>
      </c>
      <c r="I904" s="75">
        <f t="shared" si="63"/>
        <v>1253.9000000000015</v>
      </c>
      <c r="L904" s="2">
        <f t="shared" si="62"/>
        <v>14</v>
      </c>
    </row>
    <row r="905" spans="1:12" x14ac:dyDescent="0.3">
      <c r="A905" s="3">
        <v>44980</v>
      </c>
      <c r="B905" s="11" t="s">
        <v>1160</v>
      </c>
      <c r="C905" s="51" t="s">
        <v>3266</v>
      </c>
      <c r="D905" s="51" t="s">
        <v>3267</v>
      </c>
      <c r="F905" s="11"/>
      <c r="G905" s="2">
        <v>2000</v>
      </c>
      <c r="I905" s="75">
        <f t="shared" si="63"/>
        <v>3253.9000000000015</v>
      </c>
      <c r="L905" s="2">
        <f t="shared" si="62"/>
        <v>8</v>
      </c>
    </row>
    <row r="906" spans="1:12" x14ac:dyDescent="0.3">
      <c r="A906" s="3">
        <v>44980</v>
      </c>
      <c r="B906" s="11" t="s">
        <v>3031</v>
      </c>
      <c r="C906" s="51"/>
      <c r="D906" s="51"/>
      <c r="F906" s="11"/>
      <c r="G906" s="2">
        <v>6000</v>
      </c>
      <c r="I906" s="75">
        <f t="shared" si="63"/>
        <v>9253.9000000000015</v>
      </c>
      <c r="L906" s="2">
        <f t="shared" si="62"/>
        <v>20</v>
      </c>
    </row>
    <row r="907" spans="1:12" x14ac:dyDescent="0.3">
      <c r="A907" s="3">
        <v>44980</v>
      </c>
      <c r="B907" s="11" t="s">
        <v>2781</v>
      </c>
      <c r="C907" s="51" t="s">
        <v>3269</v>
      </c>
      <c r="D907" s="51"/>
      <c r="F907" s="11"/>
      <c r="H907" s="2">
        <v>6500</v>
      </c>
      <c r="I907" s="75">
        <f t="shared" si="63"/>
        <v>2753.9000000000015</v>
      </c>
      <c r="L907" s="2">
        <f t="shared" si="62"/>
        <v>20</v>
      </c>
    </row>
    <row r="908" spans="1:12" x14ac:dyDescent="0.3">
      <c r="A908" s="3">
        <v>44980</v>
      </c>
      <c r="B908" s="11" t="s">
        <v>3142</v>
      </c>
      <c r="C908" s="51" t="s">
        <v>3268</v>
      </c>
      <c r="D908" s="51"/>
      <c r="F908" s="11"/>
      <c r="G908" s="2">
        <v>2000</v>
      </c>
      <c r="I908" s="75">
        <f t="shared" si="63"/>
        <v>4753.9000000000015</v>
      </c>
      <c r="L908" s="2">
        <f t="shared" si="62"/>
        <v>8</v>
      </c>
    </row>
    <row r="909" spans="1:12" x14ac:dyDescent="0.3">
      <c r="A909" s="3">
        <v>44980</v>
      </c>
      <c r="B909" s="11" t="s">
        <v>3270</v>
      </c>
      <c r="C909" s="51" t="s">
        <v>1232</v>
      </c>
      <c r="D909" s="51"/>
      <c r="F909" s="11"/>
      <c r="H909" s="2">
        <v>1000</v>
      </c>
      <c r="I909" s="75">
        <f t="shared" si="63"/>
        <v>3753.9000000000015</v>
      </c>
      <c r="L909" s="2">
        <f t="shared" ref="L909:L923" si="64">IF((G909+H909)&lt;=5000,(H909+G909)*0.004,20)+IF(E909="Y",25,0)</f>
        <v>4</v>
      </c>
    </row>
    <row r="910" spans="1:12" x14ac:dyDescent="0.3">
      <c r="A910" s="3">
        <v>44981</v>
      </c>
      <c r="B910" s="11" t="s">
        <v>3274</v>
      </c>
      <c r="C910" s="51" t="s">
        <v>3273</v>
      </c>
      <c r="D910" s="51"/>
      <c r="E910" s="90" t="s">
        <v>16</v>
      </c>
      <c r="F910" s="11"/>
      <c r="H910" s="2">
        <v>200</v>
      </c>
      <c r="I910" s="75">
        <f t="shared" si="63"/>
        <v>3553.9000000000015</v>
      </c>
      <c r="L910" s="2">
        <f t="shared" si="64"/>
        <v>25.8</v>
      </c>
    </row>
    <row r="911" spans="1:12" x14ac:dyDescent="0.3">
      <c r="A911" s="3">
        <v>44981</v>
      </c>
      <c r="B911" s="11" t="s">
        <v>1160</v>
      </c>
      <c r="C911" s="51"/>
      <c r="D911" s="51"/>
      <c r="F911" s="11"/>
      <c r="G911" s="2">
        <v>5000</v>
      </c>
      <c r="I911" s="75">
        <f t="shared" si="63"/>
        <v>8553.9000000000015</v>
      </c>
      <c r="L911" s="2">
        <f t="shared" si="64"/>
        <v>20</v>
      </c>
    </row>
    <row r="912" spans="1:12" x14ac:dyDescent="0.3">
      <c r="A912" s="3">
        <v>44981</v>
      </c>
      <c r="B912" s="11" t="s">
        <v>3275</v>
      </c>
      <c r="C912" s="51" t="s">
        <v>3276</v>
      </c>
      <c r="D912" s="51"/>
      <c r="E912" s="90" t="s">
        <v>16</v>
      </c>
      <c r="F912" s="11"/>
      <c r="H912" s="2">
        <v>2000</v>
      </c>
      <c r="I912" s="75">
        <f t="shared" si="63"/>
        <v>6553.9000000000015</v>
      </c>
      <c r="L912" s="2">
        <f t="shared" si="64"/>
        <v>33</v>
      </c>
    </row>
    <row r="913" spans="1:14" x14ac:dyDescent="0.3">
      <c r="A913" s="3">
        <v>44981</v>
      </c>
      <c r="B913" s="11" t="s">
        <v>3277</v>
      </c>
      <c r="C913" s="51" t="s">
        <v>3278</v>
      </c>
      <c r="D913" s="51"/>
      <c r="E913" s="90" t="s">
        <v>16</v>
      </c>
      <c r="F913" s="11"/>
      <c r="H913" s="2">
        <v>100</v>
      </c>
      <c r="I913" s="75">
        <f t="shared" si="63"/>
        <v>6453.9000000000015</v>
      </c>
      <c r="L913" s="2">
        <f t="shared" si="64"/>
        <v>25.4</v>
      </c>
    </row>
    <row r="914" spans="1:14" x14ac:dyDescent="0.3">
      <c r="A914" s="3">
        <v>44981</v>
      </c>
      <c r="B914" s="11" t="s">
        <v>3287</v>
      </c>
      <c r="C914" s="51" t="s">
        <v>3288</v>
      </c>
      <c r="D914" s="51"/>
      <c r="F914" s="11"/>
      <c r="G914" s="2">
        <v>840</v>
      </c>
      <c r="I914" s="75">
        <f t="shared" si="63"/>
        <v>7293.9000000000015</v>
      </c>
      <c r="L914" s="2">
        <f t="shared" si="64"/>
        <v>3.36</v>
      </c>
    </row>
    <row r="915" spans="1:14" x14ac:dyDescent="0.3">
      <c r="A915" s="3">
        <v>44981</v>
      </c>
      <c r="B915" s="11" t="s">
        <v>2448</v>
      </c>
      <c r="C915" s="51" t="s">
        <v>2289</v>
      </c>
      <c r="D915" s="51"/>
      <c r="F915" s="11"/>
      <c r="H915" s="2">
        <v>7000</v>
      </c>
      <c r="I915" s="75">
        <f t="shared" si="63"/>
        <v>293.90000000000146</v>
      </c>
      <c r="L915" s="2">
        <f t="shared" si="64"/>
        <v>20</v>
      </c>
    </row>
    <row r="916" spans="1:14" x14ac:dyDescent="0.3">
      <c r="A916" s="3">
        <v>44982</v>
      </c>
      <c r="B916" s="11" t="s">
        <v>3289</v>
      </c>
      <c r="C916" s="51" t="s">
        <v>1518</v>
      </c>
      <c r="D916" s="51"/>
      <c r="F916" s="11"/>
      <c r="G916" s="2">
        <v>1000</v>
      </c>
      <c r="I916" s="75">
        <f t="shared" si="63"/>
        <v>1293.9000000000015</v>
      </c>
      <c r="L916" s="2">
        <f t="shared" si="64"/>
        <v>4</v>
      </c>
    </row>
    <row r="917" spans="1:14" x14ac:dyDescent="0.3">
      <c r="A917" s="3">
        <v>44982</v>
      </c>
      <c r="B917" s="11" t="s">
        <v>2351</v>
      </c>
      <c r="C917" s="51" t="s">
        <v>3246</v>
      </c>
      <c r="D917" s="51"/>
      <c r="F917" s="11"/>
      <c r="G917" s="2">
        <v>4000</v>
      </c>
      <c r="I917" s="75">
        <f t="shared" si="63"/>
        <v>5293.9000000000015</v>
      </c>
      <c r="L917" s="2">
        <f t="shared" si="64"/>
        <v>16</v>
      </c>
    </row>
    <row r="918" spans="1:14" x14ac:dyDescent="0.3">
      <c r="A918" s="3">
        <v>44982</v>
      </c>
      <c r="B918" s="11" t="s">
        <v>3290</v>
      </c>
      <c r="C918" s="51" t="s">
        <v>3255</v>
      </c>
      <c r="D918" s="51"/>
      <c r="F918" s="11"/>
      <c r="G918" s="2">
        <v>500</v>
      </c>
      <c r="I918" s="75">
        <f t="shared" si="63"/>
        <v>5793.9000000000015</v>
      </c>
      <c r="L918" s="2">
        <f t="shared" si="64"/>
        <v>2</v>
      </c>
    </row>
    <row r="919" spans="1:14" x14ac:dyDescent="0.3">
      <c r="A919" s="3">
        <v>44983</v>
      </c>
      <c r="B919" s="11" t="s">
        <v>3127</v>
      </c>
      <c r="C919" s="51" t="s">
        <v>3291</v>
      </c>
      <c r="D919" s="51"/>
      <c r="F919" s="11"/>
      <c r="H919" s="2">
        <v>3100</v>
      </c>
      <c r="I919" s="75">
        <f t="shared" si="63"/>
        <v>2693.9000000000015</v>
      </c>
      <c r="L919" s="2">
        <f t="shared" si="64"/>
        <v>12.4</v>
      </c>
    </row>
    <row r="920" spans="1:14" x14ac:dyDescent="0.3">
      <c r="A920" s="3">
        <v>44983</v>
      </c>
      <c r="B920" s="11" t="s">
        <v>1160</v>
      </c>
      <c r="C920" s="51" t="s">
        <v>3292</v>
      </c>
      <c r="D920" s="51" t="s">
        <v>3293</v>
      </c>
      <c r="F920" s="11"/>
      <c r="G920" s="2">
        <v>4000</v>
      </c>
      <c r="I920" s="75">
        <f t="shared" si="63"/>
        <v>6693.9000000000015</v>
      </c>
      <c r="L920" s="2">
        <f t="shared" si="64"/>
        <v>16</v>
      </c>
    </row>
    <row r="921" spans="1:14" x14ac:dyDescent="0.3">
      <c r="A921" s="3">
        <v>44983</v>
      </c>
      <c r="B921" s="11" t="s">
        <v>1160</v>
      </c>
      <c r="C921" s="51" t="s">
        <v>3173</v>
      </c>
      <c r="D921" s="51"/>
      <c r="F921" s="11"/>
      <c r="G921" s="2">
        <v>5000</v>
      </c>
      <c r="I921" s="75">
        <f t="shared" si="63"/>
        <v>11693.900000000001</v>
      </c>
      <c r="L921" s="2">
        <f t="shared" si="64"/>
        <v>20</v>
      </c>
    </row>
    <row r="922" spans="1:14" x14ac:dyDescent="0.3">
      <c r="A922" s="3">
        <v>44983</v>
      </c>
      <c r="B922" s="11" t="s">
        <v>1257</v>
      </c>
      <c r="C922" s="51" t="s">
        <v>2274</v>
      </c>
      <c r="D922" s="51"/>
      <c r="F922" s="11"/>
      <c r="H922" s="2">
        <v>5000</v>
      </c>
      <c r="I922" s="75">
        <f t="shared" si="63"/>
        <v>6693.9000000000015</v>
      </c>
      <c r="L922" s="2">
        <f t="shared" si="64"/>
        <v>20</v>
      </c>
    </row>
    <row r="923" spans="1:14" x14ac:dyDescent="0.3">
      <c r="A923" s="3">
        <v>44983</v>
      </c>
      <c r="B923" s="11" t="s">
        <v>1250</v>
      </c>
      <c r="C923" s="51" t="s">
        <v>3294</v>
      </c>
      <c r="D923" s="51"/>
      <c r="F923" s="11"/>
      <c r="H923" s="2">
        <v>5000</v>
      </c>
      <c r="I923" s="75">
        <f t="shared" si="63"/>
        <v>1693.9000000000015</v>
      </c>
      <c r="L923" s="2">
        <f t="shared" si="64"/>
        <v>20</v>
      </c>
    </row>
    <row r="924" spans="1:14" x14ac:dyDescent="0.3">
      <c r="A924" s="3">
        <v>44984</v>
      </c>
      <c r="B924" s="11" t="s">
        <v>3295</v>
      </c>
      <c r="C924" s="51" t="s">
        <v>3296</v>
      </c>
      <c r="D924" s="51"/>
      <c r="F924" s="11"/>
      <c r="G924" s="2">
        <v>1000</v>
      </c>
      <c r="I924" s="75">
        <f t="shared" si="63"/>
        <v>2693.9000000000015</v>
      </c>
    </row>
    <row r="925" spans="1:14" x14ac:dyDescent="0.3">
      <c r="A925" s="77"/>
      <c r="B925" s="80"/>
      <c r="C925" s="112"/>
      <c r="D925" s="112"/>
      <c r="E925" s="92">
        <f>COUNTIF(E845:E924,"y")</f>
        <v>7</v>
      </c>
      <c r="F925" s="77">
        <f>G925+H925</f>
        <v>231997</v>
      </c>
      <c r="G925" s="81">
        <f>SUM(G845:G924)</f>
        <v>111797</v>
      </c>
      <c r="H925" s="81">
        <f>SUM(H845:H924)</f>
        <v>120200</v>
      </c>
      <c r="I925" s="81"/>
      <c r="J925" s="77"/>
      <c r="K925" s="77"/>
      <c r="L925" s="81">
        <f>SUM(L845:L924)</f>
        <v>992.7879999999999</v>
      </c>
      <c r="M925" s="77"/>
      <c r="N925" s="77"/>
    </row>
    <row r="926" spans="1:14" x14ac:dyDescent="0.3">
      <c r="C926" s="51"/>
      <c r="D926" s="51"/>
      <c r="F926" s="11"/>
    </row>
    <row r="927" spans="1:14" x14ac:dyDescent="0.3">
      <c r="C927" s="51"/>
      <c r="D927" s="51"/>
      <c r="F927" s="11"/>
      <c r="I927" s="2">
        <v>2743.47</v>
      </c>
    </row>
    <row r="928" spans="1:14" x14ac:dyDescent="0.3">
      <c r="A928" s="3">
        <v>44986</v>
      </c>
      <c r="B928" s="11" t="s">
        <v>1160</v>
      </c>
      <c r="C928" s="51" t="s">
        <v>3299</v>
      </c>
      <c r="D928" s="51"/>
      <c r="F928" s="11"/>
      <c r="G928" s="2">
        <v>7000</v>
      </c>
      <c r="I928" s="2">
        <f t="shared" ref="I928:I1000" si="65">I927+G928-H928</f>
        <v>9743.4699999999993</v>
      </c>
      <c r="L928" s="2">
        <f t="shared" ref="L928:L959" si="66">IF((G928+H928)&lt;=5000,(H928+G928)*0.004,20)+IF(E928="Y",25,0)</f>
        <v>20</v>
      </c>
    </row>
    <row r="929" spans="1:12" x14ac:dyDescent="0.3">
      <c r="A929" s="3">
        <v>44986</v>
      </c>
      <c r="B929" s="11" t="s">
        <v>3127</v>
      </c>
      <c r="C929" s="50" t="s">
        <v>2849</v>
      </c>
      <c r="F929" s="11"/>
      <c r="H929" s="2">
        <v>3300</v>
      </c>
      <c r="I929" s="2">
        <f t="shared" si="65"/>
        <v>6443.4699999999993</v>
      </c>
      <c r="L929" s="2">
        <f t="shared" si="66"/>
        <v>13.200000000000001</v>
      </c>
    </row>
    <row r="930" spans="1:12" x14ac:dyDescent="0.3">
      <c r="A930" s="3">
        <v>44986</v>
      </c>
      <c r="B930" s="11" t="s">
        <v>2671</v>
      </c>
      <c r="C930" s="51" t="s">
        <v>2295</v>
      </c>
      <c r="D930" s="51"/>
      <c r="F930" s="11"/>
      <c r="G930" s="2">
        <v>1000</v>
      </c>
      <c r="I930" s="2">
        <f t="shared" si="65"/>
        <v>7443.4699999999993</v>
      </c>
      <c r="L930" s="2">
        <f t="shared" si="66"/>
        <v>4</v>
      </c>
    </row>
    <row r="931" spans="1:12" x14ac:dyDescent="0.3">
      <c r="A931" s="3">
        <v>44986</v>
      </c>
      <c r="B931" s="11" t="s">
        <v>3300</v>
      </c>
      <c r="C931" s="51"/>
      <c r="D931" s="51"/>
      <c r="E931" s="90" t="s">
        <v>16</v>
      </c>
      <c r="F931" s="11"/>
      <c r="H931" s="2">
        <v>100</v>
      </c>
      <c r="I931" s="2">
        <f t="shared" si="65"/>
        <v>7343.4699999999993</v>
      </c>
      <c r="L931" s="2">
        <f t="shared" si="66"/>
        <v>25.4</v>
      </c>
    </row>
    <row r="932" spans="1:12" x14ac:dyDescent="0.3">
      <c r="A932" s="3">
        <v>44986</v>
      </c>
      <c r="B932" s="11" t="s">
        <v>1160</v>
      </c>
      <c r="C932" s="51" t="s">
        <v>3301</v>
      </c>
      <c r="D932" s="51"/>
      <c r="F932" s="11"/>
      <c r="G932" s="2">
        <v>1500</v>
      </c>
      <c r="I932" s="2">
        <f t="shared" si="65"/>
        <v>8843.4699999999993</v>
      </c>
      <c r="L932" s="2">
        <f t="shared" si="66"/>
        <v>6</v>
      </c>
    </row>
    <row r="933" spans="1:12" x14ac:dyDescent="0.3">
      <c r="A933" s="3">
        <v>44986</v>
      </c>
      <c r="B933" s="11" t="s">
        <v>3302</v>
      </c>
      <c r="C933" s="51" t="s">
        <v>3303</v>
      </c>
      <c r="D933" s="51"/>
      <c r="E933" s="90" t="s">
        <v>16</v>
      </c>
      <c r="F933" s="11"/>
      <c r="H933" s="2">
        <v>100</v>
      </c>
      <c r="I933" s="2">
        <f t="shared" si="65"/>
        <v>8743.4699999999993</v>
      </c>
      <c r="L933" s="2">
        <f t="shared" si="66"/>
        <v>25.4</v>
      </c>
    </row>
    <row r="934" spans="1:12" x14ac:dyDescent="0.3">
      <c r="A934" s="3">
        <v>44986</v>
      </c>
      <c r="B934" s="11" t="s">
        <v>3306</v>
      </c>
      <c r="C934" s="51" t="s">
        <v>3307</v>
      </c>
      <c r="D934" s="51"/>
      <c r="F934" s="11"/>
      <c r="H934" s="2">
        <v>1800</v>
      </c>
      <c r="I934" s="2">
        <f t="shared" si="65"/>
        <v>6943.4699999999993</v>
      </c>
      <c r="L934" s="2">
        <f t="shared" si="66"/>
        <v>7.2</v>
      </c>
    </row>
    <row r="935" spans="1:12" x14ac:dyDescent="0.3">
      <c r="A935" s="3">
        <v>44986</v>
      </c>
      <c r="B935" s="11" t="s">
        <v>2457</v>
      </c>
      <c r="C935" s="51" t="s">
        <v>2551</v>
      </c>
      <c r="D935" s="51"/>
      <c r="F935" s="11"/>
      <c r="H935" s="2">
        <v>4800</v>
      </c>
      <c r="I935" s="2">
        <f t="shared" si="65"/>
        <v>2143.4699999999993</v>
      </c>
      <c r="L935" s="2">
        <f t="shared" si="66"/>
        <v>19.2</v>
      </c>
    </row>
    <row r="936" spans="1:12" x14ac:dyDescent="0.3">
      <c r="A936" s="3">
        <v>44987</v>
      </c>
      <c r="B936" s="11" t="s">
        <v>3316</v>
      </c>
      <c r="C936" s="51"/>
      <c r="D936" s="51"/>
      <c r="E936" s="90" t="s">
        <v>16</v>
      </c>
      <c r="F936" s="11"/>
      <c r="H936" s="2">
        <v>1000</v>
      </c>
      <c r="I936" s="2">
        <f t="shared" si="65"/>
        <v>1143.4699999999993</v>
      </c>
      <c r="L936" s="2">
        <f t="shared" si="66"/>
        <v>29</v>
      </c>
    </row>
    <row r="937" spans="1:12" x14ac:dyDescent="0.3">
      <c r="A937" s="3">
        <v>44987</v>
      </c>
      <c r="B937" s="11" t="s">
        <v>1160</v>
      </c>
      <c r="C937" s="51" t="s">
        <v>3317</v>
      </c>
      <c r="D937" s="51"/>
      <c r="F937" s="11"/>
      <c r="G937" s="2">
        <v>3000</v>
      </c>
      <c r="I937" s="2">
        <f t="shared" si="65"/>
        <v>4143.4699999999993</v>
      </c>
      <c r="L937" s="2">
        <f t="shared" si="66"/>
        <v>12</v>
      </c>
    </row>
    <row r="938" spans="1:12" x14ac:dyDescent="0.3">
      <c r="A938" s="3">
        <v>44987</v>
      </c>
      <c r="B938" s="11" t="s">
        <v>1472</v>
      </c>
      <c r="C938" s="51" t="s">
        <v>3320</v>
      </c>
      <c r="D938" s="51"/>
      <c r="F938" s="11"/>
      <c r="G938" s="2">
        <v>1300</v>
      </c>
      <c r="I938" s="2">
        <f t="shared" si="65"/>
        <v>5443.4699999999993</v>
      </c>
      <c r="L938" s="2">
        <f t="shared" si="66"/>
        <v>5.2</v>
      </c>
    </row>
    <row r="939" spans="1:12" x14ac:dyDescent="0.3">
      <c r="A939" s="3">
        <v>44987</v>
      </c>
      <c r="B939" s="11" t="s">
        <v>3127</v>
      </c>
      <c r="C939" s="51" t="s">
        <v>2849</v>
      </c>
      <c r="D939" s="51"/>
      <c r="F939" s="11"/>
      <c r="H939" s="2">
        <v>5000</v>
      </c>
      <c r="I939" s="2">
        <f t="shared" si="65"/>
        <v>443.46999999999935</v>
      </c>
      <c r="L939" s="2">
        <f t="shared" si="66"/>
        <v>20</v>
      </c>
    </row>
    <row r="940" spans="1:12" x14ac:dyDescent="0.3">
      <c r="A940" s="3">
        <v>44988</v>
      </c>
      <c r="B940" s="11" t="s">
        <v>1250</v>
      </c>
      <c r="C940" s="51" t="s">
        <v>2626</v>
      </c>
      <c r="D940" s="51"/>
      <c r="F940" s="11"/>
      <c r="G940" s="2">
        <v>9000</v>
      </c>
      <c r="I940" s="2">
        <f t="shared" si="65"/>
        <v>9443.4699999999993</v>
      </c>
      <c r="L940" s="2">
        <f t="shared" si="66"/>
        <v>20</v>
      </c>
    </row>
    <row r="941" spans="1:12" x14ac:dyDescent="0.3">
      <c r="A941" s="3">
        <v>44988</v>
      </c>
      <c r="B941" s="11" t="s">
        <v>1257</v>
      </c>
      <c r="C941" s="51" t="s">
        <v>2274</v>
      </c>
      <c r="D941" s="51"/>
      <c r="F941" s="11"/>
      <c r="H941" s="2">
        <v>6000</v>
      </c>
      <c r="I941" s="2">
        <f t="shared" si="65"/>
        <v>3443.4699999999993</v>
      </c>
      <c r="L941" s="2">
        <f t="shared" si="66"/>
        <v>20</v>
      </c>
    </row>
    <row r="942" spans="1:12" x14ac:dyDescent="0.3">
      <c r="A942" s="3">
        <v>44988</v>
      </c>
      <c r="B942" s="11" t="s">
        <v>1250</v>
      </c>
      <c r="C942" s="51" t="s">
        <v>1518</v>
      </c>
      <c r="D942" s="51"/>
      <c r="F942" s="11"/>
      <c r="G942" s="2">
        <v>1000</v>
      </c>
      <c r="I942" s="2">
        <f t="shared" si="65"/>
        <v>4443.4699999999993</v>
      </c>
      <c r="L942" s="2">
        <f t="shared" si="66"/>
        <v>4</v>
      </c>
    </row>
    <row r="943" spans="1:12" x14ac:dyDescent="0.3">
      <c r="A943" s="3">
        <v>44989</v>
      </c>
      <c r="B943" s="11" t="s">
        <v>1160</v>
      </c>
      <c r="C943" s="51" t="s">
        <v>2438</v>
      </c>
      <c r="D943" s="51"/>
      <c r="F943" s="11"/>
      <c r="G943" s="2">
        <v>6000</v>
      </c>
      <c r="I943" s="2">
        <f t="shared" si="65"/>
        <v>10443.469999999999</v>
      </c>
      <c r="L943" s="2">
        <f t="shared" si="66"/>
        <v>20</v>
      </c>
    </row>
    <row r="944" spans="1:12" x14ac:dyDescent="0.3">
      <c r="A944" s="3">
        <v>44989</v>
      </c>
      <c r="B944" s="11" t="s">
        <v>3326</v>
      </c>
      <c r="C944" s="51" t="s">
        <v>3323</v>
      </c>
      <c r="D944" s="51"/>
      <c r="E944" s="90" t="s">
        <v>16</v>
      </c>
      <c r="F944" s="11"/>
      <c r="H944" s="2">
        <v>100</v>
      </c>
      <c r="I944" s="2">
        <f t="shared" si="65"/>
        <v>10343.469999999999</v>
      </c>
      <c r="L944" s="2">
        <f t="shared" si="66"/>
        <v>25.4</v>
      </c>
    </row>
    <row r="945" spans="1:12" x14ac:dyDescent="0.3">
      <c r="A945" s="3">
        <v>44989</v>
      </c>
      <c r="B945" s="11" t="s">
        <v>2351</v>
      </c>
      <c r="C945" s="51" t="s">
        <v>3327</v>
      </c>
      <c r="D945" s="51"/>
      <c r="F945" s="11"/>
      <c r="G945" s="2">
        <v>200</v>
      </c>
      <c r="I945" s="2">
        <f t="shared" si="65"/>
        <v>10543.47</v>
      </c>
      <c r="L945" s="2">
        <f t="shared" si="66"/>
        <v>0.8</v>
      </c>
    </row>
    <row r="946" spans="1:12" x14ac:dyDescent="0.3">
      <c r="A946" s="3">
        <v>44990</v>
      </c>
      <c r="B946" s="11" t="s">
        <v>1472</v>
      </c>
      <c r="C946" s="51" t="s">
        <v>3328</v>
      </c>
      <c r="D946" s="51" t="s">
        <v>3329</v>
      </c>
      <c r="F946" s="11"/>
      <c r="G946" s="2">
        <v>4000</v>
      </c>
      <c r="I946" s="2">
        <f t="shared" si="65"/>
        <v>14543.47</v>
      </c>
      <c r="L946" s="2">
        <f t="shared" si="66"/>
        <v>16</v>
      </c>
    </row>
    <row r="947" spans="1:12" x14ac:dyDescent="0.3">
      <c r="A947" s="3">
        <v>44990</v>
      </c>
      <c r="B947" s="11" t="s">
        <v>3330</v>
      </c>
      <c r="C947" s="51" t="s">
        <v>2385</v>
      </c>
      <c r="D947" s="51"/>
      <c r="F947" s="11"/>
      <c r="H947" s="2">
        <v>10000</v>
      </c>
      <c r="I947" s="2">
        <f t="shared" si="65"/>
        <v>4543.4699999999993</v>
      </c>
      <c r="L947" s="2">
        <f t="shared" si="66"/>
        <v>20</v>
      </c>
    </row>
    <row r="948" spans="1:12" x14ac:dyDescent="0.3">
      <c r="A948" s="3">
        <v>44990</v>
      </c>
      <c r="B948" s="11" t="s">
        <v>2351</v>
      </c>
      <c r="C948" s="51" t="s">
        <v>3246</v>
      </c>
      <c r="D948" s="51" t="s">
        <v>3331</v>
      </c>
      <c r="F948" s="11"/>
      <c r="G948" s="2">
        <v>1000</v>
      </c>
      <c r="I948" s="2">
        <f t="shared" si="65"/>
        <v>5543.4699999999993</v>
      </c>
      <c r="L948" s="2">
        <f t="shared" si="66"/>
        <v>4</v>
      </c>
    </row>
    <row r="949" spans="1:12" x14ac:dyDescent="0.3">
      <c r="A949" s="3">
        <v>44991</v>
      </c>
      <c r="B949" s="11" t="s">
        <v>1472</v>
      </c>
      <c r="C949" s="51" t="s">
        <v>2488</v>
      </c>
      <c r="D949" s="51"/>
      <c r="F949" s="11"/>
      <c r="G949" s="2">
        <v>10000</v>
      </c>
      <c r="I949" s="2">
        <f t="shared" si="65"/>
        <v>15543.47</v>
      </c>
      <c r="L949" s="2">
        <f t="shared" si="66"/>
        <v>20</v>
      </c>
    </row>
    <row r="950" spans="1:12" x14ac:dyDescent="0.3">
      <c r="A950" s="3">
        <v>44991</v>
      </c>
      <c r="B950" s="11" t="s">
        <v>3330</v>
      </c>
      <c r="C950" s="51" t="s">
        <v>2385</v>
      </c>
      <c r="D950" s="51"/>
      <c r="F950" s="11"/>
      <c r="H950" s="2">
        <v>5000</v>
      </c>
      <c r="I950" s="2">
        <f t="shared" si="65"/>
        <v>10543.47</v>
      </c>
      <c r="L950" s="2">
        <f t="shared" si="66"/>
        <v>20</v>
      </c>
    </row>
    <row r="951" spans="1:12" x14ac:dyDescent="0.3">
      <c r="A951" s="3">
        <v>44991</v>
      </c>
      <c r="B951" s="11" t="s">
        <v>3332</v>
      </c>
      <c r="C951" s="51" t="s">
        <v>3333</v>
      </c>
      <c r="D951" s="51"/>
      <c r="F951" s="11"/>
      <c r="G951" s="2">
        <v>2000</v>
      </c>
      <c r="I951" s="2">
        <f t="shared" si="65"/>
        <v>12543.47</v>
      </c>
      <c r="L951" s="2">
        <f t="shared" si="66"/>
        <v>8</v>
      </c>
    </row>
    <row r="952" spans="1:12" x14ac:dyDescent="0.3">
      <c r="A952" s="3">
        <v>44991</v>
      </c>
      <c r="B952" s="11" t="s">
        <v>1160</v>
      </c>
      <c r="C952" s="51" t="s">
        <v>3334</v>
      </c>
      <c r="D952" s="51"/>
      <c r="F952" s="11"/>
      <c r="G952" s="2">
        <v>500</v>
      </c>
      <c r="I952" s="2">
        <f t="shared" si="65"/>
        <v>13043.47</v>
      </c>
      <c r="L952" s="2">
        <f t="shared" si="66"/>
        <v>2</v>
      </c>
    </row>
    <row r="953" spans="1:12" x14ac:dyDescent="0.3">
      <c r="A953" s="3">
        <v>44991</v>
      </c>
      <c r="B953" s="11" t="s">
        <v>2704</v>
      </c>
      <c r="C953" s="51" t="s">
        <v>913</v>
      </c>
      <c r="D953" s="51"/>
      <c r="F953" s="11"/>
      <c r="H953" s="2">
        <v>2000</v>
      </c>
      <c r="I953" s="2">
        <f t="shared" si="65"/>
        <v>11043.47</v>
      </c>
      <c r="L953" s="2">
        <f t="shared" si="66"/>
        <v>8</v>
      </c>
    </row>
    <row r="954" spans="1:12" x14ac:dyDescent="0.3">
      <c r="A954" s="3">
        <v>44991</v>
      </c>
      <c r="B954" s="11" t="s">
        <v>3335</v>
      </c>
      <c r="C954" s="51" t="s">
        <v>3336</v>
      </c>
      <c r="D954" s="51"/>
      <c r="F954" s="11"/>
      <c r="H954" s="2">
        <v>10000</v>
      </c>
      <c r="I954" s="2">
        <f t="shared" si="65"/>
        <v>1043.4699999999993</v>
      </c>
      <c r="L954" s="2">
        <f t="shared" si="66"/>
        <v>20</v>
      </c>
    </row>
    <row r="955" spans="1:12" x14ac:dyDescent="0.3">
      <c r="A955" s="3">
        <v>44991</v>
      </c>
      <c r="B955" s="11" t="s">
        <v>3358</v>
      </c>
      <c r="C955" s="51" t="s">
        <v>3341</v>
      </c>
      <c r="D955" s="51"/>
      <c r="E955" s="90" t="s">
        <v>16</v>
      </c>
      <c r="F955" s="11"/>
      <c r="H955" s="2">
        <v>200</v>
      </c>
      <c r="I955" s="2">
        <f t="shared" si="65"/>
        <v>843.46999999999935</v>
      </c>
      <c r="L955" s="2">
        <f t="shared" si="66"/>
        <v>25.8</v>
      </c>
    </row>
    <row r="956" spans="1:12" x14ac:dyDescent="0.3">
      <c r="A956" s="3">
        <v>44991</v>
      </c>
      <c r="B956" s="11" t="s">
        <v>1250</v>
      </c>
      <c r="C956" s="51" t="s">
        <v>3342</v>
      </c>
      <c r="D956" s="51"/>
      <c r="F956" s="11"/>
      <c r="G956" s="2">
        <v>4000</v>
      </c>
      <c r="I956" s="2">
        <f t="shared" si="65"/>
        <v>4843.4699999999993</v>
      </c>
      <c r="L956" s="2">
        <f t="shared" si="66"/>
        <v>16</v>
      </c>
    </row>
    <row r="957" spans="1:12" x14ac:dyDescent="0.3">
      <c r="A957" s="3">
        <v>44992</v>
      </c>
      <c r="B957" s="11" t="s">
        <v>2351</v>
      </c>
      <c r="C957" s="51" t="s">
        <v>2783</v>
      </c>
      <c r="D957" s="51" t="s">
        <v>3343</v>
      </c>
      <c r="F957" s="11"/>
      <c r="G957" s="2">
        <v>3000</v>
      </c>
      <c r="I957" s="2">
        <f t="shared" si="65"/>
        <v>7843.4699999999993</v>
      </c>
      <c r="L957" s="2">
        <f t="shared" si="66"/>
        <v>12</v>
      </c>
    </row>
    <row r="958" spans="1:12" x14ac:dyDescent="0.3">
      <c r="A958" s="3">
        <v>44992</v>
      </c>
      <c r="B958" s="11" t="s">
        <v>2351</v>
      </c>
      <c r="C958" s="51"/>
      <c r="D958" s="51"/>
      <c r="F958" s="11"/>
      <c r="G958" s="2">
        <v>3000</v>
      </c>
      <c r="I958" s="2">
        <f t="shared" si="65"/>
        <v>10843.47</v>
      </c>
      <c r="L958" s="2">
        <f t="shared" si="66"/>
        <v>12</v>
      </c>
    </row>
    <row r="959" spans="1:12" x14ac:dyDescent="0.3">
      <c r="A959" s="3">
        <v>44994</v>
      </c>
      <c r="B959" s="11" t="s">
        <v>3344</v>
      </c>
      <c r="C959" s="51" t="s">
        <v>3345</v>
      </c>
      <c r="D959" s="51"/>
      <c r="F959" s="11"/>
      <c r="H959" s="2">
        <v>4000</v>
      </c>
      <c r="I959" s="2">
        <f t="shared" si="65"/>
        <v>6843.4699999999993</v>
      </c>
      <c r="L959" s="2">
        <f t="shared" si="66"/>
        <v>16</v>
      </c>
    </row>
    <row r="960" spans="1:12" x14ac:dyDescent="0.3">
      <c r="A960" s="3">
        <v>44994</v>
      </c>
      <c r="B960" s="11" t="s">
        <v>3035</v>
      </c>
      <c r="C960" s="51" t="s">
        <v>3345</v>
      </c>
      <c r="D960" s="51"/>
      <c r="F960" s="11"/>
      <c r="H960" s="2">
        <f>3600-500-100-100</f>
        <v>2900</v>
      </c>
      <c r="I960" s="2">
        <f t="shared" si="65"/>
        <v>3943.4699999999993</v>
      </c>
      <c r="L960" s="2">
        <f t="shared" ref="L960:L988" si="67">IF((G960+H960)&lt;=5000,(H960+G960)*0.004,20)+IF(E960="Y",25,0)</f>
        <v>11.6</v>
      </c>
    </row>
    <row r="961" spans="1:12" x14ac:dyDescent="0.3">
      <c r="A961" s="3">
        <v>44994</v>
      </c>
      <c r="B961" s="11" t="s">
        <v>2271</v>
      </c>
      <c r="C961" s="51" t="s">
        <v>3346</v>
      </c>
      <c r="D961" s="51" t="s">
        <v>3347</v>
      </c>
      <c r="F961" s="11"/>
      <c r="G961" s="2">
        <v>700</v>
      </c>
      <c r="I961" s="2">
        <f t="shared" si="65"/>
        <v>4643.4699999999993</v>
      </c>
      <c r="L961" s="2">
        <f t="shared" si="67"/>
        <v>2.8000000000000003</v>
      </c>
    </row>
    <row r="962" spans="1:12" x14ac:dyDescent="0.3">
      <c r="A962" s="3">
        <v>44994</v>
      </c>
      <c r="B962" s="11" t="s">
        <v>2944</v>
      </c>
      <c r="C962" s="51" t="s">
        <v>3348</v>
      </c>
      <c r="D962" s="51" t="s">
        <v>3349</v>
      </c>
      <c r="F962" s="11"/>
      <c r="G962" s="2">
        <v>8000</v>
      </c>
      <c r="I962" s="2">
        <f t="shared" si="65"/>
        <v>12643.47</v>
      </c>
      <c r="L962" s="2">
        <f t="shared" si="67"/>
        <v>20</v>
      </c>
    </row>
    <row r="963" spans="1:12" x14ac:dyDescent="0.3">
      <c r="A963" s="3">
        <v>44994</v>
      </c>
      <c r="B963" s="11" t="s">
        <v>2781</v>
      </c>
      <c r="C963" s="51" t="s">
        <v>2891</v>
      </c>
      <c r="D963" s="51"/>
      <c r="F963" s="11"/>
      <c r="H963" s="2">
        <v>7500</v>
      </c>
      <c r="I963" s="2">
        <f t="shared" si="65"/>
        <v>5143.4699999999993</v>
      </c>
      <c r="L963" s="2">
        <f t="shared" si="67"/>
        <v>20</v>
      </c>
    </row>
    <row r="964" spans="1:12" x14ac:dyDescent="0.3">
      <c r="A964" s="3">
        <v>44994</v>
      </c>
      <c r="B964" s="11" t="s">
        <v>3108</v>
      </c>
      <c r="C964" s="51" t="s">
        <v>3101</v>
      </c>
      <c r="D964" s="51"/>
      <c r="F964" s="11"/>
      <c r="G964" s="2">
        <v>400</v>
      </c>
      <c r="I964" s="2">
        <f t="shared" si="65"/>
        <v>5543.4699999999993</v>
      </c>
      <c r="L964" s="2">
        <f t="shared" si="67"/>
        <v>1.6</v>
      </c>
    </row>
    <row r="965" spans="1:12" x14ac:dyDescent="0.3">
      <c r="A965" s="3">
        <v>44995</v>
      </c>
      <c r="C965" s="51"/>
      <c r="D965" s="51"/>
      <c r="F965" s="11"/>
      <c r="G965" s="2">
        <v>1000</v>
      </c>
      <c r="I965" s="2">
        <f t="shared" si="65"/>
        <v>6543.4699999999993</v>
      </c>
      <c r="L965" s="2">
        <f t="shared" si="67"/>
        <v>4</v>
      </c>
    </row>
    <row r="966" spans="1:12" x14ac:dyDescent="0.3">
      <c r="A966" s="3">
        <v>44995</v>
      </c>
      <c r="B966" s="11" t="s">
        <v>1257</v>
      </c>
      <c r="C966" s="51" t="s">
        <v>2289</v>
      </c>
      <c r="D966" s="51"/>
      <c r="F966" s="11"/>
      <c r="H966" s="2">
        <v>5000</v>
      </c>
      <c r="I966" s="2">
        <f t="shared" si="65"/>
        <v>1543.4699999999993</v>
      </c>
      <c r="L966" s="2">
        <f t="shared" si="67"/>
        <v>20</v>
      </c>
    </row>
    <row r="967" spans="1:12" x14ac:dyDescent="0.3">
      <c r="A967" s="3">
        <v>44995</v>
      </c>
      <c r="B967" s="11" t="s">
        <v>3351</v>
      </c>
      <c r="C967" s="51" t="s">
        <v>3352</v>
      </c>
      <c r="D967" s="51" t="s">
        <v>3353</v>
      </c>
      <c r="F967" s="11"/>
      <c r="G967" s="2">
        <v>1000</v>
      </c>
      <c r="I967" s="2">
        <f t="shared" si="65"/>
        <v>2543.4699999999993</v>
      </c>
      <c r="L967" s="2">
        <f t="shared" si="67"/>
        <v>4</v>
      </c>
    </row>
    <row r="968" spans="1:12" x14ac:dyDescent="0.3">
      <c r="A968" s="3">
        <v>44996</v>
      </c>
      <c r="B968" s="11" t="s">
        <v>2944</v>
      </c>
      <c r="C968" s="51" t="s">
        <v>2414</v>
      </c>
      <c r="D968" s="51"/>
      <c r="F968" s="11"/>
      <c r="G968" s="2">
        <v>2050</v>
      </c>
      <c r="I968" s="2">
        <f t="shared" si="65"/>
        <v>4593.4699999999993</v>
      </c>
      <c r="L968" s="2">
        <f t="shared" si="67"/>
        <v>8.1999999999999993</v>
      </c>
    </row>
    <row r="969" spans="1:12" x14ac:dyDescent="0.3">
      <c r="A969" s="3">
        <v>44996</v>
      </c>
      <c r="B969" s="11" t="s">
        <v>2241</v>
      </c>
      <c r="C969" s="51" t="s">
        <v>3355</v>
      </c>
      <c r="D969" s="51" t="s">
        <v>3356</v>
      </c>
      <c r="F969" s="11"/>
      <c r="G969" s="2">
        <v>300</v>
      </c>
      <c r="I969" s="2">
        <f t="shared" si="65"/>
        <v>4893.4699999999993</v>
      </c>
      <c r="L969" s="2">
        <f t="shared" si="67"/>
        <v>1.2</v>
      </c>
    </row>
    <row r="970" spans="1:12" x14ac:dyDescent="0.3">
      <c r="A970" s="3">
        <v>44996</v>
      </c>
      <c r="B970" s="11" t="s">
        <v>1160</v>
      </c>
      <c r="C970" s="51" t="s">
        <v>3357</v>
      </c>
      <c r="D970" s="51"/>
      <c r="F970" s="11"/>
      <c r="G970" s="2">
        <v>1000</v>
      </c>
      <c r="I970" s="2">
        <f t="shared" si="65"/>
        <v>5893.4699999999993</v>
      </c>
      <c r="L970" s="2">
        <f t="shared" si="67"/>
        <v>4</v>
      </c>
    </row>
    <row r="971" spans="1:12" x14ac:dyDescent="0.3">
      <c r="A971" s="3">
        <v>44996</v>
      </c>
      <c r="B971" s="11" t="s">
        <v>2337</v>
      </c>
      <c r="C971" s="51" t="s">
        <v>2626</v>
      </c>
      <c r="D971" s="51"/>
      <c r="F971" s="11"/>
      <c r="G971" s="2">
        <v>2000</v>
      </c>
      <c r="I971" s="2">
        <f t="shared" si="65"/>
        <v>7893.4699999999993</v>
      </c>
      <c r="L971" s="2">
        <f t="shared" si="67"/>
        <v>8</v>
      </c>
    </row>
    <row r="972" spans="1:12" x14ac:dyDescent="0.3">
      <c r="A972" s="3">
        <v>44997</v>
      </c>
      <c r="B972" s="11" t="s">
        <v>1160</v>
      </c>
      <c r="C972" s="51" t="s">
        <v>3359</v>
      </c>
      <c r="D972" s="51"/>
      <c r="F972" s="11"/>
      <c r="G972" s="2">
        <v>1000</v>
      </c>
      <c r="I972" s="2">
        <f t="shared" si="65"/>
        <v>8893.4699999999993</v>
      </c>
      <c r="L972" s="2">
        <f t="shared" si="67"/>
        <v>4</v>
      </c>
    </row>
    <row r="973" spans="1:12" x14ac:dyDescent="0.3">
      <c r="A973" s="3">
        <v>44997</v>
      </c>
      <c r="B973" s="11" t="s">
        <v>1160</v>
      </c>
      <c r="C973" s="51" t="s">
        <v>3360</v>
      </c>
      <c r="D973" s="51" t="s">
        <v>3361</v>
      </c>
      <c r="F973" s="11"/>
      <c r="G973" s="2">
        <v>2000</v>
      </c>
      <c r="I973" s="2">
        <f t="shared" si="65"/>
        <v>10893.47</v>
      </c>
      <c r="L973" s="2">
        <f t="shared" si="67"/>
        <v>8</v>
      </c>
    </row>
    <row r="974" spans="1:12" x14ac:dyDescent="0.3">
      <c r="A974" s="3">
        <v>44997</v>
      </c>
      <c r="B974" s="11" t="s">
        <v>2735</v>
      </c>
      <c r="C974" s="51" t="s">
        <v>1279</v>
      </c>
      <c r="D974" s="51"/>
      <c r="F974" s="11"/>
      <c r="H974" s="2">
        <v>7000</v>
      </c>
      <c r="I974" s="2">
        <f t="shared" si="65"/>
        <v>3893.4699999999993</v>
      </c>
      <c r="L974" s="2">
        <f t="shared" si="67"/>
        <v>20</v>
      </c>
    </row>
    <row r="975" spans="1:12" x14ac:dyDescent="0.3">
      <c r="A975" s="3">
        <v>44997</v>
      </c>
      <c r="B975" s="11" t="s">
        <v>2351</v>
      </c>
      <c r="C975" s="51" t="s">
        <v>3246</v>
      </c>
      <c r="D975" s="51" t="s">
        <v>3331</v>
      </c>
      <c r="F975" s="11"/>
      <c r="G975" s="2">
        <v>5000</v>
      </c>
      <c r="I975" s="2">
        <f t="shared" si="65"/>
        <v>8893.4699999999993</v>
      </c>
      <c r="L975" s="2">
        <f t="shared" si="67"/>
        <v>20</v>
      </c>
    </row>
    <row r="976" spans="1:12" x14ac:dyDescent="0.3">
      <c r="A976" s="3">
        <v>44997</v>
      </c>
      <c r="B976" s="11" t="s">
        <v>1160</v>
      </c>
      <c r="C976" s="51" t="s">
        <v>3362</v>
      </c>
      <c r="D976" s="51"/>
      <c r="F976" s="11"/>
      <c r="G976" s="2">
        <v>1000</v>
      </c>
      <c r="I976" s="2">
        <f t="shared" si="65"/>
        <v>9893.4699999999993</v>
      </c>
      <c r="L976" s="2">
        <f t="shared" si="67"/>
        <v>4</v>
      </c>
    </row>
    <row r="977" spans="1:12" x14ac:dyDescent="0.3">
      <c r="A977" s="3">
        <v>44998</v>
      </c>
      <c r="B977" s="11" t="s">
        <v>1250</v>
      </c>
      <c r="C977" s="51"/>
      <c r="D977" s="51"/>
      <c r="F977" s="11"/>
      <c r="G977" s="2">
        <v>4000</v>
      </c>
      <c r="I977" s="2">
        <f t="shared" si="65"/>
        <v>13893.47</v>
      </c>
      <c r="L977" s="2">
        <f t="shared" si="67"/>
        <v>16</v>
      </c>
    </row>
    <row r="978" spans="1:12" x14ac:dyDescent="0.3">
      <c r="A978" s="3">
        <v>44998</v>
      </c>
      <c r="B978" s="11" t="s">
        <v>3363</v>
      </c>
      <c r="C978" s="51" t="s">
        <v>3364</v>
      </c>
      <c r="D978" s="51"/>
      <c r="F978" s="11"/>
      <c r="H978" s="2">
        <v>4000</v>
      </c>
      <c r="I978" s="2">
        <f t="shared" si="65"/>
        <v>9893.4699999999993</v>
      </c>
      <c r="L978" s="2">
        <f t="shared" si="67"/>
        <v>16</v>
      </c>
    </row>
    <row r="979" spans="1:12" x14ac:dyDescent="0.3">
      <c r="A979" s="3">
        <v>44998</v>
      </c>
      <c r="B979" s="11" t="s">
        <v>1472</v>
      </c>
      <c r="C979" s="51" t="s">
        <v>3320</v>
      </c>
      <c r="D979" s="51"/>
      <c r="F979" s="11"/>
      <c r="G979" s="2">
        <v>700</v>
      </c>
      <c r="I979" s="2">
        <f t="shared" si="65"/>
        <v>10593.47</v>
      </c>
      <c r="L979" s="2">
        <f t="shared" si="67"/>
        <v>2.8000000000000003</v>
      </c>
    </row>
    <row r="980" spans="1:12" x14ac:dyDescent="0.3">
      <c r="A980" s="3">
        <v>44998</v>
      </c>
      <c r="B980" s="11" t="s">
        <v>1160</v>
      </c>
      <c r="C980" s="51" t="s">
        <v>3365</v>
      </c>
      <c r="D980" s="51" t="s">
        <v>3366</v>
      </c>
      <c r="F980" s="11"/>
      <c r="G980" s="2">
        <v>5000</v>
      </c>
      <c r="I980" s="2">
        <f t="shared" si="65"/>
        <v>15593.47</v>
      </c>
      <c r="L980" s="2">
        <f t="shared" si="67"/>
        <v>20</v>
      </c>
    </row>
    <row r="981" spans="1:12" x14ac:dyDescent="0.3">
      <c r="A981" s="3">
        <v>44998</v>
      </c>
      <c r="B981" s="11" t="s">
        <v>2735</v>
      </c>
      <c r="C981" s="51" t="s">
        <v>1279</v>
      </c>
      <c r="D981" s="51"/>
      <c r="F981" s="11"/>
      <c r="H981" s="2">
        <v>10000</v>
      </c>
      <c r="I981" s="2">
        <f t="shared" si="65"/>
        <v>5593.4699999999993</v>
      </c>
      <c r="L981" s="2">
        <f t="shared" si="67"/>
        <v>20</v>
      </c>
    </row>
    <row r="982" spans="1:12" x14ac:dyDescent="0.3">
      <c r="A982" s="3">
        <v>44998</v>
      </c>
      <c r="B982" s="11" t="s">
        <v>1250</v>
      </c>
      <c r="C982" s="51" t="s">
        <v>3268</v>
      </c>
      <c r="D982" s="51"/>
      <c r="F982" s="11"/>
      <c r="G982" s="2">
        <v>2000</v>
      </c>
      <c r="I982" s="2">
        <f t="shared" si="65"/>
        <v>7593.4699999999993</v>
      </c>
      <c r="L982" s="2">
        <f t="shared" si="67"/>
        <v>8</v>
      </c>
    </row>
    <row r="983" spans="1:12" x14ac:dyDescent="0.3">
      <c r="A983" s="3">
        <v>44998</v>
      </c>
      <c r="B983" s="11" t="s">
        <v>3367</v>
      </c>
      <c r="C983" s="51" t="s">
        <v>3368</v>
      </c>
      <c r="D983" s="51"/>
      <c r="F983" s="11"/>
      <c r="G983" s="2">
        <v>2000</v>
      </c>
      <c r="I983" s="2">
        <f t="shared" si="65"/>
        <v>9593.4699999999993</v>
      </c>
      <c r="L983" s="2">
        <f t="shared" si="67"/>
        <v>8</v>
      </c>
    </row>
    <row r="984" spans="1:12" x14ac:dyDescent="0.3">
      <c r="A984" s="3">
        <v>44999</v>
      </c>
      <c r="B984" s="11" t="s">
        <v>1250</v>
      </c>
      <c r="C984" s="51" t="s">
        <v>3252</v>
      </c>
      <c r="D984" s="51"/>
      <c r="F984" s="11"/>
      <c r="G984" s="2">
        <v>8100</v>
      </c>
      <c r="I984" s="2">
        <f t="shared" si="65"/>
        <v>17693.47</v>
      </c>
      <c r="L984" s="2">
        <f t="shared" si="67"/>
        <v>20</v>
      </c>
    </row>
    <row r="985" spans="1:12" x14ac:dyDescent="0.3">
      <c r="A985" s="3">
        <v>44999</v>
      </c>
      <c r="B985" s="11" t="s">
        <v>2735</v>
      </c>
      <c r="C985" s="51" t="s">
        <v>1279</v>
      </c>
      <c r="D985" s="51"/>
      <c r="F985" s="11"/>
      <c r="H985" s="2">
        <v>10000</v>
      </c>
      <c r="I985" s="2">
        <f t="shared" si="65"/>
        <v>7693.4700000000012</v>
      </c>
      <c r="L985" s="2">
        <f t="shared" si="67"/>
        <v>20</v>
      </c>
    </row>
    <row r="986" spans="1:12" x14ac:dyDescent="0.3">
      <c r="A986" s="3">
        <v>44999</v>
      </c>
      <c r="B986" s="11" t="s">
        <v>3369</v>
      </c>
      <c r="C986" s="51" t="s">
        <v>3370</v>
      </c>
      <c r="D986" s="51"/>
      <c r="F986" s="11"/>
      <c r="G986" s="2">
        <v>2000</v>
      </c>
      <c r="I986" s="2">
        <f t="shared" si="65"/>
        <v>9693.4700000000012</v>
      </c>
      <c r="L986" s="2">
        <f t="shared" si="67"/>
        <v>8</v>
      </c>
    </row>
    <row r="987" spans="1:12" x14ac:dyDescent="0.3">
      <c r="A987" s="3">
        <v>44999</v>
      </c>
      <c r="B987" s="11" t="s">
        <v>1160</v>
      </c>
      <c r="C987" s="51" t="s">
        <v>3371</v>
      </c>
      <c r="D987" s="51"/>
      <c r="F987" s="11"/>
      <c r="G987" s="2">
        <v>1000</v>
      </c>
      <c r="I987" s="2">
        <f t="shared" si="65"/>
        <v>10693.470000000001</v>
      </c>
      <c r="L987" s="2">
        <f t="shared" si="67"/>
        <v>4</v>
      </c>
    </row>
    <row r="988" spans="1:12" x14ac:dyDescent="0.3">
      <c r="A988" s="3">
        <v>44999</v>
      </c>
      <c r="B988" s="11" t="s">
        <v>2169</v>
      </c>
      <c r="C988" s="51" t="s">
        <v>2166</v>
      </c>
      <c r="D988" s="51"/>
      <c r="F988" s="11"/>
      <c r="H988" s="2">
        <v>500</v>
      </c>
      <c r="I988" s="2">
        <f t="shared" si="65"/>
        <v>10193.470000000001</v>
      </c>
      <c r="L988" s="2">
        <f t="shared" si="67"/>
        <v>2</v>
      </c>
    </row>
    <row r="989" spans="1:12" x14ac:dyDescent="0.3">
      <c r="A989" s="3"/>
      <c r="C989" s="51" t="s">
        <v>3398</v>
      </c>
      <c r="D989" s="51"/>
      <c r="F989" s="11"/>
      <c r="G989" s="2">
        <v>677.28</v>
      </c>
      <c r="I989" s="2">
        <f t="shared" si="65"/>
        <v>10870.750000000002</v>
      </c>
    </row>
    <row r="990" spans="1:12" x14ac:dyDescent="0.3">
      <c r="A990" s="3">
        <v>45000</v>
      </c>
      <c r="B990" s="11" t="s">
        <v>3372</v>
      </c>
      <c r="C990" s="65" t="s">
        <v>3373</v>
      </c>
      <c r="D990" s="51"/>
      <c r="E990" s="90" t="s">
        <v>16</v>
      </c>
      <c r="F990" s="11"/>
      <c r="H990" s="2">
        <v>2000</v>
      </c>
      <c r="I990" s="2">
        <f t="shared" si="65"/>
        <v>8870.7500000000018</v>
      </c>
      <c r="L990" s="2">
        <f t="shared" ref="L990:L1021" si="68">IF((G990+H990)&lt;=5000,(H990+G990)*0.004,20)+IF(E990="Y",25,0)</f>
        <v>33</v>
      </c>
    </row>
    <row r="991" spans="1:12" x14ac:dyDescent="0.3">
      <c r="A991" s="3">
        <v>45000</v>
      </c>
      <c r="B991" s="11" t="s">
        <v>3377</v>
      </c>
      <c r="C991" s="51" t="s">
        <v>3378</v>
      </c>
      <c r="D991" s="51"/>
      <c r="E991" s="90" t="s">
        <v>16</v>
      </c>
      <c r="F991" s="11"/>
      <c r="H991" s="2">
        <v>300</v>
      </c>
      <c r="I991" s="2">
        <f t="shared" si="65"/>
        <v>8570.7500000000018</v>
      </c>
      <c r="L991" s="2">
        <f t="shared" si="68"/>
        <v>26.2</v>
      </c>
    </row>
    <row r="992" spans="1:12" x14ac:dyDescent="0.3">
      <c r="A992" s="3">
        <v>45000</v>
      </c>
      <c r="B992" s="11" t="s">
        <v>2735</v>
      </c>
      <c r="C992" s="51" t="s">
        <v>1279</v>
      </c>
      <c r="D992" s="51"/>
      <c r="F992" s="11"/>
      <c r="H992" s="2">
        <v>6000</v>
      </c>
      <c r="I992" s="2">
        <f t="shared" si="65"/>
        <v>2570.7500000000018</v>
      </c>
      <c r="L992" s="2">
        <f t="shared" si="68"/>
        <v>20</v>
      </c>
    </row>
    <row r="993" spans="1:12" x14ac:dyDescent="0.3">
      <c r="A993" s="3">
        <v>45000</v>
      </c>
      <c r="B993" s="11" t="s">
        <v>1160</v>
      </c>
      <c r="C993" s="51" t="s">
        <v>3379</v>
      </c>
      <c r="D993" s="51" t="s">
        <v>3380</v>
      </c>
      <c r="F993" s="11"/>
      <c r="G993" s="2">
        <v>4000</v>
      </c>
      <c r="I993" s="2">
        <f t="shared" si="65"/>
        <v>6570.7500000000018</v>
      </c>
      <c r="L993" s="2">
        <f t="shared" si="68"/>
        <v>16</v>
      </c>
    </row>
    <row r="994" spans="1:12" x14ac:dyDescent="0.3">
      <c r="A994" s="3">
        <v>45001</v>
      </c>
      <c r="B994" s="11" t="s">
        <v>1257</v>
      </c>
      <c r="C994" s="51" t="s">
        <v>2274</v>
      </c>
      <c r="D994" s="51"/>
      <c r="F994" s="11"/>
      <c r="H994" s="2">
        <v>5000</v>
      </c>
      <c r="I994" s="2">
        <f t="shared" si="65"/>
        <v>1570.7500000000018</v>
      </c>
      <c r="L994" s="2">
        <f t="shared" si="68"/>
        <v>20</v>
      </c>
    </row>
    <row r="995" spans="1:12" x14ac:dyDescent="0.3">
      <c r="A995" s="3">
        <v>45002</v>
      </c>
      <c r="B995" s="11" t="s">
        <v>2864</v>
      </c>
      <c r="C995" s="51" t="s">
        <v>3384</v>
      </c>
      <c r="D995" s="51"/>
      <c r="F995" s="11"/>
      <c r="G995" s="2">
        <v>1000</v>
      </c>
      <c r="I995" s="2">
        <f t="shared" si="65"/>
        <v>2570.7500000000018</v>
      </c>
      <c r="L995" s="2">
        <f t="shared" si="68"/>
        <v>4</v>
      </c>
    </row>
    <row r="996" spans="1:12" x14ac:dyDescent="0.3">
      <c r="A996" s="3">
        <v>45002</v>
      </c>
      <c r="B996" s="11" t="s">
        <v>2300</v>
      </c>
      <c r="C996" s="51" t="s">
        <v>2299</v>
      </c>
      <c r="D996" s="51"/>
      <c r="F996" s="11"/>
      <c r="H996" s="2">
        <v>1000</v>
      </c>
      <c r="I996" s="2">
        <f t="shared" si="65"/>
        <v>1570.7500000000018</v>
      </c>
      <c r="L996" s="2">
        <f t="shared" si="68"/>
        <v>4</v>
      </c>
    </row>
    <row r="997" spans="1:12" x14ac:dyDescent="0.3">
      <c r="A997" s="3">
        <v>45002</v>
      </c>
      <c r="B997" s="11" t="s">
        <v>1472</v>
      </c>
      <c r="C997" s="51" t="s">
        <v>3385</v>
      </c>
      <c r="D997" s="51"/>
      <c r="F997" s="11"/>
      <c r="G997" s="2">
        <v>5000</v>
      </c>
      <c r="I997" s="2">
        <f t="shared" si="65"/>
        <v>6570.7500000000018</v>
      </c>
      <c r="L997" s="2">
        <f t="shared" si="68"/>
        <v>20</v>
      </c>
    </row>
    <row r="998" spans="1:12" x14ac:dyDescent="0.3">
      <c r="A998" s="3">
        <v>45002</v>
      </c>
      <c r="B998" s="11" t="s">
        <v>1472</v>
      </c>
      <c r="C998" s="51" t="s">
        <v>3386</v>
      </c>
      <c r="D998" s="51"/>
      <c r="F998" s="11"/>
      <c r="G998" s="2">
        <v>900</v>
      </c>
      <c r="I998" s="2">
        <f t="shared" si="65"/>
        <v>7470.7500000000018</v>
      </c>
      <c r="L998" s="2">
        <f t="shared" si="68"/>
        <v>3.6</v>
      </c>
    </row>
    <row r="999" spans="1:12" x14ac:dyDescent="0.3">
      <c r="A999" s="3">
        <v>45003</v>
      </c>
      <c r="B999" s="11" t="s">
        <v>3387</v>
      </c>
      <c r="C999" s="51" t="s">
        <v>3388</v>
      </c>
      <c r="D999" s="51"/>
      <c r="F999" s="11"/>
      <c r="G999" s="2">
        <v>3050</v>
      </c>
      <c r="I999" s="2">
        <f t="shared" si="65"/>
        <v>10520.750000000002</v>
      </c>
      <c r="L999" s="2">
        <f t="shared" si="68"/>
        <v>12.200000000000001</v>
      </c>
    </row>
    <row r="1000" spans="1:12" x14ac:dyDescent="0.3">
      <c r="A1000" s="3">
        <v>45003</v>
      </c>
      <c r="B1000" s="11" t="s">
        <v>3389</v>
      </c>
      <c r="C1000" s="51" t="s">
        <v>3390</v>
      </c>
      <c r="D1000" s="51"/>
      <c r="E1000" s="90" t="s">
        <v>16</v>
      </c>
      <c r="F1000" s="11"/>
      <c r="H1000" s="2">
        <v>2000</v>
      </c>
      <c r="I1000" s="2">
        <f t="shared" si="65"/>
        <v>8520.7500000000018</v>
      </c>
      <c r="L1000" s="2">
        <f t="shared" si="68"/>
        <v>33</v>
      </c>
    </row>
    <row r="1001" spans="1:12" x14ac:dyDescent="0.3">
      <c r="A1001" s="3">
        <v>45005</v>
      </c>
      <c r="B1001" s="11" t="s">
        <v>2232</v>
      </c>
      <c r="C1001" s="51" t="s">
        <v>2635</v>
      </c>
      <c r="D1001" s="51"/>
      <c r="F1001" s="11"/>
      <c r="G1001" s="2">
        <v>3500</v>
      </c>
      <c r="I1001" s="2">
        <f t="shared" ref="I1001:I1039" si="69">I1000+G1001-H1001</f>
        <v>12020.750000000002</v>
      </c>
      <c r="L1001" s="2">
        <f t="shared" si="68"/>
        <v>14</v>
      </c>
    </row>
    <row r="1002" spans="1:12" x14ac:dyDescent="0.3">
      <c r="A1002" s="3">
        <v>45005</v>
      </c>
      <c r="B1002" s="11" t="s">
        <v>1250</v>
      </c>
      <c r="C1002" s="51" t="s">
        <v>3393</v>
      </c>
      <c r="D1002" s="51"/>
      <c r="F1002" s="11"/>
      <c r="G1002" s="2">
        <v>800</v>
      </c>
      <c r="I1002" s="2">
        <f t="shared" si="69"/>
        <v>12820.750000000002</v>
      </c>
      <c r="L1002" s="2">
        <f t="shared" si="68"/>
        <v>3.2</v>
      </c>
    </row>
    <row r="1003" spans="1:12" x14ac:dyDescent="0.3">
      <c r="A1003" s="3">
        <v>45005</v>
      </c>
      <c r="B1003" s="11" t="s">
        <v>2735</v>
      </c>
      <c r="C1003" s="51" t="s">
        <v>1279</v>
      </c>
      <c r="D1003" s="51"/>
      <c r="F1003" s="11"/>
      <c r="H1003" s="2">
        <v>10000</v>
      </c>
      <c r="I1003" s="2">
        <f t="shared" si="69"/>
        <v>2820.7500000000018</v>
      </c>
      <c r="L1003" s="2">
        <f t="shared" si="68"/>
        <v>20</v>
      </c>
    </row>
    <row r="1004" spans="1:12" x14ac:dyDescent="0.3">
      <c r="A1004" s="3">
        <v>45006</v>
      </c>
      <c r="B1004" s="11" t="s">
        <v>3039</v>
      </c>
      <c r="C1004" s="51" t="s">
        <v>3394</v>
      </c>
      <c r="D1004" s="51" t="s">
        <v>3395</v>
      </c>
      <c r="F1004" s="11"/>
      <c r="G1004" s="2">
        <v>550</v>
      </c>
      <c r="I1004" s="2">
        <f t="shared" si="69"/>
        <v>3370.7500000000018</v>
      </c>
      <c r="L1004" s="2">
        <f t="shared" si="68"/>
        <v>2.2000000000000002</v>
      </c>
    </row>
    <row r="1005" spans="1:12" x14ac:dyDescent="0.3">
      <c r="A1005" s="3">
        <v>45006</v>
      </c>
      <c r="B1005" s="11" t="s">
        <v>3396</v>
      </c>
      <c r="C1005" s="51" t="s">
        <v>3397</v>
      </c>
      <c r="D1005" s="51"/>
      <c r="F1005" s="11"/>
      <c r="G1005" s="2">
        <v>500</v>
      </c>
      <c r="I1005" s="2">
        <f t="shared" si="69"/>
        <v>3870.7500000000018</v>
      </c>
      <c r="L1005" s="2">
        <f t="shared" si="68"/>
        <v>2</v>
      </c>
    </row>
    <row r="1006" spans="1:12" x14ac:dyDescent="0.3">
      <c r="A1006" s="3">
        <v>45006</v>
      </c>
      <c r="B1006" s="11" t="s">
        <v>1160</v>
      </c>
      <c r="C1006" s="51" t="s">
        <v>3030</v>
      </c>
      <c r="D1006" s="51"/>
      <c r="F1006" s="11"/>
      <c r="G1006" s="2">
        <v>500</v>
      </c>
      <c r="I1006" s="2">
        <f t="shared" si="69"/>
        <v>4370.7500000000018</v>
      </c>
      <c r="L1006" s="2">
        <f t="shared" si="68"/>
        <v>2</v>
      </c>
    </row>
    <row r="1007" spans="1:12" x14ac:dyDescent="0.3">
      <c r="A1007" s="3">
        <v>45006</v>
      </c>
      <c r="B1007" s="11" t="s">
        <v>1250</v>
      </c>
      <c r="C1007" s="51" t="s">
        <v>2890</v>
      </c>
      <c r="D1007" s="51"/>
      <c r="F1007" s="11"/>
      <c r="G1007" s="2">
        <v>3000</v>
      </c>
      <c r="I1007" s="2">
        <f t="shared" si="69"/>
        <v>7370.7500000000018</v>
      </c>
      <c r="L1007" s="2">
        <f t="shared" si="68"/>
        <v>12</v>
      </c>
    </row>
    <row r="1008" spans="1:12" x14ac:dyDescent="0.3">
      <c r="A1008" s="3">
        <v>45006</v>
      </c>
      <c r="B1008" s="11" t="s">
        <v>1257</v>
      </c>
      <c r="C1008" s="51" t="s">
        <v>2274</v>
      </c>
      <c r="D1008" s="51"/>
      <c r="F1008" s="11"/>
      <c r="H1008" s="2">
        <v>5000</v>
      </c>
      <c r="I1008" s="2">
        <f t="shared" si="69"/>
        <v>2370.7500000000018</v>
      </c>
      <c r="L1008" s="2">
        <f t="shared" si="68"/>
        <v>20</v>
      </c>
    </row>
    <row r="1009" spans="1:12" x14ac:dyDescent="0.3">
      <c r="A1009" s="3">
        <v>45007</v>
      </c>
      <c r="B1009" s="11" t="s">
        <v>3399</v>
      </c>
      <c r="C1009" s="51" t="s">
        <v>3400</v>
      </c>
      <c r="D1009" s="51"/>
      <c r="E1009" s="90" t="s">
        <v>16</v>
      </c>
      <c r="F1009" s="11"/>
      <c r="H1009" s="2">
        <v>100</v>
      </c>
      <c r="I1009" s="2">
        <f t="shared" si="69"/>
        <v>2270.7500000000018</v>
      </c>
      <c r="L1009" s="2">
        <f t="shared" si="68"/>
        <v>25.4</v>
      </c>
    </row>
    <row r="1010" spans="1:12" x14ac:dyDescent="0.3">
      <c r="A1010" s="3">
        <v>45008</v>
      </c>
      <c r="B1010" s="11" t="s">
        <v>2619</v>
      </c>
      <c r="C1010" s="51" t="s">
        <v>3401</v>
      </c>
      <c r="D1010" s="51"/>
      <c r="F1010" s="11"/>
      <c r="G1010" s="2">
        <v>2000</v>
      </c>
      <c r="I1010" s="2">
        <f t="shared" si="69"/>
        <v>4270.7500000000018</v>
      </c>
      <c r="L1010" s="2">
        <f t="shared" si="68"/>
        <v>8</v>
      </c>
    </row>
    <row r="1011" spans="1:12" x14ac:dyDescent="0.3">
      <c r="A1011" s="3">
        <v>45008</v>
      </c>
      <c r="B1011" s="11" t="s">
        <v>3402</v>
      </c>
      <c r="C1011" s="51" t="s">
        <v>3246</v>
      </c>
      <c r="D1011" s="51"/>
      <c r="F1011" s="11"/>
      <c r="G1011" s="2">
        <v>1000</v>
      </c>
      <c r="I1011" s="2">
        <f t="shared" si="69"/>
        <v>5270.7500000000018</v>
      </c>
      <c r="L1011" s="2">
        <f t="shared" si="68"/>
        <v>4</v>
      </c>
    </row>
    <row r="1012" spans="1:12" x14ac:dyDescent="0.3">
      <c r="A1012" s="3">
        <v>45008</v>
      </c>
      <c r="B1012" s="11" t="s">
        <v>3142</v>
      </c>
      <c r="C1012" s="51" t="s">
        <v>3268</v>
      </c>
      <c r="D1012" s="51"/>
      <c r="F1012" s="11"/>
      <c r="G1012" s="2">
        <v>1000</v>
      </c>
      <c r="I1012" s="2">
        <f t="shared" si="69"/>
        <v>6270.7500000000018</v>
      </c>
      <c r="L1012" s="2">
        <f t="shared" si="68"/>
        <v>4</v>
      </c>
    </row>
    <row r="1013" spans="1:12" x14ac:dyDescent="0.3">
      <c r="A1013" s="3">
        <v>45008</v>
      </c>
      <c r="B1013" s="11" t="s">
        <v>3407</v>
      </c>
      <c r="C1013" s="51"/>
      <c r="D1013" s="51"/>
      <c r="E1013" s="90" t="s">
        <v>16</v>
      </c>
      <c r="F1013" s="11" t="s">
        <v>3408</v>
      </c>
      <c r="H1013" s="2">
        <v>100</v>
      </c>
      <c r="I1013" s="2">
        <f t="shared" si="69"/>
        <v>6170.7500000000018</v>
      </c>
      <c r="L1013" s="2">
        <f t="shared" si="68"/>
        <v>25.4</v>
      </c>
    </row>
    <row r="1014" spans="1:12" x14ac:dyDescent="0.3">
      <c r="A1014" s="3">
        <v>45008</v>
      </c>
      <c r="B1014" s="11" t="s">
        <v>3409</v>
      </c>
      <c r="C1014" s="51"/>
      <c r="D1014" s="51"/>
      <c r="F1014" s="11"/>
      <c r="G1014" s="2">
        <v>800</v>
      </c>
      <c r="I1014" s="2">
        <f t="shared" si="69"/>
        <v>6970.7500000000018</v>
      </c>
      <c r="L1014" s="2">
        <f t="shared" si="68"/>
        <v>3.2</v>
      </c>
    </row>
    <row r="1015" spans="1:12" x14ac:dyDescent="0.3">
      <c r="A1015" s="3">
        <v>45008</v>
      </c>
      <c r="B1015" s="11" t="s">
        <v>3410</v>
      </c>
      <c r="C1015" s="51" t="s">
        <v>3411</v>
      </c>
      <c r="D1015" s="51"/>
      <c r="E1015" s="90" t="s">
        <v>16</v>
      </c>
      <c r="F1015" s="11"/>
      <c r="H1015" s="2">
        <v>200</v>
      </c>
      <c r="I1015" s="2">
        <f t="shared" si="69"/>
        <v>6770.7500000000018</v>
      </c>
      <c r="L1015" s="2">
        <f t="shared" si="68"/>
        <v>25.8</v>
      </c>
    </row>
    <row r="1016" spans="1:12" x14ac:dyDescent="0.3">
      <c r="A1016" s="3">
        <v>45008</v>
      </c>
      <c r="B1016" s="11" t="s">
        <v>1250</v>
      </c>
      <c r="C1016" s="51" t="s">
        <v>2626</v>
      </c>
      <c r="D1016" s="51"/>
      <c r="F1016" s="11"/>
      <c r="G1016" s="2">
        <v>500</v>
      </c>
      <c r="I1016" s="2">
        <f t="shared" si="69"/>
        <v>7270.7500000000018</v>
      </c>
      <c r="L1016" s="2">
        <f t="shared" si="68"/>
        <v>2</v>
      </c>
    </row>
    <row r="1017" spans="1:12" x14ac:dyDescent="0.3">
      <c r="A1017" s="3">
        <v>45008</v>
      </c>
      <c r="B1017" s="11" t="s">
        <v>1250</v>
      </c>
      <c r="C1017" s="51"/>
      <c r="D1017" s="51"/>
      <c r="F1017" s="11"/>
      <c r="G1017" s="2">
        <v>1000</v>
      </c>
      <c r="I1017" s="2">
        <f t="shared" si="69"/>
        <v>8270.7500000000018</v>
      </c>
      <c r="L1017" s="2">
        <f t="shared" si="68"/>
        <v>4</v>
      </c>
    </row>
    <row r="1018" spans="1:12" x14ac:dyDescent="0.3">
      <c r="A1018" s="3">
        <v>45009</v>
      </c>
      <c r="B1018" s="11" t="s">
        <v>3415</v>
      </c>
      <c r="C1018" s="51"/>
      <c r="D1018" s="51"/>
      <c r="F1018" s="11"/>
      <c r="H1018" s="2">
        <v>2000</v>
      </c>
      <c r="I1018" s="2">
        <f t="shared" si="69"/>
        <v>6270.7500000000018</v>
      </c>
      <c r="L1018" s="2">
        <f t="shared" si="68"/>
        <v>8</v>
      </c>
    </row>
    <row r="1019" spans="1:12" x14ac:dyDescent="0.3">
      <c r="A1019" s="3">
        <v>45009</v>
      </c>
      <c r="B1019" s="11" t="s">
        <v>2863</v>
      </c>
      <c r="C1019" s="51" t="s">
        <v>3416</v>
      </c>
      <c r="D1019" s="51"/>
      <c r="F1019" s="11"/>
      <c r="G1019" s="2">
        <v>5000</v>
      </c>
      <c r="I1019" s="2">
        <f t="shared" si="69"/>
        <v>11270.750000000002</v>
      </c>
      <c r="L1019" s="2">
        <f t="shared" si="68"/>
        <v>20</v>
      </c>
    </row>
    <row r="1020" spans="1:12" x14ac:dyDescent="0.3">
      <c r="A1020" s="3">
        <v>45010</v>
      </c>
      <c r="B1020" s="11" t="s">
        <v>3417</v>
      </c>
      <c r="C1020" s="51"/>
      <c r="D1020" s="51"/>
      <c r="F1020" s="11"/>
      <c r="G1020" s="2">
        <v>1200</v>
      </c>
      <c r="I1020" s="2">
        <f t="shared" si="69"/>
        <v>12470.750000000002</v>
      </c>
      <c r="L1020" s="2">
        <f t="shared" si="68"/>
        <v>4.8</v>
      </c>
    </row>
    <row r="1021" spans="1:12" x14ac:dyDescent="0.3">
      <c r="A1021" s="3">
        <v>45010</v>
      </c>
      <c r="B1021" s="11" t="s">
        <v>1257</v>
      </c>
      <c r="C1021" s="51" t="s">
        <v>2274</v>
      </c>
      <c r="D1021" s="51"/>
      <c r="F1021" s="11"/>
      <c r="H1021" s="2">
        <v>5000</v>
      </c>
      <c r="I1021" s="2">
        <f t="shared" si="69"/>
        <v>7470.7500000000018</v>
      </c>
      <c r="L1021" s="2">
        <f t="shared" si="68"/>
        <v>20</v>
      </c>
    </row>
    <row r="1022" spans="1:12" x14ac:dyDescent="0.3">
      <c r="A1022" s="3">
        <v>45010</v>
      </c>
      <c r="B1022" s="11" t="s">
        <v>2716</v>
      </c>
      <c r="C1022" s="51" t="s">
        <v>1279</v>
      </c>
      <c r="D1022" s="51"/>
      <c r="F1022" s="11"/>
      <c r="H1022" s="2">
        <v>7000</v>
      </c>
      <c r="I1022" s="2">
        <f t="shared" si="69"/>
        <v>470.75000000000182</v>
      </c>
      <c r="L1022" s="2">
        <f t="shared" ref="L1022:L1039" si="70">IF((G1022+H1022)&lt;=5000,(H1022+G1022)*0.004,20)+IF(E1022="Y",25,0)</f>
        <v>20</v>
      </c>
    </row>
    <row r="1023" spans="1:12" x14ac:dyDescent="0.3">
      <c r="A1023" s="3"/>
      <c r="C1023" s="51"/>
      <c r="D1023" s="51"/>
      <c r="F1023" s="11"/>
      <c r="I1023" s="2">
        <f t="shared" si="69"/>
        <v>470.75000000000182</v>
      </c>
      <c r="L1023" s="2">
        <f t="shared" si="70"/>
        <v>0</v>
      </c>
    </row>
    <row r="1024" spans="1:12" x14ac:dyDescent="0.3">
      <c r="A1024" s="3">
        <v>45011</v>
      </c>
      <c r="B1024" s="11" t="s">
        <v>2940</v>
      </c>
      <c r="C1024" s="51" t="s">
        <v>3419</v>
      </c>
      <c r="D1024" s="51"/>
      <c r="F1024" s="11"/>
      <c r="G1024" s="2">
        <v>600</v>
      </c>
      <c r="I1024" s="2">
        <f t="shared" si="69"/>
        <v>1070.7500000000018</v>
      </c>
      <c r="L1024" s="2">
        <f t="shared" si="70"/>
        <v>2.4</v>
      </c>
    </row>
    <row r="1025" spans="1:14" x14ac:dyDescent="0.3">
      <c r="A1025" s="3">
        <v>45012</v>
      </c>
      <c r="B1025" s="11" t="s">
        <v>2770</v>
      </c>
      <c r="C1025" s="51"/>
      <c r="D1025" s="51"/>
      <c r="E1025" s="90" t="s">
        <v>14</v>
      </c>
      <c r="F1025" s="11"/>
      <c r="H1025" s="2">
        <v>100</v>
      </c>
      <c r="I1025" s="2">
        <f t="shared" si="69"/>
        <v>970.75000000000182</v>
      </c>
      <c r="L1025" s="2">
        <f t="shared" si="70"/>
        <v>25.4</v>
      </c>
    </row>
    <row r="1026" spans="1:14" x14ac:dyDescent="0.3">
      <c r="A1026" s="3">
        <v>45012</v>
      </c>
      <c r="B1026" s="11" t="s">
        <v>2232</v>
      </c>
      <c r="C1026" s="51" t="s">
        <v>3251</v>
      </c>
      <c r="D1026" s="51"/>
      <c r="F1026" s="11"/>
      <c r="G1026" s="2">
        <v>1000</v>
      </c>
      <c r="I1026" s="2">
        <f t="shared" si="69"/>
        <v>1970.7500000000018</v>
      </c>
      <c r="L1026" s="2">
        <f t="shared" si="70"/>
        <v>4</v>
      </c>
    </row>
    <row r="1027" spans="1:14" x14ac:dyDescent="0.3">
      <c r="A1027" s="3">
        <v>45013</v>
      </c>
      <c r="B1027" s="11" t="s">
        <v>1250</v>
      </c>
      <c r="C1027" s="51"/>
      <c r="D1027" s="51"/>
      <c r="F1027" s="11"/>
      <c r="H1027" s="2">
        <v>700</v>
      </c>
      <c r="I1027" s="2">
        <f t="shared" si="69"/>
        <v>1270.7500000000018</v>
      </c>
      <c r="L1027" s="2">
        <f t="shared" si="70"/>
        <v>2.8000000000000003</v>
      </c>
    </row>
    <row r="1028" spans="1:14" x14ac:dyDescent="0.3">
      <c r="A1028" s="3">
        <v>45013</v>
      </c>
      <c r="B1028" s="11" t="s">
        <v>3425</v>
      </c>
      <c r="C1028" s="51"/>
      <c r="D1028" s="51"/>
      <c r="F1028" s="11"/>
      <c r="G1028" s="2">
        <v>400</v>
      </c>
      <c r="I1028" s="2">
        <f t="shared" si="69"/>
        <v>1670.7500000000018</v>
      </c>
      <c r="L1028" s="2">
        <f t="shared" si="70"/>
        <v>1.6</v>
      </c>
    </row>
    <row r="1029" spans="1:14" x14ac:dyDescent="0.3">
      <c r="A1029" s="3">
        <v>45013</v>
      </c>
      <c r="B1029" s="11" t="s">
        <v>3426</v>
      </c>
      <c r="C1029" s="51"/>
      <c r="D1029" s="51"/>
      <c r="F1029" s="11"/>
      <c r="H1029" s="2">
        <v>1500</v>
      </c>
      <c r="I1029" s="2">
        <f t="shared" si="69"/>
        <v>170.75000000000182</v>
      </c>
      <c r="L1029" s="2">
        <f t="shared" si="70"/>
        <v>6</v>
      </c>
    </row>
    <row r="1030" spans="1:14" x14ac:dyDescent="0.3">
      <c r="A1030" s="3">
        <v>45013</v>
      </c>
      <c r="B1030" s="11" t="s">
        <v>1160</v>
      </c>
      <c r="C1030" s="51" t="s">
        <v>3427</v>
      </c>
      <c r="D1030" s="51"/>
      <c r="F1030" s="11"/>
      <c r="G1030" s="2">
        <v>3000</v>
      </c>
      <c r="I1030" s="2">
        <f t="shared" si="69"/>
        <v>3170.7500000000018</v>
      </c>
      <c r="L1030" s="2">
        <f t="shared" si="70"/>
        <v>12</v>
      </c>
    </row>
    <row r="1031" spans="1:14" x14ac:dyDescent="0.3">
      <c r="A1031" s="3">
        <v>45014</v>
      </c>
      <c r="B1031" s="11" t="s">
        <v>3428</v>
      </c>
      <c r="C1031" s="51"/>
      <c r="D1031" s="51"/>
      <c r="F1031" s="11"/>
      <c r="G1031" s="2">
        <v>5000</v>
      </c>
      <c r="I1031" s="2">
        <f t="shared" si="69"/>
        <v>8170.7500000000018</v>
      </c>
      <c r="L1031" s="2">
        <f t="shared" si="70"/>
        <v>20</v>
      </c>
    </row>
    <row r="1032" spans="1:14" x14ac:dyDescent="0.3">
      <c r="A1032" s="3">
        <v>45014</v>
      </c>
      <c r="B1032" s="11" t="s">
        <v>2300</v>
      </c>
      <c r="C1032" s="51" t="s">
        <v>2299</v>
      </c>
      <c r="D1032" s="51"/>
      <c r="F1032" s="11"/>
      <c r="H1032" s="2">
        <v>5000</v>
      </c>
      <c r="I1032" s="2">
        <f t="shared" si="69"/>
        <v>3170.7500000000018</v>
      </c>
      <c r="L1032" s="2">
        <f t="shared" si="70"/>
        <v>20</v>
      </c>
    </row>
    <row r="1033" spans="1:14" x14ac:dyDescent="0.3">
      <c r="A1033" s="3">
        <v>45014</v>
      </c>
      <c r="B1033" s="11" t="s">
        <v>1250</v>
      </c>
      <c r="C1033" s="51" t="s">
        <v>3430</v>
      </c>
      <c r="D1033" s="51"/>
      <c r="F1033" s="11"/>
      <c r="H1033" s="2">
        <v>2300</v>
      </c>
      <c r="I1033" s="2">
        <f t="shared" si="69"/>
        <v>870.75000000000182</v>
      </c>
      <c r="L1033" s="2">
        <f t="shared" si="70"/>
        <v>9.2000000000000011</v>
      </c>
    </row>
    <row r="1034" spans="1:14" x14ac:dyDescent="0.3">
      <c r="A1034" s="3">
        <v>45014</v>
      </c>
      <c r="B1034" s="11" t="s">
        <v>1170</v>
      </c>
      <c r="C1034" s="51" t="s">
        <v>3432</v>
      </c>
      <c r="D1034" s="51" t="s">
        <v>3433</v>
      </c>
      <c r="F1034" s="11"/>
      <c r="G1034" s="2">
        <v>10000</v>
      </c>
      <c r="I1034" s="2">
        <f t="shared" si="69"/>
        <v>10870.750000000002</v>
      </c>
      <c r="L1034" s="2">
        <f t="shared" si="70"/>
        <v>20</v>
      </c>
    </row>
    <row r="1035" spans="1:14" x14ac:dyDescent="0.3">
      <c r="A1035" s="3">
        <v>45014</v>
      </c>
      <c r="B1035" s="11" t="s">
        <v>1250</v>
      </c>
      <c r="C1035" s="51" t="s">
        <v>2716</v>
      </c>
      <c r="D1035" s="51"/>
      <c r="F1035" s="11"/>
      <c r="H1035" s="2">
        <v>9000</v>
      </c>
      <c r="I1035" s="2">
        <f t="shared" si="69"/>
        <v>1870.7500000000018</v>
      </c>
      <c r="L1035" s="2">
        <f t="shared" si="70"/>
        <v>20</v>
      </c>
    </row>
    <row r="1036" spans="1:14" x14ac:dyDescent="0.3">
      <c r="A1036" s="3">
        <v>45014</v>
      </c>
      <c r="B1036" s="11" t="s">
        <v>2634</v>
      </c>
      <c r="C1036" s="51" t="s">
        <v>3434</v>
      </c>
      <c r="D1036" s="51"/>
      <c r="F1036" s="11"/>
      <c r="G1036" s="2">
        <v>1000</v>
      </c>
      <c r="I1036" s="2">
        <f t="shared" si="69"/>
        <v>2870.7500000000018</v>
      </c>
      <c r="L1036" s="2">
        <f t="shared" si="70"/>
        <v>4</v>
      </c>
    </row>
    <row r="1037" spans="1:14" x14ac:dyDescent="0.3">
      <c r="A1037" s="3">
        <v>45015</v>
      </c>
      <c r="B1037" s="11" t="s">
        <v>3039</v>
      </c>
      <c r="C1037" s="51" t="s">
        <v>3038</v>
      </c>
      <c r="D1037" s="51"/>
      <c r="F1037" s="11"/>
      <c r="G1037" s="2">
        <v>2500</v>
      </c>
      <c r="I1037" s="2">
        <f t="shared" si="69"/>
        <v>5370.7500000000018</v>
      </c>
      <c r="L1037" s="2">
        <f t="shared" si="70"/>
        <v>10</v>
      </c>
    </row>
    <row r="1038" spans="1:14" x14ac:dyDescent="0.3">
      <c r="A1038" s="3">
        <v>45015</v>
      </c>
      <c r="B1038" s="11" t="s">
        <v>1170</v>
      </c>
      <c r="C1038" s="51" t="s">
        <v>3432</v>
      </c>
      <c r="F1038"/>
      <c r="G1038" s="2">
        <v>10000</v>
      </c>
      <c r="I1038" s="2">
        <f t="shared" si="69"/>
        <v>15370.750000000002</v>
      </c>
      <c r="L1038" s="2">
        <f t="shared" si="70"/>
        <v>20</v>
      </c>
    </row>
    <row r="1039" spans="1:14" x14ac:dyDescent="0.3">
      <c r="A1039" s="3">
        <v>45015</v>
      </c>
      <c r="B1039" s="11">
        <v>1005</v>
      </c>
      <c r="C1039" s="51" t="s">
        <v>2782</v>
      </c>
      <c r="F1039"/>
      <c r="H1039" s="2">
        <v>7000</v>
      </c>
      <c r="I1039" s="2">
        <f t="shared" si="69"/>
        <v>8370.7500000000018</v>
      </c>
      <c r="L1039" s="2">
        <f t="shared" si="70"/>
        <v>20</v>
      </c>
    </row>
    <row r="1040" spans="1:14" x14ac:dyDescent="0.3">
      <c r="A1040" s="77"/>
      <c r="B1040" s="80"/>
      <c r="C1040" s="112"/>
      <c r="D1040" s="112"/>
      <c r="E1040" s="92">
        <f>COUNTIF(E928:E1039,"Y")</f>
        <v>12</v>
      </c>
      <c r="F1040" s="77">
        <f>G1040+H1040</f>
        <v>348827.28</v>
      </c>
      <c r="G1040" s="84">
        <f>SUM(G928:G1039)</f>
        <v>177227.28</v>
      </c>
      <c r="H1040" s="84">
        <f>SUM(H928:H1039)</f>
        <v>171600</v>
      </c>
      <c r="I1040" s="81"/>
      <c r="J1040" s="77"/>
      <c r="K1040" s="77"/>
      <c r="L1040" s="81">
        <f>SUM(L928:L1039)</f>
        <v>1422.2000000000005</v>
      </c>
      <c r="M1040" s="77">
        <f>L1040*0.8</f>
        <v>1137.7600000000004</v>
      </c>
      <c r="N1040" s="77"/>
    </row>
    <row r="1041" spans="1:12" x14ac:dyDescent="0.3">
      <c r="F1041" s="11"/>
    </row>
    <row r="1042" spans="1:12" x14ac:dyDescent="0.3">
      <c r="A1042" s="3">
        <v>45017</v>
      </c>
      <c r="C1042" s="51" t="s">
        <v>2984</v>
      </c>
      <c r="D1042" s="51"/>
      <c r="F1042" s="11"/>
      <c r="I1042" s="2">
        <v>8370.75</v>
      </c>
      <c r="L1042" s="2">
        <f t="shared" ref="L1042:L1073" si="71">IF((G1042+H1042)&lt;=5000,(H1042+G1042)*0.004,20)+IF(E1042="Y",25,0)</f>
        <v>0</v>
      </c>
    </row>
    <row r="1043" spans="1:12" x14ac:dyDescent="0.3">
      <c r="A1043" s="3">
        <v>45017</v>
      </c>
      <c r="B1043" s="11" t="s">
        <v>1160</v>
      </c>
      <c r="C1043" s="51" t="s">
        <v>3360</v>
      </c>
      <c r="F1043"/>
      <c r="G1043" s="2">
        <v>2000</v>
      </c>
      <c r="I1043" s="2">
        <f t="shared" ref="I1043:I1126" si="72">I1042+G1043-H1043</f>
        <v>10370.75</v>
      </c>
      <c r="L1043" s="2">
        <f t="shared" si="71"/>
        <v>8</v>
      </c>
    </row>
    <row r="1044" spans="1:12" x14ac:dyDescent="0.3">
      <c r="A1044" s="3">
        <v>45017</v>
      </c>
      <c r="B1044" s="11" t="s">
        <v>3435</v>
      </c>
      <c r="C1044" s="51" t="s">
        <v>3436</v>
      </c>
      <c r="F1044"/>
      <c r="H1044" s="2">
        <v>2000</v>
      </c>
      <c r="I1044" s="2">
        <f t="shared" si="72"/>
        <v>8370.75</v>
      </c>
      <c r="L1044" s="2">
        <f t="shared" si="71"/>
        <v>8</v>
      </c>
    </row>
    <row r="1045" spans="1:12" x14ac:dyDescent="0.3">
      <c r="A1045" s="3">
        <v>45017</v>
      </c>
      <c r="B1045" s="11" t="s">
        <v>3437</v>
      </c>
      <c r="C1045" s="51" t="s">
        <v>1600</v>
      </c>
      <c r="F1045"/>
      <c r="G1045" s="2">
        <v>10000</v>
      </c>
      <c r="I1045" s="2">
        <f t="shared" si="72"/>
        <v>18370.75</v>
      </c>
      <c r="L1045" s="2">
        <f t="shared" si="71"/>
        <v>20</v>
      </c>
    </row>
    <row r="1046" spans="1:12" x14ac:dyDescent="0.3">
      <c r="A1046" s="3">
        <v>45017</v>
      </c>
      <c r="B1046" s="11" t="s">
        <v>3438</v>
      </c>
      <c r="C1046" s="51" t="s">
        <v>3439</v>
      </c>
      <c r="F1046"/>
      <c r="H1046" s="2">
        <v>10000</v>
      </c>
      <c r="I1046" s="2">
        <f t="shared" si="72"/>
        <v>8370.75</v>
      </c>
      <c r="L1046" s="2">
        <f t="shared" si="71"/>
        <v>20</v>
      </c>
    </row>
    <row r="1047" spans="1:12" x14ac:dyDescent="0.3">
      <c r="A1047" s="3">
        <v>45017</v>
      </c>
      <c r="B1047" s="11" t="s">
        <v>3440</v>
      </c>
      <c r="C1047" s="51" t="s">
        <v>3441</v>
      </c>
      <c r="F1047"/>
      <c r="G1047" s="2">
        <v>1500</v>
      </c>
      <c r="I1047" s="2">
        <f t="shared" si="72"/>
        <v>9870.75</v>
      </c>
      <c r="L1047" s="2">
        <f t="shared" si="71"/>
        <v>6</v>
      </c>
    </row>
    <row r="1048" spans="1:12" x14ac:dyDescent="0.3">
      <c r="A1048" s="3">
        <v>45017</v>
      </c>
      <c r="B1048" s="11" t="s">
        <v>3127</v>
      </c>
      <c r="C1048" s="51" t="s">
        <v>3442</v>
      </c>
      <c r="F1048"/>
      <c r="H1048" s="2">
        <v>1700</v>
      </c>
      <c r="I1048" s="2">
        <f t="shared" si="72"/>
        <v>8170.75</v>
      </c>
      <c r="L1048" s="2">
        <f t="shared" si="71"/>
        <v>6.8</v>
      </c>
    </row>
    <row r="1049" spans="1:12" x14ac:dyDescent="0.3">
      <c r="A1049" s="3">
        <v>45017</v>
      </c>
      <c r="B1049" s="11" t="s">
        <v>3443</v>
      </c>
      <c r="C1049" s="51" t="s">
        <v>3444</v>
      </c>
      <c r="F1049"/>
      <c r="H1049" s="2">
        <v>5300</v>
      </c>
      <c r="I1049" s="2">
        <f t="shared" si="72"/>
        <v>2870.75</v>
      </c>
      <c r="L1049" s="2">
        <f t="shared" si="71"/>
        <v>20</v>
      </c>
    </row>
    <row r="1050" spans="1:12" x14ac:dyDescent="0.3">
      <c r="A1050" s="3">
        <v>45018</v>
      </c>
      <c r="B1050" s="11" t="s">
        <v>3445</v>
      </c>
      <c r="C1050" s="51" t="s">
        <v>1600</v>
      </c>
      <c r="F1050"/>
      <c r="G1050" s="2">
        <v>10000</v>
      </c>
      <c r="I1050" s="2">
        <f t="shared" si="72"/>
        <v>12870.75</v>
      </c>
      <c r="L1050" s="2">
        <f t="shared" si="71"/>
        <v>20</v>
      </c>
    </row>
    <row r="1051" spans="1:12" x14ac:dyDescent="0.3">
      <c r="A1051" s="3">
        <v>45018</v>
      </c>
      <c r="B1051" s="11" t="s">
        <v>3438</v>
      </c>
      <c r="C1051" s="51" t="s">
        <v>3439</v>
      </c>
      <c r="F1051"/>
      <c r="H1051" s="2">
        <v>10000</v>
      </c>
      <c r="I1051" s="2">
        <f t="shared" si="72"/>
        <v>2870.75</v>
      </c>
      <c r="L1051" s="2">
        <f t="shared" si="71"/>
        <v>20</v>
      </c>
    </row>
    <row r="1052" spans="1:12" x14ac:dyDescent="0.3">
      <c r="A1052" s="3">
        <v>45018</v>
      </c>
      <c r="B1052" s="11" t="s">
        <v>3446</v>
      </c>
      <c r="C1052" s="51" t="s">
        <v>2884</v>
      </c>
      <c r="F1052"/>
      <c r="G1052" s="2">
        <v>400</v>
      </c>
      <c r="I1052" s="2">
        <f t="shared" si="72"/>
        <v>3270.75</v>
      </c>
      <c r="L1052" s="2">
        <f t="shared" si="71"/>
        <v>1.6</v>
      </c>
    </row>
    <row r="1053" spans="1:12" x14ac:dyDescent="0.3">
      <c r="A1053" s="3">
        <v>45018</v>
      </c>
      <c r="B1053" s="11" t="s">
        <v>3447</v>
      </c>
      <c r="C1053" s="51" t="s">
        <v>2725</v>
      </c>
      <c r="F1053"/>
      <c r="G1053" s="2">
        <v>500</v>
      </c>
      <c r="I1053" s="2">
        <f t="shared" si="72"/>
        <v>3770.75</v>
      </c>
      <c r="L1053" s="2">
        <f t="shared" si="71"/>
        <v>2</v>
      </c>
    </row>
    <row r="1054" spans="1:12" x14ac:dyDescent="0.3">
      <c r="A1054" s="3">
        <v>45019</v>
      </c>
      <c r="B1054" s="11" t="s">
        <v>2351</v>
      </c>
      <c r="C1054" s="51" t="s">
        <v>3246</v>
      </c>
      <c r="F1054"/>
      <c r="G1054" s="2">
        <v>400</v>
      </c>
      <c r="I1054" s="2">
        <f t="shared" si="72"/>
        <v>4170.75</v>
      </c>
      <c r="L1054" s="2">
        <f t="shared" si="71"/>
        <v>1.6</v>
      </c>
    </row>
    <row r="1055" spans="1:12" x14ac:dyDescent="0.3">
      <c r="A1055" s="3">
        <v>45019</v>
      </c>
      <c r="B1055" s="11" t="s">
        <v>1250</v>
      </c>
      <c r="C1055" s="51" t="s">
        <v>3449</v>
      </c>
      <c r="F1055"/>
      <c r="G1055" s="2">
        <v>950</v>
      </c>
      <c r="I1055" s="2">
        <f t="shared" si="72"/>
        <v>5120.75</v>
      </c>
      <c r="L1055" s="2">
        <f t="shared" si="71"/>
        <v>3.8000000000000003</v>
      </c>
    </row>
    <row r="1056" spans="1:12" x14ac:dyDescent="0.3">
      <c r="A1056" s="3">
        <v>45019</v>
      </c>
      <c r="B1056" s="11" t="s">
        <v>1250</v>
      </c>
      <c r="C1056" s="51" t="s">
        <v>2626</v>
      </c>
      <c r="F1056"/>
      <c r="G1056" s="2">
        <v>10000</v>
      </c>
      <c r="I1056" s="2">
        <f t="shared" si="72"/>
        <v>15120.75</v>
      </c>
      <c r="L1056" s="2">
        <f t="shared" si="71"/>
        <v>20</v>
      </c>
    </row>
    <row r="1057" spans="1:12" x14ac:dyDescent="0.3">
      <c r="A1057" s="3">
        <v>45019</v>
      </c>
      <c r="B1057" s="11" t="s">
        <v>2735</v>
      </c>
      <c r="C1057" s="51" t="s">
        <v>1279</v>
      </c>
      <c r="F1057"/>
      <c r="H1057" s="2">
        <v>10000</v>
      </c>
      <c r="I1057" s="2">
        <f t="shared" si="72"/>
        <v>5120.75</v>
      </c>
      <c r="L1057" s="2">
        <f t="shared" si="71"/>
        <v>20</v>
      </c>
    </row>
    <row r="1058" spans="1:12" x14ac:dyDescent="0.3">
      <c r="A1058" s="3">
        <v>45020</v>
      </c>
      <c r="B1058" s="11" t="s">
        <v>1250</v>
      </c>
      <c r="C1058" s="51" t="s">
        <v>3450</v>
      </c>
      <c r="F1058"/>
      <c r="H1058" s="2">
        <v>3000</v>
      </c>
      <c r="I1058" s="2">
        <f t="shared" si="72"/>
        <v>2120.75</v>
      </c>
      <c r="L1058" s="2">
        <f t="shared" si="71"/>
        <v>12</v>
      </c>
    </row>
    <row r="1059" spans="1:12" x14ac:dyDescent="0.3">
      <c r="A1059" s="3">
        <v>45020</v>
      </c>
      <c r="B1059" s="11" t="s">
        <v>1472</v>
      </c>
      <c r="C1059" s="51" t="s">
        <v>3451</v>
      </c>
      <c r="F1059"/>
      <c r="G1059" s="2">
        <v>10000</v>
      </c>
      <c r="I1059" s="2">
        <f t="shared" si="72"/>
        <v>12120.75</v>
      </c>
      <c r="L1059" s="2">
        <f t="shared" si="71"/>
        <v>20</v>
      </c>
    </row>
    <row r="1060" spans="1:12" x14ac:dyDescent="0.3">
      <c r="A1060" s="3">
        <v>45020</v>
      </c>
      <c r="B1060" s="11" t="s">
        <v>3452</v>
      </c>
      <c r="C1060" s="51"/>
      <c r="E1060" s="90" t="s">
        <v>16</v>
      </c>
      <c r="F1060"/>
      <c r="H1060" s="2">
        <v>100</v>
      </c>
      <c r="I1060" s="2">
        <f t="shared" si="72"/>
        <v>12020.75</v>
      </c>
      <c r="L1060" s="2">
        <f t="shared" si="71"/>
        <v>25.4</v>
      </c>
    </row>
    <row r="1061" spans="1:12" x14ac:dyDescent="0.3">
      <c r="A1061" s="3">
        <v>45020</v>
      </c>
      <c r="B1061" s="11" t="s">
        <v>3453</v>
      </c>
      <c r="C1061" s="51" t="s">
        <v>3454</v>
      </c>
      <c r="F1061"/>
      <c r="G1061" s="2">
        <v>1010</v>
      </c>
      <c r="I1061" s="2">
        <f t="shared" si="72"/>
        <v>13030.75</v>
      </c>
      <c r="L1061" s="2">
        <f t="shared" si="71"/>
        <v>4.04</v>
      </c>
    </row>
    <row r="1062" spans="1:12" x14ac:dyDescent="0.3">
      <c r="A1062" s="3">
        <v>45020</v>
      </c>
      <c r="B1062" s="11" t="s">
        <v>2384</v>
      </c>
      <c r="C1062" s="51" t="s">
        <v>3455</v>
      </c>
      <c r="F1062"/>
      <c r="H1062" s="2">
        <v>6000</v>
      </c>
      <c r="I1062" s="2">
        <f t="shared" si="72"/>
        <v>7030.75</v>
      </c>
      <c r="L1062" s="2">
        <f t="shared" si="71"/>
        <v>20</v>
      </c>
    </row>
    <row r="1063" spans="1:12" x14ac:dyDescent="0.3">
      <c r="A1063" s="3">
        <v>45020</v>
      </c>
      <c r="B1063" s="11" t="s">
        <v>2997</v>
      </c>
      <c r="C1063" s="51" t="s">
        <v>128</v>
      </c>
      <c r="F1063"/>
      <c r="G1063" s="2">
        <v>10000</v>
      </c>
      <c r="I1063" s="2">
        <f t="shared" si="72"/>
        <v>17030.75</v>
      </c>
      <c r="L1063" s="2">
        <f t="shared" si="71"/>
        <v>20</v>
      </c>
    </row>
    <row r="1064" spans="1:12" x14ac:dyDescent="0.3">
      <c r="A1064" s="3">
        <v>45020</v>
      </c>
      <c r="B1064" s="11" t="s">
        <v>2735</v>
      </c>
      <c r="C1064" s="51" t="s">
        <v>3457</v>
      </c>
      <c r="F1064"/>
      <c r="H1064" s="2">
        <v>10000</v>
      </c>
      <c r="I1064" s="2">
        <f t="shared" si="72"/>
        <v>7030.75</v>
      </c>
      <c r="L1064" s="2">
        <f t="shared" si="71"/>
        <v>20</v>
      </c>
    </row>
    <row r="1065" spans="1:12" x14ac:dyDescent="0.3">
      <c r="A1065" s="3">
        <v>45021</v>
      </c>
      <c r="B1065" s="11" t="s">
        <v>1160</v>
      </c>
      <c r="C1065" s="51" t="s">
        <v>3458</v>
      </c>
      <c r="F1065"/>
      <c r="G1065" s="2">
        <v>1000</v>
      </c>
      <c r="I1065" s="2">
        <f t="shared" si="72"/>
        <v>8030.75</v>
      </c>
      <c r="L1065" s="2">
        <f t="shared" si="71"/>
        <v>4</v>
      </c>
    </row>
    <row r="1066" spans="1:12" x14ac:dyDescent="0.3">
      <c r="A1066" s="3">
        <v>45021</v>
      </c>
      <c r="B1066" s="11" t="s">
        <v>3461</v>
      </c>
      <c r="C1066" s="51" t="s">
        <v>2958</v>
      </c>
      <c r="F1066"/>
      <c r="G1066" s="2">
        <v>8000</v>
      </c>
      <c r="I1066" s="2">
        <f t="shared" si="72"/>
        <v>16030.75</v>
      </c>
      <c r="L1066" s="2">
        <f t="shared" si="71"/>
        <v>20</v>
      </c>
    </row>
    <row r="1067" spans="1:12" x14ac:dyDescent="0.3">
      <c r="A1067" s="3">
        <v>45021</v>
      </c>
      <c r="B1067" s="11" t="s">
        <v>2735</v>
      </c>
      <c r="C1067" s="51" t="s">
        <v>1279</v>
      </c>
      <c r="F1067"/>
      <c r="H1067" s="2">
        <v>10000</v>
      </c>
      <c r="I1067" s="2">
        <f t="shared" si="72"/>
        <v>6030.75</v>
      </c>
      <c r="L1067" s="2">
        <f t="shared" si="71"/>
        <v>20</v>
      </c>
    </row>
    <row r="1068" spans="1:12" x14ac:dyDescent="0.3">
      <c r="A1068" s="3">
        <v>45021</v>
      </c>
      <c r="B1068" s="11" t="s">
        <v>2247</v>
      </c>
      <c r="C1068" s="51" t="s">
        <v>2248</v>
      </c>
      <c r="F1068"/>
      <c r="G1068" s="2">
        <v>5000</v>
      </c>
      <c r="I1068" s="2">
        <f t="shared" si="72"/>
        <v>11030.75</v>
      </c>
      <c r="L1068" s="2">
        <f t="shared" si="71"/>
        <v>20</v>
      </c>
    </row>
    <row r="1069" spans="1:12" x14ac:dyDescent="0.3">
      <c r="A1069" s="3">
        <v>45022</v>
      </c>
      <c r="B1069" s="11" t="s">
        <v>2232</v>
      </c>
      <c r="C1069" s="51"/>
      <c r="F1069"/>
      <c r="G1069" s="2">
        <v>10000</v>
      </c>
      <c r="I1069" s="2">
        <f t="shared" si="72"/>
        <v>21030.75</v>
      </c>
      <c r="L1069" s="2">
        <f t="shared" si="71"/>
        <v>20</v>
      </c>
    </row>
    <row r="1070" spans="1:12" x14ac:dyDescent="0.3">
      <c r="A1070" s="3">
        <v>45022</v>
      </c>
      <c r="B1070" s="11" t="s">
        <v>3462</v>
      </c>
      <c r="C1070" s="51" t="s">
        <v>1279</v>
      </c>
      <c r="F1070"/>
      <c r="H1070" s="2">
        <v>10000</v>
      </c>
      <c r="I1070" s="2">
        <f t="shared" si="72"/>
        <v>11030.75</v>
      </c>
      <c r="L1070" s="2">
        <f t="shared" si="71"/>
        <v>20</v>
      </c>
    </row>
    <row r="1071" spans="1:12" x14ac:dyDescent="0.3">
      <c r="A1071" s="3">
        <v>45022</v>
      </c>
      <c r="B1071" s="11" t="s">
        <v>3466</v>
      </c>
      <c r="C1071" s="51" t="s">
        <v>3463</v>
      </c>
      <c r="E1071" s="90" t="s">
        <v>16</v>
      </c>
      <c r="F1071"/>
      <c r="H1071" s="2">
        <v>300</v>
      </c>
      <c r="I1071" s="2">
        <f t="shared" si="72"/>
        <v>10730.75</v>
      </c>
      <c r="L1071" s="2">
        <f t="shared" si="71"/>
        <v>26.2</v>
      </c>
    </row>
    <row r="1072" spans="1:12" x14ac:dyDescent="0.3">
      <c r="A1072" s="3">
        <v>45022</v>
      </c>
      <c r="B1072" s="11" t="s">
        <v>1160</v>
      </c>
      <c r="C1072" s="51" t="s">
        <v>3467</v>
      </c>
      <c r="F1072"/>
      <c r="G1072" s="2">
        <v>800</v>
      </c>
      <c r="I1072" s="2">
        <f t="shared" si="72"/>
        <v>11530.75</v>
      </c>
      <c r="L1072" s="2">
        <f t="shared" si="71"/>
        <v>3.2</v>
      </c>
    </row>
    <row r="1073" spans="1:12" x14ac:dyDescent="0.3">
      <c r="A1073" s="3">
        <v>45022</v>
      </c>
      <c r="B1073" s="11" t="s">
        <v>2346</v>
      </c>
      <c r="C1073" s="51" t="s">
        <v>3468</v>
      </c>
      <c r="F1073"/>
      <c r="H1073" s="2">
        <v>3600</v>
      </c>
      <c r="I1073" s="2">
        <f t="shared" si="72"/>
        <v>7930.75</v>
      </c>
      <c r="L1073" s="2">
        <f t="shared" si="71"/>
        <v>14.4</v>
      </c>
    </row>
    <row r="1074" spans="1:12" x14ac:dyDescent="0.3">
      <c r="A1074" s="3">
        <v>45022</v>
      </c>
      <c r="B1074" s="11" t="s">
        <v>2184</v>
      </c>
      <c r="C1074" s="51" t="s">
        <v>3469</v>
      </c>
      <c r="F1074"/>
      <c r="H1074" s="2">
        <v>4200</v>
      </c>
      <c r="I1074" s="2">
        <f t="shared" si="72"/>
        <v>3730.75</v>
      </c>
      <c r="L1074" s="2">
        <f t="shared" ref="L1074:L1100" si="73">IF((G1074+H1074)&lt;=5000,(H1074+G1074)*0.004,20)+IF(E1074="Y",25,0)</f>
        <v>16.8</v>
      </c>
    </row>
    <row r="1075" spans="1:12" x14ac:dyDescent="0.3">
      <c r="A1075" s="3">
        <v>45023</v>
      </c>
      <c r="B1075" s="11" t="s">
        <v>1250</v>
      </c>
      <c r="C1075" s="51" t="s">
        <v>2284</v>
      </c>
      <c r="F1075"/>
      <c r="G1075" s="2">
        <v>5000</v>
      </c>
      <c r="I1075" s="2">
        <f t="shared" si="72"/>
        <v>8730.75</v>
      </c>
      <c r="L1075" s="2">
        <f t="shared" si="73"/>
        <v>20</v>
      </c>
    </row>
    <row r="1076" spans="1:12" x14ac:dyDescent="0.3">
      <c r="A1076" s="3">
        <v>45023</v>
      </c>
      <c r="B1076" s="11" t="s">
        <v>2704</v>
      </c>
      <c r="C1076" s="51" t="s">
        <v>913</v>
      </c>
      <c r="F1076">
        <v>309711569216</v>
      </c>
      <c r="H1076" s="2">
        <v>4000</v>
      </c>
      <c r="I1076" s="2">
        <f t="shared" si="72"/>
        <v>4730.75</v>
      </c>
      <c r="L1076" s="2">
        <f t="shared" si="73"/>
        <v>16</v>
      </c>
    </row>
    <row r="1077" spans="1:12" x14ac:dyDescent="0.3">
      <c r="A1077" s="3">
        <v>45023</v>
      </c>
      <c r="B1077" s="11" t="s">
        <v>2232</v>
      </c>
      <c r="C1077" s="51" t="s">
        <v>3470</v>
      </c>
      <c r="F1077"/>
      <c r="G1077" s="2">
        <v>4800</v>
      </c>
      <c r="I1077" s="2">
        <f t="shared" si="72"/>
        <v>9530.75</v>
      </c>
      <c r="L1077" s="2">
        <f t="shared" si="73"/>
        <v>19.2</v>
      </c>
    </row>
    <row r="1078" spans="1:12" x14ac:dyDescent="0.3">
      <c r="A1078" s="3">
        <v>45023</v>
      </c>
      <c r="B1078" s="11" t="s">
        <v>2241</v>
      </c>
      <c r="C1078" s="51" t="s">
        <v>3471</v>
      </c>
      <c r="D1078" s="50">
        <v>7766998308</v>
      </c>
      <c r="F1078"/>
      <c r="G1078" s="2">
        <v>1050</v>
      </c>
      <c r="I1078" s="2">
        <f t="shared" si="72"/>
        <v>10580.75</v>
      </c>
      <c r="L1078" s="2">
        <f t="shared" si="73"/>
        <v>4.2</v>
      </c>
    </row>
    <row r="1079" spans="1:12" x14ac:dyDescent="0.3">
      <c r="A1079" s="3">
        <v>45024</v>
      </c>
      <c r="B1079" s="11" t="s">
        <v>1250</v>
      </c>
      <c r="C1079" s="51" t="s">
        <v>2626</v>
      </c>
      <c r="G1079" s="2">
        <v>2500</v>
      </c>
      <c r="I1079" s="2">
        <f t="shared" si="72"/>
        <v>13080.75</v>
      </c>
      <c r="L1079" s="2">
        <f t="shared" si="73"/>
        <v>10</v>
      </c>
    </row>
    <row r="1080" spans="1:12" x14ac:dyDescent="0.3">
      <c r="A1080" s="3">
        <v>45024</v>
      </c>
      <c r="B1080" s="11" t="s">
        <v>3474</v>
      </c>
      <c r="C1080" s="51" t="s">
        <v>3473</v>
      </c>
      <c r="D1080" s="50">
        <v>9635077871</v>
      </c>
      <c r="F1080"/>
      <c r="G1080" s="2">
        <v>1000</v>
      </c>
      <c r="I1080" s="2">
        <f t="shared" si="72"/>
        <v>14080.75</v>
      </c>
      <c r="L1080" s="2">
        <f t="shared" si="73"/>
        <v>4</v>
      </c>
    </row>
    <row r="1081" spans="1:12" x14ac:dyDescent="0.3">
      <c r="A1081" s="3">
        <v>45024</v>
      </c>
      <c r="B1081" s="11" t="s">
        <v>3440</v>
      </c>
      <c r="C1081" s="51" t="s">
        <v>3475</v>
      </c>
      <c r="F1081"/>
      <c r="G1081" s="2">
        <v>1000</v>
      </c>
      <c r="I1081" s="2">
        <f t="shared" si="72"/>
        <v>15080.75</v>
      </c>
      <c r="L1081" s="2">
        <f t="shared" si="73"/>
        <v>4</v>
      </c>
    </row>
    <row r="1082" spans="1:12" x14ac:dyDescent="0.3">
      <c r="A1082" s="3">
        <v>45024</v>
      </c>
      <c r="B1082" s="11" t="s">
        <v>1160</v>
      </c>
      <c r="C1082" s="51" t="s">
        <v>3476</v>
      </c>
      <c r="F1082"/>
      <c r="G1082" s="2">
        <v>1000</v>
      </c>
      <c r="I1082" s="2">
        <f t="shared" si="72"/>
        <v>16080.75</v>
      </c>
      <c r="L1082" s="2">
        <f t="shared" si="73"/>
        <v>4</v>
      </c>
    </row>
    <row r="1083" spans="1:12" x14ac:dyDescent="0.3">
      <c r="A1083" s="3">
        <v>45024</v>
      </c>
      <c r="B1083" s="11" t="s">
        <v>1257</v>
      </c>
      <c r="C1083" s="51" t="s">
        <v>1253</v>
      </c>
      <c r="F1083"/>
      <c r="H1083" s="2">
        <v>5000</v>
      </c>
      <c r="I1083" s="2">
        <f t="shared" si="72"/>
        <v>11080.75</v>
      </c>
      <c r="L1083" s="2">
        <f t="shared" si="73"/>
        <v>20</v>
      </c>
    </row>
    <row r="1084" spans="1:12" x14ac:dyDescent="0.3">
      <c r="A1084" s="3">
        <v>45026</v>
      </c>
      <c r="B1084" s="11" t="s">
        <v>3479</v>
      </c>
      <c r="C1084" s="51" t="s">
        <v>3478</v>
      </c>
      <c r="E1084" s="90" t="s">
        <v>16</v>
      </c>
      <c r="F1084"/>
      <c r="H1084" s="2">
        <v>1000</v>
      </c>
      <c r="I1084" s="2">
        <f t="shared" si="72"/>
        <v>10080.75</v>
      </c>
      <c r="L1084" s="2">
        <f t="shared" si="73"/>
        <v>29</v>
      </c>
    </row>
    <row r="1085" spans="1:12" x14ac:dyDescent="0.3">
      <c r="A1085" s="3">
        <v>45026</v>
      </c>
      <c r="C1085" s="51" t="s">
        <v>2284</v>
      </c>
      <c r="F1085"/>
      <c r="G1085" s="2">
        <v>10000</v>
      </c>
      <c r="I1085" s="2">
        <f t="shared" si="72"/>
        <v>20080.75</v>
      </c>
      <c r="L1085" s="2">
        <f t="shared" si="73"/>
        <v>20</v>
      </c>
    </row>
    <row r="1086" spans="1:12" x14ac:dyDescent="0.3">
      <c r="A1086" s="3">
        <v>45027</v>
      </c>
      <c r="B1086" s="11" t="s">
        <v>1250</v>
      </c>
      <c r="C1086" s="51"/>
      <c r="F1086"/>
      <c r="G1086" s="2">
        <v>7000</v>
      </c>
      <c r="I1086" s="2">
        <f t="shared" si="72"/>
        <v>27080.75</v>
      </c>
      <c r="L1086" s="2">
        <f t="shared" si="73"/>
        <v>20</v>
      </c>
    </row>
    <row r="1087" spans="1:12" x14ac:dyDescent="0.3">
      <c r="A1087" s="3">
        <v>45027</v>
      </c>
      <c r="B1087" s="11" t="s">
        <v>3002</v>
      </c>
      <c r="C1087" s="51" t="s">
        <v>1279</v>
      </c>
      <c r="F1087"/>
      <c r="H1087" s="2">
        <v>10000</v>
      </c>
      <c r="I1087" s="2">
        <f t="shared" si="72"/>
        <v>17080.75</v>
      </c>
      <c r="L1087" s="2">
        <f t="shared" si="73"/>
        <v>20</v>
      </c>
    </row>
    <row r="1088" spans="1:12" x14ac:dyDescent="0.3">
      <c r="A1088" s="3">
        <v>45028</v>
      </c>
      <c r="B1088" s="11" t="s">
        <v>1250</v>
      </c>
      <c r="C1088" s="51" t="s">
        <v>3167</v>
      </c>
      <c r="F1088"/>
      <c r="G1088" s="2">
        <v>4000</v>
      </c>
      <c r="I1088" s="2">
        <f t="shared" si="72"/>
        <v>21080.75</v>
      </c>
      <c r="L1088" s="2">
        <f t="shared" si="73"/>
        <v>16</v>
      </c>
    </row>
    <row r="1089" spans="1:12" x14ac:dyDescent="0.3">
      <c r="A1089" s="3">
        <v>45028</v>
      </c>
      <c r="B1089" s="11" t="s">
        <v>2716</v>
      </c>
      <c r="C1089" s="51" t="s">
        <v>1279</v>
      </c>
      <c r="F1089"/>
      <c r="H1089" s="2">
        <v>10000</v>
      </c>
      <c r="I1089" s="2">
        <f t="shared" si="72"/>
        <v>11080.75</v>
      </c>
      <c r="L1089" s="2">
        <f t="shared" si="73"/>
        <v>20</v>
      </c>
    </row>
    <row r="1090" spans="1:12" x14ac:dyDescent="0.3">
      <c r="A1090" s="3">
        <v>45028</v>
      </c>
      <c r="B1090" s="11" t="s">
        <v>1250</v>
      </c>
      <c r="C1090" s="51" t="s">
        <v>2248</v>
      </c>
      <c r="F1090"/>
      <c r="G1090" s="2">
        <v>4000</v>
      </c>
      <c r="I1090" s="2">
        <f t="shared" si="72"/>
        <v>15080.75</v>
      </c>
      <c r="L1090" s="2">
        <f t="shared" si="73"/>
        <v>16</v>
      </c>
    </row>
    <row r="1091" spans="1:12" x14ac:dyDescent="0.3">
      <c r="A1091" s="3">
        <v>45028</v>
      </c>
      <c r="B1091" s="11" t="s">
        <v>3484</v>
      </c>
      <c r="C1091" s="51"/>
      <c r="F1091"/>
      <c r="H1091" s="2">
        <v>100</v>
      </c>
      <c r="I1091" s="2">
        <f t="shared" si="72"/>
        <v>14980.75</v>
      </c>
      <c r="L1091" s="2">
        <f t="shared" si="73"/>
        <v>0.4</v>
      </c>
    </row>
    <row r="1092" spans="1:12" x14ac:dyDescent="0.3">
      <c r="A1092" s="3">
        <v>45029</v>
      </c>
      <c r="B1092" s="11" t="s">
        <v>2232</v>
      </c>
      <c r="C1092" s="51" t="s">
        <v>3485</v>
      </c>
      <c r="F1092"/>
      <c r="G1092" s="2">
        <v>2500</v>
      </c>
      <c r="I1092" s="2">
        <f t="shared" si="72"/>
        <v>17480.75</v>
      </c>
      <c r="L1092" s="2">
        <f t="shared" si="73"/>
        <v>10</v>
      </c>
    </row>
    <row r="1093" spans="1:12" x14ac:dyDescent="0.3">
      <c r="A1093" s="3">
        <v>45029</v>
      </c>
      <c r="B1093" s="11" t="s">
        <v>1250</v>
      </c>
      <c r="G1093" s="2">
        <v>2000</v>
      </c>
      <c r="I1093" s="2">
        <f t="shared" si="72"/>
        <v>19480.75</v>
      </c>
      <c r="L1093" s="2">
        <f t="shared" si="73"/>
        <v>8</v>
      </c>
    </row>
    <row r="1094" spans="1:12" x14ac:dyDescent="0.3">
      <c r="A1094" s="3">
        <v>45029</v>
      </c>
      <c r="B1094" s="11" t="s">
        <v>3496</v>
      </c>
      <c r="C1094" s="51" t="s">
        <v>252</v>
      </c>
      <c r="E1094" s="90" t="s">
        <v>16</v>
      </c>
      <c r="F1094"/>
      <c r="H1094" s="2">
        <v>200</v>
      </c>
      <c r="I1094" s="2">
        <f t="shared" si="72"/>
        <v>19280.75</v>
      </c>
      <c r="L1094" s="2">
        <f t="shared" si="73"/>
        <v>25.8</v>
      </c>
    </row>
    <row r="1095" spans="1:12" x14ac:dyDescent="0.3">
      <c r="A1095" s="3">
        <v>45029</v>
      </c>
      <c r="B1095" s="11" t="s">
        <v>3493</v>
      </c>
      <c r="C1095" s="51" t="s">
        <v>3494</v>
      </c>
      <c r="E1095" s="90" t="s">
        <v>16</v>
      </c>
      <c r="F1095"/>
      <c r="H1095" s="2">
        <v>2000</v>
      </c>
      <c r="I1095" s="2">
        <f t="shared" si="72"/>
        <v>17280.75</v>
      </c>
      <c r="L1095" s="2">
        <f t="shared" si="73"/>
        <v>33</v>
      </c>
    </row>
    <row r="1096" spans="1:12" x14ac:dyDescent="0.3">
      <c r="A1096" s="3">
        <v>45029</v>
      </c>
      <c r="B1096" s="11" t="s">
        <v>3493</v>
      </c>
      <c r="C1096" s="51" t="s">
        <v>3494</v>
      </c>
      <c r="F1096"/>
      <c r="H1096" s="2">
        <v>1000</v>
      </c>
      <c r="I1096" s="2">
        <f t="shared" si="72"/>
        <v>16280.75</v>
      </c>
      <c r="L1096" s="2">
        <f t="shared" si="73"/>
        <v>4</v>
      </c>
    </row>
    <row r="1097" spans="1:12" x14ac:dyDescent="0.3">
      <c r="A1097" s="3">
        <v>45032</v>
      </c>
      <c r="B1097" s="11" t="s">
        <v>2241</v>
      </c>
      <c r="C1097" s="51" t="s">
        <v>3499</v>
      </c>
      <c r="F1097"/>
      <c r="G1097" s="2">
        <v>4000</v>
      </c>
      <c r="I1097" s="2">
        <f t="shared" si="72"/>
        <v>20280.75</v>
      </c>
      <c r="L1097" s="2">
        <f t="shared" si="73"/>
        <v>16</v>
      </c>
    </row>
    <row r="1098" spans="1:12" x14ac:dyDescent="0.3">
      <c r="A1098" s="3">
        <v>45032</v>
      </c>
      <c r="B1098" s="11" t="s">
        <v>1257</v>
      </c>
      <c r="C1098" s="51" t="s">
        <v>1253</v>
      </c>
      <c r="F1098"/>
      <c r="H1098" s="2">
        <v>6500</v>
      </c>
      <c r="I1098" s="2">
        <f t="shared" si="72"/>
        <v>13780.75</v>
      </c>
      <c r="L1098" s="2">
        <f t="shared" si="73"/>
        <v>20</v>
      </c>
    </row>
    <row r="1099" spans="1:12" x14ac:dyDescent="0.3">
      <c r="A1099" s="3">
        <v>45094</v>
      </c>
      <c r="B1099" s="11" t="s">
        <v>1160</v>
      </c>
      <c r="C1099" s="51" t="s">
        <v>2736</v>
      </c>
      <c r="F1099"/>
      <c r="G1099" s="2">
        <v>2850</v>
      </c>
      <c r="I1099" s="2">
        <f t="shared" si="72"/>
        <v>16630.75</v>
      </c>
      <c r="L1099" s="2">
        <f t="shared" si="73"/>
        <v>11.4</v>
      </c>
    </row>
    <row r="1100" spans="1:12" x14ac:dyDescent="0.3">
      <c r="A1100" s="3">
        <v>45094</v>
      </c>
      <c r="B1100" s="11" t="s">
        <v>2185</v>
      </c>
      <c r="C1100" s="51" t="s">
        <v>2187</v>
      </c>
      <c r="F1100"/>
      <c r="H1100" s="2">
        <v>2000</v>
      </c>
      <c r="I1100" s="2">
        <f t="shared" si="72"/>
        <v>14630.75</v>
      </c>
      <c r="L1100" s="2">
        <f t="shared" si="73"/>
        <v>8</v>
      </c>
    </row>
    <row r="1101" spans="1:12" x14ac:dyDescent="0.3">
      <c r="A1101" s="3">
        <v>45094</v>
      </c>
      <c r="C1101" s="158" t="s">
        <v>3503</v>
      </c>
      <c r="D1101" s="71"/>
      <c r="E1101" s="98"/>
      <c r="F1101" s="6"/>
      <c r="G1101" s="72">
        <v>1128.52</v>
      </c>
      <c r="I1101" s="2">
        <f t="shared" si="72"/>
        <v>15759.27</v>
      </c>
    </row>
    <row r="1102" spans="1:12" x14ac:dyDescent="0.3">
      <c r="A1102" s="3">
        <v>45094</v>
      </c>
      <c r="B1102" s="11" t="s">
        <v>1250</v>
      </c>
      <c r="C1102" s="51" t="s">
        <v>3501</v>
      </c>
      <c r="F1102"/>
      <c r="G1102" s="2">
        <v>1050</v>
      </c>
      <c r="I1102" s="2">
        <f t="shared" si="72"/>
        <v>16809.27</v>
      </c>
      <c r="L1102" s="2">
        <f t="shared" ref="L1102:L1115" si="74">IF((G1102+H1102)&lt;=5000,(H1102+G1102)*0.004,20)+IF(E1102="Y",25,0)</f>
        <v>4.2</v>
      </c>
    </row>
    <row r="1103" spans="1:12" x14ac:dyDescent="0.3">
      <c r="A1103" s="3">
        <v>45094</v>
      </c>
      <c r="B1103" s="11" t="s">
        <v>1250</v>
      </c>
      <c r="C1103" s="51" t="s">
        <v>3502</v>
      </c>
      <c r="F1103"/>
      <c r="G1103" s="2">
        <v>700</v>
      </c>
      <c r="I1103" s="2">
        <f t="shared" si="72"/>
        <v>17509.27</v>
      </c>
      <c r="L1103" s="2">
        <f t="shared" si="74"/>
        <v>2.8000000000000003</v>
      </c>
    </row>
    <row r="1104" spans="1:12" x14ac:dyDescent="0.3">
      <c r="A1104" s="3">
        <v>45094</v>
      </c>
      <c r="B1104" s="11" t="s">
        <v>3504</v>
      </c>
      <c r="C1104" s="51" t="s">
        <v>2652</v>
      </c>
      <c r="F1104"/>
      <c r="H1104" s="2">
        <v>1000</v>
      </c>
      <c r="I1104" s="2">
        <f t="shared" si="72"/>
        <v>16509.27</v>
      </c>
      <c r="L1104" s="2">
        <f t="shared" si="74"/>
        <v>4</v>
      </c>
    </row>
    <row r="1105" spans="1:12" x14ac:dyDescent="0.3">
      <c r="A1105" s="3">
        <v>45034</v>
      </c>
      <c r="B1105" s="11" t="s">
        <v>3505</v>
      </c>
      <c r="C1105" s="51" t="s">
        <v>3506</v>
      </c>
      <c r="F1105"/>
      <c r="G1105" s="2">
        <v>5050</v>
      </c>
      <c r="I1105" s="2">
        <f t="shared" si="72"/>
        <v>21559.27</v>
      </c>
      <c r="L1105" s="2">
        <f t="shared" si="74"/>
        <v>20</v>
      </c>
    </row>
    <row r="1106" spans="1:12" x14ac:dyDescent="0.3">
      <c r="A1106" s="3">
        <v>45035</v>
      </c>
      <c r="B1106" s="11" t="s">
        <v>3002</v>
      </c>
      <c r="C1106" s="51" t="s">
        <v>1279</v>
      </c>
      <c r="F1106"/>
      <c r="H1106" s="2">
        <v>10000</v>
      </c>
      <c r="I1106" s="2">
        <f t="shared" si="72"/>
        <v>11559.27</v>
      </c>
      <c r="L1106" s="2">
        <f t="shared" si="74"/>
        <v>20</v>
      </c>
    </row>
    <row r="1107" spans="1:12" x14ac:dyDescent="0.3">
      <c r="A1107" s="3">
        <v>45036</v>
      </c>
      <c r="B1107" s="11" t="s">
        <v>2351</v>
      </c>
      <c r="C1107" s="51" t="s">
        <v>3246</v>
      </c>
      <c r="F1107"/>
      <c r="G1107" s="2">
        <v>500</v>
      </c>
      <c r="I1107" s="2">
        <f t="shared" si="72"/>
        <v>12059.27</v>
      </c>
      <c r="L1107" s="2">
        <f t="shared" si="74"/>
        <v>2</v>
      </c>
    </row>
    <row r="1108" spans="1:12" x14ac:dyDescent="0.3">
      <c r="A1108" s="3">
        <v>45037</v>
      </c>
      <c r="B1108" s="11" t="s">
        <v>1250</v>
      </c>
      <c r="C1108" s="51"/>
      <c r="F1108"/>
      <c r="G1108" s="2">
        <v>2000</v>
      </c>
      <c r="I1108" s="2">
        <f t="shared" si="72"/>
        <v>14059.27</v>
      </c>
      <c r="L1108" s="2">
        <f t="shared" si="74"/>
        <v>8</v>
      </c>
    </row>
    <row r="1109" spans="1:12" x14ac:dyDescent="0.3">
      <c r="A1109" s="3">
        <v>45037</v>
      </c>
      <c r="B1109" s="11" t="s">
        <v>2232</v>
      </c>
      <c r="C1109" s="51" t="s">
        <v>2233</v>
      </c>
      <c r="F1109"/>
      <c r="G1109" s="2">
        <v>1000</v>
      </c>
      <c r="I1109" s="2">
        <f t="shared" si="72"/>
        <v>15059.27</v>
      </c>
      <c r="L1109" s="2">
        <f t="shared" si="74"/>
        <v>4</v>
      </c>
    </row>
    <row r="1110" spans="1:12" x14ac:dyDescent="0.3">
      <c r="A1110" s="3">
        <v>45037</v>
      </c>
      <c r="B1110" s="11" t="s">
        <v>1250</v>
      </c>
      <c r="C1110" s="51" t="s">
        <v>2626</v>
      </c>
      <c r="F1110"/>
      <c r="G1110" s="2">
        <v>1200</v>
      </c>
      <c r="I1110" s="2">
        <f t="shared" si="72"/>
        <v>16259.27</v>
      </c>
      <c r="L1110" s="2">
        <f t="shared" si="74"/>
        <v>4.8</v>
      </c>
    </row>
    <row r="1111" spans="1:12" x14ac:dyDescent="0.3">
      <c r="A1111" s="3">
        <v>45037</v>
      </c>
      <c r="B1111" s="11" t="s">
        <v>1257</v>
      </c>
      <c r="C1111" s="51" t="s">
        <v>1253</v>
      </c>
      <c r="F1111"/>
      <c r="H1111" s="2">
        <v>6000</v>
      </c>
      <c r="I1111" s="2">
        <f t="shared" si="72"/>
        <v>10259.27</v>
      </c>
      <c r="L1111" s="2">
        <f t="shared" si="74"/>
        <v>20</v>
      </c>
    </row>
    <row r="1112" spans="1:12" x14ac:dyDescent="0.3">
      <c r="A1112" s="3">
        <v>45037</v>
      </c>
      <c r="B1112" s="11" t="s">
        <v>1472</v>
      </c>
      <c r="C1112" s="51" t="s">
        <v>3328</v>
      </c>
      <c r="D1112" s="50">
        <v>9312824018</v>
      </c>
      <c r="F1112"/>
      <c r="G1112" s="2">
        <v>5000</v>
      </c>
      <c r="I1112" s="2">
        <f t="shared" si="72"/>
        <v>15259.27</v>
      </c>
      <c r="L1112" s="2">
        <f t="shared" si="74"/>
        <v>20</v>
      </c>
    </row>
    <row r="1113" spans="1:12" x14ac:dyDescent="0.3">
      <c r="A1113" s="3">
        <v>45038</v>
      </c>
      <c r="B1113" s="11" t="s">
        <v>3289</v>
      </c>
      <c r="C1113" s="51" t="s">
        <v>2734</v>
      </c>
      <c r="F1113"/>
      <c r="G1113" s="2">
        <v>1000</v>
      </c>
      <c r="I1113" s="2">
        <f t="shared" si="72"/>
        <v>16259.27</v>
      </c>
      <c r="L1113" s="2">
        <f t="shared" si="74"/>
        <v>4</v>
      </c>
    </row>
    <row r="1114" spans="1:12" x14ac:dyDescent="0.3">
      <c r="A1114" s="3">
        <v>45038</v>
      </c>
      <c r="B1114" s="11" t="s">
        <v>1472</v>
      </c>
      <c r="C1114" s="51" t="s">
        <v>3507</v>
      </c>
      <c r="D1114" s="50">
        <v>8969168180</v>
      </c>
      <c r="F1114"/>
      <c r="G1114" s="2">
        <v>1000</v>
      </c>
      <c r="I1114" s="2">
        <f t="shared" si="72"/>
        <v>17259.27</v>
      </c>
      <c r="L1114" s="2">
        <f t="shared" si="74"/>
        <v>4</v>
      </c>
    </row>
    <row r="1115" spans="1:12" x14ac:dyDescent="0.3">
      <c r="A1115" s="3">
        <v>45039</v>
      </c>
      <c r="B1115" s="11" t="s">
        <v>2448</v>
      </c>
      <c r="C1115" s="51" t="s">
        <v>1253</v>
      </c>
      <c r="F1115"/>
      <c r="H1115" s="2">
        <v>5000</v>
      </c>
      <c r="I1115" s="2">
        <f t="shared" si="72"/>
        <v>12259.27</v>
      </c>
      <c r="L1115" s="2">
        <f t="shared" si="74"/>
        <v>20</v>
      </c>
    </row>
    <row r="1116" spans="1:12" x14ac:dyDescent="0.3">
      <c r="A1116" s="3">
        <v>45040</v>
      </c>
      <c r="B1116" s="11" t="s">
        <v>3508</v>
      </c>
      <c r="C1116" s="50" t="s">
        <v>3510</v>
      </c>
      <c r="F1116"/>
      <c r="H1116" s="2">
        <v>100</v>
      </c>
      <c r="I1116" s="2">
        <f t="shared" si="72"/>
        <v>12159.27</v>
      </c>
    </row>
    <row r="1117" spans="1:12" x14ac:dyDescent="0.3">
      <c r="A1117" s="3">
        <v>45043</v>
      </c>
      <c r="B1117" s="11" t="s">
        <v>2634</v>
      </c>
      <c r="C1117" s="51" t="s">
        <v>2635</v>
      </c>
      <c r="F1117"/>
      <c r="G1117" s="2">
        <v>500</v>
      </c>
      <c r="I1117" s="2">
        <f t="shared" si="72"/>
        <v>12659.27</v>
      </c>
      <c r="L1117" s="2">
        <f t="shared" ref="L1117:L1126" si="75">IF((G1117+H1117)&lt;=5000,(H1117+G1117)*0.004,20)+IF(E1117="Y",25,0)</f>
        <v>2</v>
      </c>
    </row>
    <row r="1118" spans="1:12" x14ac:dyDescent="0.3">
      <c r="A1118" s="3">
        <v>45043</v>
      </c>
      <c r="B1118" s="11" t="s">
        <v>1160</v>
      </c>
      <c r="C1118" s="51" t="s">
        <v>3513</v>
      </c>
      <c r="F1118"/>
      <c r="G1118" s="2">
        <v>4000</v>
      </c>
      <c r="I1118" s="2">
        <f t="shared" si="72"/>
        <v>16659.27</v>
      </c>
      <c r="L1118" s="2">
        <f t="shared" si="75"/>
        <v>16</v>
      </c>
    </row>
    <row r="1119" spans="1:12" x14ac:dyDescent="0.3">
      <c r="A1119" s="3">
        <v>45043</v>
      </c>
      <c r="B1119" s="11" t="s">
        <v>2448</v>
      </c>
      <c r="C1119" s="51" t="s">
        <v>1253</v>
      </c>
      <c r="F1119"/>
      <c r="H1119" s="2">
        <v>5000</v>
      </c>
      <c r="I1119" s="2">
        <f t="shared" si="72"/>
        <v>11659.27</v>
      </c>
      <c r="L1119" s="2">
        <f t="shared" si="75"/>
        <v>20</v>
      </c>
    </row>
    <row r="1120" spans="1:12" x14ac:dyDescent="0.3">
      <c r="A1120" s="3">
        <v>45043</v>
      </c>
      <c r="B1120" s="11" t="s">
        <v>1472</v>
      </c>
      <c r="C1120" s="51" t="s">
        <v>3514</v>
      </c>
      <c r="D1120" s="50">
        <v>9608611365</v>
      </c>
      <c r="F1120"/>
      <c r="G1120" s="2">
        <v>3900</v>
      </c>
      <c r="I1120" s="2">
        <f t="shared" si="72"/>
        <v>15559.27</v>
      </c>
      <c r="L1120" s="2">
        <f t="shared" si="75"/>
        <v>15.6</v>
      </c>
    </row>
    <row r="1121" spans="1:14" x14ac:dyDescent="0.3">
      <c r="A1121" s="3">
        <v>45044</v>
      </c>
      <c r="B1121" s="11" t="s">
        <v>2416</v>
      </c>
      <c r="C1121" s="51" t="s">
        <v>3515</v>
      </c>
      <c r="D1121" s="50">
        <v>9835900755</v>
      </c>
      <c r="F1121"/>
      <c r="G1121" s="2">
        <v>1000</v>
      </c>
      <c r="I1121" s="2">
        <f t="shared" si="72"/>
        <v>16559.27</v>
      </c>
      <c r="L1121" s="2">
        <f t="shared" si="75"/>
        <v>4</v>
      </c>
    </row>
    <row r="1122" spans="1:14" x14ac:dyDescent="0.3">
      <c r="A1122" s="3">
        <v>45044</v>
      </c>
      <c r="B1122" s="11" t="s">
        <v>1160</v>
      </c>
      <c r="C1122" s="51" t="s">
        <v>3516</v>
      </c>
      <c r="F1122"/>
      <c r="G1122" s="2">
        <v>1000</v>
      </c>
      <c r="I1122" s="2">
        <f t="shared" si="72"/>
        <v>17559.27</v>
      </c>
      <c r="L1122" s="2">
        <f t="shared" si="75"/>
        <v>4</v>
      </c>
    </row>
    <row r="1123" spans="1:14" x14ac:dyDescent="0.3">
      <c r="A1123" s="3">
        <v>45044</v>
      </c>
      <c r="B1123" s="11" t="s">
        <v>1250</v>
      </c>
      <c r="C1123" s="51" t="s">
        <v>3517</v>
      </c>
      <c r="D1123" s="50">
        <v>637103514</v>
      </c>
      <c r="F1123"/>
      <c r="G1123" s="2">
        <v>4000</v>
      </c>
      <c r="I1123" s="2">
        <f t="shared" si="72"/>
        <v>21559.27</v>
      </c>
      <c r="L1123" s="2">
        <f t="shared" si="75"/>
        <v>16</v>
      </c>
    </row>
    <row r="1124" spans="1:14" x14ac:dyDescent="0.3">
      <c r="A1124" s="3">
        <v>45044</v>
      </c>
      <c r="B1124" s="11" t="s">
        <v>2716</v>
      </c>
      <c r="C1124" s="51" t="s">
        <v>1279</v>
      </c>
      <c r="F1124"/>
      <c r="H1124" s="2">
        <v>10000</v>
      </c>
      <c r="I1124" s="2">
        <f t="shared" si="72"/>
        <v>11559.27</v>
      </c>
      <c r="L1124" s="2">
        <f t="shared" si="75"/>
        <v>20</v>
      </c>
    </row>
    <row r="1125" spans="1:14" x14ac:dyDescent="0.3">
      <c r="A1125" s="3">
        <v>45044</v>
      </c>
      <c r="B1125" s="11" t="s">
        <v>1250</v>
      </c>
      <c r="C1125" s="51"/>
      <c r="F1125"/>
      <c r="G1125" s="2">
        <v>950</v>
      </c>
      <c r="I1125" s="2">
        <f t="shared" si="72"/>
        <v>12509.27</v>
      </c>
      <c r="L1125" s="2">
        <f t="shared" si="75"/>
        <v>3.8000000000000003</v>
      </c>
    </row>
    <row r="1126" spans="1:14" x14ac:dyDescent="0.3">
      <c r="A1126" s="3">
        <v>45046</v>
      </c>
      <c r="B1126" s="11" t="s">
        <v>1160</v>
      </c>
      <c r="C1126" s="51" t="s">
        <v>3518</v>
      </c>
      <c r="F1126"/>
      <c r="G1126" s="2">
        <v>200</v>
      </c>
      <c r="I1126" s="2">
        <f t="shared" si="72"/>
        <v>12709.27</v>
      </c>
      <c r="L1126" s="2">
        <f t="shared" si="75"/>
        <v>0.8</v>
      </c>
    </row>
    <row r="1127" spans="1:14" x14ac:dyDescent="0.3">
      <c r="A1127" s="3"/>
      <c r="C1127" s="51"/>
      <c r="F1127"/>
    </row>
    <row r="1128" spans="1:14" x14ac:dyDescent="0.3">
      <c r="A1128" s="77"/>
      <c r="B1128" s="80"/>
      <c r="C1128" s="112"/>
      <c r="D1128" s="112"/>
      <c r="E1128" s="92">
        <f>COUNTIF(E1042:E1127,"Y")</f>
        <v>5</v>
      </c>
      <c r="F1128" s="77">
        <f>G1128+H1128</f>
        <v>334538.52</v>
      </c>
      <c r="G1128" s="84">
        <f>SUM(G1042:G1127)</f>
        <v>169438.52</v>
      </c>
      <c r="H1128" s="84">
        <f>SUM(H1042:H1127)</f>
        <v>165100</v>
      </c>
      <c r="I1128" s="81"/>
      <c r="J1128" s="77"/>
      <c r="K1128" s="77"/>
      <c r="L1128" s="81">
        <f>SUM(L1042:L1127)</f>
        <v>1082.8399999999997</v>
      </c>
      <c r="M1128" s="77"/>
      <c r="N1128" s="77"/>
    </row>
    <row r="1129" spans="1:14" x14ac:dyDescent="0.3">
      <c r="C1129" s="51"/>
      <c r="D1129" s="51"/>
      <c r="F1129" s="11"/>
    </row>
    <row r="1130" spans="1:14" x14ac:dyDescent="0.3">
      <c r="A1130" s="3">
        <v>45047</v>
      </c>
      <c r="C1130" s="51" t="s">
        <v>2984</v>
      </c>
      <c r="F1130"/>
      <c r="G1130" s="2">
        <v>15008.79</v>
      </c>
      <c r="I1130" s="2">
        <f t="shared" ref="I1130:I1197" si="76">I1129+G1130-H1130</f>
        <v>15008.79</v>
      </c>
    </row>
    <row r="1131" spans="1:14" x14ac:dyDescent="0.3">
      <c r="A1131" s="3">
        <v>45047</v>
      </c>
      <c r="B1131" s="11" t="s">
        <v>1250</v>
      </c>
      <c r="C1131" s="51" t="s">
        <v>2635</v>
      </c>
      <c r="F1131"/>
      <c r="G1131" s="2">
        <v>500</v>
      </c>
      <c r="I1131" s="2">
        <f t="shared" si="76"/>
        <v>15508.79</v>
      </c>
      <c r="L1131" s="2">
        <f t="shared" ref="L1131:L1162" si="77">IF((G1131+H1131)&lt;=5000,(H1131+G1131)*0.004,20)+IF(E1131="Y",25,0)</f>
        <v>2</v>
      </c>
    </row>
    <row r="1132" spans="1:14" x14ac:dyDescent="0.3">
      <c r="A1132" s="3">
        <v>45047</v>
      </c>
      <c r="B1132" s="11" t="s">
        <v>2241</v>
      </c>
      <c r="C1132" s="51" t="s">
        <v>3519</v>
      </c>
      <c r="D1132" s="50">
        <v>9031090013</v>
      </c>
      <c r="F1132"/>
      <c r="G1132" s="2">
        <v>4500</v>
      </c>
      <c r="I1132" s="2">
        <f t="shared" si="76"/>
        <v>20008.79</v>
      </c>
      <c r="L1132" s="2">
        <f t="shared" si="77"/>
        <v>18</v>
      </c>
    </row>
    <row r="1133" spans="1:14" x14ac:dyDescent="0.3">
      <c r="A1133" s="3">
        <v>45047</v>
      </c>
      <c r="B1133" s="11" t="s">
        <v>2337</v>
      </c>
      <c r="C1133" s="51" t="s">
        <v>2626</v>
      </c>
      <c r="F1133"/>
      <c r="G1133" s="2">
        <v>10000</v>
      </c>
      <c r="I1133" s="2">
        <f t="shared" si="76"/>
        <v>30008.79</v>
      </c>
      <c r="L1133" s="2">
        <f t="shared" si="77"/>
        <v>20</v>
      </c>
    </row>
    <row r="1134" spans="1:14" x14ac:dyDescent="0.3">
      <c r="A1134" s="3">
        <v>45047</v>
      </c>
      <c r="B1134" s="11" t="s">
        <v>1257</v>
      </c>
      <c r="C1134" s="51" t="s">
        <v>3521</v>
      </c>
      <c r="F1134"/>
      <c r="H1134" s="2">
        <v>6000</v>
      </c>
      <c r="I1134" s="2">
        <f t="shared" si="76"/>
        <v>24008.79</v>
      </c>
      <c r="L1134" s="2">
        <f t="shared" si="77"/>
        <v>20</v>
      </c>
    </row>
    <row r="1135" spans="1:14" x14ac:dyDescent="0.3">
      <c r="A1135" s="3">
        <v>45047</v>
      </c>
      <c r="B1135" s="11" t="s">
        <v>2678</v>
      </c>
      <c r="C1135" s="51" t="s">
        <v>3520</v>
      </c>
      <c r="F1135"/>
      <c r="H1135" s="2">
        <v>10000</v>
      </c>
      <c r="I1135" s="2">
        <f t="shared" si="76"/>
        <v>14008.79</v>
      </c>
      <c r="L1135" s="2">
        <f t="shared" si="77"/>
        <v>20</v>
      </c>
    </row>
    <row r="1136" spans="1:14" x14ac:dyDescent="0.3">
      <c r="A1136" s="3">
        <v>45047</v>
      </c>
      <c r="B1136" s="11" t="s">
        <v>1160</v>
      </c>
      <c r="C1136" s="51" t="s">
        <v>3522</v>
      </c>
      <c r="D1136" s="50">
        <v>6299391883</v>
      </c>
      <c r="F1136"/>
      <c r="G1136" s="2">
        <v>8000</v>
      </c>
      <c r="I1136" s="2">
        <f t="shared" si="76"/>
        <v>22008.79</v>
      </c>
      <c r="L1136" s="2">
        <f t="shared" si="77"/>
        <v>20</v>
      </c>
    </row>
    <row r="1137" spans="1:12" x14ac:dyDescent="0.3">
      <c r="A1137" s="3">
        <v>45048</v>
      </c>
      <c r="B1137" s="11" t="s">
        <v>2337</v>
      </c>
      <c r="C1137" s="51" t="s">
        <v>2626</v>
      </c>
      <c r="F1137"/>
      <c r="G1137" s="2">
        <v>1000</v>
      </c>
      <c r="I1137" s="2">
        <f t="shared" si="76"/>
        <v>23008.79</v>
      </c>
      <c r="L1137" s="2">
        <f t="shared" si="77"/>
        <v>4</v>
      </c>
    </row>
    <row r="1138" spans="1:12" x14ac:dyDescent="0.3">
      <c r="A1138" s="3">
        <v>45048</v>
      </c>
      <c r="B1138" s="11" t="s">
        <v>2298</v>
      </c>
      <c r="C1138" s="51" t="s">
        <v>3037</v>
      </c>
      <c r="F1138"/>
      <c r="G1138" s="2">
        <v>3000</v>
      </c>
      <c r="I1138" s="2">
        <f t="shared" si="76"/>
        <v>26008.79</v>
      </c>
      <c r="L1138" s="2">
        <f t="shared" si="77"/>
        <v>12</v>
      </c>
    </row>
    <row r="1139" spans="1:12" x14ac:dyDescent="0.3">
      <c r="A1139" s="3">
        <v>45048</v>
      </c>
      <c r="B1139" s="11" t="s">
        <v>3523</v>
      </c>
      <c r="C1139" s="51" t="s">
        <v>2399</v>
      </c>
      <c r="F1139"/>
      <c r="G1139" s="2">
        <v>1400</v>
      </c>
      <c r="I1139" s="2">
        <f t="shared" si="76"/>
        <v>27408.79</v>
      </c>
      <c r="L1139" s="2">
        <f t="shared" si="77"/>
        <v>5.6000000000000005</v>
      </c>
    </row>
    <row r="1140" spans="1:12" x14ac:dyDescent="0.3">
      <c r="A1140" s="3">
        <v>45048</v>
      </c>
      <c r="B1140" s="11" t="s">
        <v>1250</v>
      </c>
      <c r="C1140" s="51" t="s">
        <v>3524</v>
      </c>
      <c r="F1140"/>
      <c r="H1140" s="2">
        <v>10000</v>
      </c>
      <c r="I1140" s="2">
        <f t="shared" si="76"/>
        <v>17408.79</v>
      </c>
      <c r="L1140" s="2">
        <f t="shared" si="77"/>
        <v>20</v>
      </c>
    </row>
    <row r="1141" spans="1:12" x14ac:dyDescent="0.3">
      <c r="A1141" s="3">
        <v>45049</v>
      </c>
      <c r="B1141" s="11" t="s">
        <v>1250</v>
      </c>
      <c r="C1141" s="51" t="s">
        <v>2635</v>
      </c>
      <c r="F1141"/>
      <c r="G1141" s="2">
        <v>10000</v>
      </c>
      <c r="I1141" s="2">
        <f t="shared" si="76"/>
        <v>27408.79</v>
      </c>
      <c r="L1141" s="2">
        <f t="shared" si="77"/>
        <v>20</v>
      </c>
    </row>
    <row r="1142" spans="1:12" x14ac:dyDescent="0.3">
      <c r="A1142" s="3">
        <v>45050</v>
      </c>
      <c r="B1142" s="11" t="s">
        <v>1160</v>
      </c>
      <c r="C1142" s="51"/>
      <c r="F1142"/>
      <c r="G1142" s="2">
        <v>2000</v>
      </c>
      <c r="I1142" s="2">
        <f t="shared" si="76"/>
        <v>29408.79</v>
      </c>
      <c r="L1142" s="2">
        <f t="shared" si="77"/>
        <v>8</v>
      </c>
    </row>
    <row r="1143" spans="1:12" x14ac:dyDescent="0.3">
      <c r="A1143" s="3">
        <v>45050</v>
      </c>
      <c r="C1143" s="51"/>
      <c r="F1143"/>
      <c r="G1143" s="2">
        <v>1000</v>
      </c>
      <c r="I1143" s="2">
        <f t="shared" si="76"/>
        <v>30408.79</v>
      </c>
      <c r="L1143" s="2">
        <f t="shared" si="77"/>
        <v>4</v>
      </c>
    </row>
    <row r="1144" spans="1:12" x14ac:dyDescent="0.3">
      <c r="A1144" s="3">
        <v>45050</v>
      </c>
      <c r="B1144" s="11" t="s">
        <v>3525</v>
      </c>
      <c r="C1144" s="51" t="s">
        <v>3526</v>
      </c>
      <c r="F1144"/>
      <c r="H1144" s="2">
        <v>5000</v>
      </c>
      <c r="I1144" s="2">
        <f t="shared" si="76"/>
        <v>25408.79</v>
      </c>
      <c r="L1144" s="2">
        <f t="shared" si="77"/>
        <v>20</v>
      </c>
    </row>
    <row r="1145" spans="1:12" x14ac:dyDescent="0.3">
      <c r="A1145" s="3">
        <v>45051</v>
      </c>
      <c r="B1145" s="11" t="s">
        <v>3527</v>
      </c>
      <c r="C1145" s="51" t="s">
        <v>3528</v>
      </c>
      <c r="F1145"/>
      <c r="H1145" s="2">
        <v>4000</v>
      </c>
      <c r="I1145" s="2">
        <f t="shared" si="76"/>
        <v>21408.79</v>
      </c>
      <c r="L1145" s="2">
        <f t="shared" si="77"/>
        <v>16</v>
      </c>
    </row>
    <row r="1146" spans="1:12" x14ac:dyDescent="0.3">
      <c r="A1146" s="3">
        <v>45051</v>
      </c>
      <c r="B1146" s="11" t="s">
        <v>3525</v>
      </c>
      <c r="C1146" s="51" t="s">
        <v>3529</v>
      </c>
      <c r="F1146"/>
      <c r="H1146" s="2">
        <v>5000</v>
      </c>
      <c r="I1146" s="2">
        <f t="shared" si="76"/>
        <v>16408.79</v>
      </c>
      <c r="L1146" s="2">
        <f t="shared" si="77"/>
        <v>20</v>
      </c>
    </row>
    <row r="1147" spans="1:12" x14ac:dyDescent="0.3">
      <c r="A1147" s="3">
        <v>45051</v>
      </c>
      <c r="C1147" s="51" t="s">
        <v>3524</v>
      </c>
      <c r="F1147"/>
      <c r="H1147" s="2">
        <v>3000</v>
      </c>
      <c r="I1147" s="2">
        <f t="shared" si="76"/>
        <v>13408.79</v>
      </c>
      <c r="L1147" s="2">
        <f t="shared" si="77"/>
        <v>12</v>
      </c>
    </row>
    <row r="1148" spans="1:12" x14ac:dyDescent="0.3">
      <c r="A1148" s="3">
        <v>45051</v>
      </c>
      <c r="B1148" s="11" t="s">
        <v>3530</v>
      </c>
      <c r="C1148" s="51" t="s">
        <v>3531</v>
      </c>
      <c r="E1148" s="90" t="s">
        <v>16</v>
      </c>
      <c r="F1148"/>
      <c r="H1148" s="2">
        <v>100</v>
      </c>
      <c r="I1148" s="2">
        <f t="shared" si="76"/>
        <v>13308.79</v>
      </c>
      <c r="L1148" s="2">
        <f t="shared" si="77"/>
        <v>25.4</v>
      </c>
    </row>
    <row r="1149" spans="1:12" x14ac:dyDescent="0.3">
      <c r="A1149" s="3">
        <v>45051</v>
      </c>
      <c r="B1149" s="11" t="s">
        <v>3537</v>
      </c>
      <c r="C1149" s="51"/>
      <c r="E1149" s="90" t="s">
        <v>16</v>
      </c>
      <c r="F1149"/>
      <c r="H1149" s="2">
        <v>200</v>
      </c>
      <c r="I1149" s="2">
        <f t="shared" si="76"/>
        <v>13108.79</v>
      </c>
      <c r="L1149" s="2">
        <f t="shared" si="77"/>
        <v>25.8</v>
      </c>
    </row>
    <row r="1150" spans="1:12" x14ac:dyDescent="0.3">
      <c r="A1150" s="3">
        <v>45052</v>
      </c>
      <c r="B1150" s="11" t="s">
        <v>1250</v>
      </c>
      <c r="C1150" s="51" t="s">
        <v>2626</v>
      </c>
      <c r="F1150"/>
      <c r="G1150" s="2">
        <v>500</v>
      </c>
      <c r="I1150" s="2">
        <f t="shared" si="76"/>
        <v>13608.79</v>
      </c>
      <c r="L1150" s="2">
        <f t="shared" si="77"/>
        <v>2</v>
      </c>
    </row>
    <row r="1151" spans="1:12" x14ac:dyDescent="0.3">
      <c r="A1151" s="3">
        <v>45052</v>
      </c>
      <c r="B1151" s="11" t="s">
        <v>1250</v>
      </c>
      <c r="C1151" s="51" t="s">
        <v>2734</v>
      </c>
      <c r="F1151"/>
      <c r="G1151" s="2">
        <v>800</v>
      </c>
      <c r="I1151" s="2">
        <f t="shared" si="76"/>
        <v>14408.79</v>
      </c>
      <c r="L1151" s="2">
        <f t="shared" si="77"/>
        <v>3.2</v>
      </c>
    </row>
    <row r="1152" spans="1:12" x14ac:dyDescent="0.3">
      <c r="A1152" s="3">
        <v>45052</v>
      </c>
      <c r="B1152" s="11" t="s">
        <v>1250</v>
      </c>
      <c r="C1152" s="51" t="s">
        <v>3538</v>
      </c>
      <c r="F1152"/>
      <c r="G1152" s="2">
        <v>5000</v>
      </c>
      <c r="I1152" s="2">
        <f t="shared" si="76"/>
        <v>19408.79</v>
      </c>
      <c r="L1152" s="2">
        <f t="shared" si="77"/>
        <v>20</v>
      </c>
    </row>
    <row r="1153" spans="1:12" x14ac:dyDescent="0.3">
      <c r="A1153" s="3">
        <v>45052</v>
      </c>
      <c r="B1153" s="11" t="s">
        <v>1250</v>
      </c>
      <c r="C1153" s="51" t="s">
        <v>3539</v>
      </c>
      <c r="F1153"/>
      <c r="G1153" s="2">
        <v>2000</v>
      </c>
      <c r="I1153" s="2">
        <f t="shared" si="76"/>
        <v>21408.79</v>
      </c>
      <c r="L1153" s="2">
        <f t="shared" si="77"/>
        <v>8</v>
      </c>
    </row>
    <row r="1154" spans="1:12" x14ac:dyDescent="0.3">
      <c r="A1154" s="3">
        <v>45052</v>
      </c>
      <c r="B1154" s="11" t="s">
        <v>3540</v>
      </c>
      <c r="C1154" s="51" t="s">
        <v>1644</v>
      </c>
      <c r="F1154"/>
      <c r="H1154" s="2">
        <v>2500</v>
      </c>
      <c r="I1154" s="2">
        <f t="shared" si="76"/>
        <v>18908.79</v>
      </c>
      <c r="L1154" s="2">
        <f t="shared" si="77"/>
        <v>10</v>
      </c>
    </row>
    <row r="1155" spans="1:12" x14ac:dyDescent="0.3">
      <c r="A1155" s="3">
        <v>45052</v>
      </c>
      <c r="B1155" s="11" t="s">
        <v>3541</v>
      </c>
      <c r="C1155" s="51" t="s">
        <v>3542</v>
      </c>
      <c r="F1155"/>
      <c r="G1155" s="2">
        <v>2000</v>
      </c>
      <c r="I1155" s="2">
        <f t="shared" si="76"/>
        <v>20908.79</v>
      </c>
      <c r="L1155" s="2">
        <f t="shared" si="77"/>
        <v>8</v>
      </c>
    </row>
    <row r="1156" spans="1:12" x14ac:dyDescent="0.3">
      <c r="A1156" s="3">
        <v>45052</v>
      </c>
      <c r="B1156" s="11" t="s">
        <v>3543</v>
      </c>
      <c r="C1156" s="51" t="s">
        <v>2626</v>
      </c>
      <c r="F1156"/>
      <c r="G1156" s="2">
        <v>1000</v>
      </c>
      <c r="I1156" s="2">
        <f t="shared" si="76"/>
        <v>21908.79</v>
      </c>
      <c r="L1156" s="2">
        <f t="shared" si="77"/>
        <v>4</v>
      </c>
    </row>
    <row r="1157" spans="1:12" x14ac:dyDescent="0.3">
      <c r="A1157" s="3">
        <v>45054</v>
      </c>
      <c r="B1157" s="11" t="s">
        <v>3544</v>
      </c>
      <c r="C1157" s="51" t="s">
        <v>3268</v>
      </c>
      <c r="F1157"/>
      <c r="G1157" s="2">
        <v>2000</v>
      </c>
      <c r="I1157" s="2">
        <f t="shared" si="76"/>
        <v>23908.79</v>
      </c>
      <c r="L1157" s="2">
        <f t="shared" si="77"/>
        <v>8</v>
      </c>
    </row>
    <row r="1158" spans="1:12" x14ac:dyDescent="0.3">
      <c r="A1158" s="3">
        <v>45054</v>
      </c>
      <c r="B1158" s="11" t="s">
        <v>2716</v>
      </c>
      <c r="C1158" s="51" t="s">
        <v>1279</v>
      </c>
      <c r="F1158"/>
      <c r="H1158" s="2">
        <v>10000</v>
      </c>
      <c r="I1158" s="2">
        <f t="shared" si="76"/>
        <v>13908.79</v>
      </c>
      <c r="L1158" s="2">
        <f t="shared" si="77"/>
        <v>20</v>
      </c>
    </row>
    <row r="1159" spans="1:12" x14ac:dyDescent="0.3">
      <c r="A1159" s="3">
        <v>45054</v>
      </c>
      <c r="B1159" s="11" t="s">
        <v>1250</v>
      </c>
      <c r="C1159" s="51" t="s">
        <v>2635</v>
      </c>
      <c r="F1159"/>
      <c r="G1159" s="2">
        <v>2000</v>
      </c>
      <c r="I1159" s="2">
        <f t="shared" si="76"/>
        <v>15908.79</v>
      </c>
      <c r="L1159" s="2">
        <f t="shared" si="77"/>
        <v>8</v>
      </c>
    </row>
    <row r="1160" spans="1:12" x14ac:dyDescent="0.3">
      <c r="A1160" s="3">
        <v>45054</v>
      </c>
      <c r="C1160" s="51" t="s">
        <v>3245</v>
      </c>
      <c r="F1160"/>
      <c r="H1160" s="2">
        <v>1600</v>
      </c>
      <c r="I1160" s="2">
        <f t="shared" si="76"/>
        <v>14308.79</v>
      </c>
      <c r="L1160" s="2">
        <f t="shared" si="77"/>
        <v>6.4</v>
      </c>
    </row>
    <row r="1161" spans="1:12" x14ac:dyDescent="0.3">
      <c r="A1161" s="3">
        <v>45054</v>
      </c>
      <c r="B1161" s="11" t="s">
        <v>3551</v>
      </c>
      <c r="C1161" s="51" t="s">
        <v>3552</v>
      </c>
      <c r="E1161" s="90" t="s">
        <v>16</v>
      </c>
      <c r="F1161"/>
      <c r="H1161" s="2">
        <v>200</v>
      </c>
      <c r="I1161" s="2">
        <f t="shared" si="76"/>
        <v>14108.79</v>
      </c>
      <c r="L1161" s="2">
        <f t="shared" si="77"/>
        <v>25.8</v>
      </c>
    </row>
    <row r="1162" spans="1:12" x14ac:dyDescent="0.3">
      <c r="A1162" s="3">
        <v>45054</v>
      </c>
      <c r="B1162" s="11" t="s">
        <v>1160</v>
      </c>
      <c r="C1162" s="51" t="s">
        <v>3548</v>
      </c>
      <c r="F1162"/>
      <c r="G1162" s="2">
        <v>300</v>
      </c>
      <c r="I1162" s="2">
        <f t="shared" si="76"/>
        <v>14408.79</v>
      </c>
      <c r="L1162" s="2">
        <f t="shared" si="77"/>
        <v>1.2</v>
      </c>
    </row>
    <row r="1163" spans="1:12" x14ac:dyDescent="0.3">
      <c r="A1163" s="3">
        <v>45055</v>
      </c>
      <c r="B1163" s="11" t="s">
        <v>3549</v>
      </c>
      <c r="C1163" s="51" t="s">
        <v>3550</v>
      </c>
      <c r="D1163" s="50">
        <v>9122946438</v>
      </c>
      <c r="F1163"/>
      <c r="G1163" s="2">
        <v>2000</v>
      </c>
      <c r="I1163" s="2">
        <f t="shared" si="76"/>
        <v>16408.79</v>
      </c>
      <c r="L1163" s="2">
        <f t="shared" ref="L1163:L1194" si="78">IF((G1163+H1163)&lt;=5000,(H1163+G1163)*0.004,20)+IF(E1163="Y",25,0)</f>
        <v>8</v>
      </c>
    </row>
    <row r="1164" spans="1:12" x14ac:dyDescent="0.3">
      <c r="A1164" s="3">
        <v>45055</v>
      </c>
      <c r="B1164" s="11" t="s">
        <v>1250</v>
      </c>
      <c r="C1164" s="51"/>
      <c r="F1164"/>
      <c r="H1164" s="2">
        <v>500</v>
      </c>
      <c r="I1164" s="2">
        <f t="shared" si="76"/>
        <v>15908.79</v>
      </c>
      <c r="L1164" s="2">
        <f t="shared" si="78"/>
        <v>2</v>
      </c>
    </row>
    <row r="1165" spans="1:12" x14ac:dyDescent="0.3">
      <c r="A1165" s="3">
        <v>45055</v>
      </c>
      <c r="B1165" s="11" t="s">
        <v>2448</v>
      </c>
      <c r="C1165" s="51" t="s">
        <v>2289</v>
      </c>
      <c r="F1165"/>
      <c r="H1165" s="2">
        <v>5000</v>
      </c>
      <c r="I1165" s="2">
        <f t="shared" si="76"/>
        <v>10908.79</v>
      </c>
      <c r="L1165" s="2">
        <f t="shared" si="78"/>
        <v>20</v>
      </c>
    </row>
    <row r="1166" spans="1:12" x14ac:dyDescent="0.3">
      <c r="A1166" s="3">
        <v>45055</v>
      </c>
      <c r="B1166" s="11" t="s">
        <v>3553</v>
      </c>
      <c r="C1166" s="51" t="s">
        <v>3557</v>
      </c>
      <c r="E1166" s="90" t="s">
        <v>16</v>
      </c>
      <c r="F1166"/>
      <c r="H1166" s="2">
        <v>500</v>
      </c>
      <c r="I1166" s="2">
        <f t="shared" si="76"/>
        <v>10408.790000000001</v>
      </c>
      <c r="L1166" s="2">
        <f t="shared" si="78"/>
        <v>27</v>
      </c>
    </row>
    <row r="1167" spans="1:12" x14ac:dyDescent="0.3">
      <c r="A1167" s="3">
        <v>45055</v>
      </c>
      <c r="B1167" s="11" t="s">
        <v>2184</v>
      </c>
      <c r="C1167" s="51" t="s">
        <v>3344</v>
      </c>
      <c r="F1167"/>
      <c r="H1167" s="2">
        <v>4200</v>
      </c>
      <c r="I1167" s="2">
        <f t="shared" si="76"/>
        <v>6208.7900000000009</v>
      </c>
      <c r="L1167" s="2">
        <f t="shared" si="78"/>
        <v>16.8</v>
      </c>
    </row>
    <row r="1168" spans="1:12" x14ac:dyDescent="0.3">
      <c r="A1168" s="3">
        <v>45055</v>
      </c>
      <c r="B1168" s="11" t="s">
        <v>2346</v>
      </c>
      <c r="C1168" s="51" t="s">
        <v>2456</v>
      </c>
      <c r="F1168"/>
      <c r="H1168" s="2">
        <v>3600</v>
      </c>
      <c r="I1168" s="2">
        <f t="shared" si="76"/>
        <v>2608.7900000000009</v>
      </c>
      <c r="L1168" s="2">
        <f t="shared" si="78"/>
        <v>14.4</v>
      </c>
    </row>
    <row r="1169" spans="1:12" x14ac:dyDescent="0.3">
      <c r="A1169" s="3">
        <v>45055</v>
      </c>
      <c r="C1169" s="51" t="s">
        <v>2635</v>
      </c>
      <c r="F1169"/>
      <c r="G1169" s="2">
        <v>5500</v>
      </c>
      <c r="I1169" s="2">
        <f t="shared" si="76"/>
        <v>8108.7900000000009</v>
      </c>
      <c r="L1169" s="2">
        <f t="shared" si="78"/>
        <v>20</v>
      </c>
    </row>
    <row r="1170" spans="1:12" x14ac:dyDescent="0.3">
      <c r="A1170" s="3">
        <v>45055</v>
      </c>
      <c r="B1170" s="11" t="s">
        <v>3039</v>
      </c>
      <c r="C1170" s="51" t="s">
        <v>3558</v>
      </c>
      <c r="D1170" s="50">
        <v>8873083639</v>
      </c>
      <c r="F1170"/>
      <c r="G1170" s="2">
        <v>1000</v>
      </c>
      <c r="I1170" s="2">
        <f t="shared" si="76"/>
        <v>9108.7900000000009</v>
      </c>
      <c r="L1170" s="2">
        <f t="shared" si="78"/>
        <v>4</v>
      </c>
    </row>
    <row r="1171" spans="1:12" x14ac:dyDescent="0.3">
      <c r="A1171" s="3">
        <v>45056</v>
      </c>
      <c r="B1171" s="11" t="s">
        <v>1250</v>
      </c>
      <c r="C1171" s="51" t="s">
        <v>3562</v>
      </c>
      <c r="F1171"/>
      <c r="G1171" s="2">
        <v>2000</v>
      </c>
      <c r="I1171" s="2">
        <f t="shared" si="76"/>
        <v>11108.79</v>
      </c>
      <c r="L1171" s="2">
        <f t="shared" si="78"/>
        <v>8</v>
      </c>
    </row>
    <row r="1172" spans="1:12" x14ac:dyDescent="0.3">
      <c r="A1172" s="3">
        <v>45056</v>
      </c>
      <c r="B1172" s="11" t="s">
        <v>3564</v>
      </c>
      <c r="C1172" s="51"/>
      <c r="E1172" s="90" t="s">
        <v>16</v>
      </c>
      <c r="F1172"/>
      <c r="H1172" s="2">
        <v>500</v>
      </c>
      <c r="I1172" s="2">
        <f t="shared" si="76"/>
        <v>10608.79</v>
      </c>
      <c r="L1172" s="2">
        <f t="shared" si="78"/>
        <v>27</v>
      </c>
    </row>
    <row r="1173" spans="1:12" x14ac:dyDescent="0.3">
      <c r="A1173" s="3">
        <v>45056</v>
      </c>
      <c r="B1173" s="11" t="s">
        <v>3563</v>
      </c>
      <c r="C1173" s="51" t="s">
        <v>3565</v>
      </c>
      <c r="E1173" s="90" t="s">
        <v>16</v>
      </c>
      <c r="F1173"/>
      <c r="H1173" s="2">
        <v>200</v>
      </c>
      <c r="I1173" s="2">
        <f t="shared" si="76"/>
        <v>10408.790000000001</v>
      </c>
      <c r="L1173" s="2">
        <f t="shared" si="78"/>
        <v>25.8</v>
      </c>
    </row>
    <row r="1174" spans="1:12" x14ac:dyDescent="0.3">
      <c r="A1174" s="3">
        <v>45056</v>
      </c>
      <c r="B1174" s="11" t="s">
        <v>2944</v>
      </c>
      <c r="C1174" s="51" t="s">
        <v>3385</v>
      </c>
      <c r="F1174"/>
      <c r="G1174" s="2">
        <v>2000</v>
      </c>
      <c r="I1174" s="2">
        <f t="shared" si="76"/>
        <v>12408.79</v>
      </c>
      <c r="L1174" s="2">
        <f t="shared" si="78"/>
        <v>8</v>
      </c>
    </row>
    <row r="1175" spans="1:12" x14ac:dyDescent="0.3">
      <c r="A1175" s="3">
        <v>45056</v>
      </c>
      <c r="B1175" s="11" t="s">
        <v>3571</v>
      </c>
      <c r="C1175" s="51" t="s">
        <v>3542</v>
      </c>
      <c r="F1175"/>
      <c r="G1175" s="2">
        <v>1000</v>
      </c>
      <c r="I1175" s="2">
        <f t="shared" si="76"/>
        <v>13408.79</v>
      </c>
      <c r="L1175" s="2">
        <f t="shared" si="78"/>
        <v>4</v>
      </c>
    </row>
    <row r="1176" spans="1:12" x14ac:dyDescent="0.3">
      <c r="A1176" s="3">
        <v>45056</v>
      </c>
      <c r="B1176" s="11" t="s">
        <v>3577</v>
      </c>
      <c r="C1176" s="51" t="s">
        <v>3578</v>
      </c>
      <c r="E1176" s="90" t="s">
        <v>16</v>
      </c>
      <c r="F1176"/>
      <c r="H1176" s="2">
        <v>100</v>
      </c>
      <c r="I1176" s="2">
        <f t="shared" si="76"/>
        <v>13308.79</v>
      </c>
      <c r="L1176" s="2">
        <f t="shared" si="78"/>
        <v>25.4</v>
      </c>
    </row>
    <row r="1177" spans="1:12" x14ac:dyDescent="0.3">
      <c r="A1177" s="3">
        <v>45057</v>
      </c>
      <c r="B1177" s="11" t="s">
        <v>2594</v>
      </c>
      <c r="C1177" s="51" t="s">
        <v>3370</v>
      </c>
      <c r="F1177"/>
      <c r="G1177" s="2">
        <v>1100</v>
      </c>
      <c r="I1177" s="2">
        <f t="shared" si="76"/>
        <v>14408.79</v>
      </c>
      <c r="L1177" s="2">
        <f t="shared" si="78"/>
        <v>4.4000000000000004</v>
      </c>
    </row>
    <row r="1178" spans="1:12" x14ac:dyDescent="0.3">
      <c r="A1178" s="3">
        <v>45057</v>
      </c>
      <c r="B1178" s="11" t="s">
        <v>2241</v>
      </c>
      <c r="C1178" s="51" t="s">
        <v>3580</v>
      </c>
      <c r="F1178"/>
      <c r="G1178" s="2">
        <v>2800</v>
      </c>
      <c r="I1178" s="2">
        <f t="shared" si="76"/>
        <v>17208.79</v>
      </c>
      <c r="L1178" s="2">
        <f t="shared" si="78"/>
        <v>11.200000000000001</v>
      </c>
    </row>
    <row r="1179" spans="1:12" x14ac:dyDescent="0.3">
      <c r="A1179" s="3">
        <v>45057</v>
      </c>
      <c r="B1179" s="11" t="s">
        <v>3571</v>
      </c>
      <c r="C1179" s="51" t="s">
        <v>3542</v>
      </c>
      <c r="F1179"/>
      <c r="G1179" s="2">
        <v>400</v>
      </c>
      <c r="I1179" s="2">
        <f t="shared" si="76"/>
        <v>17608.79</v>
      </c>
      <c r="L1179" s="2">
        <f t="shared" si="78"/>
        <v>1.6</v>
      </c>
    </row>
    <row r="1180" spans="1:12" x14ac:dyDescent="0.3">
      <c r="A1180" s="3">
        <v>45057</v>
      </c>
      <c r="B1180" s="11" t="s">
        <v>2241</v>
      </c>
      <c r="C1180" s="51" t="s">
        <v>3581</v>
      </c>
      <c r="F1180"/>
      <c r="G1180" s="2">
        <v>1000</v>
      </c>
      <c r="I1180" s="2">
        <f t="shared" si="76"/>
        <v>18608.79</v>
      </c>
      <c r="L1180" s="2">
        <f t="shared" si="78"/>
        <v>4</v>
      </c>
    </row>
    <row r="1181" spans="1:12" x14ac:dyDescent="0.3">
      <c r="A1181" s="3">
        <v>45058</v>
      </c>
      <c r="B1181" s="11" t="s">
        <v>2634</v>
      </c>
      <c r="C1181" s="51" t="s">
        <v>2635</v>
      </c>
      <c r="F1181"/>
      <c r="G1181" s="2">
        <v>500</v>
      </c>
      <c r="I1181" s="2">
        <f t="shared" si="76"/>
        <v>19108.79</v>
      </c>
      <c r="L1181" s="2">
        <f t="shared" si="78"/>
        <v>2</v>
      </c>
    </row>
    <row r="1182" spans="1:12" x14ac:dyDescent="0.3">
      <c r="A1182" s="3">
        <v>45058</v>
      </c>
      <c r="B1182" s="11" t="s">
        <v>3493</v>
      </c>
      <c r="C1182" s="51" t="s">
        <v>3582</v>
      </c>
      <c r="F1182"/>
      <c r="H1182" s="2">
        <v>500</v>
      </c>
      <c r="I1182" s="2">
        <f t="shared" si="76"/>
        <v>18608.79</v>
      </c>
      <c r="L1182" s="2">
        <f t="shared" si="78"/>
        <v>2</v>
      </c>
    </row>
    <row r="1183" spans="1:12" x14ac:dyDescent="0.3">
      <c r="A1183" s="3">
        <v>45059</v>
      </c>
      <c r="B1183" s="11" t="s">
        <v>2634</v>
      </c>
      <c r="C1183" s="51" t="s">
        <v>2635</v>
      </c>
      <c r="F1183"/>
      <c r="G1183" s="2">
        <v>1000</v>
      </c>
      <c r="I1183" s="2">
        <f t="shared" si="76"/>
        <v>19608.79</v>
      </c>
      <c r="L1183" s="2">
        <f t="shared" si="78"/>
        <v>4</v>
      </c>
    </row>
    <row r="1184" spans="1:12" x14ac:dyDescent="0.3">
      <c r="A1184" s="3">
        <v>45059</v>
      </c>
      <c r="B1184" s="11" t="s">
        <v>2448</v>
      </c>
      <c r="C1184" s="51" t="s">
        <v>2289</v>
      </c>
      <c r="F1184"/>
      <c r="H1184" s="2">
        <v>7000</v>
      </c>
      <c r="I1184" s="2">
        <f t="shared" si="76"/>
        <v>12608.79</v>
      </c>
      <c r="L1184" s="2">
        <f t="shared" si="78"/>
        <v>20</v>
      </c>
    </row>
    <row r="1185" spans="1:12" x14ac:dyDescent="0.3">
      <c r="A1185" s="3">
        <v>45059</v>
      </c>
      <c r="B1185" s="11" t="s">
        <v>1250</v>
      </c>
      <c r="C1185" s="51" t="s">
        <v>2295</v>
      </c>
      <c r="F1185"/>
      <c r="G1185" s="2">
        <v>10000</v>
      </c>
      <c r="I1185" s="2">
        <f t="shared" si="76"/>
        <v>22608.79</v>
      </c>
      <c r="L1185" s="2">
        <f t="shared" si="78"/>
        <v>20</v>
      </c>
    </row>
    <row r="1186" spans="1:12" x14ac:dyDescent="0.3">
      <c r="A1186" s="3">
        <v>45061</v>
      </c>
      <c r="B1186" s="11">
        <v>5133</v>
      </c>
      <c r="C1186" s="51" t="s">
        <v>3585</v>
      </c>
      <c r="E1186" s="90" t="s">
        <v>16</v>
      </c>
      <c r="F1186"/>
      <c r="H1186" s="2">
        <v>1000</v>
      </c>
      <c r="I1186" s="2">
        <f t="shared" si="76"/>
        <v>21608.79</v>
      </c>
      <c r="J1186">
        <v>23108.79</v>
      </c>
      <c r="L1186" s="2">
        <f t="shared" si="78"/>
        <v>29</v>
      </c>
    </row>
    <row r="1187" spans="1:12" x14ac:dyDescent="0.3">
      <c r="A1187" s="3">
        <v>45061</v>
      </c>
      <c r="B1187" s="11" t="s">
        <v>2944</v>
      </c>
      <c r="C1187" s="51" t="s">
        <v>3587</v>
      </c>
      <c r="F1187"/>
      <c r="G1187" s="2">
        <v>2000</v>
      </c>
      <c r="I1187" s="2">
        <f t="shared" si="76"/>
        <v>23608.79</v>
      </c>
      <c r="L1187" s="2">
        <f t="shared" si="78"/>
        <v>8</v>
      </c>
    </row>
    <row r="1188" spans="1:12" x14ac:dyDescent="0.3">
      <c r="A1188" s="3">
        <v>45061</v>
      </c>
      <c r="B1188" s="11" t="s">
        <v>1250</v>
      </c>
      <c r="C1188" s="51" t="s">
        <v>2250</v>
      </c>
      <c r="F1188"/>
      <c r="G1188" s="2">
        <v>3000</v>
      </c>
      <c r="I1188" s="2">
        <f t="shared" si="76"/>
        <v>26608.79</v>
      </c>
      <c r="L1188" s="2">
        <f t="shared" si="78"/>
        <v>12</v>
      </c>
    </row>
    <row r="1189" spans="1:12" x14ac:dyDescent="0.3">
      <c r="A1189" s="3">
        <v>45062</v>
      </c>
      <c r="B1189" s="11">
        <v>5134</v>
      </c>
      <c r="C1189" s="51" t="s">
        <v>3596</v>
      </c>
      <c r="E1189" s="90" t="s">
        <v>16</v>
      </c>
      <c r="F1189"/>
      <c r="H1189" s="2">
        <v>400</v>
      </c>
      <c r="I1189" s="2">
        <f t="shared" si="76"/>
        <v>26208.79</v>
      </c>
      <c r="L1189" s="2">
        <f t="shared" si="78"/>
        <v>26.6</v>
      </c>
    </row>
    <row r="1190" spans="1:12" x14ac:dyDescent="0.3">
      <c r="A1190" s="3">
        <v>45062</v>
      </c>
      <c r="B1190" s="11">
        <v>5135</v>
      </c>
      <c r="C1190" s="51" t="s">
        <v>3591</v>
      </c>
      <c r="E1190" s="90" t="s">
        <v>16</v>
      </c>
      <c r="F1190"/>
      <c r="H1190" s="2">
        <v>400</v>
      </c>
      <c r="I1190" s="2">
        <f t="shared" si="76"/>
        <v>25808.79</v>
      </c>
      <c r="L1190" s="2">
        <f t="shared" si="78"/>
        <v>26.6</v>
      </c>
    </row>
    <row r="1191" spans="1:12" x14ac:dyDescent="0.3">
      <c r="A1191" s="3">
        <v>45062</v>
      </c>
      <c r="B1191" s="11">
        <v>4924</v>
      </c>
      <c r="C1191" s="51" t="s">
        <v>2635</v>
      </c>
      <c r="F1191"/>
      <c r="G1191" s="2">
        <v>500</v>
      </c>
      <c r="I1191" s="2">
        <f t="shared" si="76"/>
        <v>26308.79</v>
      </c>
      <c r="L1191" s="2">
        <f t="shared" si="78"/>
        <v>2</v>
      </c>
    </row>
    <row r="1192" spans="1:12" x14ac:dyDescent="0.3">
      <c r="A1192" s="3">
        <v>45062</v>
      </c>
      <c r="C1192" s="51" t="s">
        <v>2653</v>
      </c>
      <c r="F1192"/>
      <c r="G1192" s="2">
        <v>811.41</v>
      </c>
      <c r="I1192" s="2">
        <f t="shared" si="76"/>
        <v>27120.2</v>
      </c>
      <c r="L1192" s="2">
        <f t="shared" si="78"/>
        <v>3.2456399999999999</v>
      </c>
    </row>
    <row r="1193" spans="1:12" x14ac:dyDescent="0.3">
      <c r="A1193" s="3">
        <v>45062</v>
      </c>
      <c r="B1193" s="11" t="s">
        <v>1250</v>
      </c>
      <c r="C1193" s="51" t="s">
        <v>3597</v>
      </c>
      <c r="F1193"/>
      <c r="G1193" s="2">
        <v>1000</v>
      </c>
      <c r="I1193" s="2">
        <f t="shared" si="76"/>
        <v>28120.2</v>
      </c>
      <c r="L1193" s="2">
        <f t="shared" si="78"/>
        <v>4</v>
      </c>
    </row>
    <row r="1194" spans="1:12" x14ac:dyDescent="0.3">
      <c r="A1194" s="3">
        <v>45062</v>
      </c>
      <c r="B1194" s="11">
        <v>503</v>
      </c>
      <c r="C1194" s="51" t="s">
        <v>2652</v>
      </c>
      <c r="F1194"/>
      <c r="H1194" s="2">
        <v>1000</v>
      </c>
      <c r="I1194" s="2">
        <f t="shared" si="76"/>
        <v>27120.2</v>
      </c>
      <c r="L1194" s="2">
        <f t="shared" si="78"/>
        <v>4</v>
      </c>
    </row>
    <row r="1195" spans="1:12" x14ac:dyDescent="0.3">
      <c r="A1195" s="3">
        <v>45062</v>
      </c>
      <c r="B1195" s="11" t="s">
        <v>1250</v>
      </c>
      <c r="C1195" s="51" t="s">
        <v>2250</v>
      </c>
      <c r="F1195"/>
      <c r="G1195" s="2">
        <v>2020</v>
      </c>
      <c r="I1195" s="2">
        <f t="shared" si="76"/>
        <v>29140.2</v>
      </c>
      <c r="L1195" s="2">
        <f t="shared" ref="L1195:L1219" si="79">IF((G1195+H1195)&lt;=5000,(H1195+G1195)*0.004,20)+IF(E1195="Y",25,0)</f>
        <v>8.08</v>
      </c>
    </row>
    <row r="1196" spans="1:12" x14ac:dyDescent="0.3">
      <c r="A1196" s="3">
        <v>45062</v>
      </c>
      <c r="B1196" s="11">
        <v>2189</v>
      </c>
      <c r="C1196" s="51" t="s">
        <v>2626</v>
      </c>
      <c r="F1196"/>
      <c r="G1196" s="2">
        <v>1000</v>
      </c>
      <c r="I1196" s="2">
        <f t="shared" si="76"/>
        <v>30140.2</v>
      </c>
      <c r="L1196" s="2">
        <f t="shared" si="79"/>
        <v>4</v>
      </c>
    </row>
    <row r="1197" spans="1:12" x14ac:dyDescent="0.3">
      <c r="A1197" s="3">
        <v>45062</v>
      </c>
      <c r="B1197" s="11">
        <v>5136</v>
      </c>
      <c r="C1197" s="51" t="s">
        <v>3598</v>
      </c>
      <c r="E1197" s="90" t="s">
        <v>16</v>
      </c>
      <c r="F1197"/>
      <c r="H1197" s="2">
        <v>500</v>
      </c>
      <c r="I1197" s="2">
        <f t="shared" si="76"/>
        <v>29640.2</v>
      </c>
      <c r="L1197" s="2">
        <f t="shared" si="79"/>
        <v>27</v>
      </c>
    </row>
    <row r="1198" spans="1:12" x14ac:dyDescent="0.3">
      <c r="A1198" s="3">
        <v>45062</v>
      </c>
      <c r="B1198" s="11">
        <v>5137</v>
      </c>
      <c r="C1198" s="51" t="s">
        <v>3599</v>
      </c>
      <c r="E1198" s="90" t="s">
        <v>16</v>
      </c>
      <c r="F1198"/>
      <c r="H1198" s="2">
        <v>500</v>
      </c>
      <c r="I1198" s="2">
        <f t="shared" ref="I1198:I1245" si="80">I1197+G1198-H1198</f>
        <v>29140.2</v>
      </c>
      <c r="L1198" s="2">
        <f t="shared" si="79"/>
        <v>27</v>
      </c>
    </row>
    <row r="1199" spans="1:12" x14ac:dyDescent="0.3">
      <c r="A1199" s="3">
        <v>45066</v>
      </c>
      <c r="B1199" s="11" t="s">
        <v>2241</v>
      </c>
      <c r="C1199" s="51" t="s">
        <v>3602</v>
      </c>
      <c r="D1199" s="50">
        <v>9608441714</v>
      </c>
      <c r="F1199"/>
      <c r="G1199" s="2">
        <v>5000</v>
      </c>
      <c r="I1199" s="2">
        <f t="shared" si="80"/>
        <v>34140.199999999997</v>
      </c>
      <c r="L1199" s="2">
        <f t="shared" si="79"/>
        <v>20</v>
      </c>
    </row>
    <row r="1200" spans="1:12" x14ac:dyDescent="0.3">
      <c r="A1200" s="3">
        <v>45066</v>
      </c>
      <c r="B1200" s="11">
        <v>504</v>
      </c>
      <c r="C1200" s="51" t="s">
        <v>1388</v>
      </c>
      <c r="F1200"/>
      <c r="H1200" s="2">
        <v>10000</v>
      </c>
      <c r="I1200" s="2">
        <f t="shared" si="80"/>
        <v>24140.199999999997</v>
      </c>
      <c r="L1200" s="2">
        <f t="shared" si="79"/>
        <v>20</v>
      </c>
    </row>
    <row r="1201" spans="1:12" x14ac:dyDescent="0.3">
      <c r="A1201" s="3">
        <v>45066</v>
      </c>
      <c r="B1201" s="11" t="s">
        <v>3523</v>
      </c>
      <c r="C1201" s="51" t="s">
        <v>3603</v>
      </c>
      <c r="F1201"/>
      <c r="G1201" s="2">
        <v>2000</v>
      </c>
      <c r="I1201" s="2">
        <f t="shared" si="80"/>
        <v>26140.199999999997</v>
      </c>
      <c r="L1201" s="2">
        <f t="shared" si="79"/>
        <v>8</v>
      </c>
    </row>
    <row r="1202" spans="1:12" x14ac:dyDescent="0.3">
      <c r="A1202" s="3">
        <v>45066</v>
      </c>
      <c r="B1202" s="11" t="s">
        <v>1250</v>
      </c>
      <c r="C1202" s="51" t="s">
        <v>2284</v>
      </c>
      <c r="F1202"/>
      <c r="G1202" s="2">
        <v>5000</v>
      </c>
      <c r="I1202" s="2">
        <f t="shared" si="80"/>
        <v>31140.199999999997</v>
      </c>
      <c r="L1202" s="2">
        <f t="shared" si="79"/>
        <v>20</v>
      </c>
    </row>
    <row r="1203" spans="1:12" x14ac:dyDescent="0.3">
      <c r="A1203" s="3">
        <v>45066</v>
      </c>
      <c r="B1203" s="11" t="s">
        <v>1250</v>
      </c>
      <c r="C1203" s="51" t="s">
        <v>3604</v>
      </c>
      <c r="D1203" s="50">
        <v>7209110883</v>
      </c>
      <c r="F1203"/>
      <c r="G1203" s="2">
        <v>8500</v>
      </c>
      <c r="I1203" s="2">
        <f t="shared" si="80"/>
        <v>39640.199999999997</v>
      </c>
      <c r="L1203" s="2">
        <f t="shared" si="79"/>
        <v>20</v>
      </c>
    </row>
    <row r="1204" spans="1:12" x14ac:dyDescent="0.3">
      <c r="A1204" s="3">
        <v>45066</v>
      </c>
      <c r="B1204" s="11">
        <v>4164</v>
      </c>
      <c r="C1204" s="51" t="s">
        <v>3605</v>
      </c>
      <c r="F1204"/>
      <c r="H1204" s="2">
        <v>6000</v>
      </c>
      <c r="I1204" s="2">
        <f t="shared" si="80"/>
        <v>33640.199999999997</v>
      </c>
      <c r="L1204" s="2">
        <f t="shared" si="79"/>
        <v>20</v>
      </c>
    </row>
    <row r="1205" spans="1:12" x14ac:dyDescent="0.3">
      <c r="A1205" s="3">
        <v>45066</v>
      </c>
      <c r="B1205" s="11" t="s">
        <v>2241</v>
      </c>
      <c r="C1205" s="51" t="s">
        <v>3606</v>
      </c>
      <c r="F1205"/>
      <c r="G1205" s="2">
        <v>550</v>
      </c>
      <c r="I1205" s="2">
        <f t="shared" si="80"/>
        <v>34190.199999999997</v>
      </c>
      <c r="L1205" s="2">
        <f t="shared" si="79"/>
        <v>2.2000000000000002</v>
      </c>
    </row>
    <row r="1206" spans="1:12" x14ac:dyDescent="0.3">
      <c r="A1206" s="3">
        <v>45067</v>
      </c>
      <c r="B1206" s="11" t="s">
        <v>3435</v>
      </c>
      <c r="C1206" s="51" t="s">
        <v>3608</v>
      </c>
      <c r="F1206"/>
      <c r="H1206" s="2">
        <v>4000</v>
      </c>
      <c r="I1206" s="2">
        <f t="shared" si="80"/>
        <v>30190.199999999997</v>
      </c>
      <c r="L1206" s="2">
        <f t="shared" si="79"/>
        <v>16</v>
      </c>
    </row>
    <row r="1207" spans="1:12" x14ac:dyDescent="0.3">
      <c r="A1207" s="3">
        <v>45067</v>
      </c>
      <c r="C1207" s="51"/>
      <c r="F1207"/>
      <c r="G1207" s="2">
        <v>400</v>
      </c>
      <c r="I1207" s="2">
        <f t="shared" si="80"/>
        <v>30590.199999999997</v>
      </c>
      <c r="L1207" s="2">
        <f t="shared" si="79"/>
        <v>1.6</v>
      </c>
    </row>
    <row r="1208" spans="1:12" x14ac:dyDescent="0.3">
      <c r="A1208" s="3">
        <v>45068</v>
      </c>
      <c r="B1208" s="11" t="s">
        <v>2199</v>
      </c>
      <c r="C1208" s="51" t="s">
        <v>2190</v>
      </c>
      <c r="F1208"/>
      <c r="G1208" s="2">
        <v>5000</v>
      </c>
      <c r="I1208" s="2">
        <f t="shared" si="80"/>
        <v>35590.199999999997</v>
      </c>
      <c r="L1208" s="2">
        <f t="shared" si="79"/>
        <v>20</v>
      </c>
    </row>
    <row r="1209" spans="1:12" x14ac:dyDescent="0.3">
      <c r="A1209" s="3">
        <v>45068</v>
      </c>
      <c r="B1209" s="11" t="s">
        <v>3610</v>
      </c>
      <c r="C1209" s="51" t="s">
        <v>3611</v>
      </c>
      <c r="E1209" s="90" t="s">
        <v>16</v>
      </c>
      <c r="F1209"/>
      <c r="H1209" s="2">
        <v>100</v>
      </c>
      <c r="I1209" s="2">
        <f t="shared" si="80"/>
        <v>35490.199999999997</v>
      </c>
      <c r="L1209" s="2">
        <f t="shared" si="79"/>
        <v>25.4</v>
      </c>
    </row>
    <row r="1210" spans="1:12" x14ac:dyDescent="0.3">
      <c r="A1210" s="3">
        <v>45068</v>
      </c>
      <c r="B1210" s="11" t="s">
        <v>3002</v>
      </c>
      <c r="C1210" s="51" t="s">
        <v>3615</v>
      </c>
      <c r="F1210"/>
      <c r="H1210" s="2">
        <v>10000</v>
      </c>
      <c r="I1210" s="2">
        <f t="shared" si="80"/>
        <v>25490.199999999997</v>
      </c>
      <c r="L1210" s="2">
        <f t="shared" si="79"/>
        <v>20</v>
      </c>
    </row>
    <row r="1211" spans="1:12" x14ac:dyDescent="0.3">
      <c r="A1211" s="3">
        <v>45068</v>
      </c>
      <c r="B1211" s="11" t="s">
        <v>2678</v>
      </c>
      <c r="C1211" s="51" t="s">
        <v>3088</v>
      </c>
      <c r="F1211"/>
      <c r="H1211" s="2">
        <v>8200</v>
      </c>
      <c r="I1211" s="2">
        <f t="shared" si="80"/>
        <v>17290.199999999997</v>
      </c>
      <c r="L1211" s="2">
        <f t="shared" si="79"/>
        <v>20</v>
      </c>
    </row>
    <row r="1212" spans="1:12" x14ac:dyDescent="0.3">
      <c r="A1212" s="3">
        <v>45068</v>
      </c>
      <c r="B1212" s="11" t="s">
        <v>1250</v>
      </c>
      <c r="F1212"/>
      <c r="G1212" s="2">
        <v>1000</v>
      </c>
      <c r="I1212" s="2">
        <f t="shared" si="80"/>
        <v>18290.199999999997</v>
      </c>
      <c r="L1212" s="2">
        <f t="shared" si="79"/>
        <v>4</v>
      </c>
    </row>
    <row r="1213" spans="1:12" x14ac:dyDescent="0.3">
      <c r="A1213" s="3">
        <v>45069</v>
      </c>
      <c r="B1213" s="11" t="s">
        <v>3039</v>
      </c>
      <c r="F1213"/>
      <c r="G1213" s="2">
        <v>1000</v>
      </c>
      <c r="I1213" s="2">
        <f t="shared" si="80"/>
        <v>19290.199999999997</v>
      </c>
      <c r="L1213" s="2">
        <f t="shared" si="79"/>
        <v>4</v>
      </c>
    </row>
    <row r="1214" spans="1:12" x14ac:dyDescent="0.3">
      <c r="A1214" s="3">
        <v>45069</v>
      </c>
      <c r="B1214" s="11" t="s">
        <v>1250</v>
      </c>
      <c r="F1214"/>
      <c r="G1214" s="2">
        <v>500</v>
      </c>
      <c r="I1214" s="2">
        <f t="shared" si="80"/>
        <v>19790.199999999997</v>
      </c>
      <c r="L1214" s="2">
        <f t="shared" si="79"/>
        <v>2</v>
      </c>
    </row>
    <row r="1215" spans="1:12" x14ac:dyDescent="0.3">
      <c r="A1215" s="3">
        <v>45070</v>
      </c>
      <c r="F1215"/>
      <c r="G1215" s="2">
        <v>1000</v>
      </c>
      <c r="I1215" s="2">
        <f t="shared" si="80"/>
        <v>20790.199999999997</v>
      </c>
      <c r="L1215" s="2">
        <f t="shared" si="79"/>
        <v>4</v>
      </c>
    </row>
    <row r="1216" spans="1:12" x14ac:dyDescent="0.3">
      <c r="A1216" s="3">
        <v>45070</v>
      </c>
      <c r="B1216" s="11" t="s">
        <v>2716</v>
      </c>
      <c r="C1216" s="50" t="s">
        <v>1279</v>
      </c>
      <c r="F1216"/>
      <c r="H1216" s="2">
        <v>10000</v>
      </c>
      <c r="I1216" s="2">
        <f t="shared" si="80"/>
        <v>10790.199999999997</v>
      </c>
      <c r="L1216" s="2">
        <f t="shared" si="79"/>
        <v>20</v>
      </c>
    </row>
    <row r="1217" spans="1:12" x14ac:dyDescent="0.3">
      <c r="A1217" s="3">
        <v>45071</v>
      </c>
      <c r="B1217" s="11">
        <v>2189</v>
      </c>
      <c r="C1217" s="50" t="s">
        <v>2626</v>
      </c>
      <c r="F1217"/>
      <c r="G1217" s="2">
        <v>500</v>
      </c>
      <c r="I1217" s="2">
        <f t="shared" si="80"/>
        <v>11290.199999999997</v>
      </c>
      <c r="L1217" s="2">
        <f t="shared" si="79"/>
        <v>2</v>
      </c>
    </row>
    <row r="1218" spans="1:12" x14ac:dyDescent="0.3">
      <c r="A1218" s="3">
        <v>45071</v>
      </c>
      <c r="B1218" s="11" t="s">
        <v>1160</v>
      </c>
      <c r="F1218"/>
      <c r="G1218" s="2">
        <v>950</v>
      </c>
      <c r="I1218" s="2">
        <f t="shared" si="80"/>
        <v>12240.199999999997</v>
      </c>
      <c r="L1218" s="2">
        <f t="shared" si="79"/>
        <v>3.8000000000000003</v>
      </c>
    </row>
    <row r="1219" spans="1:12" x14ac:dyDescent="0.3">
      <c r="A1219" s="3">
        <v>45071</v>
      </c>
      <c r="B1219" s="11" t="s">
        <v>2351</v>
      </c>
      <c r="C1219" s="50" t="s">
        <v>3616</v>
      </c>
      <c r="F1219"/>
      <c r="G1219" s="2">
        <v>1500</v>
      </c>
      <c r="I1219" s="2">
        <f t="shared" si="80"/>
        <v>13740.199999999997</v>
      </c>
      <c r="L1219" s="2">
        <f t="shared" si="79"/>
        <v>6</v>
      </c>
    </row>
    <row r="1220" spans="1:12" x14ac:dyDescent="0.3">
      <c r="A1220" s="3">
        <v>45071</v>
      </c>
      <c r="C1220" s="50" t="s">
        <v>2887</v>
      </c>
      <c r="F1220"/>
      <c r="G1220" s="2">
        <v>2000</v>
      </c>
      <c r="I1220" s="2">
        <f t="shared" si="80"/>
        <v>15740.199999999997</v>
      </c>
    </row>
    <row r="1221" spans="1:12" x14ac:dyDescent="0.3">
      <c r="A1221" s="3">
        <v>45071</v>
      </c>
      <c r="B1221" s="11" t="s">
        <v>2351</v>
      </c>
      <c r="C1221" s="50" t="s">
        <v>3616</v>
      </c>
      <c r="F1221"/>
      <c r="G1221" s="2">
        <v>1200</v>
      </c>
      <c r="I1221" s="2">
        <f t="shared" si="80"/>
        <v>16940.199999999997</v>
      </c>
      <c r="L1221" s="2">
        <f t="shared" ref="L1221:L1245" si="81">IF((G1221+H1221)&lt;=5000,(H1221+G1221)*0.004,20)+IF(E1221="Y",25,0)</f>
        <v>4.8</v>
      </c>
    </row>
    <row r="1222" spans="1:12" x14ac:dyDescent="0.3">
      <c r="A1222" s="3">
        <v>45071</v>
      </c>
      <c r="B1222" s="11">
        <v>576</v>
      </c>
      <c r="C1222" s="50" t="s">
        <v>2443</v>
      </c>
      <c r="F1222"/>
      <c r="G1222" s="2">
        <v>400</v>
      </c>
      <c r="I1222" s="2">
        <f t="shared" si="80"/>
        <v>17340.199999999997</v>
      </c>
      <c r="L1222" s="2">
        <f t="shared" si="81"/>
        <v>1.6</v>
      </c>
    </row>
    <row r="1223" spans="1:12" x14ac:dyDescent="0.3">
      <c r="A1223" s="3">
        <v>45072</v>
      </c>
      <c r="B1223" s="11" t="s">
        <v>2351</v>
      </c>
      <c r="C1223" s="50" t="s">
        <v>3616</v>
      </c>
      <c r="F1223"/>
      <c r="G1223" s="2">
        <v>500</v>
      </c>
      <c r="I1223" s="2">
        <f t="shared" si="80"/>
        <v>17840.199999999997</v>
      </c>
      <c r="L1223" s="2">
        <f t="shared" si="81"/>
        <v>2</v>
      </c>
    </row>
    <row r="1224" spans="1:12" x14ac:dyDescent="0.3">
      <c r="A1224" s="3">
        <v>45072</v>
      </c>
      <c r="B1224" s="11" t="s">
        <v>2594</v>
      </c>
      <c r="C1224" s="50" t="s">
        <v>3617</v>
      </c>
      <c r="F1224"/>
      <c r="G1224" s="2">
        <v>1500</v>
      </c>
      <c r="I1224" s="2">
        <f t="shared" si="80"/>
        <v>19340.199999999997</v>
      </c>
      <c r="L1224" s="2">
        <f t="shared" si="81"/>
        <v>6</v>
      </c>
    </row>
    <row r="1225" spans="1:12" x14ac:dyDescent="0.3">
      <c r="A1225" s="3">
        <v>45072</v>
      </c>
      <c r="B1225" s="11">
        <v>3001</v>
      </c>
      <c r="C1225" s="50" t="s">
        <v>3618</v>
      </c>
      <c r="F1225"/>
      <c r="H1225" s="2">
        <v>700</v>
      </c>
      <c r="I1225" s="2">
        <f t="shared" si="80"/>
        <v>18640.199999999997</v>
      </c>
      <c r="L1225" s="2">
        <f t="shared" si="81"/>
        <v>2.8000000000000003</v>
      </c>
    </row>
    <row r="1226" spans="1:12" x14ac:dyDescent="0.3">
      <c r="A1226" s="3">
        <v>45073</v>
      </c>
      <c r="B1226" s="11">
        <v>4477</v>
      </c>
      <c r="C1226" s="50" t="s">
        <v>3255</v>
      </c>
      <c r="F1226"/>
      <c r="G1226" s="2">
        <v>1000</v>
      </c>
      <c r="I1226" s="2">
        <f t="shared" si="80"/>
        <v>19640.199999999997</v>
      </c>
      <c r="L1226" s="2">
        <f t="shared" si="81"/>
        <v>4</v>
      </c>
    </row>
    <row r="1227" spans="1:12" x14ac:dyDescent="0.3">
      <c r="A1227" s="3">
        <v>45073</v>
      </c>
      <c r="B1227" s="11" t="s">
        <v>2241</v>
      </c>
      <c r="C1227" s="50" t="s">
        <v>3623</v>
      </c>
      <c r="F1227"/>
      <c r="G1227" s="2">
        <v>500</v>
      </c>
      <c r="I1227" s="2">
        <f t="shared" si="80"/>
        <v>20140.199999999997</v>
      </c>
      <c r="L1227" s="2">
        <f t="shared" si="81"/>
        <v>2</v>
      </c>
    </row>
    <row r="1228" spans="1:12" x14ac:dyDescent="0.3">
      <c r="A1228" s="3">
        <v>45073</v>
      </c>
      <c r="B1228" s="11" t="s">
        <v>3629</v>
      </c>
      <c r="C1228" s="50" t="s">
        <v>3621</v>
      </c>
      <c r="E1228" s="90" t="s">
        <v>16</v>
      </c>
      <c r="F1228"/>
      <c r="G1228" s="2">
        <v>100</v>
      </c>
      <c r="I1228" s="2">
        <f t="shared" si="80"/>
        <v>20240.199999999997</v>
      </c>
      <c r="L1228" s="2">
        <f t="shared" si="81"/>
        <v>25.4</v>
      </c>
    </row>
    <row r="1229" spans="1:12" x14ac:dyDescent="0.3">
      <c r="A1229" s="3">
        <v>45074</v>
      </c>
      <c r="B1229" s="11">
        <v>4906</v>
      </c>
      <c r="C1229" s="50" t="s">
        <v>3624</v>
      </c>
      <c r="F1229"/>
      <c r="G1229" s="2">
        <v>1000</v>
      </c>
      <c r="I1229" s="2">
        <f t="shared" si="80"/>
        <v>21240.199999999997</v>
      </c>
      <c r="L1229" s="2">
        <f t="shared" si="81"/>
        <v>4</v>
      </c>
    </row>
    <row r="1230" spans="1:12" x14ac:dyDescent="0.3">
      <c r="A1230" s="3">
        <v>45075</v>
      </c>
      <c r="B1230" s="11" t="s">
        <v>1250</v>
      </c>
      <c r="C1230" s="50" t="s">
        <v>3625</v>
      </c>
      <c r="F1230"/>
      <c r="G1230" s="2">
        <v>400</v>
      </c>
      <c r="I1230" s="2">
        <f t="shared" si="80"/>
        <v>21640.199999999997</v>
      </c>
      <c r="L1230" s="2">
        <f t="shared" si="81"/>
        <v>1.6</v>
      </c>
    </row>
    <row r="1231" spans="1:12" x14ac:dyDescent="0.3">
      <c r="A1231" s="3">
        <v>45075</v>
      </c>
      <c r="B1231" s="11" t="s">
        <v>3527</v>
      </c>
      <c r="C1231" s="50" t="s">
        <v>3528</v>
      </c>
      <c r="F1231"/>
      <c r="H1231" s="2">
        <v>10000</v>
      </c>
      <c r="I1231" s="2">
        <f t="shared" si="80"/>
        <v>11640.199999999997</v>
      </c>
      <c r="L1231" s="2">
        <f t="shared" si="81"/>
        <v>20</v>
      </c>
    </row>
    <row r="1232" spans="1:12" x14ac:dyDescent="0.3">
      <c r="A1232" s="3">
        <v>45075</v>
      </c>
      <c r="B1232" s="11">
        <v>675</v>
      </c>
      <c r="C1232" s="50" t="s">
        <v>3626</v>
      </c>
      <c r="F1232"/>
      <c r="G1232" s="2">
        <v>1500</v>
      </c>
      <c r="I1232" s="2">
        <f t="shared" si="80"/>
        <v>13140.199999999997</v>
      </c>
      <c r="L1232" s="2">
        <f t="shared" si="81"/>
        <v>6</v>
      </c>
    </row>
    <row r="1233" spans="1:14" x14ac:dyDescent="0.3">
      <c r="A1233" s="3">
        <v>45075</v>
      </c>
      <c r="B1233" s="11" t="s">
        <v>1250</v>
      </c>
      <c r="C1233" s="50" t="s">
        <v>3393</v>
      </c>
      <c r="F1233"/>
      <c r="G1233" s="2">
        <v>400</v>
      </c>
      <c r="I1233" s="2">
        <f t="shared" si="80"/>
        <v>13540.199999999997</v>
      </c>
      <c r="L1233" s="2">
        <f t="shared" si="81"/>
        <v>1.6</v>
      </c>
    </row>
    <row r="1234" spans="1:14" x14ac:dyDescent="0.3">
      <c r="A1234" s="3">
        <v>45075</v>
      </c>
      <c r="B1234" s="11" t="s">
        <v>1250</v>
      </c>
      <c r="C1234" s="50" t="s">
        <v>2250</v>
      </c>
      <c r="F1234"/>
      <c r="G1234" s="2">
        <v>300</v>
      </c>
      <c r="I1234" s="2">
        <f t="shared" si="80"/>
        <v>13840.199999999997</v>
      </c>
      <c r="L1234" s="2">
        <f t="shared" si="81"/>
        <v>1.2</v>
      </c>
    </row>
    <row r="1235" spans="1:14" x14ac:dyDescent="0.3">
      <c r="A1235" s="3">
        <v>45075</v>
      </c>
      <c r="B1235" s="11" t="s">
        <v>3628</v>
      </c>
      <c r="C1235" s="50" t="s">
        <v>3627</v>
      </c>
      <c r="E1235" s="90" t="s">
        <v>16</v>
      </c>
      <c r="F1235"/>
      <c r="H1235" s="2">
        <v>500</v>
      </c>
      <c r="I1235" s="2">
        <f t="shared" si="80"/>
        <v>13340.199999999997</v>
      </c>
      <c r="L1235" s="2">
        <f t="shared" si="81"/>
        <v>27</v>
      </c>
    </row>
    <row r="1236" spans="1:14" x14ac:dyDescent="0.3">
      <c r="A1236" s="3">
        <v>45075</v>
      </c>
      <c r="B1236" s="11" t="s">
        <v>3631</v>
      </c>
      <c r="C1236" s="50" t="s">
        <v>3632</v>
      </c>
      <c r="F1236"/>
      <c r="H1236" s="2">
        <v>5000</v>
      </c>
      <c r="I1236" s="2">
        <f t="shared" si="80"/>
        <v>8340.1999999999971</v>
      </c>
      <c r="L1236" s="2">
        <f t="shared" si="81"/>
        <v>20</v>
      </c>
    </row>
    <row r="1237" spans="1:14" x14ac:dyDescent="0.3">
      <c r="A1237" s="3">
        <v>45076</v>
      </c>
      <c r="B1237" s="11" t="s">
        <v>3232</v>
      </c>
      <c r="C1237" s="50" t="s">
        <v>2414</v>
      </c>
      <c r="F1237"/>
      <c r="G1237" s="2">
        <v>2000</v>
      </c>
      <c r="I1237" s="2">
        <f t="shared" si="80"/>
        <v>10340.199999999997</v>
      </c>
      <c r="L1237" s="2">
        <f t="shared" si="81"/>
        <v>8</v>
      </c>
    </row>
    <row r="1238" spans="1:14" x14ac:dyDescent="0.3">
      <c r="A1238" s="3">
        <v>45076</v>
      </c>
      <c r="B1238" s="11" t="s">
        <v>3527</v>
      </c>
      <c r="C1238" s="50" t="s">
        <v>3528</v>
      </c>
      <c r="F1238"/>
      <c r="H1238" s="2">
        <v>3000</v>
      </c>
      <c r="I1238" s="2">
        <f t="shared" si="80"/>
        <v>7340.1999999999971</v>
      </c>
      <c r="L1238" s="2">
        <f t="shared" si="81"/>
        <v>12</v>
      </c>
    </row>
    <row r="1239" spans="1:14" x14ac:dyDescent="0.3">
      <c r="A1239" s="3">
        <v>45076</v>
      </c>
      <c r="B1239" s="11" t="s">
        <v>3142</v>
      </c>
      <c r="C1239" s="50" t="s">
        <v>3268</v>
      </c>
      <c r="F1239"/>
      <c r="G1239" s="2">
        <v>1500</v>
      </c>
      <c r="I1239" s="2">
        <f t="shared" si="80"/>
        <v>8840.1999999999971</v>
      </c>
      <c r="L1239" s="2">
        <f t="shared" si="81"/>
        <v>6</v>
      </c>
    </row>
    <row r="1240" spans="1:14" x14ac:dyDescent="0.3">
      <c r="A1240" s="3">
        <v>45076</v>
      </c>
      <c r="B1240" s="11" t="s">
        <v>2716</v>
      </c>
      <c r="C1240" s="50" t="s">
        <v>1279</v>
      </c>
      <c r="F1240"/>
      <c r="H1240" s="2">
        <v>8000</v>
      </c>
      <c r="I1240" s="2">
        <f t="shared" si="80"/>
        <v>840.19999999999709</v>
      </c>
      <c r="L1240" s="2">
        <f t="shared" si="81"/>
        <v>20</v>
      </c>
    </row>
    <row r="1241" spans="1:14" x14ac:dyDescent="0.3">
      <c r="A1241" s="3">
        <v>45077</v>
      </c>
      <c r="B1241" s="11" t="s">
        <v>3634</v>
      </c>
      <c r="C1241" s="50" t="s">
        <v>1446</v>
      </c>
      <c r="E1241" s="90" t="s">
        <v>16</v>
      </c>
      <c r="F1241"/>
      <c r="H1241" s="2">
        <v>100</v>
      </c>
      <c r="I1241" s="2">
        <f t="shared" si="80"/>
        <v>740.19999999999709</v>
      </c>
      <c r="L1241" s="2">
        <f t="shared" si="81"/>
        <v>25.4</v>
      </c>
    </row>
    <row r="1242" spans="1:14" x14ac:dyDescent="0.3">
      <c r="A1242" s="3">
        <v>45077</v>
      </c>
      <c r="B1242" s="11" t="s">
        <v>1250</v>
      </c>
      <c r="C1242" s="50" t="s">
        <v>2250</v>
      </c>
      <c r="F1242"/>
      <c r="G1242" s="2">
        <v>1000</v>
      </c>
      <c r="I1242" s="2">
        <f t="shared" si="80"/>
        <v>1740.1999999999971</v>
      </c>
      <c r="L1242" s="2">
        <f t="shared" si="81"/>
        <v>4</v>
      </c>
    </row>
    <row r="1243" spans="1:14" x14ac:dyDescent="0.3">
      <c r="A1243" s="3">
        <v>45077</v>
      </c>
      <c r="B1243" s="11" t="s">
        <v>3638</v>
      </c>
      <c r="C1243" s="50" t="s">
        <v>3639</v>
      </c>
      <c r="F1243"/>
      <c r="G1243" s="2">
        <v>3000</v>
      </c>
      <c r="I1243" s="2">
        <f t="shared" si="80"/>
        <v>4740.1999999999971</v>
      </c>
      <c r="L1243" s="2">
        <f t="shared" si="81"/>
        <v>12</v>
      </c>
    </row>
    <row r="1244" spans="1:14" x14ac:dyDescent="0.3">
      <c r="A1244" s="3">
        <v>45077</v>
      </c>
      <c r="B1244" s="11" t="s">
        <v>1160</v>
      </c>
      <c r="C1244" s="50" t="s">
        <v>3640</v>
      </c>
      <c r="F1244"/>
      <c r="G1244" s="2">
        <v>4000</v>
      </c>
      <c r="I1244" s="2">
        <f t="shared" si="80"/>
        <v>8740.1999999999971</v>
      </c>
      <c r="L1244" s="2">
        <f t="shared" si="81"/>
        <v>16</v>
      </c>
    </row>
    <row r="1245" spans="1:14" x14ac:dyDescent="0.3">
      <c r="A1245" s="3">
        <v>45077</v>
      </c>
      <c r="B1245" s="11" t="s">
        <v>1257</v>
      </c>
      <c r="C1245" s="51" t="s">
        <v>2289</v>
      </c>
      <c r="F1245"/>
      <c r="H1245" s="2">
        <v>7000</v>
      </c>
      <c r="I1245" s="2">
        <f t="shared" si="80"/>
        <v>1740.1999999999971</v>
      </c>
      <c r="L1245" s="2">
        <f t="shared" si="81"/>
        <v>20</v>
      </c>
    </row>
    <row r="1246" spans="1:14" x14ac:dyDescent="0.3">
      <c r="A1246" s="77"/>
      <c r="B1246" s="80"/>
      <c r="C1246" s="112"/>
      <c r="D1246" s="112"/>
      <c r="E1246" s="92">
        <f>COUNTIF(E1131:E1245,"Y")</f>
        <v>16</v>
      </c>
      <c r="F1246" s="77">
        <f>G1246+H1246</f>
        <v>333940.2</v>
      </c>
      <c r="G1246" s="84">
        <f>SUM(G1130:G1245)</f>
        <v>167840.2</v>
      </c>
      <c r="H1246" s="84">
        <f>SUM(H1130:H1245)</f>
        <v>166100</v>
      </c>
      <c r="I1246" s="81"/>
      <c r="J1246" s="77"/>
      <c r="K1246" s="77"/>
      <c r="L1246" s="81">
        <f>SUM(L1130:L1245)</f>
        <v>1390.9256399999999</v>
      </c>
      <c r="M1246" s="77"/>
      <c r="N1246" s="77"/>
    </row>
    <row r="1247" spans="1:14" x14ac:dyDescent="0.3">
      <c r="C1247" s="51"/>
      <c r="D1247" s="51"/>
      <c r="F1247" s="11"/>
    </row>
    <row r="1248" spans="1:14" x14ac:dyDescent="0.3">
      <c r="A1248" s="3">
        <v>45078</v>
      </c>
      <c r="B1248" s="11" t="s">
        <v>3641</v>
      </c>
      <c r="C1248" s="50" t="s">
        <v>3642</v>
      </c>
      <c r="F1248"/>
      <c r="G1248" s="2">
        <v>2040.2</v>
      </c>
      <c r="I1248" s="2">
        <f t="shared" ref="I1248:I1253" si="82">I1247+G1248-H1248</f>
        <v>2040.2</v>
      </c>
    </row>
    <row r="1249" spans="1:12" x14ac:dyDescent="0.3">
      <c r="A1249" s="3">
        <v>45078</v>
      </c>
      <c r="B1249" s="11">
        <v>4296</v>
      </c>
      <c r="C1249" s="50" t="s">
        <v>3608</v>
      </c>
      <c r="F1249"/>
      <c r="H1249" s="2">
        <v>1000</v>
      </c>
      <c r="I1249" s="2">
        <f t="shared" si="82"/>
        <v>1040.2</v>
      </c>
      <c r="L1249" s="2">
        <f t="shared" ref="L1249:L1280" si="83">IF((G1249+H1249)&lt;=5000,(H1249+G1249)*0.004,20)+IF(E1249="Y",25,0)</f>
        <v>4</v>
      </c>
    </row>
    <row r="1250" spans="1:12" x14ac:dyDescent="0.3">
      <c r="A1250" s="3">
        <v>45078</v>
      </c>
      <c r="B1250" s="11" t="s">
        <v>1250</v>
      </c>
      <c r="F1250"/>
      <c r="G1250" s="2">
        <v>500</v>
      </c>
      <c r="I1250" s="2">
        <f t="shared" si="82"/>
        <v>1540.2</v>
      </c>
      <c r="L1250" s="2">
        <f t="shared" si="83"/>
        <v>2</v>
      </c>
    </row>
    <row r="1251" spans="1:12" x14ac:dyDescent="0.3">
      <c r="A1251" s="3">
        <v>45078</v>
      </c>
      <c r="B1251" s="11" t="s">
        <v>1160</v>
      </c>
      <c r="C1251" s="50" t="s">
        <v>3644</v>
      </c>
      <c r="F1251"/>
      <c r="G1251" s="2">
        <v>6400</v>
      </c>
      <c r="I1251" s="2">
        <f t="shared" si="82"/>
        <v>7940.2</v>
      </c>
      <c r="L1251" s="2">
        <f t="shared" si="83"/>
        <v>20</v>
      </c>
    </row>
    <row r="1252" spans="1:12" x14ac:dyDescent="0.3">
      <c r="A1252" s="3">
        <v>45078</v>
      </c>
      <c r="B1252" s="11">
        <v>774316</v>
      </c>
      <c r="C1252" s="50" t="s">
        <v>3645</v>
      </c>
      <c r="F1252"/>
      <c r="H1252" s="2">
        <v>1500</v>
      </c>
      <c r="I1252" s="2">
        <f t="shared" si="82"/>
        <v>6440.2</v>
      </c>
      <c r="L1252" s="2">
        <f t="shared" si="83"/>
        <v>6</v>
      </c>
    </row>
    <row r="1253" spans="1:12" x14ac:dyDescent="0.3">
      <c r="A1253" s="3">
        <v>45079</v>
      </c>
      <c r="B1253" s="11" t="s">
        <v>2735</v>
      </c>
      <c r="F1253"/>
      <c r="H1253" s="2">
        <v>6000</v>
      </c>
      <c r="I1253" s="2">
        <f t="shared" si="82"/>
        <v>440.19999999999982</v>
      </c>
      <c r="L1253" s="2">
        <f t="shared" si="83"/>
        <v>20</v>
      </c>
    </row>
    <row r="1254" spans="1:12" x14ac:dyDescent="0.3">
      <c r="A1254" s="3">
        <v>45079</v>
      </c>
      <c r="B1254" s="11" t="s">
        <v>3232</v>
      </c>
      <c r="C1254" s="50" t="s">
        <v>3646</v>
      </c>
      <c r="F1254"/>
      <c r="G1254" s="2">
        <v>2000</v>
      </c>
      <c r="I1254" s="2">
        <f t="shared" ref="I1254:I1354" si="84">I1253+G1254-H1254</f>
        <v>2440.1999999999998</v>
      </c>
      <c r="L1254" s="2">
        <f t="shared" si="83"/>
        <v>8</v>
      </c>
    </row>
    <row r="1255" spans="1:12" x14ac:dyDescent="0.3">
      <c r="A1255" s="3">
        <v>45079</v>
      </c>
      <c r="B1255" s="11">
        <v>1640</v>
      </c>
      <c r="C1255" s="50" t="s">
        <v>3647</v>
      </c>
      <c r="F1255"/>
      <c r="H1255" s="2">
        <v>1000</v>
      </c>
      <c r="I1255" s="2">
        <f t="shared" si="84"/>
        <v>1440.1999999999998</v>
      </c>
      <c r="L1255" s="2">
        <f t="shared" si="83"/>
        <v>4</v>
      </c>
    </row>
    <row r="1256" spans="1:12" x14ac:dyDescent="0.3">
      <c r="A1256" s="3">
        <v>45080</v>
      </c>
      <c r="B1256" s="11" t="s">
        <v>3648</v>
      </c>
      <c r="C1256" s="50" t="s">
        <v>3647</v>
      </c>
      <c r="F1256"/>
      <c r="G1256" s="2">
        <v>1500</v>
      </c>
      <c r="I1256" s="2">
        <f t="shared" si="84"/>
        <v>2940.2</v>
      </c>
      <c r="L1256" s="2">
        <f t="shared" si="83"/>
        <v>6</v>
      </c>
    </row>
    <row r="1257" spans="1:12" x14ac:dyDescent="0.3">
      <c r="A1257" s="3">
        <v>45080</v>
      </c>
      <c r="B1257" s="11">
        <v>1640</v>
      </c>
      <c r="C1257" s="50" t="s">
        <v>3647</v>
      </c>
      <c r="F1257"/>
      <c r="H1257" s="2">
        <v>1500</v>
      </c>
      <c r="I1257" s="2">
        <f t="shared" si="84"/>
        <v>1440.1999999999998</v>
      </c>
      <c r="L1257" s="2">
        <f t="shared" si="83"/>
        <v>6</v>
      </c>
    </row>
    <row r="1258" spans="1:12" x14ac:dyDescent="0.3">
      <c r="A1258" s="3">
        <v>45080</v>
      </c>
      <c r="B1258" s="11" t="s">
        <v>1160</v>
      </c>
      <c r="C1258" s="50" t="s">
        <v>3362</v>
      </c>
      <c r="F1258"/>
      <c r="G1258" s="2">
        <v>1000</v>
      </c>
      <c r="I1258" s="2">
        <f t="shared" si="84"/>
        <v>2440.1999999999998</v>
      </c>
      <c r="L1258" s="2">
        <f t="shared" si="83"/>
        <v>4</v>
      </c>
    </row>
    <row r="1259" spans="1:12" x14ac:dyDescent="0.3">
      <c r="A1259" s="3">
        <v>45082</v>
      </c>
      <c r="B1259" s="11" t="s">
        <v>1250</v>
      </c>
      <c r="C1259" s="50" t="s">
        <v>3649</v>
      </c>
      <c r="F1259"/>
      <c r="G1259" s="2">
        <v>4000</v>
      </c>
      <c r="I1259" s="2">
        <f t="shared" si="84"/>
        <v>6440.2</v>
      </c>
      <c r="L1259" s="2">
        <f t="shared" si="83"/>
        <v>16</v>
      </c>
    </row>
    <row r="1260" spans="1:12" x14ac:dyDescent="0.3">
      <c r="A1260" s="3">
        <v>45083</v>
      </c>
      <c r="B1260" s="11" t="s">
        <v>1250</v>
      </c>
      <c r="C1260" s="50" t="s">
        <v>3649</v>
      </c>
      <c r="F1260"/>
      <c r="G1260" s="2">
        <v>9800</v>
      </c>
      <c r="I1260" s="2">
        <f t="shared" si="84"/>
        <v>16240.2</v>
      </c>
      <c r="L1260" s="2">
        <f t="shared" si="83"/>
        <v>20</v>
      </c>
    </row>
    <row r="1261" spans="1:12" x14ac:dyDescent="0.3">
      <c r="A1261" s="3">
        <v>45083</v>
      </c>
      <c r="B1261" s="11" t="s">
        <v>2386</v>
      </c>
      <c r="C1261" s="50" t="s">
        <v>2396</v>
      </c>
      <c r="F1261"/>
      <c r="G1261" s="2">
        <v>700</v>
      </c>
      <c r="I1261" s="2">
        <f t="shared" si="84"/>
        <v>16940.2</v>
      </c>
      <c r="L1261" s="2">
        <f t="shared" si="83"/>
        <v>2.8000000000000003</v>
      </c>
    </row>
    <row r="1262" spans="1:12" x14ac:dyDescent="0.3">
      <c r="A1262" s="3">
        <v>45083</v>
      </c>
      <c r="B1262" s="11" t="s">
        <v>1250</v>
      </c>
      <c r="C1262" s="50" t="s">
        <v>3650</v>
      </c>
      <c r="F1262"/>
      <c r="G1262" s="2">
        <v>3000</v>
      </c>
      <c r="I1262" s="2">
        <f t="shared" si="84"/>
        <v>19940.2</v>
      </c>
      <c r="L1262" s="2">
        <f t="shared" si="83"/>
        <v>12</v>
      </c>
    </row>
    <row r="1263" spans="1:12" x14ac:dyDescent="0.3">
      <c r="A1263" s="3">
        <v>45084</v>
      </c>
      <c r="B1263" s="11" t="s">
        <v>1250</v>
      </c>
      <c r="C1263" s="50" t="s">
        <v>2991</v>
      </c>
      <c r="F1263"/>
      <c r="G1263" s="2">
        <v>1000</v>
      </c>
      <c r="I1263" s="2">
        <f t="shared" si="84"/>
        <v>20940.2</v>
      </c>
      <c r="L1263" s="2">
        <f t="shared" si="83"/>
        <v>4</v>
      </c>
    </row>
    <row r="1264" spans="1:12" x14ac:dyDescent="0.3">
      <c r="A1264" s="3">
        <v>45084</v>
      </c>
      <c r="B1264" s="11" t="s">
        <v>1250</v>
      </c>
      <c r="C1264" s="50" t="s">
        <v>3654</v>
      </c>
      <c r="F1264"/>
      <c r="G1264" s="2">
        <v>2000</v>
      </c>
      <c r="I1264" s="2">
        <f t="shared" si="84"/>
        <v>22940.2</v>
      </c>
      <c r="L1264" s="2">
        <f t="shared" si="83"/>
        <v>8</v>
      </c>
    </row>
    <row r="1265" spans="1:12" x14ac:dyDescent="0.3">
      <c r="A1265" s="3">
        <v>45085</v>
      </c>
      <c r="B1265" s="11" t="s">
        <v>3655</v>
      </c>
      <c r="C1265" s="50" t="s">
        <v>3656</v>
      </c>
      <c r="F1265"/>
      <c r="H1265" s="2">
        <v>8500</v>
      </c>
      <c r="I1265" s="2">
        <f t="shared" si="84"/>
        <v>14440.2</v>
      </c>
      <c r="L1265" s="2">
        <f t="shared" si="83"/>
        <v>20</v>
      </c>
    </row>
    <row r="1266" spans="1:12" x14ac:dyDescent="0.3">
      <c r="A1266" s="3">
        <v>45085</v>
      </c>
      <c r="B1266" s="11">
        <v>2100</v>
      </c>
      <c r="C1266" s="50" t="s">
        <v>577</v>
      </c>
      <c r="F1266"/>
      <c r="H1266" s="2">
        <v>4200</v>
      </c>
      <c r="I1266" s="2">
        <f t="shared" si="84"/>
        <v>10240.200000000001</v>
      </c>
      <c r="L1266" s="2">
        <f t="shared" si="83"/>
        <v>16.8</v>
      </c>
    </row>
    <row r="1267" spans="1:12" x14ac:dyDescent="0.3">
      <c r="A1267" s="3">
        <v>45085</v>
      </c>
      <c r="B1267" s="11">
        <v>1818</v>
      </c>
      <c r="C1267" s="50" t="s">
        <v>3657</v>
      </c>
      <c r="F1267"/>
      <c r="H1267" s="2">
        <v>3600</v>
      </c>
      <c r="I1267" s="2">
        <f t="shared" si="84"/>
        <v>6640.2000000000007</v>
      </c>
      <c r="L1267" s="2">
        <f t="shared" si="83"/>
        <v>14.4</v>
      </c>
    </row>
    <row r="1268" spans="1:12" x14ac:dyDescent="0.3">
      <c r="A1268" s="3">
        <v>45085</v>
      </c>
      <c r="B1268" s="11" t="s">
        <v>3659</v>
      </c>
      <c r="C1268" s="50" t="s">
        <v>3658</v>
      </c>
      <c r="F1268"/>
      <c r="G1268" s="2">
        <v>4000</v>
      </c>
      <c r="I1268" s="2">
        <f t="shared" si="84"/>
        <v>10640.2</v>
      </c>
      <c r="L1268" s="2">
        <f t="shared" si="83"/>
        <v>16</v>
      </c>
    </row>
    <row r="1269" spans="1:12" x14ac:dyDescent="0.3">
      <c r="A1269" s="3">
        <v>45086</v>
      </c>
      <c r="B1269" s="11" t="s">
        <v>2678</v>
      </c>
      <c r="C1269" s="50" t="s">
        <v>2679</v>
      </c>
      <c r="F1269"/>
      <c r="H1269" s="2">
        <v>4000</v>
      </c>
      <c r="I1269" s="2">
        <f t="shared" si="84"/>
        <v>6640.2000000000007</v>
      </c>
      <c r="L1269" s="2">
        <f t="shared" si="83"/>
        <v>16</v>
      </c>
    </row>
    <row r="1270" spans="1:12" x14ac:dyDescent="0.3">
      <c r="A1270" s="3">
        <v>45086</v>
      </c>
      <c r="B1270" s="11" t="s">
        <v>3661</v>
      </c>
      <c r="C1270" s="50" t="s">
        <v>3660</v>
      </c>
      <c r="F1270"/>
      <c r="G1270" s="2">
        <v>5100</v>
      </c>
      <c r="I1270" s="2">
        <f t="shared" si="84"/>
        <v>11740.2</v>
      </c>
      <c r="L1270" s="2">
        <f t="shared" si="83"/>
        <v>20</v>
      </c>
    </row>
    <row r="1271" spans="1:12" x14ac:dyDescent="0.3">
      <c r="A1271" s="3">
        <v>45086</v>
      </c>
      <c r="B1271" s="11">
        <v>4902</v>
      </c>
      <c r="C1271" s="50" t="s">
        <v>3662</v>
      </c>
      <c r="F1271"/>
      <c r="G1271" s="2">
        <v>500</v>
      </c>
      <c r="I1271" s="2">
        <f t="shared" si="84"/>
        <v>12240.2</v>
      </c>
      <c r="L1271" s="2">
        <f t="shared" si="83"/>
        <v>2</v>
      </c>
    </row>
    <row r="1272" spans="1:12" x14ac:dyDescent="0.3">
      <c r="A1272" s="3">
        <v>45086</v>
      </c>
      <c r="B1272" s="11" t="s">
        <v>1250</v>
      </c>
      <c r="C1272" s="50" t="s">
        <v>3663</v>
      </c>
      <c r="F1272"/>
      <c r="G1272" s="2">
        <v>500</v>
      </c>
      <c r="I1272" s="2">
        <f t="shared" si="84"/>
        <v>12740.2</v>
      </c>
      <c r="L1272" s="2">
        <f t="shared" si="83"/>
        <v>2</v>
      </c>
    </row>
    <row r="1273" spans="1:12" x14ac:dyDescent="0.3">
      <c r="A1273" s="3">
        <v>45086</v>
      </c>
      <c r="B1273" s="11">
        <v>5145</v>
      </c>
      <c r="C1273" s="50" t="s">
        <v>3664</v>
      </c>
      <c r="E1273" s="90" t="s">
        <v>16</v>
      </c>
      <c r="F1273"/>
      <c r="H1273" s="2">
        <v>100</v>
      </c>
      <c r="I1273" s="2">
        <f t="shared" si="84"/>
        <v>12640.2</v>
      </c>
      <c r="L1273" s="2">
        <f t="shared" si="83"/>
        <v>25.4</v>
      </c>
    </row>
    <row r="1274" spans="1:12" x14ac:dyDescent="0.3">
      <c r="A1274" s="3">
        <v>45087</v>
      </c>
      <c r="B1274" s="11" t="s">
        <v>2351</v>
      </c>
      <c r="C1274" s="50" t="s">
        <v>3246</v>
      </c>
      <c r="F1274"/>
      <c r="G1274" s="2">
        <v>5000</v>
      </c>
      <c r="I1274" s="2">
        <f t="shared" si="84"/>
        <v>17640.2</v>
      </c>
      <c r="L1274" s="2">
        <f t="shared" si="83"/>
        <v>20</v>
      </c>
    </row>
    <row r="1275" spans="1:12" x14ac:dyDescent="0.3">
      <c r="A1275" s="3">
        <v>45088</v>
      </c>
      <c r="B1275" s="11" t="s">
        <v>2351</v>
      </c>
      <c r="C1275" s="50" t="s">
        <v>3665</v>
      </c>
      <c r="F1275"/>
      <c r="G1275" s="2">
        <v>2000</v>
      </c>
      <c r="I1275" s="2">
        <f t="shared" si="84"/>
        <v>19640.2</v>
      </c>
      <c r="L1275" s="2">
        <f t="shared" si="83"/>
        <v>8</v>
      </c>
    </row>
    <row r="1276" spans="1:12" x14ac:dyDescent="0.3">
      <c r="A1276" s="3">
        <v>45088</v>
      </c>
      <c r="B1276" s="11" t="s">
        <v>2351</v>
      </c>
      <c r="F1276"/>
      <c r="G1276" s="2">
        <v>1000</v>
      </c>
      <c r="I1276" s="2">
        <f t="shared" si="84"/>
        <v>20640.2</v>
      </c>
      <c r="L1276" s="2">
        <f t="shared" si="83"/>
        <v>4</v>
      </c>
    </row>
    <row r="1277" spans="1:12" x14ac:dyDescent="0.3">
      <c r="A1277" s="3">
        <v>45088</v>
      </c>
      <c r="B1277" s="11">
        <v>4164</v>
      </c>
      <c r="C1277" s="50" t="s">
        <v>2274</v>
      </c>
      <c r="F1277"/>
      <c r="H1277" s="2">
        <v>6000</v>
      </c>
      <c r="I1277" s="2">
        <f t="shared" si="84"/>
        <v>14640.2</v>
      </c>
      <c r="L1277" s="2">
        <f t="shared" si="83"/>
        <v>20</v>
      </c>
    </row>
    <row r="1278" spans="1:12" x14ac:dyDescent="0.3">
      <c r="A1278" s="3">
        <v>45088</v>
      </c>
      <c r="B1278" s="11" t="s">
        <v>3667</v>
      </c>
      <c r="C1278" s="50" t="s">
        <v>3666</v>
      </c>
      <c r="F1278"/>
      <c r="H1278" s="2">
        <v>3500</v>
      </c>
      <c r="I1278" s="2">
        <f t="shared" si="84"/>
        <v>11140.2</v>
      </c>
      <c r="L1278" s="2">
        <f t="shared" si="83"/>
        <v>14</v>
      </c>
    </row>
    <row r="1279" spans="1:12" x14ac:dyDescent="0.3">
      <c r="A1279" s="3">
        <v>45088</v>
      </c>
      <c r="B1279" s="11" t="s">
        <v>3039</v>
      </c>
      <c r="C1279" s="50" t="s">
        <v>3668</v>
      </c>
      <c r="F1279"/>
      <c r="G1279" s="2">
        <v>2000</v>
      </c>
      <c r="I1279" s="2">
        <f t="shared" si="84"/>
        <v>13140.2</v>
      </c>
      <c r="L1279" s="2">
        <f t="shared" si="83"/>
        <v>8</v>
      </c>
    </row>
    <row r="1280" spans="1:12" x14ac:dyDescent="0.3">
      <c r="A1280" s="3">
        <v>45088</v>
      </c>
      <c r="B1280" s="11" t="s">
        <v>2241</v>
      </c>
      <c r="F1280"/>
      <c r="G1280" s="2">
        <v>1550</v>
      </c>
      <c r="I1280" s="2">
        <f t="shared" si="84"/>
        <v>14690.2</v>
      </c>
      <c r="L1280" s="2">
        <f t="shared" si="83"/>
        <v>6.2</v>
      </c>
    </row>
    <row r="1281" spans="1:12" x14ac:dyDescent="0.3">
      <c r="A1281" s="3">
        <v>45088</v>
      </c>
      <c r="B1281" s="11" t="s">
        <v>3669</v>
      </c>
      <c r="F1281"/>
      <c r="G1281" s="2">
        <v>1350</v>
      </c>
      <c r="I1281" s="2">
        <f t="shared" si="84"/>
        <v>16040.2</v>
      </c>
      <c r="L1281" s="2">
        <f t="shared" ref="L1281:L1316" si="85">IF((G1281+H1281)&lt;=5000,(H1281+G1281)*0.004,20)+IF(E1281="Y",25,0)</f>
        <v>5.4</v>
      </c>
    </row>
    <row r="1282" spans="1:12" x14ac:dyDescent="0.3">
      <c r="A1282" s="3">
        <v>45088</v>
      </c>
      <c r="B1282" s="11">
        <v>4906</v>
      </c>
      <c r="F1282"/>
      <c r="G1282" s="2">
        <v>1000</v>
      </c>
      <c r="I1282" s="2">
        <f t="shared" si="84"/>
        <v>17040.2</v>
      </c>
      <c r="L1282" s="2">
        <f t="shared" si="85"/>
        <v>4</v>
      </c>
    </row>
    <row r="1283" spans="1:12" x14ac:dyDescent="0.3">
      <c r="A1283" s="3">
        <v>45090</v>
      </c>
      <c r="B1283" s="11" t="s">
        <v>1250</v>
      </c>
      <c r="C1283" s="50" t="s">
        <v>2284</v>
      </c>
      <c r="F1283"/>
      <c r="G1283" s="2">
        <v>5000</v>
      </c>
      <c r="I1283" s="2">
        <f t="shared" si="84"/>
        <v>22040.2</v>
      </c>
      <c r="L1283" s="2">
        <f t="shared" si="85"/>
        <v>20</v>
      </c>
    </row>
    <row r="1284" spans="1:12" x14ac:dyDescent="0.3">
      <c r="A1284" s="3">
        <v>45090</v>
      </c>
      <c r="B1284" s="11">
        <v>4906</v>
      </c>
      <c r="F1284"/>
      <c r="G1284" s="2">
        <v>2000</v>
      </c>
      <c r="I1284" s="2">
        <f t="shared" si="84"/>
        <v>24040.2</v>
      </c>
      <c r="L1284" s="2">
        <f t="shared" si="85"/>
        <v>8</v>
      </c>
    </row>
    <row r="1285" spans="1:12" x14ac:dyDescent="0.3">
      <c r="A1285" s="3">
        <v>45090</v>
      </c>
      <c r="B1285" s="11" t="s">
        <v>1250</v>
      </c>
      <c r="C1285" s="50" t="s">
        <v>3670</v>
      </c>
      <c r="F1285"/>
      <c r="G1285" s="2">
        <v>10000</v>
      </c>
      <c r="I1285" s="2">
        <f t="shared" si="84"/>
        <v>34040.199999999997</v>
      </c>
      <c r="L1285" s="2">
        <f t="shared" si="85"/>
        <v>20</v>
      </c>
    </row>
    <row r="1286" spans="1:12" x14ac:dyDescent="0.3">
      <c r="A1286" s="3">
        <v>45090</v>
      </c>
      <c r="B1286" s="11">
        <v>4164</v>
      </c>
      <c r="C1286" s="50" t="s">
        <v>2274</v>
      </c>
      <c r="F1286"/>
      <c r="H1286" s="2">
        <v>5000</v>
      </c>
      <c r="I1286" s="2">
        <f t="shared" si="84"/>
        <v>29040.199999999997</v>
      </c>
      <c r="L1286" s="2">
        <f t="shared" si="85"/>
        <v>20</v>
      </c>
    </row>
    <row r="1287" spans="1:12" x14ac:dyDescent="0.3">
      <c r="A1287" s="3">
        <v>45091</v>
      </c>
      <c r="B1287" s="11">
        <v>5147</v>
      </c>
      <c r="C1287" s="50" t="s">
        <v>3489</v>
      </c>
      <c r="E1287" s="90" t="s">
        <v>16</v>
      </c>
      <c r="F1287"/>
      <c r="H1287" s="2">
        <v>100</v>
      </c>
      <c r="I1287" s="2">
        <f t="shared" si="84"/>
        <v>28940.199999999997</v>
      </c>
      <c r="L1287" s="2">
        <f t="shared" si="85"/>
        <v>25.4</v>
      </c>
    </row>
    <row r="1288" spans="1:12" x14ac:dyDescent="0.3">
      <c r="A1288" s="3">
        <v>45091</v>
      </c>
      <c r="B1288" s="11">
        <v>2028</v>
      </c>
      <c r="C1288" s="50" t="s">
        <v>3673</v>
      </c>
      <c r="F1288"/>
      <c r="G1288" s="2">
        <v>1400</v>
      </c>
      <c r="I1288" s="2">
        <f t="shared" si="84"/>
        <v>30340.199999999997</v>
      </c>
      <c r="L1288" s="2">
        <f t="shared" si="85"/>
        <v>5.6000000000000005</v>
      </c>
    </row>
    <row r="1289" spans="1:12" x14ac:dyDescent="0.3">
      <c r="A1289" s="3">
        <v>45091</v>
      </c>
      <c r="B1289" s="11" t="s">
        <v>3682</v>
      </c>
      <c r="C1289" s="50" t="s">
        <v>3677</v>
      </c>
      <c r="E1289" s="90" t="s">
        <v>16</v>
      </c>
      <c r="F1289"/>
      <c r="H1289" s="2">
        <v>10000</v>
      </c>
      <c r="I1289" s="2">
        <f t="shared" si="84"/>
        <v>20340.199999999997</v>
      </c>
      <c r="L1289" s="2">
        <f t="shared" si="85"/>
        <v>45</v>
      </c>
    </row>
    <row r="1290" spans="1:12" x14ac:dyDescent="0.3">
      <c r="A1290" s="3">
        <v>45092</v>
      </c>
      <c r="B1290" s="11" t="s">
        <v>3678</v>
      </c>
      <c r="C1290" s="65" t="s">
        <v>3680</v>
      </c>
      <c r="E1290" s="90" t="s">
        <v>16</v>
      </c>
      <c r="F1290"/>
      <c r="H1290" s="2">
        <v>1000</v>
      </c>
      <c r="I1290" s="2">
        <f t="shared" si="84"/>
        <v>19340.199999999997</v>
      </c>
      <c r="L1290" s="2">
        <f t="shared" si="85"/>
        <v>29</v>
      </c>
    </row>
    <row r="1291" spans="1:12" x14ac:dyDescent="0.3">
      <c r="A1291" s="3">
        <v>45092</v>
      </c>
      <c r="B1291" s="11">
        <v>5149</v>
      </c>
      <c r="C1291" s="50" t="s">
        <v>3684</v>
      </c>
      <c r="E1291" s="90" t="s">
        <v>16</v>
      </c>
      <c r="F1291"/>
      <c r="H1291" s="2">
        <v>500</v>
      </c>
      <c r="I1291" s="2">
        <f t="shared" si="84"/>
        <v>18840.199999999997</v>
      </c>
      <c r="L1291" s="2">
        <f t="shared" si="85"/>
        <v>27</v>
      </c>
    </row>
    <row r="1292" spans="1:12" x14ac:dyDescent="0.3">
      <c r="A1292" s="3">
        <v>45092</v>
      </c>
      <c r="B1292" s="11" t="s">
        <v>1250</v>
      </c>
      <c r="C1292" s="50" t="s">
        <v>3688</v>
      </c>
      <c r="F1292"/>
      <c r="G1292" s="2">
        <v>4000</v>
      </c>
      <c r="I1292" s="2">
        <f t="shared" si="84"/>
        <v>22840.199999999997</v>
      </c>
      <c r="L1292" s="2">
        <f t="shared" si="85"/>
        <v>16</v>
      </c>
    </row>
    <row r="1293" spans="1:12" x14ac:dyDescent="0.3">
      <c r="A1293" s="3">
        <v>45092</v>
      </c>
      <c r="B1293" s="11">
        <v>4296</v>
      </c>
      <c r="C1293" s="50" t="s">
        <v>3608</v>
      </c>
      <c r="F1293"/>
      <c r="H1293" s="2">
        <v>3500</v>
      </c>
      <c r="I1293" s="2">
        <f t="shared" si="84"/>
        <v>19340.199999999997</v>
      </c>
      <c r="L1293" s="2">
        <f t="shared" si="85"/>
        <v>14</v>
      </c>
    </row>
    <row r="1294" spans="1:12" x14ac:dyDescent="0.3">
      <c r="A1294" s="3">
        <v>45092</v>
      </c>
      <c r="B1294" s="11" t="s">
        <v>1250</v>
      </c>
      <c r="C1294" s="50" t="s">
        <v>3670</v>
      </c>
      <c r="F1294"/>
      <c r="G1294" s="2">
        <v>5000</v>
      </c>
      <c r="I1294" s="2">
        <f t="shared" si="84"/>
        <v>24340.199999999997</v>
      </c>
      <c r="L1294" s="2">
        <f t="shared" si="85"/>
        <v>20</v>
      </c>
    </row>
    <row r="1295" spans="1:12" x14ac:dyDescent="0.3">
      <c r="A1295" s="3">
        <v>45094</v>
      </c>
      <c r="B1295" s="11">
        <v>5134</v>
      </c>
      <c r="F1295"/>
      <c r="G1295" s="2">
        <v>300</v>
      </c>
      <c r="I1295" s="2">
        <f t="shared" si="84"/>
        <v>24640.199999999997</v>
      </c>
      <c r="L1295" s="2">
        <f t="shared" si="85"/>
        <v>1.2</v>
      </c>
    </row>
    <row r="1296" spans="1:12" x14ac:dyDescent="0.3">
      <c r="A1296" s="3">
        <v>45094</v>
      </c>
      <c r="B1296" s="11">
        <v>166</v>
      </c>
      <c r="C1296" s="50" t="s">
        <v>3689</v>
      </c>
      <c r="F1296"/>
      <c r="G1296" s="2">
        <v>1000</v>
      </c>
      <c r="I1296" s="2">
        <f t="shared" si="84"/>
        <v>25640.199999999997</v>
      </c>
      <c r="L1296" s="2">
        <f t="shared" si="85"/>
        <v>4</v>
      </c>
    </row>
    <row r="1297" spans="1:12" x14ac:dyDescent="0.3">
      <c r="A1297" s="3">
        <v>45094</v>
      </c>
      <c r="B1297" s="11" t="s">
        <v>2716</v>
      </c>
      <c r="C1297" s="50" t="s">
        <v>1279</v>
      </c>
      <c r="F1297"/>
      <c r="H1297" s="2">
        <v>10000</v>
      </c>
      <c r="I1297" s="2">
        <f t="shared" si="84"/>
        <v>15640.199999999997</v>
      </c>
      <c r="L1297" s="2">
        <f t="shared" si="85"/>
        <v>20</v>
      </c>
    </row>
    <row r="1298" spans="1:12" x14ac:dyDescent="0.3">
      <c r="A1298" s="3">
        <v>45094</v>
      </c>
      <c r="B1298" s="11" t="s">
        <v>1250</v>
      </c>
      <c r="C1298" s="50" t="s">
        <v>3690</v>
      </c>
      <c r="F1298"/>
      <c r="G1298" s="2">
        <v>500</v>
      </c>
      <c r="I1298" s="2">
        <f t="shared" si="84"/>
        <v>16140.199999999997</v>
      </c>
      <c r="L1298" s="2">
        <f t="shared" si="85"/>
        <v>2</v>
      </c>
    </row>
    <row r="1299" spans="1:12" x14ac:dyDescent="0.3">
      <c r="A1299" s="3">
        <v>45094</v>
      </c>
      <c r="B1299" s="11">
        <v>2333</v>
      </c>
      <c r="C1299" s="50" t="s">
        <v>3691</v>
      </c>
      <c r="F1299"/>
      <c r="G1299" s="2">
        <v>3000</v>
      </c>
      <c r="I1299" s="2">
        <f t="shared" si="84"/>
        <v>19140.199999999997</v>
      </c>
      <c r="L1299" s="2">
        <f t="shared" si="85"/>
        <v>12</v>
      </c>
    </row>
    <row r="1300" spans="1:12" x14ac:dyDescent="0.3">
      <c r="A1300" s="3">
        <v>45094</v>
      </c>
      <c r="B1300" s="11" t="s">
        <v>1160</v>
      </c>
      <c r="C1300" s="50" t="s">
        <v>3692</v>
      </c>
      <c r="F1300"/>
      <c r="G1300" s="2">
        <v>500</v>
      </c>
      <c r="I1300" s="2">
        <f t="shared" si="84"/>
        <v>19640.199999999997</v>
      </c>
      <c r="L1300" s="2">
        <f t="shared" si="85"/>
        <v>2</v>
      </c>
    </row>
    <row r="1301" spans="1:12" x14ac:dyDescent="0.3">
      <c r="A1301" s="3">
        <v>45094</v>
      </c>
      <c r="B1301" s="11" t="s">
        <v>2241</v>
      </c>
      <c r="F1301"/>
      <c r="G1301" s="2">
        <v>3000</v>
      </c>
      <c r="I1301" s="2">
        <f t="shared" si="84"/>
        <v>22640.199999999997</v>
      </c>
      <c r="L1301" s="2">
        <f t="shared" si="85"/>
        <v>12</v>
      </c>
    </row>
    <row r="1302" spans="1:12" x14ac:dyDescent="0.3">
      <c r="A1302" s="3">
        <v>45094</v>
      </c>
      <c r="B1302" s="11" t="s">
        <v>1160</v>
      </c>
      <c r="C1302" s="50" t="s">
        <v>3695</v>
      </c>
      <c r="F1302"/>
      <c r="G1302" s="2">
        <v>1000</v>
      </c>
      <c r="I1302" s="2">
        <f t="shared" si="84"/>
        <v>23640.199999999997</v>
      </c>
      <c r="L1302" s="2">
        <f t="shared" si="85"/>
        <v>4</v>
      </c>
    </row>
    <row r="1303" spans="1:12" x14ac:dyDescent="0.3">
      <c r="A1303" s="3">
        <v>45095</v>
      </c>
      <c r="B1303" s="11">
        <v>1141</v>
      </c>
      <c r="C1303" s="50" t="s">
        <v>3139</v>
      </c>
      <c r="F1303"/>
      <c r="G1303" s="2">
        <v>900</v>
      </c>
      <c r="I1303" s="2">
        <f t="shared" si="84"/>
        <v>24540.199999999997</v>
      </c>
      <c r="L1303" s="2">
        <f t="shared" si="85"/>
        <v>3.6</v>
      </c>
    </row>
    <row r="1304" spans="1:12" x14ac:dyDescent="0.3">
      <c r="A1304" s="3">
        <v>45095</v>
      </c>
      <c r="B1304" s="11" t="s">
        <v>3697</v>
      </c>
      <c r="C1304" s="50" t="s">
        <v>1279</v>
      </c>
      <c r="F1304"/>
      <c r="H1304" s="2">
        <v>10000</v>
      </c>
      <c r="I1304" s="2">
        <f t="shared" si="84"/>
        <v>14540.199999999997</v>
      </c>
      <c r="L1304" s="2">
        <f t="shared" si="85"/>
        <v>20</v>
      </c>
    </row>
    <row r="1305" spans="1:12" x14ac:dyDescent="0.3">
      <c r="A1305" s="3">
        <v>45095</v>
      </c>
      <c r="B1305" s="11" t="s">
        <v>1250</v>
      </c>
      <c r="F1305"/>
      <c r="G1305" s="2">
        <v>1000</v>
      </c>
      <c r="I1305" s="2">
        <f t="shared" si="84"/>
        <v>15540.199999999997</v>
      </c>
      <c r="L1305" s="2">
        <f t="shared" si="85"/>
        <v>4</v>
      </c>
    </row>
    <row r="1306" spans="1:12" x14ac:dyDescent="0.3">
      <c r="A1306" s="3">
        <v>45095</v>
      </c>
      <c r="B1306" s="11">
        <v>576</v>
      </c>
      <c r="C1306" s="50" t="s">
        <v>2443</v>
      </c>
      <c r="F1306"/>
      <c r="G1306" s="2">
        <v>1100</v>
      </c>
      <c r="I1306" s="2">
        <f t="shared" si="84"/>
        <v>16640.199999999997</v>
      </c>
      <c r="L1306" s="2">
        <f t="shared" si="85"/>
        <v>4.4000000000000004</v>
      </c>
    </row>
    <row r="1307" spans="1:12" x14ac:dyDescent="0.3">
      <c r="A1307" s="3">
        <v>45096</v>
      </c>
      <c r="B1307" s="11">
        <v>4906</v>
      </c>
      <c r="F1307"/>
      <c r="G1307" s="2">
        <v>800</v>
      </c>
      <c r="I1307" s="2">
        <f t="shared" si="84"/>
        <v>17440.199999999997</v>
      </c>
      <c r="L1307" s="2">
        <f t="shared" si="85"/>
        <v>3.2</v>
      </c>
    </row>
    <row r="1308" spans="1:12" x14ac:dyDescent="0.3">
      <c r="A1308" s="3">
        <v>45096</v>
      </c>
      <c r="B1308" s="11">
        <v>961</v>
      </c>
      <c r="C1308" s="50" t="s">
        <v>3698</v>
      </c>
      <c r="F1308"/>
      <c r="G1308" s="2">
        <v>600</v>
      </c>
      <c r="I1308" s="2">
        <f t="shared" si="84"/>
        <v>18040.199999999997</v>
      </c>
      <c r="L1308" s="2">
        <f t="shared" si="85"/>
        <v>2.4</v>
      </c>
    </row>
    <row r="1309" spans="1:12" x14ac:dyDescent="0.3">
      <c r="A1309" s="3">
        <v>45096</v>
      </c>
      <c r="C1309" s="50" t="s">
        <v>2857</v>
      </c>
      <c r="F1309"/>
      <c r="H1309" s="2">
        <v>10000</v>
      </c>
      <c r="I1309" s="2">
        <f t="shared" si="84"/>
        <v>8040.1999999999971</v>
      </c>
      <c r="L1309" s="2">
        <f t="shared" si="85"/>
        <v>20</v>
      </c>
    </row>
    <row r="1310" spans="1:12" x14ac:dyDescent="0.3">
      <c r="A1310" s="3">
        <v>45096</v>
      </c>
      <c r="B1310" s="11" t="s">
        <v>3699</v>
      </c>
      <c r="C1310" s="50" t="s">
        <v>3700</v>
      </c>
      <c r="F1310"/>
      <c r="H1310" s="2">
        <v>8000</v>
      </c>
      <c r="I1310" s="2">
        <f t="shared" si="84"/>
        <v>40.19999999999709</v>
      </c>
      <c r="L1310" s="2">
        <f t="shared" si="85"/>
        <v>20</v>
      </c>
    </row>
    <row r="1311" spans="1:12" x14ac:dyDescent="0.3">
      <c r="A1311" s="3">
        <v>45096</v>
      </c>
      <c r="B1311" s="11">
        <v>4477</v>
      </c>
      <c r="C1311" s="50" t="s">
        <v>3255</v>
      </c>
      <c r="F1311"/>
      <c r="G1311" s="2">
        <v>2000</v>
      </c>
      <c r="I1311" s="2">
        <f t="shared" si="84"/>
        <v>2040.1999999999971</v>
      </c>
      <c r="L1311" s="2">
        <f t="shared" si="85"/>
        <v>8</v>
      </c>
    </row>
    <row r="1312" spans="1:12" x14ac:dyDescent="0.3">
      <c r="A1312" s="3">
        <v>45096</v>
      </c>
      <c r="B1312" s="11" t="s">
        <v>1472</v>
      </c>
      <c r="C1312" s="50" t="s">
        <v>2488</v>
      </c>
      <c r="F1312"/>
      <c r="G1312" s="2">
        <v>5000</v>
      </c>
      <c r="I1312" s="2">
        <f t="shared" si="84"/>
        <v>7040.1999999999971</v>
      </c>
      <c r="L1312" s="2">
        <f t="shared" si="85"/>
        <v>20</v>
      </c>
    </row>
    <row r="1313" spans="1:12" x14ac:dyDescent="0.3">
      <c r="A1313" s="3">
        <v>45096</v>
      </c>
      <c r="B1313" s="11" t="s">
        <v>3204</v>
      </c>
      <c r="C1313" s="50" t="s">
        <v>2333</v>
      </c>
      <c r="F1313"/>
      <c r="G1313" s="2">
        <v>4000</v>
      </c>
      <c r="I1313" s="2">
        <f t="shared" si="84"/>
        <v>11040.199999999997</v>
      </c>
      <c r="L1313" s="2">
        <f t="shared" si="85"/>
        <v>16</v>
      </c>
    </row>
    <row r="1314" spans="1:12" x14ac:dyDescent="0.3">
      <c r="A1314" s="3">
        <v>45096</v>
      </c>
      <c r="B1314" s="11">
        <v>1640</v>
      </c>
      <c r="C1314" s="50" t="s">
        <v>2551</v>
      </c>
      <c r="F1314"/>
      <c r="H1314" s="2">
        <v>4000</v>
      </c>
      <c r="I1314" s="2">
        <f t="shared" si="84"/>
        <v>7040.1999999999971</v>
      </c>
      <c r="L1314" s="2">
        <f t="shared" si="85"/>
        <v>16</v>
      </c>
    </row>
    <row r="1315" spans="1:12" x14ac:dyDescent="0.3">
      <c r="A1315" s="3">
        <v>45096</v>
      </c>
      <c r="B1315" s="11" t="s">
        <v>1160</v>
      </c>
      <c r="C1315" s="50" t="s">
        <v>3701</v>
      </c>
      <c r="F1315"/>
      <c r="G1315" s="2">
        <v>2000</v>
      </c>
      <c r="I1315" s="2">
        <f t="shared" si="84"/>
        <v>9040.1999999999971</v>
      </c>
      <c r="L1315" s="2">
        <f t="shared" si="85"/>
        <v>8</v>
      </c>
    </row>
    <row r="1316" spans="1:12" x14ac:dyDescent="0.3">
      <c r="A1316" s="3">
        <v>45096</v>
      </c>
      <c r="B1316" s="11">
        <v>4164</v>
      </c>
      <c r="C1316" s="50" t="s">
        <v>2274</v>
      </c>
      <c r="F1316"/>
      <c r="H1316" s="2">
        <v>5000</v>
      </c>
      <c r="I1316" s="2">
        <f t="shared" si="84"/>
        <v>4040.1999999999971</v>
      </c>
      <c r="L1316" s="2">
        <f t="shared" si="85"/>
        <v>20</v>
      </c>
    </row>
    <row r="1317" spans="1:12" x14ac:dyDescent="0.3">
      <c r="A1317" s="3">
        <v>45096</v>
      </c>
      <c r="B1317" s="11" t="s">
        <v>1250</v>
      </c>
      <c r="C1317" s="50" t="s">
        <v>2250</v>
      </c>
      <c r="F1317"/>
      <c r="G1317" s="2">
        <v>1100</v>
      </c>
      <c r="I1317" s="2">
        <f t="shared" si="84"/>
        <v>5140.1999999999971</v>
      </c>
    </row>
    <row r="1318" spans="1:12" x14ac:dyDescent="0.3">
      <c r="A1318" s="3">
        <v>45096</v>
      </c>
      <c r="C1318" s="115" t="s">
        <v>2653</v>
      </c>
      <c r="D1318" s="115"/>
      <c r="E1318" s="99"/>
      <c r="F1318" s="49"/>
      <c r="G1318" s="76">
        <v>1144.1600000000001</v>
      </c>
      <c r="I1318" s="2">
        <f t="shared" si="84"/>
        <v>6284.3599999999969</v>
      </c>
      <c r="L1318" s="2">
        <f t="shared" ref="L1318:L1352" si="86">IF((G1318+H1318)&lt;=5000,(H1318+G1318)*0.004,20)+IF(E1318="Y",25,0)</f>
        <v>4.5766400000000003</v>
      </c>
    </row>
    <row r="1319" spans="1:12" x14ac:dyDescent="0.3">
      <c r="A1319" s="3">
        <v>45097</v>
      </c>
      <c r="B1319" s="11">
        <v>5150</v>
      </c>
      <c r="C1319" s="50" t="s">
        <v>3704</v>
      </c>
      <c r="E1319" s="90" t="s">
        <v>16</v>
      </c>
      <c r="F1319"/>
      <c r="H1319" s="2">
        <v>100</v>
      </c>
      <c r="I1319" s="2">
        <f t="shared" si="84"/>
        <v>6184.3599999999969</v>
      </c>
      <c r="L1319" s="2">
        <f t="shared" si="86"/>
        <v>25.4</v>
      </c>
    </row>
    <row r="1320" spans="1:12" x14ac:dyDescent="0.3">
      <c r="A1320" s="3">
        <v>45097</v>
      </c>
      <c r="B1320" s="11" t="s">
        <v>3706</v>
      </c>
      <c r="C1320" s="50" t="s">
        <v>3707</v>
      </c>
      <c r="F1320"/>
      <c r="G1320" s="2">
        <v>300</v>
      </c>
      <c r="I1320" s="2">
        <f t="shared" si="84"/>
        <v>6484.3599999999969</v>
      </c>
      <c r="L1320" s="2">
        <f t="shared" si="86"/>
        <v>1.2</v>
      </c>
    </row>
    <row r="1321" spans="1:12" x14ac:dyDescent="0.3">
      <c r="A1321" s="3">
        <v>45098</v>
      </c>
      <c r="F1321"/>
      <c r="H1321" s="2">
        <v>5000</v>
      </c>
      <c r="I1321" s="2">
        <f t="shared" si="84"/>
        <v>1484.3599999999969</v>
      </c>
      <c r="L1321" s="2">
        <f t="shared" si="86"/>
        <v>20</v>
      </c>
    </row>
    <row r="1322" spans="1:12" x14ac:dyDescent="0.3">
      <c r="A1322" s="3">
        <v>45098</v>
      </c>
      <c r="B1322" s="11" t="s">
        <v>1250</v>
      </c>
      <c r="C1322" s="50" t="s">
        <v>2348</v>
      </c>
      <c r="F1322"/>
      <c r="G1322" s="2">
        <v>5000</v>
      </c>
      <c r="I1322" s="2">
        <f t="shared" si="84"/>
        <v>6484.3599999999969</v>
      </c>
      <c r="L1322" s="2">
        <f t="shared" si="86"/>
        <v>20</v>
      </c>
    </row>
    <row r="1323" spans="1:12" x14ac:dyDescent="0.3">
      <c r="A1323" s="3">
        <v>45098</v>
      </c>
      <c r="B1323" s="11">
        <v>2028</v>
      </c>
      <c r="C1323" s="50" t="s">
        <v>3673</v>
      </c>
      <c r="F1323"/>
      <c r="G1323" s="2">
        <v>700</v>
      </c>
      <c r="I1323" s="2">
        <f t="shared" si="84"/>
        <v>7184.3599999999969</v>
      </c>
      <c r="L1323" s="2">
        <f t="shared" si="86"/>
        <v>2.8000000000000003</v>
      </c>
    </row>
    <row r="1324" spans="1:12" x14ac:dyDescent="0.3">
      <c r="A1324" s="3">
        <v>45099</v>
      </c>
      <c r="B1324" s="11" t="s">
        <v>3669</v>
      </c>
      <c r="C1324" s="50" t="s">
        <v>2363</v>
      </c>
      <c r="F1324"/>
      <c r="G1324" s="2">
        <v>500</v>
      </c>
      <c r="I1324" s="2">
        <f t="shared" si="84"/>
        <v>7684.3599999999969</v>
      </c>
      <c r="L1324" s="2">
        <f t="shared" si="86"/>
        <v>2</v>
      </c>
    </row>
    <row r="1325" spans="1:12" x14ac:dyDescent="0.3">
      <c r="A1325" s="3">
        <v>45100</v>
      </c>
      <c r="B1325" s="11" t="s">
        <v>1250</v>
      </c>
      <c r="C1325" s="50" t="s">
        <v>3712</v>
      </c>
      <c r="F1325"/>
      <c r="G1325" s="2">
        <v>1200</v>
      </c>
      <c r="I1325" s="2">
        <f t="shared" si="84"/>
        <v>8884.3599999999969</v>
      </c>
      <c r="L1325" s="2">
        <f t="shared" si="86"/>
        <v>4.8</v>
      </c>
    </row>
    <row r="1326" spans="1:12" x14ac:dyDescent="0.3">
      <c r="A1326" s="3">
        <v>45100</v>
      </c>
      <c r="B1326" s="11">
        <v>5151</v>
      </c>
      <c r="C1326" s="50" t="s">
        <v>3718</v>
      </c>
      <c r="E1326" s="90" t="s">
        <v>16</v>
      </c>
      <c r="F1326"/>
      <c r="H1326" s="2">
        <v>300</v>
      </c>
      <c r="I1326" s="2">
        <f t="shared" si="84"/>
        <v>8584.3599999999969</v>
      </c>
      <c r="L1326" s="2">
        <f t="shared" si="86"/>
        <v>26.2</v>
      </c>
    </row>
    <row r="1327" spans="1:12" x14ac:dyDescent="0.3">
      <c r="A1327" s="3">
        <v>45100</v>
      </c>
      <c r="B1327" s="11">
        <v>5152</v>
      </c>
      <c r="C1327" s="50" t="s">
        <v>3715</v>
      </c>
      <c r="E1327" s="90" t="s">
        <v>16</v>
      </c>
      <c r="F1327"/>
      <c r="H1327" s="2">
        <v>500</v>
      </c>
      <c r="I1327" s="2">
        <f t="shared" si="84"/>
        <v>8084.3599999999969</v>
      </c>
      <c r="L1327" s="2">
        <f t="shared" si="86"/>
        <v>27</v>
      </c>
    </row>
    <row r="1328" spans="1:12" x14ac:dyDescent="0.3">
      <c r="A1328" s="3">
        <v>45100</v>
      </c>
      <c r="B1328" s="11">
        <v>675</v>
      </c>
      <c r="C1328" s="50" t="s">
        <v>3720</v>
      </c>
      <c r="F1328"/>
      <c r="G1328" s="2">
        <v>1500</v>
      </c>
      <c r="I1328" s="2">
        <f t="shared" si="84"/>
        <v>9584.3599999999969</v>
      </c>
      <c r="L1328" s="2">
        <f t="shared" si="86"/>
        <v>6</v>
      </c>
    </row>
    <row r="1329" spans="1:17" x14ac:dyDescent="0.3">
      <c r="A1329" s="3">
        <v>45100</v>
      </c>
      <c r="B1329" s="11">
        <v>4902</v>
      </c>
      <c r="C1329" s="50" t="s">
        <v>3721</v>
      </c>
      <c r="F1329"/>
      <c r="G1329" s="2">
        <v>400</v>
      </c>
      <c r="I1329" s="2">
        <f t="shared" si="84"/>
        <v>9984.3599999999969</v>
      </c>
      <c r="L1329" s="2">
        <f t="shared" si="86"/>
        <v>1.6</v>
      </c>
    </row>
    <row r="1330" spans="1:17" x14ac:dyDescent="0.3">
      <c r="A1330" s="3">
        <v>45100</v>
      </c>
      <c r="B1330" s="11" t="s">
        <v>3002</v>
      </c>
      <c r="C1330" s="50" t="s">
        <v>2779</v>
      </c>
      <c r="F1330"/>
      <c r="H1330" s="2">
        <v>8000</v>
      </c>
      <c r="I1330" s="2">
        <f t="shared" si="84"/>
        <v>1984.3599999999969</v>
      </c>
      <c r="L1330" s="2">
        <f t="shared" si="86"/>
        <v>20</v>
      </c>
    </row>
    <row r="1331" spans="1:17" x14ac:dyDescent="0.3">
      <c r="A1331" s="3">
        <v>45100</v>
      </c>
      <c r="B1331" s="11">
        <v>295</v>
      </c>
      <c r="C1331" s="50" t="s">
        <v>3722</v>
      </c>
      <c r="F1331"/>
      <c r="G1331" s="2">
        <v>10000</v>
      </c>
      <c r="I1331" s="2">
        <f t="shared" si="84"/>
        <v>11984.359999999997</v>
      </c>
      <c r="L1331" s="2">
        <f t="shared" si="86"/>
        <v>20</v>
      </c>
    </row>
    <row r="1332" spans="1:17" x14ac:dyDescent="0.3">
      <c r="A1332" s="3">
        <v>45101</v>
      </c>
      <c r="B1332" s="11">
        <v>295</v>
      </c>
      <c r="C1332" s="50" t="s">
        <v>3722</v>
      </c>
      <c r="F1332"/>
      <c r="G1332" s="2">
        <v>4000</v>
      </c>
      <c r="I1332" s="2">
        <f t="shared" si="84"/>
        <v>15984.359999999997</v>
      </c>
      <c r="L1332" s="2">
        <f t="shared" si="86"/>
        <v>16</v>
      </c>
    </row>
    <row r="1333" spans="1:17" x14ac:dyDescent="0.3">
      <c r="A1333" s="3">
        <v>45101</v>
      </c>
      <c r="B1333" s="11" t="s">
        <v>1257</v>
      </c>
      <c r="C1333" s="50" t="s">
        <v>2274</v>
      </c>
      <c r="F1333"/>
      <c r="H1333" s="2">
        <v>6500</v>
      </c>
      <c r="I1333" s="2">
        <f t="shared" si="84"/>
        <v>9484.3599999999969</v>
      </c>
      <c r="L1333" s="2">
        <f t="shared" si="86"/>
        <v>20</v>
      </c>
    </row>
    <row r="1334" spans="1:17" x14ac:dyDescent="0.3">
      <c r="A1334" s="3">
        <v>45102</v>
      </c>
      <c r="B1334" s="11" t="s">
        <v>3725</v>
      </c>
      <c r="C1334" s="50" t="s">
        <v>3726</v>
      </c>
      <c r="F1334"/>
      <c r="G1334" s="2">
        <v>5500</v>
      </c>
      <c r="I1334" s="2">
        <f t="shared" si="84"/>
        <v>14984.359999999997</v>
      </c>
      <c r="L1334" s="2">
        <f t="shared" si="86"/>
        <v>20</v>
      </c>
    </row>
    <row r="1335" spans="1:17" x14ac:dyDescent="0.3">
      <c r="A1335" s="3">
        <v>45072</v>
      </c>
      <c r="B1335" s="11">
        <v>4924</v>
      </c>
      <c r="C1335" s="50" t="s">
        <v>3251</v>
      </c>
      <c r="F1335"/>
      <c r="G1335" s="2">
        <v>10000</v>
      </c>
      <c r="I1335" s="2">
        <f t="shared" si="84"/>
        <v>24984.359999999997</v>
      </c>
      <c r="L1335" s="2">
        <f t="shared" si="86"/>
        <v>20</v>
      </c>
    </row>
    <row r="1336" spans="1:17" x14ac:dyDescent="0.3">
      <c r="A1336" s="3">
        <v>45072</v>
      </c>
      <c r="B1336" s="11" t="s">
        <v>1250</v>
      </c>
      <c r="C1336" s="50" t="s">
        <v>3727</v>
      </c>
      <c r="F1336"/>
      <c r="H1336" s="2">
        <v>4500</v>
      </c>
      <c r="I1336" s="2">
        <f t="shared" si="84"/>
        <v>20484.359999999997</v>
      </c>
      <c r="L1336" s="2">
        <f t="shared" si="86"/>
        <v>18</v>
      </c>
    </row>
    <row r="1337" spans="1:17" x14ac:dyDescent="0.3">
      <c r="A1337" s="3">
        <v>45072</v>
      </c>
      <c r="B1337" s="11" t="s">
        <v>1160</v>
      </c>
      <c r="C1337" s="50" t="s">
        <v>3728</v>
      </c>
      <c r="F1337"/>
      <c r="G1337" s="2">
        <v>3000</v>
      </c>
      <c r="I1337" s="2">
        <f t="shared" si="84"/>
        <v>23484.359999999997</v>
      </c>
      <c r="L1337" s="2">
        <f t="shared" si="86"/>
        <v>12</v>
      </c>
    </row>
    <row r="1338" spans="1:17" x14ac:dyDescent="0.3">
      <c r="A1338" s="3">
        <v>45072</v>
      </c>
      <c r="B1338" s="11" t="s">
        <v>2716</v>
      </c>
      <c r="C1338" s="50" t="s">
        <v>3729</v>
      </c>
      <c r="F1338"/>
      <c r="H1338" s="2">
        <v>10000</v>
      </c>
      <c r="I1338" s="2">
        <f t="shared" si="84"/>
        <v>13484.359999999997</v>
      </c>
      <c r="L1338" s="2">
        <f t="shared" si="86"/>
        <v>20</v>
      </c>
    </row>
    <row r="1339" spans="1:17" x14ac:dyDescent="0.3">
      <c r="A1339" s="3">
        <v>45072</v>
      </c>
      <c r="B1339" s="11" t="s">
        <v>3730</v>
      </c>
      <c r="C1339" s="50" t="s">
        <v>164</v>
      </c>
      <c r="F1339"/>
      <c r="H1339" s="2">
        <v>5000</v>
      </c>
      <c r="I1339" s="2">
        <f t="shared" si="84"/>
        <v>8484.3599999999969</v>
      </c>
      <c r="L1339" s="2">
        <f t="shared" si="86"/>
        <v>20</v>
      </c>
    </row>
    <row r="1340" spans="1:17" x14ac:dyDescent="0.3">
      <c r="A1340" s="3">
        <v>45072</v>
      </c>
      <c r="B1340" s="11" t="s">
        <v>3731</v>
      </c>
      <c r="C1340" s="50" t="s">
        <v>3732</v>
      </c>
      <c r="F1340"/>
      <c r="H1340" s="2">
        <v>700</v>
      </c>
      <c r="I1340" s="2">
        <f t="shared" si="84"/>
        <v>7784.3599999999969</v>
      </c>
      <c r="L1340" s="2">
        <f t="shared" si="86"/>
        <v>2.8000000000000003</v>
      </c>
    </row>
    <row r="1341" spans="1:17" x14ac:dyDescent="0.3">
      <c r="A1341" s="3">
        <v>45072</v>
      </c>
      <c r="B1341" s="11" t="s">
        <v>1250</v>
      </c>
      <c r="C1341" s="50" t="s">
        <v>2890</v>
      </c>
      <c r="F1341"/>
      <c r="G1341" s="2">
        <v>200</v>
      </c>
      <c r="I1341" s="2">
        <f t="shared" si="84"/>
        <v>7984.3599999999969</v>
      </c>
      <c r="L1341" s="2">
        <f t="shared" si="86"/>
        <v>0.8</v>
      </c>
    </row>
    <row r="1342" spans="1:17" x14ac:dyDescent="0.3">
      <c r="A1342" s="3">
        <v>45072</v>
      </c>
      <c r="B1342" s="11" t="s">
        <v>1250</v>
      </c>
      <c r="C1342" s="50" t="s">
        <v>3735</v>
      </c>
      <c r="F1342"/>
      <c r="G1342" s="2">
        <v>3000</v>
      </c>
      <c r="I1342" s="2">
        <f t="shared" si="84"/>
        <v>10984.359999999997</v>
      </c>
      <c r="L1342" s="2">
        <f t="shared" si="86"/>
        <v>12</v>
      </c>
      <c r="Q1342">
        <f>5990-1100-100-50</f>
        <v>4740</v>
      </c>
    </row>
    <row r="1343" spans="1:17" x14ac:dyDescent="0.3">
      <c r="A1343" s="3">
        <v>45072</v>
      </c>
      <c r="B1343" s="11">
        <v>815153</v>
      </c>
      <c r="C1343" s="50" t="s">
        <v>3734</v>
      </c>
      <c r="E1343" s="90" t="s">
        <v>16</v>
      </c>
      <c r="F1343"/>
      <c r="H1343" s="2">
        <v>1000</v>
      </c>
      <c r="I1343" s="2">
        <f t="shared" si="84"/>
        <v>9984.3599999999969</v>
      </c>
      <c r="L1343" s="2">
        <f t="shared" si="86"/>
        <v>29</v>
      </c>
    </row>
    <row r="1344" spans="1:17" x14ac:dyDescent="0.3">
      <c r="A1344" s="3">
        <v>45072</v>
      </c>
      <c r="B1344" s="11" t="s">
        <v>1250</v>
      </c>
      <c r="C1344" s="50" t="s">
        <v>2442</v>
      </c>
      <c r="F1344"/>
      <c r="G1344" s="2">
        <v>600</v>
      </c>
      <c r="I1344" s="2">
        <f t="shared" si="84"/>
        <v>10584.359999999997</v>
      </c>
      <c r="L1344" s="2">
        <f t="shared" si="86"/>
        <v>2.4</v>
      </c>
    </row>
    <row r="1345" spans="1:15" x14ac:dyDescent="0.3">
      <c r="A1345" s="3">
        <v>45104</v>
      </c>
      <c r="B1345" s="11" t="s">
        <v>2594</v>
      </c>
      <c r="F1345"/>
      <c r="G1345" s="2">
        <v>1150</v>
      </c>
      <c r="I1345" s="2">
        <f t="shared" si="84"/>
        <v>11734.359999999997</v>
      </c>
      <c r="L1345" s="2">
        <f t="shared" si="86"/>
        <v>4.6000000000000005</v>
      </c>
    </row>
    <row r="1346" spans="1:15" x14ac:dyDescent="0.3">
      <c r="A1346" s="3">
        <v>45104</v>
      </c>
      <c r="B1346" s="11" t="s">
        <v>1250</v>
      </c>
      <c r="C1346" s="50" t="s">
        <v>3251</v>
      </c>
      <c r="F1346"/>
      <c r="G1346" s="2">
        <v>5000</v>
      </c>
      <c r="I1346" s="2">
        <f t="shared" si="84"/>
        <v>16734.359999999997</v>
      </c>
      <c r="L1346" s="2">
        <f t="shared" si="86"/>
        <v>20</v>
      </c>
    </row>
    <row r="1347" spans="1:15" x14ac:dyDescent="0.3">
      <c r="A1347" s="3">
        <v>45104</v>
      </c>
      <c r="B1347" s="11" t="s">
        <v>1250</v>
      </c>
      <c r="C1347" s="50" t="s">
        <v>2250</v>
      </c>
      <c r="F1347"/>
      <c r="G1347" s="2">
        <v>5990</v>
      </c>
      <c r="I1347" s="2">
        <f t="shared" si="84"/>
        <v>22724.359999999997</v>
      </c>
      <c r="L1347" s="2">
        <f t="shared" si="86"/>
        <v>20</v>
      </c>
    </row>
    <row r="1348" spans="1:15" x14ac:dyDescent="0.3">
      <c r="A1348" s="3">
        <v>45104</v>
      </c>
      <c r="B1348" s="11">
        <v>2100</v>
      </c>
      <c r="C1348" s="50" t="s">
        <v>577</v>
      </c>
      <c r="F1348"/>
      <c r="H1348" s="2">
        <v>1050</v>
      </c>
      <c r="I1348" s="2">
        <f t="shared" si="84"/>
        <v>21674.359999999997</v>
      </c>
      <c r="L1348" s="2">
        <f t="shared" si="86"/>
        <v>4.2</v>
      </c>
    </row>
    <row r="1349" spans="1:15" x14ac:dyDescent="0.3">
      <c r="A1349" s="3">
        <v>45104</v>
      </c>
      <c r="B1349" s="11" t="s">
        <v>2241</v>
      </c>
      <c r="C1349" s="50" t="s">
        <v>3229</v>
      </c>
      <c r="F1349"/>
      <c r="G1349" s="2">
        <v>1000</v>
      </c>
      <c r="I1349" s="2">
        <f t="shared" si="84"/>
        <v>22674.359999999997</v>
      </c>
      <c r="L1349" s="2">
        <f t="shared" si="86"/>
        <v>4</v>
      </c>
    </row>
    <row r="1350" spans="1:15" x14ac:dyDescent="0.3">
      <c r="A1350" s="3">
        <v>45105</v>
      </c>
      <c r="B1350" s="11" t="s">
        <v>1250</v>
      </c>
      <c r="C1350" s="50" t="s">
        <v>3690</v>
      </c>
      <c r="F1350"/>
      <c r="G1350" s="2">
        <v>200</v>
      </c>
      <c r="I1350" s="2">
        <f t="shared" si="84"/>
        <v>22874.359999999997</v>
      </c>
      <c r="L1350" s="2">
        <f t="shared" si="86"/>
        <v>0.8</v>
      </c>
    </row>
    <row r="1351" spans="1:15" x14ac:dyDescent="0.3">
      <c r="A1351" s="3">
        <v>45105</v>
      </c>
      <c r="B1351" s="11">
        <v>1640</v>
      </c>
      <c r="C1351" s="50" t="s">
        <v>2458</v>
      </c>
      <c r="F1351"/>
      <c r="H1351" s="2">
        <v>2000</v>
      </c>
      <c r="I1351" s="2">
        <f t="shared" si="84"/>
        <v>20874.359999999997</v>
      </c>
      <c r="L1351" s="2">
        <f t="shared" si="86"/>
        <v>8</v>
      </c>
    </row>
    <row r="1352" spans="1:15" x14ac:dyDescent="0.3">
      <c r="A1352" s="3">
        <v>45105</v>
      </c>
      <c r="B1352" s="11">
        <v>5154</v>
      </c>
      <c r="F1352"/>
      <c r="H1352" s="2">
        <v>200</v>
      </c>
      <c r="I1352" s="2">
        <f t="shared" si="84"/>
        <v>20674.359999999997</v>
      </c>
      <c r="L1352" s="2">
        <f t="shared" si="86"/>
        <v>0.8</v>
      </c>
    </row>
    <row r="1353" spans="1:15" x14ac:dyDescent="0.3">
      <c r="A1353" s="3"/>
      <c r="F1353"/>
      <c r="G1353" s="2">
        <v>1000</v>
      </c>
      <c r="I1353" s="2">
        <f t="shared" si="84"/>
        <v>21674.359999999997</v>
      </c>
    </row>
    <row r="1354" spans="1:15" x14ac:dyDescent="0.3">
      <c r="A1354" s="3">
        <v>45105</v>
      </c>
      <c r="B1354" s="11" t="s">
        <v>1160</v>
      </c>
      <c r="C1354" s="50" t="s">
        <v>3738</v>
      </c>
      <c r="D1354" s="50">
        <v>8235429892</v>
      </c>
      <c r="F1354"/>
      <c r="G1354" s="2">
        <v>2000</v>
      </c>
      <c r="I1354" s="2">
        <f t="shared" si="84"/>
        <v>23674.359999999997</v>
      </c>
      <c r="L1354" s="2">
        <f>IF((G1354+H1354)&lt;=5000,(H1354+G1354)*0.004,20)+IF(E1354="Y",25,0)</f>
        <v>8</v>
      </c>
    </row>
    <row r="1355" spans="1:15" x14ac:dyDescent="0.3">
      <c r="A1355" s="77"/>
      <c r="B1355" s="80"/>
      <c r="C1355" s="112"/>
      <c r="D1355" s="112"/>
      <c r="E1355" s="92">
        <f>COUNTIF(E1248:E1354,"Y")</f>
        <v>9</v>
      </c>
      <c r="F1355" s="77">
        <f>G1355+H1355</f>
        <v>327334.16000000003</v>
      </c>
      <c r="G1355" s="84">
        <f>SUM(G1249:G1354)</f>
        <v>174484.16</v>
      </c>
      <c r="H1355" s="84">
        <f>SUM(H1249:H1354)</f>
        <v>152850</v>
      </c>
      <c r="I1355" s="84"/>
      <c r="J1355" s="80">
        <f>SUM(J1249:J1354)</f>
        <v>0</v>
      </c>
      <c r="K1355" s="80">
        <f>SUM(K1249:K1354)</f>
        <v>0</v>
      </c>
      <c r="L1355" s="84">
        <f>SUM(L1249:L1354)</f>
        <v>1282.7766399999998</v>
      </c>
      <c r="M1355" s="77">
        <v>971.55</v>
      </c>
      <c r="N1355" s="77"/>
    </row>
    <row r="1356" spans="1:15" x14ac:dyDescent="0.3">
      <c r="C1356" s="51"/>
      <c r="D1356" s="51"/>
      <c r="F1356" s="11"/>
    </row>
    <row r="1357" spans="1:15" x14ac:dyDescent="0.3">
      <c r="A1357" s="3">
        <v>45108</v>
      </c>
      <c r="C1357" s="50" t="s">
        <v>3739</v>
      </c>
      <c r="F1357"/>
      <c r="G1357" s="2">
        <f>I1354</f>
        <v>23674.359999999997</v>
      </c>
      <c r="I1357" s="2">
        <f t="shared" ref="I1357:I1389" si="87">I1356+G1357-H1357</f>
        <v>23674.359999999997</v>
      </c>
      <c r="O1357">
        <v>26714.12</v>
      </c>
    </row>
    <row r="1358" spans="1:15" x14ac:dyDescent="0.3">
      <c r="A1358" s="3">
        <v>45114</v>
      </c>
      <c r="B1358" s="11" t="s">
        <v>1250</v>
      </c>
      <c r="C1358" s="50" t="s">
        <v>3268</v>
      </c>
      <c r="F1358"/>
      <c r="G1358" s="2">
        <v>3000</v>
      </c>
      <c r="I1358" s="2">
        <f t="shared" si="87"/>
        <v>26674.359999999997</v>
      </c>
      <c r="L1358" s="2">
        <f t="shared" ref="L1358:L1389" si="88">IF((G1358+H1358)&lt;=5000,(H1358+G1358)*0.004,20)+IF(E1358="Y",25,0)</f>
        <v>12</v>
      </c>
    </row>
    <row r="1359" spans="1:15" x14ac:dyDescent="0.3">
      <c r="A1359" s="3">
        <v>45114</v>
      </c>
      <c r="B1359" s="11" t="s">
        <v>1250</v>
      </c>
      <c r="C1359" s="50" t="s">
        <v>2284</v>
      </c>
      <c r="F1359"/>
      <c r="G1359" s="2">
        <v>5000</v>
      </c>
      <c r="I1359" s="2">
        <f t="shared" si="87"/>
        <v>31674.359999999997</v>
      </c>
      <c r="L1359" s="2">
        <f t="shared" si="88"/>
        <v>20</v>
      </c>
    </row>
    <row r="1360" spans="1:15" x14ac:dyDescent="0.3">
      <c r="A1360" s="3">
        <v>45114</v>
      </c>
      <c r="B1360" s="11">
        <v>4164</v>
      </c>
      <c r="C1360" s="50" t="s">
        <v>2289</v>
      </c>
      <c r="F1360"/>
      <c r="H1360" s="2">
        <v>6000</v>
      </c>
      <c r="I1360" s="2">
        <f t="shared" si="87"/>
        <v>25674.359999999997</v>
      </c>
      <c r="L1360" s="2">
        <f t="shared" si="88"/>
        <v>20</v>
      </c>
    </row>
    <row r="1361" spans="1:12" x14ac:dyDescent="0.3">
      <c r="A1361" s="3">
        <v>45114</v>
      </c>
      <c r="B1361" s="11">
        <v>5099</v>
      </c>
      <c r="C1361" s="50" t="s">
        <v>3311</v>
      </c>
      <c r="F1361"/>
      <c r="G1361" s="2">
        <v>1000</v>
      </c>
      <c r="I1361" s="2">
        <f t="shared" si="87"/>
        <v>26674.359999999997</v>
      </c>
      <c r="L1361" s="2">
        <f t="shared" si="88"/>
        <v>4</v>
      </c>
    </row>
    <row r="1362" spans="1:12" x14ac:dyDescent="0.3">
      <c r="A1362" s="3">
        <v>45114</v>
      </c>
      <c r="B1362" s="11" t="s">
        <v>1250</v>
      </c>
      <c r="C1362" s="50" t="s">
        <v>2884</v>
      </c>
      <c r="F1362"/>
      <c r="G1362" s="2">
        <v>400</v>
      </c>
      <c r="I1362" s="2">
        <f t="shared" si="87"/>
        <v>27074.359999999997</v>
      </c>
      <c r="L1362" s="2">
        <f t="shared" si="88"/>
        <v>1.6</v>
      </c>
    </row>
    <row r="1363" spans="1:12" x14ac:dyDescent="0.3">
      <c r="A1363" s="3">
        <v>45114</v>
      </c>
      <c r="B1363" s="11" t="s">
        <v>1250</v>
      </c>
      <c r="C1363" s="50" t="s">
        <v>3740</v>
      </c>
      <c r="F1363"/>
      <c r="G1363" s="2">
        <v>800</v>
      </c>
      <c r="I1363" s="2">
        <f t="shared" si="87"/>
        <v>27874.359999999997</v>
      </c>
      <c r="L1363" s="2">
        <f t="shared" si="88"/>
        <v>3.2</v>
      </c>
    </row>
    <row r="1364" spans="1:12" x14ac:dyDescent="0.3">
      <c r="A1364" s="3">
        <v>45114</v>
      </c>
      <c r="B1364" s="11">
        <v>5156</v>
      </c>
      <c r="C1364" s="50" t="s">
        <v>3741</v>
      </c>
      <c r="E1364" s="90" t="s">
        <v>16</v>
      </c>
      <c r="F1364"/>
      <c r="H1364" s="2">
        <v>100</v>
      </c>
      <c r="I1364" s="2">
        <f t="shared" si="87"/>
        <v>27774.359999999997</v>
      </c>
      <c r="L1364" s="2">
        <f t="shared" si="88"/>
        <v>25.4</v>
      </c>
    </row>
    <row r="1365" spans="1:12" x14ac:dyDescent="0.3">
      <c r="A1365" s="3">
        <v>45115</v>
      </c>
      <c r="B1365" s="11" t="s">
        <v>1250</v>
      </c>
      <c r="C1365" s="50" t="s">
        <v>3744</v>
      </c>
      <c r="F1365"/>
      <c r="G1365" s="2">
        <v>500</v>
      </c>
      <c r="I1365" s="2">
        <f t="shared" si="87"/>
        <v>28274.359999999997</v>
      </c>
      <c r="L1365" s="2">
        <f t="shared" si="88"/>
        <v>2</v>
      </c>
    </row>
    <row r="1366" spans="1:12" x14ac:dyDescent="0.3">
      <c r="A1366" s="3">
        <v>45115</v>
      </c>
      <c r="B1366" s="11" t="s">
        <v>3748</v>
      </c>
      <c r="E1366" s="90" t="s">
        <v>16</v>
      </c>
      <c r="F1366"/>
      <c r="H1366" s="2">
        <v>100</v>
      </c>
      <c r="I1366" s="2">
        <f t="shared" si="87"/>
        <v>28174.359999999997</v>
      </c>
      <c r="L1366" s="2">
        <f t="shared" si="88"/>
        <v>25.4</v>
      </c>
    </row>
    <row r="1367" spans="1:12" x14ac:dyDescent="0.3">
      <c r="A1367" s="3">
        <v>45116</v>
      </c>
      <c r="B1367" s="11" t="s">
        <v>1250</v>
      </c>
      <c r="C1367" s="50" t="s">
        <v>3749</v>
      </c>
      <c r="F1367"/>
      <c r="G1367" s="2">
        <v>2000</v>
      </c>
      <c r="I1367" s="2">
        <f t="shared" si="87"/>
        <v>30174.359999999997</v>
      </c>
      <c r="L1367" s="2">
        <f t="shared" si="88"/>
        <v>8</v>
      </c>
    </row>
    <row r="1368" spans="1:12" x14ac:dyDescent="0.3">
      <c r="A1368" s="3">
        <v>45116</v>
      </c>
      <c r="B1368" s="11" t="s">
        <v>1160</v>
      </c>
      <c r="F1368"/>
      <c r="G1368" s="2">
        <v>2000</v>
      </c>
      <c r="I1368" s="2">
        <f t="shared" si="87"/>
        <v>32174.359999999997</v>
      </c>
      <c r="L1368" s="2">
        <f t="shared" si="88"/>
        <v>8</v>
      </c>
    </row>
    <row r="1369" spans="1:12" x14ac:dyDescent="0.3">
      <c r="A1369" s="3">
        <v>45116</v>
      </c>
      <c r="B1369" s="11" t="s">
        <v>1250</v>
      </c>
      <c r="C1369" s="50" t="s">
        <v>1279</v>
      </c>
      <c r="F1369"/>
      <c r="H1369" s="2">
        <v>10000</v>
      </c>
      <c r="I1369" s="2">
        <f t="shared" si="87"/>
        <v>22174.359999999997</v>
      </c>
      <c r="L1369" s="2">
        <f t="shared" si="88"/>
        <v>20</v>
      </c>
    </row>
    <row r="1370" spans="1:12" x14ac:dyDescent="0.3">
      <c r="A1370" s="3">
        <v>45116</v>
      </c>
      <c r="B1370" s="11">
        <v>2100</v>
      </c>
      <c r="C1370" s="50" t="s">
        <v>2285</v>
      </c>
      <c r="F1370"/>
      <c r="H1370" s="2">
        <v>4200</v>
      </c>
      <c r="I1370" s="2">
        <f t="shared" si="87"/>
        <v>17974.359999999997</v>
      </c>
      <c r="L1370" s="2">
        <f t="shared" si="88"/>
        <v>16.8</v>
      </c>
    </row>
    <row r="1371" spans="1:12" x14ac:dyDescent="0.3">
      <c r="A1371" s="3">
        <v>45116</v>
      </c>
      <c r="B1371" s="11">
        <v>1818</v>
      </c>
      <c r="C1371" s="50" t="s">
        <v>2347</v>
      </c>
      <c r="F1371"/>
      <c r="H1371" s="2">
        <v>4200</v>
      </c>
      <c r="I1371" s="2">
        <f t="shared" si="87"/>
        <v>13774.359999999997</v>
      </c>
      <c r="L1371" s="2">
        <f t="shared" si="88"/>
        <v>16.8</v>
      </c>
    </row>
    <row r="1372" spans="1:12" x14ac:dyDescent="0.3">
      <c r="A1372" s="3">
        <v>45116</v>
      </c>
      <c r="B1372" s="11" t="s">
        <v>1250</v>
      </c>
      <c r="C1372" s="50" t="s">
        <v>3251</v>
      </c>
      <c r="F1372"/>
      <c r="G1372" s="2">
        <v>2200</v>
      </c>
      <c r="I1372" s="2">
        <f t="shared" si="87"/>
        <v>15974.359999999997</v>
      </c>
      <c r="L1372" s="2">
        <f t="shared" si="88"/>
        <v>8.8000000000000007</v>
      </c>
    </row>
    <row r="1373" spans="1:12" x14ac:dyDescent="0.3">
      <c r="A1373" s="3">
        <v>45116</v>
      </c>
      <c r="B1373" s="11" t="s">
        <v>1250</v>
      </c>
      <c r="C1373" s="50" t="s">
        <v>3750</v>
      </c>
      <c r="F1373"/>
      <c r="G1373" s="2">
        <v>2000</v>
      </c>
      <c r="I1373" s="2">
        <f t="shared" si="87"/>
        <v>17974.359999999997</v>
      </c>
      <c r="L1373" s="2">
        <f t="shared" si="88"/>
        <v>8</v>
      </c>
    </row>
    <row r="1374" spans="1:12" x14ac:dyDescent="0.3">
      <c r="A1374" s="3">
        <v>45116</v>
      </c>
      <c r="B1374" s="11">
        <v>4296</v>
      </c>
      <c r="C1374" s="50" t="s">
        <v>3751</v>
      </c>
      <c r="F1374"/>
      <c r="H1374" s="2">
        <v>5000</v>
      </c>
      <c r="I1374" s="2">
        <f t="shared" si="87"/>
        <v>12974.359999999997</v>
      </c>
      <c r="L1374" s="2">
        <f t="shared" si="88"/>
        <v>20</v>
      </c>
    </row>
    <row r="1375" spans="1:12" x14ac:dyDescent="0.3">
      <c r="A1375" s="3">
        <v>45116</v>
      </c>
      <c r="B1375" s="11" t="s">
        <v>1250</v>
      </c>
      <c r="F1375"/>
      <c r="G1375" s="2">
        <v>1000</v>
      </c>
      <c r="I1375" s="2">
        <f t="shared" si="87"/>
        <v>13974.359999999997</v>
      </c>
      <c r="L1375" s="2">
        <f t="shared" si="88"/>
        <v>4</v>
      </c>
    </row>
    <row r="1376" spans="1:12" x14ac:dyDescent="0.3">
      <c r="A1376" s="3">
        <v>45117</v>
      </c>
      <c r="B1376" s="11" t="s">
        <v>2199</v>
      </c>
      <c r="C1376" s="50" t="s">
        <v>2284</v>
      </c>
      <c r="F1376"/>
      <c r="G1376" s="2">
        <v>5000</v>
      </c>
      <c r="I1376" s="2">
        <f t="shared" si="87"/>
        <v>18974.359999999997</v>
      </c>
      <c r="L1376" s="2">
        <f t="shared" si="88"/>
        <v>20</v>
      </c>
    </row>
    <row r="1377" spans="1:12" x14ac:dyDescent="0.3">
      <c r="A1377" s="3">
        <v>45117</v>
      </c>
      <c r="B1377" s="11" t="s">
        <v>3752</v>
      </c>
      <c r="C1377" s="50" t="s">
        <v>3753</v>
      </c>
      <c r="E1377" s="90" t="s">
        <v>16</v>
      </c>
      <c r="F1377"/>
      <c r="H1377" s="2">
        <v>1000</v>
      </c>
      <c r="I1377" s="2">
        <f t="shared" si="87"/>
        <v>17974.359999999997</v>
      </c>
      <c r="L1377" s="2">
        <f t="shared" si="88"/>
        <v>29</v>
      </c>
    </row>
    <row r="1378" spans="1:12" x14ac:dyDescent="0.3">
      <c r="A1378" s="3">
        <v>45117</v>
      </c>
      <c r="B1378" s="11" t="s">
        <v>2716</v>
      </c>
      <c r="C1378" s="50" t="s">
        <v>1279</v>
      </c>
      <c r="F1378"/>
      <c r="H1378" s="2">
        <v>10000</v>
      </c>
      <c r="I1378" s="2">
        <f t="shared" si="87"/>
        <v>7974.3599999999969</v>
      </c>
      <c r="L1378" s="2">
        <f t="shared" si="88"/>
        <v>20</v>
      </c>
    </row>
    <row r="1379" spans="1:12" x14ac:dyDescent="0.3">
      <c r="A1379" s="3">
        <v>45117</v>
      </c>
      <c r="B1379" s="11" t="s">
        <v>2863</v>
      </c>
      <c r="C1379" s="50" t="s">
        <v>2348</v>
      </c>
      <c r="F1379"/>
      <c r="G1379" s="2">
        <v>5000</v>
      </c>
      <c r="I1379" s="2">
        <f t="shared" si="87"/>
        <v>12974.359999999997</v>
      </c>
      <c r="L1379" s="2">
        <f t="shared" si="88"/>
        <v>20</v>
      </c>
    </row>
    <row r="1380" spans="1:12" x14ac:dyDescent="0.3">
      <c r="A1380" s="3">
        <v>45117</v>
      </c>
      <c r="B1380" s="11" t="s">
        <v>2386</v>
      </c>
      <c r="C1380" s="50" t="s">
        <v>2396</v>
      </c>
      <c r="F1380"/>
      <c r="G1380" s="2">
        <v>2000</v>
      </c>
      <c r="I1380" s="2">
        <f t="shared" si="87"/>
        <v>14974.359999999997</v>
      </c>
      <c r="L1380" s="2">
        <f t="shared" si="88"/>
        <v>8</v>
      </c>
    </row>
    <row r="1381" spans="1:12" x14ac:dyDescent="0.3">
      <c r="A1381" s="3">
        <v>45117</v>
      </c>
      <c r="B1381" s="11" t="s">
        <v>1160</v>
      </c>
      <c r="C1381" s="50" t="s">
        <v>3756</v>
      </c>
      <c r="F1381"/>
      <c r="G1381" s="2">
        <v>1000</v>
      </c>
      <c r="I1381" s="2">
        <f t="shared" si="87"/>
        <v>15974.359999999997</v>
      </c>
      <c r="L1381" s="2">
        <f t="shared" si="88"/>
        <v>4</v>
      </c>
    </row>
    <row r="1382" spans="1:12" x14ac:dyDescent="0.3">
      <c r="A1382" s="3">
        <v>45118</v>
      </c>
      <c r="B1382" s="11" t="s">
        <v>2716</v>
      </c>
      <c r="F1382"/>
      <c r="H1382" s="2">
        <v>10000</v>
      </c>
      <c r="I1382" s="2">
        <f t="shared" si="87"/>
        <v>5974.3599999999969</v>
      </c>
      <c r="L1382" s="2">
        <f t="shared" si="88"/>
        <v>20</v>
      </c>
    </row>
    <row r="1383" spans="1:12" x14ac:dyDescent="0.3">
      <c r="A1383" s="3">
        <v>45118</v>
      </c>
      <c r="B1383" s="11">
        <v>4902</v>
      </c>
      <c r="C1383" s="50" t="s">
        <v>3757</v>
      </c>
      <c r="F1383"/>
      <c r="G1383" s="2">
        <v>4500</v>
      </c>
      <c r="I1383" s="2">
        <f t="shared" si="87"/>
        <v>10474.359999999997</v>
      </c>
      <c r="L1383" s="2">
        <f t="shared" si="88"/>
        <v>18</v>
      </c>
    </row>
    <row r="1384" spans="1:12" x14ac:dyDescent="0.3">
      <c r="A1384" s="3">
        <v>45119</v>
      </c>
      <c r="B1384" s="11" t="s">
        <v>2337</v>
      </c>
      <c r="C1384" s="50" t="s">
        <v>3670</v>
      </c>
      <c r="F1384"/>
      <c r="G1384" s="2">
        <v>5000</v>
      </c>
      <c r="I1384" s="2">
        <f t="shared" si="87"/>
        <v>15474.359999999997</v>
      </c>
      <c r="L1384" s="2">
        <f t="shared" si="88"/>
        <v>20</v>
      </c>
    </row>
    <row r="1385" spans="1:12" x14ac:dyDescent="0.3">
      <c r="A1385" s="3">
        <v>45119</v>
      </c>
      <c r="B1385" s="11" t="s">
        <v>2969</v>
      </c>
      <c r="C1385" s="50" t="s">
        <v>3758</v>
      </c>
      <c r="F1385"/>
      <c r="H1385" s="2">
        <v>1000</v>
      </c>
      <c r="I1385" s="2">
        <f t="shared" si="87"/>
        <v>14474.359999999997</v>
      </c>
      <c r="L1385" s="2">
        <f t="shared" si="88"/>
        <v>4</v>
      </c>
    </row>
    <row r="1386" spans="1:12" x14ac:dyDescent="0.3">
      <c r="A1386" s="3">
        <v>45119</v>
      </c>
      <c r="B1386" s="11" t="s">
        <v>3759</v>
      </c>
      <c r="C1386" s="50" t="s">
        <v>3760</v>
      </c>
      <c r="F1386"/>
      <c r="H1386" s="2">
        <v>3000</v>
      </c>
      <c r="I1386" s="2">
        <f t="shared" si="87"/>
        <v>11474.359999999997</v>
      </c>
      <c r="L1386" s="2">
        <f t="shared" si="88"/>
        <v>12</v>
      </c>
    </row>
    <row r="1387" spans="1:12" x14ac:dyDescent="0.3">
      <c r="A1387" s="3">
        <v>45120</v>
      </c>
      <c r="B1387" s="11" t="s">
        <v>3762</v>
      </c>
      <c r="C1387" s="50" t="s">
        <v>3761</v>
      </c>
      <c r="E1387" s="90" t="s">
        <v>14</v>
      </c>
      <c r="F1387"/>
      <c r="H1387" s="2">
        <v>2000</v>
      </c>
      <c r="I1387" s="2">
        <f t="shared" si="87"/>
        <v>9474.3599999999969</v>
      </c>
      <c r="L1387" s="2">
        <f t="shared" si="88"/>
        <v>33</v>
      </c>
    </row>
    <row r="1388" spans="1:12" s="31" customFormat="1" x14ac:dyDescent="0.3">
      <c r="A1388" s="3">
        <v>45120</v>
      </c>
      <c r="B1388" s="11" t="s">
        <v>3762</v>
      </c>
      <c r="C1388" s="50" t="s">
        <v>3761</v>
      </c>
      <c r="D1388" s="106"/>
      <c r="E1388" s="94"/>
      <c r="G1388" s="75"/>
      <c r="H1388" s="2">
        <v>300</v>
      </c>
      <c r="I1388" s="2">
        <f t="shared" si="87"/>
        <v>9174.3599999999969</v>
      </c>
      <c r="L1388" s="2">
        <f t="shared" si="88"/>
        <v>1.2</v>
      </c>
    </row>
    <row r="1389" spans="1:12" s="31" customFormat="1" x14ac:dyDescent="0.3">
      <c r="A1389" s="3">
        <v>45120</v>
      </c>
      <c r="B1389" s="11"/>
      <c r="C1389" s="114" t="s">
        <v>3768</v>
      </c>
      <c r="D1389" s="106"/>
      <c r="E1389" s="94"/>
      <c r="F1389"/>
      <c r="G1389" s="64">
        <v>971.55</v>
      </c>
      <c r="H1389" s="75"/>
      <c r="I1389" s="2">
        <f t="shared" si="87"/>
        <v>10145.909999999996</v>
      </c>
      <c r="L1389" s="2">
        <f t="shared" si="88"/>
        <v>3.8862000000000001</v>
      </c>
    </row>
    <row r="1390" spans="1:12" s="31" customFormat="1" x14ac:dyDescent="0.3">
      <c r="A1390" s="3">
        <v>45121</v>
      </c>
      <c r="B1390" s="11" t="s">
        <v>3549</v>
      </c>
      <c r="C1390" s="50" t="s">
        <v>3550</v>
      </c>
      <c r="D1390" s="106"/>
      <c r="E1390" s="94"/>
      <c r="F1390"/>
      <c r="G1390" s="2">
        <v>300</v>
      </c>
      <c r="H1390" s="75"/>
      <c r="I1390" s="2">
        <f t="shared" ref="I1390:I1440" si="89">I1389+G1390-H1390</f>
        <v>10445.909999999996</v>
      </c>
      <c r="L1390" s="2">
        <f t="shared" ref="L1390:L1421" si="90">IF((G1390+H1390)&lt;=5000,(H1390+G1390)*0.004,20)+IF(E1390="Y",25,0)</f>
        <v>1.2</v>
      </c>
    </row>
    <row r="1391" spans="1:12" s="31" customFormat="1" x14ac:dyDescent="0.3">
      <c r="A1391" s="3">
        <v>45121</v>
      </c>
      <c r="B1391" s="11" t="s">
        <v>3243</v>
      </c>
      <c r="C1391" s="50" t="s">
        <v>2487</v>
      </c>
      <c r="D1391" s="106"/>
      <c r="E1391" s="94"/>
      <c r="G1391" s="2"/>
      <c r="H1391" s="2">
        <v>1000</v>
      </c>
      <c r="I1391" s="2">
        <f t="shared" si="89"/>
        <v>9445.9099999999962</v>
      </c>
      <c r="L1391" s="2">
        <f t="shared" si="90"/>
        <v>4</v>
      </c>
    </row>
    <row r="1392" spans="1:12" s="31" customFormat="1" x14ac:dyDescent="0.3">
      <c r="A1392" s="3">
        <v>45121</v>
      </c>
      <c r="B1392" s="11" t="s">
        <v>2457</v>
      </c>
      <c r="C1392" s="50" t="s">
        <v>2458</v>
      </c>
      <c r="D1392" s="106"/>
      <c r="E1392" s="94"/>
      <c r="G1392" s="2"/>
      <c r="H1392" s="2">
        <v>5000</v>
      </c>
      <c r="I1392" s="2">
        <f t="shared" si="89"/>
        <v>4445.9099999999962</v>
      </c>
      <c r="L1392" s="2">
        <f t="shared" si="90"/>
        <v>20</v>
      </c>
    </row>
    <row r="1393" spans="1:12" s="31" customFormat="1" x14ac:dyDescent="0.3">
      <c r="A1393" s="3">
        <v>45122</v>
      </c>
      <c r="B1393" s="11" t="s">
        <v>3769</v>
      </c>
      <c r="C1393" s="50"/>
      <c r="D1393" s="106"/>
      <c r="E1393" s="94"/>
      <c r="G1393" s="2"/>
      <c r="H1393" s="2">
        <v>500</v>
      </c>
      <c r="I1393" s="2">
        <f t="shared" si="89"/>
        <v>3945.9099999999962</v>
      </c>
      <c r="L1393" s="75">
        <f t="shared" si="90"/>
        <v>2</v>
      </c>
    </row>
    <row r="1394" spans="1:12" s="31" customFormat="1" x14ac:dyDescent="0.3">
      <c r="A1394" s="3">
        <v>45122</v>
      </c>
      <c r="B1394" s="11" t="s">
        <v>3770</v>
      </c>
      <c r="C1394" s="50" t="s">
        <v>3771</v>
      </c>
      <c r="D1394" s="106"/>
      <c r="E1394" s="90" t="s">
        <v>16</v>
      </c>
      <c r="G1394" s="2"/>
      <c r="H1394" s="2">
        <v>200</v>
      </c>
      <c r="I1394" s="2">
        <f t="shared" si="89"/>
        <v>3745.9099999999962</v>
      </c>
      <c r="L1394" s="75">
        <f t="shared" si="90"/>
        <v>25.8</v>
      </c>
    </row>
    <row r="1395" spans="1:12" s="31" customFormat="1" x14ac:dyDescent="0.3">
      <c r="A1395" s="3">
        <v>45122</v>
      </c>
      <c r="B1395" s="11" t="s">
        <v>3778</v>
      </c>
      <c r="C1395" s="50" t="s">
        <v>3775</v>
      </c>
      <c r="D1395" s="106"/>
      <c r="E1395" s="90" t="s">
        <v>16</v>
      </c>
      <c r="G1395" s="2"/>
      <c r="H1395" s="2">
        <v>500</v>
      </c>
      <c r="I1395" s="2">
        <f t="shared" si="89"/>
        <v>3245.9099999999962</v>
      </c>
      <c r="L1395" s="75">
        <f t="shared" si="90"/>
        <v>27</v>
      </c>
    </row>
    <row r="1396" spans="1:12" s="31" customFormat="1" x14ac:dyDescent="0.3">
      <c r="A1396" s="3">
        <v>45062</v>
      </c>
      <c r="B1396" s="11" t="s">
        <v>1160</v>
      </c>
      <c r="C1396" s="50"/>
      <c r="D1396" s="106"/>
      <c r="E1396" s="94"/>
      <c r="G1396" s="2">
        <v>1000</v>
      </c>
      <c r="H1396" s="2"/>
      <c r="I1396" s="2">
        <f t="shared" si="89"/>
        <v>4245.9099999999962</v>
      </c>
      <c r="L1396" s="75">
        <f t="shared" si="90"/>
        <v>4</v>
      </c>
    </row>
    <row r="1397" spans="1:12" s="31" customFormat="1" x14ac:dyDescent="0.3">
      <c r="A1397" s="3">
        <v>45062</v>
      </c>
      <c r="B1397" s="11"/>
      <c r="C1397" s="50" t="s">
        <v>2347</v>
      </c>
      <c r="D1397" s="106"/>
      <c r="E1397" s="94"/>
      <c r="G1397" s="2">
        <v>3000</v>
      </c>
      <c r="H1397" s="2"/>
      <c r="I1397" s="2">
        <f t="shared" si="89"/>
        <v>7245.9099999999962</v>
      </c>
      <c r="L1397" s="75">
        <f t="shared" si="90"/>
        <v>12</v>
      </c>
    </row>
    <row r="1398" spans="1:12" s="31" customFormat="1" x14ac:dyDescent="0.3">
      <c r="A1398" s="3">
        <v>45062</v>
      </c>
      <c r="B1398" s="11" t="s">
        <v>1257</v>
      </c>
      <c r="C1398" s="50" t="s">
        <v>2289</v>
      </c>
      <c r="D1398" s="106"/>
      <c r="E1398" s="94"/>
      <c r="G1398" s="2"/>
      <c r="H1398" s="2">
        <v>6000</v>
      </c>
      <c r="I1398" s="2">
        <f t="shared" si="89"/>
        <v>1245.9099999999962</v>
      </c>
      <c r="L1398" s="75">
        <f t="shared" si="90"/>
        <v>20</v>
      </c>
    </row>
    <row r="1399" spans="1:12" s="31" customFormat="1" x14ac:dyDescent="0.3">
      <c r="A1399" s="3">
        <v>45063</v>
      </c>
      <c r="B1399" s="174" t="s">
        <v>2671</v>
      </c>
      <c r="C1399" s="103" t="s">
        <v>3252</v>
      </c>
      <c r="D1399" s="106"/>
      <c r="E1399" s="94"/>
      <c r="G1399" s="2">
        <v>10000</v>
      </c>
      <c r="H1399" s="2"/>
      <c r="I1399" s="2">
        <f t="shared" si="89"/>
        <v>11245.909999999996</v>
      </c>
      <c r="L1399" s="75">
        <f t="shared" si="90"/>
        <v>20</v>
      </c>
    </row>
    <row r="1400" spans="1:12" s="31" customFormat="1" x14ac:dyDescent="0.3">
      <c r="A1400" s="3">
        <v>45063</v>
      </c>
      <c r="B1400" s="11" t="s">
        <v>1257</v>
      </c>
      <c r="C1400" s="50" t="s">
        <v>2289</v>
      </c>
      <c r="D1400" s="106"/>
      <c r="E1400" s="94"/>
      <c r="G1400" s="2"/>
      <c r="H1400" s="2">
        <v>6000</v>
      </c>
      <c r="I1400" s="2">
        <f t="shared" si="89"/>
        <v>5245.9099999999962</v>
      </c>
      <c r="L1400" s="75">
        <f t="shared" si="90"/>
        <v>20</v>
      </c>
    </row>
    <row r="1401" spans="1:12" s="31" customFormat="1" x14ac:dyDescent="0.3">
      <c r="A1401" s="3">
        <v>45063</v>
      </c>
      <c r="B1401" s="11" t="s">
        <v>2346</v>
      </c>
      <c r="C1401" s="50" t="s">
        <v>2347</v>
      </c>
      <c r="D1401" s="106"/>
      <c r="E1401" s="94"/>
      <c r="G1401" s="2"/>
      <c r="H1401" s="2">
        <v>2500</v>
      </c>
      <c r="I1401" s="2">
        <f t="shared" si="89"/>
        <v>2745.9099999999962</v>
      </c>
      <c r="L1401" s="75">
        <f t="shared" si="90"/>
        <v>10</v>
      </c>
    </row>
    <row r="1402" spans="1:12" s="31" customFormat="1" x14ac:dyDescent="0.3">
      <c r="A1402" s="3">
        <v>45063</v>
      </c>
      <c r="B1402" s="11" t="s">
        <v>2184</v>
      </c>
      <c r="C1402" s="50" t="s">
        <v>2285</v>
      </c>
      <c r="D1402" s="106"/>
      <c r="E1402" s="94"/>
      <c r="G1402" s="2"/>
      <c r="H1402" s="2">
        <v>500</v>
      </c>
      <c r="I1402" s="2">
        <f t="shared" si="89"/>
        <v>2245.9099999999962</v>
      </c>
      <c r="L1402" s="75">
        <f t="shared" si="90"/>
        <v>2</v>
      </c>
    </row>
    <row r="1403" spans="1:12" s="31" customFormat="1" x14ac:dyDescent="0.3">
      <c r="A1403" s="3">
        <v>45125</v>
      </c>
      <c r="B1403" s="11" t="s">
        <v>3786</v>
      </c>
      <c r="C1403" s="50" t="s">
        <v>3783</v>
      </c>
      <c r="D1403" s="106"/>
      <c r="E1403" s="94" t="s">
        <v>16</v>
      </c>
      <c r="G1403" s="2"/>
      <c r="H1403" s="2">
        <v>100</v>
      </c>
      <c r="I1403" s="2">
        <f t="shared" si="89"/>
        <v>2145.9099999999962</v>
      </c>
      <c r="L1403" s="75">
        <f t="shared" si="90"/>
        <v>25.4</v>
      </c>
    </row>
    <row r="1404" spans="1:12" s="31" customFormat="1" x14ac:dyDescent="0.3">
      <c r="A1404" s="3">
        <v>45125</v>
      </c>
      <c r="B1404" s="11" t="s">
        <v>3793</v>
      </c>
      <c r="C1404" s="50" t="s">
        <v>3787</v>
      </c>
      <c r="D1404" s="106"/>
      <c r="E1404" s="94" t="s">
        <v>16</v>
      </c>
      <c r="G1404" s="2"/>
      <c r="H1404" s="2">
        <v>2000</v>
      </c>
      <c r="I1404" s="2">
        <f t="shared" si="89"/>
        <v>145.90999999999622</v>
      </c>
      <c r="L1404" s="75">
        <f t="shared" si="90"/>
        <v>33</v>
      </c>
    </row>
    <row r="1405" spans="1:12" s="31" customFormat="1" x14ac:dyDescent="0.3">
      <c r="A1405" s="3">
        <v>45126</v>
      </c>
      <c r="B1405" s="11" t="s">
        <v>3794</v>
      </c>
      <c r="C1405" s="50" t="s">
        <v>3801</v>
      </c>
      <c r="D1405" s="106"/>
      <c r="E1405" s="94" t="s">
        <v>16</v>
      </c>
      <c r="G1405" s="2"/>
      <c r="H1405" s="2"/>
      <c r="I1405" s="2">
        <f t="shared" si="89"/>
        <v>145.90999999999622</v>
      </c>
      <c r="L1405" s="75">
        <f t="shared" si="90"/>
        <v>25</v>
      </c>
    </row>
    <row r="1406" spans="1:12" s="31" customFormat="1" x14ac:dyDescent="0.3">
      <c r="A1406" s="3">
        <v>45126</v>
      </c>
      <c r="B1406" s="11" t="s">
        <v>3795</v>
      </c>
      <c r="C1406" s="50" t="s">
        <v>3802</v>
      </c>
      <c r="D1406" s="106"/>
      <c r="E1406" s="94" t="s">
        <v>16</v>
      </c>
      <c r="G1406" s="2"/>
      <c r="H1406" s="2"/>
      <c r="I1406" s="2">
        <f t="shared" si="89"/>
        <v>145.90999999999622</v>
      </c>
      <c r="L1406" s="75">
        <f t="shared" si="90"/>
        <v>25</v>
      </c>
    </row>
    <row r="1407" spans="1:12" s="31" customFormat="1" x14ac:dyDescent="0.3">
      <c r="A1407" s="3">
        <v>45126</v>
      </c>
      <c r="B1407" s="11" t="s">
        <v>1160</v>
      </c>
      <c r="C1407" s="50" t="s">
        <v>3803</v>
      </c>
      <c r="D1407" s="106"/>
      <c r="E1407" s="94"/>
      <c r="G1407" s="2">
        <v>3000</v>
      </c>
      <c r="H1407" s="2"/>
      <c r="I1407" s="2">
        <f t="shared" si="89"/>
        <v>3145.9099999999962</v>
      </c>
      <c r="L1407" s="75">
        <f t="shared" si="90"/>
        <v>12</v>
      </c>
    </row>
    <row r="1408" spans="1:12" s="31" customFormat="1" x14ac:dyDescent="0.3">
      <c r="A1408" s="3">
        <v>45126</v>
      </c>
      <c r="B1408" s="11" t="s">
        <v>1250</v>
      </c>
      <c r="C1408" s="50" t="s">
        <v>3750</v>
      </c>
      <c r="D1408" s="106"/>
      <c r="E1408" s="94"/>
      <c r="G1408" s="2">
        <v>1000</v>
      </c>
      <c r="H1408" s="2"/>
      <c r="I1408" s="2">
        <f t="shared" si="89"/>
        <v>4145.9099999999962</v>
      </c>
      <c r="L1408" s="75">
        <f t="shared" si="90"/>
        <v>4</v>
      </c>
    </row>
    <row r="1409" spans="1:12" s="31" customFormat="1" x14ac:dyDescent="0.3">
      <c r="A1409" s="3">
        <v>45127</v>
      </c>
      <c r="B1409" s="11" t="s">
        <v>3810</v>
      </c>
      <c r="C1409" s="50" t="s">
        <v>3811</v>
      </c>
      <c r="D1409" s="106"/>
      <c r="E1409" s="94" t="s">
        <v>16</v>
      </c>
      <c r="G1409" s="2"/>
      <c r="H1409" s="2">
        <v>200</v>
      </c>
      <c r="I1409" s="2">
        <f t="shared" si="89"/>
        <v>3945.9099999999962</v>
      </c>
      <c r="L1409" s="75">
        <f t="shared" si="90"/>
        <v>25.8</v>
      </c>
    </row>
    <row r="1410" spans="1:12" s="31" customFormat="1" x14ac:dyDescent="0.3">
      <c r="A1410" s="3">
        <v>45128</v>
      </c>
      <c r="B1410" s="11" t="s">
        <v>3812</v>
      </c>
      <c r="C1410" s="50" t="s">
        <v>3813</v>
      </c>
      <c r="D1410" s="106">
        <v>8853597016</v>
      </c>
      <c r="E1410" s="94"/>
      <c r="G1410" s="2">
        <v>7500</v>
      </c>
      <c r="H1410" s="2"/>
      <c r="I1410" s="2">
        <f t="shared" si="89"/>
        <v>11445.909999999996</v>
      </c>
      <c r="L1410" s="75">
        <f t="shared" si="90"/>
        <v>20</v>
      </c>
    </row>
    <row r="1411" spans="1:12" s="31" customFormat="1" x14ac:dyDescent="0.3">
      <c r="A1411" s="3">
        <v>45128</v>
      </c>
      <c r="B1411" s="11" t="s">
        <v>3812</v>
      </c>
      <c r="C1411" s="50" t="s">
        <v>3814</v>
      </c>
      <c r="D1411" s="106">
        <v>8853597016</v>
      </c>
      <c r="E1411" s="94"/>
      <c r="G1411" s="2">
        <v>1000</v>
      </c>
      <c r="H1411" s="2"/>
      <c r="I1411" s="2">
        <f t="shared" si="89"/>
        <v>12445.909999999996</v>
      </c>
      <c r="L1411" s="75">
        <f t="shared" si="90"/>
        <v>4</v>
      </c>
    </row>
    <row r="1412" spans="1:12" s="31" customFormat="1" x14ac:dyDescent="0.3">
      <c r="A1412" s="3">
        <v>45128</v>
      </c>
      <c r="B1412" s="11" t="s">
        <v>3815</v>
      </c>
      <c r="C1412" s="50" t="s">
        <v>3816</v>
      </c>
      <c r="D1412" s="106"/>
      <c r="E1412" s="94"/>
      <c r="G1412" s="2">
        <v>5000</v>
      </c>
      <c r="H1412" s="2"/>
      <c r="I1412" s="2">
        <f t="shared" si="89"/>
        <v>17445.909999999996</v>
      </c>
      <c r="L1412" s="75">
        <f t="shared" si="90"/>
        <v>20</v>
      </c>
    </row>
    <row r="1413" spans="1:12" s="31" customFormat="1" x14ac:dyDescent="0.3">
      <c r="A1413" s="3">
        <v>45128</v>
      </c>
      <c r="B1413" s="11" t="s">
        <v>3525</v>
      </c>
      <c r="C1413" s="50" t="s">
        <v>1963</v>
      </c>
      <c r="D1413" s="106"/>
      <c r="E1413" s="94"/>
      <c r="G1413" s="2"/>
      <c r="H1413" s="2">
        <v>5000</v>
      </c>
      <c r="I1413" s="2">
        <f t="shared" si="89"/>
        <v>12445.909999999996</v>
      </c>
      <c r="L1413" s="75">
        <f t="shared" si="90"/>
        <v>20</v>
      </c>
    </row>
    <row r="1414" spans="1:12" s="31" customFormat="1" x14ac:dyDescent="0.3">
      <c r="A1414" s="3">
        <v>45128</v>
      </c>
      <c r="B1414" s="174" t="s">
        <v>3817</v>
      </c>
      <c r="C1414" s="106" t="s">
        <v>311</v>
      </c>
      <c r="D1414" s="106"/>
      <c r="E1414" s="94"/>
      <c r="G1414" s="75">
        <v>3000</v>
      </c>
      <c r="H1414" s="75"/>
      <c r="I1414" s="2">
        <f t="shared" si="89"/>
        <v>15445.909999999996</v>
      </c>
      <c r="L1414" s="75">
        <f t="shared" si="90"/>
        <v>12</v>
      </c>
    </row>
    <row r="1415" spans="1:12" s="31" customFormat="1" x14ac:dyDescent="0.3">
      <c r="A1415" s="3">
        <v>45129</v>
      </c>
      <c r="B1415" s="11" t="s">
        <v>1472</v>
      </c>
      <c r="C1415" s="50" t="s">
        <v>2488</v>
      </c>
      <c r="D1415" s="106"/>
      <c r="E1415" s="94"/>
      <c r="G1415" s="2">
        <v>5000</v>
      </c>
      <c r="H1415" s="2"/>
      <c r="I1415" s="2">
        <f t="shared" si="89"/>
        <v>20445.909999999996</v>
      </c>
      <c r="L1415" s="75">
        <f t="shared" si="90"/>
        <v>20</v>
      </c>
    </row>
    <row r="1416" spans="1:12" s="31" customFormat="1" x14ac:dyDescent="0.3">
      <c r="A1416" s="3">
        <v>45129</v>
      </c>
      <c r="B1416" s="11" t="s">
        <v>3525</v>
      </c>
      <c r="C1416" s="50" t="s">
        <v>1963</v>
      </c>
      <c r="D1416" s="106"/>
      <c r="E1416" s="94"/>
      <c r="G1416" s="2"/>
      <c r="H1416" s="2">
        <v>500</v>
      </c>
      <c r="I1416" s="2">
        <f t="shared" si="89"/>
        <v>19945.909999999996</v>
      </c>
      <c r="L1416" s="75">
        <f t="shared" si="90"/>
        <v>2</v>
      </c>
    </row>
    <row r="1417" spans="1:12" s="31" customFormat="1" x14ac:dyDescent="0.3">
      <c r="A1417" s="3">
        <v>45129</v>
      </c>
      <c r="B1417" s="11" t="s">
        <v>1257</v>
      </c>
      <c r="C1417" s="50" t="s">
        <v>2289</v>
      </c>
      <c r="D1417" s="106"/>
      <c r="E1417" s="94"/>
      <c r="G1417" s="2"/>
      <c r="H1417" s="2">
        <v>8000</v>
      </c>
      <c r="I1417" s="2">
        <f t="shared" si="89"/>
        <v>11945.909999999996</v>
      </c>
      <c r="L1417" s="75">
        <f t="shared" si="90"/>
        <v>20</v>
      </c>
    </row>
    <row r="1418" spans="1:12" s="31" customFormat="1" x14ac:dyDescent="0.3">
      <c r="A1418" s="3">
        <v>45129</v>
      </c>
      <c r="B1418" s="11" t="s">
        <v>2619</v>
      </c>
      <c r="C1418" s="50" t="s">
        <v>3255</v>
      </c>
      <c r="D1418" s="106"/>
      <c r="E1418" s="94"/>
      <c r="G1418" s="2">
        <v>1000</v>
      </c>
      <c r="H1418" s="2"/>
      <c r="I1418" s="2">
        <f t="shared" si="89"/>
        <v>12945.909999999996</v>
      </c>
      <c r="L1418" s="75">
        <f t="shared" si="90"/>
        <v>4</v>
      </c>
    </row>
    <row r="1419" spans="1:12" s="31" customFormat="1" x14ac:dyDescent="0.3">
      <c r="A1419" s="3">
        <v>45130</v>
      </c>
      <c r="B1419" s="11" t="s">
        <v>2386</v>
      </c>
      <c r="C1419" s="50" t="s">
        <v>2387</v>
      </c>
      <c r="D1419" s="106"/>
      <c r="E1419" s="94"/>
      <c r="G1419" s="2">
        <v>2900</v>
      </c>
      <c r="H1419" s="2"/>
      <c r="I1419" s="2">
        <f t="shared" si="89"/>
        <v>15845.909999999996</v>
      </c>
      <c r="L1419" s="75">
        <f t="shared" si="90"/>
        <v>11.6</v>
      </c>
    </row>
    <row r="1420" spans="1:12" s="31" customFormat="1" x14ac:dyDescent="0.3">
      <c r="A1420" s="3">
        <v>45131</v>
      </c>
      <c r="B1420" s="11" t="s">
        <v>1160</v>
      </c>
      <c r="C1420" s="50" t="s">
        <v>3819</v>
      </c>
      <c r="D1420" s="106"/>
      <c r="E1420" s="94"/>
      <c r="G1420" s="2">
        <v>1300</v>
      </c>
      <c r="H1420" s="2"/>
      <c r="I1420" s="2">
        <f t="shared" si="89"/>
        <v>17145.909999999996</v>
      </c>
      <c r="L1420" s="75">
        <f t="shared" si="90"/>
        <v>5.2</v>
      </c>
    </row>
    <row r="1421" spans="1:12" s="31" customFormat="1" x14ac:dyDescent="0.3">
      <c r="A1421" s="3">
        <v>45131</v>
      </c>
      <c r="B1421" s="11" t="s">
        <v>3820</v>
      </c>
      <c r="C1421" s="50" t="s">
        <v>3825</v>
      </c>
      <c r="D1421" s="106"/>
      <c r="E1421" s="94" t="s">
        <v>16</v>
      </c>
      <c r="G1421" s="2"/>
      <c r="H1421" s="2">
        <v>100</v>
      </c>
      <c r="I1421" s="2">
        <f t="shared" si="89"/>
        <v>17045.909999999996</v>
      </c>
      <c r="L1421" s="75">
        <f t="shared" si="90"/>
        <v>25.4</v>
      </c>
    </row>
    <row r="1422" spans="1:12" s="86" customFormat="1" x14ac:dyDescent="0.3">
      <c r="A1422" s="3">
        <v>45131</v>
      </c>
      <c r="B1422" s="11" t="s">
        <v>2689</v>
      </c>
      <c r="C1422" s="50" t="s">
        <v>1279</v>
      </c>
      <c r="D1422" s="103"/>
      <c r="E1422" s="100"/>
      <c r="F1422" s="85"/>
      <c r="G1422" s="2"/>
      <c r="H1422" s="2">
        <v>5000</v>
      </c>
      <c r="I1422" s="2">
        <f t="shared" si="89"/>
        <v>12045.909999999996</v>
      </c>
      <c r="L1422" s="75">
        <f t="shared" ref="L1422:L1441" si="91">IF((G1422+H1422)&lt;=5000,(H1422+G1422)*0.004,20)+IF(E1422="Y",25,0)</f>
        <v>20</v>
      </c>
    </row>
    <row r="1423" spans="1:12" s="86" customFormat="1" x14ac:dyDescent="0.3">
      <c r="A1423" s="3">
        <v>45132</v>
      </c>
      <c r="B1423" s="11" t="s">
        <v>1250</v>
      </c>
      <c r="C1423" s="50" t="s">
        <v>3251</v>
      </c>
      <c r="D1423" s="103"/>
      <c r="E1423" s="100"/>
      <c r="F1423" s="85"/>
      <c r="G1423" s="2">
        <v>3000</v>
      </c>
      <c r="H1423" s="2"/>
      <c r="I1423" s="2">
        <f t="shared" si="89"/>
        <v>15045.909999999996</v>
      </c>
      <c r="L1423" s="75">
        <f t="shared" si="91"/>
        <v>12</v>
      </c>
    </row>
    <row r="1424" spans="1:12" s="86" customFormat="1" x14ac:dyDescent="0.3">
      <c r="A1424" s="3">
        <v>45132</v>
      </c>
      <c r="B1424" s="11" t="s">
        <v>1250</v>
      </c>
      <c r="C1424" s="50" t="s">
        <v>2250</v>
      </c>
      <c r="D1424" s="103"/>
      <c r="E1424" s="100"/>
      <c r="F1424" s="85"/>
      <c r="G1424" s="2">
        <v>1000</v>
      </c>
      <c r="H1424" s="2"/>
      <c r="I1424" s="2">
        <f t="shared" si="89"/>
        <v>16045.909999999996</v>
      </c>
      <c r="L1424" s="75">
        <f t="shared" si="91"/>
        <v>4</v>
      </c>
    </row>
    <row r="1425" spans="1:12" s="86" customFormat="1" x14ac:dyDescent="0.3">
      <c r="A1425" s="3">
        <v>45132</v>
      </c>
      <c r="B1425" s="11"/>
      <c r="C1425" s="63" t="s">
        <v>3826</v>
      </c>
      <c r="D1425" s="103"/>
      <c r="E1425" s="100"/>
      <c r="F1425" s="85"/>
      <c r="G1425" s="2"/>
      <c r="H1425" s="2">
        <v>10000</v>
      </c>
      <c r="I1425" s="2">
        <f t="shared" si="89"/>
        <v>6045.9099999999962</v>
      </c>
      <c r="L1425" s="75">
        <f t="shared" si="91"/>
        <v>20</v>
      </c>
    </row>
    <row r="1426" spans="1:12" s="86" customFormat="1" x14ac:dyDescent="0.3">
      <c r="A1426" s="3">
        <v>45132</v>
      </c>
      <c r="B1426" s="11"/>
      <c r="C1426" s="63" t="s">
        <v>3827</v>
      </c>
      <c r="D1426" s="103"/>
      <c r="E1426" s="100"/>
      <c r="F1426" s="85"/>
      <c r="G1426" s="2"/>
      <c r="H1426" s="2">
        <v>2500</v>
      </c>
      <c r="I1426" s="2">
        <f t="shared" si="89"/>
        <v>3545.9099999999962</v>
      </c>
      <c r="L1426" s="75">
        <f t="shared" si="91"/>
        <v>10</v>
      </c>
    </row>
    <row r="1427" spans="1:12" s="86" customFormat="1" x14ac:dyDescent="0.3">
      <c r="A1427" s="3">
        <v>45132</v>
      </c>
      <c r="B1427" s="11" t="s">
        <v>1160</v>
      </c>
      <c r="C1427" s="50" t="s">
        <v>1160</v>
      </c>
      <c r="D1427" s="103"/>
      <c r="E1427" s="100"/>
      <c r="F1427" s="85"/>
      <c r="G1427" s="2">
        <v>2000</v>
      </c>
      <c r="H1427" s="2"/>
      <c r="I1427" s="2">
        <f t="shared" si="89"/>
        <v>5545.9099999999962</v>
      </c>
      <c r="L1427" s="75">
        <f t="shared" si="91"/>
        <v>8</v>
      </c>
    </row>
    <row r="1428" spans="1:12" s="86" customFormat="1" x14ac:dyDescent="0.3">
      <c r="A1428" s="3">
        <v>45132</v>
      </c>
      <c r="B1428" s="11" t="s">
        <v>2241</v>
      </c>
      <c r="C1428" s="50"/>
      <c r="D1428" s="103"/>
      <c r="E1428" s="100"/>
      <c r="F1428" s="85"/>
      <c r="G1428" s="2">
        <v>1000</v>
      </c>
      <c r="H1428" s="2"/>
      <c r="I1428" s="2">
        <f t="shared" si="89"/>
        <v>6545.9099999999962</v>
      </c>
      <c r="L1428" s="75">
        <f t="shared" si="91"/>
        <v>4</v>
      </c>
    </row>
    <row r="1429" spans="1:12" s="86" customFormat="1" x14ac:dyDescent="0.3">
      <c r="A1429" s="3">
        <v>45132</v>
      </c>
      <c r="B1429" s="11" t="s">
        <v>3571</v>
      </c>
      <c r="C1429" s="103" t="s">
        <v>541</v>
      </c>
      <c r="D1429" s="103"/>
      <c r="E1429" s="100"/>
      <c r="F1429" s="85"/>
      <c r="G1429" s="2">
        <v>2300</v>
      </c>
      <c r="H1429" s="2"/>
      <c r="I1429" s="2">
        <f t="shared" si="89"/>
        <v>8845.9099999999962</v>
      </c>
      <c r="L1429" s="75">
        <f t="shared" si="91"/>
        <v>9.2000000000000011</v>
      </c>
    </row>
    <row r="1430" spans="1:12" s="86" customFormat="1" x14ac:dyDescent="0.3">
      <c r="A1430" s="3">
        <v>45133</v>
      </c>
      <c r="B1430" s="11" t="s">
        <v>3302</v>
      </c>
      <c r="C1430" s="103" t="s">
        <v>3311</v>
      </c>
      <c r="D1430" s="103"/>
      <c r="E1430" s="100"/>
      <c r="F1430" s="85"/>
      <c r="G1430" s="2">
        <v>1000</v>
      </c>
      <c r="H1430" s="2"/>
      <c r="I1430" s="2">
        <f t="shared" si="89"/>
        <v>9845.9099999999962</v>
      </c>
      <c r="L1430" s="75">
        <f t="shared" si="91"/>
        <v>4</v>
      </c>
    </row>
    <row r="1431" spans="1:12" s="86" customFormat="1" x14ac:dyDescent="0.3">
      <c r="A1431" s="3">
        <v>45133</v>
      </c>
      <c r="B1431" s="11" t="s">
        <v>1250</v>
      </c>
      <c r="C1431" s="103" t="s">
        <v>2190</v>
      </c>
      <c r="D1431" s="103"/>
      <c r="E1431" s="100"/>
      <c r="F1431" s="85"/>
      <c r="G1431" s="2">
        <v>5000</v>
      </c>
      <c r="H1431" s="2"/>
      <c r="I1431" s="2">
        <f t="shared" si="89"/>
        <v>14845.909999999996</v>
      </c>
      <c r="L1431" s="75">
        <f t="shared" si="91"/>
        <v>20</v>
      </c>
    </row>
    <row r="1432" spans="1:12" s="86" customFormat="1" x14ac:dyDescent="0.3">
      <c r="A1432" s="3">
        <v>45134</v>
      </c>
      <c r="B1432" s="11" t="s">
        <v>3223</v>
      </c>
      <c r="C1432" s="103" t="s">
        <v>3726</v>
      </c>
      <c r="D1432" s="103"/>
      <c r="E1432" s="100"/>
      <c r="F1432" s="85"/>
      <c r="G1432" s="2">
        <v>5000</v>
      </c>
      <c r="H1432" s="2"/>
      <c r="I1432" s="2">
        <f t="shared" si="89"/>
        <v>19845.909999999996</v>
      </c>
      <c r="L1432" s="75">
        <f t="shared" si="91"/>
        <v>20</v>
      </c>
    </row>
    <row r="1433" spans="1:12" s="86" customFormat="1" x14ac:dyDescent="0.3">
      <c r="A1433" s="3">
        <v>45134</v>
      </c>
      <c r="B1433" s="11" t="s">
        <v>2298</v>
      </c>
      <c r="C1433" s="103" t="s">
        <v>3828</v>
      </c>
      <c r="D1433" s="103"/>
      <c r="E1433" s="100"/>
      <c r="F1433" s="85"/>
      <c r="G1433" s="2">
        <v>3000</v>
      </c>
      <c r="H1433" s="2"/>
      <c r="I1433" s="2">
        <f t="shared" si="89"/>
        <v>22845.909999999996</v>
      </c>
      <c r="L1433" s="75">
        <f t="shared" si="91"/>
        <v>12</v>
      </c>
    </row>
    <row r="1434" spans="1:12" s="86" customFormat="1" x14ac:dyDescent="0.3">
      <c r="A1434" s="3">
        <v>45134</v>
      </c>
      <c r="B1434" s="11" t="s">
        <v>1160</v>
      </c>
      <c r="C1434" s="103" t="s">
        <v>3829</v>
      </c>
      <c r="D1434" s="103"/>
      <c r="E1434" s="100"/>
      <c r="F1434" s="85"/>
      <c r="G1434" s="2">
        <v>1500</v>
      </c>
      <c r="H1434" s="2"/>
      <c r="I1434" s="2">
        <f t="shared" si="89"/>
        <v>24345.909999999996</v>
      </c>
      <c r="L1434" s="75">
        <f t="shared" si="91"/>
        <v>6</v>
      </c>
    </row>
    <row r="1435" spans="1:12" s="86" customFormat="1" x14ac:dyDescent="0.3">
      <c r="A1435" s="3">
        <v>45135</v>
      </c>
      <c r="B1435" s="11" t="s">
        <v>3232</v>
      </c>
      <c r="C1435" s="103" t="s">
        <v>2414</v>
      </c>
      <c r="D1435" s="103"/>
      <c r="E1435" s="100"/>
      <c r="F1435" s="85"/>
      <c r="G1435" s="2">
        <v>1000</v>
      </c>
      <c r="H1435" s="2"/>
      <c r="I1435" s="2">
        <f t="shared" si="89"/>
        <v>25345.909999999996</v>
      </c>
      <c r="L1435" s="75">
        <f t="shared" si="91"/>
        <v>4</v>
      </c>
    </row>
    <row r="1436" spans="1:12" s="86" customFormat="1" x14ac:dyDescent="0.3">
      <c r="A1436" s="3">
        <v>45135</v>
      </c>
      <c r="B1436" s="11" t="s">
        <v>1250</v>
      </c>
      <c r="C1436" s="103"/>
      <c r="D1436" s="103"/>
      <c r="E1436" s="100"/>
      <c r="F1436" s="85"/>
      <c r="G1436" s="2">
        <v>2000</v>
      </c>
      <c r="H1436" s="2"/>
      <c r="I1436" s="2">
        <f t="shared" si="89"/>
        <v>27345.909999999996</v>
      </c>
      <c r="L1436" s="75">
        <f t="shared" si="91"/>
        <v>8</v>
      </c>
    </row>
    <row r="1437" spans="1:12" s="86" customFormat="1" x14ac:dyDescent="0.3">
      <c r="A1437" s="3">
        <v>45137</v>
      </c>
      <c r="B1437" s="11" t="s">
        <v>1250</v>
      </c>
      <c r="C1437" s="103" t="s">
        <v>2245</v>
      </c>
      <c r="D1437" s="103"/>
      <c r="E1437" s="100"/>
      <c r="F1437" s="85"/>
      <c r="G1437" s="2">
        <v>2000</v>
      </c>
      <c r="H1437" s="2"/>
      <c r="I1437" s="2">
        <f t="shared" si="89"/>
        <v>29345.909999999996</v>
      </c>
      <c r="L1437" s="87">
        <f t="shared" si="91"/>
        <v>8</v>
      </c>
    </row>
    <row r="1438" spans="1:12" s="86" customFormat="1" x14ac:dyDescent="0.3">
      <c r="A1438" s="3">
        <v>45137</v>
      </c>
      <c r="B1438" s="11" t="s">
        <v>2716</v>
      </c>
      <c r="C1438" s="103" t="s">
        <v>1279</v>
      </c>
      <c r="D1438" s="103"/>
      <c r="E1438" s="100"/>
      <c r="F1438" s="85"/>
      <c r="G1438" s="2"/>
      <c r="H1438" s="2">
        <v>10000</v>
      </c>
      <c r="I1438" s="2">
        <f t="shared" si="89"/>
        <v>19345.909999999996</v>
      </c>
      <c r="L1438" s="87">
        <f t="shared" si="91"/>
        <v>20</v>
      </c>
    </row>
    <row r="1439" spans="1:12" s="86" customFormat="1" x14ac:dyDescent="0.3">
      <c r="A1439" s="3">
        <v>45138</v>
      </c>
      <c r="B1439" s="11" t="s">
        <v>1160</v>
      </c>
      <c r="C1439" s="103" t="s">
        <v>3830</v>
      </c>
      <c r="D1439" s="103"/>
      <c r="E1439" s="100"/>
      <c r="F1439" s="85"/>
      <c r="G1439" s="2">
        <v>4000</v>
      </c>
      <c r="H1439" s="2"/>
      <c r="I1439" s="2">
        <f t="shared" si="89"/>
        <v>23345.909999999996</v>
      </c>
      <c r="L1439" s="87">
        <f t="shared" si="91"/>
        <v>16</v>
      </c>
    </row>
    <row r="1440" spans="1:12" s="86" customFormat="1" x14ac:dyDescent="0.3">
      <c r="A1440" s="3">
        <v>45138</v>
      </c>
      <c r="B1440" s="11" t="s">
        <v>3832</v>
      </c>
      <c r="C1440" s="103" t="s">
        <v>3833</v>
      </c>
      <c r="D1440" s="103"/>
      <c r="E1440" s="100" t="s">
        <v>16</v>
      </c>
      <c r="F1440" s="85"/>
      <c r="G1440" s="2"/>
      <c r="H1440" s="2">
        <v>200</v>
      </c>
      <c r="I1440" s="2">
        <f t="shared" si="89"/>
        <v>23145.909999999996</v>
      </c>
      <c r="L1440" s="87">
        <f t="shared" si="91"/>
        <v>25.8</v>
      </c>
    </row>
    <row r="1441" spans="1:20" x14ac:dyDescent="0.3">
      <c r="A1441" s="3"/>
      <c r="F1441"/>
      <c r="L1441" s="2">
        <f t="shared" si="91"/>
        <v>0</v>
      </c>
    </row>
    <row r="1442" spans="1:20" x14ac:dyDescent="0.3">
      <c r="A1442" s="77">
        <f>COUNTIF(A1358:A1441,"")</f>
        <v>1</v>
      </c>
      <c r="B1442" s="80"/>
      <c r="C1442" s="112"/>
      <c r="D1442" s="112"/>
      <c r="E1442" s="92">
        <f>COUNTIF(E1358:E1441,"Y")</f>
        <v>13</v>
      </c>
      <c r="F1442" s="77">
        <f>G1442+H1442</f>
        <v>244871.55</v>
      </c>
      <c r="G1442" s="84">
        <f>SUM(G1358:G1441)</f>
        <v>122171.55</v>
      </c>
      <c r="H1442" s="84">
        <f>SUM(H1358:H1441)</f>
        <v>122700</v>
      </c>
      <c r="I1442" s="84"/>
      <c r="J1442" s="80">
        <f>SUM(J1358:J1441)</f>
        <v>0</v>
      </c>
      <c r="K1442" s="80">
        <f>SUM(K1358:K1441)</f>
        <v>0</v>
      </c>
      <c r="L1442" s="84">
        <f>SUM(L1358:L1441)</f>
        <v>1150.4862000000001</v>
      </c>
      <c r="M1442" s="77"/>
      <c r="N1442" s="77"/>
    </row>
    <row r="1443" spans="1:20" x14ac:dyDescent="0.3">
      <c r="C1443" s="51"/>
      <c r="D1443" s="51"/>
      <c r="F1443" s="11"/>
    </row>
    <row r="1444" spans="1:20" x14ac:dyDescent="0.3">
      <c r="C1444" s="51"/>
      <c r="D1444" s="51"/>
      <c r="F1444" s="11"/>
    </row>
    <row r="1445" spans="1:20" x14ac:dyDescent="0.3">
      <c r="A1445" s="3">
        <v>45139</v>
      </c>
      <c r="C1445" s="51" t="s">
        <v>2984</v>
      </c>
      <c r="D1445" s="51"/>
      <c r="F1445" s="11"/>
      <c r="G1445" s="2">
        <f>I1439</f>
        <v>23345.909999999996</v>
      </c>
      <c r="H1445" s="64">
        <v>300.48</v>
      </c>
      <c r="I1445" s="2">
        <f>I1444+G1445-H1445</f>
        <v>23045.429999999997</v>
      </c>
      <c r="L1445" s="53"/>
    </row>
    <row r="1446" spans="1:20" x14ac:dyDescent="0.3">
      <c r="A1446" s="3">
        <v>45139</v>
      </c>
      <c r="B1446" s="11" t="s">
        <v>2743</v>
      </c>
      <c r="C1446" s="51" t="s">
        <v>3831</v>
      </c>
      <c r="D1446" s="51"/>
      <c r="F1446" s="11"/>
      <c r="G1446" s="2">
        <v>1500</v>
      </c>
      <c r="I1446" s="2">
        <f>I1445+G1446-H1446</f>
        <v>24545.429999999997</v>
      </c>
      <c r="L1446" s="53">
        <f t="shared" ref="L1446:L1477" si="92">IF((G1446+H1446)&lt;=5000,(H1446+G1446)*0.004,20)+IF(E1446="Y",25,0)</f>
        <v>6</v>
      </c>
    </row>
    <row r="1447" spans="1:20" x14ac:dyDescent="0.3">
      <c r="A1447" s="3">
        <v>45139</v>
      </c>
      <c r="B1447" s="11" t="s">
        <v>2232</v>
      </c>
      <c r="C1447" s="51" t="s">
        <v>3251</v>
      </c>
      <c r="D1447" s="51"/>
      <c r="F1447" s="11"/>
      <c r="G1447" s="2">
        <v>1000</v>
      </c>
      <c r="I1447" s="2">
        <f t="shared" ref="I1447:I1499" si="93">I1446+G1447-H1447</f>
        <v>25545.429999999997</v>
      </c>
      <c r="L1447" s="53">
        <f t="shared" si="92"/>
        <v>4</v>
      </c>
      <c r="N1447">
        <v>25545.43</v>
      </c>
      <c r="T1447">
        <f>N1447-I1447</f>
        <v>0</v>
      </c>
    </row>
    <row r="1448" spans="1:20" x14ac:dyDescent="0.3">
      <c r="A1448" s="3">
        <v>45139</v>
      </c>
      <c r="B1448" s="11" t="s">
        <v>1250</v>
      </c>
      <c r="C1448" s="51"/>
      <c r="D1448" s="51"/>
      <c r="F1448" s="11"/>
      <c r="H1448" s="2">
        <v>2000</v>
      </c>
      <c r="I1448" s="2">
        <f t="shared" si="93"/>
        <v>23545.429999999997</v>
      </c>
      <c r="L1448" s="53">
        <f t="shared" si="92"/>
        <v>8</v>
      </c>
    </row>
    <row r="1449" spans="1:20" x14ac:dyDescent="0.3">
      <c r="A1449" s="3">
        <v>45139</v>
      </c>
      <c r="B1449" s="11" t="s">
        <v>3435</v>
      </c>
      <c r="C1449" s="51" t="s">
        <v>3836</v>
      </c>
      <c r="D1449" s="51"/>
      <c r="F1449" s="11"/>
      <c r="H1449" s="2">
        <v>8000</v>
      </c>
      <c r="I1449" s="2">
        <f t="shared" si="93"/>
        <v>15545.429999999997</v>
      </c>
      <c r="L1449" s="53">
        <f t="shared" si="92"/>
        <v>20</v>
      </c>
    </row>
    <row r="1450" spans="1:20" x14ac:dyDescent="0.3">
      <c r="A1450" s="3">
        <v>45139</v>
      </c>
      <c r="B1450" s="11" t="s">
        <v>1160</v>
      </c>
      <c r="C1450" s="51" t="s">
        <v>3839</v>
      </c>
      <c r="D1450" s="51"/>
      <c r="F1450" s="11"/>
      <c r="G1450" s="2">
        <v>1200</v>
      </c>
      <c r="I1450" s="2">
        <f t="shared" si="93"/>
        <v>16745.429999999997</v>
      </c>
      <c r="L1450" s="53">
        <f t="shared" si="92"/>
        <v>4.8</v>
      </c>
    </row>
    <row r="1451" spans="1:20" x14ac:dyDescent="0.3">
      <c r="A1451" s="3">
        <v>45139</v>
      </c>
      <c r="B1451" s="11" t="s">
        <v>1250</v>
      </c>
      <c r="C1451" s="51"/>
      <c r="D1451" s="51"/>
      <c r="F1451" s="11"/>
      <c r="G1451" s="2">
        <v>500</v>
      </c>
      <c r="I1451" s="2">
        <f t="shared" si="93"/>
        <v>17245.429999999997</v>
      </c>
      <c r="L1451" s="53">
        <f t="shared" si="92"/>
        <v>2</v>
      </c>
    </row>
    <row r="1452" spans="1:20" x14ac:dyDescent="0.3">
      <c r="A1452" s="3">
        <v>45139</v>
      </c>
      <c r="B1452" s="11" t="s">
        <v>2375</v>
      </c>
      <c r="C1452" s="51" t="s">
        <v>3840</v>
      </c>
      <c r="D1452" s="51"/>
      <c r="F1452" s="11"/>
      <c r="G1452" s="2">
        <v>5000</v>
      </c>
      <c r="I1452" s="2">
        <f t="shared" si="93"/>
        <v>22245.429999999997</v>
      </c>
      <c r="L1452" s="53">
        <f t="shared" si="92"/>
        <v>20</v>
      </c>
    </row>
    <row r="1453" spans="1:20" x14ac:dyDescent="0.3">
      <c r="A1453" s="3">
        <v>45139</v>
      </c>
      <c r="B1453" s="11" t="s">
        <v>1160</v>
      </c>
      <c r="C1453" s="51" t="s">
        <v>3841</v>
      </c>
      <c r="D1453" s="51"/>
      <c r="F1453" s="11"/>
      <c r="H1453" s="2">
        <v>1240</v>
      </c>
      <c r="I1453" s="2">
        <f t="shared" si="93"/>
        <v>21005.429999999997</v>
      </c>
      <c r="L1453" s="2">
        <f t="shared" si="92"/>
        <v>4.96</v>
      </c>
    </row>
    <row r="1454" spans="1:20" x14ac:dyDescent="0.3">
      <c r="A1454" s="3">
        <v>45139</v>
      </c>
      <c r="B1454" s="11" t="s">
        <v>1160</v>
      </c>
      <c r="C1454" s="51" t="s">
        <v>3841</v>
      </c>
      <c r="D1454" s="51"/>
      <c r="F1454" s="11"/>
      <c r="G1454" s="2">
        <v>2000</v>
      </c>
      <c r="I1454" s="2">
        <f t="shared" si="93"/>
        <v>23005.429999999997</v>
      </c>
      <c r="L1454" s="2">
        <f t="shared" si="92"/>
        <v>8</v>
      </c>
    </row>
    <row r="1455" spans="1:20" x14ac:dyDescent="0.3">
      <c r="A1455" s="3">
        <v>45140</v>
      </c>
      <c r="B1455" s="11" t="s">
        <v>1160</v>
      </c>
      <c r="C1455" s="51" t="s">
        <v>3701</v>
      </c>
      <c r="D1455" s="51"/>
      <c r="F1455" s="11"/>
      <c r="G1455" s="2">
        <v>1000</v>
      </c>
      <c r="I1455" s="2">
        <f t="shared" si="93"/>
        <v>24005.429999999997</v>
      </c>
      <c r="L1455" s="2">
        <f t="shared" si="92"/>
        <v>4</v>
      </c>
    </row>
    <row r="1456" spans="1:20" x14ac:dyDescent="0.3">
      <c r="A1456" s="3">
        <v>45140</v>
      </c>
      <c r="B1456" s="11" t="s">
        <v>1160</v>
      </c>
      <c r="C1456" s="51" t="s">
        <v>3843</v>
      </c>
      <c r="D1456" s="51"/>
      <c r="F1456" s="11"/>
      <c r="G1456" s="2">
        <v>1000</v>
      </c>
      <c r="I1456" s="2">
        <f t="shared" si="93"/>
        <v>25005.429999999997</v>
      </c>
      <c r="L1456" s="2">
        <f t="shared" si="92"/>
        <v>4</v>
      </c>
    </row>
    <row r="1457" spans="1:12" x14ac:dyDescent="0.3">
      <c r="A1457" s="3">
        <v>45140</v>
      </c>
      <c r="B1457" s="11" t="s">
        <v>3571</v>
      </c>
      <c r="C1457" s="51" t="s">
        <v>3673</v>
      </c>
      <c r="D1457" s="51"/>
      <c r="F1457" s="11"/>
      <c r="G1457" s="2">
        <v>300</v>
      </c>
      <c r="I1457" s="2">
        <f t="shared" si="93"/>
        <v>25305.429999999997</v>
      </c>
      <c r="L1457" s="2">
        <f t="shared" si="92"/>
        <v>1.2</v>
      </c>
    </row>
    <row r="1458" spans="1:12" x14ac:dyDescent="0.3">
      <c r="A1458" s="3">
        <v>45140</v>
      </c>
      <c r="C1458" s="51"/>
      <c r="D1458" s="51"/>
      <c r="F1458" s="11"/>
      <c r="H1458" s="2">
        <v>2000</v>
      </c>
      <c r="I1458" s="2">
        <f t="shared" si="93"/>
        <v>23305.429999999997</v>
      </c>
      <c r="L1458" s="2">
        <f t="shared" si="92"/>
        <v>8</v>
      </c>
    </row>
    <row r="1459" spans="1:12" x14ac:dyDescent="0.3">
      <c r="A1459" s="3">
        <v>45140</v>
      </c>
      <c r="B1459" s="11" t="s">
        <v>1472</v>
      </c>
      <c r="C1459" s="51" t="s">
        <v>3844</v>
      </c>
      <c r="D1459" s="51"/>
      <c r="F1459" s="11"/>
      <c r="G1459" s="2">
        <v>500</v>
      </c>
      <c r="I1459" s="2">
        <f t="shared" si="93"/>
        <v>23805.429999999997</v>
      </c>
      <c r="L1459" s="2">
        <f t="shared" si="92"/>
        <v>2</v>
      </c>
    </row>
    <row r="1460" spans="1:12" x14ac:dyDescent="0.3">
      <c r="A1460" s="3">
        <v>45140</v>
      </c>
      <c r="B1460" s="11" t="s">
        <v>3849</v>
      </c>
      <c r="C1460" s="51" t="s">
        <v>2458</v>
      </c>
      <c r="D1460" s="51"/>
      <c r="F1460" s="11"/>
      <c r="H1460" s="2">
        <v>5000</v>
      </c>
      <c r="I1460" s="2">
        <f t="shared" si="93"/>
        <v>18805.429999999997</v>
      </c>
      <c r="L1460" s="2">
        <f t="shared" si="92"/>
        <v>20</v>
      </c>
    </row>
    <row r="1461" spans="1:12" x14ac:dyDescent="0.3">
      <c r="A1461" s="3">
        <v>45140</v>
      </c>
      <c r="B1461" s="11" t="s">
        <v>3845</v>
      </c>
      <c r="C1461" s="51" t="s">
        <v>1332</v>
      </c>
      <c r="D1461" s="51"/>
      <c r="F1461" s="11"/>
      <c r="H1461" s="2">
        <v>900</v>
      </c>
      <c r="I1461" s="2">
        <f t="shared" si="93"/>
        <v>17905.429999999997</v>
      </c>
      <c r="L1461" s="2">
        <f t="shared" si="92"/>
        <v>3.6</v>
      </c>
    </row>
    <row r="1462" spans="1:12" x14ac:dyDescent="0.3">
      <c r="A1462" s="3">
        <v>45141</v>
      </c>
      <c r="B1462" s="11" t="s">
        <v>1250</v>
      </c>
      <c r="C1462" s="51"/>
      <c r="D1462" s="51"/>
      <c r="F1462" s="11"/>
      <c r="H1462" s="2">
        <v>3000</v>
      </c>
      <c r="I1462" s="2">
        <f t="shared" si="93"/>
        <v>14905.429999999997</v>
      </c>
      <c r="L1462" s="2">
        <f t="shared" si="92"/>
        <v>12</v>
      </c>
    </row>
    <row r="1463" spans="1:12" x14ac:dyDescent="0.3">
      <c r="A1463" s="3">
        <v>45141</v>
      </c>
      <c r="B1463" s="11" t="s">
        <v>3846</v>
      </c>
      <c r="C1463" s="51" t="s">
        <v>3847</v>
      </c>
      <c r="D1463" s="51"/>
      <c r="F1463" s="11"/>
      <c r="G1463" s="2">
        <v>2500</v>
      </c>
      <c r="I1463" s="2">
        <f t="shared" si="93"/>
        <v>17405.429999999997</v>
      </c>
      <c r="L1463" s="2">
        <f t="shared" si="92"/>
        <v>10</v>
      </c>
    </row>
    <row r="1464" spans="1:12" x14ac:dyDescent="0.3">
      <c r="A1464" s="3">
        <v>45141</v>
      </c>
      <c r="B1464" s="11" t="s">
        <v>1160</v>
      </c>
      <c r="C1464" s="51" t="s">
        <v>3848</v>
      </c>
      <c r="D1464" s="51"/>
      <c r="F1464" s="11"/>
      <c r="G1464" s="2">
        <v>4000</v>
      </c>
      <c r="I1464" s="2">
        <f t="shared" si="93"/>
        <v>21405.429999999997</v>
      </c>
      <c r="L1464" s="2">
        <f t="shared" si="92"/>
        <v>16</v>
      </c>
    </row>
    <row r="1465" spans="1:12" x14ac:dyDescent="0.3">
      <c r="A1465" s="3">
        <v>45141</v>
      </c>
      <c r="B1465" s="11" t="s">
        <v>3850</v>
      </c>
      <c r="C1465" s="51" t="s">
        <v>3851</v>
      </c>
      <c r="D1465" s="51"/>
      <c r="F1465" s="11"/>
      <c r="H1465" s="2">
        <v>500</v>
      </c>
      <c r="I1465" s="2">
        <f t="shared" si="93"/>
        <v>20905.429999999997</v>
      </c>
      <c r="L1465" s="2">
        <f t="shared" si="92"/>
        <v>2</v>
      </c>
    </row>
    <row r="1466" spans="1:12" x14ac:dyDescent="0.3">
      <c r="A1466" s="3">
        <v>45141</v>
      </c>
      <c r="B1466" s="11" t="s">
        <v>3852</v>
      </c>
      <c r="C1466" s="51" t="s">
        <v>1279</v>
      </c>
      <c r="D1466" s="51"/>
      <c r="F1466" s="11"/>
      <c r="H1466" s="2">
        <v>10000</v>
      </c>
      <c r="I1466" s="2">
        <f t="shared" si="93"/>
        <v>10905.429999999997</v>
      </c>
      <c r="L1466" s="2">
        <f t="shared" si="92"/>
        <v>20</v>
      </c>
    </row>
    <row r="1467" spans="1:12" x14ac:dyDescent="0.3">
      <c r="A1467" s="3">
        <v>45142</v>
      </c>
      <c r="B1467" s="11" t="s">
        <v>2634</v>
      </c>
      <c r="C1467" s="51" t="s">
        <v>3251</v>
      </c>
      <c r="D1467" s="51"/>
      <c r="F1467" s="11"/>
      <c r="G1467" s="2">
        <v>10000</v>
      </c>
      <c r="I1467" s="2">
        <f t="shared" si="93"/>
        <v>20905.429999999997</v>
      </c>
      <c r="L1467" s="2">
        <f t="shared" si="92"/>
        <v>20</v>
      </c>
    </row>
    <row r="1468" spans="1:12" x14ac:dyDescent="0.3">
      <c r="A1468" s="3">
        <v>45142</v>
      </c>
      <c r="C1468" s="51" t="s">
        <v>2190</v>
      </c>
      <c r="D1468" s="51"/>
      <c r="F1468" s="11"/>
      <c r="G1468" s="2">
        <v>5000</v>
      </c>
      <c r="I1468" s="2">
        <f t="shared" si="93"/>
        <v>25905.429999999997</v>
      </c>
      <c r="L1468" s="2">
        <f t="shared" si="92"/>
        <v>20</v>
      </c>
    </row>
    <row r="1469" spans="1:12" x14ac:dyDescent="0.3">
      <c r="A1469" s="3">
        <v>45142</v>
      </c>
      <c r="B1469" s="11" t="s">
        <v>3853</v>
      </c>
      <c r="C1469" s="51" t="s">
        <v>3854</v>
      </c>
      <c r="D1469" s="51"/>
      <c r="F1469" s="11"/>
      <c r="H1469" s="2">
        <v>10000</v>
      </c>
      <c r="I1469" s="2">
        <f t="shared" si="93"/>
        <v>15905.429999999997</v>
      </c>
      <c r="L1469" s="2">
        <f t="shared" si="92"/>
        <v>20</v>
      </c>
    </row>
    <row r="1470" spans="1:12" x14ac:dyDescent="0.3">
      <c r="A1470" s="3">
        <v>45148</v>
      </c>
      <c r="B1470" s="11" t="s">
        <v>1472</v>
      </c>
      <c r="C1470" s="51" t="s">
        <v>3855</v>
      </c>
      <c r="D1470" s="51"/>
      <c r="F1470" s="11"/>
      <c r="G1470" s="2">
        <v>500</v>
      </c>
      <c r="I1470" s="2">
        <f t="shared" si="93"/>
        <v>16405.429999999997</v>
      </c>
      <c r="L1470" s="2">
        <f t="shared" si="92"/>
        <v>2</v>
      </c>
    </row>
    <row r="1471" spans="1:12" x14ac:dyDescent="0.3">
      <c r="A1471" s="3">
        <v>45148</v>
      </c>
      <c r="B1471" s="11" t="s">
        <v>2743</v>
      </c>
      <c r="C1471" s="51" t="s">
        <v>3856</v>
      </c>
      <c r="D1471" s="51"/>
      <c r="F1471" s="11"/>
      <c r="G1471" s="2">
        <v>1000</v>
      </c>
      <c r="I1471" s="2">
        <f t="shared" si="93"/>
        <v>17405.429999999997</v>
      </c>
      <c r="L1471" s="2">
        <f t="shared" si="92"/>
        <v>4</v>
      </c>
    </row>
    <row r="1472" spans="1:12" x14ac:dyDescent="0.3">
      <c r="A1472" s="3">
        <v>45148</v>
      </c>
      <c r="C1472" s="51" t="s">
        <v>3251</v>
      </c>
      <c r="D1472" s="51"/>
      <c r="F1472" s="11"/>
      <c r="G1472" s="2">
        <v>400</v>
      </c>
      <c r="I1472" s="2">
        <f t="shared" si="93"/>
        <v>17805.429999999997</v>
      </c>
      <c r="L1472" s="2">
        <f t="shared" si="92"/>
        <v>1.6</v>
      </c>
    </row>
    <row r="1473" spans="1:12" x14ac:dyDescent="0.3">
      <c r="A1473" s="3">
        <v>45148</v>
      </c>
      <c r="B1473" s="11" t="s">
        <v>2619</v>
      </c>
      <c r="C1473" s="51" t="s">
        <v>3255</v>
      </c>
      <c r="D1473" s="51"/>
      <c r="F1473" s="11"/>
      <c r="G1473" s="2">
        <v>1000</v>
      </c>
      <c r="I1473" s="2">
        <f t="shared" si="93"/>
        <v>18805.429999999997</v>
      </c>
      <c r="L1473" s="2">
        <f t="shared" si="92"/>
        <v>4</v>
      </c>
    </row>
    <row r="1474" spans="1:12" x14ac:dyDescent="0.3">
      <c r="A1474" s="3">
        <v>45148</v>
      </c>
      <c r="B1474" s="11" t="s">
        <v>2144</v>
      </c>
      <c r="C1474" s="51" t="s">
        <v>2145</v>
      </c>
      <c r="D1474" s="51"/>
      <c r="F1474" s="11"/>
      <c r="G1474" s="2">
        <v>200</v>
      </c>
      <c r="I1474" s="2">
        <f t="shared" si="93"/>
        <v>19005.429999999997</v>
      </c>
      <c r="L1474" s="2">
        <f t="shared" si="92"/>
        <v>0.8</v>
      </c>
    </row>
    <row r="1475" spans="1:12" x14ac:dyDescent="0.3">
      <c r="A1475" s="3">
        <v>45148</v>
      </c>
      <c r="B1475" s="11" t="s">
        <v>3857</v>
      </c>
      <c r="C1475" s="51" t="s">
        <v>3858</v>
      </c>
      <c r="D1475" s="51"/>
      <c r="E1475" s="90" t="s">
        <v>16</v>
      </c>
      <c r="F1475" s="11"/>
      <c r="H1475" s="2">
        <v>100</v>
      </c>
      <c r="I1475" s="2">
        <f t="shared" si="93"/>
        <v>18905.429999999997</v>
      </c>
      <c r="L1475" s="2">
        <f t="shared" si="92"/>
        <v>25.4</v>
      </c>
    </row>
    <row r="1476" spans="1:12" x14ac:dyDescent="0.3">
      <c r="A1476" s="3">
        <v>45148</v>
      </c>
      <c r="B1476" s="11" t="s">
        <v>3859</v>
      </c>
      <c r="C1476" s="51" t="s">
        <v>3860</v>
      </c>
      <c r="D1476" s="51"/>
      <c r="E1476" s="90" t="s">
        <v>16</v>
      </c>
      <c r="F1476" s="11"/>
      <c r="H1476" s="2">
        <v>100</v>
      </c>
      <c r="I1476" s="2">
        <f t="shared" si="93"/>
        <v>18805.429999999997</v>
      </c>
      <c r="L1476" s="2">
        <f t="shared" si="92"/>
        <v>25.4</v>
      </c>
    </row>
    <row r="1477" spans="1:12" x14ac:dyDescent="0.3">
      <c r="A1477" s="3">
        <v>45148</v>
      </c>
      <c r="B1477" s="11" t="s">
        <v>1250</v>
      </c>
      <c r="C1477" s="51" t="s">
        <v>1692</v>
      </c>
      <c r="D1477" s="51"/>
      <c r="F1477" s="11"/>
      <c r="G1477" s="2">
        <v>3050</v>
      </c>
      <c r="I1477" s="2">
        <f t="shared" si="93"/>
        <v>21855.429999999997</v>
      </c>
      <c r="L1477" s="2">
        <f t="shared" si="92"/>
        <v>12.200000000000001</v>
      </c>
    </row>
    <row r="1478" spans="1:12" x14ac:dyDescent="0.3">
      <c r="A1478" s="3">
        <v>45149</v>
      </c>
      <c r="B1478" s="11" t="s">
        <v>2623</v>
      </c>
      <c r="C1478" s="51" t="s">
        <v>1920</v>
      </c>
      <c r="D1478" s="51"/>
      <c r="F1478" s="11"/>
      <c r="G1478" s="2">
        <v>1000</v>
      </c>
      <c r="I1478" s="2">
        <f t="shared" si="93"/>
        <v>22855.429999999997</v>
      </c>
      <c r="L1478" s="2">
        <f t="shared" ref="L1478:L1498" si="94">IF((G1478+H1478)&lt;=5000,(H1478+G1478)*0.004,20)+IF(E1478="Y",25,0)</f>
        <v>4</v>
      </c>
    </row>
    <row r="1479" spans="1:12" x14ac:dyDescent="0.3">
      <c r="A1479" s="3">
        <v>45150</v>
      </c>
      <c r="B1479" s="11" t="s">
        <v>3865</v>
      </c>
      <c r="C1479" s="51" t="s">
        <v>1998</v>
      </c>
      <c r="D1479" s="51"/>
      <c r="F1479" s="11"/>
      <c r="G1479" s="2">
        <v>3000</v>
      </c>
      <c r="I1479" s="2">
        <f t="shared" si="93"/>
        <v>25855.429999999997</v>
      </c>
      <c r="L1479" s="2">
        <f t="shared" si="94"/>
        <v>12</v>
      </c>
    </row>
    <row r="1480" spans="1:12" x14ac:dyDescent="0.3">
      <c r="A1480" s="3">
        <v>45150</v>
      </c>
      <c r="B1480" s="11" t="s">
        <v>3788</v>
      </c>
      <c r="C1480" s="51" t="s">
        <v>3868</v>
      </c>
      <c r="D1480" s="51"/>
      <c r="F1480" s="11"/>
      <c r="H1480" s="2">
        <v>2500</v>
      </c>
      <c r="I1480" s="2">
        <f t="shared" si="93"/>
        <v>23355.429999999997</v>
      </c>
      <c r="L1480" s="2">
        <f t="shared" si="94"/>
        <v>10</v>
      </c>
    </row>
    <row r="1481" spans="1:12" x14ac:dyDescent="0.3">
      <c r="A1481" s="3">
        <v>45151</v>
      </c>
      <c r="B1481" s="11" t="s">
        <v>1160</v>
      </c>
      <c r="C1481" s="51" t="s">
        <v>3869</v>
      </c>
      <c r="D1481" s="51"/>
      <c r="F1481" s="11"/>
      <c r="G1481" s="2">
        <v>5000</v>
      </c>
      <c r="I1481" s="2">
        <f t="shared" si="93"/>
        <v>28355.429999999997</v>
      </c>
      <c r="L1481" s="2">
        <f t="shared" si="94"/>
        <v>20</v>
      </c>
    </row>
    <row r="1482" spans="1:12" x14ac:dyDescent="0.3">
      <c r="A1482" s="3">
        <v>45151</v>
      </c>
      <c r="B1482" s="11" t="s">
        <v>3870</v>
      </c>
      <c r="C1482" s="51" t="s">
        <v>577</v>
      </c>
      <c r="D1482" s="51"/>
      <c r="F1482" s="11"/>
      <c r="H1482" s="2">
        <v>4100</v>
      </c>
      <c r="I1482" s="2">
        <f t="shared" si="93"/>
        <v>24255.429999999997</v>
      </c>
      <c r="L1482" s="2">
        <f t="shared" si="94"/>
        <v>16.399999999999999</v>
      </c>
    </row>
    <row r="1483" spans="1:12" x14ac:dyDescent="0.3">
      <c r="A1483" s="3">
        <v>45151</v>
      </c>
      <c r="B1483" s="11" t="s">
        <v>3871</v>
      </c>
      <c r="C1483" s="51" t="s">
        <v>2870</v>
      </c>
      <c r="D1483" s="51"/>
      <c r="F1483" s="11"/>
      <c r="H1483" s="2">
        <v>4100</v>
      </c>
      <c r="I1483" s="2">
        <f t="shared" si="93"/>
        <v>20155.429999999997</v>
      </c>
      <c r="L1483" s="2">
        <f t="shared" si="94"/>
        <v>16.399999999999999</v>
      </c>
    </row>
    <row r="1484" spans="1:12" x14ac:dyDescent="0.3">
      <c r="A1484" s="3">
        <v>45151</v>
      </c>
      <c r="B1484" s="11" t="s">
        <v>1250</v>
      </c>
      <c r="C1484" s="51" t="s">
        <v>2250</v>
      </c>
      <c r="D1484" s="51"/>
      <c r="F1484" s="11"/>
      <c r="G1484" s="2">
        <v>3050</v>
      </c>
      <c r="I1484" s="2">
        <f t="shared" si="93"/>
        <v>23205.429999999997</v>
      </c>
      <c r="L1484" s="2">
        <f t="shared" si="94"/>
        <v>12.200000000000001</v>
      </c>
    </row>
    <row r="1485" spans="1:12" x14ac:dyDescent="0.3">
      <c r="A1485" s="3">
        <v>45151</v>
      </c>
      <c r="B1485" s="11" t="s">
        <v>3759</v>
      </c>
      <c r="C1485" s="51" t="s">
        <v>3872</v>
      </c>
      <c r="D1485" s="51"/>
      <c r="F1485" s="11"/>
      <c r="H1485" s="2">
        <v>2500</v>
      </c>
      <c r="I1485" s="2">
        <f t="shared" si="93"/>
        <v>20705.429999999997</v>
      </c>
      <c r="L1485" s="2">
        <f t="shared" si="94"/>
        <v>10</v>
      </c>
    </row>
    <row r="1486" spans="1:12" x14ac:dyDescent="0.3">
      <c r="A1486" s="3">
        <v>45152</v>
      </c>
      <c r="B1486" s="11" t="s">
        <v>1472</v>
      </c>
      <c r="C1486" s="51" t="s">
        <v>3873</v>
      </c>
      <c r="D1486" s="51"/>
      <c r="F1486" s="11"/>
      <c r="G1486" s="2">
        <v>2000</v>
      </c>
      <c r="I1486" s="2">
        <f t="shared" si="93"/>
        <v>22705.429999999997</v>
      </c>
      <c r="L1486" s="2">
        <f t="shared" si="94"/>
        <v>8</v>
      </c>
    </row>
    <row r="1487" spans="1:12" x14ac:dyDescent="0.3">
      <c r="A1487" s="3">
        <v>45152</v>
      </c>
      <c r="B1487" s="11" t="s">
        <v>2863</v>
      </c>
      <c r="C1487" s="51" t="s">
        <v>128</v>
      </c>
      <c r="D1487" s="51"/>
      <c r="F1487" s="11"/>
      <c r="G1487" s="2">
        <v>2000</v>
      </c>
      <c r="I1487" s="2">
        <f t="shared" si="93"/>
        <v>24705.429999999997</v>
      </c>
      <c r="L1487" s="2">
        <f t="shared" si="94"/>
        <v>8</v>
      </c>
    </row>
    <row r="1488" spans="1:12" x14ac:dyDescent="0.3">
      <c r="A1488" s="3">
        <v>45154</v>
      </c>
      <c r="B1488" s="11" t="s">
        <v>1250</v>
      </c>
      <c r="C1488" s="51" t="s">
        <v>3251</v>
      </c>
      <c r="D1488" s="51"/>
      <c r="F1488" s="11"/>
      <c r="G1488" s="2">
        <v>1500</v>
      </c>
      <c r="I1488" s="2">
        <f t="shared" si="93"/>
        <v>26205.429999999997</v>
      </c>
      <c r="L1488" s="2">
        <f t="shared" si="94"/>
        <v>6</v>
      </c>
    </row>
    <row r="1489" spans="1:14" x14ac:dyDescent="0.3">
      <c r="A1489" s="3">
        <v>45154</v>
      </c>
      <c r="B1489" s="11" t="s">
        <v>3002</v>
      </c>
      <c r="C1489" s="51" t="s">
        <v>1279</v>
      </c>
      <c r="D1489" s="51"/>
      <c r="F1489" s="11"/>
      <c r="H1489" s="2">
        <v>10000</v>
      </c>
      <c r="I1489" s="2">
        <f t="shared" si="93"/>
        <v>16205.429999999997</v>
      </c>
      <c r="L1489" s="2">
        <f t="shared" si="94"/>
        <v>20</v>
      </c>
    </row>
    <row r="1490" spans="1:14" x14ac:dyDescent="0.3">
      <c r="A1490" s="3">
        <v>45154</v>
      </c>
      <c r="B1490" s="11" t="s">
        <v>3788</v>
      </c>
      <c r="C1490" s="51" t="s">
        <v>3874</v>
      </c>
      <c r="D1490" s="51"/>
      <c r="F1490" s="11"/>
      <c r="G1490" s="2">
        <v>2000</v>
      </c>
      <c r="I1490" s="2">
        <f t="shared" si="93"/>
        <v>18205.429999999997</v>
      </c>
      <c r="L1490" s="2">
        <f t="shared" si="94"/>
        <v>8</v>
      </c>
    </row>
    <row r="1491" spans="1:14" x14ac:dyDescent="0.3">
      <c r="A1491" s="3">
        <v>45154</v>
      </c>
      <c r="B1491" s="11" t="s">
        <v>2448</v>
      </c>
      <c r="C1491" s="51" t="s">
        <v>2289</v>
      </c>
      <c r="D1491" s="51"/>
      <c r="F1491" s="11"/>
      <c r="H1491" s="2">
        <v>2500</v>
      </c>
      <c r="I1491" s="2">
        <f t="shared" si="93"/>
        <v>15705.429999999997</v>
      </c>
      <c r="L1491" s="2">
        <f t="shared" si="94"/>
        <v>10</v>
      </c>
    </row>
    <row r="1492" spans="1:14" x14ac:dyDescent="0.3">
      <c r="A1492" s="3">
        <v>45154</v>
      </c>
      <c r="B1492" s="11" t="s">
        <v>1250</v>
      </c>
      <c r="C1492" s="51" t="s">
        <v>2250</v>
      </c>
      <c r="D1492" s="51"/>
      <c r="F1492" s="11"/>
      <c r="G1492" s="2">
        <v>3000</v>
      </c>
      <c r="I1492" s="2">
        <f t="shared" si="93"/>
        <v>18705.429999999997</v>
      </c>
      <c r="L1492" s="2">
        <f t="shared" si="94"/>
        <v>12</v>
      </c>
    </row>
    <row r="1493" spans="1:14" x14ac:dyDescent="0.3">
      <c r="A1493" s="3">
        <v>45154</v>
      </c>
      <c r="B1493" s="11" t="s">
        <v>3875</v>
      </c>
      <c r="C1493" s="51" t="s">
        <v>3876</v>
      </c>
      <c r="D1493" s="51"/>
      <c r="F1493" s="11"/>
      <c r="G1493" s="2">
        <v>1000</v>
      </c>
      <c r="I1493" s="2">
        <f t="shared" si="93"/>
        <v>19705.429999999997</v>
      </c>
      <c r="L1493" s="2">
        <f t="shared" si="94"/>
        <v>4</v>
      </c>
    </row>
    <row r="1494" spans="1:14" x14ac:dyDescent="0.3">
      <c r="A1494" s="3">
        <v>45156</v>
      </c>
      <c r="B1494" s="11" t="s">
        <v>1250</v>
      </c>
      <c r="C1494" s="51" t="s">
        <v>2250</v>
      </c>
      <c r="D1494" s="51"/>
      <c r="F1494" s="11"/>
      <c r="G1494" s="2">
        <v>700</v>
      </c>
      <c r="I1494" s="2">
        <f t="shared" si="93"/>
        <v>20405.429999999997</v>
      </c>
      <c r="L1494" s="2">
        <f t="shared" si="94"/>
        <v>2.8000000000000003</v>
      </c>
    </row>
    <row r="1495" spans="1:14" x14ac:dyDescent="0.3">
      <c r="A1495" s="3">
        <v>45156</v>
      </c>
      <c r="B1495" s="11" t="s">
        <v>3456</v>
      </c>
      <c r="C1495" s="51" t="s">
        <v>3880</v>
      </c>
      <c r="D1495" s="51"/>
      <c r="F1495" s="11"/>
      <c r="G1495" s="2">
        <v>1000</v>
      </c>
      <c r="I1495" s="2">
        <f t="shared" si="93"/>
        <v>21405.429999999997</v>
      </c>
      <c r="L1495" s="2">
        <f t="shared" si="94"/>
        <v>4</v>
      </c>
    </row>
    <row r="1496" spans="1:14" x14ac:dyDescent="0.3">
      <c r="A1496" s="3">
        <v>45157</v>
      </c>
      <c r="B1496" s="11" t="s">
        <v>2241</v>
      </c>
      <c r="C1496" s="51"/>
      <c r="D1496" s="51"/>
      <c r="F1496" s="11"/>
      <c r="G1496" s="2">
        <v>1500</v>
      </c>
      <c r="I1496" s="2">
        <f t="shared" si="93"/>
        <v>22905.429999999997</v>
      </c>
      <c r="L1496" s="2">
        <f t="shared" si="94"/>
        <v>6</v>
      </c>
    </row>
    <row r="1497" spans="1:14" x14ac:dyDescent="0.3">
      <c r="A1497" s="3">
        <v>45157</v>
      </c>
      <c r="B1497" s="11" t="s">
        <v>3002</v>
      </c>
      <c r="C1497" s="51" t="s">
        <v>1279</v>
      </c>
      <c r="D1497" s="51"/>
      <c r="F1497" s="11"/>
      <c r="H1497" s="2">
        <v>10000</v>
      </c>
      <c r="I1497" s="2">
        <f t="shared" si="93"/>
        <v>12905.429999999997</v>
      </c>
      <c r="L1497" s="2">
        <f t="shared" si="94"/>
        <v>20</v>
      </c>
    </row>
    <row r="1498" spans="1:14" x14ac:dyDescent="0.3">
      <c r="A1498" s="3">
        <v>45157</v>
      </c>
      <c r="B1498" s="11" t="s">
        <v>3881</v>
      </c>
      <c r="C1498" s="51" t="s">
        <v>3882</v>
      </c>
      <c r="D1498" s="51"/>
      <c r="E1498" s="90" t="s">
        <v>16</v>
      </c>
      <c r="F1498" s="11"/>
      <c r="H1498" s="2">
        <v>100</v>
      </c>
      <c r="I1498" s="2">
        <f t="shared" si="93"/>
        <v>12805.429999999997</v>
      </c>
      <c r="L1498" s="2">
        <f t="shared" si="94"/>
        <v>25.4</v>
      </c>
    </row>
    <row r="1499" spans="1:14" x14ac:dyDescent="0.3">
      <c r="A1499" s="3">
        <v>45160</v>
      </c>
      <c r="C1499" s="107" t="s">
        <v>3887</v>
      </c>
      <c r="D1499" s="107"/>
      <c r="E1499" s="97"/>
      <c r="F1499" s="37"/>
      <c r="G1499" s="64">
        <v>839.65</v>
      </c>
      <c r="H1499" s="2">
        <v>0.24</v>
      </c>
      <c r="I1499" s="2">
        <f t="shared" si="93"/>
        <v>13644.839999999997</v>
      </c>
    </row>
    <row r="1500" spans="1:14" x14ac:dyDescent="0.3">
      <c r="A1500" s="77">
        <f>COUNTIF(A1373:A1499,"")</f>
        <v>3</v>
      </c>
      <c r="B1500" s="80"/>
      <c r="C1500" s="112"/>
      <c r="D1500" s="112"/>
      <c r="E1500" s="92">
        <f>COUNTIF(E1446:E1499,"Y")</f>
        <v>3</v>
      </c>
      <c r="F1500" s="77">
        <f>G1500+H1500</f>
        <v>148180.37</v>
      </c>
      <c r="G1500" s="84">
        <f>SUM(G1446:G1499)</f>
        <v>69239.649999999994</v>
      </c>
      <c r="H1500" s="84">
        <f>SUM(H1445:H1499)</f>
        <v>78940.72</v>
      </c>
      <c r="I1500" s="84"/>
      <c r="J1500" s="80">
        <f>SUM(J1373:J1499)</f>
        <v>0</v>
      </c>
      <c r="K1500" s="80">
        <f>SUM(K1373:K1499)</f>
        <v>0</v>
      </c>
      <c r="L1500" s="84">
        <f>SUM(L1446:L1499)</f>
        <v>551.16</v>
      </c>
      <c r="M1500" s="77"/>
      <c r="N1500" s="77"/>
    </row>
    <row r="1501" spans="1:14" x14ac:dyDescent="0.3">
      <c r="C1501" s="51"/>
      <c r="D1501" s="51"/>
      <c r="F1501" s="11"/>
    </row>
    <row r="1502" spans="1:14" x14ac:dyDescent="0.3">
      <c r="A1502" s="3">
        <v>45170</v>
      </c>
      <c r="C1502" s="51" t="s">
        <v>2832</v>
      </c>
      <c r="D1502" s="51"/>
      <c r="F1502" s="11"/>
      <c r="G1502" s="2">
        <v>13644.84</v>
      </c>
      <c r="I1502" s="2">
        <f t="shared" ref="I1502:I1555" si="95">I1501+G1502-H1502</f>
        <v>13644.84</v>
      </c>
    </row>
    <row r="1503" spans="1:14" x14ac:dyDescent="0.3">
      <c r="A1503" s="3">
        <v>45174</v>
      </c>
      <c r="B1503" s="11" t="s">
        <v>1250</v>
      </c>
      <c r="C1503" s="51" t="s">
        <v>3670</v>
      </c>
      <c r="D1503" s="51"/>
      <c r="F1503" s="11"/>
      <c r="G1503" s="2">
        <v>3000</v>
      </c>
      <c r="I1503" s="2">
        <f t="shared" si="95"/>
        <v>16644.84</v>
      </c>
      <c r="L1503" s="2">
        <f t="shared" ref="L1503:L1549" si="96">IF((G1503+H1503)&lt;=5000,(H1503+G1503)*0.004,20)+IF(E1503="Y",25,0)</f>
        <v>12</v>
      </c>
    </row>
    <row r="1504" spans="1:14" x14ac:dyDescent="0.3">
      <c r="A1504" s="3">
        <v>45175</v>
      </c>
      <c r="B1504" s="11" t="s">
        <v>3888</v>
      </c>
      <c r="C1504" s="51" t="s">
        <v>3893</v>
      </c>
      <c r="D1504" s="51"/>
      <c r="E1504" s="90" t="s">
        <v>16</v>
      </c>
      <c r="F1504" s="11"/>
      <c r="H1504" s="2">
        <v>150</v>
      </c>
      <c r="I1504" s="2">
        <f t="shared" si="95"/>
        <v>16494.84</v>
      </c>
      <c r="L1504" s="2">
        <f t="shared" si="96"/>
        <v>25.6</v>
      </c>
    </row>
    <row r="1505" spans="1:12" x14ac:dyDescent="0.3">
      <c r="A1505" s="3">
        <v>45175</v>
      </c>
      <c r="B1505" s="11" t="s">
        <v>3888</v>
      </c>
      <c r="C1505" s="51" t="s">
        <v>3889</v>
      </c>
      <c r="D1505" s="51"/>
      <c r="E1505" s="90" t="s">
        <v>16</v>
      </c>
      <c r="F1505" s="11"/>
      <c r="H1505" s="2">
        <v>100</v>
      </c>
      <c r="I1505" s="2">
        <f t="shared" si="95"/>
        <v>16394.84</v>
      </c>
      <c r="L1505" s="2">
        <f t="shared" si="96"/>
        <v>25.4</v>
      </c>
    </row>
    <row r="1506" spans="1:12" x14ac:dyDescent="0.3">
      <c r="A1506" s="3">
        <v>45176</v>
      </c>
      <c r="B1506" s="11" t="s">
        <v>3504</v>
      </c>
      <c r="C1506" s="51" t="s">
        <v>3894</v>
      </c>
      <c r="D1506" s="51"/>
      <c r="F1506" s="11"/>
      <c r="H1506" s="2">
        <v>1000</v>
      </c>
      <c r="I1506" s="2">
        <f t="shared" si="95"/>
        <v>15394.84</v>
      </c>
      <c r="L1506" s="2">
        <f t="shared" si="96"/>
        <v>4</v>
      </c>
    </row>
    <row r="1507" spans="1:12" x14ac:dyDescent="0.3">
      <c r="A1507" s="3">
        <v>45176</v>
      </c>
      <c r="B1507" s="11" t="s">
        <v>3870</v>
      </c>
      <c r="C1507" s="51" t="s">
        <v>2285</v>
      </c>
      <c r="D1507" s="51"/>
      <c r="F1507" s="11"/>
      <c r="H1507" s="2">
        <v>4000</v>
      </c>
      <c r="I1507" s="2">
        <f t="shared" si="95"/>
        <v>11394.84</v>
      </c>
      <c r="L1507" s="2">
        <f t="shared" si="96"/>
        <v>16</v>
      </c>
    </row>
    <row r="1508" spans="1:12" x14ac:dyDescent="0.3">
      <c r="A1508" s="3">
        <v>45176</v>
      </c>
      <c r="B1508" s="11" t="s">
        <v>3871</v>
      </c>
      <c r="C1508" s="51" t="s">
        <v>2347</v>
      </c>
      <c r="D1508" s="51"/>
      <c r="F1508" s="11"/>
      <c r="H1508" s="2">
        <v>4000</v>
      </c>
      <c r="I1508" s="2">
        <f t="shared" si="95"/>
        <v>7394.84</v>
      </c>
      <c r="L1508" s="2">
        <f t="shared" si="96"/>
        <v>16</v>
      </c>
    </row>
    <row r="1509" spans="1:12" x14ac:dyDescent="0.3">
      <c r="A1509" s="3">
        <v>45176</v>
      </c>
      <c r="B1509" s="11" t="s">
        <v>1250</v>
      </c>
      <c r="C1509" s="51" t="s">
        <v>3895</v>
      </c>
      <c r="D1509" s="51"/>
      <c r="F1509" s="11"/>
      <c r="G1509" s="2">
        <v>1000</v>
      </c>
      <c r="I1509" s="2">
        <f t="shared" si="95"/>
        <v>8394.84</v>
      </c>
      <c r="L1509" s="2">
        <f t="shared" si="96"/>
        <v>4</v>
      </c>
    </row>
    <row r="1510" spans="1:12" x14ac:dyDescent="0.3">
      <c r="A1510" s="3">
        <v>45176</v>
      </c>
      <c r="B1510" s="11" t="s">
        <v>1250</v>
      </c>
      <c r="C1510" s="51" t="s">
        <v>3896</v>
      </c>
      <c r="D1510" s="51"/>
      <c r="F1510" s="11"/>
      <c r="H1510" s="2">
        <v>1000</v>
      </c>
      <c r="I1510" s="2">
        <f t="shared" si="95"/>
        <v>7394.84</v>
      </c>
      <c r="L1510" s="2">
        <f t="shared" si="96"/>
        <v>4</v>
      </c>
    </row>
    <row r="1511" spans="1:12" x14ac:dyDescent="0.3">
      <c r="A1511" s="3">
        <v>45177</v>
      </c>
      <c r="B1511" s="11" t="s">
        <v>3897</v>
      </c>
      <c r="C1511" s="51" t="s">
        <v>2883</v>
      </c>
      <c r="D1511" s="51"/>
      <c r="F1511" s="11"/>
      <c r="G1511" s="2">
        <v>800</v>
      </c>
      <c r="I1511" s="2">
        <f t="shared" si="95"/>
        <v>8194.84</v>
      </c>
      <c r="L1511" s="2">
        <f t="shared" si="96"/>
        <v>3.2</v>
      </c>
    </row>
    <row r="1512" spans="1:12" x14ac:dyDescent="0.3">
      <c r="A1512" s="3">
        <v>45177</v>
      </c>
      <c r="B1512" s="11" t="s">
        <v>3898</v>
      </c>
      <c r="C1512" s="51" t="s">
        <v>3625</v>
      </c>
      <c r="D1512" s="51"/>
      <c r="F1512" s="11"/>
      <c r="G1512" s="2">
        <v>800</v>
      </c>
      <c r="I1512" s="2">
        <f t="shared" si="95"/>
        <v>8994.84</v>
      </c>
      <c r="L1512" s="2">
        <f t="shared" si="96"/>
        <v>3.2</v>
      </c>
    </row>
    <row r="1513" spans="1:12" x14ac:dyDescent="0.3">
      <c r="A1513" s="3">
        <v>45177</v>
      </c>
      <c r="B1513" s="11" t="s">
        <v>3232</v>
      </c>
      <c r="C1513" s="51" t="s">
        <v>2414</v>
      </c>
      <c r="D1513" s="51"/>
      <c r="F1513" s="11"/>
      <c r="G1513" s="2">
        <v>2500</v>
      </c>
      <c r="I1513" s="2">
        <f t="shared" si="95"/>
        <v>11494.84</v>
      </c>
      <c r="L1513" s="2">
        <f t="shared" si="96"/>
        <v>10</v>
      </c>
    </row>
    <row r="1514" spans="1:12" x14ac:dyDescent="0.3">
      <c r="A1514" s="3">
        <v>45177</v>
      </c>
      <c r="B1514" s="11" t="s">
        <v>3899</v>
      </c>
      <c r="C1514" s="51" t="s">
        <v>3903</v>
      </c>
      <c r="D1514" s="51"/>
      <c r="E1514" s="90" t="s">
        <v>16</v>
      </c>
      <c r="F1514" s="11"/>
      <c r="H1514" s="2">
        <v>150</v>
      </c>
      <c r="I1514" s="2">
        <f t="shared" si="95"/>
        <v>11344.84</v>
      </c>
      <c r="L1514" s="2">
        <f t="shared" si="96"/>
        <v>25.6</v>
      </c>
    </row>
    <row r="1515" spans="1:12" x14ac:dyDescent="0.3">
      <c r="A1515" s="3">
        <v>45177</v>
      </c>
      <c r="B1515" s="11" t="s">
        <v>3849</v>
      </c>
      <c r="C1515" s="51" t="s">
        <v>2458</v>
      </c>
      <c r="D1515" s="51"/>
      <c r="F1515" s="11"/>
      <c r="H1515" s="2">
        <v>2500</v>
      </c>
      <c r="I1515" s="2">
        <f t="shared" si="95"/>
        <v>8844.84</v>
      </c>
      <c r="L1515" s="2">
        <f t="shared" si="96"/>
        <v>10</v>
      </c>
    </row>
    <row r="1516" spans="1:12" x14ac:dyDescent="0.3">
      <c r="A1516" s="3">
        <v>45177</v>
      </c>
      <c r="B1516" s="11" t="s">
        <v>3904</v>
      </c>
      <c r="C1516" s="51"/>
      <c r="D1516" s="51"/>
      <c r="E1516" s="90" t="s">
        <v>16</v>
      </c>
      <c r="F1516" s="11"/>
      <c r="H1516" s="2">
        <v>200</v>
      </c>
      <c r="I1516" s="2">
        <f t="shared" si="95"/>
        <v>8644.84</v>
      </c>
      <c r="L1516" s="2">
        <f t="shared" si="96"/>
        <v>25.8</v>
      </c>
    </row>
    <row r="1517" spans="1:12" x14ac:dyDescent="0.3">
      <c r="A1517" s="3">
        <v>45177</v>
      </c>
      <c r="B1517" s="11" t="s">
        <v>3907</v>
      </c>
      <c r="C1517" s="51"/>
      <c r="D1517" s="51"/>
      <c r="E1517" s="90" t="s">
        <v>16</v>
      </c>
      <c r="F1517" s="11"/>
      <c r="H1517" s="2">
        <v>100</v>
      </c>
      <c r="I1517" s="2">
        <f t="shared" si="95"/>
        <v>8544.84</v>
      </c>
      <c r="L1517" s="2">
        <f t="shared" si="96"/>
        <v>25.4</v>
      </c>
    </row>
    <row r="1518" spans="1:12" x14ac:dyDescent="0.3">
      <c r="A1518" s="3">
        <v>45177</v>
      </c>
      <c r="B1518" s="11" t="s">
        <v>1250</v>
      </c>
      <c r="C1518" s="51"/>
      <c r="D1518" s="51"/>
      <c r="F1518" s="11"/>
      <c r="G1518" s="2">
        <v>2000</v>
      </c>
      <c r="I1518" s="2">
        <f t="shared" si="95"/>
        <v>10544.84</v>
      </c>
      <c r="L1518" s="2">
        <f t="shared" si="96"/>
        <v>8</v>
      </c>
    </row>
    <row r="1519" spans="1:12" x14ac:dyDescent="0.3">
      <c r="A1519" s="3">
        <v>45177</v>
      </c>
      <c r="B1519" s="11" t="s">
        <v>3911</v>
      </c>
      <c r="C1519" s="51"/>
      <c r="D1519" s="51"/>
      <c r="F1519" s="11"/>
      <c r="H1519" s="2">
        <v>1500</v>
      </c>
      <c r="I1519" s="2">
        <f t="shared" si="95"/>
        <v>9044.84</v>
      </c>
      <c r="L1519" s="2">
        <f t="shared" si="96"/>
        <v>6</v>
      </c>
    </row>
    <row r="1520" spans="1:12" x14ac:dyDescent="0.3">
      <c r="A1520" s="3">
        <v>45177</v>
      </c>
      <c r="B1520" s="11" t="s">
        <v>1250</v>
      </c>
      <c r="C1520" s="51"/>
      <c r="D1520" s="51"/>
      <c r="F1520" s="11"/>
      <c r="G1520" s="2">
        <v>800</v>
      </c>
      <c r="I1520" s="2">
        <f t="shared" si="95"/>
        <v>9844.84</v>
      </c>
      <c r="L1520" s="2">
        <f t="shared" si="96"/>
        <v>3.2</v>
      </c>
    </row>
    <row r="1521" spans="1:12" x14ac:dyDescent="0.3">
      <c r="A1521" s="3">
        <v>45178</v>
      </c>
      <c r="B1521" s="11" t="s">
        <v>1160</v>
      </c>
      <c r="C1521" s="51" t="s">
        <v>3513</v>
      </c>
      <c r="D1521" s="51"/>
      <c r="F1521" s="11"/>
      <c r="G1521" s="2">
        <v>3000</v>
      </c>
      <c r="I1521" s="2">
        <f t="shared" si="95"/>
        <v>12844.84</v>
      </c>
      <c r="L1521" s="2">
        <f t="shared" si="96"/>
        <v>12</v>
      </c>
    </row>
    <row r="1522" spans="1:12" x14ac:dyDescent="0.3">
      <c r="A1522" s="3">
        <v>45178</v>
      </c>
      <c r="B1522" s="11" t="s">
        <v>3289</v>
      </c>
      <c r="C1522" s="51" t="s">
        <v>3912</v>
      </c>
      <c r="D1522" s="51"/>
      <c r="F1522" s="11"/>
      <c r="H1522" s="2">
        <v>1500</v>
      </c>
      <c r="I1522" s="2">
        <f t="shared" si="95"/>
        <v>11344.84</v>
      </c>
      <c r="L1522" s="2">
        <f t="shared" si="96"/>
        <v>6</v>
      </c>
    </row>
    <row r="1523" spans="1:12" x14ac:dyDescent="0.3">
      <c r="A1523" s="3">
        <v>45178</v>
      </c>
      <c r="B1523" s="11" t="s">
        <v>3913</v>
      </c>
      <c r="C1523" s="51" t="s">
        <v>3914</v>
      </c>
      <c r="D1523" s="51"/>
      <c r="F1523" s="11"/>
      <c r="H1523" s="2">
        <v>4500</v>
      </c>
      <c r="I1523" s="2">
        <f t="shared" si="95"/>
        <v>6844.84</v>
      </c>
      <c r="L1523" s="2">
        <f t="shared" si="96"/>
        <v>18</v>
      </c>
    </row>
    <row r="1524" spans="1:12" x14ac:dyDescent="0.3">
      <c r="A1524" s="3">
        <v>45178</v>
      </c>
      <c r="B1524" s="11" t="s">
        <v>3915</v>
      </c>
      <c r="C1524" s="51" t="s">
        <v>3916</v>
      </c>
      <c r="D1524" s="51"/>
      <c r="F1524" s="11"/>
      <c r="G1524" s="2">
        <v>2200</v>
      </c>
      <c r="I1524" s="2">
        <f t="shared" si="95"/>
        <v>9044.84</v>
      </c>
      <c r="L1524" s="2">
        <f t="shared" si="96"/>
        <v>8.8000000000000007</v>
      </c>
    </row>
    <row r="1525" spans="1:12" x14ac:dyDescent="0.3">
      <c r="A1525" s="3">
        <v>45178</v>
      </c>
      <c r="B1525" s="11" t="s">
        <v>1160</v>
      </c>
      <c r="C1525" s="51" t="s">
        <v>3917</v>
      </c>
      <c r="D1525" s="51"/>
      <c r="F1525" s="11"/>
      <c r="G1525" s="2">
        <v>1000</v>
      </c>
      <c r="I1525" s="2">
        <f t="shared" si="95"/>
        <v>10044.84</v>
      </c>
      <c r="L1525" s="2">
        <f t="shared" si="96"/>
        <v>4</v>
      </c>
    </row>
    <row r="1526" spans="1:12" x14ac:dyDescent="0.3">
      <c r="A1526" s="3">
        <v>45178</v>
      </c>
      <c r="B1526" s="11" t="s">
        <v>3918</v>
      </c>
      <c r="C1526" s="51" t="s">
        <v>3722</v>
      </c>
      <c r="D1526" s="51"/>
      <c r="F1526" s="11"/>
      <c r="G1526" s="2">
        <v>500</v>
      </c>
      <c r="I1526" s="2">
        <f t="shared" si="95"/>
        <v>10544.84</v>
      </c>
      <c r="L1526" s="2">
        <f t="shared" si="96"/>
        <v>2</v>
      </c>
    </row>
    <row r="1527" spans="1:12" x14ac:dyDescent="0.3">
      <c r="A1527" s="3">
        <v>45178</v>
      </c>
      <c r="B1527" s="11" t="s">
        <v>1250</v>
      </c>
      <c r="C1527" s="51"/>
      <c r="D1527" s="51"/>
      <c r="F1527" s="11"/>
      <c r="H1527" s="2">
        <v>2000</v>
      </c>
      <c r="I1527" s="2">
        <f t="shared" si="95"/>
        <v>8544.84</v>
      </c>
      <c r="L1527" s="2">
        <f t="shared" si="96"/>
        <v>8</v>
      </c>
    </row>
    <row r="1528" spans="1:12" x14ac:dyDescent="0.3">
      <c r="A1528" s="3">
        <v>45178</v>
      </c>
      <c r="B1528" s="11" t="s">
        <v>2448</v>
      </c>
      <c r="C1528" s="51" t="s">
        <v>1253</v>
      </c>
      <c r="D1528" s="51"/>
      <c r="F1528" s="11"/>
      <c r="H1528" s="2">
        <v>4500</v>
      </c>
      <c r="I1528" s="2">
        <f t="shared" si="95"/>
        <v>4044.84</v>
      </c>
      <c r="L1528" s="2">
        <f t="shared" si="96"/>
        <v>18</v>
      </c>
    </row>
    <row r="1529" spans="1:12" x14ac:dyDescent="0.3">
      <c r="A1529" s="3">
        <v>45178</v>
      </c>
      <c r="B1529" s="11" t="s">
        <v>2097</v>
      </c>
      <c r="C1529" s="51"/>
      <c r="D1529" s="51"/>
      <c r="F1529" s="11"/>
      <c r="G1529" s="2">
        <v>4000</v>
      </c>
      <c r="I1529" s="2">
        <f t="shared" si="95"/>
        <v>8044.84</v>
      </c>
      <c r="L1529" s="2">
        <f t="shared" si="96"/>
        <v>16</v>
      </c>
    </row>
    <row r="1530" spans="1:12" x14ac:dyDescent="0.3">
      <c r="A1530" s="3">
        <v>45178</v>
      </c>
      <c r="B1530" s="11" t="s">
        <v>3919</v>
      </c>
      <c r="C1530" s="51" t="s">
        <v>3920</v>
      </c>
      <c r="D1530" s="51"/>
      <c r="F1530" s="11"/>
      <c r="G1530" s="2">
        <v>8000</v>
      </c>
      <c r="I1530" s="2">
        <f t="shared" si="95"/>
        <v>16044.84</v>
      </c>
      <c r="L1530" s="2">
        <f t="shared" si="96"/>
        <v>20</v>
      </c>
    </row>
    <row r="1531" spans="1:12" x14ac:dyDescent="0.3">
      <c r="A1531" s="3">
        <v>45178</v>
      </c>
      <c r="B1531" s="11" t="s">
        <v>1250</v>
      </c>
      <c r="C1531" s="51"/>
      <c r="D1531" s="51"/>
      <c r="F1531" s="11"/>
      <c r="G1531" s="2">
        <v>800</v>
      </c>
      <c r="I1531" s="2">
        <f t="shared" si="95"/>
        <v>16844.84</v>
      </c>
      <c r="L1531" s="2">
        <f t="shared" si="96"/>
        <v>3.2</v>
      </c>
    </row>
    <row r="1532" spans="1:12" x14ac:dyDescent="0.3">
      <c r="A1532" s="3">
        <v>45180</v>
      </c>
      <c r="B1532" s="11" t="s">
        <v>1250</v>
      </c>
      <c r="C1532" s="51" t="s">
        <v>3921</v>
      </c>
      <c r="D1532" s="51"/>
      <c r="F1532" s="11"/>
      <c r="G1532" s="2">
        <v>3000</v>
      </c>
      <c r="I1532" s="2">
        <f t="shared" si="95"/>
        <v>19844.84</v>
      </c>
      <c r="L1532" s="2">
        <f t="shared" si="96"/>
        <v>12</v>
      </c>
    </row>
    <row r="1533" spans="1:12" x14ac:dyDescent="0.3">
      <c r="A1533" s="3">
        <v>45180</v>
      </c>
      <c r="B1533" s="11" t="s">
        <v>1472</v>
      </c>
      <c r="C1533" s="51"/>
      <c r="D1533" s="51"/>
      <c r="F1533" s="11"/>
      <c r="G1533" s="2">
        <v>2000</v>
      </c>
      <c r="I1533" s="2">
        <f t="shared" si="95"/>
        <v>21844.84</v>
      </c>
      <c r="L1533" s="2">
        <f t="shared" si="96"/>
        <v>8</v>
      </c>
    </row>
    <row r="1534" spans="1:12" x14ac:dyDescent="0.3">
      <c r="A1534" s="3">
        <v>45180</v>
      </c>
      <c r="B1534" s="11" t="s">
        <v>3922</v>
      </c>
      <c r="C1534" s="51" t="s">
        <v>3926</v>
      </c>
      <c r="D1534" s="51"/>
      <c r="E1534" s="90" t="s">
        <v>16</v>
      </c>
      <c r="F1534" s="11"/>
      <c r="H1534" s="2">
        <v>100</v>
      </c>
      <c r="I1534" s="2">
        <f t="shared" si="95"/>
        <v>21744.84</v>
      </c>
      <c r="L1534" s="2">
        <f t="shared" si="96"/>
        <v>25.4</v>
      </c>
    </row>
    <row r="1535" spans="1:12" x14ac:dyDescent="0.3">
      <c r="A1535" s="3">
        <v>45180</v>
      </c>
      <c r="B1535" s="11" t="s">
        <v>3927</v>
      </c>
      <c r="C1535" s="51" t="s">
        <v>3928</v>
      </c>
      <c r="D1535" s="51"/>
      <c r="E1535" s="90" t="s">
        <v>16</v>
      </c>
      <c r="F1535" s="11"/>
      <c r="H1535" s="2">
        <v>100</v>
      </c>
      <c r="I1535" s="2">
        <f t="shared" si="95"/>
        <v>21644.84</v>
      </c>
      <c r="L1535" s="2">
        <f t="shared" si="96"/>
        <v>25.4</v>
      </c>
    </row>
    <row r="1536" spans="1:12" x14ac:dyDescent="0.3">
      <c r="A1536" s="3">
        <v>45181</v>
      </c>
      <c r="B1536" s="11" t="s">
        <v>3567</v>
      </c>
      <c r="C1536" s="51" t="s">
        <v>3565</v>
      </c>
      <c r="D1536" s="51"/>
      <c r="F1536" s="11"/>
      <c r="H1536" s="2">
        <v>500</v>
      </c>
      <c r="I1536" s="2">
        <f t="shared" si="95"/>
        <v>21144.84</v>
      </c>
      <c r="L1536" s="2">
        <f t="shared" si="96"/>
        <v>2</v>
      </c>
    </row>
    <row r="1537" spans="1:12" x14ac:dyDescent="0.3">
      <c r="A1537" s="3">
        <v>45181</v>
      </c>
      <c r="B1537" s="11" t="s">
        <v>3931</v>
      </c>
      <c r="C1537" s="51" t="s">
        <v>3932</v>
      </c>
      <c r="D1537" s="51"/>
      <c r="E1537" s="90" t="s">
        <v>14</v>
      </c>
      <c r="F1537" s="11"/>
      <c r="H1537" s="2">
        <v>150</v>
      </c>
      <c r="I1537" s="2">
        <f t="shared" si="95"/>
        <v>20994.84</v>
      </c>
      <c r="L1537" s="2">
        <f t="shared" si="96"/>
        <v>25.6</v>
      </c>
    </row>
    <row r="1538" spans="1:12" x14ac:dyDescent="0.3">
      <c r="A1538" s="3">
        <v>45181</v>
      </c>
      <c r="B1538" s="11" t="s">
        <v>3148</v>
      </c>
      <c r="C1538" s="51" t="s">
        <v>3854</v>
      </c>
      <c r="D1538" s="51"/>
      <c r="F1538" s="11"/>
      <c r="H1538" s="2">
        <v>10000</v>
      </c>
      <c r="I1538" s="2">
        <f t="shared" si="95"/>
        <v>10994.84</v>
      </c>
      <c r="L1538" s="2">
        <f t="shared" si="96"/>
        <v>20</v>
      </c>
    </row>
    <row r="1539" spans="1:12" x14ac:dyDescent="0.3">
      <c r="A1539" s="3">
        <v>45181</v>
      </c>
      <c r="B1539" s="11" t="s">
        <v>3148</v>
      </c>
      <c r="C1539" s="51" t="s">
        <v>3934</v>
      </c>
      <c r="D1539" s="51"/>
      <c r="F1539" s="11"/>
      <c r="G1539" s="2">
        <v>100</v>
      </c>
      <c r="I1539" s="2">
        <f t="shared" si="95"/>
        <v>11094.84</v>
      </c>
      <c r="L1539" s="2">
        <f t="shared" si="96"/>
        <v>0.4</v>
      </c>
    </row>
    <row r="1540" spans="1:12" x14ac:dyDescent="0.3">
      <c r="A1540" s="3">
        <v>45182</v>
      </c>
      <c r="B1540" s="11" t="s">
        <v>3766</v>
      </c>
      <c r="C1540" s="51" t="s">
        <v>3761</v>
      </c>
      <c r="D1540" s="51"/>
      <c r="F1540" s="11"/>
      <c r="H1540" s="2">
        <v>5000</v>
      </c>
      <c r="I1540" s="2">
        <f t="shared" si="95"/>
        <v>6094.84</v>
      </c>
      <c r="L1540" s="2">
        <f t="shared" si="96"/>
        <v>20</v>
      </c>
    </row>
    <row r="1541" spans="1:12" x14ac:dyDescent="0.3">
      <c r="A1541" s="3">
        <v>45182</v>
      </c>
      <c r="B1541" s="11" t="s">
        <v>1472</v>
      </c>
      <c r="C1541" s="51" t="s">
        <v>3514</v>
      </c>
      <c r="D1541" s="51"/>
      <c r="F1541" s="11"/>
      <c r="G1541" s="2">
        <v>4400</v>
      </c>
      <c r="I1541" s="2">
        <f t="shared" si="95"/>
        <v>10494.84</v>
      </c>
      <c r="L1541" s="2">
        <f t="shared" si="96"/>
        <v>17.600000000000001</v>
      </c>
    </row>
    <row r="1542" spans="1:12" x14ac:dyDescent="0.3">
      <c r="A1542" s="3">
        <v>45182</v>
      </c>
      <c r="B1542" s="11" t="s">
        <v>3782</v>
      </c>
      <c r="C1542" s="51" t="s">
        <v>3783</v>
      </c>
      <c r="D1542" s="51"/>
      <c r="F1542" s="11"/>
      <c r="H1542" s="2">
        <v>2500</v>
      </c>
      <c r="I1542" s="2">
        <f t="shared" si="95"/>
        <v>7994.84</v>
      </c>
      <c r="L1542" s="2">
        <f t="shared" si="96"/>
        <v>10</v>
      </c>
    </row>
    <row r="1543" spans="1:12" x14ac:dyDescent="0.3">
      <c r="A1543" s="3">
        <v>45182</v>
      </c>
      <c r="B1543" s="11" t="s">
        <v>3456</v>
      </c>
      <c r="C1543" s="51"/>
      <c r="D1543" s="51"/>
      <c r="F1543" s="11"/>
      <c r="G1543" s="2">
        <v>1000</v>
      </c>
      <c r="I1543" s="2">
        <f t="shared" si="95"/>
        <v>8994.84</v>
      </c>
      <c r="L1543" s="2">
        <f t="shared" si="96"/>
        <v>4</v>
      </c>
    </row>
    <row r="1544" spans="1:12" x14ac:dyDescent="0.3">
      <c r="A1544" s="3">
        <v>45182</v>
      </c>
      <c r="B1544" s="11" t="s">
        <v>3541</v>
      </c>
      <c r="C1544" s="51" t="s">
        <v>3673</v>
      </c>
      <c r="D1544" s="51"/>
      <c r="F1544" s="11"/>
      <c r="G1544" s="2">
        <v>700</v>
      </c>
      <c r="I1544" s="2">
        <f t="shared" si="95"/>
        <v>9694.84</v>
      </c>
      <c r="L1544" s="2">
        <f t="shared" si="96"/>
        <v>2.8000000000000003</v>
      </c>
    </row>
    <row r="1545" spans="1:12" x14ac:dyDescent="0.3">
      <c r="A1545" s="3">
        <v>45183</v>
      </c>
      <c r="B1545" s="11" t="s">
        <v>3935</v>
      </c>
      <c r="C1545" s="51" t="s">
        <v>3936</v>
      </c>
      <c r="D1545" s="51"/>
      <c r="F1545" s="11"/>
      <c r="G1545" s="2">
        <v>5000</v>
      </c>
      <c r="I1545" s="2">
        <f t="shared" si="95"/>
        <v>14694.84</v>
      </c>
      <c r="L1545" s="2">
        <f t="shared" si="96"/>
        <v>20</v>
      </c>
    </row>
    <row r="1546" spans="1:12" x14ac:dyDescent="0.3">
      <c r="A1546" s="3">
        <v>45183</v>
      </c>
      <c r="B1546" s="11" t="s">
        <v>3937</v>
      </c>
      <c r="C1546" s="51" t="s">
        <v>3938</v>
      </c>
      <c r="D1546" s="51"/>
      <c r="E1546" s="90" t="s">
        <v>16</v>
      </c>
      <c r="F1546" s="11"/>
      <c r="H1546" s="2">
        <v>500</v>
      </c>
      <c r="I1546" s="2">
        <f t="shared" si="95"/>
        <v>14194.84</v>
      </c>
      <c r="L1546" s="2">
        <f t="shared" si="96"/>
        <v>27</v>
      </c>
    </row>
    <row r="1547" spans="1:12" x14ac:dyDescent="0.3">
      <c r="A1547" s="3">
        <v>45183</v>
      </c>
      <c r="B1547" s="11" t="s">
        <v>1160</v>
      </c>
      <c r="C1547" s="51" t="s">
        <v>3941</v>
      </c>
      <c r="D1547" s="51"/>
      <c r="F1547" s="11"/>
      <c r="G1547" s="2">
        <v>2500</v>
      </c>
      <c r="I1547" s="2">
        <f t="shared" si="95"/>
        <v>16694.84</v>
      </c>
      <c r="L1547" s="2">
        <f t="shared" si="96"/>
        <v>10</v>
      </c>
    </row>
    <row r="1548" spans="1:12" x14ac:dyDescent="0.3">
      <c r="A1548" s="3">
        <v>45184</v>
      </c>
      <c r="B1548" s="11" t="s">
        <v>3945</v>
      </c>
      <c r="C1548" s="51" t="s">
        <v>3948</v>
      </c>
      <c r="D1548" s="51"/>
      <c r="E1548" s="90" t="s">
        <v>16</v>
      </c>
      <c r="F1548" s="11"/>
      <c r="H1548" s="2">
        <v>200</v>
      </c>
      <c r="I1548" s="2">
        <f t="shared" si="95"/>
        <v>16494.84</v>
      </c>
      <c r="L1548" s="2">
        <f t="shared" si="96"/>
        <v>25.8</v>
      </c>
    </row>
    <row r="1549" spans="1:12" x14ac:dyDescent="0.3">
      <c r="A1549" s="3">
        <v>45185</v>
      </c>
      <c r="B1549" s="11" t="s">
        <v>3913</v>
      </c>
      <c r="C1549" s="51" t="s">
        <v>3947</v>
      </c>
      <c r="D1549" s="51"/>
      <c r="F1549" s="11"/>
      <c r="H1549" s="2">
        <v>4000</v>
      </c>
      <c r="I1549" s="2">
        <f t="shared" si="95"/>
        <v>12494.84</v>
      </c>
      <c r="L1549" s="2">
        <f t="shared" si="96"/>
        <v>16</v>
      </c>
    </row>
    <row r="1550" spans="1:12" x14ac:dyDescent="0.3">
      <c r="A1550" s="3">
        <v>45185</v>
      </c>
      <c r="C1550" s="51" t="s">
        <v>3954</v>
      </c>
      <c r="D1550" s="51"/>
      <c r="F1550" s="11"/>
      <c r="G1550" s="2">
        <v>472.08</v>
      </c>
      <c r="I1550" s="2">
        <f t="shared" si="95"/>
        <v>12966.92</v>
      </c>
    </row>
    <row r="1551" spans="1:12" x14ac:dyDescent="0.3">
      <c r="A1551" s="3">
        <v>46282</v>
      </c>
      <c r="B1551" s="11" t="s">
        <v>3289</v>
      </c>
      <c r="C1551" s="51" t="s">
        <v>3912</v>
      </c>
      <c r="D1551" s="51"/>
      <c r="F1551" s="11"/>
      <c r="G1551" s="2">
        <v>1000</v>
      </c>
      <c r="I1551" s="2">
        <f t="shared" si="95"/>
        <v>13966.92</v>
      </c>
      <c r="L1551" s="2">
        <f t="shared" ref="L1551:L1582" si="97">IF((G1551+H1551)&lt;=5000,(H1551+G1551)*0.004,20)+IF(E1551="Y",25,0)</f>
        <v>4</v>
      </c>
    </row>
    <row r="1552" spans="1:12" x14ac:dyDescent="0.3">
      <c r="A1552" s="3">
        <v>46282</v>
      </c>
      <c r="B1552" s="11" t="s">
        <v>2716</v>
      </c>
      <c r="C1552" s="51" t="s">
        <v>1279</v>
      </c>
      <c r="D1552" s="51"/>
      <c r="F1552" s="11"/>
      <c r="H1552" s="2">
        <v>5000</v>
      </c>
      <c r="I1552" s="2">
        <f t="shared" si="95"/>
        <v>8966.92</v>
      </c>
      <c r="L1552" s="2">
        <f t="shared" si="97"/>
        <v>20</v>
      </c>
    </row>
    <row r="1553" spans="1:20" x14ac:dyDescent="0.3">
      <c r="A1553" s="3">
        <v>45187</v>
      </c>
      <c r="B1553" s="11" t="s">
        <v>3951</v>
      </c>
      <c r="C1553" s="51" t="s">
        <v>3952</v>
      </c>
      <c r="D1553" s="51"/>
      <c r="F1553" s="11"/>
      <c r="G1553" s="2">
        <v>2000</v>
      </c>
      <c r="I1553" s="2">
        <f t="shared" si="95"/>
        <v>10966.92</v>
      </c>
      <c r="L1553" s="2">
        <f t="shared" si="97"/>
        <v>8</v>
      </c>
    </row>
    <row r="1554" spans="1:20" x14ac:dyDescent="0.3">
      <c r="A1554" s="3">
        <v>45187</v>
      </c>
      <c r="B1554" s="11" t="s">
        <v>3953</v>
      </c>
      <c r="C1554" s="51" t="s">
        <v>3896</v>
      </c>
      <c r="D1554" s="51"/>
      <c r="F1554" s="11"/>
      <c r="H1554" s="2">
        <v>1500</v>
      </c>
      <c r="I1554" s="2">
        <f t="shared" si="95"/>
        <v>9466.92</v>
      </c>
      <c r="L1554" s="2">
        <f t="shared" si="97"/>
        <v>6</v>
      </c>
    </row>
    <row r="1555" spans="1:20" x14ac:dyDescent="0.3">
      <c r="A1555" s="3">
        <v>45187</v>
      </c>
      <c r="B1555" s="11" t="s">
        <v>3955</v>
      </c>
      <c r="C1555" s="51" t="s">
        <v>3956</v>
      </c>
      <c r="D1555" s="51"/>
      <c r="E1555" s="90" t="s">
        <v>16</v>
      </c>
      <c r="F1555" s="11"/>
      <c r="H1555" s="2">
        <v>400</v>
      </c>
      <c r="I1555" s="2">
        <f t="shared" si="95"/>
        <v>9066.92</v>
      </c>
      <c r="L1555" s="2">
        <f t="shared" si="97"/>
        <v>26.6</v>
      </c>
    </row>
    <row r="1556" spans="1:20" x14ac:dyDescent="0.3">
      <c r="A1556" s="3">
        <v>45188</v>
      </c>
      <c r="B1556" s="11" t="s">
        <v>2594</v>
      </c>
      <c r="C1556" s="51" t="s">
        <v>1593</v>
      </c>
      <c r="D1556" s="51"/>
      <c r="F1556" s="11"/>
      <c r="G1556" s="2">
        <v>1000</v>
      </c>
      <c r="I1556" s="2">
        <f t="shared" ref="I1556:I1590" si="98">I1555+G1556-H1556</f>
        <v>10066.92</v>
      </c>
      <c r="L1556" s="2">
        <f t="shared" si="97"/>
        <v>4</v>
      </c>
    </row>
    <row r="1557" spans="1:20" x14ac:dyDescent="0.3">
      <c r="A1557" s="3">
        <v>45188</v>
      </c>
      <c r="B1557" s="11" t="s">
        <v>3369</v>
      </c>
      <c r="C1557" s="51" t="s">
        <v>1593</v>
      </c>
      <c r="D1557" s="51"/>
      <c r="F1557" s="11"/>
      <c r="G1557" s="2">
        <v>2500</v>
      </c>
      <c r="I1557" s="2">
        <f t="shared" si="98"/>
        <v>12566.92</v>
      </c>
      <c r="L1557" s="2">
        <f t="shared" si="97"/>
        <v>10</v>
      </c>
    </row>
    <row r="1558" spans="1:20" x14ac:dyDescent="0.3">
      <c r="A1558" s="3">
        <v>45188</v>
      </c>
      <c r="B1558" s="11" t="s">
        <v>1250</v>
      </c>
      <c r="C1558" s="51" t="s">
        <v>3957</v>
      </c>
      <c r="D1558" s="51"/>
      <c r="F1558" s="11"/>
      <c r="H1558" s="2">
        <v>10000</v>
      </c>
      <c r="I1558" s="2">
        <f t="shared" si="98"/>
        <v>2566.92</v>
      </c>
      <c r="L1558" s="2">
        <f t="shared" si="97"/>
        <v>20</v>
      </c>
    </row>
    <row r="1559" spans="1:20" x14ac:dyDescent="0.3">
      <c r="A1559" s="3">
        <v>45188</v>
      </c>
      <c r="B1559" s="11" t="s">
        <v>3958</v>
      </c>
      <c r="C1559" s="51" t="s">
        <v>181</v>
      </c>
      <c r="D1559" s="51"/>
      <c r="F1559" s="11"/>
      <c r="H1559" s="2">
        <v>200</v>
      </c>
      <c r="I1559" s="2">
        <f t="shared" si="98"/>
        <v>2366.92</v>
      </c>
      <c r="L1559" s="2">
        <f t="shared" si="97"/>
        <v>0.8</v>
      </c>
    </row>
    <row r="1560" spans="1:20" x14ac:dyDescent="0.3">
      <c r="A1560" s="3">
        <v>45188</v>
      </c>
      <c r="B1560" s="11" t="s">
        <v>3959</v>
      </c>
      <c r="C1560" s="51" t="s">
        <v>3960</v>
      </c>
      <c r="D1560" s="51"/>
      <c r="F1560" s="11"/>
      <c r="G1560" s="2">
        <v>5000</v>
      </c>
      <c r="I1560" s="2">
        <f t="shared" si="98"/>
        <v>7366.92</v>
      </c>
      <c r="L1560" s="2">
        <f t="shared" si="97"/>
        <v>20</v>
      </c>
    </row>
    <row r="1561" spans="1:20" x14ac:dyDescent="0.3">
      <c r="A1561" s="3">
        <v>45189</v>
      </c>
      <c r="B1561" s="11" t="s">
        <v>3963</v>
      </c>
      <c r="C1561" s="51" t="s">
        <v>3964</v>
      </c>
      <c r="D1561" s="51"/>
      <c r="E1561" s="90" t="s">
        <v>16</v>
      </c>
      <c r="F1561" s="11"/>
      <c r="H1561" s="2">
        <v>100</v>
      </c>
      <c r="I1561" s="2">
        <f t="shared" si="98"/>
        <v>7266.92</v>
      </c>
      <c r="L1561" s="2">
        <f t="shared" si="97"/>
        <v>25.4</v>
      </c>
    </row>
    <row r="1562" spans="1:20" x14ac:dyDescent="0.3">
      <c r="A1562" s="3">
        <v>45189</v>
      </c>
      <c r="B1562" s="11" t="s">
        <v>2448</v>
      </c>
      <c r="C1562" s="51" t="s">
        <v>1253</v>
      </c>
      <c r="D1562" s="51"/>
      <c r="F1562" s="11"/>
      <c r="H1562" s="2">
        <v>6000</v>
      </c>
      <c r="I1562" s="2">
        <f t="shared" si="98"/>
        <v>1266.92</v>
      </c>
      <c r="L1562" s="2">
        <f t="shared" si="97"/>
        <v>20</v>
      </c>
    </row>
    <row r="1563" spans="1:20" x14ac:dyDescent="0.3">
      <c r="A1563" s="3">
        <v>45189</v>
      </c>
      <c r="B1563" s="11" t="s">
        <v>3544</v>
      </c>
      <c r="C1563" s="51" t="s">
        <v>3268</v>
      </c>
      <c r="D1563" s="51"/>
      <c r="F1563" s="11"/>
      <c r="G1563" s="2">
        <v>2000</v>
      </c>
      <c r="I1563" s="2">
        <f t="shared" si="98"/>
        <v>3266.92</v>
      </c>
      <c r="L1563" s="2">
        <f t="shared" si="97"/>
        <v>8</v>
      </c>
    </row>
    <row r="1564" spans="1:20" x14ac:dyDescent="0.3">
      <c r="A1564" s="3">
        <v>45189</v>
      </c>
      <c r="B1564" s="11" t="s">
        <v>3232</v>
      </c>
      <c r="C1564" s="51" t="s">
        <v>3617</v>
      </c>
      <c r="D1564" s="51"/>
      <c r="F1564" s="11"/>
      <c r="G1564" s="2">
        <v>1000</v>
      </c>
      <c r="I1564" s="2">
        <f t="shared" si="98"/>
        <v>4266.92</v>
      </c>
      <c r="L1564" s="2">
        <f t="shared" si="97"/>
        <v>4</v>
      </c>
    </row>
    <row r="1565" spans="1:20" x14ac:dyDescent="0.3">
      <c r="A1565" s="3">
        <v>45189</v>
      </c>
      <c r="B1565" s="11" t="s">
        <v>1160</v>
      </c>
      <c r="C1565" s="51" t="s">
        <v>3973</v>
      </c>
      <c r="D1565" s="51"/>
      <c r="F1565" s="11"/>
      <c r="G1565" s="2">
        <v>2000</v>
      </c>
      <c r="I1565" s="2">
        <f t="shared" si="98"/>
        <v>6266.92</v>
      </c>
      <c r="L1565" s="2">
        <f t="shared" si="97"/>
        <v>8</v>
      </c>
      <c r="T1565">
        <f>2500+4800+1300</f>
        <v>8600</v>
      </c>
    </row>
    <row r="1566" spans="1:20" x14ac:dyDescent="0.3">
      <c r="A1566" s="3">
        <v>45189</v>
      </c>
      <c r="B1566" s="11" t="s">
        <v>3967</v>
      </c>
      <c r="C1566" s="51" t="s">
        <v>3968</v>
      </c>
      <c r="D1566" s="51"/>
      <c r="E1566" s="90" t="s">
        <v>16</v>
      </c>
      <c r="F1566" s="11"/>
      <c r="H1566" s="2">
        <v>100</v>
      </c>
      <c r="I1566" s="2">
        <f t="shared" si="98"/>
        <v>6166.92</v>
      </c>
      <c r="L1566" s="2">
        <f t="shared" si="97"/>
        <v>25.4</v>
      </c>
    </row>
    <row r="1567" spans="1:20" x14ac:dyDescent="0.3">
      <c r="A1567" s="3">
        <v>45189</v>
      </c>
      <c r="B1567" s="11" t="s">
        <v>3969</v>
      </c>
      <c r="C1567" s="51" t="s">
        <v>1846</v>
      </c>
      <c r="D1567" s="51"/>
      <c r="E1567" s="90" t="s">
        <v>16</v>
      </c>
      <c r="F1567" s="11"/>
      <c r="H1567" s="2">
        <v>100</v>
      </c>
      <c r="I1567" s="2">
        <f t="shared" si="98"/>
        <v>6066.92</v>
      </c>
      <c r="L1567" s="2">
        <f t="shared" si="97"/>
        <v>25.4</v>
      </c>
    </row>
    <row r="1568" spans="1:20" x14ac:dyDescent="0.3">
      <c r="A1568" s="3">
        <v>45189</v>
      </c>
      <c r="B1568" s="11" t="s">
        <v>3648</v>
      </c>
      <c r="C1568" s="50" t="s">
        <v>3974</v>
      </c>
      <c r="D1568" s="51"/>
      <c r="F1568" s="11"/>
      <c r="G1568" s="2">
        <v>1200</v>
      </c>
      <c r="I1568" s="2">
        <f t="shared" si="98"/>
        <v>7266.92</v>
      </c>
      <c r="L1568" s="2">
        <f t="shared" si="97"/>
        <v>4.8</v>
      </c>
    </row>
    <row r="1569" spans="1:17" x14ac:dyDescent="0.3">
      <c r="A1569" s="3">
        <v>45189</v>
      </c>
      <c r="B1569" s="11" t="s">
        <v>3849</v>
      </c>
      <c r="C1569" s="50" t="s">
        <v>3974</v>
      </c>
      <c r="D1569" s="51"/>
      <c r="F1569" s="11"/>
      <c r="H1569" s="2">
        <v>5000</v>
      </c>
      <c r="I1569" s="2">
        <f t="shared" si="98"/>
        <v>2266.92</v>
      </c>
      <c r="L1569" s="2">
        <f t="shared" si="97"/>
        <v>20</v>
      </c>
    </row>
    <row r="1570" spans="1:17" x14ac:dyDescent="0.3">
      <c r="A1570" s="3">
        <v>45190</v>
      </c>
      <c r="B1570" s="11" t="s">
        <v>2241</v>
      </c>
      <c r="C1570" s="51" t="s">
        <v>3975</v>
      </c>
      <c r="D1570" s="51"/>
      <c r="F1570" s="11"/>
      <c r="G1570" s="2">
        <v>4000</v>
      </c>
      <c r="I1570" s="2">
        <f t="shared" si="98"/>
        <v>6266.92</v>
      </c>
      <c r="L1570" s="2">
        <f t="shared" si="97"/>
        <v>16</v>
      </c>
    </row>
    <row r="1571" spans="1:17" x14ac:dyDescent="0.3">
      <c r="A1571" s="3">
        <v>45190</v>
      </c>
      <c r="B1571" s="11" t="s">
        <v>2448</v>
      </c>
      <c r="C1571" s="51" t="s">
        <v>3976</v>
      </c>
      <c r="D1571" s="51"/>
      <c r="F1571" s="11"/>
      <c r="H1571" s="2">
        <v>6000</v>
      </c>
      <c r="I1571" s="2">
        <f t="shared" si="98"/>
        <v>266.92000000000007</v>
      </c>
      <c r="L1571" s="2">
        <f t="shared" si="97"/>
        <v>20</v>
      </c>
    </row>
    <row r="1572" spans="1:17" x14ac:dyDescent="0.3">
      <c r="A1572" s="3">
        <v>45190</v>
      </c>
      <c r="B1572" s="11" t="s">
        <v>1160</v>
      </c>
      <c r="C1572" s="51" t="s">
        <v>3977</v>
      </c>
      <c r="D1572" s="51"/>
      <c r="F1572" s="11"/>
      <c r="G1572" s="2">
        <v>2000</v>
      </c>
      <c r="I1572" s="2">
        <f t="shared" si="98"/>
        <v>2266.92</v>
      </c>
      <c r="L1572" s="2">
        <f t="shared" si="97"/>
        <v>8</v>
      </c>
    </row>
    <row r="1573" spans="1:17" x14ac:dyDescent="0.3">
      <c r="A1573" s="3">
        <v>45191</v>
      </c>
      <c r="B1573" s="11" t="s">
        <v>3148</v>
      </c>
      <c r="C1573" s="51" t="s">
        <v>2190</v>
      </c>
      <c r="D1573" s="51" t="s">
        <v>2610</v>
      </c>
      <c r="F1573" s="11"/>
      <c r="G1573" s="2">
        <v>4000</v>
      </c>
      <c r="I1573" s="2">
        <f t="shared" si="98"/>
        <v>6266.92</v>
      </c>
      <c r="L1573" s="2">
        <f t="shared" si="97"/>
        <v>16</v>
      </c>
    </row>
    <row r="1574" spans="1:17" x14ac:dyDescent="0.3">
      <c r="A1574" s="3">
        <v>45191</v>
      </c>
      <c r="B1574" s="11" t="s">
        <v>3782</v>
      </c>
      <c r="C1574" s="51" t="s">
        <v>3783</v>
      </c>
      <c r="D1574" s="51"/>
      <c r="F1574" s="11"/>
      <c r="G1574" s="2">
        <v>1500</v>
      </c>
      <c r="I1574" s="2">
        <f t="shared" si="98"/>
        <v>7766.92</v>
      </c>
      <c r="L1574" s="2">
        <f t="shared" si="97"/>
        <v>6</v>
      </c>
    </row>
    <row r="1575" spans="1:17" x14ac:dyDescent="0.3">
      <c r="A1575" s="3">
        <v>45191</v>
      </c>
      <c r="C1575" s="51" t="s">
        <v>3670</v>
      </c>
      <c r="D1575" s="51"/>
      <c r="F1575" s="11"/>
      <c r="G1575" s="2">
        <v>10000</v>
      </c>
      <c r="I1575" s="2">
        <f t="shared" si="98"/>
        <v>17766.919999999998</v>
      </c>
      <c r="L1575" s="2">
        <f t="shared" si="97"/>
        <v>20</v>
      </c>
      <c r="Q1575">
        <v>5</v>
      </c>
    </row>
    <row r="1576" spans="1:17" x14ac:dyDescent="0.3">
      <c r="A1576" s="3">
        <v>45191</v>
      </c>
      <c r="B1576" s="11" t="s">
        <v>2716</v>
      </c>
      <c r="C1576" s="51" t="s">
        <v>1279</v>
      </c>
      <c r="D1576" s="51"/>
      <c r="F1576" s="11"/>
      <c r="H1576" s="2">
        <v>10000</v>
      </c>
      <c r="I1576" s="2">
        <f t="shared" si="98"/>
        <v>7766.9199999999983</v>
      </c>
      <c r="L1576" s="2">
        <f t="shared" si="97"/>
        <v>20</v>
      </c>
    </row>
    <row r="1577" spans="1:17" x14ac:dyDescent="0.3">
      <c r="A1577" s="3">
        <v>45192</v>
      </c>
      <c r="B1577" s="11" t="s">
        <v>1472</v>
      </c>
      <c r="C1577" s="51" t="s">
        <v>2488</v>
      </c>
      <c r="D1577" s="51"/>
      <c r="F1577" s="11"/>
      <c r="G1577" s="2">
        <v>4000</v>
      </c>
      <c r="I1577" s="2">
        <f t="shared" si="98"/>
        <v>11766.919999999998</v>
      </c>
      <c r="L1577" s="2">
        <f t="shared" si="97"/>
        <v>16</v>
      </c>
    </row>
    <row r="1578" spans="1:17" x14ac:dyDescent="0.3">
      <c r="A1578" s="3">
        <v>45192</v>
      </c>
      <c r="B1578" s="11" t="s">
        <v>3913</v>
      </c>
      <c r="C1578" s="51" t="s">
        <v>3986</v>
      </c>
      <c r="D1578" s="51"/>
      <c r="F1578" s="11"/>
      <c r="H1578" s="2">
        <v>2000</v>
      </c>
      <c r="I1578" s="2">
        <f t="shared" si="98"/>
        <v>9766.9199999999983</v>
      </c>
      <c r="L1578" s="2">
        <f t="shared" si="97"/>
        <v>8</v>
      </c>
    </row>
    <row r="1579" spans="1:17" x14ac:dyDescent="0.3">
      <c r="A1579" s="3">
        <v>45192</v>
      </c>
      <c r="B1579" s="11" t="s">
        <v>3981</v>
      </c>
      <c r="C1579" s="51"/>
      <c r="D1579" s="51"/>
      <c r="E1579" s="90" t="s">
        <v>16</v>
      </c>
      <c r="F1579" s="11"/>
      <c r="H1579" s="2">
        <v>100</v>
      </c>
      <c r="I1579" s="2">
        <f t="shared" si="98"/>
        <v>9666.9199999999983</v>
      </c>
      <c r="L1579" s="2">
        <f t="shared" si="97"/>
        <v>25.4</v>
      </c>
    </row>
    <row r="1580" spans="1:17" x14ac:dyDescent="0.3">
      <c r="A1580" s="3">
        <v>45192</v>
      </c>
      <c r="B1580" s="11" t="s">
        <v>3987</v>
      </c>
      <c r="C1580" s="51" t="s">
        <v>3988</v>
      </c>
      <c r="D1580" s="51"/>
      <c r="F1580" s="11"/>
      <c r="G1580" s="2">
        <v>2000</v>
      </c>
      <c r="I1580" s="2">
        <f t="shared" si="98"/>
        <v>11666.919999999998</v>
      </c>
      <c r="L1580" s="2">
        <f t="shared" si="97"/>
        <v>8</v>
      </c>
      <c r="O1580" t="e">
        <f>count</f>
        <v>#NAME?</v>
      </c>
    </row>
    <row r="1581" spans="1:17" x14ac:dyDescent="0.3">
      <c r="A1581" s="3">
        <v>45194</v>
      </c>
      <c r="B1581" s="11" t="s">
        <v>3989</v>
      </c>
      <c r="C1581" s="51" t="s">
        <v>3990</v>
      </c>
      <c r="D1581" s="51"/>
      <c r="F1581" s="11"/>
      <c r="H1581" s="2">
        <v>3500</v>
      </c>
      <c r="I1581" s="2">
        <f t="shared" si="98"/>
        <v>8166.9199999999983</v>
      </c>
      <c r="L1581" s="2">
        <f t="shared" si="97"/>
        <v>14</v>
      </c>
    </row>
    <row r="1582" spans="1:17" x14ac:dyDescent="0.3">
      <c r="A1582" s="3">
        <v>45194</v>
      </c>
      <c r="B1582" s="11" t="s">
        <v>3290</v>
      </c>
      <c r="C1582" s="51" t="s">
        <v>1633</v>
      </c>
      <c r="D1582" s="51"/>
      <c r="F1582" s="11"/>
      <c r="G1582" s="2">
        <v>1000</v>
      </c>
      <c r="I1582" s="2">
        <f t="shared" si="98"/>
        <v>9166.9199999999983</v>
      </c>
      <c r="L1582" s="2">
        <f t="shared" si="97"/>
        <v>4</v>
      </c>
    </row>
    <row r="1583" spans="1:17" x14ac:dyDescent="0.3">
      <c r="A1583" s="3">
        <v>45194</v>
      </c>
      <c r="B1583" s="11" t="s">
        <v>2241</v>
      </c>
      <c r="C1583" s="51" t="s">
        <v>3991</v>
      </c>
      <c r="D1583" s="51"/>
      <c r="F1583" s="11"/>
      <c r="G1583" s="2">
        <v>500</v>
      </c>
      <c r="I1583" s="2">
        <f t="shared" si="98"/>
        <v>9666.9199999999983</v>
      </c>
      <c r="L1583" s="2">
        <f t="shared" ref="L1583:L1603" si="99">IF((G1583+H1583)&lt;=5000,(H1583+G1583)*0.004,20)+IF(E1583="Y",25,0)</f>
        <v>2</v>
      </c>
    </row>
    <row r="1584" spans="1:17" x14ac:dyDescent="0.3">
      <c r="A1584" s="3">
        <v>45194</v>
      </c>
      <c r="B1584" s="11" t="s">
        <v>3788</v>
      </c>
      <c r="C1584" s="51" t="s">
        <v>3992</v>
      </c>
      <c r="D1584" s="51"/>
      <c r="F1584" s="11"/>
      <c r="H1584" s="2">
        <v>6000</v>
      </c>
      <c r="I1584" s="2">
        <f t="shared" si="98"/>
        <v>3666.9199999999983</v>
      </c>
      <c r="L1584" s="2">
        <f t="shared" si="99"/>
        <v>20</v>
      </c>
    </row>
    <row r="1585" spans="1:12" x14ac:dyDescent="0.3">
      <c r="A1585" s="3">
        <v>45195</v>
      </c>
      <c r="B1585" s="11" t="s">
        <v>1160</v>
      </c>
      <c r="C1585" s="51"/>
      <c r="D1585" s="51"/>
      <c r="F1585" s="11"/>
      <c r="G1585" s="2">
        <v>1000</v>
      </c>
      <c r="I1585" s="2">
        <f t="shared" si="98"/>
        <v>4666.9199999999983</v>
      </c>
      <c r="L1585" s="2">
        <f t="shared" si="99"/>
        <v>4</v>
      </c>
    </row>
    <row r="1586" spans="1:12" x14ac:dyDescent="0.3">
      <c r="A1586" s="3">
        <v>45195</v>
      </c>
      <c r="B1586" s="11" t="s">
        <v>3993</v>
      </c>
      <c r="C1586" s="51" t="s">
        <v>193</v>
      </c>
      <c r="D1586" s="51"/>
      <c r="E1586" s="90" t="s">
        <v>16</v>
      </c>
      <c r="F1586" s="11"/>
      <c r="H1586" s="2">
        <v>100</v>
      </c>
      <c r="I1586" s="2">
        <f t="shared" si="98"/>
        <v>4566.9199999999983</v>
      </c>
      <c r="L1586" s="2">
        <f t="shared" si="99"/>
        <v>25.4</v>
      </c>
    </row>
    <row r="1587" spans="1:12" x14ac:dyDescent="0.3">
      <c r="A1587" s="3">
        <v>45195</v>
      </c>
      <c r="B1587" s="11" t="s">
        <v>3996</v>
      </c>
      <c r="C1587" s="51" t="s">
        <v>3997</v>
      </c>
      <c r="D1587" s="51"/>
      <c r="E1587" s="90" t="s">
        <v>16</v>
      </c>
      <c r="F1587" s="11"/>
      <c r="H1587" s="2">
        <v>200</v>
      </c>
      <c r="I1587" s="2">
        <f t="shared" si="98"/>
        <v>4366.9199999999983</v>
      </c>
      <c r="L1587" s="2">
        <f t="shared" si="99"/>
        <v>25.8</v>
      </c>
    </row>
    <row r="1588" spans="1:12" x14ac:dyDescent="0.3">
      <c r="A1588" s="3">
        <v>45195</v>
      </c>
      <c r="B1588" s="11" t="s">
        <v>4000</v>
      </c>
      <c r="C1588" s="51" t="s">
        <v>179</v>
      </c>
      <c r="D1588" s="51"/>
      <c r="F1588" s="11"/>
      <c r="G1588" s="2">
        <v>4000</v>
      </c>
      <c r="I1588" s="2">
        <f t="shared" si="98"/>
        <v>8366.9199999999983</v>
      </c>
      <c r="L1588" s="2">
        <f t="shared" si="99"/>
        <v>16</v>
      </c>
    </row>
    <row r="1589" spans="1:12" x14ac:dyDescent="0.3">
      <c r="A1589" s="3">
        <v>45195</v>
      </c>
      <c r="B1589" s="11" t="s">
        <v>4001</v>
      </c>
      <c r="C1589" s="51" t="s">
        <v>4002</v>
      </c>
      <c r="D1589" s="51"/>
      <c r="E1589" s="90" t="s">
        <v>16</v>
      </c>
      <c r="F1589" s="11"/>
      <c r="H1589" s="2">
        <v>500</v>
      </c>
      <c r="I1589" s="2">
        <f t="shared" si="98"/>
        <v>7866.9199999999983</v>
      </c>
      <c r="L1589" s="2">
        <f t="shared" si="99"/>
        <v>27</v>
      </c>
    </row>
    <row r="1590" spans="1:12" x14ac:dyDescent="0.3">
      <c r="A1590" s="3">
        <v>45195</v>
      </c>
      <c r="B1590" s="11" t="s">
        <v>3870</v>
      </c>
      <c r="C1590" s="51" t="s">
        <v>2285</v>
      </c>
      <c r="D1590" s="51"/>
      <c r="F1590" s="11"/>
      <c r="H1590" s="2">
        <v>1300</v>
      </c>
      <c r="I1590" s="2">
        <f t="shared" si="98"/>
        <v>6566.9199999999983</v>
      </c>
      <c r="L1590" s="2">
        <f t="shared" si="99"/>
        <v>5.2</v>
      </c>
    </row>
    <row r="1591" spans="1:12" x14ac:dyDescent="0.3">
      <c r="A1591" s="3">
        <v>45195</v>
      </c>
      <c r="B1591" s="11" t="s">
        <v>2256</v>
      </c>
      <c r="C1591" s="51" t="s">
        <v>2248</v>
      </c>
      <c r="D1591" s="51"/>
      <c r="F1591" s="11"/>
      <c r="G1591" s="2">
        <v>1000</v>
      </c>
      <c r="I1591" s="2">
        <f>I1590+G1591-H1591</f>
        <v>7566.9199999999983</v>
      </c>
      <c r="L1591" s="2">
        <f t="shared" si="99"/>
        <v>4</v>
      </c>
    </row>
    <row r="1592" spans="1:12" x14ac:dyDescent="0.3">
      <c r="A1592" s="3">
        <v>45196</v>
      </c>
      <c r="B1592" s="11" t="s">
        <v>4005</v>
      </c>
      <c r="C1592" s="51" t="s">
        <v>4006</v>
      </c>
      <c r="D1592" s="51"/>
      <c r="E1592" s="90" t="s">
        <v>16</v>
      </c>
      <c r="F1592" s="11"/>
      <c r="H1592" s="2">
        <v>200</v>
      </c>
      <c r="I1592" s="2">
        <f>I1591+G1592-H1592</f>
        <v>7366.9199999999983</v>
      </c>
      <c r="L1592" s="2">
        <f t="shared" si="99"/>
        <v>25.8</v>
      </c>
    </row>
    <row r="1593" spans="1:12" x14ac:dyDescent="0.3">
      <c r="A1593" s="3">
        <v>45196</v>
      </c>
      <c r="B1593" s="11" t="s">
        <v>4008</v>
      </c>
      <c r="C1593" s="51" t="s">
        <v>4011</v>
      </c>
      <c r="D1593" s="51"/>
      <c r="E1593" s="90" t="s">
        <v>16</v>
      </c>
      <c r="F1593" s="11"/>
      <c r="H1593" s="2">
        <v>2000</v>
      </c>
      <c r="I1593" s="2">
        <f>I1592+G1593-H1593</f>
        <v>5366.9199999999983</v>
      </c>
      <c r="L1593" s="2">
        <f t="shared" si="99"/>
        <v>33</v>
      </c>
    </row>
    <row r="1594" spans="1:12" x14ac:dyDescent="0.3">
      <c r="A1594" s="3">
        <v>45196</v>
      </c>
      <c r="B1594" s="11" t="s">
        <v>4009</v>
      </c>
      <c r="C1594" s="51" t="s">
        <v>4010</v>
      </c>
      <c r="D1594" s="51"/>
      <c r="F1594" s="11"/>
      <c r="H1594" s="2">
        <v>1500</v>
      </c>
      <c r="I1594" s="2">
        <f>I1593+G1594-H1594</f>
        <v>3866.9199999999983</v>
      </c>
      <c r="L1594" s="2">
        <f t="shared" si="99"/>
        <v>6</v>
      </c>
    </row>
    <row r="1595" spans="1:12" x14ac:dyDescent="0.3">
      <c r="A1595" s="3">
        <v>45196</v>
      </c>
      <c r="B1595" s="11" t="s">
        <v>4012</v>
      </c>
      <c r="C1595" s="51" t="s">
        <v>3167</v>
      </c>
      <c r="D1595" s="51"/>
      <c r="F1595" s="11"/>
      <c r="G1595" s="2">
        <v>4200</v>
      </c>
      <c r="I1595" s="2">
        <f>I1594+G1595-H1595</f>
        <v>8066.9199999999983</v>
      </c>
      <c r="L1595" s="2">
        <f t="shared" si="99"/>
        <v>16.8</v>
      </c>
    </row>
    <row r="1596" spans="1:12" x14ac:dyDescent="0.3">
      <c r="A1596" s="3">
        <v>45196</v>
      </c>
      <c r="B1596" s="11" t="s">
        <v>4014</v>
      </c>
      <c r="C1596" s="51" t="s">
        <v>4015</v>
      </c>
      <c r="D1596" s="51"/>
      <c r="E1596" s="90" t="s">
        <v>16</v>
      </c>
      <c r="F1596" s="11"/>
      <c r="H1596" s="2">
        <v>500</v>
      </c>
      <c r="I1596" s="2">
        <f t="shared" ref="I1596:I1603" si="100">I1595+G1596-H1596</f>
        <v>7566.9199999999983</v>
      </c>
      <c r="L1596" s="2">
        <f t="shared" si="99"/>
        <v>27</v>
      </c>
    </row>
    <row r="1597" spans="1:12" x14ac:dyDescent="0.3">
      <c r="A1597" s="3">
        <v>45196</v>
      </c>
      <c r="B1597" s="11" t="s">
        <v>3870</v>
      </c>
      <c r="C1597" s="51" t="s">
        <v>2285</v>
      </c>
      <c r="D1597" s="51"/>
      <c r="F1597" s="11"/>
      <c r="H1597" s="2">
        <v>990</v>
      </c>
      <c r="I1597" s="2">
        <f t="shared" si="100"/>
        <v>6576.9199999999983</v>
      </c>
      <c r="L1597" s="2">
        <f t="shared" si="99"/>
        <v>3.96</v>
      </c>
    </row>
    <row r="1598" spans="1:12" x14ac:dyDescent="0.3">
      <c r="A1598" s="3">
        <v>45197</v>
      </c>
      <c r="B1598" s="11" t="s">
        <v>2256</v>
      </c>
      <c r="C1598" s="51" t="s">
        <v>2248</v>
      </c>
      <c r="D1598" s="51"/>
      <c r="F1598" s="11"/>
      <c r="G1598" s="2">
        <v>5000</v>
      </c>
      <c r="I1598" s="2">
        <f t="shared" si="100"/>
        <v>11576.919999999998</v>
      </c>
      <c r="L1598" s="2">
        <f t="shared" si="99"/>
        <v>20</v>
      </c>
    </row>
    <row r="1599" spans="1:12" x14ac:dyDescent="0.3">
      <c r="A1599" s="3">
        <v>45197</v>
      </c>
      <c r="B1599" s="11" t="s">
        <v>2448</v>
      </c>
      <c r="C1599" s="51" t="s">
        <v>2274</v>
      </c>
      <c r="D1599" s="51"/>
      <c r="F1599" s="11"/>
      <c r="H1599" s="2">
        <v>7000</v>
      </c>
      <c r="I1599" s="2">
        <f t="shared" si="100"/>
        <v>4576.9199999999983</v>
      </c>
      <c r="L1599" s="2">
        <f t="shared" si="99"/>
        <v>20</v>
      </c>
    </row>
    <row r="1600" spans="1:12" x14ac:dyDescent="0.3">
      <c r="A1600" s="3">
        <v>45197</v>
      </c>
      <c r="B1600" s="11" t="s">
        <v>3871</v>
      </c>
      <c r="C1600" s="51" t="s">
        <v>2347</v>
      </c>
      <c r="D1600" s="51"/>
      <c r="F1600" s="11"/>
      <c r="H1600" s="2">
        <v>100</v>
      </c>
      <c r="I1600" s="2">
        <f t="shared" si="100"/>
        <v>4476.9199999999983</v>
      </c>
      <c r="L1600" s="2">
        <f t="shared" si="99"/>
        <v>0.4</v>
      </c>
    </row>
    <row r="1601" spans="1:14" x14ac:dyDescent="0.3">
      <c r="A1601" s="3">
        <v>45197</v>
      </c>
      <c r="B1601" s="11" t="s">
        <v>1160</v>
      </c>
      <c r="C1601" s="51" t="s">
        <v>4018</v>
      </c>
      <c r="D1601" s="51"/>
      <c r="F1601" s="11"/>
      <c r="G1601" s="2">
        <v>5000</v>
      </c>
      <c r="I1601" s="2">
        <f t="shared" si="100"/>
        <v>9476.9199999999983</v>
      </c>
      <c r="L1601" s="2">
        <f t="shared" si="99"/>
        <v>20</v>
      </c>
    </row>
    <row r="1602" spans="1:14" x14ac:dyDescent="0.3">
      <c r="A1602" s="3">
        <v>45199</v>
      </c>
      <c r="B1602" s="11" t="s">
        <v>3766</v>
      </c>
      <c r="C1602" s="51" t="s">
        <v>3761</v>
      </c>
      <c r="D1602" s="51"/>
      <c r="F1602" s="11"/>
      <c r="H1602" s="2">
        <v>1800</v>
      </c>
      <c r="I1602" s="2">
        <f t="shared" si="100"/>
        <v>7676.9199999999983</v>
      </c>
      <c r="L1602" s="2">
        <f t="shared" si="99"/>
        <v>7.2</v>
      </c>
    </row>
    <row r="1603" spans="1:14" x14ac:dyDescent="0.3">
      <c r="A1603" s="3">
        <v>45199</v>
      </c>
      <c r="B1603" s="11" t="s">
        <v>1250</v>
      </c>
      <c r="C1603" s="51" t="s">
        <v>4020</v>
      </c>
      <c r="D1603" s="51"/>
      <c r="F1603" s="11"/>
      <c r="G1603" s="2">
        <v>1000</v>
      </c>
      <c r="I1603" s="2">
        <f t="shared" si="100"/>
        <v>8676.9199999999983</v>
      </c>
      <c r="L1603" s="2">
        <f t="shared" si="99"/>
        <v>4</v>
      </c>
    </row>
    <row r="1604" spans="1:14" x14ac:dyDescent="0.3">
      <c r="A1604" s="77">
        <f>COUNT(A1382:A1603)</f>
        <v>218</v>
      </c>
      <c r="B1604" s="80"/>
      <c r="C1604" s="112"/>
      <c r="D1604" s="112">
        <f>COUNT(A1502:A1603)</f>
        <v>102</v>
      </c>
      <c r="E1604" s="92">
        <f>COUNTIF(E1503:E1603,"Y")</f>
        <v>21</v>
      </c>
      <c r="F1604" s="77">
        <f>G1604+H1604</f>
        <v>239912.08000000002</v>
      </c>
      <c r="G1604" s="84">
        <f>SUM(G1503:G1603)</f>
        <v>117472.08</v>
      </c>
      <c r="H1604" s="84">
        <f>SUM(H1503:H1603)</f>
        <v>122440</v>
      </c>
      <c r="I1604" s="84"/>
      <c r="J1604" s="80">
        <f>SUM(J1382:J1603)</f>
        <v>0</v>
      </c>
      <c r="K1604" s="80">
        <f>SUM(K1382:K1603)</f>
        <v>0</v>
      </c>
      <c r="L1604" s="84">
        <f>SUM(L1503:L1603)</f>
        <v>1370.76</v>
      </c>
      <c r="M1604" s="77"/>
      <c r="N1604" s="77"/>
    </row>
    <row r="1605" spans="1:14" x14ac:dyDescent="0.3">
      <c r="C1605" s="51"/>
      <c r="D1605" s="51"/>
      <c r="F1605" s="11"/>
    </row>
    <row r="1606" spans="1:14" x14ac:dyDescent="0.3">
      <c r="A1606" s="3">
        <v>47392</v>
      </c>
      <c r="C1606" s="51" t="s">
        <v>2832</v>
      </c>
      <c r="D1606" s="51"/>
      <c r="F1606" s="11"/>
      <c r="G1606" s="2">
        <f>I1603</f>
        <v>8676.9199999999983</v>
      </c>
      <c r="I1606" s="2">
        <f>I1605+G1606-H1606</f>
        <v>8676.9199999999983</v>
      </c>
    </row>
    <row r="1607" spans="1:14" x14ac:dyDescent="0.3">
      <c r="A1607" s="3">
        <v>47392</v>
      </c>
      <c r="B1607" s="11" t="s">
        <v>4021</v>
      </c>
      <c r="C1607" s="51" t="s">
        <v>4022</v>
      </c>
      <c r="D1607" s="51"/>
      <c r="E1607" s="90" t="s">
        <v>16</v>
      </c>
      <c r="F1607" s="11"/>
      <c r="H1607" s="2">
        <v>100</v>
      </c>
      <c r="I1607" s="2">
        <f>I1606+G1607-H1607</f>
        <v>8576.9199999999983</v>
      </c>
      <c r="L1607" s="2">
        <f t="shared" ref="L1607:L1638" si="101">IF((G1607+H1607)&lt;=5000,(H1607+G1607)*0.004,20)+IF(E1607="Y",25,0)</f>
        <v>25.4</v>
      </c>
    </row>
    <row r="1608" spans="1:14" x14ac:dyDescent="0.3">
      <c r="A1608" s="3">
        <v>45201</v>
      </c>
      <c r="B1608" s="11" t="s">
        <v>4027</v>
      </c>
      <c r="C1608" s="51" t="s">
        <v>4028</v>
      </c>
      <c r="D1608" s="51"/>
      <c r="F1608" s="11"/>
      <c r="H1608" s="2">
        <v>1750</v>
      </c>
      <c r="I1608" s="2">
        <f>I1607+G1608-H1608</f>
        <v>6826.9199999999983</v>
      </c>
      <c r="L1608" s="2">
        <f t="shared" si="101"/>
        <v>7</v>
      </c>
    </row>
    <row r="1609" spans="1:14" x14ac:dyDescent="0.3">
      <c r="A1609" s="3">
        <v>45201</v>
      </c>
      <c r="B1609" s="11" t="s">
        <v>1160</v>
      </c>
      <c r="C1609" s="51" t="s">
        <v>4029</v>
      </c>
      <c r="D1609" s="51"/>
      <c r="F1609" s="11"/>
      <c r="G1609" s="2">
        <v>3000</v>
      </c>
      <c r="I1609" s="2">
        <f t="shared" ref="I1609:I1631" si="102">I1608+G1609-H1609</f>
        <v>9826.9199999999983</v>
      </c>
      <c r="L1609" s="2">
        <f t="shared" si="101"/>
        <v>12</v>
      </c>
    </row>
    <row r="1610" spans="1:14" x14ac:dyDescent="0.3">
      <c r="A1610" s="3">
        <v>45201</v>
      </c>
      <c r="B1610" s="11" t="s">
        <v>4030</v>
      </c>
      <c r="C1610" s="51" t="s">
        <v>3732</v>
      </c>
      <c r="D1610" s="51"/>
      <c r="F1610" s="11"/>
      <c r="H1610" s="2">
        <v>300</v>
      </c>
      <c r="I1610" s="2">
        <f t="shared" si="102"/>
        <v>9526.9199999999983</v>
      </c>
      <c r="L1610" s="2">
        <f t="shared" si="101"/>
        <v>1.2</v>
      </c>
    </row>
    <row r="1611" spans="1:14" x14ac:dyDescent="0.3">
      <c r="A1611" s="3">
        <v>45201</v>
      </c>
      <c r="B1611" s="11" t="s">
        <v>3289</v>
      </c>
      <c r="C1611" s="51" t="s">
        <v>2734</v>
      </c>
      <c r="D1611" s="51"/>
      <c r="F1611" s="11"/>
      <c r="G1611" s="2">
        <v>500</v>
      </c>
      <c r="I1611" s="2">
        <f t="shared" si="102"/>
        <v>10026.919999999998</v>
      </c>
      <c r="L1611" s="2">
        <f t="shared" si="101"/>
        <v>2</v>
      </c>
    </row>
    <row r="1612" spans="1:14" x14ac:dyDescent="0.3">
      <c r="A1612" s="3">
        <v>45201</v>
      </c>
      <c r="B1612" s="11" t="s">
        <v>4031</v>
      </c>
      <c r="C1612" s="51" t="s">
        <v>4032</v>
      </c>
      <c r="D1612" s="51"/>
      <c r="F1612" s="11"/>
      <c r="H1612" s="2">
        <v>1300</v>
      </c>
      <c r="I1612" s="2">
        <f t="shared" si="102"/>
        <v>8726.9199999999983</v>
      </c>
      <c r="L1612" s="2">
        <f t="shared" si="101"/>
        <v>5.2</v>
      </c>
    </row>
    <row r="1613" spans="1:14" x14ac:dyDescent="0.3">
      <c r="A1613" s="3">
        <v>45202</v>
      </c>
      <c r="B1613" s="11" t="s">
        <v>1472</v>
      </c>
      <c r="C1613" s="51" t="s">
        <v>2488</v>
      </c>
      <c r="D1613" s="51"/>
      <c r="F1613" s="11"/>
      <c r="G1613" s="2">
        <v>5000</v>
      </c>
      <c r="I1613" s="2">
        <f t="shared" si="102"/>
        <v>13726.919999999998</v>
      </c>
      <c r="L1613" s="2">
        <f t="shared" si="101"/>
        <v>20</v>
      </c>
    </row>
    <row r="1614" spans="1:14" x14ac:dyDescent="0.3">
      <c r="A1614" s="3">
        <v>45202</v>
      </c>
      <c r="B1614" s="11" t="s">
        <v>1472</v>
      </c>
      <c r="C1614" s="51" t="s">
        <v>4033</v>
      </c>
      <c r="D1614" s="51"/>
      <c r="F1614" s="11"/>
      <c r="G1614" s="2">
        <v>1000</v>
      </c>
      <c r="I1614" s="2">
        <f t="shared" si="102"/>
        <v>14726.919999999998</v>
      </c>
      <c r="L1614" s="2">
        <f t="shared" si="101"/>
        <v>4</v>
      </c>
    </row>
    <row r="1615" spans="1:14" x14ac:dyDescent="0.3">
      <c r="A1615" s="3">
        <v>45203</v>
      </c>
      <c r="B1615" s="11" t="s">
        <v>2689</v>
      </c>
      <c r="C1615" s="51" t="s">
        <v>1279</v>
      </c>
      <c r="D1615" s="51"/>
      <c r="F1615" s="11"/>
      <c r="H1615" s="2">
        <v>5000</v>
      </c>
      <c r="I1615" s="2">
        <f t="shared" si="102"/>
        <v>9726.9199999999983</v>
      </c>
      <c r="L1615" s="2">
        <f t="shared" si="101"/>
        <v>20</v>
      </c>
    </row>
    <row r="1616" spans="1:14" x14ac:dyDescent="0.3">
      <c r="A1616" s="3">
        <v>45203</v>
      </c>
      <c r="B1616" s="11" t="s">
        <v>4030</v>
      </c>
      <c r="C1616" s="51" t="s">
        <v>3732</v>
      </c>
      <c r="D1616" s="51"/>
      <c r="F1616" s="11"/>
      <c r="H1616" s="2">
        <v>1300</v>
      </c>
      <c r="I1616" s="2">
        <f t="shared" si="102"/>
        <v>8426.9199999999983</v>
      </c>
      <c r="L1616" s="2">
        <f t="shared" si="101"/>
        <v>5.2</v>
      </c>
    </row>
    <row r="1617" spans="1:12" x14ac:dyDescent="0.3">
      <c r="A1617" s="3">
        <v>45203</v>
      </c>
      <c r="B1617" s="11" t="s">
        <v>2651</v>
      </c>
      <c r="C1617" s="51" t="s">
        <v>2487</v>
      </c>
      <c r="D1617" s="51"/>
      <c r="F1617" s="11"/>
      <c r="H1617" s="2">
        <v>1000</v>
      </c>
      <c r="I1617" s="2">
        <f t="shared" si="102"/>
        <v>7426.9199999999983</v>
      </c>
      <c r="L1617" s="2">
        <f t="shared" si="101"/>
        <v>4</v>
      </c>
    </row>
    <row r="1618" spans="1:12" x14ac:dyDescent="0.3">
      <c r="A1618" s="3">
        <v>45203</v>
      </c>
      <c r="B1618" s="11" t="s">
        <v>3870</v>
      </c>
      <c r="C1618" s="51"/>
      <c r="D1618" s="51"/>
      <c r="F1618" s="11"/>
      <c r="H1618" s="2">
        <v>1100</v>
      </c>
      <c r="I1618" s="2">
        <f t="shared" si="102"/>
        <v>6326.9199999999983</v>
      </c>
      <c r="L1618" s="2">
        <f t="shared" si="101"/>
        <v>4.4000000000000004</v>
      </c>
    </row>
    <row r="1619" spans="1:12" x14ac:dyDescent="0.3">
      <c r="A1619" s="3">
        <v>45204</v>
      </c>
      <c r="B1619" s="11" t="s">
        <v>3289</v>
      </c>
      <c r="C1619" s="51" t="s">
        <v>2734</v>
      </c>
      <c r="D1619" s="51"/>
      <c r="F1619" s="11"/>
      <c r="H1619" s="2">
        <v>2500</v>
      </c>
      <c r="I1619" s="2">
        <f t="shared" si="102"/>
        <v>3826.9199999999983</v>
      </c>
      <c r="L1619" s="2">
        <f t="shared" si="101"/>
        <v>10</v>
      </c>
    </row>
    <row r="1620" spans="1:12" x14ac:dyDescent="0.3">
      <c r="A1620" s="3">
        <v>45204</v>
      </c>
      <c r="B1620" s="11" t="s">
        <v>1160</v>
      </c>
      <c r="C1620" s="51" t="s">
        <v>3362</v>
      </c>
      <c r="D1620" s="51"/>
      <c r="F1620" s="11"/>
      <c r="G1620" s="2">
        <v>1000</v>
      </c>
      <c r="I1620" s="2">
        <f t="shared" si="102"/>
        <v>4826.9199999999983</v>
      </c>
      <c r="L1620" s="2">
        <f t="shared" si="101"/>
        <v>4</v>
      </c>
    </row>
    <row r="1621" spans="1:12" x14ac:dyDescent="0.3">
      <c r="A1621" s="3">
        <v>45204</v>
      </c>
      <c r="B1621" s="11" t="s">
        <v>1160</v>
      </c>
      <c r="C1621" s="51" t="s">
        <v>4034</v>
      </c>
      <c r="D1621" s="51"/>
      <c r="F1621" s="11"/>
      <c r="G1621" s="2">
        <v>1000</v>
      </c>
      <c r="I1621" s="2">
        <f t="shared" si="102"/>
        <v>5826.9199999999983</v>
      </c>
      <c r="L1621" s="2">
        <f t="shared" si="101"/>
        <v>4</v>
      </c>
    </row>
    <row r="1622" spans="1:12" x14ac:dyDescent="0.3">
      <c r="A1622" s="3">
        <v>45204</v>
      </c>
      <c r="B1622" s="11" t="s">
        <v>2448</v>
      </c>
      <c r="C1622" s="51" t="s">
        <v>4035</v>
      </c>
      <c r="D1622" s="51"/>
      <c r="F1622" s="11"/>
      <c r="H1622" s="2">
        <v>5000</v>
      </c>
      <c r="I1622" s="2">
        <f t="shared" si="102"/>
        <v>826.91999999999825</v>
      </c>
      <c r="L1622" s="2">
        <f t="shared" si="101"/>
        <v>20</v>
      </c>
    </row>
    <row r="1623" spans="1:12" x14ac:dyDescent="0.3">
      <c r="A1623" s="3">
        <v>45204</v>
      </c>
      <c r="B1623" s="11" t="s">
        <v>1472</v>
      </c>
      <c r="C1623" s="51" t="s">
        <v>2488</v>
      </c>
      <c r="D1623" s="51"/>
      <c r="F1623" s="11"/>
      <c r="G1623" s="2">
        <v>5000</v>
      </c>
      <c r="I1623" s="2">
        <f t="shared" si="102"/>
        <v>5826.9199999999983</v>
      </c>
      <c r="L1623" s="2">
        <f t="shared" si="101"/>
        <v>20</v>
      </c>
    </row>
    <row r="1624" spans="1:12" x14ac:dyDescent="0.3">
      <c r="A1624" s="3">
        <v>45204</v>
      </c>
      <c r="B1624" s="11" t="s">
        <v>4000</v>
      </c>
      <c r="C1624" s="51" t="s">
        <v>4036</v>
      </c>
      <c r="D1624" s="51"/>
      <c r="F1624" s="11"/>
      <c r="G1624" s="2">
        <v>2000</v>
      </c>
      <c r="I1624" s="2">
        <f t="shared" si="102"/>
        <v>7826.9199999999983</v>
      </c>
      <c r="L1624" s="2">
        <f t="shared" si="101"/>
        <v>8</v>
      </c>
    </row>
    <row r="1625" spans="1:12" x14ac:dyDescent="0.3">
      <c r="A1625" s="3">
        <v>45205</v>
      </c>
      <c r="B1625" s="11" t="s">
        <v>1160</v>
      </c>
      <c r="C1625" s="51" t="s">
        <v>4038</v>
      </c>
      <c r="D1625" s="51"/>
      <c r="F1625" s="11"/>
      <c r="G1625" s="2">
        <v>2000</v>
      </c>
      <c r="I1625" s="2">
        <f t="shared" si="102"/>
        <v>9826.9199999999983</v>
      </c>
      <c r="L1625" s="2">
        <f t="shared" si="101"/>
        <v>8</v>
      </c>
    </row>
    <row r="1626" spans="1:12" x14ac:dyDescent="0.3">
      <c r="A1626" s="3">
        <v>45206</v>
      </c>
      <c r="B1626" s="11" t="s">
        <v>4039</v>
      </c>
      <c r="C1626" s="51" t="s">
        <v>1232</v>
      </c>
      <c r="D1626" s="51"/>
      <c r="F1626" s="11"/>
      <c r="H1626" s="2">
        <v>2000</v>
      </c>
      <c r="I1626" s="2">
        <f t="shared" si="102"/>
        <v>7826.9199999999983</v>
      </c>
      <c r="L1626" s="2">
        <f t="shared" si="101"/>
        <v>8</v>
      </c>
    </row>
    <row r="1627" spans="1:12" x14ac:dyDescent="0.3">
      <c r="A1627" s="3">
        <v>45208</v>
      </c>
      <c r="B1627" s="11" t="s">
        <v>1250</v>
      </c>
      <c r="C1627" s="51" t="s">
        <v>4040</v>
      </c>
      <c r="D1627" s="51"/>
      <c r="F1627" s="11"/>
      <c r="G1627" s="2">
        <v>700</v>
      </c>
      <c r="I1627" s="2">
        <f t="shared" si="102"/>
        <v>8526.9199999999983</v>
      </c>
      <c r="L1627" s="2">
        <f t="shared" si="101"/>
        <v>2.8000000000000003</v>
      </c>
    </row>
    <row r="1628" spans="1:12" x14ac:dyDescent="0.3">
      <c r="A1628" s="3">
        <v>45208</v>
      </c>
      <c r="B1628" s="11" t="s">
        <v>1472</v>
      </c>
      <c r="C1628" s="51" t="s">
        <v>4041</v>
      </c>
      <c r="D1628" s="51"/>
      <c r="F1628" s="11"/>
      <c r="G1628" s="2">
        <v>3000</v>
      </c>
      <c r="I1628" s="2">
        <f t="shared" si="102"/>
        <v>11526.919999999998</v>
      </c>
      <c r="L1628" s="2">
        <f t="shared" si="101"/>
        <v>12</v>
      </c>
    </row>
    <row r="1629" spans="1:12" x14ac:dyDescent="0.3">
      <c r="A1629" s="3">
        <v>45208</v>
      </c>
      <c r="B1629" s="11" t="s">
        <v>4042</v>
      </c>
      <c r="C1629" s="51" t="s">
        <v>4043</v>
      </c>
      <c r="D1629" s="51"/>
      <c r="F1629" s="11"/>
      <c r="H1629" s="2">
        <v>500</v>
      </c>
      <c r="I1629" s="2">
        <f t="shared" si="102"/>
        <v>11026.919999999998</v>
      </c>
      <c r="L1629" s="2">
        <f t="shared" si="101"/>
        <v>2</v>
      </c>
    </row>
    <row r="1630" spans="1:12" x14ac:dyDescent="0.3">
      <c r="A1630" s="3">
        <v>45208</v>
      </c>
      <c r="B1630" s="11" t="s">
        <v>3871</v>
      </c>
      <c r="C1630" s="51" t="s">
        <v>2347</v>
      </c>
      <c r="D1630" s="51"/>
      <c r="F1630" s="11"/>
      <c r="H1630" s="2">
        <v>4200</v>
      </c>
      <c r="I1630" s="2">
        <f t="shared" si="102"/>
        <v>6826.9199999999983</v>
      </c>
      <c r="L1630" s="2">
        <f t="shared" si="101"/>
        <v>16.8</v>
      </c>
    </row>
    <row r="1631" spans="1:12" x14ac:dyDescent="0.3">
      <c r="A1631" s="3">
        <v>45208</v>
      </c>
      <c r="B1631" s="11" t="s">
        <v>3870</v>
      </c>
      <c r="C1631" s="51" t="s">
        <v>2186</v>
      </c>
      <c r="D1631" s="51"/>
      <c r="F1631" s="11"/>
      <c r="H1631" s="2">
        <v>4200</v>
      </c>
      <c r="I1631" s="2">
        <f t="shared" si="102"/>
        <v>2626.9199999999983</v>
      </c>
      <c r="L1631" s="2">
        <f t="shared" si="101"/>
        <v>16.8</v>
      </c>
    </row>
    <row r="1632" spans="1:12" x14ac:dyDescent="0.3">
      <c r="A1632" s="3">
        <v>45208</v>
      </c>
      <c r="B1632" s="11" t="s">
        <v>4039</v>
      </c>
      <c r="C1632" s="51" t="s">
        <v>1232</v>
      </c>
      <c r="D1632" s="51"/>
      <c r="F1632" s="11"/>
      <c r="H1632" s="2">
        <v>2000</v>
      </c>
      <c r="I1632" s="2">
        <f t="shared" ref="I1632:I1668" si="103">I1631+G1632-H1632</f>
        <v>626.91999999999825</v>
      </c>
      <c r="L1632" s="2">
        <f t="shared" si="101"/>
        <v>8</v>
      </c>
    </row>
    <row r="1633" spans="1:12" x14ac:dyDescent="0.3">
      <c r="A1633" s="3">
        <v>45208</v>
      </c>
      <c r="B1633" s="11" t="s">
        <v>2241</v>
      </c>
      <c r="C1633" s="51" t="s">
        <v>4044</v>
      </c>
      <c r="D1633" s="51"/>
      <c r="F1633" s="11"/>
      <c r="G1633" s="2">
        <v>500</v>
      </c>
      <c r="I1633" s="2">
        <f t="shared" si="103"/>
        <v>1126.9199999999983</v>
      </c>
      <c r="L1633" s="2">
        <f t="shared" si="101"/>
        <v>2</v>
      </c>
    </row>
    <row r="1634" spans="1:12" x14ac:dyDescent="0.3">
      <c r="A1634" s="3">
        <v>45209</v>
      </c>
      <c r="B1634" s="11" t="s">
        <v>3232</v>
      </c>
      <c r="C1634" s="51" t="s">
        <v>2414</v>
      </c>
      <c r="D1634" s="51"/>
      <c r="F1634" s="11"/>
      <c r="G1634" s="2">
        <v>1200</v>
      </c>
      <c r="I1634" s="2">
        <f t="shared" si="103"/>
        <v>2326.9199999999983</v>
      </c>
      <c r="L1634" s="2">
        <f t="shared" si="101"/>
        <v>4.8</v>
      </c>
    </row>
    <row r="1635" spans="1:12" x14ac:dyDescent="0.3">
      <c r="A1635" s="3">
        <v>45209</v>
      </c>
      <c r="B1635" s="11" t="s">
        <v>4046</v>
      </c>
      <c r="C1635" s="51" t="s">
        <v>4047</v>
      </c>
      <c r="D1635" s="51"/>
      <c r="E1635" s="90" t="s">
        <v>14</v>
      </c>
      <c r="F1635" s="11"/>
      <c r="H1635" s="2">
        <v>200</v>
      </c>
      <c r="I1635" s="2">
        <f t="shared" si="103"/>
        <v>2126.9199999999983</v>
      </c>
      <c r="L1635" s="2">
        <f t="shared" si="101"/>
        <v>25.8</v>
      </c>
    </row>
    <row r="1636" spans="1:12" x14ac:dyDescent="0.3">
      <c r="A1636" s="3">
        <v>45209</v>
      </c>
      <c r="B1636" s="11" t="s">
        <v>4048</v>
      </c>
      <c r="C1636" s="51" t="s">
        <v>4049</v>
      </c>
      <c r="D1636" s="51"/>
      <c r="E1636" s="90" t="s">
        <v>14</v>
      </c>
      <c r="F1636" s="11"/>
      <c r="H1636" s="2">
        <v>200</v>
      </c>
      <c r="I1636" s="2">
        <f t="shared" si="103"/>
        <v>1926.9199999999983</v>
      </c>
      <c r="L1636" s="2">
        <f t="shared" si="101"/>
        <v>25.8</v>
      </c>
    </row>
    <row r="1637" spans="1:12" x14ac:dyDescent="0.3">
      <c r="A1637" s="3">
        <v>45210</v>
      </c>
      <c r="B1637" s="11" t="s">
        <v>4055</v>
      </c>
      <c r="C1637" s="50" t="s">
        <v>4057</v>
      </c>
      <c r="E1637" s="90" t="s">
        <v>14</v>
      </c>
      <c r="F1637" s="11"/>
      <c r="H1637" s="2">
        <v>200</v>
      </c>
      <c r="I1637" s="2">
        <f t="shared" si="103"/>
        <v>1726.9199999999983</v>
      </c>
      <c r="L1637" s="2">
        <f t="shared" si="101"/>
        <v>25.8</v>
      </c>
    </row>
    <row r="1638" spans="1:12" x14ac:dyDescent="0.3">
      <c r="A1638" s="3">
        <v>45210</v>
      </c>
      <c r="B1638" s="11" t="s">
        <v>1250</v>
      </c>
      <c r="C1638" s="51" t="s">
        <v>4059</v>
      </c>
      <c r="D1638" s="65"/>
      <c r="F1638" s="11"/>
      <c r="G1638" s="2">
        <v>500</v>
      </c>
      <c r="I1638" s="2">
        <f t="shared" si="103"/>
        <v>2226.9199999999983</v>
      </c>
      <c r="L1638" s="2">
        <f t="shared" si="101"/>
        <v>2</v>
      </c>
    </row>
    <row r="1639" spans="1:12" x14ac:dyDescent="0.3">
      <c r="A1639" s="3">
        <v>45210</v>
      </c>
      <c r="B1639" s="11" t="s">
        <v>3541</v>
      </c>
      <c r="C1639" s="51" t="s">
        <v>4060</v>
      </c>
      <c r="D1639" s="65"/>
      <c r="F1639" s="11"/>
      <c r="G1639" s="2">
        <v>1800</v>
      </c>
      <c r="I1639" s="2">
        <f t="shared" si="103"/>
        <v>4026.9199999999983</v>
      </c>
      <c r="L1639" s="2">
        <f t="shared" ref="L1639:L1666" si="104">IF((G1639+H1639)&lt;=5000,(H1639+G1639)*0.004,20)+IF(E1639="Y",25,0)</f>
        <v>7.2</v>
      </c>
    </row>
    <row r="1640" spans="1:12" x14ac:dyDescent="0.3">
      <c r="A1640" s="3">
        <v>45210</v>
      </c>
      <c r="B1640" s="11" t="s">
        <v>4061</v>
      </c>
      <c r="C1640" s="51" t="s">
        <v>2387</v>
      </c>
      <c r="D1640" s="65"/>
      <c r="F1640" s="11"/>
      <c r="G1640" s="2">
        <v>2500</v>
      </c>
      <c r="I1640" s="2">
        <f t="shared" si="103"/>
        <v>6526.9199999999983</v>
      </c>
      <c r="L1640" s="2">
        <f t="shared" si="104"/>
        <v>10</v>
      </c>
    </row>
    <row r="1641" spans="1:12" x14ac:dyDescent="0.3">
      <c r="A1641" s="3">
        <v>45210</v>
      </c>
      <c r="B1641" s="11" t="s">
        <v>1160</v>
      </c>
      <c r="C1641" s="51" t="s">
        <v>3017</v>
      </c>
      <c r="D1641" s="65"/>
      <c r="F1641" s="11"/>
      <c r="G1641" s="2">
        <v>4050</v>
      </c>
      <c r="I1641" s="2">
        <f t="shared" si="103"/>
        <v>10576.919999999998</v>
      </c>
      <c r="L1641" s="2">
        <f t="shared" si="104"/>
        <v>16.2</v>
      </c>
    </row>
    <row r="1642" spans="1:12" x14ac:dyDescent="0.3">
      <c r="A1642" s="3">
        <v>45210</v>
      </c>
      <c r="B1642" s="11" t="s">
        <v>3870</v>
      </c>
      <c r="C1642" s="51" t="s">
        <v>2186</v>
      </c>
      <c r="D1642" s="65"/>
      <c r="F1642" s="11"/>
      <c r="H1642" s="2">
        <v>1000</v>
      </c>
      <c r="I1642" s="2">
        <f t="shared" si="103"/>
        <v>9576.9199999999983</v>
      </c>
      <c r="L1642" s="2">
        <f t="shared" si="104"/>
        <v>4</v>
      </c>
    </row>
    <row r="1643" spans="1:12" x14ac:dyDescent="0.3">
      <c r="A1643" s="3">
        <v>45210</v>
      </c>
      <c r="B1643" s="11" t="s">
        <v>3871</v>
      </c>
      <c r="C1643" s="51" t="s">
        <v>2347</v>
      </c>
      <c r="D1643" s="65"/>
      <c r="F1643" s="11"/>
      <c r="H1643" s="2">
        <v>1000</v>
      </c>
      <c r="I1643" s="2">
        <f t="shared" si="103"/>
        <v>8576.9199999999983</v>
      </c>
      <c r="L1643" s="2">
        <f t="shared" si="104"/>
        <v>4</v>
      </c>
    </row>
    <row r="1644" spans="1:12" x14ac:dyDescent="0.3">
      <c r="A1644" s="3">
        <v>45211</v>
      </c>
      <c r="B1644" s="11" t="s">
        <v>2448</v>
      </c>
      <c r="C1644" s="51" t="s">
        <v>2274</v>
      </c>
      <c r="D1644" s="65"/>
      <c r="F1644" s="11"/>
      <c r="H1644" s="2">
        <v>8000</v>
      </c>
      <c r="I1644" s="2">
        <f t="shared" si="103"/>
        <v>576.91999999999825</v>
      </c>
      <c r="L1644" s="2">
        <f t="shared" si="104"/>
        <v>20</v>
      </c>
    </row>
    <row r="1645" spans="1:12" x14ac:dyDescent="0.3">
      <c r="A1645" s="3">
        <v>45211</v>
      </c>
      <c r="B1645" s="11" t="s">
        <v>3706</v>
      </c>
      <c r="C1645" s="51" t="s">
        <v>3936</v>
      </c>
      <c r="D1645" s="65">
        <v>9064726847</v>
      </c>
      <c r="F1645" s="11"/>
      <c r="G1645" s="2">
        <v>4050</v>
      </c>
      <c r="I1645" s="2">
        <f t="shared" si="103"/>
        <v>4626.9199999999983</v>
      </c>
      <c r="L1645" s="2">
        <f t="shared" si="104"/>
        <v>16.2</v>
      </c>
    </row>
    <row r="1646" spans="1:12" x14ac:dyDescent="0.3">
      <c r="A1646" s="3">
        <v>45211</v>
      </c>
      <c r="B1646" s="11" t="s">
        <v>1250</v>
      </c>
      <c r="C1646" s="50" t="s">
        <v>4064</v>
      </c>
      <c r="D1646" s="51" t="s">
        <v>4063</v>
      </c>
      <c r="F1646" s="11"/>
      <c r="G1646" s="2">
        <v>10000</v>
      </c>
      <c r="I1646" s="2">
        <f t="shared" si="103"/>
        <v>14626.919999999998</v>
      </c>
      <c r="L1646" s="2">
        <f t="shared" si="104"/>
        <v>20</v>
      </c>
    </row>
    <row r="1647" spans="1:12" x14ac:dyDescent="0.3">
      <c r="A1647" s="3">
        <v>45211</v>
      </c>
      <c r="B1647" s="11" t="s">
        <v>2689</v>
      </c>
      <c r="C1647" s="51" t="s">
        <v>1279</v>
      </c>
      <c r="D1647" s="65"/>
      <c r="F1647" s="11"/>
      <c r="H1647" s="2">
        <v>10000</v>
      </c>
      <c r="I1647" s="2">
        <f t="shared" si="103"/>
        <v>4626.9199999999983</v>
      </c>
      <c r="L1647" s="2">
        <f t="shared" si="104"/>
        <v>20</v>
      </c>
    </row>
    <row r="1648" spans="1:12" x14ac:dyDescent="0.3">
      <c r="A1648" s="3">
        <v>45211</v>
      </c>
      <c r="B1648" s="11" t="s">
        <v>4065</v>
      </c>
      <c r="C1648" s="51" t="s">
        <v>4066</v>
      </c>
      <c r="D1648" s="65">
        <v>7061609236</v>
      </c>
      <c r="F1648" s="11"/>
      <c r="G1648" s="2">
        <v>3000</v>
      </c>
      <c r="I1648" s="2">
        <f t="shared" si="103"/>
        <v>7626.9199999999983</v>
      </c>
      <c r="L1648" s="2">
        <f t="shared" si="104"/>
        <v>12</v>
      </c>
    </row>
    <row r="1649" spans="1:12" x14ac:dyDescent="0.3">
      <c r="A1649" s="3">
        <v>45211</v>
      </c>
      <c r="B1649" s="11" t="s">
        <v>1160</v>
      </c>
      <c r="C1649" s="51" t="s">
        <v>4067</v>
      </c>
      <c r="D1649" s="65">
        <v>9031184509</v>
      </c>
      <c r="F1649" s="11"/>
      <c r="G1649" s="2">
        <v>2000</v>
      </c>
      <c r="I1649" s="2">
        <f t="shared" si="103"/>
        <v>9626.9199999999983</v>
      </c>
      <c r="L1649" s="2">
        <f t="shared" si="104"/>
        <v>8</v>
      </c>
    </row>
    <row r="1650" spans="1:12" x14ac:dyDescent="0.3">
      <c r="A1650" s="3">
        <v>45212</v>
      </c>
      <c r="B1650" s="11" t="s">
        <v>1250</v>
      </c>
      <c r="C1650" s="50" t="s">
        <v>4064</v>
      </c>
      <c r="D1650" s="51" t="s">
        <v>4063</v>
      </c>
      <c r="F1650" s="11"/>
      <c r="G1650" s="2">
        <v>10000</v>
      </c>
      <c r="I1650" s="2">
        <f t="shared" si="103"/>
        <v>19626.919999999998</v>
      </c>
      <c r="L1650" s="2">
        <f t="shared" si="104"/>
        <v>20</v>
      </c>
    </row>
    <row r="1651" spans="1:12" x14ac:dyDescent="0.3">
      <c r="A1651" s="3">
        <v>45212</v>
      </c>
      <c r="B1651" s="11" t="s">
        <v>2689</v>
      </c>
      <c r="C1651" s="51" t="s">
        <v>1279</v>
      </c>
      <c r="D1651" s="65"/>
      <c r="F1651" s="11"/>
      <c r="H1651" s="2">
        <v>10000</v>
      </c>
      <c r="I1651" s="2">
        <f t="shared" si="103"/>
        <v>9626.9199999999983</v>
      </c>
      <c r="L1651" s="2">
        <f t="shared" si="104"/>
        <v>20</v>
      </c>
    </row>
    <row r="1652" spans="1:12" x14ac:dyDescent="0.3">
      <c r="A1652" s="3">
        <v>45212</v>
      </c>
      <c r="B1652" s="11" t="s">
        <v>2448</v>
      </c>
      <c r="C1652" s="51" t="s">
        <v>4068</v>
      </c>
      <c r="D1652" s="65"/>
      <c r="F1652" s="11"/>
      <c r="H1652" s="2">
        <v>7000</v>
      </c>
      <c r="I1652" s="2">
        <f t="shared" si="103"/>
        <v>2626.9199999999983</v>
      </c>
      <c r="L1652" s="2">
        <f t="shared" si="104"/>
        <v>20</v>
      </c>
    </row>
    <row r="1653" spans="1:12" x14ac:dyDescent="0.3">
      <c r="A1653" s="3">
        <v>45212</v>
      </c>
      <c r="B1653" s="11" t="s">
        <v>2241</v>
      </c>
      <c r="C1653" s="51" t="s">
        <v>2627</v>
      </c>
      <c r="D1653" s="65"/>
      <c r="F1653" s="11"/>
      <c r="G1653" s="2">
        <v>5000</v>
      </c>
      <c r="I1653" s="2">
        <f t="shared" si="103"/>
        <v>7626.9199999999983</v>
      </c>
      <c r="L1653" s="2">
        <f t="shared" si="104"/>
        <v>20</v>
      </c>
    </row>
    <row r="1654" spans="1:12" x14ac:dyDescent="0.3">
      <c r="A1654" s="3">
        <v>45212</v>
      </c>
      <c r="B1654" s="11" t="s">
        <v>3870</v>
      </c>
      <c r="C1654" s="51" t="s">
        <v>2186</v>
      </c>
      <c r="D1654" s="65"/>
      <c r="F1654" s="11"/>
      <c r="H1654" s="2">
        <v>6450</v>
      </c>
      <c r="I1654" s="2">
        <f t="shared" si="103"/>
        <v>1176.9199999999983</v>
      </c>
      <c r="L1654" s="2">
        <f t="shared" si="104"/>
        <v>20</v>
      </c>
    </row>
    <row r="1655" spans="1:12" x14ac:dyDescent="0.3">
      <c r="A1655" s="3">
        <v>45212</v>
      </c>
      <c r="B1655" s="11" t="s">
        <v>1250</v>
      </c>
      <c r="C1655" s="51" t="s">
        <v>2348</v>
      </c>
      <c r="D1655" s="65"/>
      <c r="F1655" s="11"/>
      <c r="G1655" s="2">
        <v>7000</v>
      </c>
      <c r="I1655" s="2">
        <f t="shared" si="103"/>
        <v>8176.9199999999983</v>
      </c>
      <c r="L1655" s="2">
        <f t="shared" si="104"/>
        <v>20</v>
      </c>
    </row>
    <row r="1656" spans="1:12" x14ac:dyDescent="0.3">
      <c r="A1656" s="3">
        <v>45212</v>
      </c>
      <c r="B1656" s="11" t="s">
        <v>1250</v>
      </c>
      <c r="C1656" s="51" t="s">
        <v>2347</v>
      </c>
      <c r="D1656" s="65"/>
      <c r="F1656" s="11"/>
      <c r="H1656" s="2">
        <v>6400</v>
      </c>
      <c r="I1656" s="2">
        <f t="shared" si="103"/>
        <v>1776.9199999999983</v>
      </c>
      <c r="L1656" s="2">
        <f t="shared" si="104"/>
        <v>20</v>
      </c>
    </row>
    <row r="1657" spans="1:12" x14ac:dyDescent="0.3">
      <c r="A1657" s="3">
        <v>45212</v>
      </c>
      <c r="B1657" s="11" t="s">
        <v>1250</v>
      </c>
      <c r="C1657" s="51"/>
      <c r="D1657" s="65"/>
      <c r="F1657" s="11"/>
      <c r="G1657" s="2">
        <v>1500</v>
      </c>
      <c r="I1657" s="2">
        <f t="shared" si="103"/>
        <v>3276.9199999999983</v>
      </c>
      <c r="L1657" s="2">
        <f t="shared" si="104"/>
        <v>6</v>
      </c>
    </row>
    <row r="1658" spans="1:12" x14ac:dyDescent="0.3">
      <c r="A1658" s="3">
        <v>45213</v>
      </c>
      <c r="B1658" s="11" t="s">
        <v>2241</v>
      </c>
      <c r="C1658" s="51" t="s">
        <v>3519</v>
      </c>
      <c r="D1658" s="65"/>
      <c r="F1658" s="11"/>
      <c r="G1658" s="2">
        <v>3000</v>
      </c>
      <c r="I1658" s="2">
        <f t="shared" si="103"/>
        <v>6276.9199999999983</v>
      </c>
      <c r="L1658" s="2">
        <f t="shared" si="104"/>
        <v>12</v>
      </c>
    </row>
    <row r="1659" spans="1:12" x14ac:dyDescent="0.3">
      <c r="A1659" s="3">
        <v>45214</v>
      </c>
      <c r="B1659" s="11" t="s">
        <v>3870</v>
      </c>
      <c r="C1659" s="51" t="s">
        <v>2186</v>
      </c>
      <c r="D1659" s="65"/>
      <c r="F1659" s="11"/>
      <c r="G1659" s="2">
        <v>600</v>
      </c>
      <c r="I1659" s="2">
        <f t="shared" si="103"/>
        <v>6876.9199999999983</v>
      </c>
      <c r="L1659" s="2">
        <f t="shared" si="104"/>
        <v>2.4</v>
      </c>
    </row>
    <row r="1660" spans="1:12" x14ac:dyDescent="0.3">
      <c r="A1660" s="3">
        <v>45214</v>
      </c>
      <c r="B1660" s="11" t="s">
        <v>2448</v>
      </c>
      <c r="C1660" s="51" t="s">
        <v>2274</v>
      </c>
      <c r="D1660" s="65"/>
      <c r="F1660" s="11"/>
      <c r="H1660" s="2">
        <v>5000</v>
      </c>
      <c r="I1660" s="2">
        <f t="shared" si="103"/>
        <v>1876.9199999999983</v>
      </c>
      <c r="L1660" s="2">
        <f t="shared" si="104"/>
        <v>20</v>
      </c>
    </row>
    <row r="1661" spans="1:12" x14ac:dyDescent="0.3">
      <c r="A1661" s="3">
        <v>45215</v>
      </c>
      <c r="B1661" s="11" t="s">
        <v>1160</v>
      </c>
      <c r="C1661" s="51" t="s">
        <v>4070</v>
      </c>
      <c r="D1661" s="65">
        <v>8102837070</v>
      </c>
      <c r="F1661" s="11"/>
      <c r="G1661" s="2">
        <v>4000</v>
      </c>
      <c r="I1661" s="2">
        <f t="shared" si="103"/>
        <v>5876.9199999999983</v>
      </c>
      <c r="L1661" s="2">
        <f t="shared" si="104"/>
        <v>16</v>
      </c>
    </row>
    <row r="1662" spans="1:12" x14ac:dyDescent="0.3">
      <c r="A1662" s="3">
        <v>45215</v>
      </c>
      <c r="B1662" s="11" t="s">
        <v>1472</v>
      </c>
      <c r="C1662" s="51" t="s">
        <v>4071</v>
      </c>
      <c r="D1662" s="65"/>
      <c r="F1662" s="11"/>
      <c r="G1662" s="2">
        <v>1000</v>
      </c>
      <c r="I1662" s="2">
        <f t="shared" si="103"/>
        <v>6876.9199999999983</v>
      </c>
      <c r="L1662" s="2">
        <f t="shared" si="104"/>
        <v>4</v>
      </c>
    </row>
    <row r="1663" spans="1:12" x14ac:dyDescent="0.3">
      <c r="A1663" s="3">
        <v>45215</v>
      </c>
      <c r="B1663" s="11" t="s">
        <v>3544</v>
      </c>
      <c r="C1663" s="51" t="s">
        <v>1692</v>
      </c>
      <c r="D1663" s="65"/>
      <c r="F1663" s="11"/>
      <c r="G1663" s="2">
        <v>5000</v>
      </c>
      <c r="I1663" s="2">
        <f t="shared" si="103"/>
        <v>11876.919999999998</v>
      </c>
      <c r="L1663" s="2">
        <f t="shared" si="104"/>
        <v>20</v>
      </c>
    </row>
    <row r="1664" spans="1:12" x14ac:dyDescent="0.3">
      <c r="A1664" s="3">
        <v>45216</v>
      </c>
      <c r="B1664" s="11" t="s">
        <v>4072</v>
      </c>
      <c r="C1664" s="51" t="s">
        <v>3370</v>
      </c>
      <c r="D1664" s="65"/>
      <c r="F1664" s="11"/>
      <c r="H1664" s="2">
        <v>1500</v>
      </c>
      <c r="I1664" s="2">
        <f t="shared" si="103"/>
        <v>10376.919999999998</v>
      </c>
      <c r="L1664" s="2">
        <f t="shared" si="104"/>
        <v>6</v>
      </c>
    </row>
    <row r="1665" spans="1:12" x14ac:dyDescent="0.3">
      <c r="A1665" s="3">
        <v>45216</v>
      </c>
      <c r="B1665" s="11" t="s">
        <v>4072</v>
      </c>
      <c r="C1665" s="51" t="s">
        <v>3370</v>
      </c>
      <c r="D1665" s="65"/>
      <c r="F1665" s="11"/>
      <c r="H1665" s="2">
        <v>1000</v>
      </c>
      <c r="I1665" s="2">
        <f t="shared" si="103"/>
        <v>9376.9199999999983</v>
      </c>
      <c r="L1665" s="2">
        <f t="shared" si="104"/>
        <v>4</v>
      </c>
    </row>
    <row r="1666" spans="1:12" x14ac:dyDescent="0.3">
      <c r="A1666" s="3">
        <v>45216</v>
      </c>
      <c r="B1666" s="11" t="s">
        <v>2448</v>
      </c>
      <c r="C1666" s="51" t="s">
        <v>2274</v>
      </c>
      <c r="D1666" s="65"/>
      <c r="F1666" s="11"/>
      <c r="H1666" s="2">
        <v>5000</v>
      </c>
      <c r="I1666" s="2">
        <f t="shared" si="103"/>
        <v>4376.9199999999983</v>
      </c>
      <c r="L1666" s="2">
        <f t="shared" si="104"/>
        <v>20</v>
      </c>
    </row>
    <row r="1667" spans="1:12" x14ac:dyDescent="0.3">
      <c r="A1667" s="3">
        <v>45216</v>
      </c>
      <c r="B1667" s="52"/>
      <c r="C1667" s="133" t="s">
        <v>4074</v>
      </c>
      <c r="D1667" s="70"/>
      <c r="E1667" s="96"/>
      <c r="F1667" s="52"/>
      <c r="G1667" s="55">
        <v>811.35</v>
      </c>
      <c r="I1667" s="2">
        <f t="shared" si="103"/>
        <v>5188.2699999999986</v>
      </c>
      <c r="L1667" s="2">
        <v>0</v>
      </c>
    </row>
    <row r="1668" spans="1:12" x14ac:dyDescent="0.3">
      <c r="A1668" s="3">
        <v>45217</v>
      </c>
      <c r="B1668" s="11" t="s">
        <v>1250</v>
      </c>
      <c r="C1668" s="51" t="s">
        <v>4073</v>
      </c>
      <c r="D1668" s="65"/>
      <c r="F1668" s="11"/>
      <c r="G1668" s="2">
        <v>10000</v>
      </c>
      <c r="I1668" s="2">
        <f t="shared" si="103"/>
        <v>15188.269999999999</v>
      </c>
      <c r="L1668" s="2">
        <f t="shared" ref="L1668:L1707" si="105">IF((G1668+H1668)&lt;=5000,(H1668+G1668)*0.004,20)+IF(E1668="Y",25,0)</f>
        <v>20</v>
      </c>
    </row>
    <row r="1669" spans="1:12" x14ac:dyDescent="0.3">
      <c r="A1669" s="3">
        <v>45217</v>
      </c>
      <c r="B1669" s="11" t="s">
        <v>3504</v>
      </c>
      <c r="C1669" s="51" t="s">
        <v>4075</v>
      </c>
      <c r="D1669" s="65"/>
      <c r="F1669" s="11"/>
      <c r="H1669" s="2">
        <v>1000</v>
      </c>
      <c r="I1669" s="2">
        <f t="shared" ref="I1669:I1681" si="106">I1668+G1669-H1669</f>
        <v>14188.269999999999</v>
      </c>
      <c r="L1669" s="2">
        <f t="shared" si="105"/>
        <v>4</v>
      </c>
    </row>
    <row r="1670" spans="1:12" x14ac:dyDescent="0.3">
      <c r="A1670" s="3">
        <v>45217</v>
      </c>
      <c r="B1670" s="11" t="s">
        <v>2716</v>
      </c>
      <c r="C1670" s="51" t="s">
        <v>1279</v>
      </c>
      <c r="D1670" s="65"/>
      <c r="F1670" s="11"/>
      <c r="H1670" s="2">
        <v>10000</v>
      </c>
      <c r="I1670" s="2">
        <f t="shared" si="106"/>
        <v>4188.2699999999986</v>
      </c>
      <c r="L1670" s="2">
        <f t="shared" si="105"/>
        <v>20</v>
      </c>
    </row>
    <row r="1671" spans="1:12" x14ac:dyDescent="0.3">
      <c r="A1671" s="3">
        <v>45217</v>
      </c>
      <c r="B1671" s="11" t="s">
        <v>3148</v>
      </c>
      <c r="C1671" s="51" t="s">
        <v>4076</v>
      </c>
      <c r="D1671" s="65"/>
      <c r="F1671" s="11"/>
      <c r="G1671" s="2">
        <v>10000</v>
      </c>
      <c r="I1671" s="2">
        <f t="shared" si="106"/>
        <v>14188.269999999999</v>
      </c>
      <c r="L1671" s="2">
        <f t="shared" si="105"/>
        <v>20</v>
      </c>
    </row>
    <row r="1672" spans="1:12" x14ac:dyDescent="0.3">
      <c r="A1672" s="3">
        <v>45217</v>
      </c>
      <c r="B1672" s="11" t="s">
        <v>4077</v>
      </c>
      <c r="C1672" s="51" t="s">
        <v>4078</v>
      </c>
      <c r="D1672" s="65"/>
      <c r="E1672" s="90" t="s">
        <v>16</v>
      </c>
      <c r="F1672" s="11"/>
      <c r="H1672" s="2">
        <v>400</v>
      </c>
      <c r="I1672" s="2">
        <f t="shared" si="106"/>
        <v>13788.269999999999</v>
      </c>
      <c r="L1672" s="2">
        <f t="shared" si="105"/>
        <v>26.6</v>
      </c>
    </row>
    <row r="1673" spans="1:12" x14ac:dyDescent="0.3">
      <c r="A1673" s="3">
        <v>45217</v>
      </c>
      <c r="B1673" s="11" t="s">
        <v>3566</v>
      </c>
      <c r="C1673" s="51" t="s">
        <v>4079</v>
      </c>
      <c r="D1673" s="65"/>
      <c r="F1673" s="11"/>
      <c r="G1673" s="2">
        <v>1000</v>
      </c>
      <c r="I1673" s="2">
        <f t="shared" si="106"/>
        <v>14788.269999999999</v>
      </c>
      <c r="L1673" s="2">
        <f t="shared" si="105"/>
        <v>4</v>
      </c>
    </row>
    <row r="1674" spans="1:12" x14ac:dyDescent="0.3">
      <c r="A1674" s="3">
        <v>45217</v>
      </c>
      <c r="B1674" s="11" t="s">
        <v>3871</v>
      </c>
      <c r="C1674" s="51" t="s">
        <v>2347</v>
      </c>
      <c r="D1674" s="65"/>
      <c r="F1674" s="11"/>
      <c r="H1674" s="2">
        <v>10000</v>
      </c>
      <c r="I1674" s="2">
        <f t="shared" si="106"/>
        <v>4788.2699999999986</v>
      </c>
      <c r="L1674" s="2">
        <f t="shared" si="105"/>
        <v>20</v>
      </c>
    </row>
    <row r="1675" spans="1:12" x14ac:dyDescent="0.3">
      <c r="A1675" s="3">
        <v>45218</v>
      </c>
      <c r="B1675" s="11" t="s">
        <v>3232</v>
      </c>
      <c r="C1675" s="51" t="s">
        <v>4083</v>
      </c>
      <c r="D1675" s="65">
        <v>9471591646</v>
      </c>
      <c r="F1675" s="11"/>
      <c r="G1675" s="2">
        <v>2000</v>
      </c>
      <c r="I1675" s="2">
        <f t="shared" si="106"/>
        <v>6788.2699999999986</v>
      </c>
      <c r="L1675" s="2">
        <f t="shared" si="105"/>
        <v>8</v>
      </c>
    </row>
    <row r="1676" spans="1:12" x14ac:dyDescent="0.3">
      <c r="A1676" s="3">
        <v>45218</v>
      </c>
      <c r="B1676" s="11" t="s">
        <v>4081</v>
      </c>
      <c r="C1676" s="51" t="s">
        <v>4082</v>
      </c>
      <c r="D1676" s="65">
        <v>8797471898</v>
      </c>
      <c r="F1676" s="11"/>
      <c r="H1676" s="2">
        <v>5000</v>
      </c>
      <c r="I1676" s="2">
        <f t="shared" si="106"/>
        <v>1788.2699999999986</v>
      </c>
      <c r="L1676" s="2">
        <f t="shared" si="105"/>
        <v>20</v>
      </c>
    </row>
    <row r="1677" spans="1:12" x14ac:dyDescent="0.3">
      <c r="A1677" s="3">
        <v>45218</v>
      </c>
      <c r="B1677" s="11" t="s">
        <v>3915</v>
      </c>
      <c r="C1677" s="51" t="s">
        <v>4085</v>
      </c>
      <c r="D1677" s="65">
        <v>7045918708</v>
      </c>
      <c r="F1677" s="11"/>
      <c r="G1677" s="2">
        <v>8000</v>
      </c>
      <c r="I1677" s="2">
        <f t="shared" si="106"/>
        <v>9788.2699999999986</v>
      </c>
      <c r="L1677" s="2">
        <f t="shared" si="105"/>
        <v>20</v>
      </c>
    </row>
    <row r="1678" spans="1:12" x14ac:dyDescent="0.3">
      <c r="A1678" s="3">
        <v>45219</v>
      </c>
      <c r="B1678" s="11" t="s">
        <v>4081</v>
      </c>
      <c r="C1678" s="51" t="s">
        <v>4084</v>
      </c>
      <c r="D1678" s="65"/>
      <c r="F1678" s="11"/>
      <c r="H1678" s="2">
        <v>3500</v>
      </c>
      <c r="I1678" s="2">
        <f t="shared" si="106"/>
        <v>6288.2699999999986</v>
      </c>
      <c r="L1678" s="2">
        <f t="shared" si="105"/>
        <v>14</v>
      </c>
    </row>
    <row r="1679" spans="1:12" x14ac:dyDescent="0.3">
      <c r="A1679" s="3">
        <v>45219</v>
      </c>
      <c r="B1679" s="11" t="s">
        <v>2716</v>
      </c>
      <c r="C1679" s="51" t="s">
        <v>1279</v>
      </c>
      <c r="D1679" s="65"/>
      <c r="F1679" s="11"/>
      <c r="H1679" s="2">
        <v>3000</v>
      </c>
      <c r="I1679" s="2">
        <f t="shared" si="106"/>
        <v>3288.2699999999986</v>
      </c>
      <c r="L1679" s="2">
        <f t="shared" si="105"/>
        <v>12</v>
      </c>
    </row>
    <row r="1680" spans="1:12" x14ac:dyDescent="0.3">
      <c r="A1680" s="3">
        <v>45219</v>
      </c>
      <c r="B1680" s="11" t="s">
        <v>1250</v>
      </c>
      <c r="C1680" s="51" t="s">
        <v>4086</v>
      </c>
      <c r="D1680" s="65"/>
      <c r="F1680" s="11"/>
      <c r="G1680" s="2">
        <v>1000</v>
      </c>
      <c r="I1680" s="2">
        <f t="shared" si="106"/>
        <v>4288.2699999999986</v>
      </c>
      <c r="L1680" s="2">
        <f t="shared" si="105"/>
        <v>4</v>
      </c>
    </row>
    <row r="1681" spans="1:12" x14ac:dyDescent="0.3">
      <c r="A1681" s="3">
        <v>45219</v>
      </c>
      <c r="B1681" s="11" t="s">
        <v>2416</v>
      </c>
      <c r="C1681" s="50" t="s">
        <v>2417</v>
      </c>
      <c r="D1681" s="65">
        <v>7209530774</v>
      </c>
      <c r="F1681" s="11"/>
      <c r="G1681" s="2">
        <v>1000</v>
      </c>
      <c r="I1681" s="2">
        <f t="shared" si="106"/>
        <v>5288.2699999999986</v>
      </c>
      <c r="L1681" s="2">
        <f t="shared" si="105"/>
        <v>4</v>
      </c>
    </row>
    <row r="1682" spans="1:12" x14ac:dyDescent="0.3">
      <c r="A1682" s="3">
        <v>45220</v>
      </c>
      <c r="B1682" s="11" t="s">
        <v>2241</v>
      </c>
      <c r="C1682" s="50" t="s">
        <v>2627</v>
      </c>
      <c r="D1682" s="65">
        <v>6294902878</v>
      </c>
      <c r="F1682" s="11"/>
      <c r="G1682" s="2">
        <v>5000</v>
      </c>
      <c r="I1682" s="2">
        <f t="shared" ref="I1682:I1688" si="107">I1681+G1682-H1682</f>
        <v>10288.269999999999</v>
      </c>
      <c r="L1682" s="2">
        <f t="shared" si="105"/>
        <v>20</v>
      </c>
    </row>
    <row r="1683" spans="1:12" x14ac:dyDescent="0.3">
      <c r="A1683" s="3">
        <v>45220</v>
      </c>
      <c r="B1683" s="11" t="s">
        <v>4087</v>
      </c>
      <c r="C1683" s="50" t="s">
        <v>4088</v>
      </c>
      <c r="D1683" s="65"/>
      <c r="F1683" s="11"/>
      <c r="H1683" s="2">
        <v>6000</v>
      </c>
      <c r="I1683" s="2">
        <f t="shared" si="107"/>
        <v>4288.2699999999986</v>
      </c>
      <c r="L1683" s="2">
        <f t="shared" si="105"/>
        <v>20</v>
      </c>
    </row>
    <row r="1684" spans="1:12" x14ac:dyDescent="0.3">
      <c r="A1684" s="3">
        <v>45220</v>
      </c>
      <c r="B1684" s="11" t="s">
        <v>3871</v>
      </c>
      <c r="C1684" s="50" t="s">
        <v>2347</v>
      </c>
      <c r="D1684" s="65"/>
      <c r="F1684" s="11"/>
      <c r="H1684" s="2">
        <v>1200</v>
      </c>
      <c r="I1684" s="2">
        <f t="shared" si="107"/>
        <v>3088.2699999999986</v>
      </c>
      <c r="L1684" s="2">
        <f t="shared" si="105"/>
        <v>4.8</v>
      </c>
    </row>
    <row r="1685" spans="1:12" x14ac:dyDescent="0.3">
      <c r="A1685" s="3">
        <v>45220</v>
      </c>
      <c r="B1685" s="11" t="s">
        <v>3870</v>
      </c>
      <c r="C1685" s="50" t="s">
        <v>2186</v>
      </c>
      <c r="D1685" s="65"/>
      <c r="F1685" s="11"/>
      <c r="H1685" s="2">
        <v>900</v>
      </c>
      <c r="I1685" s="2">
        <f t="shared" si="107"/>
        <v>2188.2699999999986</v>
      </c>
      <c r="L1685" s="2">
        <f t="shared" si="105"/>
        <v>3.6</v>
      </c>
    </row>
    <row r="1686" spans="1:12" x14ac:dyDescent="0.3">
      <c r="A1686" s="3">
        <v>45222</v>
      </c>
      <c r="B1686" s="11" t="s">
        <v>1160</v>
      </c>
      <c r="C1686" s="50" t="s">
        <v>4090</v>
      </c>
      <c r="D1686" s="65"/>
      <c r="F1686" s="11"/>
      <c r="G1686" s="2">
        <v>300</v>
      </c>
      <c r="I1686" s="2">
        <f t="shared" si="107"/>
        <v>2488.2699999999986</v>
      </c>
      <c r="L1686" s="2">
        <f t="shared" si="105"/>
        <v>1.2</v>
      </c>
    </row>
    <row r="1687" spans="1:12" x14ac:dyDescent="0.3">
      <c r="A1687" s="3">
        <v>45222</v>
      </c>
      <c r="B1687" s="11" t="s">
        <v>4091</v>
      </c>
      <c r="C1687" s="50" t="s">
        <v>4092</v>
      </c>
      <c r="D1687" s="65"/>
      <c r="F1687" s="11"/>
      <c r="G1687" s="2">
        <v>5000</v>
      </c>
      <c r="I1687" s="2">
        <f t="shared" si="107"/>
        <v>7488.2699999999986</v>
      </c>
      <c r="L1687" s="2">
        <f t="shared" si="105"/>
        <v>20</v>
      </c>
    </row>
    <row r="1688" spans="1:12" x14ac:dyDescent="0.3">
      <c r="A1688" s="3">
        <v>45223</v>
      </c>
      <c r="B1688" s="11" t="s">
        <v>1250</v>
      </c>
      <c r="C1688" s="50" t="s">
        <v>2734</v>
      </c>
      <c r="D1688" s="65"/>
      <c r="F1688" s="11"/>
      <c r="G1688" s="2">
        <v>500</v>
      </c>
      <c r="I1688" s="2">
        <f t="shared" si="107"/>
        <v>7988.2699999999986</v>
      </c>
      <c r="L1688" s="2">
        <f t="shared" si="105"/>
        <v>2</v>
      </c>
    </row>
    <row r="1689" spans="1:12" x14ac:dyDescent="0.3">
      <c r="A1689" s="3">
        <v>45224</v>
      </c>
      <c r="B1689" s="11" t="s">
        <v>2716</v>
      </c>
      <c r="C1689" s="50" t="s">
        <v>2779</v>
      </c>
      <c r="D1689" s="65"/>
      <c r="F1689" s="11"/>
      <c r="H1689" s="2">
        <v>5000</v>
      </c>
      <c r="I1689" s="2">
        <f t="shared" ref="I1689:I1698" si="108">I1688+G1689-H1689</f>
        <v>2988.2699999999986</v>
      </c>
      <c r="L1689" s="2">
        <f t="shared" si="105"/>
        <v>20</v>
      </c>
    </row>
    <row r="1690" spans="1:12" x14ac:dyDescent="0.3">
      <c r="A1690" s="3">
        <v>45224</v>
      </c>
      <c r="B1690" s="11" t="s">
        <v>4093</v>
      </c>
      <c r="C1690" s="50" t="s">
        <v>4094</v>
      </c>
      <c r="D1690" s="65"/>
      <c r="E1690" s="90" t="s">
        <v>16</v>
      </c>
      <c r="F1690" s="11"/>
      <c r="H1690" s="2">
        <v>100</v>
      </c>
      <c r="I1690" s="2">
        <f t="shared" si="108"/>
        <v>2888.2699999999986</v>
      </c>
      <c r="L1690" s="2">
        <f t="shared" si="105"/>
        <v>25.4</v>
      </c>
    </row>
    <row r="1691" spans="1:12" x14ac:dyDescent="0.3">
      <c r="A1691" s="3">
        <v>45225</v>
      </c>
      <c r="B1691" s="11" t="s">
        <v>3290</v>
      </c>
      <c r="D1691" s="65"/>
      <c r="F1691" s="11"/>
      <c r="G1691" s="2">
        <v>1000</v>
      </c>
      <c r="I1691" s="2">
        <f t="shared" si="108"/>
        <v>3888.2699999999986</v>
      </c>
      <c r="L1691" s="2">
        <f t="shared" si="105"/>
        <v>4</v>
      </c>
    </row>
    <row r="1692" spans="1:12" x14ac:dyDescent="0.3">
      <c r="A1692" s="3">
        <v>45226</v>
      </c>
      <c r="B1692" s="11" t="s">
        <v>2528</v>
      </c>
      <c r="C1692" s="50" t="s">
        <v>2534</v>
      </c>
      <c r="D1692" s="65"/>
      <c r="F1692" s="11"/>
      <c r="G1692" s="2">
        <v>5000</v>
      </c>
      <c r="I1692" s="2">
        <f t="shared" si="108"/>
        <v>8888.2699999999986</v>
      </c>
      <c r="L1692" s="2">
        <f t="shared" si="105"/>
        <v>20</v>
      </c>
    </row>
    <row r="1693" spans="1:12" x14ac:dyDescent="0.3">
      <c r="A1693" s="3">
        <v>45226</v>
      </c>
      <c r="B1693" s="11" t="s">
        <v>4099</v>
      </c>
      <c r="C1693" s="50" t="s">
        <v>4100</v>
      </c>
      <c r="D1693" s="65"/>
      <c r="E1693" s="90" t="s">
        <v>16</v>
      </c>
      <c r="F1693" s="11"/>
      <c r="H1693" s="2">
        <v>100</v>
      </c>
      <c r="I1693" s="2">
        <f t="shared" si="108"/>
        <v>8788.2699999999986</v>
      </c>
      <c r="L1693" s="2">
        <f t="shared" si="105"/>
        <v>25.4</v>
      </c>
    </row>
    <row r="1694" spans="1:12" x14ac:dyDescent="0.3">
      <c r="A1694" s="3">
        <v>45226</v>
      </c>
      <c r="B1694" s="11" t="s">
        <v>2448</v>
      </c>
      <c r="C1694" s="50" t="s">
        <v>2274</v>
      </c>
      <c r="D1694" s="65"/>
      <c r="F1694" s="11"/>
      <c r="H1694" s="2">
        <v>7000</v>
      </c>
      <c r="I1694" s="2">
        <f t="shared" si="108"/>
        <v>1788.2699999999986</v>
      </c>
      <c r="L1694" s="2">
        <f t="shared" si="105"/>
        <v>20</v>
      </c>
    </row>
    <row r="1695" spans="1:12" x14ac:dyDescent="0.3">
      <c r="A1695" s="3">
        <v>45226</v>
      </c>
      <c r="B1695" s="11" t="s">
        <v>4102</v>
      </c>
      <c r="C1695" s="50" t="s">
        <v>4103</v>
      </c>
      <c r="D1695" s="65"/>
      <c r="E1695" s="90" t="s">
        <v>16</v>
      </c>
      <c r="F1695" s="11"/>
      <c r="H1695" s="2">
        <v>500</v>
      </c>
      <c r="I1695" s="2">
        <f t="shared" si="108"/>
        <v>1288.2699999999986</v>
      </c>
      <c r="L1695" s="2">
        <f t="shared" si="105"/>
        <v>27</v>
      </c>
    </row>
    <row r="1696" spans="1:12" x14ac:dyDescent="0.3">
      <c r="A1696" s="3">
        <v>45226</v>
      </c>
      <c r="B1696" s="11">
        <v>576</v>
      </c>
      <c r="C1696" s="50" t="s">
        <v>2387</v>
      </c>
      <c r="D1696" s="65"/>
      <c r="F1696" s="11"/>
      <c r="G1696" s="2">
        <v>1100</v>
      </c>
      <c r="I1696" s="2">
        <f t="shared" si="108"/>
        <v>2388.2699999999986</v>
      </c>
      <c r="L1696" s="2">
        <f t="shared" si="105"/>
        <v>4.4000000000000004</v>
      </c>
    </row>
    <row r="1697" spans="1:14" x14ac:dyDescent="0.3">
      <c r="A1697" s="3">
        <v>45229</v>
      </c>
      <c r="B1697" s="11" t="s">
        <v>2241</v>
      </c>
      <c r="C1697" s="50" t="s">
        <v>4106</v>
      </c>
      <c r="D1697" s="65">
        <v>9263944408</v>
      </c>
      <c r="F1697" s="11"/>
      <c r="G1697" s="2">
        <v>1000</v>
      </c>
      <c r="I1697" s="2">
        <f t="shared" si="108"/>
        <v>3388.2699999999986</v>
      </c>
      <c r="L1697" s="2">
        <f t="shared" si="105"/>
        <v>4</v>
      </c>
    </row>
    <row r="1698" spans="1:14" x14ac:dyDescent="0.3">
      <c r="A1698" s="3">
        <v>45229</v>
      </c>
      <c r="B1698" s="11" t="s">
        <v>4107</v>
      </c>
      <c r="C1698" s="50" t="s">
        <v>2387</v>
      </c>
      <c r="D1698" s="65"/>
      <c r="F1698" s="11"/>
      <c r="G1698" s="2">
        <v>1800</v>
      </c>
      <c r="I1698" s="2">
        <f t="shared" si="108"/>
        <v>5188.2699999999986</v>
      </c>
      <c r="L1698" s="2">
        <f t="shared" si="105"/>
        <v>7.2</v>
      </c>
    </row>
    <row r="1699" spans="1:14" x14ac:dyDescent="0.3">
      <c r="A1699" s="3">
        <v>45229</v>
      </c>
      <c r="B1699" s="11" t="s">
        <v>3870</v>
      </c>
      <c r="C1699" s="50" t="s">
        <v>2186</v>
      </c>
      <c r="D1699" s="65"/>
      <c r="F1699" s="11"/>
      <c r="G1699" s="2">
        <v>3000</v>
      </c>
      <c r="I1699" s="2">
        <f t="shared" ref="I1699:I1708" si="109">I1698+G1699-H1699</f>
        <v>8188.2699999999986</v>
      </c>
      <c r="L1699" s="2">
        <f t="shared" si="105"/>
        <v>12</v>
      </c>
    </row>
    <row r="1700" spans="1:14" x14ac:dyDescent="0.3">
      <c r="A1700" s="3">
        <v>45229</v>
      </c>
      <c r="B1700" s="11" t="s">
        <v>2448</v>
      </c>
      <c r="C1700" s="50" t="s">
        <v>4108</v>
      </c>
      <c r="D1700" s="65"/>
      <c r="F1700" s="11"/>
      <c r="H1700" s="2">
        <v>8000</v>
      </c>
      <c r="I1700" s="2">
        <f t="shared" si="109"/>
        <v>188.26999999999862</v>
      </c>
      <c r="L1700" s="2">
        <f t="shared" si="105"/>
        <v>20</v>
      </c>
    </row>
    <row r="1701" spans="1:14" x14ac:dyDescent="0.3">
      <c r="A1701" s="3">
        <v>45229</v>
      </c>
      <c r="B1701" s="11" t="s">
        <v>4109</v>
      </c>
      <c r="C1701" s="50" t="s">
        <v>4110</v>
      </c>
      <c r="D1701" s="65"/>
      <c r="E1701" s="90" t="s">
        <v>16</v>
      </c>
      <c r="F1701" s="11"/>
      <c r="H1701" s="2">
        <v>100</v>
      </c>
      <c r="I1701" s="2">
        <f t="shared" si="109"/>
        <v>88.269999999998618</v>
      </c>
      <c r="L1701" s="2">
        <f t="shared" si="105"/>
        <v>25.4</v>
      </c>
    </row>
    <row r="1702" spans="1:14" x14ac:dyDescent="0.3">
      <c r="A1702" s="3">
        <v>45230</v>
      </c>
      <c r="B1702" s="11" t="s">
        <v>1250</v>
      </c>
      <c r="D1702" s="65"/>
      <c r="F1702" s="11"/>
      <c r="G1702" s="2">
        <v>400</v>
      </c>
      <c r="I1702" s="2">
        <f t="shared" si="109"/>
        <v>488.26999999999862</v>
      </c>
      <c r="L1702" s="2">
        <f t="shared" si="105"/>
        <v>1.6</v>
      </c>
    </row>
    <row r="1703" spans="1:14" x14ac:dyDescent="0.3">
      <c r="A1703" s="3">
        <v>45230</v>
      </c>
      <c r="B1703" s="11" t="s">
        <v>4091</v>
      </c>
      <c r="C1703" s="50" t="s">
        <v>4092</v>
      </c>
      <c r="D1703" s="65"/>
      <c r="F1703" s="11"/>
      <c r="G1703" s="2">
        <v>3000</v>
      </c>
      <c r="I1703" s="2">
        <f t="shared" si="109"/>
        <v>3488.2699999999986</v>
      </c>
      <c r="L1703" s="2">
        <f t="shared" si="105"/>
        <v>12</v>
      </c>
    </row>
    <row r="1704" spans="1:14" x14ac:dyDescent="0.3">
      <c r="A1704" s="3">
        <v>45230</v>
      </c>
      <c r="B1704" s="11" t="s">
        <v>4107</v>
      </c>
      <c r="C1704" s="50" t="s">
        <v>2387</v>
      </c>
      <c r="D1704" s="65"/>
      <c r="F1704" s="11"/>
      <c r="G1704" s="2">
        <v>900</v>
      </c>
      <c r="I1704" s="2">
        <f t="shared" si="109"/>
        <v>4388.2699999999986</v>
      </c>
      <c r="L1704" s="2">
        <f t="shared" si="105"/>
        <v>3.6</v>
      </c>
    </row>
    <row r="1705" spans="1:14" x14ac:dyDescent="0.3">
      <c r="A1705" s="3">
        <v>45230</v>
      </c>
      <c r="B1705" s="11" t="s">
        <v>3871</v>
      </c>
      <c r="C1705" s="50" t="s">
        <v>2347</v>
      </c>
      <c r="D1705" s="65"/>
      <c r="F1705" s="11"/>
      <c r="G1705" s="2">
        <v>1000</v>
      </c>
      <c r="I1705" s="2">
        <f t="shared" si="109"/>
        <v>5388.2699999999986</v>
      </c>
      <c r="L1705" s="2">
        <f t="shared" si="105"/>
        <v>4</v>
      </c>
    </row>
    <row r="1706" spans="1:14" x14ac:dyDescent="0.3">
      <c r="A1706" s="3">
        <v>45230</v>
      </c>
      <c r="B1706" s="11" t="s">
        <v>2448</v>
      </c>
      <c r="C1706" s="50" t="s">
        <v>4068</v>
      </c>
      <c r="D1706" s="65"/>
      <c r="F1706" s="11"/>
      <c r="H1706" s="2">
        <v>5000</v>
      </c>
      <c r="I1706" s="2">
        <f t="shared" si="109"/>
        <v>388.26999999999862</v>
      </c>
      <c r="L1706" s="2">
        <f t="shared" si="105"/>
        <v>20</v>
      </c>
    </row>
    <row r="1707" spans="1:14" x14ac:dyDescent="0.3">
      <c r="A1707" s="3">
        <v>45230</v>
      </c>
      <c r="B1707" s="11" t="s">
        <v>3039</v>
      </c>
      <c r="C1707" s="50" t="s">
        <v>3668</v>
      </c>
      <c r="D1707" s="65"/>
      <c r="F1707" s="11"/>
      <c r="G1707" s="2">
        <v>4000</v>
      </c>
      <c r="I1707" s="2">
        <f t="shared" si="109"/>
        <v>4388.2699999999986</v>
      </c>
      <c r="L1707" s="2">
        <f t="shared" si="105"/>
        <v>16</v>
      </c>
    </row>
    <row r="1708" spans="1:14" x14ac:dyDescent="0.3">
      <c r="A1708" s="3">
        <v>45230</v>
      </c>
      <c r="B1708" s="11" t="s">
        <v>3870</v>
      </c>
      <c r="C1708" s="50" t="s">
        <v>2186</v>
      </c>
      <c r="D1708" s="65"/>
      <c r="F1708" s="11"/>
      <c r="H1708" s="2">
        <v>2100</v>
      </c>
      <c r="I1708" s="2">
        <f t="shared" si="109"/>
        <v>2288.2699999999986</v>
      </c>
    </row>
    <row r="1709" spans="1:14" x14ac:dyDescent="0.3">
      <c r="A1709" s="3"/>
      <c r="C1709" s="51"/>
      <c r="D1709" s="51"/>
      <c r="F1709" s="11"/>
      <c r="L1709" s="2">
        <f>IF((G1709+H1709)&lt;=5000,(H1709+G1709)*0.004,20)+IF(E1709="Y",25,0)</f>
        <v>0</v>
      </c>
    </row>
    <row r="1710" spans="1:14" x14ac:dyDescent="0.3">
      <c r="A1710" s="77">
        <f>COUNT(A1607:A1709)</f>
        <v>102</v>
      </c>
      <c r="B1710" s="80"/>
      <c r="C1710" s="112"/>
      <c r="D1710" s="112"/>
      <c r="E1710" s="92">
        <f>COUNTIF(E1607:E1709,"Y")</f>
        <v>9</v>
      </c>
      <c r="F1710" s="77">
        <f>G1710+H1710</f>
        <v>321811.34999999998</v>
      </c>
      <c r="G1710" s="84">
        <f>SUM(G1607:G1709)</f>
        <v>157711.35</v>
      </c>
      <c r="H1710" s="84">
        <f>SUM(H1607:H1709)</f>
        <v>164100</v>
      </c>
      <c r="I1710" s="84"/>
      <c r="J1710" s="80"/>
      <c r="K1710" s="80"/>
      <c r="L1710" s="84">
        <f>SUM(L1607:L1709)</f>
        <v>1265.2000000000003</v>
      </c>
      <c r="M1710" s="80"/>
      <c r="N1710" s="77"/>
    </row>
    <row r="1711" spans="1:14" x14ac:dyDescent="0.3">
      <c r="C1711" s="51"/>
      <c r="D1711" s="51"/>
      <c r="F1711" s="11"/>
    </row>
    <row r="1712" spans="1:14" x14ac:dyDescent="0.3">
      <c r="A1712" s="3">
        <v>45231</v>
      </c>
      <c r="C1712" s="51" t="s">
        <v>4112</v>
      </c>
      <c r="D1712" s="51"/>
      <c r="F1712" s="11"/>
      <c r="I1712" s="2">
        <f>I1708</f>
        <v>2288.2699999999986</v>
      </c>
    </row>
    <row r="1713" spans="1:12" x14ac:dyDescent="0.3">
      <c r="A1713" s="3">
        <v>45231</v>
      </c>
      <c r="B1713" s="11" t="s">
        <v>2351</v>
      </c>
      <c r="C1713" s="50" t="s">
        <v>4113</v>
      </c>
      <c r="D1713" s="65"/>
      <c r="F1713" s="11"/>
      <c r="G1713" s="2">
        <v>3000</v>
      </c>
      <c r="I1713" s="2">
        <f t="shared" ref="I1713:I1720" si="110">I1712+G1713-H1713</f>
        <v>5288.2699999999986</v>
      </c>
      <c r="L1713" s="2">
        <f t="shared" ref="L1713:L1744" si="111">IF((G1713+H1713)&lt;=5000,(H1713+G1713)*0.004,20)+IF(E1713="Y",25,0)</f>
        <v>12</v>
      </c>
    </row>
    <row r="1714" spans="1:12" x14ac:dyDescent="0.3">
      <c r="A1714" s="3">
        <v>45231</v>
      </c>
      <c r="B1714" s="11" t="s">
        <v>3871</v>
      </c>
      <c r="C1714" s="50" t="s">
        <v>2347</v>
      </c>
      <c r="D1714" s="65"/>
      <c r="F1714" s="11"/>
      <c r="H1714" s="2">
        <v>1000</v>
      </c>
      <c r="I1714" s="2">
        <f t="shared" si="110"/>
        <v>4288.2699999999986</v>
      </c>
      <c r="L1714" s="2">
        <f t="shared" si="111"/>
        <v>4</v>
      </c>
    </row>
    <row r="1715" spans="1:12" x14ac:dyDescent="0.3">
      <c r="A1715" s="3">
        <v>45231</v>
      </c>
      <c r="B1715" s="11" t="s">
        <v>3039</v>
      </c>
      <c r="C1715" s="50" t="s">
        <v>3668</v>
      </c>
      <c r="D1715" s="65"/>
      <c r="F1715" s="11"/>
      <c r="G1715" s="2">
        <v>3000</v>
      </c>
      <c r="I1715" s="2">
        <f t="shared" si="110"/>
        <v>7288.2699999999986</v>
      </c>
      <c r="L1715" s="2">
        <f t="shared" si="111"/>
        <v>12</v>
      </c>
    </row>
    <row r="1716" spans="1:12" x14ac:dyDescent="0.3">
      <c r="A1716" s="3">
        <v>45232</v>
      </c>
      <c r="B1716" s="11" t="s">
        <v>4107</v>
      </c>
      <c r="C1716" s="50" t="s">
        <v>2387</v>
      </c>
      <c r="D1716" s="65"/>
      <c r="F1716" s="11"/>
      <c r="G1716" s="2">
        <v>500</v>
      </c>
      <c r="I1716" s="2">
        <f t="shared" si="110"/>
        <v>7788.2699999999986</v>
      </c>
      <c r="L1716" s="2">
        <f t="shared" si="111"/>
        <v>2</v>
      </c>
    </row>
    <row r="1717" spans="1:12" x14ac:dyDescent="0.3">
      <c r="A1717" s="3">
        <v>45232</v>
      </c>
      <c r="B1717" s="11" t="s">
        <v>3541</v>
      </c>
      <c r="C1717" s="50" t="s">
        <v>3673</v>
      </c>
      <c r="D1717" s="65"/>
      <c r="F1717" s="11"/>
      <c r="G1717" s="2">
        <v>1000</v>
      </c>
      <c r="I1717" s="2">
        <f t="shared" si="110"/>
        <v>8788.2699999999986</v>
      </c>
      <c r="L1717" s="2">
        <f t="shared" si="111"/>
        <v>4</v>
      </c>
    </row>
    <row r="1718" spans="1:12" x14ac:dyDescent="0.3">
      <c r="A1718" s="3">
        <v>45233</v>
      </c>
      <c r="B1718" s="11" t="s">
        <v>2351</v>
      </c>
      <c r="C1718" s="50">
        <v>875223275416</v>
      </c>
      <c r="D1718" s="65"/>
      <c r="F1718" s="11"/>
      <c r="G1718" s="2">
        <v>1000</v>
      </c>
      <c r="I1718" s="2">
        <f t="shared" si="110"/>
        <v>9788.2699999999986</v>
      </c>
      <c r="L1718" s="2">
        <f t="shared" si="111"/>
        <v>4</v>
      </c>
    </row>
    <row r="1719" spans="1:12" x14ac:dyDescent="0.3">
      <c r="A1719" s="3">
        <v>45233</v>
      </c>
      <c r="B1719" s="11" t="s">
        <v>2192</v>
      </c>
      <c r="C1719" s="50" t="s">
        <v>2284</v>
      </c>
      <c r="D1719" s="65"/>
      <c r="F1719" s="11"/>
      <c r="G1719" s="2">
        <v>500</v>
      </c>
      <c r="I1719" s="2">
        <f t="shared" si="110"/>
        <v>10288.269999999999</v>
      </c>
      <c r="L1719" s="2">
        <f t="shared" si="111"/>
        <v>2</v>
      </c>
    </row>
    <row r="1720" spans="1:12" x14ac:dyDescent="0.3">
      <c r="A1720" s="3">
        <v>45233</v>
      </c>
      <c r="B1720" s="11" t="s">
        <v>4114</v>
      </c>
      <c r="C1720" s="50" t="s">
        <v>4115</v>
      </c>
      <c r="D1720" s="65"/>
      <c r="E1720" s="90" t="s">
        <v>16</v>
      </c>
      <c r="F1720" s="11"/>
      <c r="G1720" s="2">
        <v>100</v>
      </c>
      <c r="I1720" s="2">
        <f t="shared" si="110"/>
        <v>10388.269999999999</v>
      </c>
      <c r="L1720" s="2">
        <f t="shared" si="111"/>
        <v>25.4</v>
      </c>
    </row>
    <row r="1721" spans="1:12" x14ac:dyDescent="0.3">
      <c r="A1721" s="3">
        <v>45233</v>
      </c>
      <c r="B1721" s="11" t="s">
        <v>2716</v>
      </c>
      <c r="C1721" s="50" t="s">
        <v>1279</v>
      </c>
      <c r="D1721" s="65"/>
      <c r="F1721" s="11"/>
      <c r="H1721" s="2">
        <v>5000</v>
      </c>
      <c r="I1721" s="2">
        <f t="shared" ref="I1721:I1733" si="112">I1720+G1721-H1721</f>
        <v>5388.2699999999986</v>
      </c>
      <c r="L1721" s="2">
        <f t="shared" si="111"/>
        <v>20</v>
      </c>
    </row>
    <row r="1722" spans="1:12" x14ac:dyDescent="0.3">
      <c r="A1722" s="3">
        <v>45234</v>
      </c>
      <c r="B1722" s="11" t="s">
        <v>2864</v>
      </c>
      <c r="C1722" s="50" t="s">
        <v>4119</v>
      </c>
      <c r="D1722" s="65"/>
      <c r="F1722" s="11"/>
      <c r="G1722" s="2">
        <v>1000</v>
      </c>
      <c r="I1722" s="2">
        <f t="shared" si="112"/>
        <v>6388.2699999999986</v>
      </c>
      <c r="L1722" s="2">
        <f t="shared" si="111"/>
        <v>4</v>
      </c>
    </row>
    <row r="1723" spans="1:12" x14ac:dyDescent="0.3">
      <c r="A1723" s="3">
        <v>45236</v>
      </c>
      <c r="B1723" s="11" t="s">
        <v>4120</v>
      </c>
      <c r="D1723" s="65"/>
      <c r="E1723" s="90" t="s">
        <v>16</v>
      </c>
      <c r="F1723" s="11"/>
      <c r="H1723" s="2">
        <v>100</v>
      </c>
      <c r="I1723" s="2">
        <f t="shared" si="112"/>
        <v>6288.2699999999986</v>
      </c>
      <c r="L1723" s="2">
        <f t="shared" si="111"/>
        <v>25.4</v>
      </c>
    </row>
    <row r="1724" spans="1:12" x14ac:dyDescent="0.3">
      <c r="A1724" s="3">
        <v>45236</v>
      </c>
      <c r="B1724" s="11" t="s">
        <v>4121</v>
      </c>
      <c r="C1724" s="50" t="s">
        <v>4122</v>
      </c>
      <c r="D1724" s="65"/>
      <c r="E1724" s="90" t="s">
        <v>16</v>
      </c>
      <c r="F1724" s="11"/>
      <c r="H1724" s="2">
        <v>500</v>
      </c>
      <c r="I1724" s="2">
        <f t="shared" si="112"/>
        <v>5788.2699999999986</v>
      </c>
      <c r="L1724" s="2">
        <f t="shared" si="111"/>
        <v>27</v>
      </c>
    </row>
    <row r="1725" spans="1:12" x14ac:dyDescent="0.3">
      <c r="A1725" s="3">
        <v>45238</v>
      </c>
      <c r="B1725" s="11" t="s">
        <v>4091</v>
      </c>
      <c r="C1725" s="50" t="s">
        <v>4092</v>
      </c>
      <c r="D1725" s="65"/>
      <c r="F1725" s="11"/>
      <c r="G1725" s="2">
        <v>6000</v>
      </c>
      <c r="I1725" s="2">
        <f t="shared" si="112"/>
        <v>11788.269999999999</v>
      </c>
      <c r="L1725" s="2">
        <f t="shared" si="111"/>
        <v>20</v>
      </c>
    </row>
    <row r="1726" spans="1:12" x14ac:dyDescent="0.3">
      <c r="A1726" s="3">
        <v>45238</v>
      </c>
      <c r="B1726" s="11" t="s">
        <v>4127</v>
      </c>
      <c r="C1726" s="50" t="s">
        <v>4128</v>
      </c>
      <c r="D1726" s="65">
        <v>9064726847</v>
      </c>
      <c r="F1726" s="11"/>
      <c r="G1726" s="2">
        <v>2000</v>
      </c>
      <c r="I1726" s="2">
        <f t="shared" si="112"/>
        <v>13788.269999999999</v>
      </c>
      <c r="L1726" s="2">
        <f t="shared" si="111"/>
        <v>8</v>
      </c>
    </row>
    <row r="1727" spans="1:12" x14ac:dyDescent="0.3">
      <c r="A1727" s="3">
        <v>45238</v>
      </c>
      <c r="B1727" s="11" t="s">
        <v>3871</v>
      </c>
      <c r="C1727" s="50" t="s">
        <v>4129</v>
      </c>
      <c r="D1727" s="65"/>
      <c r="F1727" s="11"/>
      <c r="H1727" s="2">
        <v>4200</v>
      </c>
      <c r="I1727" s="2">
        <f t="shared" si="112"/>
        <v>9588.2699999999986</v>
      </c>
      <c r="L1727" s="2">
        <f t="shared" si="111"/>
        <v>16.8</v>
      </c>
    </row>
    <row r="1728" spans="1:12" x14ac:dyDescent="0.3">
      <c r="A1728" s="3">
        <v>45238</v>
      </c>
      <c r="B1728" s="11" t="s">
        <v>3870</v>
      </c>
      <c r="C1728" s="50" t="s">
        <v>4130</v>
      </c>
      <c r="D1728" s="65"/>
      <c r="F1728" s="11"/>
      <c r="H1728" s="2">
        <v>4200</v>
      </c>
      <c r="I1728" s="2">
        <f t="shared" si="112"/>
        <v>5388.2699999999986</v>
      </c>
      <c r="L1728" s="2">
        <f t="shared" si="111"/>
        <v>16.8</v>
      </c>
    </row>
    <row r="1729" spans="1:12" x14ac:dyDescent="0.3">
      <c r="A1729" s="3">
        <v>45239</v>
      </c>
      <c r="B1729" s="11" t="s">
        <v>1250</v>
      </c>
      <c r="D1729" s="65"/>
      <c r="F1729" s="11"/>
      <c r="G1729" s="2">
        <v>200</v>
      </c>
      <c r="I1729" s="2">
        <f t="shared" si="112"/>
        <v>5588.2699999999986</v>
      </c>
      <c r="L1729" s="2">
        <f t="shared" si="111"/>
        <v>0.8</v>
      </c>
    </row>
    <row r="1730" spans="1:12" x14ac:dyDescent="0.3">
      <c r="A1730" s="3">
        <v>45239</v>
      </c>
      <c r="B1730" s="11" t="s">
        <v>1250</v>
      </c>
      <c r="C1730" s="50" t="s">
        <v>2626</v>
      </c>
      <c r="D1730" s="65"/>
      <c r="F1730" s="11"/>
      <c r="G1730" s="2">
        <v>5000</v>
      </c>
      <c r="I1730" s="2">
        <f t="shared" si="112"/>
        <v>10588.269999999999</v>
      </c>
      <c r="L1730" s="2">
        <f t="shared" si="111"/>
        <v>20</v>
      </c>
    </row>
    <row r="1731" spans="1:12" x14ac:dyDescent="0.3">
      <c r="A1731" s="3">
        <v>45239</v>
      </c>
      <c r="B1731" s="11" t="s">
        <v>2303</v>
      </c>
      <c r="C1731" s="50" t="s">
        <v>4133</v>
      </c>
      <c r="D1731" s="65"/>
      <c r="F1731" s="11"/>
      <c r="H1731" s="2">
        <v>1000</v>
      </c>
      <c r="I1731" s="2">
        <f t="shared" si="112"/>
        <v>9588.2699999999986</v>
      </c>
      <c r="L1731" s="2">
        <f t="shared" si="111"/>
        <v>4</v>
      </c>
    </row>
    <row r="1732" spans="1:12" x14ac:dyDescent="0.3">
      <c r="A1732" s="3">
        <v>45239</v>
      </c>
      <c r="B1732" s="11" t="s">
        <v>4134</v>
      </c>
      <c r="C1732" s="50" t="s">
        <v>4135</v>
      </c>
      <c r="D1732" s="65"/>
      <c r="F1732" s="11"/>
      <c r="G1732" s="2">
        <v>993.85</v>
      </c>
      <c r="I1732" s="2">
        <f t="shared" si="112"/>
        <v>10582.119999999999</v>
      </c>
      <c r="L1732" s="2">
        <f t="shared" si="111"/>
        <v>3.9754</v>
      </c>
    </row>
    <row r="1733" spans="1:12" x14ac:dyDescent="0.3">
      <c r="A1733" s="3">
        <v>45240</v>
      </c>
      <c r="B1733" s="11" t="s">
        <v>2716</v>
      </c>
      <c r="C1733" s="50" t="s">
        <v>1279</v>
      </c>
      <c r="D1733" s="65"/>
      <c r="F1733" s="11"/>
      <c r="H1733" s="2">
        <v>5000</v>
      </c>
      <c r="I1733" s="2">
        <f t="shared" si="112"/>
        <v>5582.119999999999</v>
      </c>
      <c r="L1733" s="2">
        <f t="shared" si="111"/>
        <v>20</v>
      </c>
    </row>
    <row r="1734" spans="1:12" x14ac:dyDescent="0.3">
      <c r="A1734" s="3">
        <v>45241</v>
      </c>
      <c r="B1734" s="11" t="s">
        <v>3148</v>
      </c>
      <c r="C1734" s="50" t="s">
        <v>3148</v>
      </c>
      <c r="D1734" s="65">
        <v>6206344407</v>
      </c>
      <c r="F1734" s="11"/>
      <c r="G1734" s="2">
        <v>10000</v>
      </c>
      <c r="I1734" s="2">
        <f t="shared" ref="I1734:I1797" si="113">I1733+G1734-H1734</f>
        <v>15582.119999999999</v>
      </c>
      <c r="L1734" s="2">
        <f t="shared" si="111"/>
        <v>20</v>
      </c>
    </row>
    <row r="1735" spans="1:12" x14ac:dyDescent="0.3">
      <c r="A1735" s="3">
        <v>45241</v>
      </c>
      <c r="B1735" s="11" t="s">
        <v>3759</v>
      </c>
      <c r="C1735" s="50" t="s">
        <v>4141</v>
      </c>
      <c r="D1735" s="65"/>
      <c r="F1735" s="11"/>
      <c r="H1735" s="2">
        <v>2500</v>
      </c>
      <c r="I1735" s="2">
        <f t="shared" si="113"/>
        <v>13082.119999999999</v>
      </c>
      <c r="L1735" s="2">
        <f t="shared" si="111"/>
        <v>10</v>
      </c>
    </row>
    <row r="1736" spans="1:12" x14ac:dyDescent="0.3">
      <c r="A1736" s="3">
        <v>45241</v>
      </c>
      <c r="B1736" s="11" t="s">
        <v>4142</v>
      </c>
      <c r="C1736" s="50" t="s">
        <v>2440</v>
      </c>
      <c r="D1736" s="65"/>
      <c r="F1736" s="11"/>
      <c r="G1736" s="2">
        <v>2000</v>
      </c>
      <c r="I1736" s="2">
        <f t="shared" si="113"/>
        <v>15082.119999999999</v>
      </c>
      <c r="L1736" s="2">
        <f t="shared" si="111"/>
        <v>8</v>
      </c>
    </row>
    <row r="1737" spans="1:12" x14ac:dyDescent="0.3">
      <c r="A1737" s="3">
        <v>45241</v>
      </c>
      <c r="B1737" s="11" t="s">
        <v>3002</v>
      </c>
      <c r="D1737" s="65"/>
      <c r="F1737" s="11"/>
      <c r="H1737" s="2">
        <v>10000</v>
      </c>
      <c r="I1737" s="2">
        <f t="shared" si="113"/>
        <v>5082.119999999999</v>
      </c>
      <c r="L1737" s="2">
        <f t="shared" si="111"/>
        <v>20</v>
      </c>
    </row>
    <row r="1738" spans="1:12" x14ac:dyDescent="0.3">
      <c r="A1738" s="3">
        <v>45241</v>
      </c>
      <c r="B1738" s="11" t="s">
        <v>1160</v>
      </c>
      <c r="C1738" s="50" t="s">
        <v>4143</v>
      </c>
      <c r="D1738" s="65"/>
      <c r="F1738" s="11"/>
      <c r="G1738" s="2">
        <v>5000</v>
      </c>
      <c r="I1738" s="2">
        <f t="shared" si="113"/>
        <v>10082.119999999999</v>
      </c>
      <c r="L1738" s="2">
        <f t="shared" si="111"/>
        <v>20</v>
      </c>
    </row>
    <row r="1739" spans="1:12" x14ac:dyDescent="0.3">
      <c r="A1739" s="3">
        <v>45241</v>
      </c>
      <c r="B1739" s="11" t="s">
        <v>1160</v>
      </c>
      <c r="C1739" s="50" t="s">
        <v>4144</v>
      </c>
      <c r="D1739" s="65"/>
      <c r="F1739" s="11"/>
      <c r="G1739" s="2">
        <v>1000</v>
      </c>
      <c r="I1739" s="2">
        <f t="shared" si="113"/>
        <v>11082.119999999999</v>
      </c>
      <c r="L1739" s="2">
        <f t="shared" si="111"/>
        <v>4</v>
      </c>
    </row>
    <row r="1740" spans="1:12" x14ac:dyDescent="0.3">
      <c r="A1740" s="3">
        <v>45242</v>
      </c>
      <c r="B1740" s="11" t="s">
        <v>1250</v>
      </c>
      <c r="C1740" s="50" t="s">
        <v>2387</v>
      </c>
      <c r="D1740" s="65"/>
      <c r="F1740" s="11"/>
      <c r="G1740" s="2">
        <v>600</v>
      </c>
      <c r="I1740" s="2">
        <f t="shared" si="113"/>
        <v>11682.119999999999</v>
      </c>
      <c r="L1740" s="2">
        <f t="shared" si="111"/>
        <v>2.4</v>
      </c>
    </row>
    <row r="1741" spans="1:12" x14ac:dyDescent="0.3">
      <c r="A1741" s="3">
        <v>45242</v>
      </c>
      <c r="B1741" s="11" t="s">
        <v>2735</v>
      </c>
      <c r="C1741" s="50" t="s">
        <v>1279</v>
      </c>
      <c r="D1741" s="65"/>
      <c r="F1741" s="11"/>
      <c r="H1741" s="2">
        <v>5000</v>
      </c>
      <c r="I1741" s="2">
        <f t="shared" si="113"/>
        <v>6682.119999999999</v>
      </c>
      <c r="L1741" s="2">
        <f t="shared" si="111"/>
        <v>20</v>
      </c>
    </row>
    <row r="1742" spans="1:12" x14ac:dyDescent="0.3">
      <c r="A1742" s="3">
        <v>45243</v>
      </c>
      <c r="B1742" s="11" t="s">
        <v>4145</v>
      </c>
      <c r="C1742" s="50" t="s">
        <v>4146</v>
      </c>
      <c r="D1742" s="65"/>
      <c r="E1742" s="90" t="s">
        <v>16</v>
      </c>
      <c r="F1742" s="11"/>
      <c r="H1742" s="2">
        <v>150</v>
      </c>
      <c r="I1742" s="2">
        <f t="shared" si="113"/>
        <v>6532.119999999999</v>
      </c>
      <c r="L1742" s="2">
        <f t="shared" si="111"/>
        <v>25.6</v>
      </c>
    </row>
    <row r="1743" spans="1:12" x14ac:dyDescent="0.3">
      <c r="A1743" s="3">
        <v>45243</v>
      </c>
      <c r="B1743" s="11" t="s">
        <v>3232</v>
      </c>
      <c r="C1743" s="50" t="s">
        <v>4149</v>
      </c>
      <c r="D1743" s="65"/>
      <c r="F1743" s="11"/>
      <c r="G1743" s="2">
        <v>1400</v>
      </c>
      <c r="I1743" s="2">
        <f t="shared" si="113"/>
        <v>7932.119999999999</v>
      </c>
      <c r="L1743" s="2">
        <f t="shared" si="111"/>
        <v>5.6000000000000005</v>
      </c>
    </row>
    <row r="1744" spans="1:12" x14ac:dyDescent="0.3">
      <c r="A1744" s="3">
        <v>45243</v>
      </c>
      <c r="B1744" s="11" t="s">
        <v>2716</v>
      </c>
      <c r="C1744" s="50" t="s">
        <v>1279</v>
      </c>
      <c r="D1744" s="65"/>
      <c r="F1744" s="11"/>
      <c r="H1744" s="2">
        <v>5000</v>
      </c>
      <c r="I1744" s="2">
        <f t="shared" si="113"/>
        <v>2932.119999999999</v>
      </c>
      <c r="L1744" s="2">
        <f t="shared" si="111"/>
        <v>20</v>
      </c>
    </row>
    <row r="1745" spans="1:12" x14ac:dyDescent="0.3">
      <c r="A1745" s="3">
        <v>45243</v>
      </c>
      <c r="B1745" s="11" t="s">
        <v>1472</v>
      </c>
      <c r="C1745" s="50" t="s">
        <v>4071</v>
      </c>
      <c r="D1745" s="65"/>
      <c r="F1745" s="11"/>
      <c r="G1745" s="2">
        <v>1500</v>
      </c>
      <c r="I1745" s="2">
        <f t="shared" si="113"/>
        <v>4432.119999999999</v>
      </c>
      <c r="L1745" s="2">
        <f t="shared" ref="L1745:L1776" si="114">IF((G1745+H1745)&lt;=5000,(H1745+G1745)*0.004,20)+IF(E1745="Y",25,0)</f>
        <v>6</v>
      </c>
    </row>
    <row r="1746" spans="1:12" x14ac:dyDescent="0.3">
      <c r="A1746" s="3">
        <v>45243</v>
      </c>
      <c r="B1746" s="11" t="s">
        <v>3987</v>
      </c>
      <c r="C1746" s="50" t="s">
        <v>4115</v>
      </c>
      <c r="D1746" s="65"/>
      <c r="F1746" s="11"/>
      <c r="G1746" s="2">
        <v>5000</v>
      </c>
      <c r="I1746" s="2">
        <f t="shared" si="113"/>
        <v>9432.119999999999</v>
      </c>
      <c r="L1746" s="2">
        <f t="shared" si="114"/>
        <v>20</v>
      </c>
    </row>
    <row r="1747" spans="1:12" x14ac:dyDescent="0.3">
      <c r="A1747" s="3">
        <v>45244</v>
      </c>
      <c r="B1747" s="11" t="s">
        <v>4150</v>
      </c>
      <c r="C1747" s="50" t="s">
        <v>610</v>
      </c>
      <c r="D1747" s="65">
        <v>7209411109</v>
      </c>
      <c r="F1747" s="11"/>
      <c r="H1747" s="2">
        <v>3000</v>
      </c>
      <c r="I1747" s="2">
        <f t="shared" si="113"/>
        <v>6432.119999999999</v>
      </c>
      <c r="L1747" s="2">
        <f t="shared" si="114"/>
        <v>12</v>
      </c>
    </row>
    <row r="1748" spans="1:12" x14ac:dyDescent="0.3">
      <c r="A1748" s="3">
        <v>45244</v>
      </c>
      <c r="B1748" s="11" t="s">
        <v>3812</v>
      </c>
      <c r="D1748" s="65"/>
      <c r="F1748" s="11"/>
      <c r="G1748" s="2">
        <v>1000</v>
      </c>
      <c r="I1748" s="2">
        <f t="shared" si="113"/>
        <v>7432.119999999999</v>
      </c>
      <c r="L1748" s="2">
        <f t="shared" si="114"/>
        <v>4</v>
      </c>
    </row>
    <row r="1749" spans="1:12" x14ac:dyDescent="0.3">
      <c r="A1749" s="3">
        <v>45244</v>
      </c>
      <c r="B1749" s="11" t="s">
        <v>3812</v>
      </c>
      <c r="D1749" s="65"/>
      <c r="F1749" s="11"/>
      <c r="G1749" s="2">
        <v>400</v>
      </c>
      <c r="I1749" s="2">
        <f t="shared" si="113"/>
        <v>7832.119999999999</v>
      </c>
      <c r="L1749" s="2">
        <f t="shared" si="114"/>
        <v>1.6</v>
      </c>
    </row>
    <row r="1750" spans="1:12" x14ac:dyDescent="0.3">
      <c r="A1750" s="3">
        <v>45244</v>
      </c>
      <c r="B1750" s="11" t="s">
        <v>4151</v>
      </c>
      <c r="C1750" s="50" t="s">
        <v>4152</v>
      </c>
      <c r="D1750" s="65"/>
      <c r="E1750" s="90" t="s">
        <v>16</v>
      </c>
      <c r="F1750" s="11"/>
      <c r="H1750" s="2">
        <v>500</v>
      </c>
      <c r="I1750" s="2">
        <f t="shared" si="113"/>
        <v>7332.119999999999</v>
      </c>
      <c r="L1750" s="2">
        <f t="shared" si="114"/>
        <v>27</v>
      </c>
    </row>
    <row r="1751" spans="1:12" x14ac:dyDescent="0.3">
      <c r="A1751" s="3">
        <v>45244</v>
      </c>
      <c r="B1751" s="11" t="s">
        <v>1160</v>
      </c>
      <c r="D1751" s="65"/>
      <c r="F1751" s="11"/>
      <c r="G1751" s="2">
        <v>500</v>
      </c>
      <c r="I1751" s="2">
        <f t="shared" si="113"/>
        <v>7832.119999999999</v>
      </c>
      <c r="L1751" s="2">
        <f t="shared" si="114"/>
        <v>2</v>
      </c>
    </row>
    <row r="1752" spans="1:12" x14ac:dyDescent="0.3">
      <c r="A1752" s="3">
        <v>45245</v>
      </c>
      <c r="B1752" s="11" t="s">
        <v>4157</v>
      </c>
      <c r="C1752" s="50" t="s">
        <v>4162</v>
      </c>
      <c r="D1752" s="65"/>
      <c r="F1752" s="11"/>
      <c r="H1752" s="2">
        <v>5100</v>
      </c>
      <c r="I1752" s="2">
        <f t="shared" si="113"/>
        <v>2732.119999999999</v>
      </c>
      <c r="L1752" s="2">
        <f t="shared" si="114"/>
        <v>20</v>
      </c>
    </row>
    <row r="1753" spans="1:12" x14ac:dyDescent="0.3">
      <c r="A1753" s="3">
        <v>45245</v>
      </c>
      <c r="B1753" s="11" t="s">
        <v>1250</v>
      </c>
      <c r="C1753" s="50" t="s">
        <v>2387</v>
      </c>
      <c r="D1753" s="65"/>
      <c r="F1753" s="11"/>
      <c r="G1753" s="2">
        <v>900</v>
      </c>
      <c r="I1753" s="2">
        <f t="shared" si="113"/>
        <v>3632.119999999999</v>
      </c>
      <c r="L1753" s="2">
        <f t="shared" si="114"/>
        <v>3.6</v>
      </c>
    </row>
    <row r="1754" spans="1:12" x14ac:dyDescent="0.3">
      <c r="A1754" s="3">
        <v>45245</v>
      </c>
      <c r="B1754" s="11" t="s">
        <v>1250</v>
      </c>
      <c r="C1754" s="50" t="s">
        <v>4160</v>
      </c>
      <c r="D1754" s="65"/>
      <c r="F1754" s="11"/>
      <c r="G1754" s="2">
        <v>1000</v>
      </c>
      <c r="I1754" s="2">
        <f t="shared" si="113"/>
        <v>4632.119999999999</v>
      </c>
      <c r="L1754" s="2">
        <f t="shared" si="114"/>
        <v>4</v>
      </c>
    </row>
    <row r="1755" spans="1:12" x14ac:dyDescent="0.3">
      <c r="A1755" s="3">
        <v>45245</v>
      </c>
      <c r="B1755" s="11" t="s">
        <v>4161</v>
      </c>
      <c r="C1755" s="50" t="s">
        <v>3896</v>
      </c>
      <c r="D1755" s="65"/>
      <c r="F1755" s="11"/>
      <c r="H1755" s="2">
        <v>500</v>
      </c>
      <c r="I1755" s="2">
        <f t="shared" si="113"/>
        <v>4132.119999999999</v>
      </c>
      <c r="L1755" s="2">
        <f t="shared" si="114"/>
        <v>2</v>
      </c>
    </row>
    <row r="1756" spans="1:12" x14ac:dyDescent="0.3">
      <c r="A1756" s="3">
        <v>45245</v>
      </c>
      <c r="C1756" s="50" t="s">
        <v>2626</v>
      </c>
      <c r="D1756" s="65"/>
      <c r="F1756" s="11"/>
      <c r="G1756" s="2">
        <v>5000</v>
      </c>
      <c r="I1756" s="2">
        <f t="shared" si="113"/>
        <v>9132.119999999999</v>
      </c>
      <c r="L1756" s="2">
        <f t="shared" si="114"/>
        <v>20</v>
      </c>
    </row>
    <row r="1757" spans="1:12" x14ac:dyDescent="0.3">
      <c r="A1757" s="3">
        <v>45246</v>
      </c>
      <c r="B1757" s="11" t="s">
        <v>4157</v>
      </c>
      <c r="C1757" s="50" t="s">
        <v>4162</v>
      </c>
      <c r="D1757" s="65"/>
      <c r="F1757" s="11"/>
      <c r="H1757" s="2">
        <v>5000</v>
      </c>
      <c r="I1757" s="2">
        <f t="shared" si="113"/>
        <v>4132.119999999999</v>
      </c>
      <c r="L1757" s="2">
        <f t="shared" si="114"/>
        <v>20</v>
      </c>
    </row>
    <row r="1758" spans="1:12" x14ac:dyDescent="0.3">
      <c r="A1758" s="3">
        <v>45246</v>
      </c>
      <c r="B1758" s="11" t="s">
        <v>2192</v>
      </c>
      <c r="C1758" s="50" t="s">
        <v>2284</v>
      </c>
      <c r="D1758" s="65"/>
      <c r="F1758" s="11"/>
      <c r="G1758" s="2">
        <v>5000</v>
      </c>
      <c r="I1758" s="2">
        <f t="shared" si="113"/>
        <v>9132.119999999999</v>
      </c>
      <c r="L1758" s="2">
        <f t="shared" si="114"/>
        <v>20</v>
      </c>
    </row>
    <row r="1759" spans="1:12" x14ac:dyDescent="0.3">
      <c r="A1759" s="3">
        <v>45246</v>
      </c>
      <c r="B1759" s="11" t="s">
        <v>1160</v>
      </c>
      <c r="C1759" s="50" t="s">
        <v>4164</v>
      </c>
      <c r="D1759" s="65">
        <v>8084335415</v>
      </c>
      <c r="F1759" s="11"/>
      <c r="G1759" s="2">
        <v>2000</v>
      </c>
      <c r="I1759" s="2">
        <f t="shared" si="113"/>
        <v>11132.119999999999</v>
      </c>
      <c r="L1759" s="2">
        <f t="shared" si="114"/>
        <v>8</v>
      </c>
    </row>
    <row r="1760" spans="1:12" x14ac:dyDescent="0.3">
      <c r="A1760" s="3">
        <v>45246</v>
      </c>
      <c r="B1760" s="11" t="s">
        <v>3913</v>
      </c>
      <c r="C1760" s="50" t="s">
        <v>4165</v>
      </c>
      <c r="D1760" s="65"/>
      <c r="F1760" s="11"/>
      <c r="H1760" s="2">
        <v>6000</v>
      </c>
      <c r="I1760" s="2">
        <f t="shared" si="113"/>
        <v>5132.119999999999</v>
      </c>
      <c r="L1760" s="2">
        <f t="shared" si="114"/>
        <v>20</v>
      </c>
    </row>
    <row r="1761" spans="1:13" x14ac:dyDescent="0.3">
      <c r="A1761" s="3">
        <v>45246</v>
      </c>
      <c r="B1761" s="11" t="s">
        <v>4166</v>
      </c>
      <c r="C1761" s="50" t="s">
        <v>4173</v>
      </c>
      <c r="D1761" s="65"/>
      <c r="E1761" s="90" t="s">
        <v>14</v>
      </c>
      <c r="F1761" s="11"/>
      <c r="H1761" s="2">
        <v>200</v>
      </c>
      <c r="I1761" s="2">
        <f t="shared" si="113"/>
        <v>4932.119999999999</v>
      </c>
      <c r="L1761" s="2">
        <f t="shared" si="114"/>
        <v>25.8</v>
      </c>
    </row>
    <row r="1762" spans="1:13" x14ac:dyDescent="0.3">
      <c r="A1762" s="3">
        <v>45246</v>
      </c>
      <c r="B1762" s="11" t="s">
        <v>1250</v>
      </c>
      <c r="C1762" s="50" t="s">
        <v>4170</v>
      </c>
      <c r="D1762" s="65"/>
      <c r="F1762" s="11"/>
      <c r="G1762" s="2">
        <v>5000</v>
      </c>
      <c r="I1762" s="2">
        <f t="shared" si="113"/>
        <v>9932.119999999999</v>
      </c>
      <c r="L1762" s="2">
        <f t="shared" si="114"/>
        <v>20</v>
      </c>
    </row>
    <row r="1763" spans="1:13" x14ac:dyDescent="0.3">
      <c r="A1763" s="3">
        <v>45246</v>
      </c>
      <c r="B1763" s="11" t="s">
        <v>2735</v>
      </c>
      <c r="C1763" s="50" t="s">
        <v>1279</v>
      </c>
      <c r="D1763" s="65"/>
      <c r="F1763" s="11"/>
      <c r="H1763" s="2">
        <v>5000</v>
      </c>
      <c r="I1763" s="2">
        <f t="shared" si="113"/>
        <v>4932.119999999999</v>
      </c>
      <c r="L1763" s="2">
        <f t="shared" si="114"/>
        <v>20</v>
      </c>
    </row>
    <row r="1764" spans="1:13" x14ac:dyDescent="0.3">
      <c r="A1764" s="3">
        <v>45247</v>
      </c>
      <c r="B1764" s="11" t="s">
        <v>4171</v>
      </c>
      <c r="C1764" s="50" t="s">
        <v>4172</v>
      </c>
      <c r="D1764" s="65"/>
      <c r="E1764" s="90" t="s">
        <v>16</v>
      </c>
      <c r="F1764" s="11"/>
      <c r="H1764" s="2">
        <v>100</v>
      </c>
      <c r="I1764" s="2">
        <f t="shared" si="113"/>
        <v>4832.119999999999</v>
      </c>
      <c r="L1764" s="2">
        <f t="shared" si="114"/>
        <v>25.4</v>
      </c>
    </row>
    <row r="1765" spans="1:13" x14ac:dyDescent="0.3">
      <c r="A1765" s="3">
        <v>45247</v>
      </c>
      <c r="B1765" s="11" t="s">
        <v>1250</v>
      </c>
      <c r="D1765" s="65"/>
      <c r="F1765" s="11"/>
      <c r="H1765" s="2">
        <v>4500</v>
      </c>
      <c r="I1765" s="2">
        <f t="shared" si="113"/>
        <v>332.11999999999898</v>
      </c>
      <c r="L1765" s="2">
        <f t="shared" si="114"/>
        <v>18</v>
      </c>
    </row>
    <row r="1766" spans="1:13" x14ac:dyDescent="0.3">
      <c r="A1766" s="3">
        <v>45248</v>
      </c>
      <c r="C1766" s="50" t="s">
        <v>4177</v>
      </c>
      <c r="D1766" s="65"/>
      <c r="F1766" s="11"/>
      <c r="G1766" s="2">
        <v>500</v>
      </c>
      <c r="I1766" s="2">
        <f t="shared" si="113"/>
        <v>832.11999999999898</v>
      </c>
      <c r="L1766" s="2">
        <f t="shared" si="114"/>
        <v>2</v>
      </c>
    </row>
    <row r="1767" spans="1:13" x14ac:dyDescent="0.3">
      <c r="A1767" s="3">
        <v>45248</v>
      </c>
      <c r="B1767" s="11" t="s">
        <v>1160</v>
      </c>
      <c r="C1767" s="50" t="s">
        <v>3644</v>
      </c>
      <c r="D1767" s="65"/>
      <c r="F1767" s="11"/>
      <c r="G1767" s="2">
        <v>10000</v>
      </c>
      <c r="I1767" s="2">
        <f t="shared" si="113"/>
        <v>10832.119999999999</v>
      </c>
      <c r="L1767" s="2">
        <f t="shared" si="114"/>
        <v>20</v>
      </c>
    </row>
    <row r="1768" spans="1:13" x14ac:dyDescent="0.3">
      <c r="A1768" s="3">
        <v>45248</v>
      </c>
      <c r="B1768" s="11" t="s">
        <v>2448</v>
      </c>
      <c r="C1768" s="50" t="s">
        <v>2289</v>
      </c>
      <c r="D1768" s="65"/>
      <c r="F1768" s="11"/>
      <c r="H1768" s="2">
        <v>5000</v>
      </c>
      <c r="I1768" s="2">
        <f t="shared" si="113"/>
        <v>5832.119999999999</v>
      </c>
      <c r="L1768" s="2">
        <f t="shared" si="114"/>
        <v>20</v>
      </c>
    </row>
    <row r="1769" spans="1:13" x14ac:dyDescent="0.3">
      <c r="A1769" s="3">
        <v>45249</v>
      </c>
      <c r="C1769" s="50" t="s">
        <v>3035</v>
      </c>
      <c r="D1769" s="65"/>
      <c r="F1769" s="11"/>
      <c r="H1769" s="2">
        <v>5000</v>
      </c>
      <c r="I1769" s="2">
        <f t="shared" si="113"/>
        <v>832.11999999999898</v>
      </c>
      <c r="L1769" s="2">
        <f t="shared" si="114"/>
        <v>20</v>
      </c>
    </row>
    <row r="1770" spans="1:13" x14ac:dyDescent="0.3">
      <c r="A1770" s="3">
        <v>45249</v>
      </c>
      <c r="B1770" s="11" t="s">
        <v>2351</v>
      </c>
      <c r="C1770" s="50" t="s">
        <v>4178</v>
      </c>
      <c r="D1770" s="65">
        <v>7070948598</v>
      </c>
      <c r="F1770" s="11"/>
      <c r="G1770" s="2">
        <v>6000</v>
      </c>
      <c r="I1770" s="2">
        <f t="shared" si="113"/>
        <v>6832.119999999999</v>
      </c>
      <c r="L1770" s="2">
        <f t="shared" si="114"/>
        <v>20</v>
      </c>
    </row>
    <row r="1771" spans="1:13" x14ac:dyDescent="0.3">
      <c r="A1771" s="3">
        <v>45249</v>
      </c>
      <c r="B1771" s="11" t="s">
        <v>2716</v>
      </c>
      <c r="D1771" s="65"/>
      <c r="F1771" s="11"/>
      <c r="H1771" s="2">
        <v>3000</v>
      </c>
      <c r="I1771" s="2">
        <f t="shared" si="113"/>
        <v>3832.119999999999</v>
      </c>
      <c r="L1771" s="2">
        <f t="shared" si="114"/>
        <v>12</v>
      </c>
    </row>
    <row r="1772" spans="1:13" x14ac:dyDescent="0.3">
      <c r="A1772" s="3">
        <v>45250</v>
      </c>
      <c r="B1772" s="11" t="s">
        <v>4179</v>
      </c>
      <c r="C1772" s="50" t="s">
        <v>3750</v>
      </c>
      <c r="D1772" s="65"/>
      <c r="F1772" s="11"/>
      <c r="G1772" s="2">
        <v>500</v>
      </c>
      <c r="I1772" s="2">
        <f t="shared" si="113"/>
        <v>4332.119999999999</v>
      </c>
      <c r="L1772" s="2">
        <f t="shared" si="114"/>
        <v>2</v>
      </c>
    </row>
    <row r="1773" spans="1:13" x14ac:dyDescent="0.3">
      <c r="A1773" s="3">
        <v>45250</v>
      </c>
      <c r="B1773" s="11" t="s">
        <v>4061</v>
      </c>
      <c r="C1773" s="50" t="s">
        <v>2387</v>
      </c>
      <c r="D1773" s="65"/>
      <c r="F1773" s="11"/>
      <c r="G1773" s="2">
        <v>500</v>
      </c>
      <c r="I1773" s="2">
        <f t="shared" si="113"/>
        <v>4832.119999999999</v>
      </c>
      <c r="L1773" s="2">
        <f t="shared" si="114"/>
        <v>2</v>
      </c>
      <c r="M1773" t="s">
        <v>4180</v>
      </c>
    </row>
    <row r="1774" spans="1:13" x14ac:dyDescent="0.3">
      <c r="A1774" s="3">
        <v>45250</v>
      </c>
      <c r="B1774" s="11" t="s">
        <v>2351</v>
      </c>
      <c r="D1774" s="65"/>
      <c r="F1774" s="11"/>
      <c r="G1774" s="2">
        <v>800</v>
      </c>
      <c r="I1774" s="2">
        <f t="shared" si="113"/>
        <v>5632.119999999999</v>
      </c>
      <c r="L1774" s="2">
        <f t="shared" si="114"/>
        <v>3.2</v>
      </c>
    </row>
    <row r="1775" spans="1:13" x14ac:dyDescent="0.3">
      <c r="A1775" s="3">
        <v>45251</v>
      </c>
      <c r="B1775" s="11" t="s">
        <v>1250</v>
      </c>
      <c r="C1775" s="50" t="s">
        <v>2626</v>
      </c>
      <c r="D1775" s="65"/>
      <c r="F1775" s="11"/>
      <c r="G1775" s="2">
        <v>3000</v>
      </c>
      <c r="I1775" s="2">
        <f t="shared" si="113"/>
        <v>8632.119999999999</v>
      </c>
      <c r="L1775" s="2">
        <f t="shared" si="114"/>
        <v>12</v>
      </c>
    </row>
    <row r="1776" spans="1:13" x14ac:dyDescent="0.3">
      <c r="A1776" s="3">
        <v>45251</v>
      </c>
      <c r="B1776" s="11" t="s">
        <v>4186</v>
      </c>
      <c r="C1776" s="50" t="s">
        <v>4189</v>
      </c>
      <c r="D1776" s="65"/>
      <c r="E1776" s="90" t="s">
        <v>16</v>
      </c>
      <c r="F1776" s="11"/>
      <c r="H1776" s="2">
        <v>200</v>
      </c>
      <c r="I1776" s="2">
        <f t="shared" si="113"/>
        <v>8432.119999999999</v>
      </c>
      <c r="L1776" s="2">
        <f t="shared" si="114"/>
        <v>25.8</v>
      </c>
    </row>
    <row r="1777" spans="1:12" x14ac:dyDescent="0.3">
      <c r="A1777" s="3">
        <v>45252</v>
      </c>
      <c r="B1777" s="11" t="s">
        <v>4182</v>
      </c>
      <c r="C1777" s="50" t="s">
        <v>4183</v>
      </c>
      <c r="D1777" s="65"/>
      <c r="F1777" s="11"/>
      <c r="H1777" s="2">
        <v>1500</v>
      </c>
      <c r="I1777" s="2">
        <f t="shared" si="113"/>
        <v>6932.119999999999</v>
      </c>
      <c r="L1777" s="2">
        <f t="shared" ref="L1777:L1801" si="115">IF((G1777+H1777)&lt;=5000,(H1777+G1777)*0.004,20)+IF(E1777="Y",25,0)</f>
        <v>6</v>
      </c>
    </row>
    <row r="1778" spans="1:12" x14ac:dyDescent="0.3">
      <c r="A1778" s="3">
        <v>45252</v>
      </c>
      <c r="B1778" s="11" t="s">
        <v>1250</v>
      </c>
      <c r="D1778" s="65"/>
      <c r="F1778" s="11"/>
      <c r="G1778" s="2">
        <v>700</v>
      </c>
      <c r="I1778" s="2">
        <f t="shared" si="113"/>
        <v>7632.119999999999</v>
      </c>
      <c r="L1778" s="2">
        <f t="shared" si="115"/>
        <v>2.8000000000000003</v>
      </c>
    </row>
    <row r="1779" spans="1:12" x14ac:dyDescent="0.3">
      <c r="A1779" s="3">
        <v>45252</v>
      </c>
      <c r="B1779" s="11" t="s">
        <v>4184</v>
      </c>
      <c r="C1779" s="50" t="s">
        <v>2554</v>
      </c>
      <c r="D1779" s="65"/>
      <c r="F1779" s="11"/>
      <c r="H1779" s="2">
        <v>1200</v>
      </c>
      <c r="I1779" s="2">
        <f t="shared" si="113"/>
        <v>6432.119999999999</v>
      </c>
      <c r="L1779" s="2">
        <f t="shared" si="115"/>
        <v>4.8</v>
      </c>
    </row>
    <row r="1780" spans="1:12" x14ac:dyDescent="0.3">
      <c r="A1780" s="3">
        <v>45252</v>
      </c>
      <c r="B1780" s="11" t="s">
        <v>1250</v>
      </c>
      <c r="C1780" s="50" t="s">
        <v>4185</v>
      </c>
      <c r="D1780" s="65">
        <v>7209817918</v>
      </c>
      <c r="F1780" s="11"/>
      <c r="G1780" s="2">
        <v>1000</v>
      </c>
      <c r="I1780" s="2">
        <f t="shared" si="113"/>
        <v>7432.119999999999</v>
      </c>
      <c r="L1780" s="2">
        <f t="shared" si="115"/>
        <v>4</v>
      </c>
    </row>
    <row r="1781" spans="1:12" x14ac:dyDescent="0.3">
      <c r="A1781" s="3">
        <v>45252</v>
      </c>
      <c r="B1781" s="11" t="s">
        <v>1472</v>
      </c>
      <c r="C1781" s="50" t="s">
        <v>2488</v>
      </c>
      <c r="D1781" s="65"/>
      <c r="F1781" s="11"/>
      <c r="G1781" s="2">
        <v>2000</v>
      </c>
      <c r="I1781" s="2">
        <f t="shared" si="113"/>
        <v>9432.119999999999</v>
      </c>
      <c r="L1781" s="2">
        <f t="shared" si="115"/>
        <v>8</v>
      </c>
    </row>
    <row r="1782" spans="1:12" x14ac:dyDescent="0.3">
      <c r="A1782" s="3">
        <v>45253</v>
      </c>
      <c r="B1782" s="11" t="s">
        <v>3290</v>
      </c>
      <c r="C1782" s="50" t="s">
        <v>1633</v>
      </c>
      <c r="D1782" s="65"/>
      <c r="F1782" s="11"/>
      <c r="G1782" s="2">
        <v>1000</v>
      </c>
      <c r="I1782" s="2">
        <f t="shared" si="113"/>
        <v>10432.119999999999</v>
      </c>
      <c r="L1782" s="2">
        <f t="shared" si="115"/>
        <v>4</v>
      </c>
    </row>
    <row r="1783" spans="1:12" x14ac:dyDescent="0.3">
      <c r="A1783" s="3">
        <v>45253</v>
      </c>
      <c r="B1783" s="11" t="s">
        <v>4191</v>
      </c>
      <c r="C1783" s="50" t="s">
        <v>4010</v>
      </c>
      <c r="D1783" s="65"/>
      <c r="F1783" s="11"/>
      <c r="H1783" s="2">
        <v>3000</v>
      </c>
      <c r="I1783" s="2">
        <f t="shared" si="113"/>
        <v>7432.119999999999</v>
      </c>
      <c r="L1783" s="2">
        <f t="shared" si="115"/>
        <v>12</v>
      </c>
    </row>
    <row r="1784" spans="1:12" x14ac:dyDescent="0.3">
      <c r="A1784" s="3">
        <v>45253</v>
      </c>
      <c r="B1784" s="11" t="s">
        <v>2448</v>
      </c>
      <c r="C1784" s="50" t="s">
        <v>2289</v>
      </c>
      <c r="D1784" s="65"/>
      <c r="F1784" s="11"/>
      <c r="H1784" s="2">
        <v>6000</v>
      </c>
      <c r="I1784" s="2">
        <f t="shared" si="113"/>
        <v>1432.119999999999</v>
      </c>
      <c r="L1784" s="2">
        <f t="shared" si="115"/>
        <v>20</v>
      </c>
    </row>
    <row r="1785" spans="1:12" x14ac:dyDescent="0.3">
      <c r="A1785" s="3">
        <v>45253</v>
      </c>
      <c r="B1785" s="11" t="s">
        <v>3987</v>
      </c>
      <c r="C1785" s="50" t="s">
        <v>3139</v>
      </c>
      <c r="D1785" s="65"/>
      <c r="F1785" s="11"/>
      <c r="G1785" s="2">
        <v>3000</v>
      </c>
      <c r="I1785" s="2">
        <f t="shared" si="113"/>
        <v>4432.119999999999</v>
      </c>
      <c r="L1785" s="2">
        <f t="shared" si="115"/>
        <v>12</v>
      </c>
    </row>
    <row r="1786" spans="1:12" x14ac:dyDescent="0.3">
      <c r="A1786" s="3">
        <v>45253</v>
      </c>
      <c r="B1786" s="11" t="s">
        <v>3456</v>
      </c>
      <c r="D1786" s="65"/>
      <c r="F1786" s="11"/>
      <c r="G1786" s="2">
        <v>2000</v>
      </c>
      <c r="I1786" s="2">
        <f t="shared" si="113"/>
        <v>6432.119999999999</v>
      </c>
      <c r="L1786" s="2">
        <f t="shared" si="115"/>
        <v>8</v>
      </c>
    </row>
    <row r="1787" spans="1:12" x14ac:dyDescent="0.3">
      <c r="A1787" s="3">
        <v>45254</v>
      </c>
      <c r="B1787" s="11" t="s">
        <v>2241</v>
      </c>
      <c r="C1787" s="50" t="s">
        <v>4192</v>
      </c>
      <c r="D1787" s="65"/>
      <c r="F1787" s="11"/>
      <c r="G1787" s="2">
        <v>1050</v>
      </c>
      <c r="I1787" s="2">
        <f t="shared" si="113"/>
        <v>7482.119999999999</v>
      </c>
      <c r="L1787" s="2">
        <f t="shared" si="115"/>
        <v>4.2</v>
      </c>
    </row>
    <row r="1788" spans="1:12" x14ac:dyDescent="0.3">
      <c r="A1788" s="3">
        <v>45254</v>
      </c>
      <c r="B1788" s="11" t="s">
        <v>1250</v>
      </c>
      <c r="C1788" s="50" t="s">
        <v>2387</v>
      </c>
      <c r="D1788" s="65"/>
      <c r="F1788" s="11"/>
      <c r="G1788" s="2">
        <v>750</v>
      </c>
      <c r="I1788" s="2">
        <f t="shared" si="113"/>
        <v>8232.119999999999</v>
      </c>
      <c r="L1788" s="2">
        <f t="shared" si="115"/>
        <v>3</v>
      </c>
    </row>
    <row r="1789" spans="1:12" x14ac:dyDescent="0.3">
      <c r="A1789" s="3">
        <v>45258</v>
      </c>
      <c r="B1789" s="11" t="s">
        <v>2165</v>
      </c>
      <c r="C1789" s="50" t="s">
        <v>2874</v>
      </c>
      <c r="D1789" s="65"/>
      <c r="F1789" s="11"/>
      <c r="H1789" s="2">
        <v>500</v>
      </c>
      <c r="I1789" s="2">
        <f t="shared" si="113"/>
        <v>7732.119999999999</v>
      </c>
      <c r="L1789" s="2">
        <f t="shared" si="115"/>
        <v>2</v>
      </c>
    </row>
    <row r="1790" spans="1:12" x14ac:dyDescent="0.3">
      <c r="A1790" s="3">
        <v>45258</v>
      </c>
      <c r="B1790" s="11" t="s">
        <v>4194</v>
      </c>
      <c r="D1790" s="65"/>
      <c r="E1790" s="90" t="s">
        <v>16</v>
      </c>
      <c r="F1790" s="11"/>
      <c r="H1790" s="2">
        <v>200</v>
      </c>
      <c r="I1790" s="2">
        <f t="shared" si="113"/>
        <v>7532.119999999999</v>
      </c>
      <c r="L1790" s="2">
        <f t="shared" si="115"/>
        <v>25.8</v>
      </c>
    </row>
    <row r="1791" spans="1:12" x14ac:dyDescent="0.3">
      <c r="A1791" s="3">
        <v>45258</v>
      </c>
      <c r="B1791" s="11" t="s">
        <v>4195</v>
      </c>
      <c r="D1791" s="65"/>
      <c r="E1791" s="90" t="s">
        <v>16</v>
      </c>
      <c r="F1791" s="11"/>
      <c r="H1791" s="2">
        <v>100</v>
      </c>
      <c r="I1791" s="2">
        <f t="shared" si="113"/>
        <v>7432.119999999999</v>
      </c>
      <c r="L1791" s="2">
        <f t="shared" si="115"/>
        <v>25.4</v>
      </c>
    </row>
    <row r="1792" spans="1:12" x14ac:dyDescent="0.3">
      <c r="A1792" s="3">
        <v>45259</v>
      </c>
      <c r="B1792" s="11" t="s">
        <v>4072</v>
      </c>
      <c r="C1792" s="50" t="s">
        <v>3370</v>
      </c>
      <c r="D1792" s="65"/>
      <c r="F1792" s="11"/>
      <c r="H1792" s="2">
        <v>1200</v>
      </c>
      <c r="I1792" s="2">
        <f t="shared" si="113"/>
        <v>6232.119999999999</v>
      </c>
      <c r="L1792" s="2">
        <f t="shared" si="115"/>
        <v>4.8</v>
      </c>
    </row>
    <row r="1793" spans="1:14" x14ac:dyDescent="0.3">
      <c r="A1793" s="3">
        <v>45259</v>
      </c>
      <c r="B1793" s="11" t="s">
        <v>2351</v>
      </c>
      <c r="C1793" s="50" t="s">
        <v>4205</v>
      </c>
      <c r="D1793" s="65">
        <v>9798255647</v>
      </c>
      <c r="F1793" s="11"/>
      <c r="G1793" s="2">
        <v>2000</v>
      </c>
      <c r="I1793" s="2">
        <f t="shared" si="113"/>
        <v>8232.119999999999</v>
      </c>
      <c r="L1793" s="2">
        <f t="shared" si="115"/>
        <v>8</v>
      </c>
    </row>
    <row r="1794" spans="1:14" x14ac:dyDescent="0.3">
      <c r="A1794" s="3">
        <v>45259</v>
      </c>
      <c r="B1794" s="11" t="s">
        <v>1250</v>
      </c>
      <c r="C1794" s="50" t="s">
        <v>4206</v>
      </c>
      <c r="D1794" s="65"/>
      <c r="F1794" s="11"/>
      <c r="G1794" s="2">
        <v>1500</v>
      </c>
      <c r="I1794" s="2">
        <f t="shared" si="113"/>
        <v>9732.119999999999</v>
      </c>
      <c r="L1794" s="2">
        <f t="shared" si="115"/>
        <v>6</v>
      </c>
    </row>
    <row r="1795" spans="1:14" x14ac:dyDescent="0.3">
      <c r="A1795" s="3">
        <v>45259</v>
      </c>
      <c r="B1795" s="11" t="s">
        <v>3543</v>
      </c>
      <c r="C1795" s="50" t="s">
        <v>2626</v>
      </c>
      <c r="D1795" s="65"/>
      <c r="F1795" s="11"/>
      <c r="G1795" s="2">
        <v>1500</v>
      </c>
      <c r="I1795" s="2">
        <f t="shared" si="113"/>
        <v>11232.119999999999</v>
      </c>
      <c r="L1795" s="2">
        <f t="shared" si="115"/>
        <v>6</v>
      </c>
    </row>
    <row r="1796" spans="1:14" x14ac:dyDescent="0.3">
      <c r="A1796" s="3">
        <v>45260</v>
      </c>
      <c r="B1796" s="11" t="s">
        <v>2528</v>
      </c>
      <c r="C1796" s="50" t="s">
        <v>4207</v>
      </c>
      <c r="D1796" s="65"/>
      <c r="F1796" s="11"/>
      <c r="G1796" s="2">
        <v>2000</v>
      </c>
      <c r="I1796" s="2">
        <f t="shared" si="113"/>
        <v>13232.119999999999</v>
      </c>
      <c r="L1796" s="2">
        <f t="shared" si="115"/>
        <v>8</v>
      </c>
    </row>
    <row r="1797" spans="1:14" x14ac:dyDescent="0.3">
      <c r="A1797" s="3">
        <v>45260</v>
      </c>
      <c r="B1797" s="11" t="s">
        <v>4208</v>
      </c>
      <c r="C1797" s="50" t="s">
        <v>2679</v>
      </c>
      <c r="D1797" s="65"/>
      <c r="F1797" s="11"/>
      <c r="H1797" s="2">
        <v>4000</v>
      </c>
      <c r="I1797" s="2">
        <f t="shared" si="113"/>
        <v>9232.119999999999</v>
      </c>
      <c r="L1797" s="2">
        <f t="shared" si="115"/>
        <v>16</v>
      </c>
    </row>
    <row r="1798" spans="1:14" x14ac:dyDescent="0.3">
      <c r="A1798" s="3">
        <v>45260</v>
      </c>
      <c r="B1798" s="11" t="s">
        <v>4081</v>
      </c>
      <c r="C1798" s="50" t="s">
        <v>1963</v>
      </c>
      <c r="D1798" s="65"/>
      <c r="F1798" s="11"/>
      <c r="H1798" s="2">
        <v>3500</v>
      </c>
      <c r="I1798" s="2">
        <f>I1797+G1798-H1798</f>
        <v>5732.119999999999</v>
      </c>
      <c r="L1798" s="2">
        <f t="shared" si="115"/>
        <v>14</v>
      </c>
    </row>
    <row r="1799" spans="1:14" x14ac:dyDescent="0.3">
      <c r="A1799" s="3">
        <v>45260</v>
      </c>
      <c r="B1799" s="11" t="s">
        <v>4210</v>
      </c>
      <c r="C1799" s="50" t="s">
        <v>4209</v>
      </c>
      <c r="D1799" s="65"/>
      <c r="E1799" s="90" t="s">
        <v>16</v>
      </c>
      <c r="F1799" s="11"/>
      <c r="H1799" s="2">
        <v>100</v>
      </c>
      <c r="I1799" s="2">
        <f>I1798+G1799-H1799</f>
        <v>5632.119999999999</v>
      </c>
      <c r="L1799" s="2">
        <f t="shared" si="115"/>
        <v>25.4</v>
      </c>
    </row>
    <row r="1800" spans="1:14" x14ac:dyDescent="0.3">
      <c r="A1800" s="3">
        <v>45260</v>
      </c>
      <c r="B1800" s="11" t="s">
        <v>3849</v>
      </c>
      <c r="C1800" s="50" t="s">
        <v>2551</v>
      </c>
      <c r="D1800" s="65"/>
      <c r="F1800" s="11"/>
      <c r="H1800" s="2">
        <v>4400</v>
      </c>
      <c r="I1800" s="2">
        <f>I1799+G1800-H1800</f>
        <v>1232.119999999999</v>
      </c>
      <c r="L1800" s="2">
        <f t="shared" si="115"/>
        <v>17.600000000000001</v>
      </c>
    </row>
    <row r="1801" spans="1:14" x14ac:dyDescent="0.3">
      <c r="A1801" s="3"/>
      <c r="C1801" s="50" t="s">
        <v>4215</v>
      </c>
      <c r="D1801" s="65"/>
      <c r="F1801" s="11"/>
      <c r="H1801" s="2">
        <v>100</v>
      </c>
      <c r="I1801" s="2">
        <f>I1800+G1801-H1801</f>
        <v>1132.119999999999</v>
      </c>
      <c r="L1801" s="2">
        <f t="shared" si="115"/>
        <v>0.4</v>
      </c>
    </row>
    <row r="1802" spans="1:14" x14ac:dyDescent="0.3">
      <c r="A1802" s="77">
        <f>COUNT(A1713:A1800)</f>
        <v>88</v>
      </c>
      <c r="B1802" s="80"/>
      <c r="C1802" s="112"/>
      <c r="D1802" s="112"/>
      <c r="E1802" s="92">
        <f>COUNTIF(E1713:E1800,"Y")</f>
        <v>11</v>
      </c>
      <c r="F1802" s="77">
        <f>G1802+H1802</f>
        <v>223943.85</v>
      </c>
      <c r="G1802" s="84">
        <f>SUM(G1713:G1800)</f>
        <v>111393.85</v>
      </c>
      <c r="H1802" s="84">
        <f>SUM(H1713:H1801)</f>
        <v>112550</v>
      </c>
      <c r="I1802" s="84"/>
      <c r="J1802" s="80"/>
      <c r="K1802" s="80"/>
      <c r="L1802" s="84">
        <f>SUM(L1713:L1801)</f>
        <v>1094.3753999999999</v>
      </c>
      <c r="M1802" s="77"/>
      <c r="N1802" s="77"/>
    </row>
    <row r="1803" spans="1:14" x14ac:dyDescent="0.3">
      <c r="C1803" s="51"/>
      <c r="D1803" s="51"/>
      <c r="F1803" s="11"/>
    </row>
    <row r="1804" spans="1:14" x14ac:dyDescent="0.3">
      <c r="A1804" s="3">
        <v>45261</v>
      </c>
      <c r="D1804" s="65"/>
      <c r="F1804" s="11"/>
      <c r="G1804" s="2">
        <f>I1801</f>
        <v>1132.119999999999</v>
      </c>
      <c r="I1804" s="2">
        <f t="shared" ref="I1804:I1820" si="116">I1803+G1804-H1804</f>
        <v>1132.119999999999</v>
      </c>
    </row>
    <row r="1805" spans="1:14" x14ac:dyDescent="0.3">
      <c r="A1805" s="3">
        <v>45261</v>
      </c>
      <c r="C1805" s="50" t="s">
        <v>3670</v>
      </c>
      <c r="D1805" s="65"/>
      <c r="F1805" s="11"/>
      <c r="G1805" s="2">
        <v>6000</v>
      </c>
      <c r="I1805" s="2">
        <f t="shared" si="116"/>
        <v>7132.119999999999</v>
      </c>
      <c r="L1805" s="2">
        <f t="shared" ref="L1805:L1836" si="117">IF((G1805+H1805)&lt;=5000,(H1805+G1805)*0.004,20)+IF(E1805="Y",25,0)</f>
        <v>20</v>
      </c>
    </row>
    <row r="1806" spans="1:14" x14ac:dyDescent="0.3">
      <c r="A1806" s="3">
        <v>45262</v>
      </c>
      <c r="B1806" s="11" t="s">
        <v>3002</v>
      </c>
      <c r="D1806" s="65"/>
      <c r="F1806" s="11"/>
      <c r="H1806" s="2">
        <v>5000</v>
      </c>
      <c r="I1806" s="2">
        <f t="shared" si="116"/>
        <v>2132.119999999999</v>
      </c>
      <c r="L1806" s="2">
        <f t="shared" si="117"/>
        <v>20</v>
      </c>
    </row>
    <row r="1807" spans="1:14" x14ac:dyDescent="0.3">
      <c r="A1807" s="3">
        <v>45262</v>
      </c>
      <c r="B1807" s="11" t="s">
        <v>1472</v>
      </c>
      <c r="C1807" s="50" t="s">
        <v>2488</v>
      </c>
      <c r="D1807" s="65"/>
      <c r="F1807" s="11"/>
      <c r="G1807" s="2">
        <v>10000</v>
      </c>
      <c r="I1807" s="2">
        <f t="shared" si="116"/>
        <v>12132.119999999999</v>
      </c>
      <c r="L1807" s="2">
        <f t="shared" si="117"/>
        <v>20</v>
      </c>
    </row>
    <row r="1808" spans="1:14" x14ac:dyDescent="0.3">
      <c r="A1808" s="3">
        <v>45262</v>
      </c>
      <c r="B1808" s="11" t="s">
        <v>3849</v>
      </c>
      <c r="C1808" s="50" t="s">
        <v>4218</v>
      </c>
      <c r="D1808" s="65"/>
      <c r="F1808" s="11"/>
      <c r="H1808" s="2">
        <v>3100</v>
      </c>
      <c r="I1808" s="2">
        <f t="shared" si="116"/>
        <v>9032.119999999999</v>
      </c>
      <c r="L1808" s="2">
        <f t="shared" si="117"/>
        <v>12.4</v>
      </c>
    </row>
    <row r="1809" spans="1:12" x14ac:dyDescent="0.3">
      <c r="A1809" s="3">
        <v>45262</v>
      </c>
      <c r="B1809" s="11" t="s">
        <v>1472</v>
      </c>
      <c r="C1809" s="50" t="s">
        <v>4219</v>
      </c>
      <c r="D1809" s="65"/>
      <c r="F1809" s="11"/>
      <c r="G1809" s="2">
        <v>2000</v>
      </c>
      <c r="I1809" s="2">
        <f t="shared" si="116"/>
        <v>11032.119999999999</v>
      </c>
      <c r="L1809" s="2">
        <f t="shared" si="117"/>
        <v>8</v>
      </c>
    </row>
    <row r="1810" spans="1:12" x14ac:dyDescent="0.3">
      <c r="A1810" s="3">
        <v>45264</v>
      </c>
      <c r="B1810" s="11" t="s">
        <v>2448</v>
      </c>
      <c r="C1810" s="50" t="s">
        <v>2274</v>
      </c>
      <c r="D1810" s="65"/>
      <c r="F1810" s="11"/>
      <c r="H1810" s="2">
        <v>10000</v>
      </c>
      <c r="I1810" s="2">
        <f t="shared" si="116"/>
        <v>1032.119999999999</v>
      </c>
      <c r="L1810" s="2">
        <f t="shared" si="117"/>
        <v>20</v>
      </c>
    </row>
    <row r="1811" spans="1:12" x14ac:dyDescent="0.3">
      <c r="A1811" s="3">
        <v>45264</v>
      </c>
      <c r="B1811" s="11" t="s">
        <v>4220</v>
      </c>
      <c r="C1811" s="50" t="s">
        <v>2348</v>
      </c>
      <c r="D1811" s="65"/>
      <c r="F1811" s="11"/>
      <c r="G1811" s="2">
        <v>5000</v>
      </c>
      <c r="I1811" s="2">
        <f t="shared" si="116"/>
        <v>6032.119999999999</v>
      </c>
      <c r="L1811" s="2">
        <f t="shared" si="117"/>
        <v>20</v>
      </c>
    </row>
    <row r="1812" spans="1:12" x14ac:dyDescent="0.3">
      <c r="A1812" s="3">
        <v>45264</v>
      </c>
      <c r="B1812" s="11" t="s">
        <v>1160</v>
      </c>
      <c r="C1812" s="50" t="s">
        <v>4221</v>
      </c>
      <c r="D1812" s="65"/>
      <c r="F1812" s="11"/>
      <c r="G1812" s="2">
        <v>500</v>
      </c>
      <c r="I1812" s="2">
        <f t="shared" si="116"/>
        <v>6532.119999999999</v>
      </c>
      <c r="L1812" s="2">
        <f t="shared" si="117"/>
        <v>2</v>
      </c>
    </row>
    <row r="1813" spans="1:12" x14ac:dyDescent="0.3">
      <c r="A1813" s="3">
        <v>45264</v>
      </c>
      <c r="B1813" s="11" t="s">
        <v>3198</v>
      </c>
      <c r="C1813" s="50" t="s">
        <v>4222</v>
      </c>
      <c r="D1813" s="65"/>
      <c r="F1813" s="11"/>
      <c r="H1813" s="2">
        <v>500</v>
      </c>
      <c r="I1813" s="2">
        <f t="shared" si="116"/>
        <v>6032.119999999999</v>
      </c>
      <c r="L1813" s="2">
        <f t="shared" si="117"/>
        <v>2</v>
      </c>
    </row>
    <row r="1814" spans="1:12" x14ac:dyDescent="0.3">
      <c r="A1814" s="3">
        <v>45264</v>
      </c>
      <c r="B1814" s="11" t="s">
        <v>2743</v>
      </c>
      <c r="C1814" s="50" t="s">
        <v>4223</v>
      </c>
      <c r="D1814" s="65"/>
      <c r="F1814" s="11"/>
      <c r="G1814" s="2">
        <v>1000</v>
      </c>
      <c r="I1814" s="2">
        <f t="shared" si="116"/>
        <v>7032.119999999999</v>
      </c>
      <c r="L1814" s="2">
        <f t="shared" si="117"/>
        <v>4</v>
      </c>
    </row>
    <row r="1815" spans="1:12" x14ac:dyDescent="0.3">
      <c r="A1815" s="3">
        <v>45264</v>
      </c>
      <c r="B1815" s="11" t="s">
        <v>1250</v>
      </c>
      <c r="C1815" s="50" t="s">
        <v>2626</v>
      </c>
      <c r="D1815" s="65"/>
      <c r="F1815" s="11"/>
      <c r="G1815" s="2">
        <v>8000</v>
      </c>
      <c r="I1815" s="2">
        <f t="shared" si="116"/>
        <v>15032.119999999999</v>
      </c>
      <c r="L1815" s="2">
        <f t="shared" si="117"/>
        <v>20</v>
      </c>
    </row>
    <row r="1816" spans="1:12" x14ac:dyDescent="0.3">
      <c r="A1816" s="3">
        <v>45264</v>
      </c>
      <c r="B1816" s="11" t="s">
        <v>4081</v>
      </c>
      <c r="C1816" s="50" t="s">
        <v>4224</v>
      </c>
      <c r="D1816" s="65"/>
      <c r="F1816" s="11"/>
      <c r="H1816" s="2">
        <v>1000</v>
      </c>
      <c r="I1816" s="2">
        <f t="shared" si="116"/>
        <v>14032.119999999999</v>
      </c>
      <c r="L1816" s="2">
        <f t="shared" si="117"/>
        <v>4</v>
      </c>
    </row>
    <row r="1817" spans="1:12" x14ac:dyDescent="0.3">
      <c r="A1817" s="3">
        <v>45264</v>
      </c>
      <c r="B1817" s="11" t="s">
        <v>2338</v>
      </c>
      <c r="C1817" s="50" t="s">
        <v>1356</v>
      </c>
      <c r="D1817" s="65"/>
      <c r="F1817" s="11"/>
      <c r="H1817" s="2">
        <v>5000</v>
      </c>
      <c r="I1817" s="2">
        <f t="shared" si="116"/>
        <v>9032.119999999999</v>
      </c>
      <c r="L1817" s="2">
        <f t="shared" si="117"/>
        <v>20</v>
      </c>
    </row>
    <row r="1818" spans="1:12" x14ac:dyDescent="0.3">
      <c r="A1818" s="3">
        <v>45264</v>
      </c>
      <c r="B1818" s="11" t="s">
        <v>4226</v>
      </c>
      <c r="C1818" s="50" t="s">
        <v>4227</v>
      </c>
      <c r="D1818" s="65"/>
      <c r="E1818" s="90" t="s">
        <v>14</v>
      </c>
      <c r="F1818" s="11"/>
      <c r="H1818" s="2">
        <v>200</v>
      </c>
      <c r="I1818" s="2">
        <f t="shared" si="116"/>
        <v>8832.119999999999</v>
      </c>
      <c r="L1818" s="2">
        <f t="shared" si="117"/>
        <v>25.8</v>
      </c>
    </row>
    <row r="1819" spans="1:12" x14ac:dyDescent="0.3">
      <c r="A1819" s="3">
        <v>45265</v>
      </c>
      <c r="B1819" s="11" t="s">
        <v>4230</v>
      </c>
      <c r="C1819" s="50" t="s">
        <v>4231</v>
      </c>
      <c r="D1819" s="65"/>
      <c r="F1819" s="11"/>
      <c r="H1819" s="2">
        <v>5000</v>
      </c>
      <c r="I1819" s="2">
        <f t="shared" si="116"/>
        <v>3832.119999999999</v>
      </c>
      <c r="L1819" s="2">
        <f t="shared" si="117"/>
        <v>20</v>
      </c>
    </row>
    <row r="1820" spans="1:12" x14ac:dyDescent="0.3">
      <c r="A1820" s="3">
        <v>45265</v>
      </c>
      <c r="B1820" s="11" t="s">
        <v>4234</v>
      </c>
      <c r="C1820" s="50" t="s">
        <v>3231</v>
      </c>
      <c r="D1820" s="65"/>
      <c r="F1820" s="11"/>
      <c r="G1820" s="2">
        <v>400</v>
      </c>
      <c r="I1820" s="2">
        <f t="shared" si="116"/>
        <v>4232.119999999999</v>
      </c>
      <c r="L1820" s="2">
        <f t="shared" si="117"/>
        <v>1.6</v>
      </c>
    </row>
    <row r="1821" spans="1:12" x14ac:dyDescent="0.3">
      <c r="A1821" s="3">
        <v>45265</v>
      </c>
      <c r="B1821" s="11" t="s">
        <v>3849</v>
      </c>
      <c r="C1821" s="50" t="s">
        <v>4235</v>
      </c>
      <c r="D1821" s="65"/>
      <c r="F1821" s="11"/>
      <c r="H1821" s="2">
        <v>4000</v>
      </c>
      <c r="I1821" s="2">
        <f t="shared" ref="I1821:I1848" si="118">I1820+G1821-H1821</f>
        <v>232.11999999999898</v>
      </c>
      <c r="L1821" s="2">
        <f t="shared" si="117"/>
        <v>16</v>
      </c>
    </row>
    <row r="1822" spans="1:12" x14ac:dyDescent="0.3">
      <c r="A1822" s="3">
        <v>45266</v>
      </c>
      <c r="B1822" s="11" t="s">
        <v>1250</v>
      </c>
      <c r="C1822" s="50" t="s">
        <v>2626</v>
      </c>
      <c r="D1822" s="65"/>
      <c r="F1822" s="11"/>
      <c r="G1822" s="2">
        <v>3000</v>
      </c>
      <c r="I1822" s="2">
        <f t="shared" si="118"/>
        <v>3232.119999999999</v>
      </c>
      <c r="L1822" s="2">
        <f t="shared" si="117"/>
        <v>12</v>
      </c>
    </row>
    <row r="1823" spans="1:12" x14ac:dyDescent="0.3">
      <c r="A1823" s="3">
        <v>45267</v>
      </c>
      <c r="B1823" s="11" t="s">
        <v>4237</v>
      </c>
      <c r="D1823" s="65"/>
      <c r="F1823" s="11"/>
      <c r="G1823" s="2">
        <v>3000</v>
      </c>
      <c r="I1823" s="2">
        <f t="shared" si="118"/>
        <v>6232.119999999999</v>
      </c>
      <c r="L1823" s="2">
        <f t="shared" si="117"/>
        <v>12</v>
      </c>
    </row>
    <row r="1824" spans="1:12" x14ac:dyDescent="0.3">
      <c r="A1824" s="3">
        <v>45268</v>
      </c>
      <c r="B1824" s="11" t="s">
        <v>2241</v>
      </c>
      <c r="C1824" s="50" t="s">
        <v>2627</v>
      </c>
      <c r="D1824" s="65"/>
      <c r="F1824" s="11"/>
      <c r="G1824" s="2">
        <v>1500</v>
      </c>
      <c r="I1824" s="2">
        <f t="shared" si="118"/>
        <v>7732.119999999999</v>
      </c>
      <c r="L1824" s="2">
        <f t="shared" si="117"/>
        <v>6</v>
      </c>
    </row>
    <row r="1825" spans="1:12" x14ac:dyDescent="0.3">
      <c r="A1825" s="3">
        <v>45268</v>
      </c>
      <c r="B1825" s="11" t="s">
        <v>4238</v>
      </c>
      <c r="C1825" s="50" t="s">
        <v>4251</v>
      </c>
      <c r="D1825" s="65"/>
      <c r="E1825" s="90" t="s">
        <v>16</v>
      </c>
      <c r="F1825" s="11"/>
      <c r="H1825" s="2">
        <v>1000</v>
      </c>
      <c r="I1825" s="2">
        <f t="shared" si="118"/>
        <v>6732.119999999999</v>
      </c>
      <c r="L1825" s="2">
        <f t="shared" si="117"/>
        <v>29</v>
      </c>
    </row>
    <row r="1826" spans="1:12" x14ac:dyDescent="0.3">
      <c r="A1826" s="3">
        <v>45268</v>
      </c>
      <c r="B1826" s="11" t="s">
        <v>1472</v>
      </c>
      <c r="D1826" s="65"/>
      <c r="F1826" s="11"/>
      <c r="G1826" s="2">
        <v>3000</v>
      </c>
      <c r="I1826" s="2">
        <f t="shared" si="118"/>
        <v>9732.119999999999</v>
      </c>
      <c r="L1826" s="2">
        <f t="shared" si="117"/>
        <v>12</v>
      </c>
    </row>
    <row r="1827" spans="1:12" x14ac:dyDescent="0.3">
      <c r="A1827" s="3">
        <v>45268</v>
      </c>
      <c r="B1827" s="11" t="s">
        <v>3870</v>
      </c>
      <c r="C1827" s="50" t="s">
        <v>2186</v>
      </c>
      <c r="D1827" s="65"/>
      <c r="F1827" s="11"/>
      <c r="H1827" s="2">
        <v>3800</v>
      </c>
      <c r="I1827" s="2">
        <f t="shared" si="118"/>
        <v>5932.119999999999</v>
      </c>
      <c r="L1827" s="2">
        <f t="shared" si="117"/>
        <v>15.200000000000001</v>
      </c>
    </row>
    <row r="1828" spans="1:12" x14ac:dyDescent="0.3">
      <c r="A1828" s="3">
        <v>45268</v>
      </c>
      <c r="B1828" s="11" t="s">
        <v>1160</v>
      </c>
      <c r="C1828" s="50" t="s">
        <v>4242</v>
      </c>
      <c r="D1828" s="65">
        <v>8294945001</v>
      </c>
      <c r="F1828" s="11"/>
      <c r="G1828" s="2">
        <v>1000</v>
      </c>
      <c r="I1828" s="2">
        <f t="shared" si="118"/>
        <v>6932.119999999999</v>
      </c>
      <c r="L1828" s="2">
        <f t="shared" si="117"/>
        <v>4</v>
      </c>
    </row>
    <row r="1829" spans="1:12" x14ac:dyDescent="0.3">
      <c r="A1829" s="3">
        <v>45268</v>
      </c>
      <c r="B1829" s="11" t="s">
        <v>2716</v>
      </c>
      <c r="C1829" s="50" t="s">
        <v>1279</v>
      </c>
      <c r="D1829" s="65"/>
      <c r="F1829" s="11"/>
      <c r="H1829" s="2">
        <v>5000</v>
      </c>
      <c r="I1829" s="2">
        <f t="shared" si="118"/>
        <v>1932.119999999999</v>
      </c>
      <c r="L1829" s="2">
        <f t="shared" si="117"/>
        <v>20</v>
      </c>
    </row>
    <row r="1830" spans="1:12" x14ac:dyDescent="0.3">
      <c r="A1830" s="3">
        <v>45239</v>
      </c>
      <c r="B1830" s="11" t="s">
        <v>3232</v>
      </c>
      <c r="C1830" s="50" t="s">
        <v>4249</v>
      </c>
      <c r="D1830" s="65"/>
      <c r="F1830" s="11"/>
      <c r="G1830" s="2">
        <v>1000</v>
      </c>
      <c r="I1830" s="2">
        <f t="shared" si="118"/>
        <v>2932.119999999999</v>
      </c>
      <c r="L1830" s="2">
        <f t="shared" si="117"/>
        <v>4</v>
      </c>
    </row>
    <row r="1831" spans="1:12" x14ac:dyDescent="0.3">
      <c r="A1831" s="3">
        <v>45239</v>
      </c>
      <c r="B1831" s="11" t="s">
        <v>4244</v>
      </c>
      <c r="C1831" s="50" t="s">
        <v>4250</v>
      </c>
      <c r="D1831" s="65"/>
      <c r="E1831" s="90" t="s">
        <v>16</v>
      </c>
      <c r="F1831" s="11"/>
      <c r="H1831" s="2">
        <v>2000</v>
      </c>
      <c r="I1831" s="2">
        <f t="shared" si="118"/>
        <v>932.11999999999898</v>
      </c>
      <c r="L1831" s="2">
        <f t="shared" si="117"/>
        <v>33</v>
      </c>
    </row>
    <row r="1832" spans="1:12" x14ac:dyDescent="0.3">
      <c r="A1832" s="3">
        <v>45239</v>
      </c>
      <c r="B1832" s="11" t="s">
        <v>4253</v>
      </c>
      <c r="C1832" s="50" t="s">
        <v>107</v>
      </c>
      <c r="D1832" s="65"/>
      <c r="E1832" s="90" t="s">
        <v>16</v>
      </c>
      <c r="F1832" s="11"/>
      <c r="H1832" s="2">
        <v>200</v>
      </c>
      <c r="I1832" s="2">
        <f t="shared" si="118"/>
        <v>732.11999999999898</v>
      </c>
      <c r="L1832" s="2">
        <f t="shared" si="117"/>
        <v>25.8</v>
      </c>
    </row>
    <row r="1833" spans="1:12" x14ac:dyDescent="0.3">
      <c r="A1833" s="3">
        <v>45239</v>
      </c>
      <c r="B1833" s="11" t="s">
        <v>3706</v>
      </c>
      <c r="C1833" s="50" t="s">
        <v>4255</v>
      </c>
      <c r="D1833" s="65">
        <v>9064726847</v>
      </c>
      <c r="F1833" s="11"/>
      <c r="G1833" s="2">
        <v>3000</v>
      </c>
      <c r="I1833" s="2">
        <f t="shared" si="118"/>
        <v>3732.119999999999</v>
      </c>
      <c r="L1833" s="2">
        <f t="shared" si="117"/>
        <v>12</v>
      </c>
    </row>
    <row r="1834" spans="1:12" x14ac:dyDescent="0.3">
      <c r="A1834" s="3">
        <v>45271</v>
      </c>
      <c r="B1834" s="11" t="s">
        <v>1472</v>
      </c>
      <c r="C1834" s="50" t="s">
        <v>4256</v>
      </c>
      <c r="D1834" s="65">
        <v>7488423659</v>
      </c>
      <c r="F1834" s="11"/>
      <c r="G1834" s="2">
        <v>5000</v>
      </c>
      <c r="I1834" s="2">
        <f t="shared" si="118"/>
        <v>8732.119999999999</v>
      </c>
      <c r="L1834" s="2">
        <f t="shared" si="117"/>
        <v>20</v>
      </c>
    </row>
    <row r="1835" spans="1:12" x14ac:dyDescent="0.3">
      <c r="A1835" s="3">
        <v>45271</v>
      </c>
      <c r="B1835" s="11" t="s">
        <v>1250</v>
      </c>
      <c r="C1835" s="50" t="s">
        <v>2274</v>
      </c>
      <c r="D1835" s="65"/>
      <c r="F1835" s="11"/>
      <c r="H1835" s="2">
        <v>6000</v>
      </c>
      <c r="I1835" s="2">
        <f t="shared" si="118"/>
        <v>2732.119999999999</v>
      </c>
      <c r="L1835" s="2">
        <f t="shared" si="117"/>
        <v>20</v>
      </c>
    </row>
    <row r="1836" spans="1:12" x14ac:dyDescent="0.3">
      <c r="A1836" s="3">
        <v>45271</v>
      </c>
      <c r="B1836" s="11" t="s">
        <v>1160</v>
      </c>
      <c r="C1836" s="50" t="s">
        <v>3173</v>
      </c>
      <c r="D1836" s="65"/>
      <c r="F1836" s="11"/>
      <c r="G1836" s="2">
        <v>3000</v>
      </c>
      <c r="I1836" s="2">
        <f t="shared" si="118"/>
        <v>5732.119999999999</v>
      </c>
      <c r="L1836" s="2">
        <f t="shared" si="117"/>
        <v>12</v>
      </c>
    </row>
    <row r="1837" spans="1:12" x14ac:dyDescent="0.3">
      <c r="A1837" s="3">
        <v>45271</v>
      </c>
      <c r="B1837" s="11" t="s">
        <v>3290</v>
      </c>
      <c r="D1837" s="65"/>
      <c r="F1837" s="11"/>
      <c r="G1837" s="2">
        <v>1000</v>
      </c>
      <c r="I1837" s="2">
        <f t="shared" si="118"/>
        <v>6732.119999999999</v>
      </c>
      <c r="L1837" s="2">
        <f t="shared" ref="L1837:L1856" si="119">IF((G1837+H1837)&lt;=5000,(H1837+G1837)*0.004,20)+IF(E1837="Y",25,0)</f>
        <v>4</v>
      </c>
    </row>
    <row r="1838" spans="1:12" x14ac:dyDescent="0.3">
      <c r="A1838" s="3">
        <v>45271</v>
      </c>
      <c r="B1838" s="11" t="s">
        <v>3871</v>
      </c>
      <c r="C1838" s="50" t="s">
        <v>2870</v>
      </c>
      <c r="D1838" s="65"/>
      <c r="F1838" s="11"/>
      <c r="H1838" s="2">
        <v>5200</v>
      </c>
      <c r="I1838" s="2">
        <f t="shared" si="118"/>
        <v>1532.119999999999</v>
      </c>
      <c r="L1838" s="2">
        <f t="shared" si="119"/>
        <v>20</v>
      </c>
    </row>
    <row r="1839" spans="1:12" x14ac:dyDescent="0.3">
      <c r="A1839" s="3">
        <v>45271</v>
      </c>
      <c r="B1839" s="11" t="s">
        <v>4257</v>
      </c>
      <c r="D1839" s="65"/>
      <c r="F1839" s="11"/>
      <c r="H1839" s="2">
        <v>650</v>
      </c>
      <c r="I1839" s="2">
        <f t="shared" si="118"/>
        <v>882.11999999999898</v>
      </c>
      <c r="L1839" s="2">
        <f t="shared" si="119"/>
        <v>2.6</v>
      </c>
    </row>
    <row r="1840" spans="1:12" x14ac:dyDescent="0.3">
      <c r="A1840" s="3">
        <v>45272</v>
      </c>
      <c r="B1840" s="11" t="s">
        <v>1250</v>
      </c>
      <c r="D1840" s="65"/>
      <c r="F1840" s="11"/>
      <c r="G1840" s="2">
        <v>100</v>
      </c>
      <c r="I1840" s="2">
        <f t="shared" si="118"/>
        <v>982.11999999999898</v>
      </c>
      <c r="L1840" s="2">
        <f t="shared" si="119"/>
        <v>0.4</v>
      </c>
    </row>
    <row r="1841" spans="1:12" x14ac:dyDescent="0.3">
      <c r="A1841" s="3">
        <v>45272</v>
      </c>
      <c r="B1841" s="11" t="s">
        <v>2351</v>
      </c>
      <c r="C1841" s="50" t="s">
        <v>4113</v>
      </c>
      <c r="D1841" s="65"/>
      <c r="F1841" s="11"/>
      <c r="G1841" s="2">
        <v>2500</v>
      </c>
      <c r="I1841" s="2">
        <f t="shared" si="118"/>
        <v>3482.119999999999</v>
      </c>
      <c r="L1841" s="2">
        <f t="shared" si="119"/>
        <v>10</v>
      </c>
    </row>
    <row r="1842" spans="1:12" x14ac:dyDescent="0.3">
      <c r="A1842" s="3">
        <v>45272</v>
      </c>
      <c r="B1842" s="11" t="s">
        <v>1250</v>
      </c>
      <c r="C1842" s="50" t="s">
        <v>2443</v>
      </c>
      <c r="F1842" s="11"/>
      <c r="G1842" s="2">
        <v>1000</v>
      </c>
      <c r="I1842" s="2">
        <f t="shared" si="118"/>
        <v>4482.119999999999</v>
      </c>
      <c r="L1842" s="2">
        <f t="shared" si="119"/>
        <v>4</v>
      </c>
    </row>
    <row r="1843" spans="1:12" x14ac:dyDescent="0.3">
      <c r="A1843" s="3">
        <v>45272</v>
      </c>
      <c r="B1843" s="11" t="s">
        <v>3706</v>
      </c>
      <c r="C1843" s="50" t="s">
        <v>4255</v>
      </c>
      <c r="D1843" s="65">
        <v>9064726847</v>
      </c>
      <c r="F1843" s="11"/>
      <c r="G1843" s="2">
        <v>3000</v>
      </c>
      <c r="I1843" s="2">
        <f t="shared" si="118"/>
        <v>7482.119999999999</v>
      </c>
      <c r="L1843" s="2">
        <f t="shared" si="119"/>
        <v>12</v>
      </c>
    </row>
    <row r="1844" spans="1:12" x14ac:dyDescent="0.3">
      <c r="A1844" s="3">
        <v>45272</v>
      </c>
      <c r="B1844" s="11" t="s">
        <v>2735</v>
      </c>
      <c r="C1844" s="50" t="s">
        <v>1279</v>
      </c>
      <c r="D1844" s="65"/>
      <c r="F1844" s="11"/>
      <c r="H1844" s="2">
        <v>5000</v>
      </c>
      <c r="I1844" s="2">
        <f t="shared" si="118"/>
        <v>2482.119999999999</v>
      </c>
      <c r="L1844" s="2">
        <f t="shared" si="119"/>
        <v>20</v>
      </c>
    </row>
    <row r="1845" spans="1:12" x14ac:dyDescent="0.3">
      <c r="A1845" s="3">
        <v>45273</v>
      </c>
      <c r="B1845" s="11" t="s">
        <v>4264</v>
      </c>
      <c r="C1845" s="50" t="s">
        <v>4267</v>
      </c>
      <c r="D1845" s="65"/>
      <c r="E1845" s="90" t="s">
        <v>16</v>
      </c>
      <c r="F1845" s="11"/>
      <c r="H1845" s="2">
        <v>500</v>
      </c>
      <c r="I1845" s="2">
        <f t="shared" si="118"/>
        <v>1982.119999999999</v>
      </c>
      <c r="L1845" s="2">
        <f t="shared" si="119"/>
        <v>27</v>
      </c>
    </row>
    <row r="1846" spans="1:12" x14ac:dyDescent="0.3">
      <c r="A1846" s="3">
        <v>45273</v>
      </c>
      <c r="B1846" s="11" t="s">
        <v>3648</v>
      </c>
      <c r="C1846" s="50" t="s">
        <v>4269</v>
      </c>
      <c r="D1846" s="65">
        <v>9162911291</v>
      </c>
      <c r="F1846" s="11"/>
      <c r="G1846" s="2">
        <v>6000</v>
      </c>
      <c r="I1846" s="2">
        <f t="shared" si="118"/>
        <v>7982.119999999999</v>
      </c>
      <c r="L1846" s="2">
        <f t="shared" si="119"/>
        <v>20</v>
      </c>
    </row>
    <row r="1847" spans="1:12" x14ac:dyDescent="0.3">
      <c r="A1847" s="3">
        <v>45273</v>
      </c>
      <c r="B1847" s="11" t="s">
        <v>4157</v>
      </c>
      <c r="C1847" s="50" t="s">
        <v>1251</v>
      </c>
      <c r="D1847" s="65"/>
      <c r="F1847" s="11"/>
      <c r="H1847" s="2">
        <v>7000</v>
      </c>
      <c r="I1847" s="2">
        <f t="shared" si="118"/>
        <v>982.11999999999898</v>
      </c>
      <c r="L1847" s="2">
        <f t="shared" si="119"/>
        <v>20</v>
      </c>
    </row>
    <row r="1848" spans="1:12" x14ac:dyDescent="0.3">
      <c r="A1848" s="3">
        <v>45273</v>
      </c>
      <c r="B1848" s="11" t="s">
        <v>1160</v>
      </c>
      <c r="C1848" s="50" t="s">
        <v>4270</v>
      </c>
      <c r="D1848" s="65"/>
      <c r="F1848" s="11"/>
      <c r="G1848" s="2">
        <v>900</v>
      </c>
      <c r="I1848" s="2">
        <f t="shared" si="118"/>
        <v>1882.119999999999</v>
      </c>
      <c r="L1848" s="2">
        <f t="shared" si="119"/>
        <v>3.6</v>
      </c>
    </row>
    <row r="1849" spans="1:12" x14ac:dyDescent="0.3">
      <c r="A1849" s="3">
        <v>45273</v>
      </c>
      <c r="B1849" s="11" t="s">
        <v>3541</v>
      </c>
      <c r="C1849" s="50" t="s">
        <v>3542</v>
      </c>
      <c r="D1849" s="65"/>
      <c r="F1849" s="11"/>
      <c r="G1849" s="2">
        <v>2500</v>
      </c>
      <c r="I1849" s="2">
        <f t="shared" ref="I1849:I1873" si="120">I1848+G1849-H1849</f>
        <v>4382.119999999999</v>
      </c>
      <c r="L1849" s="2">
        <f t="shared" si="119"/>
        <v>10</v>
      </c>
    </row>
    <row r="1850" spans="1:12" x14ac:dyDescent="0.3">
      <c r="A1850" s="3">
        <v>45273</v>
      </c>
      <c r="B1850" s="11" t="s">
        <v>1160</v>
      </c>
      <c r="C1850" s="50" t="s">
        <v>4271</v>
      </c>
      <c r="D1850" s="65">
        <v>6205644928</v>
      </c>
      <c r="F1850" s="11"/>
      <c r="G1850" s="2">
        <v>3000</v>
      </c>
      <c r="I1850" s="2">
        <f t="shared" si="120"/>
        <v>7382.119999999999</v>
      </c>
      <c r="L1850" s="2">
        <f t="shared" si="119"/>
        <v>12</v>
      </c>
    </row>
    <row r="1851" spans="1:12" x14ac:dyDescent="0.3">
      <c r="A1851" s="3">
        <v>45273</v>
      </c>
      <c r="B1851" s="11" t="s">
        <v>2735</v>
      </c>
      <c r="C1851" s="50" t="s">
        <v>1279</v>
      </c>
      <c r="D1851" s="65"/>
      <c r="F1851" s="11"/>
      <c r="H1851" s="2">
        <v>5000</v>
      </c>
      <c r="I1851" s="2">
        <f t="shared" si="120"/>
        <v>2382.119999999999</v>
      </c>
      <c r="L1851" s="2">
        <f t="shared" si="119"/>
        <v>20</v>
      </c>
    </row>
    <row r="1852" spans="1:12" x14ac:dyDescent="0.3">
      <c r="A1852" s="3">
        <v>45274</v>
      </c>
      <c r="B1852" s="11" t="s">
        <v>3870</v>
      </c>
      <c r="C1852" s="50" t="s">
        <v>2285</v>
      </c>
      <c r="D1852" s="65"/>
      <c r="F1852" s="11"/>
      <c r="G1852" s="2">
        <v>1000</v>
      </c>
      <c r="I1852" s="2">
        <f t="shared" si="120"/>
        <v>3382.119999999999</v>
      </c>
      <c r="L1852" s="2">
        <f t="shared" si="119"/>
        <v>4</v>
      </c>
    </row>
    <row r="1853" spans="1:12" x14ac:dyDescent="0.3">
      <c r="A1853" s="3">
        <v>45274</v>
      </c>
      <c r="B1853" s="11" t="s">
        <v>4157</v>
      </c>
      <c r="C1853" s="50" t="s">
        <v>1251</v>
      </c>
      <c r="D1853" s="65"/>
      <c r="F1853" s="11"/>
      <c r="H1853" s="2">
        <v>3000</v>
      </c>
      <c r="I1853" s="2">
        <f t="shared" si="120"/>
        <v>382.11999999999898</v>
      </c>
      <c r="L1853" s="2">
        <f t="shared" si="119"/>
        <v>12</v>
      </c>
    </row>
    <row r="1854" spans="1:12" x14ac:dyDescent="0.3">
      <c r="A1854" s="3">
        <v>45275</v>
      </c>
      <c r="B1854" s="11" t="s">
        <v>4274</v>
      </c>
      <c r="C1854" s="50" t="s">
        <v>4275</v>
      </c>
      <c r="D1854" s="65"/>
      <c r="E1854" s="90" t="s">
        <v>14</v>
      </c>
      <c r="F1854" s="11"/>
      <c r="H1854" s="2">
        <v>200</v>
      </c>
      <c r="I1854" s="2">
        <f t="shared" si="120"/>
        <v>182.11999999999898</v>
      </c>
      <c r="L1854" s="2">
        <f t="shared" si="119"/>
        <v>25.8</v>
      </c>
    </row>
    <row r="1855" spans="1:12" x14ac:dyDescent="0.3">
      <c r="A1855" s="3">
        <v>45276</v>
      </c>
      <c r="B1855" s="11" t="s">
        <v>4279</v>
      </c>
      <c r="D1855" s="65"/>
      <c r="E1855" s="90" t="s">
        <v>16</v>
      </c>
      <c r="F1855" s="11"/>
      <c r="H1855" s="2">
        <v>150</v>
      </c>
      <c r="I1855" s="2">
        <f t="shared" si="120"/>
        <v>32.119999999998981</v>
      </c>
      <c r="L1855" s="2">
        <f t="shared" si="119"/>
        <v>25.6</v>
      </c>
    </row>
    <row r="1856" spans="1:12" x14ac:dyDescent="0.3">
      <c r="A1856" s="3">
        <v>45276</v>
      </c>
      <c r="C1856" s="50" t="s">
        <v>4280</v>
      </c>
      <c r="D1856" s="65"/>
      <c r="F1856" s="11"/>
      <c r="G1856" s="2">
        <v>1000</v>
      </c>
      <c r="I1856" s="2">
        <f t="shared" si="120"/>
        <v>1032.119999999999</v>
      </c>
      <c r="L1856" s="2">
        <f t="shared" si="119"/>
        <v>4</v>
      </c>
    </row>
    <row r="1857" spans="1:12" x14ac:dyDescent="0.3">
      <c r="A1857" s="3">
        <v>45276</v>
      </c>
      <c r="C1857" s="50" t="s">
        <v>2887</v>
      </c>
      <c r="D1857" s="65"/>
      <c r="F1857" s="11"/>
      <c r="G1857" s="2">
        <v>7000</v>
      </c>
      <c r="I1857" s="2">
        <f t="shared" si="120"/>
        <v>8032.119999999999</v>
      </c>
    </row>
    <row r="1858" spans="1:12" x14ac:dyDescent="0.3">
      <c r="A1858" s="3">
        <v>45276</v>
      </c>
      <c r="D1858" s="65"/>
      <c r="F1858" s="11"/>
      <c r="H1858" s="2">
        <v>7000</v>
      </c>
      <c r="I1858" s="2">
        <f t="shared" si="120"/>
        <v>1032.119999999999</v>
      </c>
      <c r="L1858" s="2">
        <f t="shared" ref="L1858:L1863" si="121">IF((G1858+H1858)&lt;=5000,(H1858+G1858)*0.004,20)+IF(E1858="Y",25,0)</f>
        <v>20</v>
      </c>
    </row>
    <row r="1859" spans="1:12" x14ac:dyDescent="0.3">
      <c r="A1859" s="3">
        <v>45286</v>
      </c>
      <c r="C1859" s="50" t="s">
        <v>2626</v>
      </c>
      <c r="D1859" s="65"/>
      <c r="F1859" s="11"/>
      <c r="G1859" s="2">
        <v>2200</v>
      </c>
      <c r="I1859" s="2">
        <f t="shared" si="120"/>
        <v>3232.119999999999</v>
      </c>
      <c r="L1859" s="2">
        <f t="shared" si="121"/>
        <v>8.8000000000000007</v>
      </c>
    </row>
    <row r="1860" spans="1:12" x14ac:dyDescent="0.3">
      <c r="A1860" s="3">
        <v>45286</v>
      </c>
      <c r="B1860" s="11" t="s">
        <v>2351</v>
      </c>
      <c r="C1860" s="50" t="s">
        <v>4281</v>
      </c>
      <c r="D1860" s="65"/>
      <c r="F1860" s="11"/>
      <c r="G1860" s="2">
        <v>300</v>
      </c>
      <c r="I1860" s="2">
        <f t="shared" si="120"/>
        <v>3532.119999999999</v>
      </c>
      <c r="L1860" s="2">
        <f t="shared" si="121"/>
        <v>1.2</v>
      </c>
    </row>
    <row r="1861" spans="1:12" x14ac:dyDescent="0.3">
      <c r="A1861" s="3">
        <v>45286</v>
      </c>
      <c r="B1861" s="11" t="s">
        <v>4282</v>
      </c>
      <c r="C1861" s="50" t="s">
        <v>4283</v>
      </c>
      <c r="D1861" s="65"/>
      <c r="E1861" s="90" t="s">
        <v>16</v>
      </c>
      <c r="F1861" s="11"/>
      <c r="H1861" s="2">
        <v>100</v>
      </c>
      <c r="I1861" s="2">
        <f t="shared" si="120"/>
        <v>3432.119999999999</v>
      </c>
      <c r="K1861">
        <v>4076</v>
      </c>
      <c r="L1861" s="2">
        <f t="shared" si="121"/>
        <v>25.4</v>
      </c>
    </row>
    <row r="1862" spans="1:12" x14ac:dyDescent="0.3">
      <c r="A1862" s="3">
        <v>45286</v>
      </c>
      <c r="B1862" s="11" t="s">
        <v>4285</v>
      </c>
      <c r="C1862" s="50" t="s">
        <v>4284</v>
      </c>
      <c r="D1862" s="65"/>
      <c r="F1862" s="11"/>
      <c r="G1862" s="2">
        <v>3000</v>
      </c>
      <c r="I1862" s="2">
        <f t="shared" si="120"/>
        <v>6432.119999999999</v>
      </c>
      <c r="L1862" s="2">
        <f t="shared" si="121"/>
        <v>12</v>
      </c>
    </row>
    <row r="1863" spans="1:12" x14ac:dyDescent="0.3">
      <c r="A1863" s="3">
        <v>45286</v>
      </c>
      <c r="B1863" s="11" t="s">
        <v>4027</v>
      </c>
      <c r="C1863" s="50" t="s">
        <v>4267</v>
      </c>
      <c r="D1863" s="65"/>
      <c r="F1863" s="11"/>
      <c r="H1863" s="2">
        <v>6000</v>
      </c>
      <c r="I1863" s="2">
        <f t="shared" si="120"/>
        <v>432.11999999999898</v>
      </c>
      <c r="L1863" s="2">
        <f t="shared" si="121"/>
        <v>20</v>
      </c>
    </row>
    <row r="1864" spans="1:12" x14ac:dyDescent="0.3">
      <c r="A1864" s="3"/>
      <c r="C1864" s="114" t="s">
        <v>4215</v>
      </c>
      <c r="D1864" s="70"/>
      <c r="E1864" s="97"/>
      <c r="F1864" s="37"/>
      <c r="G1864" s="64">
        <v>644.4300000000012</v>
      </c>
      <c r="H1864" s="64"/>
      <c r="I1864" s="64">
        <f t="shared" si="120"/>
        <v>1076.5500000000002</v>
      </c>
    </row>
    <row r="1865" spans="1:12" x14ac:dyDescent="0.3">
      <c r="A1865" s="3">
        <v>45287</v>
      </c>
      <c r="B1865" s="11" t="s">
        <v>4287</v>
      </c>
      <c r="C1865" s="50" t="s">
        <v>4288</v>
      </c>
      <c r="D1865" s="65"/>
      <c r="F1865" s="11"/>
      <c r="G1865" s="2">
        <v>1500</v>
      </c>
      <c r="I1865" s="2">
        <f t="shared" si="120"/>
        <v>2576.5500000000002</v>
      </c>
      <c r="L1865" s="2">
        <f t="shared" ref="L1865:L1873" si="122">IF((G1865+H1865)&lt;=5000,(H1865+G1865)*0.004,20)+IF(E1865="Y",25,0)</f>
        <v>6</v>
      </c>
    </row>
    <row r="1866" spans="1:12" x14ac:dyDescent="0.3">
      <c r="A1866" s="3">
        <v>45288</v>
      </c>
      <c r="B1866" s="11" t="s">
        <v>1160</v>
      </c>
      <c r="C1866" s="50" t="s">
        <v>4289</v>
      </c>
      <c r="D1866" s="65"/>
      <c r="F1866" s="11"/>
      <c r="G1866" s="2">
        <v>400</v>
      </c>
      <c r="I1866" s="2">
        <f t="shared" si="120"/>
        <v>2976.55</v>
      </c>
      <c r="L1866" s="2">
        <f t="shared" si="122"/>
        <v>1.6</v>
      </c>
    </row>
    <row r="1867" spans="1:12" x14ac:dyDescent="0.3">
      <c r="A1867" s="3">
        <v>45288</v>
      </c>
      <c r="B1867" s="11" t="s">
        <v>4290</v>
      </c>
      <c r="C1867" s="50" t="s">
        <v>4291</v>
      </c>
      <c r="D1867" s="65"/>
      <c r="F1867" s="11"/>
      <c r="G1867" s="2">
        <v>1000</v>
      </c>
      <c r="I1867" s="2">
        <f t="shared" si="120"/>
        <v>3976.55</v>
      </c>
      <c r="L1867" s="2">
        <f t="shared" si="122"/>
        <v>4</v>
      </c>
    </row>
    <row r="1868" spans="1:12" x14ac:dyDescent="0.3">
      <c r="A1868" s="3">
        <v>45288</v>
      </c>
      <c r="B1868" s="11" t="s">
        <v>4072</v>
      </c>
      <c r="C1868" s="50" t="s">
        <v>1593</v>
      </c>
      <c r="D1868" s="65"/>
      <c r="F1868" s="11"/>
      <c r="H1868" s="2">
        <v>1000</v>
      </c>
      <c r="I1868" s="2">
        <f t="shared" si="120"/>
        <v>2976.55</v>
      </c>
      <c r="L1868" s="2">
        <f t="shared" si="122"/>
        <v>4</v>
      </c>
    </row>
    <row r="1869" spans="1:12" x14ac:dyDescent="0.3">
      <c r="A1869" s="3">
        <v>45288</v>
      </c>
      <c r="B1869" s="11" t="s">
        <v>1472</v>
      </c>
      <c r="C1869" s="50" t="s">
        <v>2488</v>
      </c>
      <c r="G1869" s="2">
        <v>10000</v>
      </c>
      <c r="I1869" s="2">
        <f t="shared" si="120"/>
        <v>12976.55</v>
      </c>
      <c r="L1869" s="2">
        <f t="shared" si="122"/>
        <v>20</v>
      </c>
    </row>
    <row r="1870" spans="1:12" x14ac:dyDescent="0.3">
      <c r="A1870" s="3">
        <v>45288</v>
      </c>
      <c r="B1870" s="11" t="s">
        <v>2448</v>
      </c>
      <c r="C1870" s="50" t="s">
        <v>2274</v>
      </c>
      <c r="D1870" s="65"/>
      <c r="F1870" s="11"/>
      <c r="H1870" s="2">
        <v>8000</v>
      </c>
      <c r="I1870" s="2">
        <f t="shared" si="120"/>
        <v>4976.5499999999993</v>
      </c>
      <c r="L1870" s="2">
        <f t="shared" si="122"/>
        <v>20</v>
      </c>
    </row>
    <row r="1871" spans="1:12" x14ac:dyDescent="0.3">
      <c r="A1871" s="3">
        <v>45289</v>
      </c>
      <c r="B1871" s="11" t="s">
        <v>3915</v>
      </c>
      <c r="C1871" s="50" t="s">
        <v>4085</v>
      </c>
      <c r="D1871" s="65"/>
      <c r="F1871" s="11"/>
      <c r="G1871" s="2">
        <v>5100</v>
      </c>
      <c r="I1871" s="2">
        <f t="shared" si="120"/>
        <v>10076.549999999999</v>
      </c>
      <c r="L1871" s="2">
        <f t="shared" si="122"/>
        <v>20</v>
      </c>
    </row>
    <row r="1872" spans="1:12" x14ac:dyDescent="0.3">
      <c r="A1872" s="3">
        <v>45290</v>
      </c>
      <c r="B1872" s="11" t="s">
        <v>3870</v>
      </c>
      <c r="C1872" s="50" t="s">
        <v>2186</v>
      </c>
      <c r="D1872" s="65"/>
      <c r="F1872" s="11"/>
      <c r="H1872" s="2">
        <v>1580</v>
      </c>
      <c r="I1872" s="2">
        <f t="shared" si="120"/>
        <v>8496.5499999999993</v>
      </c>
      <c r="L1872" s="2">
        <f t="shared" si="122"/>
        <v>6.32</v>
      </c>
    </row>
    <row r="1873" spans="1:14" x14ac:dyDescent="0.3">
      <c r="A1873" s="3">
        <v>45290</v>
      </c>
      <c r="B1873" s="11" t="s">
        <v>2716</v>
      </c>
      <c r="C1873" s="50" t="s">
        <v>1356</v>
      </c>
      <c r="D1873" s="65"/>
      <c r="F1873" s="11"/>
      <c r="H1873" s="2">
        <v>7000</v>
      </c>
      <c r="I1873" s="2">
        <f t="shared" si="120"/>
        <v>1496.5499999999993</v>
      </c>
      <c r="L1873" s="2">
        <f t="shared" si="122"/>
        <v>20</v>
      </c>
    </row>
    <row r="1874" spans="1:14" x14ac:dyDescent="0.3">
      <c r="A1874" s="77">
        <f>COUNT(A1805:A1863)</f>
        <v>59</v>
      </c>
      <c r="B1874" s="80"/>
      <c r="C1874" s="112"/>
      <c r="D1874" s="112"/>
      <c r="E1874" s="92">
        <f>COUNTIF(E1805:E1863,"Y")</f>
        <v>8</v>
      </c>
      <c r="F1874" s="77">
        <f>G1874+H1874</f>
        <v>185776.55</v>
      </c>
      <c r="G1874" s="84">
        <f>SUM(G1804:G1865)</f>
        <v>94176.55</v>
      </c>
      <c r="H1874" s="84">
        <f>SUM(H1804:H1863)</f>
        <v>91600</v>
      </c>
      <c r="I1874" s="84"/>
      <c r="J1874" s="80"/>
      <c r="K1874" s="80"/>
      <c r="L1874" s="80">
        <f>SUM(L1804:L1873)</f>
        <v>919.12</v>
      </c>
      <c r="M1874" s="77"/>
      <c r="N1874" s="77"/>
    </row>
    <row r="1875" spans="1:14" x14ac:dyDescent="0.3">
      <c r="C1875" s="51"/>
      <c r="D1875" s="51"/>
      <c r="F1875" s="11"/>
    </row>
    <row r="1876" spans="1:14" x14ac:dyDescent="0.3">
      <c r="A1876" s="3">
        <v>45292</v>
      </c>
      <c r="C1876" s="50" t="s">
        <v>2832</v>
      </c>
      <c r="D1876" s="65"/>
      <c r="F1876" s="11"/>
      <c r="G1876" s="2">
        <f>I1873</f>
        <v>1496.5499999999993</v>
      </c>
      <c r="I1876" s="2">
        <f>I1875+G1876-H1876</f>
        <v>1496.5499999999993</v>
      </c>
    </row>
    <row r="1877" spans="1:14" x14ac:dyDescent="0.3">
      <c r="A1877" s="3">
        <v>45292</v>
      </c>
      <c r="B1877" s="11" t="s">
        <v>3543</v>
      </c>
      <c r="C1877" s="50" t="s">
        <v>2626</v>
      </c>
      <c r="D1877" s="65"/>
      <c r="F1877" s="11"/>
      <c r="G1877" s="2">
        <v>10000</v>
      </c>
      <c r="I1877" s="2">
        <f t="shared" ref="I1877:I1907" si="123">I1876+G1877-H1877</f>
        <v>11496.55</v>
      </c>
      <c r="L1877" s="2">
        <f t="shared" ref="L1877:L1908" si="124">IF((G1877+H1877)&lt;=5000,(H1877+G1877)*0.004,20)+IF(E1877="Y",25,0)</f>
        <v>20</v>
      </c>
    </row>
    <row r="1878" spans="1:14" x14ac:dyDescent="0.3">
      <c r="A1878" s="3">
        <v>45293</v>
      </c>
      <c r="B1878" s="11" t="s">
        <v>4157</v>
      </c>
      <c r="C1878" s="50" t="s">
        <v>1251</v>
      </c>
      <c r="D1878" s="65"/>
      <c r="F1878" s="11"/>
      <c r="H1878" s="2">
        <v>4000</v>
      </c>
      <c r="I1878" s="2">
        <f t="shared" si="123"/>
        <v>7496.5499999999993</v>
      </c>
      <c r="L1878" s="2">
        <f t="shared" si="124"/>
        <v>16</v>
      </c>
    </row>
    <row r="1879" spans="1:14" x14ac:dyDescent="0.3">
      <c r="A1879" s="3">
        <v>45293</v>
      </c>
      <c r="B1879" s="11" t="s">
        <v>4297</v>
      </c>
      <c r="C1879" s="50" t="s">
        <v>1279</v>
      </c>
      <c r="D1879" s="65"/>
      <c r="F1879" s="11"/>
      <c r="H1879" s="2">
        <v>5000</v>
      </c>
      <c r="I1879" s="2">
        <f t="shared" si="123"/>
        <v>2496.5499999999993</v>
      </c>
      <c r="L1879" s="2">
        <f t="shared" si="124"/>
        <v>20</v>
      </c>
    </row>
    <row r="1880" spans="1:14" x14ac:dyDescent="0.3">
      <c r="A1880" s="3">
        <v>45293</v>
      </c>
      <c r="B1880" s="11" t="s">
        <v>4061</v>
      </c>
      <c r="C1880" s="50" t="s">
        <v>2387</v>
      </c>
      <c r="D1880" s="65"/>
      <c r="F1880" s="11"/>
      <c r="G1880" s="2">
        <v>1000</v>
      </c>
      <c r="I1880" s="2">
        <f t="shared" si="123"/>
        <v>3496.5499999999993</v>
      </c>
      <c r="L1880" s="2">
        <f t="shared" si="124"/>
        <v>4</v>
      </c>
    </row>
    <row r="1881" spans="1:14" x14ac:dyDescent="0.3">
      <c r="A1881" s="3">
        <v>45293</v>
      </c>
      <c r="B1881" s="11" t="s">
        <v>1160</v>
      </c>
      <c r="C1881" s="50" t="s">
        <v>4298</v>
      </c>
      <c r="D1881" s="65">
        <v>9162882191</v>
      </c>
      <c r="F1881" s="11"/>
      <c r="G1881" s="2">
        <v>5100</v>
      </c>
      <c r="I1881" s="2">
        <f t="shared" si="123"/>
        <v>8596.5499999999993</v>
      </c>
      <c r="L1881" s="2">
        <f t="shared" si="124"/>
        <v>20</v>
      </c>
    </row>
    <row r="1882" spans="1:14" x14ac:dyDescent="0.3">
      <c r="A1882" s="3">
        <v>45293</v>
      </c>
      <c r="B1882" s="11" t="s">
        <v>2448</v>
      </c>
      <c r="C1882" s="50" t="s">
        <v>2274</v>
      </c>
      <c r="D1882" s="65"/>
      <c r="F1882" s="11"/>
      <c r="H1882" s="2">
        <v>5000</v>
      </c>
      <c r="I1882" s="2">
        <f t="shared" si="123"/>
        <v>3596.5499999999993</v>
      </c>
      <c r="L1882" s="2">
        <f t="shared" si="124"/>
        <v>20</v>
      </c>
    </row>
    <row r="1883" spans="1:14" x14ac:dyDescent="0.3">
      <c r="A1883" s="3">
        <v>45294</v>
      </c>
      <c r="B1883" s="11" t="s">
        <v>3543</v>
      </c>
      <c r="C1883" s="50" t="s">
        <v>2626</v>
      </c>
      <c r="D1883" s="65"/>
      <c r="F1883" s="11"/>
      <c r="G1883" s="2">
        <v>3500</v>
      </c>
      <c r="I1883" s="2">
        <f t="shared" si="123"/>
        <v>7096.5499999999993</v>
      </c>
      <c r="L1883" s="2">
        <f t="shared" si="124"/>
        <v>14</v>
      </c>
    </row>
    <row r="1884" spans="1:14" x14ac:dyDescent="0.3">
      <c r="A1884" s="3">
        <v>45294</v>
      </c>
      <c r="B1884" s="11" t="s">
        <v>3849</v>
      </c>
      <c r="C1884" s="50" t="s">
        <v>4218</v>
      </c>
      <c r="D1884" s="65"/>
      <c r="F1884" s="11"/>
      <c r="H1884" s="2">
        <v>3600</v>
      </c>
      <c r="I1884" s="2">
        <f t="shared" si="123"/>
        <v>3496.5499999999993</v>
      </c>
      <c r="L1884" s="2">
        <f t="shared" si="124"/>
        <v>14.4</v>
      </c>
    </row>
    <row r="1885" spans="1:14" x14ac:dyDescent="0.3">
      <c r="A1885" s="3">
        <v>45294</v>
      </c>
      <c r="B1885" s="11" t="s">
        <v>3870</v>
      </c>
      <c r="C1885" s="50" t="s">
        <v>2285</v>
      </c>
      <c r="D1885" s="65"/>
      <c r="F1885" s="11"/>
      <c r="H1885" s="2">
        <v>1000</v>
      </c>
      <c r="I1885" s="2">
        <f t="shared" si="123"/>
        <v>2496.5499999999993</v>
      </c>
      <c r="L1885" s="2">
        <f t="shared" si="124"/>
        <v>4</v>
      </c>
    </row>
    <row r="1886" spans="1:14" x14ac:dyDescent="0.3">
      <c r="A1886" s="3">
        <v>45294</v>
      </c>
      <c r="B1886" s="11" t="s">
        <v>4305</v>
      </c>
      <c r="D1886" s="65"/>
      <c r="E1886" s="90" t="s">
        <v>16</v>
      </c>
      <c r="F1886" s="11"/>
      <c r="H1886" s="2">
        <v>200</v>
      </c>
      <c r="I1886" s="2">
        <f t="shared" si="123"/>
        <v>2296.5499999999993</v>
      </c>
      <c r="L1886" s="2">
        <f t="shared" si="124"/>
        <v>25.8</v>
      </c>
    </row>
    <row r="1887" spans="1:14" x14ac:dyDescent="0.3">
      <c r="A1887" s="3">
        <v>45294</v>
      </c>
      <c r="B1887" s="11" t="s">
        <v>3733</v>
      </c>
      <c r="E1887" s="90" t="s">
        <v>16</v>
      </c>
      <c r="F1887" s="11"/>
      <c r="H1887" s="2">
        <v>200</v>
      </c>
      <c r="I1887" s="2">
        <f t="shared" si="123"/>
        <v>2096.5499999999993</v>
      </c>
      <c r="L1887" s="2">
        <f t="shared" si="124"/>
        <v>25.8</v>
      </c>
    </row>
    <row r="1888" spans="1:14" x14ac:dyDescent="0.3">
      <c r="A1888" s="3">
        <v>45294</v>
      </c>
      <c r="B1888" s="11" t="s">
        <v>1160</v>
      </c>
      <c r="C1888" s="50" t="s">
        <v>1523</v>
      </c>
      <c r="D1888" s="65"/>
      <c r="F1888" s="11"/>
      <c r="G1888" s="2">
        <v>1000</v>
      </c>
      <c r="I1888" s="2">
        <f t="shared" si="123"/>
        <v>3096.5499999999993</v>
      </c>
      <c r="L1888" s="2">
        <f t="shared" si="124"/>
        <v>4</v>
      </c>
    </row>
    <row r="1889" spans="1:12" x14ac:dyDescent="0.3">
      <c r="A1889" s="3">
        <v>45295</v>
      </c>
      <c r="B1889" s="11" t="s">
        <v>4306</v>
      </c>
      <c r="C1889" s="50" t="s">
        <v>4307</v>
      </c>
      <c r="D1889" s="65"/>
      <c r="F1889" s="11"/>
      <c r="G1889" s="2">
        <v>1000</v>
      </c>
      <c r="I1889" s="2">
        <f t="shared" si="123"/>
        <v>4096.5499999999993</v>
      </c>
      <c r="L1889" s="2">
        <f t="shared" si="124"/>
        <v>4</v>
      </c>
    </row>
    <row r="1890" spans="1:12" x14ac:dyDescent="0.3">
      <c r="A1890" s="3">
        <v>45295</v>
      </c>
      <c r="B1890" s="11" t="s">
        <v>4308</v>
      </c>
      <c r="C1890" s="50" t="s">
        <v>4309</v>
      </c>
      <c r="D1890" s="65"/>
      <c r="E1890" s="90" t="s">
        <v>14</v>
      </c>
      <c r="F1890" s="11"/>
      <c r="H1890" s="2">
        <v>2000</v>
      </c>
      <c r="I1890" s="2">
        <f t="shared" si="123"/>
        <v>2096.5499999999993</v>
      </c>
      <c r="L1890" s="2">
        <f t="shared" si="124"/>
        <v>33</v>
      </c>
    </row>
    <row r="1891" spans="1:12" x14ac:dyDescent="0.3">
      <c r="A1891" s="3">
        <v>45295</v>
      </c>
      <c r="B1891" s="11" t="s">
        <v>2241</v>
      </c>
      <c r="C1891" s="50" t="s">
        <v>4310</v>
      </c>
      <c r="D1891" s="65"/>
      <c r="F1891" s="11"/>
      <c r="G1891" s="2">
        <v>800</v>
      </c>
      <c r="I1891" s="2">
        <f t="shared" si="123"/>
        <v>2896.5499999999993</v>
      </c>
      <c r="L1891" s="2">
        <f t="shared" si="124"/>
        <v>3.2</v>
      </c>
    </row>
    <row r="1892" spans="1:12" x14ac:dyDescent="0.3">
      <c r="A1892" s="3">
        <v>45295</v>
      </c>
      <c r="B1892" s="11" t="s">
        <v>4311</v>
      </c>
      <c r="C1892" s="50" t="s">
        <v>2974</v>
      </c>
      <c r="D1892" s="65"/>
      <c r="F1892" s="11"/>
      <c r="G1892" s="2">
        <v>8000</v>
      </c>
      <c r="I1892" s="2">
        <f t="shared" si="123"/>
        <v>10896.55</v>
      </c>
      <c r="L1892" s="2">
        <f t="shared" si="124"/>
        <v>20</v>
      </c>
    </row>
    <row r="1893" spans="1:12" x14ac:dyDescent="0.3">
      <c r="A1893" s="3">
        <v>45295</v>
      </c>
      <c r="B1893" s="11" t="s">
        <v>4306</v>
      </c>
      <c r="C1893" s="50" t="s">
        <v>4312</v>
      </c>
      <c r="D1893" s="65">
        <v>9142796141</v>
      </c>
      <c r="F1893" s="11"/>
      <c r="G1893" s="2">
        <v>2500</v>
      </c>
      <c r="I1893" s="2">
        <f t="shared" si="123"/>
        <v>13396.55</v>
      </c>
      <c r="L1893" s="2">
        <f t="shared" si="124"/>
        <v>10</v>
      </c>
    </row>
    <row r="1894" spans="1:12" x14ac:dyDescent="0.3">
      <c r="A1894" s="3">
        <v>45295</v>
      </c>
      <c r="B1894" s="11" t="s">
        <v>4061</v>
      </c>
      <c r="C1894" s="50" t="s">
        <v>2387</v>
      </c>
      <c r="D1894" s="65"/>
      <c r="F1894" s="11"/>
      <c r="G1894" s="2">
        <v>2150</v>
      </c>
      <c r="I1894" s="2">
        <f t="shared" si="123"/>
        <v>15546.55</v>
      </c>
      <c r="L1894" s="2">
        <f t="shared" si="124"/>
        <v>8.6</v>
      </c>
    </row>
    <row r="1895" spans="1:12" x14ac:dyDescent="0.3">
      <c r="A1895" s="3">
        <v>45296</v>
      </c>
      <c r="B1895" s="11" t="s">
        <v>4319</v>
      </c>
      <c r="C1895" s="50" t="s">
        <v>4321</v>
      </c>
      <c r="D1895" s="65"/>
      <c r="E1895" s="90" t="s">
        <v>16</v>
      </c>
      <c r="F1895" s="11"/>
      <c r="H1895" s="2">
        <v>150</v>
      </c>
      <c r="I1895" s="2">
        <f t="shared" si="123"/>
        <v>15396.55</v>
      </c>
      <c r="L1895" s="2">
        <f t="shared" si="124"/>
        <v>25.6</v>
      </c>
    </row>
    <row r="1896" spans="1:12" x14ac:dyDescent="0.3">
      <c r="A1896" s="3">
        <v>45296</v>
      </c>
      <c r="B1896" s="11" t="s">
        <v>3002</v>
      </c>
      <c r="C1896" s="50" t="s">
        <v>1279</v>
      </c>
      <c r="D1896" s="65"/>
      <c r="F1896" s="11"/>
      <c r="H1896" s="2">
        <v>10000</v>
      </c>
      <c r="I1896" s="2">
        <f t="shared" si="123"/>
        <v>5396.5499999999993</v>
      </c>
      <c r="L1896" s="2">
        <f t="shared" si="124"/>
        <v>20</v>
      </c>
    </row>
    <row r="1897" spans="1:12" x14ac:dyDescent="0.3">
      <c r="A1897" s="3">
        <v>45297</v>
      </c>
      <c r="B1897" s="11" t="s">
        <v>3148</v>
      </c>
      <c r="C1897" s="50" t="s">
        <v>2626</v>
      </c>
      <c r="D1897" s="65"/>
      <c r="F1897" s="11"/>
      <c r="G1897" s="2">
        <v>1500</v>
      </c>
      <c r="I1897" s="2">
        <f t="shared" si="123"/>
        <v>6896.5499999999993</v>
      </c>
      <c r="L1897" s="2">
        <f t="shared" si="124"/>
        <v>6</v>
      </c>
    </row>
    <row r="1898" spans="1:12" x14ac:dyDescent="0.3">
      <c r="A1898" s="3">
        <v>45297</v>
      </c>
      <c r="B1898" s="11" t="s">
        <v>4326</v>
      </c>
      <c r="C1898" s="50" t="s">
        <v>4330</v>
      </c>
      <c r="D1898" s="65"/>
      <c r="E1898" s="90" t="s">
        <v>14</v>
      </c>
      <c r="F1898" s="11"/>
      <c r="H1898" s="2">
        <v>1000</v>
      </c>
      <c r="I1898" s="2">
        <f t="shared" si="123"/>
        <v>5896.5499999999993</v>
      </c>
      <c r="L1898" s="2">
        <f t="shared" si="124"/>
        <v>29</v>
      </c>
    </row>
    <row r="1899" spans="1:12" x14ac:dyDescent="0.3">
      <c r="A1899" s="3">
        <v>45297</v>
      </c>
      <c r="B1899" s="11" t="s">
        <v>1160</v>
      </c>
      <c r="C1899" s="50" t="s">
        <v>4331</v>
      </c>
      <c r="D1899" s="65"/>
      <c r="F1899" s="11"/>
      <c r="G1899" s="2">
        <v>3000</v>
      </c>
      <c r="I1899" s="2">
        <f t="shared" si="123"/>
        <v>8896.5499999999993</v>
      </c>
      <c r="L1899" s="2">
        <f t="shared" si="124"/>
        <v>12</v>
      </c>
    </row>
    <row r="1900" spans="1:12" x14ac:dyDescent="0.3">
      <c r="A1900" s="3">
        <v>45297</v>
      </c>
      <c r="B1900" s="11" t="s">
        <v>2689</v>
      </c>
      <c r="C1900" s="50" t="s">
        <v>1279</v>
      </c>
      <c r="D1900" s="65"/>
      <c r="F1900" s="11"/>
      <c r="H1900" s="2">
        <v>6000</v>
      </c>
      <c r="I1900" s="2">
        <f t="shared" si="123"/>
        <v>2896.5499999999993</v>
      </c>
      <c r="L1900" s="2">
        <f t="shared" si="124"/>
        <v>20</v>
      </c>
    </row>
    <row r="1901" spans="1:12" x14ac:dyDescent="0.3">
      <c r="A1901" s="3">
        <v>45297</v>
      </c>
      <c r="B1901" s="11" t="s">
        <v>2241</v>
      </c>
      <c r="C1901" s="50" t="s">
        <v>3581</v>
      </c>
      <c r="D1901" s="65"/>
      <c r="F1901" s="11"/>
      <c r="G1901" s="2">
        <v>250</v>
      </c>
      <c r="I1901" s="2">
        <f t="shared" si="123"/>
        <v>3146.5499999999993</v>
      </c>
      <c r="L1901" s="2">
        <f t="shared" si="124"/>
        <v>1</v>
      </c>
    </row>
    <row r="1902" spans="1:12" x14ac:dyDescent="0.3">
      <c r="A1902" s="3">
        <v>45297</v>
      </c>
      <c r="B1902" s="11" t="s">
        <v>4334</v>
      </c>
      <c r="C1902" s="50" t="s">
        <v>4335</v>
      </c>
      <c r="D1902" s="65"/>
      <c r="F1902" s="11"/>
      <c r="G1902" s="2">
        <v>500</v>
      </c>
      <c r="I1902" s="2">
        <f t="shared" si="123"/>
        <v>3646.5499999999993</v>
      </c>
      <c r="L1902" s="2">
        <f t="shared" si="124"/>
        <v>2</v>
      </c>
    </row>
    <row r="1903" spans="1:12" x14ac:dyDescent="0.3">
      <c r="A1903" s="3">
        <v>45297</v>
      </c>
      <c r="B1903" s="11" t="s">
        <v>1160</v>
      </c>
      <c r="C1903" s="50" t="s">
        <v>4336</v>
      </c>
      <c r="D1903" s="65"/>
      <c r="F1903" s="11"/>
      <c r="G1903" s="2">
        <v>6000</v>
      </c>
      <c r="I1903" s="2">
        <f t="shared" si="123"/>
        <v>9646.5499999999993</v>
      </c>
      <c r="L1903" s="2">
        <f t="shared" si="124"/>
        <v>20</v>
      </c>
    </row>
    <row r="1904" spans="1:12" x14ac:dyDescent="0.3">
      <c r="A1904" s="3">
        <v>45298</v>
      </c>
      <c r="B1904" s="11" t="s">
        <v>1250</v>
      </c>
      <c r="C1904" s="50" t="s">
        <v>2387</v>
      </c>
      <c r="D1904" s="65"/>
      <c r="F1904" s="11"/>
      <c r="G1904" s="2">
        <v>1000</v>
      </c>
      <c r="I1904" s="2">
        <f t="shared" si="123"/>
        <v>10646.55</v>
      </c>
      <c r="L1904" s="2">
        <f t="shared" si="124"/>
        <v>4</v>
      </c>
    </row>
    <row r="1905" spans="1:12" x14ac:dyDescent="0.3">
      <c r="A1905" s="3">
        <v>45299</v>
      </c>
      <c r="B1905" s="11" t="s">
        <v>3981</v>
      </c>
      <c r="C1905" s="50" t="s">
        <v>3982</v>
      </c>
      <c r="D1905" s="65"/>
      <c r="F1905" s="11"/>
      <c r="H1905" s="2">
        <v>1000</v>
      </c>
      <c r="I1905" s="2">
        <f t="shared" si="123"/>
        <v>9646.5499999999993</v>
      </c>
      <c r="L1905" s="2">
        <f t="shared" si="124"/>
        <v>4</v>
      </c>
    </row>
    <row r="1906" spans="1:12" x14ac:dyDescent="0.3">
      <c r="A1906" s="3">
        <v>45299</v>
      </c>
      <c r="C1906" s="50" t="s">
        <v>4338</v>
      </c>
      <c r="D1906" s="65"/>
      <c r="F1906" s="11"/>
      <c r="H1906" s="2">
        <v>3500</v>
      </c>
      <c r="I1906" s="2">
        <f t="shared" si="123"/>
        <v>6146.5499999999993</v>
      </c>
      <c r="L1906" s="2">
        <f t="shared" si="124"/>
        <v>14</v>
      </c>
    </row>
    <row r="1907" spans="1:12" x14ac:dyDescent="0.3">
      <c r="A1907" s="3">
        <v>45299</v>
      </c>
      <c r="B1907" s="11" t="s">
        <v>2689</v>
      </c>
      <c r="C1907" s="50" t="s">
        <v>1279</v>
      </c>
      <c r="D1907" s="65"/>
      <c r="F1907" s="11"/>
      <c r="H1907" s="2">
        <v>6000</v>
      </c>
      <c r="I1907" s="2">
        <f t="shared" si="123"/>
        <v>146.54999999999927</v>
      </c>
      <c r="L1907" s="2">
        <f t="shared" si="124"/>
        <v>20</v>
      </c>
    </row>
    <row r="1908" spans="1:12" x14ac:dyDescent="0.3">
      <c r="A1908" s="3">
        <v>45299</v>
      </c>
      <c r="B1908" s="11" t="s">
        <v>4339</v>
      </c>
      <c r="C1908" s="50" t="s">
        <v>4340</v>
      </c>
      <c r="D1908" s="65">
        <v>9939013247</v>
      </c>
      <c r="F1908" s="11"/>
      <c r="G1908" s="2">
        <v>5000</v>
      </c>
      <c r="I1908" s="2">
        <f t="shared" ref="I1908:I1942" si="125">I1907+G1908-H1908</f>
        <v>5146.5499999999993</v>
      </c>
      <c r="L1908" s="2">
        <f t="shared" si="124"/>
        <v>20</v>
      </c>
    </row>
    <row r="1909" spans="1:12" x14ac:dyDescent="0.3">
      <c r="A1909" s="3">
        <v>45299</v>
      </c>
      <c r="B1909" s="11" t="s">
        <v>3544</v>
      </c>
      <c r="C1909" s="50" t="s">
        <v>4341</v>
      </c>
      <c r="D1909" s="65"/>
      <c r="F1909" s="11"/>
      <c r="G1909" s="2">
        <v>3000</v>
      </c>
      <c r="I1909" s="2">
        <f t="shared" si="125"/>
        <v>8146.5499999999993</v>
      </c>
      <c r="L1909" s="2">
        <f t="shared" ref="L1909:L1940" si="126">IF((G1909+H1909)&lt;=5000,(H1909+G1909)*0.004,20)+IF(E1909="Y",25,0)</f>
        <v>12</v>
      </c>
    </row>
    <row r="1910" spans="1:12" x14ac:dyDescent="0.3">
      <c r="A1910" s="3">
        <v>45299</v>
      </c>
      <c r="B1910" s="11" t="s">
        <v>1250</v>
      </c>
      <c r="C1910" s="50" t="s">
        <v>3952</v>
      </c>
      <c r="D1910" s="65"/>
      <c r="F1910" s="11"/>
      <c r="G1910" s="2">
        <v>3000</v>
      </c>
      <c r="I1910" s="2">
        <f t="shared" si="125"/>
        <v>11146.55</v>
      </c>
      <c r="L1910" s="2">
        <f t="shared" si="126"/>
        <v>12</v>
      </c>
    </row>
    <row r="1911" spans="1:12" x14ac:dyDescent="0.3">
      <c r="A1911" s="3">
        <v>45299</v>
      </c>
      <c r="B1911" s="11" t="s">
        <v>2241</v>
      </c>
      <c r="C1911" s="50" t="s">
        <v>2627</v>
      </c>
      <c r="D1911" s="65"/>
      <c r="F1911" s="11"/>
      <c r="G1911" s="2">
        <v>5000</v>
      </c>
      <c r="I1911" s="2">
        <f t="shared" si="125"/>
        <v>16146.55</v>
      </c>
      <c r="L1911" s="2">
        <f t="shared" si="126"/>
        <v>20</v>
      </c>
    </row>
    <row r="1912" spans="1:12" x14ac:dyDescent="0.3">
      <c r="A1912" s="3">
        <v>45299</v>
      </c>
      <c r="B1912" s="11" t="s">
        <v>4342</v>
      </c>
      <c r="C1912" s="50" t="s">
        <v>3896</v>
      </c>
      <c r="D1912" s="65"/>
      <c r="F1912" s="11"/>
      <c r="H1912" s="2">
        <v>3000</v>
      </c>
      <c r="I1912" s="2">
        <f t="shared" si="125"/>
        <v>13146.55</v>
      </c>
      <c r="L1912" s="2">
        <f t="shared" si="126"/>
        <v>12</v>
      </c>
    </row>
    <row r="1913" spans="1:12" x14ac:dyDescent="0.3">
      <c r="A1913" s="3">
        <v>45299</v>
      </c>
      <c r="B1913" s="11" t="s">
        <v>1160</v>
      </c>
      <c r="C1913" s="50" t="s">
        <v>4343</v>
      </c>
      <c r="D1913" s="65"/>
      <c r="F1913" s="11"/>
      <c r="G1913" s="2">
        <v>2000</v>
      </c>
      <c r="I1913" s="2">
        <f t="shared" si="125"/>
        <v>15146.55</v>
      </c>
      <c r="L1913" s="2">
        <f t="shared" si="126"/>
        <v>8</v>
      </c>
    </row>
    <row r="1914" spans="1:12" x14ac:dyDescent="0.3">
      <c r="A1914" s="3">
        <v>45300</v>
      </c>
      <c r="B1914" s="11" t="s">
        <v>1250</v>
      </c>
      <c r="C1914" s="50" t="s">
        <v>2387</v>
      </c>
      <c r="D1914" s="65"/>
      <c r="F1914" s="11"/>
      <c r="G1914" s="2">
        <v>4000</v>
      </c>
      <c r="I1914" s="2">
        <f t="shared" si="125"/>
        <v>19146.55</v>
      </c>
      <c r="L1914" s="2">
        <f t="shared" si="126"/>
        <v>16</v>
      </c>
    </row>
    <row r="1915" spans="1:12" x14ac:dyDescent="0.3">
      <c r="A1915" s="3">
        <v>45300</v>
      </c>
      <c r="B1915" s="11" t="s">
        <v>2716</v>
      </c>
      <c r="D1915" s="65"/>
      <c r="F1915" s="11"/>
      <c r="H1915" s="2">
        <v>5000</v>
      </c>
      <c r="I1915" s="2">
        <f t="shared" si="125"/>
        <v>14146.55</v>
      </c>
      <c r="L1915" s="2">
        <f t="shared" si="126"/>
        <v>20</v>
      </c>
    </row>
    <row r="1916" spans="1:12" x14ac:dyDescent="0.3">
      <c r="A1916" s="3">
        <v>45300</v>
      </c>
      <c r="B1916" s="11" t="s">
        <v>3870</v>
      </c>
      <c r="C1916" s="50" t="s">
        <v>2285</v>
      </c>
      <c r="D1916" s="65"/>
      <c r="F1916" s="11"/>
      <c r="H1916" s="2">
        <v>4200</v>
      </c>
      <c r="I1916" s="2">
        <f t="shared" si="125"/>
        <v>9946.5499999999993</v>
      </c>
      <c r="L1916" s="2">
        <f t="shared" si="126"/>
        <v>16.8</v>
      </c>
    </row>
    <row r="1917" spans="1:12" x14ac:dyDescent="0.3">
      <c r="A1917" s="3">
        <v>45300</v>
      </c>
      <c r="B1917" s="11" t="s">
        <v>3871</v>
      </c>
      <c r="C1917" s="50" t="s">
        <v>2870</v>
      </c>
      <c r="D1917" s="65"/>
      <c r="F1917" s="11"/>
      <c r="H1917" s="2">
        <v>4200</v>
      </c>
      <c r="I1917" s="2">
        <f t="shared" si="125"/>
        <v>5746.5499999999993</v>
      </c>
      <c r="L1917" s="2">
        <f t="shared" si="126"/>
        <v>16.8</v>
      </c>
    </row>
    <row r="1918" spans="1:12" x14ac:dyDescent="0.3">
      <c r="A1918" s="3">
        <v>45301</v>
      </c>
      <c r="B1918" s="11" t="s">
        <v>4350</v>
      </c>
      <c r="C1918" s="50" t="s">
        <v>4358</v>
      </c>
      <c r="D1918" s="65"/>
      <c r="E1918" s="90" t="s">
        <v>16</v>
      </c>
      <c r="F1918" s="11"/>
      <c r="H1918" s="2">
        <v>100</v>
      </c>
      <c r="I1918" s="2">
        <f t="shared" si="125"/>
        <v>5646.5499999999993</v>
      </c>
      <c r="L1918" s="2">
        <f t="shared" si="126"/>
        <v>25.4</v>
      </c>
    </row>
    <row r="1919" spans="1:12" x14ac:dyDescent="0.3">
      <c r="A1919" s="3">
        <v>45301</v>
      </c>
      <c r="B1919" s="11" t="s">
        <v>4354</v>
      </c>
      <c r="C1919" s="50" t="s">
        <v>4355</v>
      </c>
      <c r="D1919" s="65"/>
      <c r="E1919" s="90" t="s">
        <v>16</v>
      </c>
      <c r="F1919" s="11"/>
      <c r="H1919" s="2">
        <v>100</v>
      </c>
      <c r="I1919" s="2">
        <f t="shared" si="125"/>
        <v>5546.5499999999993</v>
      </c>
      <c r="L1919" s="2">
        <f t="shared" si="126"/>
        <v>25.4</v>
      </c>
    </row>
    <row r="1920" spans="1:12" x14ac:dyDescent="0.3">
      <c r="A1920" s="3">
        <v>45302</v>
      </c>
      <c r="B1920" s="11" t="s">
        <v>3290</v>
      </c>
      <c r="C1920" s="50" t="s">
        <v>3401</v>
      </c>
      <c r="D1920" s="65"/>
      <c r="F1920" s="11"/>
      <c r="G1920" s="2">
        <v>1000</v>
      </c>
      <c r="I1920" s="2">
        <f t="shared" si="125"/>
        <v>6546.5499999999993</v>
      </c>
      <c r="L1920" s="2">
        <f t="shared" si="126"/>
        <v>4</v>
      </c>
    </row>
    <row r="1921" spans="1:18" x14ac:dyDescent="0.3">
      <c r="A1921" s="3">
        <v>45303</v>
      </c>
      <c r="B1921" s="11" t="s">
        <v>3389</v>
      </c>
      <c r="C1921" s="50" t="s">
        <v>1837</v>
      </c>
      <c r="D1921" s="65"/>
      <c r="F1921" s="11"/>
      <c r="H1921" s="2">
        <v>6000</v>
      </c>
      <c r="I1921" s="2">
        <f t="shared" si="125"/>
        <v>546.54999999999927</v>
      </c>
      <c r="L1921" s="2">
        <f t="shared" si="126"/>
        <v>20</v>
      </c>
    </row>
    <row r="1922" spans="1:18" x14ac:dyDescent="0.3">
      <c r="A1922" s="3">
        <v>45303</v>
      </c>
      <c r="B1922" s="11" t="s">
        <v>3915</v>
      </c>
      <c r="C1922" s="50" t="s">
        <v>4085</v>
      </c>
      <c r="D1922" s="65"/>
      <c r="F1922" s="11"/>
      <c r="G1922" s="2">
        <v>6000</v>
      </c>
      <c r="I1922" s="2">
        <f t="shared" si="125"/>
        <v>6546.5499999999993</v>
      </c>
      <c r="L1922" s="2">
        <f t="shared" si="126"/>
        <v>20</v>
      </c>
    </row>
    <row r="1923" spans="1:18" x14ac:dyDescent="0.3">
      <c r="A1923" s="3">
        <v>45303</v>
      </c>
      <c r="B1923" s="11" t="s">
        <v>4362</v>
      </c>
      <c r="C1923" s="50" t="s">
        <v>2551</v>
      </c>
      <c r="D1923" s="65"/>
      <c r="F1923" s="11"/>
      <c r="H1923" s="2">
        <v>3000</v>
      </c>
      <c r="I1923" s="2">
        <f t="shared" si="125"/>
        <v>3546.5499999999993</v>
      </c>
      <c r="L1923" s="2">
        <f t="shared" si="126"/>
        <v>12</v>
      </c>
      <c r="Q1923" s="2"/>
      <c r="R1923" s="2"/>
    </row>
    <row r="1924" spans="1:18" x14ac:dyDescent="0.3">
      <c r="A1924" s="3">
        <v>45303</v>
      </c>
      <c r="B1924" s="11" t="s">
        <v>1160</v>
      </c>
      <c r="D1924" s="65"/>
      <c r="F1924" s="11"/>
      <c r="G1924" s="2">
        <v>5000</v>
      </c>
      <c r="I1924" s="2">
        <f t="shared" si="125"/>
        <v>8546.5499999999993</v>
      </c>
      <c r="L1924" s="2">
        <f t="shared" si="126"/>
        <v>20</v>
      </c>
    </row>
    <row r="1925" spans="1:18" x14ac:dyDescent="0.3">
      <c r="A1925" s="3">
        <v>45303</v>
      </c>
      <c r="B1925" s="11" t="s">
        <v>1160</v>
      </c>
      <c r="C1925" s="50" t="s">
        <v>3644</v>
      </c>
      <c r="D1925" s="65"/>
      <c r="F1925" s="11"/>
      <c r="G1925" s="2">
        <v>1000</v>
      </c>
      <c r="I1925" s="2">
        <f t="shared" si="125"/>
        <v>9546.5499999999993</v>
      </c>
      <c r="L1925" s="2">
        <f t="shared" si="126"/>
        <v>4</v>
      </c>
    </row>
    <row r="1926" spans="1:18" x14ac:dyDescent="0.3">
      <c r="A1926" s="3">
        <v>45303</v>
      </c>
      <c r="B1926" s="11" t="s">
        <v>3871</v>
      </c>
      <c r="C1926" s="50" t="s">
        <v>4364</v>
      </c>
      <c r="D1926" s="65"/>
      <c r="F1926" s="11"/>
      <c r="H1926" s="2">
        <v>9000</v>
      </c>
      <c r="I1926" s="2">
        <f t="shared" si="125"/>
        <v>546.54999999999927</v>
      </c>
      <c r="L1926" s="2">
        <f t="shared" si="126"/>
        <v>20</v>
      </c>
    </row>
    <row r="1927" spans="1:18" x14ac:dyDescent="0.3">
      <c r="A1927" s="3">
        <v>45304</v>
      </c>
      <c r="B1927" s="11" t="s">
        <v>1250</v>
      </c>
      <c r="C1927" s="50" t="s">
        <v>4365</v>
      </c>
      <c r="D1927" s="65"/>
      <c r="F1927" s="11"/>
      <c r="G1927" s="2">
        <v>1000</v>
      </c>
      <c r="I1927" s="2">
        <f t="shared" si="125"/>
        <v>1546.5499999999993</v>
      </c>
      <c r="L1927" s="2">
        <f t="shared" si="126"/>
        <v>4</v>
      </c>
    </row>
    <row r="1928" spans="1:18" x14ac:dyDescent="0.3">
      <c r="A1928" s="3">
        <v>45304</v>
      </c>
      <c r="B1928" s="11" t="s">
        <v>4306</v>
      </c>
      <c r="C1928" s="50" t="s">
        <v>4366</v>
      </c>
      <c r="D1928" s="65"/>
      <c r="F1928" s="11"/>
      <c r="G1928" s="2">
        <v>2000</v>
      </c>
      <c r="I1928" s="2">
        <f t="shared" si="125"/>
        <v>3546.5499999999993</v>
      </c>
      <c r="L1928" s="2">
        <f t="shared" si="126"/>
        <v>8</v>
      </c>
    </row>
    <row r="1929" spans="1:18" x14ac:dyDescent="0.3">
      <c r="A1929" s="3">
        <v>45305</v>
      </c>
      <c r="B1929" s="11" t="s">
        <v>2448</v>
      </c>
      <c r="C1929" s="50" t="s">
        <v>2274</v>
      </c>
      <c r="D1929" s="65"/>
      <c r="F1929" s="11"/>
      <c r="H1929" s="2">
        <v>3500</v>
      </c>
      <c r="I1929" s="2">
        <f t="shared" si="125"/>
        <v>46.549999999999272</v>
      </c>
      <c r="L1929" s="2">
        <f t="shared" si="126"/>
        <v>14</v>
      </c>
    </row>
    <row r="1930" spans="1:18" x14ac:dyDescent="0.3">
      <c r="A1930" s="3">
        <v>45305</v>
      </c>
      <c r="B1930" s="11" t="s">
        <v>3915</v>
      </c>
      <c r="C1930" s="50" t="s">
        <v>4085</v>
      </c>
      <c r="D1930" s="65"/>
      <c r="F1930" s="11"/>
      <c r="G1930" s="2">
        <v>2000</v>
      </c>
      <c r="I1930" s="2">
        <f t="shared" si="125"/>
        <v>2046.5499999999993</v>
      </c>
      <c r="L1930" s="2">
        <f t="shared" si="126"/>
        <v>8</v>
      </c>
    </row>
    <row r="1931" spans="1:18" x14ac:dyDescent="0.3">
      <c r="A1931" s="3">
        <v>45306</v>
      </c>
      <c r="B1931" s="11" t="s">
        <v>1250</v>
      </c>
      <c r="C1931" s="50" t="s">
        <v>4207</v>
      </c>
      <c r="D1931" s="65"/>
      <c r="F1931" s="11"/>
      <c r="G1931" s="2">
        <v>3000</v>
      </c>
      <c r="I1931" s="2">
        <f t="shared" si="125"/>
        <v>5046.5499999999993</v>
      </c>
      <c r="L1931" s="2">
        <f t="shared" si="126"/>
        <v>12</v>
      </c>
    </row>
    <row r="1932" spans="1:18" x14ac:dyDescent="0.3">
      <c r="A1932" s="3">
        <v>45306</v>
      </c>
      <c r="B1932" s="11" t="s">
        <v>2448</v>
      </c>
      <c r="C1932" s="50" t="s">
        <v>2274</v>
      </c>
      <c r="D1932" s="65"/>
      <c r="F1932" s="11"/>
      <c r="H1932" s="2">
        <v>4500</v>
      </c>
      <c r="I1932" s="2">
        <f t="shared" si="125"/>
        <v>546.54999999999927</v>
      </c>
      <c r="L1932" s="2">
        <f t="shared" si="126"/>
        <v>18</v>
      </c>
    </row>
    <row r="1933" spans="1:18" x14ac:dyDescent="0.3">
      <c r="A1933" s="3">
        <v>45306</v>
      </c>
      <c r="B1933" s="11" t="s">
        <v>1250</v>
      </c>
      <c r="C1933" s="50" t="s">
        <v>2734</v>
      </c>
      <c r="D1933" s="65"/>
      <c r="F1933" s="11"/>
      <c r="G1933" s="2">
        <v>500</v>
      </c>
      <c r="I1933" s="2">
        <f t="shared" si="125"/>
        <v>1046.5499999999993</v>
      </c>
      <c r="L1933" s="2">
        <f t="shared" si="126"/>
        <v>2</v>
      </c>
    </row>
    <row r="1934" spans="1:18" x14ac:dyDescent="0.3">
      <c r="A1934" s="3">
        <v>45306</v>
      </c>
      <c r="B1934" s="11" t="s">
        <v>1160</v>
      </c>
      <c r="C1934" s="50" t="s">
        <v>4367</v>
      </c>
      <c r="D1934" s="65"/>
      <c r="F1934" s="11"/>
      <c r="G1934" s="2">
        <v>2000</v>
      </c>
      <c r="I1934" s="2">
        <f t="shared" si="125"/>
        <v>3046.5499999999993</v>
      </c>
      <c r="L1934" s="2">
        <f t="shared" si="126"/>
        <v>8</v>
      </c>
      <c r="O1934">
        <v>-20</v>
      </c>
    </row>
    <row r="1935" spans="1:18" x14ac:dyDescent="0.3">
      <c r="A1935" s="3">
        <v>45306</v>
      </c>
      <c r="B1935" s="11" t="s">
        <v>1250</v>
      </c>
      <c r="C1935" s="50" t="s">
        <v>2626</v>
      </c>
      <c r="D1935" s="65"/>
      <c r="F1935" s="11"/>
      <c r="G1935" s="2">
        <v>1500</v>
      </c>
      <c r="I1935" s="2">
        <f t="shared" si="125"/>
        <v>4546.5499999999993</v>
      </c>
      <c r="L1935" s="2">
        <f t="shared" si="126"/>
        <v>6</v>
      </c>
    </row>
    <row r="1936" spans="1:18" x14ac:dyDescent="0.3">
      <c r="A1936" s="3">
        <v>45306</v>
      </c>
      <c r="B1936" s="11" t="s">
        <v>1160</v>
      </c>
      <c r="C1936" s="50" t="s">
        <v>4369</v>
      </c>
      <c r="D1936" s="65"/>
      <c r="F1936" s="11"/>
      <c r="G1936" s="2">
        <v>1200</v>
      </c>
      <c r="I1936" s="2">
        <f t="shared" si="125"/>
        <v>5746.5499999999993</v>
      </c>
      <c r="L1936" s="2">
        <f t="shared" si="126"/>
        <v>4.8</v>
      </c>
    </row>
    <row r="1937" spans="1:12" x14ac:dyDescent="0.3">
      <c r="A1937" s="3">
        <v>45307</v>
      </c>
      <c r="B1937" s="11" t="s">
        <v>2716</v>
      </c>
      <c r="C1937" s="50" t="s">
        <v>1279</v>
      </c>
      <c r="D1937" s="65"/>
      <c r="F1937" s="11"/>
      <c r="H1937" s="2">
        <v>5000</v>
      </c>
      <c r="I1937" s="2">
        <f t="shared" si="125"/>
        <v>746.54999999999927</v>
      </c>
      <c r="L1937" s="2">
        <f t="shared" si="126"/>
        <v>20</v>
      </c>
    </row>
    <row r="1938" spans="1:12" x14ac:dyDescent="0.3">
      <c r="A1938" s="3">
        <v>45308</v>
      </c>
      <c r="B1938" s="11" t="s">
        <v>1472</v>
      </c>
      <c r="D1938" s="65"/>
      <c r="F1938" s="11"/>
      <c r="G1938" s="2">
        <v>1000</v>
      </c>
      <c r="I1938" s="2">
        <f t="shared" si="125"/>
        <v>1746.5499999999993</v>
      </c>
      <c r="L1938" s="2">
        <f t="shared" si="126"/>
        <v>4</v>
      </c>
    </row>
    <row r="1939" spans="1:12" x14ac:dyDescent="0.3">
      <c r="A1939" s="3">
        <v>45310</v>
      </c>
      <c r="B1939" s="11" t="s">
        <v>2653</v>
      </c>
      <c r="D1939" s="65"/>
      <c r="F1939" s="11"/>
      <c r="G1939" s="2">
        <v>780</v>
      </c>
      <c r="I1939" s="2">
        <f t="shared" si="125"/>
        <v>2526.5499999999993</v>
      </c>
      <c r="L1939" s="2">
        <f t="shared" si="126"/>
        <v>3.12</v>
      </c>
    </row>
    <row r="1940" spans="1:12" x14ac:dyDescent="0.3">
      <c r="A1940" s="3">
        <v>45310</v>
      </c>
      <c r="B1940" s="11" t="s">
        <v>1250</v>
      </c>
      <c r="D1940" s="65"/>
      <c r="F1940" s="11"/>
      <c r="H1940" s="2">
        <v>1500</v>
      </c>
      <c r="I1940" s="2">
        <f t="shared" si="125"/>
        <v>1026.5499999999993</v>
      </c>
      <c r="L1940" s="2">
        <f t="shared" si="126"/>
        <v>6</v>
      </c>
    </row>
    <row r="1941" spans="1:12" x14ac:dyDescent="0.3">
      <c r="A1941" s="3">
        <v>45311</v>
      </c>
      <c r="B1941" s="11" t="s">
        <v>1160</v>
      </c>
      <c r="D1941" s="65"/>
      <c r="F1941" s="11"/>
      <c r="G1941" s="2">
        <v>1000</v>
      </c>
      <c r="I1941" s="2">
        <f t="shared" si="125"/>
        <v>2026.5499999999993</v>
      </c>
      <c r="L1941" s="2">
        <f t="shared" ref="L1941:L1969" si="127">IF((G1941+H1941)&lt;=5000,(H1941+G1941)*0.004,20)+IF(E1941="Y",25,0)</f>
        <v>4</v>
      </c>
    </row>
    <row r="1942" spans="1:12" x14ac:dyDescent="0.3">
      <c r="A1942" s="3">
        <v>45313</v>
      </c>
      <c r="B1942" s="11" t="s">
        <v>1250</v>
      </c>
      <c r="D1942" s="65"/>
      <c r="F1942" s="11"/>
      <c r="G1942" s="2">
        <v>4000</v>
      </c>
      <c r="I1942" s="2">
        <f t="shared" si="125"/>
        <v>6026.5499999999993</v>
      </c>
      <c r="L1942" s="2">
        <f t="shared" si="127"/>
        <v>16</v>
      </c>
    </row>
    <row r="1943" spans="1:12" x14ac:dyDescent="0.3">
      <c r="A1943" s="3">
        <v>45313</v>
      </c>
      <c r="B1943" s="11" t="s">
        <v>1250</v>
      </c>
      <c r="C1943" s="50" t="s">
        <v>1250</v>
      </c>
      <c r="D1943" s="65"/>
      <c r="F1943" s="11"/>
      <c r="H1943" s="2">
        <v>5000</v>
      </c>
      <c r="I1943" s="2">
        <f t="shared" ref="I1943:I1970" si="128">I1942+G1943-H1943</f>
        <v>1026.5499999999993</v>
      </c>
      <c r="L1943" s="2">
        <f t="shared" si="127"/>
        <v>20</v>
      </c>
    </row>
    <row r="1944" spans="1:12" x14ac:dyDescent="0.3">
      <c r="A1944" s="3">
        <v>45313</v>
      </c>
      <c r="B1944" s="11" t="s">
        <v>1250</v>
      </c>
      <c r="C1944" s="50" t="s">
        <v>2734</v>
      </c>
      <c r="D1944" s="65"/>
      <c r="F1944" s="11"/>
      <c r="G1944" s="2">
        <v>500</v>
      </c>
      <c r="I1944" s="2">
        <f t="shared" si="128"/>
        <v>1526.5499999999993</v>
      </c>
      <c r="L1944" s="2">
        <f t="shared" si="127"/>
        <v>2</v>
      </c>
    </row>
    <row r="1945" spans="1:12" x14ac:dyDescent="0.3">
      <c r="A1945" s="3">
        <v>45313</v>
      </c>
      <c r="B1945" s="11" t="s">
        <v>1250</v>
      </c>
      <c r="D1945" s="65"/>
      <c r="F1945" s="11"/>
      <c r="G1945" s="2">
        <v>600</v>
      </c>
      <c r="I1945" s="2">
        <f t="shared" si="128"/>
        <v>2126.5499999999993</v>
      </c>
      <c r="L1945" s="2">
        <f t="shared" si="127"/>
        <v>2.4</v>
      </c>
    </row>
    <row r="1946" spans="1:12" x14ac:dyDescent="0.3">
      <c r="A1946" s="3">
        <v>45313</v>
      </c>
      <c r="B1946" s="11" t="s">
        <v>3002</v>
      </c>
      <c r="C1946" s="50" t="s">
        <v>1279</v>
      </c>
      <c r="D1946" s="65"/>
      <c r="F1946" s="11"/>
      <c r="H1946" s="2">
        <v>2000</v>
      </c>
      <c r="I1946" s="2">
        <f t="shared" si="128"/>
        <v>126.54999999999927</v>
      </c>
      <c r="L1946" s="2">
        <f t="shared" si="127"/>
        <v>8</v>
      </c>
    </row>
    <row r="1947" spans="1:12" x14ac:dyDescent="0.3">
      <c r="A1947" s="3">
        <v>45314</v>
      </c>
      <c r="B1947" s="11" t="s">
        <v>4370</v>
      </c>
      <c r="C1947" s="50" t="s">
        <v>4371</v>
      </c>
      <c r="D1947" s="65"/>
      <c r="F1947" s="11"/>
      <c r="G1947" s="2">
        <v>2000</v>
      </c>
      <c r="I1947" s="2">
        <f t="shared" si="128"/>
        <v>2126.5499999999993</v>
      </c>
      <c r="L1947" s="2">
        <f t="shared" si="127"/>
        <v>8</v>
      </c>
    </row>
    <row r="1948" spans="1:12" x14ac:dyDescent="0.3">
      <c r="A1948" s="3">
        <v>45314</v>
      </c>
      <c r="B1948" s="11" t="s">
        <v>4039</v>
      </c>
      <c r="C1948" s="50" t="s">
        <v>1232</v>
      </c>
      <c r="D1948" s="65"/>
      <c r="F1948" s="11"/>
      <c r="H1948" s="2">
        <v>2000</v>
      </c>
      <c r="I1948" s="2">
        <f t="shared" si="128"/>
        <v>126.54999999999927</v>
      </c>
      <c r="L1948" s="2">
        <f t="shared" si="127"/>
        <v>8</v>
      </c>
    </row>
    <row r="1949" spans="1:12" x14ac:dyDescent="0.3">
      <c r="A1949" s="3">
        <v>45314</v>
      </c>
      <c r="B1949" s="11" t="s">
        <v>1250</v>
      </c>
      <c r="C1949" s="50" t="s">
        <v>2387</v>
      </c>
      <c r="D1949" s="65"/>
      <c r="F1949" s="11"/>
      <c r="G1949" s="2">
        <v>100</v>
      </c>
      <c r="I1949" s="2">
        <f t="shared" si="128"/>
        <v>226.54999999999927</v>
      </c>
      <c r="L1949" s="2">
        <f t="shared" si="127"/>
        <v>0.4</v>
      </c>
    </row>
    <row r="1950" spans="1:12" x14ac:dyDescent="0.3">
      <c r="A1950" s="3">
        <v>45315</v>
      </c>
      <c r="B1950" s="11" t="s">
        <v>3281</v>
      </c>
      <c r="C1950" s="65" t="s">
        <v>3282</v>
      </c>
      <c r="D1950" s="65"/>
      <c r="F1950" s="11"/>
      <c r="G1950" s="2">
        <v>500</v>
      </c>
      <c r="I1950" s="2">
        <f t="shared" si="128"/>
        <v>726.54999999999927</v>
      </c>
      <c r="L1950" s="2">
        <f t="shared" si="127"/>
        <v>2</v>
      </c>
    </row>
    <row r="1951" spans="1:12" x14ac:dyDescent="0.3">
      <c r="A1951" s="3">
        <v>45316</v>
      </c>
      <c r="B1951" s="11" t="s">
        <v>4372</v>
      </c>
      <c r="C1951" s="50" t="s">
        <v>2785</v>
      </c>
      <c r="D1951" s="65"/>
      <c r="F1951" s="11"/>
      <c r="G1951" s="2">
        <v>2000</v>
      </c>
      <c r="I1951" s="2">
        <f t="shared" si="128"/>
        <v>2726.5499999999993</v>
      </c>
      <c r="L1951" s="2">
        <f t="shared" si="127"/>
        <v>8</v>
      </c>
    </row>
    <row r="1952" spans="1:12" x14ac:dyDescent="0.3">
      <c r="A1952" s="3">
        <v>45316</v>
      </c>
      <c r="B1952" s="11" t="s">
        <v>2448</v>
      </c>
      <c r="C1952" s="50" t="s">
        <v>2274</v>
      </c>
      <c r="D1952" s="65"/>
      <c r="F1952" s="11"/>
      <c r="H1952" s="2">
        <v>2500</v>
      </c>
      <c r="I1952" s="2">
        <f t="shared" si="128"/>
        <v>226.54999999999927</v>
      </c>
      <c r="L1952" s="2">
        <f t="shared" si="127"/>
        <v>10</v>
      </c>
    </row>
    <row r="1953" spans="1:14" x14ac:dyDescent="0.3">
      <c r="A1953" s="3">
        <v>45317</v>
      </c>
      <c r="B1953" s="11" t="s">
        <v>2351</v>
      </c>
      <c r="C1953" s="50" t="s">
        <v>4373</v>
      </c>
      <c r="D1953" s="65"/>
      <c r="F1953" s="11"/>
      <c r="G1953" s="2">
        <v>400</v>
      </c>
      <c r="I1953" s="2">
        <f t="shared" si="128"/>
        <v>626.54999999999927</v>
      </c>
      <c r="L1953" s="2">
        <f t="shared" si="127"/>
        <v>1.6</v>
      </c>
    </row>
    <row r="1954" spans="1:14" x14ac:dyDescent="0.3">
      <c r="A1954" s="3">
        <v>45317</v>
      </c>
      <c r="B1954" s="11" t="s">
        <v>4334</v>
      </c>
      <c r="C1954" s="50" t="s">
        <v>4335</v>
      </c>
      <c r="D1954" s="65"/>
      <c r="F1954" s="11"/>
      <c r="G1954" s="2">
        <v>1000</v>
      </c>
      <c r="I1954" s="2">
        <f t="shared" si="128"/>
        <v>1626.5499999999993</v>
      </c>
      <c r="L1954" s="2">
        <f t="shared" si="127"/>
        <v>4</v>
      </c>
    </row>
    <row r="1955" spans="1:14" x14ac:dyDescent="0.3">
      <c r="A1955" s="3">
        <v>45317</v>
      </c>
      <c r="B1955" s="11" t="s">
        <v>4285</v>
      </c>
      <c r="C1955" s="50" t="s">
        <v>4374</v>
      </c>
      <c r="D1955" s="65"/>
      <c r="F1955" s="11"/>
      <c r="G1955" s="2">
        <v>800</v>
      </c>
      <c r="I1955" s="2">
        <f t="shared" si="128"/>
        <v>2426.5499999999993</v>
      </c>
      <c r="L1955" s="2">
        <f t="shared" si="127"/>
        <v>3.2</v>
      </c>
    </row>
    <row r="1956" spans="1:14" x14ac:dyDescent="0.3">
      <c r="A1956" s="3">
        <v>45317</v>
      </c>
      <c r="B1956" s="11" t="s">
        <v>3788</v>
      </c>
      <c r="C1956" s="50" t="s">
        <v>4335</v>
      </c>
      <c r="D1956" s="65"/>
      <c r="F1956" s="11"/>
      <c r="H1956" s="2">
        <v>2000</v>
      </c>
      <c r="I1956" s="2">
        <f t="shared" si="128"/>
        <v>426.54999999999927</v>
      </c>
      <c r="L1956" s="2">
        <f t="shared" si="127"/>
        <v>8</v>
      </c>
    </row>
    <row r="1957" spans="1:14" x14ac:dyDescent="0.3">
      <c r="A1957" s="3">
        <v>45317</v>
      </c>
      <c r="B1957" s="11" t="s">
        <v>3915</v>
      </c>
      <c r="C1957" s="50" t="s">
        <v>4085</v>
      </c>
      <c r="D1957" s="65"/>
      <c r="F1957" s="11"/>
      <c r="G1957" s="2">
        <v>10000</v>
      </c>
      <c r="I1957" s="2">
        <f t="shared" si="128"/>
        <v>10426.549999999999</v>
      </c>
      <c r="L1957" s="2">
        <f t="shared" si="127"/>
        <v>20</v>
      </c>
    </row>
    <row r="1958" spans="1:14" x14ac:dyDescent="0.3">
      <c r="A1958" s="3">
        <v>45317</v>
      </c>
      <c r="B1958" s="11" t="s">
        <v>2448</v>
      </c>
      <c r="C1958" s="50" t="s">
        <v>4108</v>
      </c>
      <c r="D1958" s="65"/>
      <c r="F1958" s="11"/>
      <c r="H1958" s="2">
        <v>7500</v>
      </c>
      <c r="I1958" s="2">
        <f t="shared" si="128"/>
        <v>2926.5499999999993</v>
      </c>
      <c r="L1958" s="2">
        <f t="shared" si="127"/>
        <v>20</v>
      </c>
    </row>
    <row r="1959" spans="1:14" x14ac:dyDescent="0.3">
      <c r="A1959" s="3">
        <v>45318</v>
      </c>
      <c r="B1959" s="11" t="s">
        <v>1472</v>
      </c>
      <c r="C1959" s="50" t="s">
        <v>2974</v>
      </c>
      <c r="D1959" s="65"/>
      <c r="F1959" s="11"/>
      <c r="G1959" s="2">
        <v>5000</v>
      </c>
      <c r="I1959" s="2">
        <f t="shared" si="128"/>
        <v>7926.5499999999993</v>
      </c>
      <c r="L1959" s="2">
        <f t="shared" si="127"/>
        <v>20</v>
      </c>
    </row>
    <row r="1960" spans="1:14" x14ac:dyDescent="0.3">
      <c r="A1960" s="3">
        <v>45318</v>
      </c>
      <c r="C1960" s="50" t="s">
        <v>2734</v>
      </c>
      <c r="D1960" s="65"/>
      <c r="F1960" s="11"/>
      <c r="G1960" s="2">
        <v>700</v>
      </c>
      <c r="I1960" s="2">
        <f t="shared" si="128"/>
        <v>8626.5499999999993</v>
      </c>
      <c r="L1960" s="2">
        <f t="shared" si="127"/>
        <v>2.8000000000000003</v>
      </c>
    </row>
    <row r="1961" spans="1:14" x14ac:dyDescent="0.3">
      <c r="A1961" s="3">
        <v>45318</v>
      </c>
      <c r="B1961" s="11" t="s">
        <v>3871</v>
      </c>
      <c r="C1961" s="50" t="s">
        <v>4364</v>
      </c>
      <c r="D1961" s="65"/>
      <c r="F1961" s="11"/>
      <c r="H1961" s="2">
        <v>5000</v>
      </c>
      <c r="I1961" s="2">
        <f t="shared" si="128"/>
        <v>3626.5499999999993</v>
      </c>
      <c r="L1961" s="2">
        <f t="shared" si="127"/>
        <v>20</v>
      </c>
    </row>
    <row r="1962" spans="1:14" x14ac:dyDescent="0.3">
      <c r="A1962" s="3">
        <v>45318</v>
      </c>
      <c r="B1962" s="11" t="s">
        <v>1250</v>
      </c>
      <c r="C1962" s="50" t="s">
        <v>2387</v>
      </c>
      <c r="D1962" s="65"/>
      <c r="F1962" s="11"/>
      <c r="G1962" s="2">
        <v>1000</v>
      </c>
      <c r="I1962" s="2">
        <f t="shared" si="128"/>
        <v>4626.5499999999993</v>
      </c>
      <c r="L1962" s="2">
        <f t="shared" si="127"/>
        <v>4</v>
      </c>
    </row>
    <row r="1963" spans="1:14" x14ac:dyDescent="0.3">
      <c r="A1963" s="3">
        <v>45320</v>
      </c>
      <c r="B1963" s="11" t="s">
        <v>4072</v>
      </c>
      <c r="C1963" s="50" t="s">
        <v>3370</v>
      </c>
      <c r="D1963" s="65"/>
      <c r="F1963" s="11"/>
      <c r="H1963" s="2">
        <v>1200</v>
      </c>
      <c r="I1963" s="2">
        <f t="shared" si="128"/>
        <v>3426.5499999999993</v>
      </c>
      <c r="L1963" s="2">
        <f t="shared" si="127"/>
        <v>4.8</v>
      </c>
    </row>
    <row r="1964" spans="1:14" x14ac:dyDescent="0.3">
      <c r="A1964" s="3">
        <v>45320</v>
      </c>
      <c r="B1964" s="11" t="s">
        <v>4375</v>
      </c>
      <c r="C1964" s="50" t="s">
        <v>4376</v>
      </c>
      <c r="D1964" s="65"/>
      <c r="F1964" s="11"/>
      <c r="G1964" s="2">
        <v>3000</v>
      </c>
      <c r="I1964" s="2">
        <f t="shared" si="128"/>
        <v>6426.5499999999993</v>
      </c>
      <c r="L1964" s="2">
        <f t="shared" si="127"/>
        <v>12</v>
      </c>
    </row>
    <row r="1965" spans="1:14" x14ac:dyDescent="0.3">
      <c r="A1965" s="3">
        <v>45320</v>
      </c>
      <c r="B1965" s="11" t="s">
        <v>4380</v>
      </c>
      <c r="C1965" s="50" t="s">
        <v>4379</v>
      </c>
      <c r="D1965" s="65"/>
      <c r="E1965" s="90" t="s">
        <v>16</v>
      </c>
      <c r="F1965" s="11"/>
      <c r="H1965" s="2">
        <v>200</v>
      </c>
      <c r="I1965" s="2">
        <f t="shared" si="128"/>
        <v>6226.5499999999993</v>
      </c>
      <c r="L1965" s="2">
        <f t="shared" si="127"/>
        <v>25.8</v>
      </c>
    </row>
    <row r="1966" spans="1:14" x14ac:dyDescent="0.3">
      <c r="A1966" s="3">
        <v>45320</v>
      </c>
      <c r="B1966" s="11" t="s">
        <v>2241</v>
      </c>
      <c r="C1966" s="50" t="s">
        <v>4310</v>
      </c>
      <c r="D1966" s="65"/>
      <c r="F1966" s="11"/>
      <c r="G1966" s="2">
        <v>500</v>
      </c>
      <c r="I1966" s="2">
        <f t="shared" si="128"/>
        <v>6726.5499999999993</v>
      </c>
      <c r="L1966" s="2">
        <f t="shared" si="127"/>
        <v>2</v>
      </c>
      <c r="N1966">
        <v>-10</v>
      </c>
    </row>
    <row r="1967" spans="1:14" x14ac:dyDescent="0.3">
      <c r="A1967" s="3">
        <v>45321</v>
      </c>
      <c r="B1967" s="11" t="s">
        <v>3915</v>
      </c>
      <c r="D1967" s="65"/>
      <c r="F1967" s="11"/>
      <c r="G1967" s="2">
        <v>5050</v>
      </c>
      <c r="I1967" s="2">
        <f t="shared" si="128"/>
        <v>11776.55</v>
      </c>
      <c r="L1967" s="2">
        <f t="shared" si="127"/>
        <v>20</v>
      </c>
    </row>
    <row r="1968" spans="1:14" x14ac:dyDescent="0.3">
      <c r="A1968" s="3">
        <v>45321</v>
      </c>
      <c r="B1968" s="11" t="s">
        <v>3415</v>
      </c>
      <c r="C1968" s="50" t="s">
        <v>4381</v>
      </c>
      <c r="D1968" s="65"/>
      <c r="F1968" s="11"/>
      <c r="H1968" s="2">
        <v>10000</v>
      </c>
      <c r="I1968" s="2">
        <f t="shared" si="128"/>
        <v>1776.5499999999993</v>
      </c>
      <c r="L1968" s="2">
        <f t="shared" si="127"/>
        <v>20</v>
      </c>
    </row>
    <row r="1969" spans="1:14" s="29" customFormat="1" x14ac:dyDescent="0.3">
      <c r="A1969" s="102">
        <v>45322</v>
      </c>
      <c r="B1969" s="173">
        <v>8463</v>
      </c>
      <c r="C1969" s="104" t="s">
        <v>4382</v>
      </c>
      <c r="D1969" s="104">
        <v>9142476221</v>
      </c>
      <c r="E1969" s="93"/>
      <c r="F1969" s="30"/>
      <c r="G1969" s="46">
        <v>1000</v>
      </c>
      <c r="H1969" s="45"/>
      <c r="I1969" s="2">
        <f t="shared" si="128"/>
        <v>2776.5499999999993</v>
      </c>
      <c r="L1969" s="2">
        <f t="shared" si="127"/>
        <v>4</v>
      </c>
    </row>
    <row r="1970" spans="1:14" s="29" customFormat="1" x14ac:dyDescent="0.3">
      <c r="A1970" s="102">
        <v>45322</v>
      </c>
      <c r="B1970" s="175">
        <v>5273</v>
      </c>
      <c r="C1970" s="105" t="s">
        <v>1740</v>
      </c>
      <c r="D1970" s="105"/>
      <c r="E1970" s="95" t="s">
        <v>16</v>
      </c>
      <c r="G1970" s="45"/>
      <c r="H1970" s="45">
        <v>100</v>
      </c>
      <c r="I1970" s="2">
        <f t="shared" si="128"/>
        <v>2676.5499999999993</v>
      </c>
    </row>
    <row r="1971" spans="1:14" x14ac:dyDescent="0.3">
      <c r="A1971" s="77">
        <f>COUNT(A1867:A1970)</f>
        <v>103</v>
      </c>
      <c r="B1971" s="80"/>
      <c r="C1971" s="112"/>
      <c r="D1971" s="112"/>
      <c r="E1971" s="92">
        <f>COUNTIF(E1876:E1970,"Y")</f>
        <v>9</v>
      </c>
      <c r="F1971" s="77">
        <f>G1971+H1971</f>
        <v>273176.55</v>
      </c>
      <c r="G1971" s="84">
        <f>SUM(G1876:G1970)</f>
        <v>137926.54999999999</v>
      </c>
      <c r="H1971" s="84">
        <f>SUM(H1876:H1970)</f>
        <v>135250</v>
      </c>
      <c r="I1971" s="84"/>
      <c r="J1971" s="80"/>
      <c r="K1971" s="80"/>
      <c r="L1971" s="80">
        <f>SUM(L1876:L1970)</f>
        <v>1147.7199999999998</v>
      </c>
      <c r="M1971" s="77"/>
      <c r="N1971" s="77"/>
    </row>
    <row r="1973" spans="1:14" x14ac:dyDescent="0.3">
      <c r="A1973" s="3">
        <v>45323</v>
      </c>
      <c r="C1973" s="51" t="s">
        <v>2984</v>
      </c>
      <c r="D1973" s="51"/>
      <c r="F1973" s="11"/>
      <c r="G1973" s="2">
        <f>I1970</f>
        <v>2676.5499999999993</v>
      </c>
      <c r="I1973" s="2">
        <f t="shared" ref="I1973:I1993" si="129">I1972+G1973-H1973</f>
        <v>2676.5499999999993</v>
      </c>
    </row>
    <row r="1974" spans="1:14" x14ac:dyDescent="0.3">
      <c r="A1974" s="3">
        <v>45323</v>
      </c>
      <c r="B1974" s="11" t="s">
        <v>1160</v>
      </c>
      <c r="C1974" s="51" t="s">
        <v>3467</v>
      </c>
      <c r="D1974" s="51"/>
      <c r="F1974" s="11"/>
      <c r="G1974" s="2">
        <v>4000</v>
      </c>
      <c r="I1974" s="2">
        <f t="shared" si="129"/>
        <v>6676.5499999999993</v>
      </c>
      <c r="L1974" s="2">
        <f t="shared" ref="L1974:L2005" si="130">IF((G1974+H1974)&lt;=5000,(H1974+G1974)*0.004,20)+IF(E1974="Y",25,0)</f>
        <v>16</v>
      </c>
    </row>
    <row r="1975" spans="1:14" x14ac:dyDescent="0.3">
      <c r="A1975" s="3">
        <v>45323</v>
      </c>
      <c r="B1975" s="11" t="s">
        <v>4157</v>
      </c>
      <c r="C1975" s="51" t="s">
        <v>4389</v>
      </c>
      <c r="D1975" s="51"/>
      <c r="F1975" s="11"/>
      <c r="H1975" s="2">
        <v>5000</v>
      </c>
      <c r="I1975" s="2">
        <f t="shared" si="129"/>
        <v>1676.5499999999993</v>
      </c>
      <c r="L1975" s="2">
        <f t="shared" si="130"/>
        <v>20</v>
      </c>
    </row>
    <row r="1976" spans="1:14" x14ac:dyDescent="0.3">
      <c r="A1976" s="3">
        <v>45330</v>
      </c>
      <c r="B1976" s="11" t="s">
        <v>4394</v>
      </c>
      <c r="C1976" s="50" t="s">
        <v>4391</v>
      </c>
      <c r="E1976" s="90" t="s">
        <v>16</v>
      </c>
      <c r="H1976" s="2">
        <v>100</v>
      </c>
      <c r="I1976" s="2">
        <f t="shared" si="129"/>
        <v>1576.5499999999993</v>
      </c>
      <c r="L1976" s="2">
        <f t="shared" si="130"/>
        <v>25.4</v>
      </c>
    </row>
    <row r="1977" spans="1:14" x14ac:dyDescent="0.3">
      <c r="A1977" s="3">
        <v>45331</v>
      </c>
      <c r="B1977" s="11" t="s">
        <v>1160</v>
      </c>
      <c r="C1977" s="50" t="s">
        <v>4034</v>
      </c>
      <c r="D1977" s="51"/>
      <c r="G1977" s="2">
        <v>3000</v>
      </c>
      <c r="I1977" s="2">
        <f t="shared" si="129"/>
        <v>4576.5499999999993</v>
      </c>
      <c r="L1977" s="2">
        <f t="shared" si="130"/>
        <v>12</v>
      </c>
    </row>
    <row r="1978" spans="1:14" x14ac:dyDescent="0.3">
      <c r="A1978" s="3">
        <v>45331</v>
      </c>
      <c r="B1978" s="11" t="s">
        <v>3544</v>
      </c>
      <c r="C1978" s="50" t="s">
        <v>4341</v>
      </c>
      <c r="G1978" s="2">
        <v>2000</v>
      </c>
      <c r="I1978" s="2">
        <f t="shared" si="129"/>
        <v>6576.5499999999993</v>
      </c>
      <c r="L1978" s="2">
        <f t="shared" si="130"/>
        <v>8</v>
      </c>
    </row>
    <row r="1979" spans="1:14" x14ac:dyDescent="0.3">
      <c r="A1979" s="3">
        <v>45331</v>
      </c>
      <c r="B1979" s="11" t="s">
        <v>4396</v>
      </c>
      <c r="C1979" s="50" t="s">
        <v>4397</v>
      </c>
      <c r="E1979" s="90" t="s">
        <v>16</v>
      </c>
      <c r="H1979" s="2">
        <v>150</v>
      </c>
      <c r="I1979" s="2">
        <f t="shared" si="129"/>
        <v>6426.5499999999993</v>
      </c>
      <c r="L1979" s="2">
        <f t="shared" si="130"/>
        <v>25.6</v>
      </c>
    </row>
    <row r="1980" spans="1:14" x14ac:dyDescent="0.3">
      <c r="A1980" s="3">
        <v>45331</v>
      </c>
      <c r="B1980" s="11" t="s">
        <v>2448</v>
      </c>
      <c r="C1980" s="50" t="s">
        <v>2289</v>
      </c>
      <c r="H1980" s="2">
        <v>5000</v>
      </c>
      <c r="I1980" s="2">
        <f t="shared" si="129"/>
        <v>1426.5499999999993</v>
      </c>
      <c r="L1980" s="2">
        <f t="shared" si="130"/>
        <v>20</v>
      </c>
    </row>
    <row r="1981" spans="1:14" x14ac:dyDescent="0.3">
      <c r="A1981" s="3">
        <v>45332</v>
      </c>
      <c r="B1981" s="11" t="s">
        <v>1160</v>
      </c>
      <c r="C1981" s="50" t="s">
        <v>4399</v>
      </c>
      <c r="G1981" s="2">
        <v>1000</v>
      </c>
      <c r="I1981" s="2">
        <f t="shared" si="129"/>
        <v>2426.5499999999993</v>
      </c>
      <c r="L1981" s="2">
        <f t="shared" si="130"/>
        <v>4</v>
      </c>
    </row>
    <row r="1982" spans="1:14" x14ac:dyDescent="0.3">
      <c r="A1982" s="3">
        <v>45332</v>
      </c>
      <c r="B1982" s="11" t="s">
        <v>2448</v>
      </c>
      <c r="C1982" s="50" t="s">
        <v>2289</v>
      </c>
      <c r="H1982" s="2">
        <v>2000</v>
      </c>
      <c r="I1982" s="2">
        <f t="shared" si="129"/>
        <v>426.54999999999927</v>
      </c>
      <c r="L1982" s="2">
        <f t="shared" si="130"/>
        <v>8</v>
      </c>
    </row>
    <row r="1983" spans="1:14" x14ac:dyDescent="0.3">
      <c r="A1983" s="3">
        <v>45332</v>
      </c>
      <c r="B1983" s="11" t="s">
        <v>4401</v>
      </c>
      <c r="E1983" s="90" t="s">
        <v>16</v>
      </c>
      <c r="H1983" s="2">
        <v>400</v>
      </c>
      <c r="I1983" s="2">
        <f t="shared" si="129"/>
        <v>26.549999999999272</v>
      </c>
      <c r="L1983" s="2">
        <f t="shared" si="130"/>
        <v>26.6</v>
      </c>
    </row>
    <row r="1984" spans="1:14" x14ac:dyDescent="0.3">
      <c r="A1984" s="3">
        <v>45334</v>
      </c>
      <c r="B1984" s="11" t="s">
        <v>1250</v>
      </c>
      <c r="C1984" s="50" t="s">
        <v>2626</v>
      </c>
      <c r="G1984" s="2">
        <v>7000</v>
      </c>
      <c r="I1984" s="2">
        <f t="shared" si="129"/>
        <v>7026.5499999999993</v>
      </c>
      <c r="L1984" s="2">
        <f t="shared" si="130"/>
        <v>20</v>
      </c>
    </row>
    <row r="1985" spans="1:12" x14ac:dyDescent="0.3">
      <c r="A1985" s="3">
        <v>45334</v>
      </c>
      <c r="B1985" s="11" t="s">
        <v>2448</v>
      </c>
      <c r="C1985" s="50" t="s">
        <v>2289</v>
      </c>
      <c r="H1985" s="2">
        <v>5000</v>
      </c>
      <c r="I1985" s="2">
        <f t="shared" si="129"/>
        <v>2026.5499999999993</v>
      </c>
      <c r="L1985" s="2">
        <f t="shared" si="130"/>
        <v>20</v>
      </c>
    </row>
    <row r="1986" spans="1:12" x14ac:dyDescent="0.3">
      <c r="A1986" s="3">
        <v>45334</v>
      </c>
      <c r="B1986" s="11" t="s">
        <v>4404</v>
      </c>
      <c r="E1986" s="90" t="s">
        <v>16</v>
      </c>
      <c r="H1986" s="2">
        <v>200</v>
      </c>
      <c r="I1986" s="2">
        <f t="shared" si="129"/>
        <v>1826.5499999999993</v>
      </c>
      <c r="L1986" s="2">
        <f t="shared" si="130"/>
        <v>25.8</v>
      </c>
    </row>
    <row r="1987" spans="1:12" x14ac:dyDescent="0.3">
      <c r="A1987" s="3">
        <v>45335</v>
      </c>
      <c r="B1987" s="11" t="s">
        <v>1472</v>
      </c>
      <c r="C1987" s="50" t="s">
        <v>4405</v>
      </c>
      <c r="G1987" s="2">
        <v>2000</v>
      </c>
      <c r="I1987" s="2">
        <f t="shared" si="129"/>
        <v>3826.5499999999993</v>
      </c>
      <c r="L1987" s="2">
        <f t="shared" si="130"/>
        <v>8</v>
      </c>
    </row>
    <row r="1988" spans="1:12" x14ac:dyDescent="0.3">
      <c r="A1988" s="3">
        <v>45335</v>
      </c>
      <c r="B1988" s="11" t="s">
        <v>3871</v>
      </c>
      <c r="C1988" s="50" t="s">
        <v>4407</v>
      </c>
      <c r="H1988" s="2">
        <v>1000</v>
      </c>
      <c r="I1988" s="2">
        <f t="shared" si="129"/>
        <v>2826.5499999999993</v>
      </c>
      <c r="L1988" s="2">
        <f t="shared" si="130"/>
        <v>4</v>
      </c>
    </row>
    <row r="1989" spans="1:12" x14ac:dyDescent="0.3">
      <c r="A1989" s="3">
        <v>45335</v>
      </c>
      <c r="B1989" s="11" t="s">
        <v>1160</v>
      </c>
      <c r="G1989" s="2">
        <v>1000</v>
      </c>
      <c r="I1989" s="2">
        <f t="shared" si="129"/>
        <v>3826.5499999999993</v>
      </c>
      <c r="L1989" s="2">
        <f t="shared" si="130"/>
        <v>4</v>
      </c>
    </row>
    <row r="1990" spans="1:12" x14ac:dyDescent="0.3">
      <c r="A1990" s="3">
        <v>45336</v>
      </c>
      <c r="B1990" s="11" t="s">
        <v>1250</v>
      </c>
      <c r="C1990" s="50" t="s">
        <v>3416</v>
      </c>
      <c r="G1990" s="2">
        <v>2000</v>
      </c>
      <c r="I1990" s="2">
        <f t="shared" si="129"/>
        <v>5826.5499999999993</v>
      </c>
      <c r="L1990" s="2">
        <f t="shared" si="130"/>
        <v>8</v>
      </c>
    </row>
    <row r="1991" spans="1:12" x14ac:dyDescent="0.3">
      <c r="A1991" s="3">
        <v>45339</v>
      </c>
      <c r="B1991" s="11" t="s">
        <v>4409</v>
      </c>
      <c r="C1991" s="50" t="s">
        <v>4408</v>
      </c>
      <c r="H1991" s="2">
        <v>5000</v>
      </c>
      <c r="I1991" s="2">
        <f t="shared" si="129"/>
        <v>826.54999999999927</v>
      </c>
      <c r="L1991" s="2">
        <f t="shared" si="130"/>
        <v>20</v>
      </c>
    </row>
    <row r="1992" spans="1:12" x14ac:dyDescent="0.3">
      <c r="A1992" s="3">
        <v>45339</v>
      </c>
      <c r="B1992" s="11" t="s">
        <v>3543</v>
      </c>
      <c r="C1992" s="50" t="s">
        <v>2626</v>
      </c>
      <c r="G1992" s="2">
        <v>4000</v>
      </c>
      <c r="I1992" s="2">
        <f t="shared" si="129"/>
        <v>4826.5499999999993</v>
      </c>
      <c r="L1992" s="2">
        <f t="shared" si="130"/>
        <v>16</v>
      </c>
    </row>
    <row r="1993" spans="1:12" x14ac:dyDescent="0.3">
      <c r="A1993" s="3">
        <v>45339</v>
      </c>
      <c r="B1993" s="11" t="s">
        <v>3290</v>
      </c>
      <c r="C1993" s="50" t="s">
        <v>3401</v>
      </c>
      <c r="G1993" s="2">
        <v>1000</v>
      </c>
      <c r="I1993" s="2">
        <f t="shared" si="129"/>
        <v>5826.5499999999993</v>
      </c>
      <c r="L1993" s="2">
        <f t="shared" si="130"/>
        <v>4</v>
      </c>
    </row>
    <row r="1994" spans="1:12" x14ac:dyDescent="0.3">
      <c r="A1994" s="3">
        <v>44976</v>
      </c>
      <c r="B1994" s="11" t="s">
        <v>4411</v>
      </c>
      <c r="C1994" s="65" t="s">
        <v>4412</v>
      </c>
      <c r="E1994" s="90" t="s">
        <v>16</v>
      </c>
      <c r="H1994" s="2">
        <v>100</v>
      </c>
      <c r="I1994" s="2">
        <f t="shared" ref="I1994:I2040" si="131">I1993+G1994-H1994</f>
        <v>5726.5499999999993</v>
      </c>
      <c r="L1994" s="2">
        <f t="shared" si="130"/>
        <v>25.4</v>
      </c>
    </row>
    <row r="1995" spans="1:12" x14ac:dyDescent="0.3">
      <c r="A1995" s="3">
        <v>44976</v>
      </c>
      <c r="B1995" s="11" t="s">
        <v>4414</v>
      </c>
      <c r="C1995" s="65" t="s">
        <v>4415</v>
      </c>
      <c r="E1995" s="90" t="s">
        <v>16</v>
      </c>
      <c r="H1995" s="2">
        <v>100</v>
      </c>
      <c r="I1995" s="2">
        <f t="shared" si="131"/>
        <v>5626.5499999999993</v>
      </c>
      <c r="L1995" s="2">
        <f t="shared" si="130"/>
        <v>25.4</v>
      </c>
    </row>
    <row r="1996" spans="1:12" x14ac:dyDescent="0.3">
      <c r="A1996" s="3">
        <v>44976</v>
      </c>
      <c r="C1996" s="50" t="s">
        <v>4341</v>
      </c>
      <c r="G1996" s="2">
        <v>2000</v>
      </c>
      <c r="I1996" s="2">
        <f t="shared" si="131"/>
        <v>7626.5499999999993</v>
      </c>
      <c r="L1996" s="2">
        <f t="shared" si="130"/>
        <v>8</v>
      </c>
    </row>
    <row r="1997" spans="1:12" x14ac:dyDescent="0.3">
      <c r="A1997" s="3">
        <v>44976</v>
      </c>
      <c r="B1997" s="11" t="s">
        <v>4420</v>
      </c>
      <c r="C1997" s="50" t="s">
        <v>4421</v>
      </c>
      <c r="G1997" s="2">
        <v>5000</v>
      </c>
      <c r="I1997" s="2">
        <f t="shared" si="131"/>
        <v>12626.55</v>
      </c>
      <c r="L1997" s="2">
        <f t="shared" si="130"/>
        <v>20</v>
      </c>
    </row>
    <row r="1998" spans="1:12" x14ac:dyDescent="0.3">
      <c r="A1998" s="3">
        <v>45342</v>
      </c>
      <c r="B1998" s="11" t="s">
        <v>4424</v>
      </c>
      <c r="C1998" s="50" t="s">
        <v>2367</v>
      </c>
      <c r="E1998" s="90" t="s">
        <v>16</v>
      </c>
      <c r="G1998" s="2">
        <v>100</v>
      </c>
      <c r="I1998" s="2">
        <f t="shared" si="131"/>
        <v>12726.55</v>
      </c>
      <c r="L1998" s="2">
        <f t="shared" si="130"/>
        <v>25.4</v>
      </c>
    </row>
    <row r="1999" spans="1:12" x14ac:dyDescent="0.3">
      <c r="A1999" s="3">
        <v>45342</v>
      </c>
      <c r="B1999" s="11" t="s">
        <v>4425</v>
      </c>
      <c r="C1999" s="50" t="s">
        <v>4427</v>
      </c>
      <c r="E1999" s="90" t="s">
        <v>16</v>
      </c>
      <c r="G1999" s="2">
        <v>100</v>
      </c>
      <c r="I1999" s="2">
        <f t="shared" si="131"/>
        <v>12826.55</v>
      </c>
      <c r="L1999" s="2">
        <f t="shared" si="130"/>
        <v>25.4</v>
      </c>
    </row>
    <row r="2000" spans="1:12" x14ac:dyDescent="0.3">
      <c r="A2000" s="3">
        <v>45342</v>
      </c>
      <c r="B2000" s="11" t="s">
        <v>2976</v>
      </c>
      <c r="C2000" s="50" t="s">
        <v>1279</v>
      </c>
      <c r="H2000" s="2">
        <v>10000</v>
      </c>
      <c r="I2000" s="2">
        <f t="shared" si="131"/>
        <v>2826.5499999999993</v>
      </c>
      <c r="L2000" s="2">
        <f t="shared" si="130"/>
        <v>20</v>
      </c>
    </row>
    <row r="2001" spans="1:12" x14ac:dyDescent="0.3">
      <c r="A2001" s="3">
        <v>44977</v>
      </c>
      <c r="B2001" s="11" t="s">
        <v>4435</v>
      </c>
      <c r="C2001" s="65" t="s">
        <v>4434</v>
      </c>
      <c r="E2001" s="90" t="s">
        <v>16</v>
      </c>
      <c r="H2001" s="2">
        <v>200</v>
      </c>
      <c r="I2001" s="2">
        <f t="shared" si="131"/>
        <v>2626.5499999999993</v>
      </c>
      <c r="L2001" s="2">
        <f t="shared" si="130"/>
        <v>25.8</v>
      </c>
    </row>
    <row r="2002" spans="1:12" x14ac:dyDescent="0.3">
      <c r="A2002" s="3">
        <v>44977</v>
      </c>
      <c r="C2002" s="50" t="s">
        <v>4437</v>
      </c>
      <c r="G2002" s="2">
        <v>2000</v>
      </c>
      <c r="I2002" s="2">
        <f t="shared" si="131"/>
        <v>4626.5499999999993</v>
      </c>
      <c r="L2002" s="2">
        <f t="shared" si="130"/>
        <v>8</v>
      </c>
    </row>
    <row r="2003" spans="1:12" x14ac:dyDescent="0.3">
      <c r="A2003" s="3">
        <v>45343</v>
      </c>
      <c r="B2003" s="11" t="s">
        <v>4441</v>
      </c>
      <c r="C2003" s="65" t="s">
        <v>4479</v>
      </c>
      <c r="E2003" s="101" t="s">
        <v>16</v>
      </c>
      <c r="H2003" s="2">
        <v>500</v>
      </c>
      <c r="I2003" s="2">
        <f t="shared" si="131"/>
        <v>4126.5499999999993</v>
      </c>
      <c r="L2003" s="2">
        <f t="shared" si="130"/>
        <v>27</v>
      </c>
    </row>
    <row r="2004" spans="1:12" x14ac:dyDescent="0.3">
      <c r="A2004" s="3">
        <v>45343</v>
      </c>
      <c r="B2004" s="11" t="s">
        <v>4447</v>
      </c>
      <c r="C2004" s="50" t="s">
        <v>4445</v>
      </c>
      <c r="E2004" s="101" t="s">
        <v>16</v>
      </c>
      <c r="H2004" s="2">
        <v>500</v>
      </c>
      <c r="I2004" s="2">
        <f t="shared" si="131"/>
        <v>3626.5499999999993</v>
      </c>
      <c r="L2004" s="2">
        <f t="shared" si="130"/>
        <v>27</v>
      </c>
    </row>
    <row r="2005" spans="1:12" x14ac:dyDescent="0.3">
      <c r="A2005" s="3">
        <v>45343</v>
      </c>
      <c r="C2005" s="50" t="s">
        <v>2190</v>
      </c>
      <c r="G2005" s="2">
        <v>2000</v>
      </c>
      <c r="I2005" s="2">
        <f t="shared" si="131"/>
        <v>5626.5499999999993</v>
      </c>
      <c r="L2005" s="2">
        <f t="shared" si="130"/>
        <v>8</v>
      </c>
    </row>
    <row r="2006" spans="1:12" x14ac:dyDescent="0.3">
      <c r="A2006" s="3">
        <v>45343</v>
      </c>
      <c r="B2006" s="11" t="s">
        <v>4452</v>
      </c>
      <c r="C2006" s="65" t="s">
        <v>1056</v>
      </c>
      <c r="E2006" s="90" t="s">
        <v>16</v>
      </c>
      <c r="H2006" s="2">
        <v>100</v>
      </c>
      <c r="I2006" s="2">
        <f t="shared" si="131"/>
        <v>5526.5499999999993</v>
      </c>
      <c r="L2006" s="2">
        <f t="shared" ref="L2006:L2041" si="132">IF((G2006+H2006)&lt;=5000,(H2006+G2006)*0.004,20)+IF(E2006="Y",25,0)</f>
        <v>25.4</v>
      </c>
    </row>
    <row r="2007" spans="1:12" x14ac:dyDescent="0.3">
      <c r="A2007" s="3">
        <v>45343</v>
      </c>
      <c r="B2007" s="11" t="s">
        <v>1250</v>
      </c>
      <c r="C2007" s="50" t="s">
        <v>4455</v>
      </c>
      <c r="G2007" s="2">
        <v>8000</v>
      </c>
      <c r="I2007" s="2">
        <f t="shared" si="131"/>
        <v>13526.55</v>
      </c>
      <c r="L2007" s="2">
        <f t="shared" si="132"/>
        <v>20</v>
      </c>
    </row>
    <row r="2008" spans="1:12" x14ac:dyDescent="0.3">
      <c r="A2008" s="3">
        <v>45343</v>
      </c>
      <c r="B2008" s="11" t="s">
        <v>2448</v>
      </c>
      <c r="C2008" s="50" t="s">
        <v>2289</v>
      </c>
      <c r="H2008" s="2">
        <v>6000</v>
      </c>
      <c r="I2008" s="2">
        <f t="shared" si="131"/>
        <v>7526.5499999999993</v>
      </c>
      <c r="L2008" s="2">
        <f t="shared" si="132"/>
        <v>20</v>
      </c>
    </row>
    <row r="2009" spans="1:12" x14ac:dyDescent="0.3">
      <c r="A2009" s="3">
        <v>45343</v>
      </c>
      <c r="B2009" s="11" t="s">
        <v>4457</v>
      </c>
      <c r="C2009" s="65" t="s">
        <v>4458</v>
      </c>
      <c r="E2009" s="90" t="s">
        <v>14</v>
      </c>
      <c r="H2009" s="2">
        <v>100</v>
      </c>
      <c r="I2009" s="2">
        <f t="shared" si="131"/>
        <v>7426.5499999999993</v>
      </c>
      <c r="L2009" s="2">
        <f t="shared" si="132"/>
        <v>25.4</v>
      </c>
    </row>
    <row r="2010" spans="1:12" x14ac:dyDescent="0.3">
      <c r="A2010" s="3">
        <v>45344</v>
      </c>
      <c r="B2010" s="11" t="s">
        <v>1250</v>
      </c>
      <c r="C2010" s="50" t="s">
        <v>2626</v>
      </c>
      <c r="G2010" s="2">
        <v>10000</v>
      </c>
      <c r="I2010" s="2">
        <f t="shared" si="131"/>
        <v>17426.55</v>
      </c>
      <c r="L2010" s="2">
        <f t="shared" si="132"/>
        <v>20</v>
      </c>
    </row>
    <row r="2011" spans="1:12" x14ac:dyDescent="0.3">
      <c r="A2011" s="3">
        <v>45344</v>
      </c>
      <c r="B2011" s="11" t="s">
        <v>1250</v>
      </c>
      <c r="C2011" s="50" t="s">
        <v>3539</v>
      </c>
      <c r="D2011" s="50">
        <v>9234859890</v>
      </c>
      <c r="G2011" s="2">
        <v>3000</v>
      </c>
      <c r="I2011" s="2">
        <f t="shared" si="131"/>
        <v>20426.55</v>
      </c>
      <c r="L2011" s="2">
        <f t="shared" si="132"/>
        <v>12</v>
      </c>
    </row>
    <row r="2012" spans="1:12" x14ac:dyDescent="0.3">
      <c r="A2012" s="3">
        <v>45344</v>
      </c>
      <c r="B2012" s="11" t="s">
        <v>4465</v>
      </c>
      <c r="C2012" s="50" t="s">
        <v>4463</v>
      </c>
      <c r="E2012" s="90" t="s">
        <v>16</v>
      </c>
      <c r="H2012" s="2">
        <v>500</v>
      </c>
      <c r="I2012" s="2">
        <f t="shared" si="131"/>
        <v>19926.55</v>
      </c>
      <c r="L2012" s="2">
        <f t="shared" si="132"/>
        <v>27</v>
      </c>
    </row>
    <row r="2013" spans="1:12" x14ac:dyDescent="0.3">
      <c r="A2013" s="3">
        <v>45344</v>
      </c>
      <c r="B2013" s="11" t="s">
        <v>4473</v>
      </c>
      <c r="C2013" s="50" t="s">
        <v>4472</v>
      </c>
      <c r="E2013" s="90" t="s">
        <v>16</v>
      </c>
      <c r="H2013" s="2">
        <v>100</v>
      </c>
      <c r="I2013" s="2">
        <f t="shared" si="131"/>
        <v>19826.55</v>
      </c>
      <c r="L2013" s="2">
        <f t="shared" si="132"/>
        <v>25.4</v>
      </c>
    </row>
    <row r="2014" spans="1:12" x14ac:dyDescent="0.3">
      <c r="A2014" s="3">
        <v>45344</v>
      </c>
      <c r="B2014" s="11" t="s">
        <v>4474</v>
      </c>
      <c r="C2014" s="50" t="s">
        <v>4469</v>
      </c>
      <c r="E2014" s="90" t="s">
        <v>16</v>
      </c>
      <c r="H2014" s="2">
        <v>100</v>
      </c>
      <c r="I2014" s="2">
        <f t="shared" si="131"/>
        <v>19726.55</v>
      </c>
      <c r="L2014" s="2">
        <f t="shared" si="132"/>
        <v>25.4</v>
      </c>
    </row>
    <row r="2015" spans="1:12" x14ac:dyDescent="0.3">
      <c r="A2015" s="3">
        <v>45344</v>
      </c>
      <c r="B2015" s="11" t="s">
        <v>4477</v>
      </c>
      <c r="C2015" s="50" t="s">
        <v>4478</v>
      </c>
      <c r="E2015" s="90" t="s">
        <v>14</v>
      </c>
      <c r="H2015" s="2">
        <v>100</v>
      </c>
      <c r="I2015" s="2">
        <f t="shared" si="131"/>
        <v>19626.55</v>
      </c>
      <c r="L2015" s="2">
        <f t="shared" si="132"/>
        <v>25.4</v>
      </c>
    </row>
    <row r="2016" spans="1:12" x14ac:dyDescent="0.3">
      <c r="A2016" s="3">
        <v>45344</v>
      </c>
      <c r="B2016" s="11" t="s">
        <v>4483</v>
      </c>
      <c r="C2016" s="50" t="s">
        <v>4484</v>
      </c>
      <c r="E2016" s="90" t="s">
        <v>14</v>
      </c>
      <c r="H2016" s="2">
        <v>2000</v>
      </c>
      <c r="I2016" s="2">
        <f t="shared" si="131"/>
        <v>17626.55</v>
      </c>
      <c r="L2016" s="2">
        <f t="shared" si="132"/>
        <v>33</v>
      </c>
    </row>
    <row r="2017" spans="1:14" x14ac:dyDescent="0.3">
      <c r="A2017" s="3">
        <v>45345</v>
      </c>
      <c r="B2017" s="11" t="s">
        <v>1250</v>
      </c>
      <c r="C2017" s="51"/>
      <c r="D2017" s="65"/>
      <c r="E2017" s="90" t="s">
        <v>14</v>
      </c>
      <c r="H2017" s="2">
        <v>8000</v>
      </c>
      <c r="I2017" s="2">
        <f t="shared" si="131"/>
        <v>9626.5499999999993</v>
      </c>
      <c r="L2017" s="2">
        <f t="shared" si="132"/>
        <v>45</v>
      </c>
    </row>
    <row r="2018" spans="1:14" x14ac:dyDescent="0.3">
      <c r="A2018" s="3">
        <v>45345</v>
      </c>
      <c r="B2018" s="11" t="s">
        <v>3915</v>
      </c>
      <c r="C2018" s="51"/>
      <c r="D2018" s="65"/>
      <c r="G2018" s="2">
        <v>250</v>
      </c>
      <c r="I2018" s="2">
        <f t="shared" si="131"/>
        <v>9876.5499999999993</v>
      </c>
      <c r="L2018" s="2">
        <f t="shared" si="132"/>
        <v>1</v>
      </c>
    </row>
    <row r="2019" spans="1:14" x14ac:dyDescent="0.3">
      <c r="A2019" s="3">
        <v>45345</v>
      </c>
      <c r="B2019" s="11" t="s">
        <v>4488</v>
      </c>
      <c r="C2019" s="65" t="s">
        <v>4489</v>
      </c>
      <c r="E2019" s="90" t="s">
        <v>14</v>
      </c>
      <c r="H2019" s="2">
        <v>500</v>
      </c>
      <c r="I2019" s="2">
        <f t="shared" si="131"/>
        <v>9376.5499999999993</v>
      </c>
      <c r="L2019" s="2">
        <f t="shared" si="132"/>
        <v>27</v>
      </c>
    </row>
    <row r="2020" spans="1:14" x14ac:dyDescent="0.3">
      <c r="A2020" s="3">
        <v>45345</v>
      </c>
      <c r="B2020" s="11" t="s">
        <v>4495</v>
      </c>
      <c r="C2020" s="65" t="s">
        <v>4496</v>
      </c>
      <c r="E2020" s="90" t="s">
        <v>16</v>
      </c>
      <c r="H2020" s="2">
        <v>100</v>
      </c>
      <c r="I2020" s="2">
        <f t="shared" si="131"/>
        <v>9276.5499999999993</v>
      </c>
      <c r="L2020" s="2">
        <f t="shared" si="132"/>
        <v>25.4</v>
      </c>
    </row>
    <row r="2021" spans="1:14" x14ac:dyDescent="0.3">
      <c r="A2021" s="3">
        <v>45346</v>
      </c>
      <c r="C2021" s="51" t="s">
        <v>4499</v>
      </c>
      <c r="D2021" s="65"/>
      <c r="G2021" s="2">
        <v>10000</v>
      </c>
      <c r="I2021" s="2">
        <f t="shared" si="131"/>
        <v>19276.55</v>
      </c>
      <c r="L2021" s="2">
        <f t="shared" si="132"/>
        <v>20</v>
      </c>
    </row>
    <row r="2022" spans="1:14" x14ac:dyDescent="0.3">
      <c r="A2022" s="3">
        <v>45346</v>
      </c>
      <c r="B2022" s="11" t="s">
        <v>4500</v>
      </c>
      <c r="C2022" s="51" t="s">
        <v>4501</v>
      </c>
      <c r="D2022" s="65"/>
      <c r="H2022" s="2">
        <v>10000</v>
      </c>
      <c r="I2022" s="2">
        <f t="shared" si="131"/>
        <v>9276.5499999999993</v>
      </c>
      <c r="L2022" s="2">
        <f t="shared" si="132"/>
        <v>20</v>
      </c>
    </row>
    <row r="2023" spans="1:14" x14ac:dyDescent="0.3">
      <c r="A2023" s="3">
        <v>45346</v>
      </c>
      <c r="C2023" s="51" t="s">
        <v>2626</v>
      </c>
      <c r="D2023" s="65"/>
      <c r="G2023" s="2">
        <v>5000</v>
      </c>
      <c r="I2023" s="2">
        <f t="shared" si="131"/>
        <v>14276.55</v>
      </c>
      <c r="L2023" s="2">
        <f t="shared" si="132"/>
        <v>20</v>
      </c>
      <c r="N2023" t="s">
        <v>4461</v>
      </c>
    </row>
    <row r="2024" spans="1:14" x14ac:dyDescent="0.3">
      <c r="A2024" s="3">
        <v>45346</v>
      </c>
      <c r="B2024" s="11" t="s">
        <v>4505</v>
      </c>
      <c r="C2024" s="51" t="s">
        <v>3599</v>
      </c>
      <c r="D2024" s="65"/>
      <c r="H2024" s="2">
        <v>300</v>
      </c>
      <c r="I2024" s="2">
        <f t="shared" si="131"/>
        <v>13976.55</v>
      </c>
      <c r="L2024" s="2">
        <f t="shared" si="132"/>
        <v>1.2</v>
      </c>
    </row>
    <row r="2025" spans="1:14" x14ac:dyDescent="0.3">
      <c r="A2025" s="3">
        <v>45346</v>
      </c>
      <c r="B2025" s="11" t="s">
        <v>4506</v>
      </c>
      <c r="C2025" s="51" t="s">
        <v>3598</v>
      </c>
      <c r="D2025" s="65"/>
      <c r="H2025" s="2">
        <v>300</v>
      </c>
      <c r="I2025" s="2">
        <f t="shared" si="131"/>
        <v>13676.55</v>
      </c>
      <c r="L2025" s="2">
        <f t="shared" si="132"/>
        <v>1.2</v>
      </c>
    </row>
    <row r="2026" spans="1:14" x14ac:dyDescent="0.3">
      <c r="A2026" s="3">
        <v>45346</v>
      </c>
      <c r="B2026" s="11" t="s">
        <v>2448</v>
      </c>
      <c r="C2026" s="51" t="s">
        <v>2274</v>
      </c>
      <c r="D2026" s="65"/>
      <c r="H2026" s="2">
        <v>5000</v>
      </c>
      <c r="I2026" s="2">
        <f t="shared" si="131"/>
        <v>8676.5499999999993</v>
      </c>
      <c r="L2026" s="2">
        <f t="shared" si="132"/>
        <v>20</v>
      </c>
    </row>
    <row r="2027" spans="1:14" x14ac:dyDescent="0.3">
      <c r="A2027" s="3">
        <v>45347</v>
      </c>
      <c r="B2027" s="11" t="s">
        <v>1250</v>
      </c>
      <c r="C2027" s="51" t="s">
        <v>2884</v>
      </c>
      <c r="D2027" s="65"/>
      <c r="G2027" s="2">
        <v>400</v>
      </c>
      <c r="I2027" s="2">
        <f t="shared" si="131"/>
        <v>9076.5499999999993</v>
      </c>
      <c r="L2027" s="2">
        <f t="shared" si="132"/>
        <v>1.6</v>
      </c>
    </row>
    <row r="2028" spans="1:14" x14ac:dyDescent="0.3">
      <c r="A2028" s="3">
        <v>45347</v>
      </c>
      <c r="B2028" s="11" t="s">
        <v>2448</v>
      </c>
      <c r="C2028" s="51" t="s">
        <v>2289</v>
      </c>
      <c r="D2028" s="65"/>
      <c r="H2028" s="2">
        <v>1000</v>
      </c>
      <c r="I2028" s="2">
        <f t="shared" si="131"/>
        <v>8076.5499999999993</v>
      </c>
      <c r="L2028" s="2">
        <f t="shared" si="132"/>
        <v>4</v>
      </c>
    </row>
    <row r="2029" spans="1:14" x14ac:dyDescent="0.3">
      <c r="A2029" s="3">
        <v>45348</v>
      </c>
      <c r="B2029" s="11" t="s">
        <v>4509</v>
      </c>
      <c r="C2029" s="65" t="s">
        <v>4510</v>
      </c>
      <c r="E2029" s="90" t="s">
        <v>14</v>
      </c>
      <c r="H2029" s="2">
        <v>400</v>
      </c>
      <c r="I2029" s="2">
        <f t="shared" si="131"/>
        <v>7676.5499999999993</v>
      </c>
      <c r="L2029" s="2">
        <f t="shared" si="132"/>
        <v>26.6</v>
      </c>
    </row>
    <row r="2030" spans="1:14" x14ac:dyDescent="0.3">
      <c r="A2030" s="3">
        <v>45348</v>
      </c>
      <c r="B2030" s="11" t="s">
        <v>4509</v>
      </c>
      <c r="C2030" s="65" t="s">
        <v>4512</v>
      </c>
      <c r="E2030" s="90" t="s">
        <v>14</v>
      </c>
      <c r="H2030" s="2">
        <v>100</v>
      </c>
      <c r="I2030" s="2">
        <f>I2029+G2030-H2030</f>
        <v>7576.5499999999993</v>
      </c>
      <c r="L2030" s="2">
        <f t="shared" si="132"/>
        <v>25.4</v>
      </c>
    </row>
    <row r="2031" spans="1:14" x14ac:dyDescent="0.3">
      <c r="A2031" s="3">
        <v>45348</v>
      </c>
      <c r="B2031" s="11" t="s">
        <v>4515</v>
      </c>
      <c r="C2031" s="65" t="s">
        <v>4516</v>
      </c>
      <c r="E2031" s="90" t="s">
        <v>14</v>
      </c>
      <c r="H2031" s="2">
        <v>100</v>
      </c>
      <c r="I2031" s="2">
        <f t="shared" si="131"/>
        <v>7476.5499999999993</v>
      </c>
      <c r="L2031" s="2">
        <f t="shared" si="132"/>
        <v>25.4</v>
      </c>
    </row>
    <row r="2032" spans="1:14" x14ac:dyDescent="0.3">
      <c r="A2032" s="3">
        <v>45349</v>
      </c>
      <c r="B2032" s="11" t="s">
        <v>3148</v>
      </c>
      <c r="C2032" s="51" t="s">
        <v>4207</v>
      </c>
      <c r="D2032" s="65"/>
      <c r="G2032" s="2">
        <v>3000</v>
      </c>
      <c r="I2032" s="2">
        <f t="shared" si="131"/>
        <v>10476.549999999999</v>
      </c>
      <c r="L2032" s="2">
        <f t="shared" si="132"/>
        <v>12</v>
      </c>
    </row>
    <row r="2033" spans="1:14" x14ac:dyDescent="0.3">
      <c r="A2033" s="3">
        <v>45349</v>
      </c>
      <c r="B2033" s="11" t="s">
        <v>4520</v>
      </c>
      <c r="C2033" s="51" t="s">
        <v>4518</v>
      </c>
      <c r="D2033" s="65"/>
      <c r="E2033" s="90" t="s">
        <v>16</v>
      </c>
      <c r="H2033" s="2">
        <v>100</v>
      </c>
      <c r="I2033" s="2">
        <f t="shared" si="131"/>
        <v>10376.549999999999</v>
      </c>
      <c r="L2033" s="2">
        <f t="shared" si="132"/>
        <v>25.4</v>
      </c>
    </row>
    <row r="2034" spans="1:14" x14ac:dyDescent="0.3">
      <c r="A2034" s="3">
        <v>45349</v>
      </c>
      <c r="B2034" s="11" t="s">
        <v>4039</v>
      </c>
      <c r="C2034" s="51" t="s">
        <v>1232</v>
      </c>
      <c r="D2034" s="65"/>
      <c r="H2034" s="2">
        <v>5000</v>
      </c>
      <c r="I2034" s="2">
        <f t="shared" si="131"/>
        <v>5376.5499999999993</v>
      </c>
      <c r="L2034" s="2">
        <f t="shared" si="132"/>
        <v>20</v>
      </c>
    </row>
    <row r="2035" spans="1:14" x14ac:dyDescent="0.3">
      <c r="A2035" s="3">
        <v>45349</v>
      </c>
      <c r="B2035" s="11" t="s">
        <v>4523</v>
      </c>
      <c r="C2035" s="51" t="s">
        <v>4525</v>
      </c>
      <c r="D2035" s="65"/>
      <c r="E2035" s="90" t="s">
        <v>16</v>
      </c>
      <c r="H2035" s="2">
        <v>100</v>
      </c>
      <c r="I2035" s="2">
        <f t="shared" si="131"/>
        <v>5276.5499999999993</v>
      </c>
      <c r="L2035" s="2">
        <f t="shared" si="132"/>
        <v>25.4</v>
      </c>
    </row>
    <row r="2036" spans="1:14" x14ac:dyDescent="0.3">
      <c r="A2036" s="3">
        <v>45349</v>
      </c>
      <c r="B2036" s="11" t="s">
        <v>4039</v>
      </c>
      <c r="C2036" s="51" t="s">
        <v>1232</v>
      </c>
      <c r="D2036" s="65"/>
      <c r="H2036" s="2">
        <v>2000</v>
      </c>
      <c r="I2036" s="2">
        <f t="shared" si="131"/>
        <v>3276.5499999999993</v>
      </c>
      <c r="L2036" s="2">
        <f t="shared" si="132"/>
        <v>8</v>
      </c>
    </row>
    <row r="2037" spans="1:14" x14ac:dyDescent="0.3">
      <c r="A2037" s="3">
        <v>45349</v>
      </c>
      <c r="B2037" s="11" t="s">
        <v>4527</v>
      </c>
      <c r="C2037" s="51" t="s">
        <v>4528</v>
      </c>
      <c r="D2037" s="65"/>
      <c r="E2037" s="90" t="s">
        <v>16</v>
      </c>
      <c r="H2037" s="2">
        <v>100</v>
      </c>
      <c r="I2037" s="2">
        <f t="shared" si="131"/>
        <v>3176.5499999999993</v>
      </c>
      <c r="L2037" s="2">
        <f t="shared" si="132"/>
        <v>25.4</v>
      </c>
    </row>
    <row r="2038" spans="1:14" x14ac:dyDescent="0.3">
      <c r="A2038" s="3">
        <v>45350</v>
      </c>
      <c r="B2038" s="11" t="s">
        <v>3232</v>
      </c>
      <c r="C2038" s="51" t="s">
        <v>2414</v>
      </c>
      <c r="D2038" s="65"/>
      <c r="G2038" s="2">
        <v>1200</v>
      </c>
      <c r="I2038" s="2">
        <f t="shared" si="131"/>
        <v>4376.5499999999993</v>
      </c>
      <c r="L2038" s="2">
        <f t="shared" si="132"/>
        <v>4.8</v>
      </c>
    </row>
    <row r="2039" spans="1:14" x14ac:dyDescent="0.3">
      <c r="A2039" s="3">
        <v>45351</v>
      </c>
      <c r="B2039" s="11" t="s">
        <v>1160</v>
      </c>
      <c r="C2039" s="51" t="s">
        <v>4532</v>
      </c>
      <c r="D2039" s="65"/>
      <c r="G2039" s="2">
        <v>10000</v>
      </c>
      <c r="I2039" s="2">
        <f t="shared" si="131"/>
        <v>14376.55</v>
      </c>
      <c r="L2039" s="2">
        <f t="shared" si="132"/>
        <v>20</v>
      </c>
    </row>
    <row r="2040" spans="1:14" x14ac:dyDescent="0.3">
      <c r="A2040" s="3">
        <v>45351</v>
      </c>
      <c r="B2040" s="11" t="s">
        <v>4039</v>
      </c>
      <c r="C2040" s="51" t="s">
        <v>1232</v>
      </c>
      <c r="D2040" s="65"/>
      <c r="H2040" s="2">
        <v>6000</v>
      </c>
      <c r="I2040" s="2">
        <f t="shared" si="131"/>
        <v>8376.5499999999993</v>
      </c>
      <c r="L2040" s="2">
        <f t="shared" si="132"/>
        <v>20</v>
      </c>
    </row>
    <row r="2041" spans="1:14" x14ac:dyDescent="0.3">
      <c r="L2041" s="2">
        <f t="shared" si="132"/>
        <v>0</v>
      </c>
    </row>
    <row r="2042" spans="1:14" x14ac:dyDescent="0.3">
      <c r="A2042" s="77">
        <f>COUNT(A1974:A2041)</f>
        <v>67</v>
      </c>
      <c r="B2042" s="80"/>
      <c r="C2042" s="112"/>
      <c r="D2042" s="112"/>
      <c r="E2042" s="92">
        <f>COUNTIF(E1974:E2041,"Y")</f>
        <v>27</v>
      </c>
      <c r="F2042" s="77">
        <f>G2042+H2042</f>
        <v>172400</v>
      </c>
      <c r="G2042" s="84">
        <f>SUM(G1974:G2041)</f>
        <v>89050</v>
      </c>
      <c r="H2042" s="84">
        <f>SUM(H1974:H2041)</f>
        <v>83350</v>
      </c>
      <c r="I2042" s="84"/>
      <c r="J2042" s="80"/>
      <c r="K2042" s="80"/>
      <c r="L2042" s="80">
        <f>SUM(L1974:L2041)</f>
        <v>1224.6000000000004</v>
      </c>
      <c r="M2042" s="77"/>
      <c r="N2042" s="77"/>
    </row>
    <row r="2044" spans="1:14" x14ac:dyDescent="0.3">
      <c r="A2044" s="3">
        <v>45352</v>
      </c>
      <c r="C2044" s="50" t="s">
        <v>4533</v>
      </c>
      <c r="G2044" s="2">
        <f>I2040</f>
        <v>8376.5499999999993</v>
      </c>
      <c r="I2044" s="2">
        <f>I2043+G2044-H2044</f>
        <v>8376.5499999999993</v>
      </c>
    </row>
    <row r="2045" spans="1:14" x14ac:dyDescent="0.3">
      <c r="A2045" s="3">
        <v>45352</v>
      </c>
      <c r="B2045" s="11" t="s">
        <v>4534</v>
      </c>
      <c r="C2045" s="50" t="s">
        <v>555</v>
      </c>
      <c r="G2045" s="2">
        <v>10000</v>
      </c>
      <c r="I2045" s="2">
        <f t="shared" ref="I2045:I2080" si="133">I2044+G2045-H2045</f>
        <v>18376.55</v>
      </c>
      <c r="L2045" s="2">
        <f t="shared" ref="L2045:L2080" si="134">IF((G2045+H2045)&lt;=5000,(H2045+G2045)*0.004,20)+IF(E2045="Y",25,0)</f>
        <v>20</v>
      </c>
    </row>
    <row r="2046" spans="1:14" x14ac:dyDescent="0.3">
      <c r="A2046" s="3">
        <v>45352</v>
      </c>
      <c r="B2046" s="11" t="s">
        <v>4535</v>
      </c>
      <c r="C2046" s="50" t="s">
        <v>4537</v>
      </c>
      <c r="H2046" s="2">
        <v>10000</v>
      </c>
      <c r="I2046" s="2">
        <f t="shared" si="133"/>
        <v>8376.5499999999993</v>
      </c>
      <c r="L2046" s="2">
        <f t="shared" si="134"/>
        <v>20</v>
      </c>
    </row>
    <row r="2047" spans="1:14" x14ac:dyDescent="0.3">
      <c r="A2047" s="3">
        <v>45352</v>
      </c>
      <c r="C2047" s="50" t="s">
        <v>4536</v>
      </c>
      <c r="G2047" s="2">
        <v>10000</v>
      </c>
      <c r="I2047" s="2">
        <f t="shared" si="133"/>
        <v>18376.55</v>
      </c>
      <c r="L2047" s="2">
        <f t="shared" si="134"/>
        <v>20</v>
      </c>
    </row>
    <row r="2048" spans="1:14" x14ac:dyDescent="0.3">
      <c r="A2048" s="3">
        <v>45352</v>
      </c>
      <c r="B2048" s="11" t="s">
        <v>3524</v>
      </c>
      <c r="C2048" s="50" t="s">
        <v>4538</v>
      </c>
      <c r="H2048" s="2">
        <v>10000</v>
      </c>
      <c r="I2048" s="2">
        <f t="shared" si="133"/>
        <v>8376.5499999999993</v>
      </c>
      <c r="L2048" s="2">
        <f t="shared" si="134"/>
        <v>20</v>
      </c>
    </row>
    <row r="2049" spans="1:12" x14ac:dyDescent="0.3">
      <c r="A2049" s="3">
        <v>45352</v>
      </c>
      <c r="B2049" s="11" t="s">
        <v>3871</v>
      </c>
      <c r="C2049" s="50" t="s">
        <v>2347</v>
      </c>
      <c r="H2049" s="2">
        <v>5000</v>
      </c>
      <c r="I2049" s="2">
        <f t="shared" si="133"/>
        <v>3376.5499999999993</v>
      </c>
      <c r="L2049" s="2">
        <f t="shared" si="134"/>
        <v>20</v>
      </c>
    </row>
    <row r="2050" spans="1:12" x14ac:dyDescent="0.3">
      <c r="A2050" s="3">
        <v>45352</v>
      </c>
      <c r="B2050" s="11" t="s">
        <v>4072</v>
      </c>
      <c r="C2050" s="50" t="s">
        <v>1593</v>
      </c>
      <c r="H2050" s="2">
        <v>1000</v>
      </c>
      <c r="I2050" s="2">
        <f t="shared" si="133"/>
        <v>2376.5499999999993</v>
      </c>
      <c r="L2050" s="2">
        <f t="shared" si="134"/>
        <v>4</v>
      </c>
    </row>
    <row r="2051" spans="1:12" x14ac:dyDescent="0.3">
      <c r="A2051" s="3">
        <v>45352</v>
      </c>
      <c r="C2051" s="50" t="s">
        <v>4542</v>
      </c>
      <c r="G2051" s="2">
        <v>400</v>
      </c>
      <c r="I2051" s="2">
        <f t="shared" si="133"/>
        <v>2776.5499999999993</v>
      </c>
      <c r="L2051" s="2">
        <f t="shared" si="134"/>
        <v>1.6</v>
      </c>
    </row>
    <row r="2052" spans="1:12" x14ac:dyDescent="0.3">
      <c r="A2052" s="3">
        <v>45353</v>
      </c>
      <c r="B2052" s="11" t="s">
        <v>4157</v>
      </c>
      <c r="C2052" s="50" t="s">
        <v>1251</v>
      </c>
      <c r="H2052" s="2">
        <v>2000</v>
      </c>
      <c r="I2052" s="2">
        <f t="shared" si="133"/>
        <v>776.54999999999927</v>
      </c>
      <c r="L2052" s="2">
        <f t="shared" si="134"/>
        <v>8</v>
      </c>
    </row>
    <row r="2053" spans="1:12" x14ac:dyDescent="0.3">
      <c r="A2053" s="3">
        <v>45353</v>
      </c>
      <c r="B2053" s="11" t="s">
        <v>4545</v>
      </c>
      <c r="C2053" s="50" t="s">
        <v>4544</v>
      </c>
      <c r="E2053" s="90" t="s">
        <v>16</v>
      </c>
      <c r="H2053" s="2">
        <v>500</v>
      </c>
      <c r="I2053" s="2">
        <f t="shared" si="133"/>
        <v>276.54999999999927</v>
      </c>
      <c r="L2053" s="2">
        <f t="shared" si="134"/>
        <v>27</v>
      </c>
    </row>
    <row r="2054" spans="1:12" x14ac:dyDescent="0.3">
      <c r="A2054" s="3">
        <v>45353</v>
      </c>
      <c r="C2054" s="50" t="s">
        <v>4551</v>
      </c>
      <c r="G2054" s="2">
        <v>3000</v>
      </c>
      <c r="I2054" s="2">
        <f t="shared" si="133"/>
        <v>3276.5499999999993</v>
      </c>
      <c r="L2054" s="2">
        <f t="shared" si="134"/>
        <v>12</v>
      </c>
    </row>
    <row r="2055" spans="1:12" x14ac:dyDescent="0.3">
      <c r="A2055" s="3">
        <v>45353</v>
      </c>
      <c r="B2055" s="11" t="s">
        <v>4548</v>
      </c>
      <c r="C2055" s="50" t="s">
        <v>4552</v>
      </c>
      <c r="H2055" s="2">
        <v>1000</v>
      </c>
      <c r="I2055" s="2">
        <f t="shared" si="133"/>
        <v>2276.5499999999993</v>
      </c>
      <c r="L2055" s="2">
        <f t="shared" si="134"/>
        <v>4</v>
      </c>
    </row>
    <row r="2056" spans="1:12" x14ac:dyDescent="0.3">
      <c r="A2056" s="3">
        <v>45353</v>
      </c>
      <c r="B2056" s="11" t="s">
        <v>1250</v>
      </c>
      <c r="C2056" s="50" t="s">
        <v>4040</v>
      </c>
      <c r="G2056" s="2">
        <v>600</v>
      </c>
      <c r="I2056" s="2">
        <f t="shared" si="133"/>
        <v>2876.5499999999993</v>
      </c>
      <c r="L2056" s="2">
        <f t="shared" si="134"/>
        <v>2.4</v>
      </c>
    </row>
    <row r="2057" spans="1:12" x14ac:dyDescent="0.3">
      <c r="A2057" s="4" t="s">
        <v>4554</v>
      </c>
      <c r="B2057" s="11" t="s">
        <v>3871</v>
      </c>
      <c r="C2057" s="50" t="s">
        <v>2347</v>
      </c>
      <c r="H2057" s="2">
        <v>2600</v>
      </c>
      <c r="I2057" s="2">
        <f t="shared" si="133"/>
        <v>276.54999999999927</v>
      </c>
      <c r="L2057" s="2">
        <f t="shared" si="134"/>
        <v>10.4</v>
      </c>
    </row>
    <row r="2058" spans="1:12" x14ac:dyDescent="0.3">
      <c r="A2058" s="3">
        <v>45370</v>
      </c>
      <c r="B2058" s="11" t="s">
        <v>2241</v>
      </c>
      <c r="G2058" s="2">
        <v>2000</v>
      </c>
      <c r="I2058" s="2">
        <f t="shared" si="133"/>
        <v>2276.5499999999993</v>
      </c>
      <c r="L2058" s="2">
        <f t="shared" si="134"/>
        <v>8</v>
      </c>
    </row>
    <row r="2059" spans="1:12" x14ac:dyDescent="0.3">
      <c r="A2059" s="3">
        <v>45370</v>
      </c>
      <c r="B2059" s="11" t="s">
        <v>3871</v>
      </c>
      <c r="C2059" s="50" t="s">
        <v>2347</v>
      </c>
      <c r="H2059" s="2">
        <v>1700</v>
      </c>
      <c r="I2059" s="2">
        <f t="shared" si="133"/>
        <v>576.54999999999927</v>
      </c>
      <c r="L2059" s="2">
        <f t="shared" si="134"/>
        <v>6.8</v>
      </c>
    </row>
    <row r="2060" spans="1:12" x14ac:dyDescent="0.3">
      <c r="A2060" s="3">
        <v>45372</v>
      </c>
      <c r="B2060" s="11" t="s">
        <v>3812</v>
      </c>
      <c r="C2060" s="50" t="s">
        <v>4557</v>
      </c>
      <c r="G2060" s="2">
        <v>400</v>
      </c>
      <c r="I2060" s="2">
        <f t="shared" si="133"/>
        <v>976.54999999999927</v>
      </c>
      <c r="L2060" s="2">
        <f t="shared" si="134"/>
        <v>1.6</v>
      </c>
    </row>
    <row r="2061" spans="1:12" x14ac:dyDescent="0.3">
      <c r="A2061" s="3">
        <v>45372</v>
      </c>
      <c r="B2061" s="11" t="s">
        <v>3812</v>
      </c>
      <c r="C2061" s="50" t="s">
        <v>2883</v>
      </c>
      <c r="G2061" s="2">
        <v>1200</v>
      </c>
      <c r="I2061" s="2">
        <f t="shared" si="133"/>
        <v>2176.5499999999993</v>
      </c>
      <c r="L2061" s="2">
        <f t="shared" si="134"/>
        <v>4.8</v>
      </c>
    </row>
    <row r="2062" spans="1:12" x14ac:dyDescent="0.3">
      <c r="A2062" s="3">
        <v>45372</v>
      </c>
      <c r="B2062" s="11" t="s">
        <v>4558</v>
      </c>
      <c r="H2062" s="2">
        <v>100</v>
      </c>
      <c r="I2062" s="2">
        <f t="shared" si="133"/>
        <v>2076.5499999999993</v>
      </c>
      <c r="L2062" s="2">
        <f t="shared" si="134"/>
        <v>0.4</v>
      </c>
    </row>
    <row r="2063" spans="1:12" x14ac:dyDescent="0.3">
      <c r="A2063" s="3">
        <v>45372</v>
      </c>
      <c r="B2063" s="11" t="s">
        <v>3871</v>
      </c>
      <c r="C2063" s="50" t="s">
        <v>2347</v>
      </c>
      <c r="H2063" s="2">
        <v>1800</v>
      </c>
      <c r="I2063" s="2">
        <f t="shared" si="133"/>
        <v>276.54999999999927</v>
      </c>
      <c r="L2063" s="2">
        <f t="shared" si="134"/>
        <v>7.2</v>
      </c>
    </row>
    <row r="2064" spans="1:12" x14ac:dyDescent="0.3">
      <c r="A2064" s="3">
        <v>45372</v>
      </c>
      <c r="B2064" s="11" t="s">
        <v>4558</v>
      </c>
      <c r="C2064" s="50" t="s">
        <v>4559</v>
      </c>
      <c r="E2064" s="90" t="s">
        <v>16</v>
      </c>
      <c r="H2064" s="2">
        <v>100</v>
      </c>
      <c r="I2064" s="2">
        <f t="shared" si="133"/>
        <v>176.54999999999927</v>
      </c>
      <c r="L2064" s="2">
        <f t="shared" si="134"/>
        <v>25.4</v>
      </c>
    </row>
    <row r="2065" spans="1:15" x14ac:dyDescent="0.3">
      <c r="A2065" s="3">
        <v>45373</v>
      </c>
      <c r="B2065" s="11" t="s">
        <v>4561</v>
      </c>
      <c r="C2065" s="50" t="s">
        <v>4562</v>
      </c>
      <c r="G2065" s="2">
        <v>1300</v>
      </c>
      <c r="I2065" s="2">
        <f t="shared" si="133"/>
        <v>1476.5499999999993</v>
      </c>
      <c r="L2065" s="2">
        <f t="shared" si="134"/>
        <v>5.2</v>
      </c>
    </row>
    <row r="2066" spans="1:15" x14ac:dyDescent="0.3">
      <c r="A2066" s="3">
        <v>45373</v>
      </c>
      <c r="B2066" s="11" t="s">
        <v>1250</v>
      </c>
      <c r="G2066" s="2">
        <v>400</v>
      </c>
      <c r="I2066" s="2">
        <f t="shared" si="133"/>
        <v>1876.5499999999993</v>
      </c>
      <c r="L2066" s="2">
        <f t="shared" si="134"/>
        <v>1.6</v>
      </c>
    </row>
    <row r="2067" spans="1:15" x14ac:dyDescent="0.3">
      <c r="A2067" s="3">
        <v>45373</v>
      </c>
      <c r="B2067" s="11" t="s">
        <v>4565</v>
      </c>
      <c r="C2067" s="65" t="s">
        <v>4566</v>
      </c>
      <c r="E2067" s="90" t="s">
        <v>16</v>
      </c>
      <c r="H2067" s="2">
        <v>1000</v>
      </c>
      <c r="I2067" s="2">
        <f t="shared" si="133"/>
        <v>876.54999999999927</v>
      </c>
      <c r="L2067" s="2">
        <f t="shared" si="134"/>
        <v>29</v>
      </c>
    </row>
    <row r="2068" spans="1:15" x14ac:dyDescent="0.3">
      <c r="A2068" s="3">
        <v>45373</v>
      </c>
      <c r="B2068" s="11" t="s">
        <v>4569</v>
      </c>
      <c r="C2068" s="65" t="s">
        <v>4570</v>
      </c>
      <c r="E2068" s="90" t="s">
        <v>16</v>
      </c>
      <c r="I2068" s="2">
        <f t="shared" si="133"/>
        <v>876.54999999999927</v>
      </c>
      <c r="L2068" s="2">
        <f t="shared" si="134"/>
        <v>25</v>
      </c>
    </row>
    <row r="2069" spans="1:15" x14ac:dyDescent="0.3">
      <c r="A2069" s="3">
        <v>45374</v>
      </c>
      <c r="B2069" s="11" t="s">
        <v>4576</v>
      </c>
      <c r="C2069" s="50" t="s">
        <v>4577</v>
      </c>
      <c r="G2069" s="2">
        <v>300</v>
      </c>
      <c r="I2069" s="2">
        <f t="shared" si="133"/>
        <v>1176.5499999999993</v>
      </c>
      <c r="L2069" s="2">
        <f t="shared" si="134"/>
        <v>1.2</v>
      </c>
    </row>
    <row r="2070" spans="1:15" x14ac:dyDescent="0.3">
      <c r="A2070" s="3">
        <v>45377</v>
      </c>
      <c r="B2070" s="11" t="s">
        <v>4578</v>
      </c>
      <c r="C2070" s="50" t="s">
        <v>4579</v>
      </c>
      <c r="E2070" s="90" t="s">
        <v>16</v>
      </c>
      <c r="H2070" s="2">
        <v>100</v>
      </c>
      <c r="I2070" s="2">
        <f t="shared" si="133"/>
        <v>1076.5499999999993</v>
      </c>
      <c r="L2070" s="2">
        <f t="shared" si="134"/>
        <v>25.4</v>
      </c>
    </row>
    <row r="2071" spans="1:15" x14ac:dyDescent="0.3">
      <c r="A2071" s="3">
        <v>45377</v>
      </c>
      <c r="B2071" s="11" t="s">
        <v>4582</v>
      </c>
      <c r="C2071" s="65" t="s">
        <v>4584</v>
      </c>
      <c r="E2071" s="90" t="s">
        <v>16</v>
      </c>
      <c r="H2071" s="2">
        <v>100</v>
      </c>
      <c r="I2071" s="2">
        <f t="shared" si="133"/>
        <v>976.54999999999927</v>
      </c>
      <c r="L2071" s="2">
        <f t="shared" si="134"/>
        <v>25.4</v>
      </c>
    </row>
    <row r="2072" spans="1:15" x14ac:dyDescent="0.3">
      <c r="A2072" s="3">
        <v>45377</v>
      </c>
      <c r="B2072" s="11" t="s">
        <v>4583</v>
      </c>
      <c r="C2072" s="65" t="s">
        <v>3</v>
      </c>
      <c r="E2072" s="90" t="s">
        <v>16</v>
      </c>
      <c r="H2072" s="2">
        <v>100</v>
      </c>
      <c r="I2072" s="2">
        <f t="shared" si="133"/>
        <v>876.54999999999927</v>
      </c>
      <c r="L2072" s="2">
        <f t="shared" si="134"/>
        <v>25.4</v>
      </c>
    </row>
    <row r="2073" spans="1:15" x14ac:dyDescent="0.3">
      <c r="A2073" s="3">
        <v>45378</v>
      </c>
      <c r="B2073" s="11" t="s">
        <v>4591</v>
      </c>
      <c r="C2073" s="65" t="s">
        <v>219</v>
      </c>
      <c r="E2073" s="90" t="s">
        <v>16</v>
      </c>
      <c r="H2073" s="2">
        <v>100</v>
      </c>
      <c r="I2073" s="2">
        <f t="shared" si="133"/>
        <v>776.54999999999927</v>
      </c>
      <c r="L2073" s="2">
        <f t="shared" si="134"/>
        <v>25.4</v>
      </c>
    </row>
    <row r="2074" spans="1:15" x14ac:dyDescent="0.3">
      <c r="A2074" s="3">
        <v>45379</v>
      </c>
      <c r="B2074" s="11" t="s">
        <v>4594</v>
      </c>
      <c r="C2074" s="65" t="s">
        <v>4595</v>
      </c>
      <c r="E2074" s="90" t="s">
        <v>16</v>
      </c>
      <c r="H2074" s="2">
        <v>500</v>
      </c>
      <c r="I2074" s="2">
        <f t="shared" si="133"/>
        <v>276.54999999999927</v>
      </c>
      <c r="L2074" s="2">
        <f t="shared" si="134"/>
        <v>27</v>
      </c>
    </row>
    <row r="2075" spans="1:15" x14ac:dyDescent="0.3">
      <c r="A2075" s="3">
        <v>45379</v>
      </c>
      <c r="B2075" s="11" t="s">
        <v>4599</v>
      </c>
      <c r="C2075" s="65" t="s">
        <v>4601</v>
      </c>
      <c r="E2075" s="90" t="s">
        <v>16</v>
      </c>
      <c r="H2075" s="2">
        <v>100</v>
      </c>
      <c r="I2075" s="2">
        <f t="shared" si="133"/>
        <v>176.54999999999927</v>
      </c>
      <c r="L2075" s="2">
        <f t="shared" si="134"/>
        <v>25.4</v>
      </c>
    </row>
    <row r="2076" spans="1:15" x14ac:dyDescent="0.3">
      <c r="A2076" s="3">
        <v>45381</v>
      </c>
      <c r="C2076" s="65" t="s">
        <v>1593</v>
      </c>
      <c r="G2076" s="2">
        <v>1500</v>
      </c>
      <c r="I2076" s="2">
        <f t="shared" si="133"/>
        <v>1676.5499999999993</v>
      </c>
      <c r="L2076" s="2">
        <f t="shared" si="134"/>
        <v>6</v>
      </c>
    </row>
    <row r="2077" spans="1:15" x14ac:dyDescent="0.3">
      <c r="A2077" s="3">
        <v>45381</v>
      </c>
      <c r="B2077" s="11" t="s">
        <v>4607</v>
      </c>
      <c r="C2077" s="65" t="s">
        <v>4608</v>
      </c>
      <c r="E2077" s="90" t="s">
        <v>16</v>
      </c>
      <c r="H2077" s="2">
        <v>100</v>
      </c>
      <c r="I2077" s="2">
        <f t="shared" si="133"/>
        <v>1576.5499999999993</v>
      </c>
      <c r="L2077" s="2">
        <f t="shared" si="134"/>
        <v>25.4</v>
      </c>
    </row>
    <row r="2078" spans="1:15" x14ac:dyDescent="0.3">
      <c r="A2078" s="3">
        <v>45381</v>
      </c>
      <c r="B2078" s="11" t="s">
        <v>3871</v>
      </c>
      <c r="C2078" s="65" t="s">
        <v>3035</v>
      </c>
      <c r="H2078" s="2">
        <v>400</v>
      </c>
      <c r="I2078" s="2">
        <f t="shared" si="133"/>
        <v>1176.5499999999993</v>
      </c>
      <c r="L2078" s="2">
        <f t="shared" si="134"/>
        <v>1.6</v>
      </c>
    </row>
    <row r="2079" spans="1:15" x14ac:dyDescent="0.3">
      <c r="A2079" s="3">
        <v>45381</v>
      </c>
      <c r="B2079" s="11" t="s">
        <v>4610</v>
      </c>
      <c r="C2079" s="65" t="s">
        <v>4611</v>
      </c>
      <c r="D2079" s="115">
        <v>9631839734</v>
      </c>
      <c r="H2079" s="2">
        <v>1000</v>
      </c>
      <c r="I2079" s="2">
        <f t="shared" si="133"/>
        <v>176.54999999999927</v>
      </c>
      <c r="L2079" s="2">
        <f t="shared" si="134"/>
        <v>4</v>
      </c>
    </row>
    <row r="2080" spans="1:15" x14ac:dyDescent="0.3">
      <c r="A2080" s="3">
        <v>45382</v>
      </c>
      <c r="C2080" s="65" t="s">
        <v>4536</v>
      </c>
      <c r="D2080" s="115"/>
      <c r="G2080" s="2">
        <v>10000</v>
      </c>
      <c r="I2080" s="2">
        <f t="shared" si="133"/>
        <v>10176.549999999999</v>
      </c>
      <c r="L2080" s="2">
        <f t="shared" si="134"/>
        <v>20</v>
      </c>
      <c r="O2080" t="s">
        <v>4612</v>
      </c>
    </row>
    <row r="2081" spans="1:13" x14ac:dyDescent="0.3">
      <c r="A2081" s="77">
        <f>COUNT(A2045:A2080)</f>
        <v>35</v>
      </c>
      <c r="B2081" s="80"/>
      <c r="C2081" s="112"/>
      <c r="D2081" s="112"/>
      <c r="E2081" s="92">
        <f>COUNTIF(E2045:E2080,"Y")</f>
        <v>11</v>
      </c>
      <c r="F2081" s="77">
        <f>G2081+H2081</f>
        <v>80400</v>
      </c>
      <c r="G2081" s="84">
        <f>SUM(G2045:G2080)</f>
        <v>41100</v>
      </c>
      <c r="H2081" s="84">
        <f>SUM(H2045:H2080)</f>
        <v>39300</v>
      </c>
      <c r="I2081" s="84"/>
      <c r="J2081" s="80"/>
      <c r="K2081" s="80"/>
      <c r="L2081" s="80">
        <f>SUM(L2045:L2080)</f>
        <v>496.59999999999985</v>
      </c>
      <c r="M2081" s="77"/>
    </row>
    <row r="2083" spans="1:13" x14ac:dyDescent="0.3">
      <c r="A2083" s="3">
        <v>45383</v>
      </c>
      <c r="C2083" s="65" t="s">
        <v>4613</v>
      </c>
      <c r="G2083" s="88"/>
      <c r="H2083" s="88"/>
      <c r="I2083" s="88">
        <f>I2080-100</f>
        <v>10076.549999999999</v>
      </c>
    </row>
    <row r="2084" spans="1:13" x14ac:dyDescent="0.3">
      <c r="A2084" s="3">
        <v>45384</v>
      </c>
      <c r="B2084" s="11" t="s">
        <v>1250</v>
      </c>
      <c r="C2084" s="65" t="s">
        <v>2884</v>
      </c>
      <c r="G2084" s="88">
        <v>400</v>
      </c>
      <c r="H2084" s="88"/>
      <c r="I2084" s="88">
        <f t="shared" ref="I2084:I2128" si="135">I2083+G2084-H2084</f>
        <v>10476.549999999999</v>
      </c>
      <c r="L2084" s="2">
        <f t="shared" ref="L2084:L2122" si="136">IF((G2084+H2084)&lt;=5000,(H2084+G2084)*0.004,20)+IF(E2084="Y",25,0)</f>
        <v>1.6</v>
      </c>
    </row>
    <row r="2085" spans="1:13" x14ac:dyDescent="0.3">
      <c r="A2085" s="3">
        <v>45384</v>
      </c>
      <c r="B2085" s="11" t="s">
        <v>1250</v>
      </c>
      <c r="C2085" s="65" t="s">
        <v>2883</v>
      </c>
      <c r="G2085" s="88">
        <v>400</v>
      </c>
      <c r="H2085" s="88"/>
      <c r="I2085" s="88">
        <f t="shared" si="135"/>
        <v>10876.55</v>
      </c>
      <c r="L2085" s="2">
        <f t="shared" si="136"/>
        <v>1.6</v>
      </c>
    </row>
    <row r="2086" spans="1:13" x14ac:dyDescent="0.3">
      <c r="A2086" s="3">
        <v>45384</v>
      </c>
      <c r="B2086" s="11" t="s">
        <v>4157</v>
      </c>
      <c r="C2086" s="65" t="s">
        <v>1251</v>
      </c>
      <c r="G2086" s="88"/>
      <c r="H2086" s="88">
        <v>6500</v>
      </c>
      <c r="I2086" s="88">
        <f t="shared" si="135"/>
        <v>4376.5499999999993</v>
      </c>
      <c r="L2086" s="2">
        <f t="shared" si="136"/>
        <v>20</v>
      </c>
    </row>
    <row r="2087" spans="1:13" x14ac:dyDescent="0.3">
      <c r="A2087" s="3">
        <v>45384</v>
      </c>
      <c r="B2087" s="11" t="s">
        <v>4617</v>
      </c>
      <c r="C2087" s="65" t="s">
        <v>4618</v>
      </c>
      <c r="E2087" s="90" t="s">
        <v>16</v>
      </c>
      <c r="G2087" s="88"/>
      <c r="H2087" s="88">
        <v>400</v>
      </c>
      <c r="I2087" s="88">
        <f t="shared" si="135"/>
        <v>3976.5499999999993</v>
      </c>
      <c r="L2087" s="2">
        <f t="shared" si="136"/>
        <v>26.6</v>
      </c>
    </row>
    <row r="2088" spans="1:13" x14ac:dyDescent="0.3">
      <c r="A2088" s="3">
        <v>45384</v>
      </c>
      <c r="B2088" s="11" t="s">
        <v>1250</v>
      </c>
      <c r="C2088" s="65" t="s">
        <v>4382</v>
      </c>
      <c r="G2088" s="88">
        <v>1300</v>
      </c>
      <c r="H2088" s="88"/>
      <c r="I2088" s="88">
        <f t="shared" si="135"/>
        <v>5276.5499999999993</v>
      </c>
      <c r="L2088" s="2">
        <f t="shared" si="136"/>
        <v>5.2</v>
      </c>
    </row>
    <row r="2089" spans="1:13" x14ac:dyDescent="0.3">
      <c r="A2089" s="3">
        <v>45386</v>
      </c>
      <c r="B2089" s="11" t="s">
        <v>4622</v>
      </c>
      <c r="E2089" s="90" t="s">
        <v>16</v>
      </c>
      <c r="G2089" s="88"/>
      <c r="H2089" s="88">
        <v>400</v>
      </c>
      <c r="I2089" s="88">
        <f t="shared" si="135"/>
        <v>4876.5499999999993</v>
      </c>
      <c r="L2089" s="2">
        <f t="shared" si="136"/>
        <v>26.6</v>
      </c>
    </row>
    <row r="2090" spans="1:13" x14ac:dyDescent="0.3">
      <c r="A2090" s="3">
        <v>45386</v>
      </c>
      <c r="B2090" s="11" t="s">
        <v>1250</v>
      </c>
      <c r="C2090" s="65" t="s">
        <v>2716</v>
      </c>
      <c r="G2090" s="88"/>
      <c r="H2090" s="88">
        <v>4000</v>
      </c>
      <c r="I2090" s="88">
        <f t="shared" si="135"/>
        <v>876.54999999999927</v>
      </c>
      <c r="L2090" s="2">
        <f t="shared" si="136"/>
        <v>16</v>
      </c>
    </row>
    <row r="2091" spans="1:13" x14ac:dyDescent="0.3">
      <c r="A2091" s="3">
        <v>45386</v>
      </c>
      <c r="B2091" s="11" t="s">
        <v>1160</v>
      </c>
      <c r="C2091" s="65" t="s">
        <v>4623</v>
      </c>
      <c r="D2091" s="50">
        <v>9798834287</v>
      </c>
      <c r="G2091" s="88">
        <v>1000</v>
      </c>
      <c r="H2091" s="88"/>
      <c r="I2091" s="88">
        <f t="shared" si="135"/>
        <v>1876.5499999999993</v>
      </c>
      <c r="L2091" s="2">
        <f t="shared" si="136"/>
        <v>4</v>
      </c>
    </row>
    <row r="2092" spans="1:13" x14ac:dyDescent="0.3">
      <c r="A2092" s="3">
        <v>45386</v>
      </c>
      <c r="B2092" s="11" t="s">
        <v>4625</v>
      </c>
      <c r="C2092" s="65" t="s">
        <v>939</v>
      </c>
      <c r="E2092" s="90" t="s">
        <v>16</v>
      </c>
      <c r="G2092" s="88"/>
      <c r="H2092" s="88">
        <v>500</v>
      </c>
      <c r="I2092" s="88">
        <f t="shared" si="135"/>
        <v>1376.5499999999993</v>
      </c>
      <c r="L2092" s="2">
        <f t="shared" si="136"/>
        <v>27</v>
      </c>
    </row>
    <row r="2093" spans="1:13" x14ac:dyDescent="0.3">
      <c r="A2093" s="3">
        <v>45386</v>
      </c>
      <c r="B2093" s="11" t="s">
        <v>4628</v>
      </c>
      <c r="C2093" s="65" t="s">
        <v>4629</v>
      </c>
      <c r="E2093" s="90" t="s">
        <v>16</v>
      </c>
      <c r="G2093" s="88"/>
      <c r="H2093" s="88">
        <v>500</v>
      </c>
      <c r="I2093" s="88">
        <f t="shared" si="135"/>
        <v>876.54999999999927</v>
      </c>
      <c r="L2093" s="2">
        <f t="shared" si="136"/>
        <v>27</v>
      </c>
    </row>
    <row r="2094" spans="1:13" x14ac:dyDescent="0.3">
      <c r="A2094" s="3">
        <v>45387</v>
      </c>
      <c r="B2094" s="11" t="s">
        <v>1250</v>
      </c>
      <c r="C2094" s="50" t="s">
        <v>27</v>
      </c>
      <c r="G2094" s="88">
        <v>500</v>
      </c>
      <c r="H2094" s="88"/>
      <c r="I2094" s="88">
        <f t="shared" si="135"/>
        <v>1376.5499999999993</v>
      </c>
      <c r="L2094" s="2">
        <f t="shared" si="136"/>
        <v>2</v>
      </c>
    </row>
    <row r="2095" spans="1:13" x14ac:dyDescent="0.3">
      <c r="A2095" s="3">
        <v>45387</v>
      </c>
      <c r="B2095" s="11" t="s">
        <v>4061</v>
      </c>
      <c r="C2095" s="50" t="s">
        <v>2387</v>
      </c>
      <c r="G2095" s="88">
        <v>4250</v>
      </c>
      <c r="H2095" s="88"/>
      <c r="I2095" s="88">
        <f t="shared" si="135"/>
        <v>5626.5499999999993</v>
      </c>
      <c r="L2095" s="2">
        <f t="shared" si="136"/>
        <v>17</v>
      </c>
    </row>
    <row r="2096" spans="1:13" x14ac:dyDescent="0.3">
      <c r="A2096" s="3">
        <v>45387</v>
      </c>
      <c r="B2096" s="11" t="s">
        <v>3232</v>
      </c>
      <c r="C2096" s="50" t="s">
        <v>4631</v>
      </c>
      <c r="D2096" s="50">
        <v>8354994185</v>
      </c>
      <c r="G2096" s="88">
        <v>2000</v>
      </c>
      <c r="H2096" s="88"/>
      <c r="I2096" s="88">
        <f t="shared" si="135"/>
        <v>7626.5499999999993</v>
      </c>
      <c r="L2096" s="2">
        <f t="shared" si="136"/>
        <v>8</v>
      </c>
    </row>
    <row r="2097" spans="1:12" x14ac:dyDescent="0.3">
      <c r="A2097" s="3">
        <v>45387</v>
      </c>
      <c r="B2097" s="11" t="s">
        <v>3913</v>
      </c>
      <c r="C2097" s="50" t="s">
        <v>3608</v>
      </c>
      <c r="G2097" s="88"/>
      <c r="H2097" s="88">
        <v>7000</v>
      </c>
      <c r="I2097" s="88">
        <f t="shared" si="135"/>
        <v>626.54999999999927</v>
      </c>
      <c r="L2097" s="2">
        <f t="shared" si="136"/>
        <v>20</v>
      </c>
    </row>
    <row r="2098" spans="1:12" x14ac:dyDescent="0.3">
      <c r="A2098" s="3">
        <v>45388</v>
      </c>
      <c r="C2098" s="50" t="s">
        <v>4536</v>
      </c>
      <c r="G2098" s="88">
        <v>3500</v>
      </c>
      <c r="H2098" s="88"/>
      <c r="I2098" s="88">
        <f t="shared" si="135"/>
        <v>4126.5499999999993</v>
      </c>
      <c r="L2098" s="2">
        <f t="shared" si="136"/>
        <v>14</v>
      </c>
    </row>
    <row r="2099" spans="1:12" x14ac:dyDescent="0.3">
      <c r="A2099" s="3">
        <v>45388</v>
      </c>
      <c r="B2099" s="11" t="s">
        <v>4637</v>
      </c>
      <c r="C2099" s="65" t="s">
        <v>4638</v>
      </c>
      <c r="E2099" s="90" t="s">
        <v>16</v>
      </c>
      <c r="G2099" s="88"/>
      <c r="H2099" s="88">
        <v>2000</v>
      </c>
      <c r="I2099" s="88">
        <f t="shared" si="135"/>
        <v>2126.5499999999993</v>
      </c>
      <c r="L2099" s="2">
        <f t="shared" si="136"/>
        <v>33</v>
      </c>
    </row>
    <row r="2100" spans="1:12" x14ac:dyDescent="0.3">
      <c r="A2100" s="3">
        <v>45388</v>
      </c>
      <c r="C2100" s="50" t="s">
        <v>3139</v>
      </c>
      <c r="G2100" s="88">
        <v>6000</v>
      </c>
      <c r="H2100" s="88"/>
      <c r="I2100" s="88">
        <f t="shared" si="135"/>
        <v>8126.5499999999993</v>
      </c>
      <c r="L2100" s="2">
        <f t="shared" si="136"/>
        <v>20</v>
      </c>
    </row>
    <row r="2101" spans="1:12" x14ac:dyDescent="0.3">
      <c r="A2101" s="3">
        <v>45388</v>
      </c>
      <c r="B2101" s="11" t="s">
        <v>3871</v>
      </c>
      <c r="G2101" s="88"/>
      <c r="H2101" s="88">
        <v>4200</v>
      </c>
      <c r="I2101" s="88">
        <f t="shared" si="135"/>
        <v>3926.5499999999993</v>
      </c>
      <c r="L2101" s="2">
        <f t="shared" si="136"/>
        <v>16.8</v>
      </c>
    </row>
    <row r="2102" spans="1:12" x14ac:dyDescent="0.3">
      <c r="A2102" s="3">
        <v>45389</v>
      </c>
      <c r="B2102" s="11" t="s">
        <v>1250</v>
      </c>
      <c r="C2102" s="50" t="s">
        <v>3670</v>
      </c>
      <c r="G2102" s="88">
        <v>2500</v>
      </c>
      <c r="H2102" s="88"/>
      <c r="I2102" s="88">
        <f t="shared" si="135"/>
        <v>6426.5499999999993</v>
      </c>
      <c r="L2102" s="2">
        <f t="shared" si="136"/>
        <v>10</v>
      </c>
    </row>
    <row r="2103" spans="1:12" x14ac:dyDescent="0.3">
      <c r="A2103" s="3">
        <v>45389</v>
      </c>
      <c r="B2103" s="11" t="s">
        <v>4039</v>
      </c>
      <c r="C2103" s="50" t="s">
        <v>4645</v>
      </c>
      <c r="G2103" s="88"/>
      <c r="H2103" s="88">
        <v>6000</v>
      </c>
      <c r="I2103" s="88">
        <f t="shared" si="135"/>
        <v>426.54999999999927</v>
      </c>
      <c r="L2103" s="2">
        <f t="shared" si="136"/>
        <v>20</v>
      </c>
    </row>
    <row r="2104" spans="1:12" x14ac:dyDescent="0.3">
      <c r="A2104" s="3">
        <v>45389</v>
      </c>
      <c r="B2104" s="11" t="s">
        <v>4061</v>
      </c>
      <c r="C2104" s="50" t="s">
        <v>2387</v>
      </c>
      <c r="G2104" s="88">
        <v>1300</v>
      </c>
      <c r="H2104" s="88"/>
      <c r="I2104" s="88">
        <f t="shared" si="135"/>
        <v>1726.5499999999993</v>
      </c>
      <c r="L2104" s="2">
        <f t="shared" si="136"/>
        <v>5.2</v>
      </c>
    </row>
    <row r="2105" spans="1:12" x14ac:dyDescent="0.3">
      <c r="A2105" s="3">
        <v>45390</v>
      </c>
      <c r="B2105" s="11" t="s">
        <v>4647</v>
      </c>
      <c r="C2105" s="65" t="s">
        <v>4648</v>
      </c>
      <c r="E2105" s="90" t="s">
        <v>16</v>
      </c>
      <c r="G2105" s="88"/>
      <c r="H2105" s="88">
        <v>100</v>
      </c>
      <c r="I2105" s="88">
        <f t="shared" si="135"/>
        <v>1626.5499999999993</v>
      </c>
      <c r="L2105" s="2">
        <f t="shared" si="136"/>
        <v>25.4</v>
      </c>
    </row>
    <row r="2106" spans="1:12" x14ac:dyDescent="0.3">
      <c r="A2106" s="3">
        <v>45390</v>
      </c>
      <c r="B2106" s="11" t="s">
        <v>4652</v>
      </c>
      <c r="C2106" s="50" t="s">
        <v>4663</v>
      </c>
      <c r="D2106" s="50">
        <v>8050</v>
      </c>
      <c r="E2106" s="90" t="s">
        <v>16</v>
      </c>
      <c r="G2106" s="88"/>
      <c r="H2106" s="88">
        <v>1050</v>
      </c>
      <c r="I2106" s="88">
        <f t="shared" si="135"/>
        <v>576.54999999999927</v>
      </c>
      <c r="L2106" s="2">
        <f t="shared" si="136"/>
        <v>29.2</v>
      </c>
    </row>
    <row r="2107" spans="1:12" x14ac:dyDescent="0.3">
      <c r="A2107" s="3">
        <v>45391</v>
      </c>
      <c r="C2107" s="50" t="s">
        <v>3139</v>
      </c>
      <c r="G2107" s="88">
        <v>10000</v>
      </c>
      <c r="H2107" s="88"/>
      <c r="I2107" s="88">
        <f t="shared" si="135"/>
        <v>10576.55</v>
      </c>
      <c r="L2107" s="2">
        <f t="shared" si="136"/>
        <v>20</v>
      </c>
    </row>
    <row r="2108" spans="1:12" x14ac:dyDescent="0.3">
      <c r="A2108" s="3">
        <v>45391</v>
      </c>
      <c r="B2108" s="11" t="s">
        <v>4652</v>
      </c>
      <c r="C2108" s="50" t="s">
        <v>4658</v>
      </c>
      <c r="G2108" s="88"/>
      <c r="H2108" s="88">
        <v>7000</v>
      </c>
      <c r="I2108" s="88">
        <f t="shared" si="135"/>
        <v>3576.5499999999993</v>
      </c>
      <c r="L2108" s="2">
        <f t="shared" si="136"/>
        <v>20</v>
      </c>
    </row>
    <row r="2109" spans="1:12" x14ac:dyDescent="0.3">
      <c r="A2109" s="3">
        <v>45391</v>
      </c>
      <c r="B2109" s="11" t="s">
        <v>4659</v>
      </c>
      <c r="C2109" s="50" t="s">
        <v>3844</v>
      </c>
      <c r="G2109" s="88">
        <v>4000</v>
      </c>
      <c r="H2109" s="88"/>
      <c r="I2109" s="88">
        <f t="shared" si="135"/>
        <v>7576.5499999999993</v>
      </c>
      <c r="L2109" s="2">
        <f t="shared" si="136"/>
        <v>16</v>
      </c>
    </row>
    <row r="2110" spans="1:12" x14ac:dyDescent="0.3">
      <c r="A2110" s="3">
        <v>45391</v>
      </c>
      <c r="C2110" s="50" t="s">
        <v>3896</v>
      </c>
      <c r="G2110" s="88"/>
      <c r="H2110" s="88">
        <v>4000</v>
      </c>
      <c r="I2110" s="88">
        <f t="shared" si="135"/>
        <v>3576.5499999999993</v>
      </c>
      <c r="L2110" s="2">
        <f t="shared" si="136"/>
        <v>16</v>
      </c>
    </row>
    <row r="2111" spans="1:12" x14ac:dyDescent="0.3">
      <c r="A2111" s="3">
        <v>45392</v>
      </c>
      <c r="B2111" s="11" t="s">
        <v>4660</v>
      </c>
      <c r="C2111" s="50" t="s">
        <v>4661</v>
      </c>
      <c r="G2111" s="88">
        <v>2000</v>
      </c>
      <c r="H2111" s="88"/>
      <c r="I2111" s="88">
        <f t="shared" si="135"/>
        <v>5576.5499999999993</v>
      </c>
      <c r="L2111" s="2">
        <f t="shared" si="136"/>
        <v>8</v>
      </c>
    </row>
    <row r="2112" spans="1:12" x14ac:dyDescent="0.3">
      <c r="A2112" s="3">
        <v>45392</v>
      </c>
      <c r="B2112" s="11" t="s">
        <v>1160</v>
      </c>
      <c r="C2112" s="50" t="s">
        <v>4662</v>
      </c>
      <c r="D2112" s="50">
        <v>7859056775</v>
      </c>
      <c r="G2112" s="88">
        <v>1200</v>
      </c>
      <c r="H2112" s="88"/>
      <c r="I2112" s="88">
        <f t="shared" si="135"/>
        <v>6776.5499999999993</v>
      </c>
      <c r="L2112" s="2">
        <f t="shared" si="136"/>
        <v>4.8</v>
      </c>
    </row>
    <row r="2113" spans="1:12" x14ac:dyDescent="0.3">
      <c r="A2113" s="3">
        <v>45392</v>
      </c>
      <c r="B2113" s="11" t="s">
        <v>4652</v>
      </c>
      <c r="C2113" s="50" t="s">
        <v>4658</v>
      </c>
      <c r="G2113" s="88"/>
      <c r="H2113" s="88">
        <v>500</v>
      </c>
      <c r="I2113" s="88">
        <f t="shared" si="135"/>
        <v>6276.5499999999993</v>
      </c>
      <c r="L2113" s="2">
        <f t="shared" si="136"/>
        <v>2</v>
      </c>
    </row>
    <row r="2114" spans="1:12" x14ac:dyDescent="0.3">
      <c r="A2114" s="3">
        <v>45392</v>
      </c>
      <c r="B2114" s="11" t="s">
        <v>2634</v>
      </c>
      <c r="C2114" s="50" t="s">
        <v>2635</v>
      </c>
      <c r="G2114" s="88"/>
      <c r="H2114" s="88">
        <v>1000</v>
      </c>
      <c r="I2114" s="88">
        <f t="shared" si="135"/>
        <v>5276.5499999999993</v>
      </c>
      <c r="L2114" s="2">
        <f t="shared" si="136"/>
        <v>4</v>
      </c>
    </row>
    <row r="2115" spans="1:12" x14ac:dyDescent="0.3">
      <c r="A2115" s="3">
        <v>45392</v>
      </c>
      <c r="B2115" s="11" t="s">
        <v>4665</v>
      </c>
      <c r="C2115" s="65" t="s">
        <v>4666</v>
      </c>
      <c r="E2115" s="90" t="s">
        <v>16</v>
      </c>
      <c r="G2115" s="88"/>
      <c r="H2115" s="88">
        <v>2000</v>
      </c>
      <c r="I2115" s="88">
        <f t="shared" si="135"/>
        <v>3276.5499999999993</v>
      </c>
      <c r="L2115" s="2">
        <f t="shared" si="136"/>
        <v>33</v>
      </c>
    </row>
    <row r="2116" spans="1:12" x14ac:dyDescent="0.3">
      <c r="A2116" s="3">
        <v>45392</v>
      </c>
      <c r="B2116" s="11" t="s">
        <v>4670</v>
      </c>
      <c r="C2116" s="50" t="s">
        <v>4669</v>
      </c>
      <c r="G2116" s="88">
        <v>3100</v>
      </c>
      <c r="H2116" s="88"/>
      <c r="I2116" s="88">
        <f t="shared" si="135"/>
        <v>6376.5499999999993</v>
      </c>
      <c r="L2116" s="2">
        <f t="shared" si="136"/>
        <v>12.4</v>
      </c>
    </row>
    <row r="2117" spans="1:12" x14ac:dyDescent="0.3">
      <c r="A2117" s="3">
        <v>45397</v>
      </c>
      <c r="C2117" s="50" t="s">
        <v>4672</v>
      </c>
      <c r="G2117" s="88">
        <v>400</v>
      </c>
      <c r="H2117" s="88"/>
      <c r="I2117" s="88">
        <f t="shared" si="135"/>
        <v>6776.5499999999993</v>
      </c>
      <c r="L2117" s="2">
        <f t="shared" si="136"/>
        <v>1.6</v>
      </c>
    </row>
    <row r="2118" spans="1:12" x14ac:dyDescent="0.3">
      <c r="A2118" s="3">
        <v>45397</v>
      </c>
      <c r="C2118" s="50" t="s">
        <v>4673</v>
      </c>
      <c r="G2118" s="88"/>
      <c r="H2118" s="88">
        <v>100</v>
      </c>
      <c r="I2118" s="88">
        <f t="shared" si="135"/>
        <v>6676.5499999999993</v>
      </c>
      <c r="L2118" s="2">
        <f t="shared" si="136"/>
        <v>0.4</v>
      </c>
    </row>
    <row r="2119" spans="1:12" x14ac:dyDescent="0.3">
      <c r="A2119" s="3">
        <v>45397</v>
      </c>
      <c r="B2119" s="11" t="s">
        <v>4652</v>
      </c>
      <c r="C2119" s="50" t="s">
        <v>4663</v>
      </c>
      <c r="G2119" s="88"/>
      <c r="H2119" s="88">
        <v>500</v>
      </c>
      <c r="I2119" s="88">
        <f t="shared" si="135"/>
        <v>6176.5499999999993</v>
      </c>
      <c r="L2119" s="2">
        <f t="shared" si="136"/>
        <v>2</v>
      </c>
    </row>
    <row r="2120" spans="1:12" x14ac:dyDescent="0.3">
      <c r="A2120" s="3">
        <v>45397</v>
      </c>
      <c r="B2120" s="11" t="s">
        <v>1250</v>
      </c>
      <c r="C2120" s="50" t="s">
        <v>4676</v>
      </c>
      <c r="G2120" s="88">
        <v>4000</v>
      </c>
      <c r="H2120" s="88"/>
      <c r="I2120" s="88">
        <f t="shared" si="135"/>
        <v>10176.549999999999</v>
      </c>
      <c r="L2120" s="2">
        <f t="shared" si="136"/>
        <v>16</v>
      </c>
    </row>
    <row r="2121" spans="1:12" x14ac:dyDescent="0.3">
      <c r="A2121" s="3">
        <v>45397</v>
      </c>
      <c r="B2121" s="11" t="s">
        <v>4674</v>
      </c>
      <c r="C2121" s="50" t="s">
        <v>4675</v>
      </c>
      <c r="G2121" s="88"/>
      <c r="H2121" s="88">
        <v>3500</v>
      </c>
      <c r="I2121" s="88">
        <f t="shared" si="135"/>
        <v>6676.5499999999993</v>
      </c>
      <c r="L2121" s="2">
        <f t="shared" si="136"/>
        <v>14</v>
      </c>
    </row>
    <row r="2122" spans="1:12" x14ac:dyDescent="0.3">
      <c r="A2122" s="3">
        <v>45398</v>
      </c>
      <c r="B2122" s="11" t="s">
        <v>1250</v>
      </c>
      <c r="C2122" s="50" t="s">
        <v>2534</v>
      </c>
      <c r="G2122" s="88">
        <v>3000</v>
      </c>
      <c r="H2122" s="88"/>
      <c r="I2122" s="88">
        <f t="shared" si="135"/>
        <v>9676.5499999999993</v>
      </c>
      <c r="L2122" s="2">
        <f t="shared" si="136"/>
        <v>12</v>
      </c>
    </row>
    <row r="2123" spans="1:12" x14ac:dyDescent="0.3">
      <c r="A2123" s="3">
        <v>45398</v>
      </c>
      <c r="C2123" s="50" t="s">
        <v>4677</v>
      </c>
      <c r="G2123" s="88"/>
      <c r="H2123" s="88">
        <v>9000</v>
      </c>
      <c r="I2123" s="88">
        <f t="shared" si="135"/>
        <v>676.54999999999927</v>
      </c>
    </row>
    <row r="2124" spans="1:12" x14ac:dyDescent="0.3">
      <c r="A2124" s="3">
        <v>45399</v>
      </c>
      <c r="B2124" s="11" t="s">
        <v>3541</v>
      </c>
      <c r="C2124" s="50" t="s">
        <v>3542</v>
      </c>
      <c r="G2124" s="88">
        <v>1800</v>
      </c>
      <c r="H2124" s="88"/>
      <c r="I2124" s="88">
        <f t="shared" si="135"/>
        <v>2476.5499999999993</v>
      </c>
      <c r="L2124" s="2">
        <f t="shared" ref="L2124:L2153" si="137">IF((G2124+H2124)&lt;=5000,(H2124+G2124)*0.004,20)+IF(E2124="Y",25,0)</f>
        <v>7.2</v>
      </c>
    </row>
    <row r="2125" spans="1:12" x14ac:dyDescent="0.3">
      <c r="A2125" s="3">
        <v>45399</v>
      </c>
      <c r="B2125" s="11" t="s">
        <v>4678</v>
      </c>
      <c r="C2125" s="50" t="s">
        <v>585</v>
      </c>
      <c r="G2125" s="88"/>
      <c r="H2125" s="88">
        <v>50</v>
      </c>
      <c r="I2125" s="88">
        <f t="shared" si="135"/>
        <v>2426.5499999999993</v>
      </c>
      <c r="L2125" s="2">
        <f t="shared" si="137"/>
        <v>0.2</v>
      </c>
    </row>
    <row r="2126" spans="1:12" x14ac:dyDescent="0.3">
      <c r="A2126" s="3">
        <v>45400</v>
      </c>
      <c r="B2126" s="11" t="s">
        <v>1250</v>
      </c>
      <c r="C2126" s="50" t="s">
        <v>2387</v>
      </c>
      <c r="G2126" s="88">
        <v>500</v>
      </c>
      <c r="H2126" s="88"/>
      <c r="I2126" s="88">
        <f t="shared" si="135"/>
        <v>2926.5499999999993</v>
      </c>
      <c r="L2126" s="2">
        <f t="shared" si="137"/>
        <v>2</v>
      </c>
    </row>
    <row r="2127" spans="1:12" x14ac:dyDescent="0.3">
      <c r="A2127" s="3">
        <v>45401</v>
      </c>
      <c r="B2127" s="11" t="s">
        <v>1472</v>
      </c>
      <c r="C2127" s="50" t="s">
        <v>3507</v>
      </c>
      <c r="G2127" s="88">
        <v>1000</v>
      </c>
      <c r="H2127" s="88"/>
      <c r="I2127" s="88">
        <f t="shared" si="135"/>
        <v>3926.5499999999993</v>
      </c>
      <c r="L2127" s="2">
        <f t="shared" si="137"/>
        <v>4</v>
      </c>
    </row>
    <row r="2128" spans="1:12" x14ac:dyDescent="0.3">
      <c r="A2128" s="3">
        <v>45401</v>
      </c>
      <c r="B2128" s="11" t="s">
        <v>4680</v>
      </c>
      <c r="C2128" s="50" t="s">
        <v>4681</v>
      </c>
      <c r="E2128" s="90" t="s">
        <v>16</v>
      </c>
      <c r="G2128" s="88"/>
      <c r="H2128" s="88">
        <v>2000</v>
      </c>
      <c r="I2128" s="88">
        <f t="shared" si="135"/>
        <v>1926.5499999999993</v>
      </c>
      <c r="L2128" s="2">
        <f t="shared" si="137"/>
        <v>33</v>
      </c>
    </row>
    <row r="2129" spans="1:12" x14ac:dyDescent="0.3">
      <c r="A2129" s="3">
        <v>45401</v>
      </c>
      <c r="B2129" s="11" t="s">
        <v>1250</v>
      </c>
      <c r="C2129" s="50" t="s">
        <v>2387</v>
      </c>
      <c r="G2129" s="88">
        <v>2350</v>
      </c>
      <c r="H2129" s="88"/>
      <c r="I2129" s="88">
        <f>I2128+G2129-H2129</f>
        <v>4276.5499999999993</v>
      </c>
      <c r="L2129" s="2">
        <f t="shared" si="137"/>
        <v>9.4</v>
      </c>
    </row>
    <row r="2130" spans="1:12" x14ac:dyDescent="0.3">
      <c r="A2130" s="3">
        <v>45401</v>
      </c>
      <c r="B2130" s="11" t="s">
        <v>1472</v>
      </c>
      <c r="C2130" s="50" t="s">
        <v>4684</v>
      </c>
      <c r="D2130" s="50">
        <v>9135083068</v>
      </c>
      <c r="G2130" s="88">
        <v>1600</v>
      </c>
      <c r="H2130" s="88"/>
      <c r="I2130" s="88">
        <f>I2129+G2130-H2130</f>
        <v>5876.5499999999993</v>
      </c>
      <c r="L2130" s="2">
        <f t="shared" si="137"/>
        <v>6.4</v>
      </c>
    </row>
    <row r="2131" spans="1:12" x14ac:dyDescent="0.3">
      <c r="A2131" s="3">
        <v>45401</v>
      </c>
      <c r="B2131" s="11" t="s">
        <v>1250</v>
      </c>
      <c r="C2131" s="50" t="s">
        <v>3880</v>
      </c>
      <c r="G2131" s="88">
        <v>2000</v>
      </c>
      <c r="H2131" s="88"/>
      <c r="I2131" s="88">
        <f>I2130+G2131-H2131</f>
        <v>7876.5499999999993</v>
      </c>
      <c r="L2131" s="2">
        <f t="shared" si="137"/>
        <v>8</v>
      </c>
    </row>
    <row r="2132" spans="1:12" x14ac:dyDescent="0.3">
      <c r="A2132" s="3">
        <v>45401</v>
      </c>
      <c r="B2132" s="11" t="s">
        <v>3232</v>
      </c>
      <c r="C2132" s="50" t="s">
        <v>4685</v>
      </c>
      <c r="G2132" s="88">
        <v>700</v>
      </c>
      <c r="H2132" s="88"/>
      <c r="I2132" s="88">
        <f>I2131+G2132-H2132</f>
        <v>8576.5499999999993</v>
      </c>
      <c r="L2132" s="2">
        <f t="shared" si="137"/>
        <v>2.8000000000000003</v>
      </c>
    </row>
    <row r="2133" spans="1:12" x14ac:dyDescent="0.3">
      <c r="A2133" s="3">
        <v>45402</v>
      </c>
      <c r="B2133" s="11" t="s">
        <v>3415</v>
      </c>
      <c r="C2133" s="50" t="s">
        <v>164</v>
      </c>
      <c r="G2133" s="88"/>
      <c r="H2133" s="88">
        <v>2000</v>
      </c>
      <c r="I2133" s="88">
        <f t="shared" ref="I2133:I2148" si="138">I2132+G2133-H2133</f>
        <v>6576.5499999999993</v>
      </c>
      <c r="L2133" s="2">
        <f t="shared" si="137"/>
        <v>8</v>
      </c>
    </row>
    <row r="2134" spans="1:12" x14ac:dyDescent="0.3">
      <c r="A2134" s="3">
        <v>45402</v>
      </c>
      <c r="B2134" s="11" t="s">
        <v>4686</v>
      </c>
      <c r="C2134" s="50" t="s">
        <v>2553</v>
      </c>
      <c r="G2134" s="88">
        <v>10000</v>
      </c>
      <c r="H2134" s="88"/>
      <c r="I2134" s="88">
        <f t="shared" si="138"/>
        <v>16576.55</v>
      </c>
      <c r="L2134" s="2">
        <f t="shared" si="137"/>
        <v>20</v>
      </c>
    </row>
    <row r="2135" spans="1:12" x14ac:dyDescent="0.3">
      <c r="A2135" s="3">
        <v>45402</v>
      </c>
      <c r="B2135" s="11" t="s">
        <v>3766</v>
      </c>
      <c r="G2135" s="88"/>
      <c r="H2135" s="88">
        <v>800</v>
      </c>
      <c r="I2135" s="88">
        <f t="shared" si="138"/>
        <v>15776.55</v>
      </c>
      <c r="L2135" s="2">
        <f t="shared" si="137"/>
        <v>3.2</v>
      </c>
    </row>
    <row r="2136" spans="1:12" x14ac:dyDescent="0.3">
      <c r="A2136" s="3">
        <v>45403</v>
      </c>
      <c r="B2136" s="11" t="s">
        <v>1250</v>
      </c>
      <c r="C2136" s="50" t="s">
        <v>4690</v>
      </c>
      <c r="D2136" s="50">
        <v>893708640079</v>
      </c>
      <c r="G2136" s="88">
        <v>10000</v>
      </c>
      <c r="I2136" s="88">
        <f t="shared" si="138"/>
        <v>25776.55</v>
      </c>
      <c r="L2136" s="2">
        <f t="shared" si="137"/>
        <v>20</v>
      </c>
    </row>
    <row r="2137" spans="1:12" x14ac:dyDescent="0.3">
      <c r="A2137" s="3">
        <v>45403</v>
      </c>
      <c r="B2137" s="11" t="s">
        <v>1250</v>
      </c>
      <c r="C2137" s="50" t="s">
        <v>2387</v>
      </c>
      <c r="G2137" s="88">
        <v>900</v>
      </c>
      <c r="I2137" s="88">
        <f t="shared" si="138"/>
        <v>26676.55</v>
      </c>
      <c r="L2137" s="2">
        <f t="shared" si="137"/>
        <v>3.6</v>
      </c>
    </row>
    <row r="2138" spans="1:12" x14ac:dyDescent="0.3">
      <c r="A2138" s="3">
        <v>45405</v>
      </c>
      <c r="B2138" s="11" t="s">
        <v>4724</v>
      </c>
      <c r="C2138" s="50" t="s">
        <v>4725</v>
      </c>
      <c r="E2138" s="90" t="s">
        <v>16</v>
      </c>
      <c r="H2138" s="2">
        <v>200</v>
      </c>
      <c r="I2138" s="88">
        <f t="shared" si="138"/>
        <v>26476.55</v>
      </c>
      <c r="L2138" s="2">
        <f t="shared" si="137"/>
        <v>25.8</v>
      </c>
    </row>
    <row r="2139" spans="1:12" x14ac:dyDescent="0.3">
      <c r="A2139" s="3">
        <v>45405</v>
      </c>
      <c r="B2139" s="11" t="s">
        <v>4729</v>
      </c>
      <c r="C2139" s="50" t="s">
        <v>4727</v>
      </c>
      <c r="E2139" s="90" t="s">
        <v>16</v>
      </c>
      <c r="H2139" s="2">
        <v>500</v>
      </c>
      <c r="I2139" s="88">
        <f t="shared" si="138"/>
        <v>25976.55</v>
      </c>
      <c r="L2139" s="2">
        <f t="shared" si="137"/>
        <v>27</v>
      </c>
    </row>
    <row r="2140" spans="1:12" x14ac:dyDescent="0.3">
      <c r="A2140" s="3">
        <v>45405</v>
      </c>
      <c r="B2140" s="11" t="s">
        <v>3232</v>
      </c>
      <c r="C2140" s="50" t="s">
        <v>2414</v>
      </c>
      <c r="G2140" s="2">
        <v>500</v>
      </c>
      <c r="I2140" s="88">
        <f t="shared" si="138"/>
        <v>26476.55</v>
      </c>
      <c r="L2140" s="2">
        <f t="shared" si="137"/>
        <v>2</v>
      </c>
    </row>
    <row r="2141" spans="1:12" x14ac:dyDescent="0.3">
      <c r="A2141" s="3">
        <v>45405</v>
      </c>
      <c r="B2141" s="11" t="s">
        <v>2716</v>
      </c>
      <c r="C2141" s="50" t="s">
        <v>3457</v>
      </c>
      <c r="H2141" s="2">
        <v>10000</v>
      </c>
      <c r="I2141" s="88">
        <f t="shared" si="138"/>
        <v>16476.55</v>
      </c>
      <c r="L2141" s="2">
        <f t="shared" si="137"/>
        <v>20</v>
      </c>
    </row>
    <row r="2142" spans="1:12" x14ac:dyDescent="0.3">
      <c r="A2142" s="3">
        <v>45405</v>
      </c>
      <c r="B2142" s="11" t="s">
        <v>4732</v>
      </c>
      <c r="C2142" s="50" t="s">
        <v>4756</v>
      </c>
      <c r="E2142" s="90" t="s">
        <v>16</v>
      </c>
      <c r="H2142" s="2">
        <v>100</v>
      </c>
      <c r="I2142" s="88">
        <f t="shared" si="138"/>
        <v>16376.55</v>
      </c>
      <c r="L2142" s="2">
        <f t="shared" si="137"/>
        <v>25.4</v>
      </c>
    </row>
    <row r="2143" spans="1:12" x14ac:dyDescent="0.3">
      <c r="A2143" s="3">
        <v>45406</v>
      </c>
      <c r="B2143" s="11" t="s">
        <v>3731</v>
      </c>
      <c r="C2143" s="50" t="s">
        <v>4734</v>
      </c>
      <c r="H2143" s="2">
        <v>500</v>
      </c>
      <c r="I2143" s="88">
        <f t="shared" si="138"/>
        <v>15876.55</v>
      </c>
      <c r="L2143" s="2">
        <f t="shared" si="137"/>
        <v>2</v>
      </c>
    </row>
    <row r="2144" spans="1:12" x14ac:dyDescent="0.3">
      <c r="A2144" s="3">
        <v>45406</v>
      </c>
      <c r="B2144" s="11" t="s">
        <v>3812</v>
      </c>
      <c r="C2144" s="50" t="s">
        <v>4737</v>
      </c>
      <c r="D2144" s="50">
        <v>731871914</v>
      </c>
      <c r="G2144" s="2">
        <v>3000</v>
      </c>
      <c r="I2144" s="88">
        <f t="shared" si="138"/>
        <v>18876.55</v>
      </c>
      <c r="L2144" s="2">
        <f t="shared" si="137"/>
        <v>12</v>
      </c>
    </row>
    <row r="2145" spans="1:13" x14ac:dyDescent="0.3">
      <c r="A2145" s="3">
        <v>45406</v>
      </c>
      <c r="B2145" s="11" t="s">
        <v>2716</v>
      </c>
      <c r="C2145" s="50" t="s">
        <v>1279</v>
      </c>
      <c r="H2145" s="2">
        <v>5000</v>
      </c>
      <c r="I2145" s="88">
        <f t="shared" si="138"/>
        <v>13876.55</v>
      </c>
      <c r="L2145" s="2">
        <f t="shared" si="137"/>
        <v>20</v>
      </c>
    </row>
    <row r="2146" spans="1:13" x14ac:dyDescent="0.3">
      <c r="A2146" s="3">
        <v>45407</v>
      </c>
      <c r="B2146" s="11" t="s">
        <v>2448</v>
      </c>
      <c r="C2146" s="50" t="s">
        <v>4108</v>
      </c>
      <c r="H2146" s="2">
        <v>6500</v>
      </c>
      <c r="I2146" s="88">
        <f t="shared" si="138"/>
        <v>7376.5499999999993</v>
      </c>
      <c r="L2146" s="2">
        <f t="shared" si="137"/>
        <v>20</v>
      </c>
    </row>
    <row r="2147" spans="1:13" x14ac:dyDescent="0.3">
      <c r="A2147" s="3">
        <v>45407</v>
      </c>
      <c r="B2147" s="11" t="s">
        <v>4741</v>
      </c>
      <c r="C2147" s="65" t="s">
        <v>4742</v>
      </c>
      <c r="E2147" s="90" t="s">
        <v>16</v>
      </c>
      <c r="H2147" s="2">
        <v>500</v>
      </c>
      <c r="I2147" s="88">
        <f t="shared" si="138"/>
        <v>6876.5499999999993</v>
      </c>
      <c r="L2147" s="2">
        <f t="shared" si="137"/>
        <v>27</v>
      </c>
    </row>
    <row r="2148" spans="1:13" x14ac:dyDescent="0.3">
      <c r="A2148" s="3">
        <v>45408</v>
      </c>
      <c r="B2148" s="11" t="s">
        <v>4752</v>
      </c>
      <c r="C2148" s="51" t="s">
        <v>2224</v>
      </c>
      <c r="D2148" s="65"/>
      <c r="E2148" s="90" t="s">
        <v>16</v>
      </c>
      <c r="H2148" s="2">
        <v>100</v>
      </c>
      <c r="I2148" s="88">
        <f t="shared" si="138"/>
        <v>6776.5499999999993</v>
      </c>
      <c r="L2148" s="2">
        <f t="shared" si="137"/>
        <v>25.4</v>
      </c>
    </row>
    <row r="2149" spans="1:13" x14ac:dyDescent="0.3">
      <c r="A2149" s="3">
        <v>45408</v>
      </c>
      <c r="B2149" s="11" t="s">
        <v>4751</v>
      </c>
      <c r="C2149" s="65" t="s">
        <v>4750</v>
      </c>
      <c r="E2149" s="90" t="s">
        <v>16</v>
      </c>
      <c r="H2149" s="2">
        <v>100</v>
      </c>
      <c r="I2149" s="88">
        <f>I2148+G2149-H2149</f>
        <v>6676.5499999999993</v>
      </c>
      <c r="L2149" s="2">
        <f t="shared" si="137"/>
        <v>25.4</v>
      </c>
    </row>
    <row r="2150" spans="1:13" x14ac:dyDescent="0.3">
      <c r="A2150" s="3">
        <v>45409</v>
      </c>
      <c r="B2150" s="11" t="s">
        <v>4754</v>
      </c>
      <c r="C2150" s="50" t="s">
        <v>4755</v>
      </c>
      <c r="G2150" s="2">
        <v>3000</v>
      </c>
      <c r="I2150" s="88">
        <f>I2149+G2150-H2150</f>
        <v>9676.5499999999993</v>
      </c>
      <c r="L2150" s="2">
        <f t="shared" si="137"/>
        <v>12</v>
      </c>
    </row>
    <row r="2151" spans="1:13" x14ac:dyDescent="0.3">
      <c r="A2151" s="3">
        <v>45501</v>
      </c>
      <c r="B2151" s="11" t="s">
        <v>1250</v>
      </c>
      <c r="C2151" s="50" t="s">
        <v>2635</v>
      </c>
      <c r="G2151" s="2">
        <v>250</v>
      </c>
      <c r="I2151" s="88">
        <f>I2150+G2151-H2151</f>
        <v>9926.5499999999993</v>
      </c>
      <c r="L2151" s="2">
        <f t="shared" si="137"/>
        <v>1</v>
      </c>
    </row>
    <row r="2152" spans="1:13" x14ac:dyDescent="0.3">
      <c r="A2152" s="3">
        <v>45411</v>
      </c>
      <c r="B2152" s="11" t="s">
        <v>1250</v>
      </c>
      <c r="C2152" s="50" t="s">
        <v>2635</v>
      </c>
      <c r="H2152" s="2">
        <v>2900</v>
      </c>
      <c r="I2152" s="88">
        <f>I2151+G2152-H2152</f>
        <v>7026.5499999999993</v>
      </c>
      <c r="L2152" s="2">
        <f t="shared" si="137"/>
        <v>11.6</v>
      </c>
    </row>
    <row r="2153" spans="1:13" x14ac:dyDescent="0.3">
      <c r="A2153" s="3">
        <v>45411</v>
      </c>
      <c r="B2153" s="11" t="s">
        <v>1250</v>
      </c>
      <c r="C2153" s="50" t="s">
        <v>2387</v>
      </c>
      <c r="G2153" s="2">
        <v>1000</v>
      </c>
      <c r="I2153" s="88">
        <f>I2152+G2153-H2153</f>
        <v>8026.5499999999993</v>
      </c>
      <c r="L2153" s="2">
        <f t="shared" si="137"/>
        <v>4</v>
      </c>
    </row>
    <row r="2154" spans="1:13" x14ac:dyDescent="0.3">
      <c r="A2154" s="77">
        <f>COUNT(A2084:A2153)</f>
        <v>70</v>
      </c>
      <c r="B2154" s="80"/>
      <c r="C2154" s="112"/>
      <c r="D2154" s="112"/>
      <c r="E2154" s="92">
        <f>COUNTIF(E2084:E2153,"Y")</f>
        <v>15</v>
      </c>
      <c r="F2154" s="77">
        <f>G2154+H2154</f>
        <v>180950</v>
      </c>
      <c r="G2154" s="84">
        <f>SUM(G2084:G2153)</f>
        <v>89450</v>
      </c>
      <c r="H2154" s="84">
        <f>SUM(H2084:H2153)</f>
        <v>91500</v>
      </c>
      <c r="I2154" s="84"/>
      <c r="J2154" s="80"/>
      <c r="K2154" s="80"/>
      <c r="L2154" s="80">
        <f>SUM(L2084:L2153)</f>
        <v>946.8</v>
      </c>
      <c r="M2154" s="77"/>
    </row>
    <row r="2156" spans="1:13" x14ac:dyDescent="0.3">
      <c r="A2156" s="3">
        <v>45413</v>
      </c>
      <c r="C2156" s="50" t="s">
        <v>2832</v>
      </c>
      <c r="G2156" s="2">
        <v>8026.55</v>
      </c>
      <c r="I2156" s="88">
        <f t="shared" ref="I2156:I2246" si="139">I2155+G2156-H2156</f>
        <v>8026.55</v>
      </c>
    </row>
    <row r="2157" spans="1:13" x14ac:dyDescent="0.3">
      <c r="A2157" s="3">
        <v>45413</v>
      </c>
      <c r="B2157" s="11" t="s">
        <v>1250</v>
      </c>
      <c r="C2157" s="50" t="s">
        <v>2727</v>
      </c>
      <c r="G2157" s="89" t="s">
        <v>4759</v>
      </c>
      <c r="I2157" s="88">
        <f t="shared" si="139"/>
        <v>18026.55</v>
      </c>
      <c r="L2157" s="2">
        <f t="shared" ref="L2157:L2174" si="140">IF((G2157+H2157)&lt;=5000,(H2157+G2157)*0.004,20)+IF(E2157="Y",25,0)</f>
        <v>20</v>
      </c>
    </row>
    <row r="2158" spans="1:13" x14ac:dyDescent="0.3">
      <c r="A2158" s="3">
        <v>45413</v>
      </c>
      <c r="B2158" s="11" t="s">
        <v>2448</v>
      </c>
      <c r="C2158" s="50" t="s">
        <v>2289</v>
      </c>
      <c r="G2158" s="89"/>
      <c r="H2158" s="2">
        <v>5000</v>
      </c>
      <c r="I2158" s="88">
        <f t="shared" si="139"/>
        <v>13026.55</v>
      </c>
      <c r="L2158" s="2">
        <f t="shared" si="140"/>
        <v>20</v>
      </c>
    </row>
    <row r="2159" spans="1:13" x14ac:dyDescent="0.3">
      <c r="A2159" s="3">
        <v>45413</v>
      </c>
      <c r="B2159" s="11" t="s">
        <v>4766</v>
      </c>
      <c r="G2159" s="89" t="s">
        <v>4767</v>
      </c>
      <c r="I2159" s="88">
        <f t="shared" si="139"/>
        <v>19626.55</v>
      </c>
      <c r="L2159" s="2">
        <f t="shared" si="140"/>
        <v>20</v>
      </c>
    </row>
    <row r="2160" spans="1:13" x14ac:dyDescent="0.3">
      <c r="A2160" s="3">
        <v>45413</v>
      </c>
      <c r="B2160" s="11" t="s">
        <v>1160</v>
      </c>
      <c r="G2160" s="89" t="s">
        <v>4765</v>
      </c>
      <c r="I2160" s="88">
        <f t="shared" si="139"/>
        <v>23126.55</v>
      </c>
      <c r="L2160" s="2">
        <f t="shared" si="140"/>
        <v>14</v>
      </c>
    </row>
    <row r="2161" spans="1:12" x14ac:dyDescent="0.3">
      <c r="A2161" s="3">
        <v>45384</v>
      </c>
      <c r="B2161" s="11" t="s">
        <v>1250</v>
      </c>
      <c r="G2161" s="89" t="s">
        <v>4768</v>
      </c>
      <c r="I2161" s="88">
        <f t="shared" si="139"/>
        <v>25326.55</v>
      </c>
      <c r="L2161" s="2">
        <f t="shared" si="140"/>
        <v>8.8000000000000007</v>
      </c>
    </row>
    <row r="2162" spans="1:12" x14ac:dyDescent="0.3">
      <c r="A2162" s="3">
        <v>45384</v>
      </c>
      <c r="B2162" s="11" t="s">
        <v>2716</v>
      </c>
      <c r="C2162" s="50" t="s">
        <v>1279</v>
      </c>
      <c r="G2162" s="89"/>
      <c r="H2162" s="2">
        <v>5000</v>
      </c>
      <c r="I2162" s="88">
        <f t="shared" si="139"/>
        <v>20326.55</v>
      </c>
      <c r="L2162" s="2">
        <f t="shared" si="140"/>
        <v>20</v>
      </c>
    </row>
    <row r="2163" spans="1:12" x14ac:dyDescent="0.3">
      <c r="A2163" s="3">
        <v>45384</v>
      </c>
      <c r="B2163" s="11" t="s">
        <v>3788</v>
      </c>
      <c r="C2163" s="50" t="s">
        <v>3874</v>
      </c>
      <c r="G2163" s="89"/>
      <c r="H2163" s="2">
        <v>1500</v>
      </c>
      <c r="I2163" s="88">
        <f t="shared" si="139"/>
        <v>18826.55</v>
      </c>
      <c r="L2163" s="2">
        <f t="shared" si="140"/>
        <v>6</v>
      </c>
    </row>
    <row r="2164" spans="1:12" x14ac:dyDescent="0.3">
      <c r="A2164" s="3">
        <v>45415</v>
      </c>
      <c r="B2164" s="11" t="s">
        <v>1250</v>
      </c>
      <c r="C2164" s="50" t="s">
        <v>4771</v>
      </c>
      <c r="G2164" s="89" t="s">
        <v>4770</v>
      </c>
      <c r="I2164" s="88">
        <f t="shared" si="139"/>
        <v>19826.55</v>
      </c>
      <c r="L2164" s="2">
        <f t="shared" si="140"/>
        <v>4</v>
      </c>
    </row>
    <row r="2165" spans="1:12" x14ac:dyDescent="0.3">
      <c r="A2165" s="3">
        <v>45415</v>
      </c>
      <c r="B2165" s="11" t="s">
        <v>4686</v>
      </c>
      <c r="C2165" s="50" t="s">
        <v>2553</v>
      </c>
      <c r="G2165" s="89" t="s">
        <v>4775</v>
      </c>
      <c r="I2165" s="88">
        <f t="shared" si="139"/>
        <v>29826.55</v>
      </c>
      <c r="L2165" s="2">
        <f t="shared" si="140"/>
        <v>20</v>
      </c>
    </row>
    <row r="2166" spans="1:12" x14ac:dyDescent="0.3">
      <c r="A2166" s="3">
        <v>45415</v>
      </c>
      <c r="B2166" s="11" t="s">
        <v>3913</v>
      </c>
      <c r="C2166" s="50" t="s">
        <v>4774</v>
      </c>
      <c r="G2166" s="89"/>
      <c r="H2166" s="2">
        <v>2100</v>
      </c>
      <c r="I2166" s="88">
        <f t="shared" si="139"/>
        <v>27726.55</v>
      </c>
      <c r="L2166" s="2">
        <f t="shared" si="140"/>
        <v>8.4</v>
      </c>
    </row>
    <row r="2167" spans="1:12" x14ac:dyDescent="0.3">
      <c r="A2167" s="3">
        <v>45415</v>
      </c>
      <c r="B2167" s="11" t="s">
        <v>1250</v>
      </c>
      <c r="C2167" s="50" t="s">
        <v>2443</v>
      </c>
      <c r="G2167" s="89" t="s">
        <v>4773</v>
      </c>
      <c r="I2167" s="88">
        <f t="shared" si="139"/>
        <v>29426.55</v>
      </c>
      <c r="L2167" s="2">
        <f t="shared" si="140"/>
        <v>6.8</v>
      </c>
    </row>
    <row r="2168" spans="1:12" x14ac:dyDescent="0.3">
      <c r="A2168" s="3">
        <v>45415</v>
      </c>
      <c r="B2168" s="11" t="s">
        <v>4776</v>
      </c>
      <c r="C2168" s="50" t="s">
        <v>4777</v>
      </c>
      <c r="E2168" s="90" t="s">
        <v>16</v>
      </c>
      <c r="G2168" s="89"/>
      <c r="H2168" s="2">
        <v>200</v>
      </c>
      <c r="I2168" s="88">
        <f t="shared" si="139"/>
        <v>29226.55</v>
      </c>
      <c r="L2168" s="2">
        <f t="shared" si="140"/>
        <v>25.8</v>
      </c>
    </row>
    <row r="2169" spans="1:12" x14ac:dyDescent="0.3">
      <c r="A2169" s="3">
        <v>45416</v>
      </c>
      <c r="B2169" s="11" t="s">
        <v>4157</v>
      </c>
      <c r="C2169" s="50" t="s">
        <v>4780</v>
      </c>
      <c r="G2169" s="89"/>
      <c r="H2169" s="2">
        <v>5900</v>
      </c>
      <c r="I2169" s="88">
        <f t="shared" si="139"/>
        <v>23326.55</v>
      </c>
      <c r="L2169" s="2">
        <f t="shared" si="140"/>
        <v>20</v>
      </c>
    </row>
    <row r="2170" spans="1:12" x14ac:dyDescent="0.3">
      <c r="A2170" s="3">
        <v>45416</v>
      </c>
      <c r="B2170" s="11" t="s">
        <v>4107</v>
      </c>
      <c r="C2170" s="50" t="s">
        <v>2443</v>
      </c>
      <c r="G2170" s="89" t="s">
        <v>4784</v>
      </c>
      <c r="I2170" s="88">
        <f t="shared" si="139"/>
        <v>25126.55</v>
      </c>
      <c r="L2170" s="2">
        <f t="shared" si="140"/>
        <v>7.2</v>
      </c>
    </row>
    <row r="2171" spans="1:12" x14ac:dyDescent="0.3">
      <c r="A2171" s="3">
        <v>45416</v>
      </c>
      <c r="B2171" s="11" t="s">
        <v>2716</v>
      </c>
      <c r="C2171" s="50" t="s">
        <v>4786</v>
      </c>
      <c r="G2171" s="89"/>
      <c r="H2171" s="2">
        <v>5000</v>
      </c>
      <c r="I2171" s="88">
        <f t="shared" si="139"/>
        <v>20126.55</v>
      </c>
      <c r="L2171" s="2">
        <f t="shared" si="140"/>
        <v>20</v>
      </c>
    </row>
    <row r="2172" spans="1:12" x14ac:dyDescent="0.3">
      <c r="A2172" s="3">
        <v>45416</v>
      </c>
      <c r="B2172" s="11" t="s">
        <v>1250</v>
      </c>
      <c r="C2172" s="50" t="s">
        <v>2727</v>
      </c>
      <c r="G2172" s="89" t="s">
        <v>4785</v>
      </c>
      <c r="I2172" s="88">
        <f t="shared" si="139"/>
        <v>24126.55</v>
      </c>
      <c r="L2172" s="2">
        <f t="shared" si="140"/>
        <v>16</v>
      </c>
    </row>
    <row r="2173" spans="1:12" x14ac:dyDescent="0.3">
      <c r="A2173" s="3">
        <v>45417</v>
      </c>
      <c r="B2173" s="11" t="s">
        <v>4285</v>
      </c>
      <c r="G2173" s="89" t="s">
        <v>4787</v>
      </c>
      <c r="I2173" s="88">
        <f t="shared" si="139"/>
        <v>29126.55</v>
      </c>
      <c r="L2173" s="2">
        <f t="shared" si="140"/>
        <v>20</v>
      </c>
    </row>
    <row r="2174" spans="1:12" x14ac:dyDescent="0.3">
      <c r="A2174" s="3">
        <v>45417</v>
      </c>
      <c r="C2174" s="50" t="s">
        <v>3649</v>
      </c>
      <c r="G2174" s="89"/>
      <c r="H2174" s="2">
        <v>1150</v>
      </c>
      <c r="I2174" s="88">
        <f t="shared" si="139"/>
        <v>27976.55</v>
      </c>
      <c r="L2174" s="2">
        <f t="shared" si="140"/>
        <v>4.6000000000000005</v>
      </c>
    </row>
    <row r="2175" spans="1:12" x14ac:dyDescent="0.3">
      <c r="A2175" s="3">
        <v>45417</v>
      </c>
      <c r="B2175" s="11" t="s">
        <v>4091</v>
      </c>
      <c r="C2175" s="50" t="s">
        <v>4092</v>
      </c>
      <c r="G2175" s="89" t="s">
        <v>4788</v>
      </c>
      <c r="I2175" s="88">
        <f t="shared" si="139"/>
        <v>33476.550000000003</v>
      </c>
      <c r="L2175" s="2">
        <f>IF((G2175+H2179)&lt;=5000,(H2179+G2175)*0.004,20)+IF(E2175="Y",25,0)</f>
        <v>20</v>
      </c>
    </row>
    <row r="2176" spans="1:12" x14ac:dyDescent="0.3">
      <c r="A2176" s="3">
        <v>45417</v>
      </c>
      <c r="B2176" s="11" t="s">
        <v>2689</v>
      </c>
      <c r="C2176" s="50" t="s">
        <v>4789</v>
      </c>
      <c r="G2176" s="89"/>
      <c r="H2176" s="2">
        <v>10000</v>
      </c>
      <c r="I2176" s="88">
        <f t="shared" si="139"/>
        <v>23476.550000000003</v>
      </c>
      <c r="L2176" s="2">
        <f t="shared" ref="L2176:L2207" si="141">IF((G2176+H2176)&lt;=5000,(H2176+G2176)*0.004,20)+IF(E2176="Y",25,0)</f>
        <v>20</v>
      </c>
    </row>
    <row r="2177" spans="1:12" x14ac:dyDescent="0.3">
      <c r="A2177" s="3">
        <v>45418</v>
      </c>
      <c r="B2177" s="11" t="s">
        <v>4652</v>
      </c>
      <c r="C2177" s="50" t="s">
        <v>4790</v>
      </c>
      <c r="G2177" s="89"/>
      <c r="H2177" s="2">
        <v>500</v>
      </c>
      <c r="I2177" s="88">
        <f t="shared" si="139"/>
        <v>22976.550000000003</v>
      </c>
      <c r="L2177" s="2">
        <f t="shared" si="141"/>
        <v>2</v>
      </c>
    </row>
    <row r="2178" spans="1:12" x14ac:dyDescent="0.3">
      <c r="A2178" s="3">
        <v>45419</v>
      </c>
      <c r="B2178" s="11" t="s">
        <v>4795</v>
      </c>
      <c r="G2178" s="89"/>
      <c r="H2178" s="2">
        <v>2000</v>
      </c>
      <c r="I2178" s="88">
        <f t="shared" si="139"/>
        <v>20976.550000000003</v>
      </c>
      <c r="L2178" s="2">
        <f t="shared" si="141"/>
        <v>8</v>
      </c>
    </row>
    <row r="2179" spans="1:12" x14ac:dyDescent="0.3">
      <c r="A2179" s="3">
        <v>45420</v>
      </c>
      <c r="C2179" s="50" t="s">
        <v>2727</v>
      </c>
      <c r="G2179" s="89" t="s">
        <v>4770</v>
      </c>
      <c r="I2179" s="88">
        <f t="shared" si="139"/>
        <v>21976.550000000003</v>
      </c>
      <c r="L2179" s="2">
        <f t="shared" si="141"/>
        <v>4</v>
      </c>
    </row>
    <row r="2180" spans="1:12" x14ac:dyDescent="0.3">
      <c r="A2180" s="3">
        <v>45420</v>
      </c>
      <c r="B2180" s="11" t="s">
        <v>4796</v>
      </c>
      <c r="C2180" s="50" t="s">
        <v>1250</v>
      </c>
      <c r="G2180" s="89"/>
      <c r="H2180" s="2">
        <v>5500</v>
      </c>
      <c r="I2180" s="88">
        <f t="shared" si="139"/>
        <v>16476.550000000003</v>
      </c>
      <c r="L2180" s="2">
        <f t="shared" si="141"/>
        <v>20</v>
      </c>
    </row>
    <row r="2181" spans="1:12" x14ac:dyDescent="0.3">
      <c r="A2181" s="3">
        <v>45420</v>
      </c>
      <c r="B2181" s="11" t="s">
        <v>4792</v>
      </c>
      <c r="C2181" s="50" t="s">
        <v>4793</v>
      </c>
      <c r="E2181" s="90" t="s">
        <v>16</v>
      </c>
      <c r="G2181" s="89"/>
      <c r="H2181" s="2">
        <v>200</v>
      </c>
      <c r="I2181" s="88">
        <f t="shared" si="139"/>
        <v>16276.550000000003</v>
      </c>
      <c r="L2181" s="2">
        <f t="shared" si="141"/>
        <v>25.8</v>
      </c>
    </row>
    <row r="2182" spans="1:12" x14ac:dyDescent="0.3">
      <c r="A2182" s="3">
        <v>45420</v>
      </c>
      <c r="C2182" s="50" t="s">
        <v>3649</v>
      </c>
      <c r="G2182" s="89"/>
      <c r="H2182" s="2">
        <v>12000</v>
      </c>
      <c r="I2182" s="88">
        <f t="shared" si="139"/>
        <v>4276.5500000000029</v>
      </c>
      <c r="L2182" s="2">
        <f t="shared" si="141"/>
        <v>20</v>
      </c>
    </row>
    <row r="2183" spans="1:12" x14ac:dyDescent="0.3">
      <c r="A2183" s="3">
        <v>45421</v>
      </c>
      <c r="B2183" s="11" t="s">
        <v>1160</v>
      </c>
      <c r="G2183" s="89" t="s">
        <v>4797</v>
      </c>
      <c r="I2183" s="88">
        <f t="shared" si="139"/>
        <v>6276.5500000000029</v>
      </c>
      <c r="L2183" s="2">
        <f t="shared" si="141"/>
        <v>8</v>
      </c>
    </row>
    <row r="2184" spans="1:12" x14ac:dyDescent="0.3">
      <c r="A2184" s="3">
        <v>45421</v>
      </c>
      <c r="B2184" s="11" t="s">
        <v>1250</v>
      </c>
      <c r="C2184" s="50" t="s">
        <v>3844</v>
      </c>
      <c r="G2184" s="89" t="s">
        <v>4798</v>
      </c>
      <c r="I2184" s="88">
        <f t="shared" si="139"/>
        <v>12276.550000000003</v>
      </c>
      <c r="L2184" s="2">
        <f t="shared" si="141"/>
        <v>20</v>
      </c>
    </row>
    <row r="2185" spans="1:12" x14ac:dyDescent="0.3">
      <c r="A2185" s="3">
        <v>45421</v>
      </c>
      <c r="B2185" s="11" t="s">
        <v>1250</v>
      </c>
      <c r="C2185" s="50" t="s">
        <v>4799</v>
      </c>
      <c r="G2185" s="89"/>
      <c r="H2185" s="2">
        <v>6000</v>
      </c>
      <c r="I2185" s="88">
        <f t="shared" si="139"/>
        <v>6276.5500000000029</v>
      </c>
      <c r="L2185" s="2">
        <f t="shared" si="141"/>
        <v>20</v>
      </c>
    </row>
    <row r="2186" spans="1:12" s="31" customFormat="1" x14ac:dyDescent="0.3">
      <c r="A2186" s="3">
        <v>45421</v>
      </c>
      <c r="B2186" s="11">
        <v>1818</v>
      </c>
      <c r="C2186" s="106" t="s">
        <v>2347</v>
      </c>
      <c r="D2186" s="106"/>
      <c r="E2186" s="94"/>
      <c r="G2186" s="89"/>
      <c r="H2186" s="31">
        <v>4800</v>
      </c>
      <c r="I2186" s="88">
        <f t="shared" si="139"/>
        <v>1476.5500000000029</v>
      </c>
      <c r="L2186" s="2">
        <f t="shared" si="141"/>
        <v>19.2</v>
      </c>
    </row>
    <row r="2187" spans="1:12" s="31" customFormat="1" x14ac:dyDescent="0.3">
      <c r="A2187" s="3">
        <v>45421</v>
      </c>
      <c r="B2187" s="174" t="s">
        <v>3232</v>
      </c>
      <c r="C2187" s="106" t="s">
        <v>4800</v>
      </c>
      <c r="D2187" s="106">
        <v>8797023406</v>
      </c>
      <c r="E2187" s="94"/>
      <c r="G2187" s="31">
        <v>10000</v>
      </c>
      <c r="I2187" s="88">
        <f t="shared" si="139"/>
        <v>11476.550000000003</v>
      </c>
      <c r="L2187" s="2">
        <f t="shared" si="141"/>
        <v>20</v>
      </c>
    </row>
    <row r="2188" spans="1:12" s="31" customFormat="1" x14ac:dyDescent="0.3">
      <c r="A2188" s="3">
        <v>45421</v>
      </c>
      <c r="B2188" s="174"/>
      <c r="C2188" s="106" t="s">
        <v>3649</v>
      </c>
      <c r="D2188" s="106"/>
      <c r="E2188" s="94"/>
      <c r="H2188" s="31">
        <v>850</v>
      </c>
      <c r="I2188" s="88">
        <f t="shared" si="139"/>
        <v>10626.550000000003</v>
      </c>
      <c r="L2188" s="2">
        <f t="shared" si="141"/>
        <v>3.4</v>
      </c>
    </row>
    <row r="2189" spans="1:12" s="31" customFormat="1" x14ac:dyDescent="0.3">
      <c r="A2189" s="3">
        <v>45422</v>
      </c>
      <c r="B2189" s="174" t="s">
        <v>4801</v>
      </c>
      <c r="C2189" s="106" t="s">
        <v>4802</v>
      </c>
      <c r="D2189" s="106">
        <v>9576592487</v>
      </c>
      <c r="E2189" s="94"/>
      <c r="G2189" s="31">
        <v>5500</v>
      </c>
      <c r="I2189" s="88">
        <f t="shared" si="139"/>
        <v>16126.550000000003</v>
      </c>
      <c r="L2189" s="2">
        <f t="shared" si="141"/>
        <v>20</v>
      </c>
    </row>
    <row r="2190" spans="1:12" s="31" customFormat="1" x14ac:dyDescent="0.3">
      <c r="A2190" s="3">
        <v>45422</v>
      </c>
      <c r="B2190" s="174">
        <v>4164</v>
      </c>
      <c r="C2190" s="106" t="s">
        <v>2289</v>
      </c>
      <c r="D2190" s="106"/>
      <c r="E2190" s="94"/>
      <c r="H2190" s="31">
        <v>5000</v>
      </c>
      <c r="I2190" s="88">
        <f t="shared" si="139"/>
        <v>11126.550000000003</v>
      </c>
      <c r="L2190" s="2">
        <f t="shared" si="141"/>
        <v>20</v>
      </c>
    </row>
    <row r="2191" spans="1:12" s="31" customFormat="1" x14ac:dyDescent="0.3">
      <c r="A2191" s="3">
        <v>45422</v>
      </c>
      <c r="B2191" s="174">
        <v>1818</v>
      </c>
      <c r="C2191" s="106" t="s">
        <v>2347</v>
      </c>
      <c r="D2191" s="106"/>
      <c r="E2191" s="94"/>
      <c r="H2191" s="31">
        <v>1000</v>
      </c>
      <c r="I2191" s="88">
        <f t="shared" si="139"/>
        <v>10126.550000000003</v>
      </c>
      <c r="L2191" s="2">
        <f t="shared" si="141"/>
        <v>4</v>
      </c>
    </row>
    <row r="2192" spans="1:12" s="31" customFormat="1" x14ac:dyDescent="0.3">
      <c r="A2192" s="3">
        <v>45425</v>
      </c>
      <c r="B2192" s="174" t="s">
        <v>1250</v>
      </c>
      <c r="C2192" s="106" t="s">
        <v>179</v>
      </c>
      <c r="D2192" s="106">
        <v>9905899211</v>
      </c>
      <c r="E2192" s="94"/>
      <c r="G2192" s="31">
        <v>10000</v>
      </c>
      <c r="I2192" s="88">
        <f t="shared" si="139"/>
        <v>20126.550000000003</v>
      </c>
      <c r="L2192" s="2">
        <f t="shared" si="141"/>
        <v>20</v>
      </c>
    </row>
    <row r="2193" spans="1:12" s="31" customFormat="1" x14ac:dyDescent="0.3">
      <c r="A2193" s="3">
        <v>45425</v>
      </c>
      <c r="B2193" s="174">
        <v>5402</v>
      </c>
      <c r="C2193" s="106" t="s">
        <v>4813</v>
      </c>
      <c r="D2193" s="106"/>
      <c r="E2193" s="94" t="s">
        <v>16</v>
      </c>
      <c r="H2193" s="31">
        <v>500</v>
      </c>
      <c r="I2193" s="88">
        <f t="shared" si="139"/>
        <v>19626.550000000003</v>
      </c>
      <c r="L2193" s="2">
        <f t="shared" si="141"/>
        <v>27</v>
      </c>
    </row>
    <row r="2194" spans="1:12" s="31" customFormat="1" x14ac:dyDescent="0.3">
      <c r="A2194" s="3">
        <v>45425</v>
      </c>
      <c r="B2194" s="174">
        <v>5403</v>
      </c>
      <c r="C2194" s="106" t="s">
        <v>3698</v>
      </c>
      <c r="D2194" s="106"/>
      <c r="E2194" s="94" t="s">
        <v>16</v>
      </c>
      <c r="H2194" s="31">
        <v>500</v>
      </c>
      <c r="I2194" s="88">
        <f t="shared" si="139"/>
        <v>19126.550000000003</v>
      </c>
      <c r="L2194" s="2">
        <f t="shared" si="141"/>
        <v>27</v>
      </c>
    </row>
    <row r="2195" spans="1:12" s="31" customFormat="1" x14ac:dyDescent="0.3">
      <c r="A2195" s="3">
        <v>45426</v>
      </c>
      <c r="B2195" s="174">
        <v>5403</v>
      </c>
      <c r="C2195" s="65" t="s">
        <v>4808</v>
      </c>
      <c r="D2195" s="106"/>
      <c r="E2195" s="94" t="s">
        <v>16</v>
      </c>
      <c r="H2195" s="31">
        <v>500</v>
      </c>
      <c r="I2195" s="88">
        <f t="shared" si="139"/>
        <v>18626.550000000003</v>
      </c>
      <c r="L2195" s="2">
        <f t="shared" si="141"/>
        <v>27</v>
      </c>
    </row>
    <row r="2196" spans="1:12" s="31" customFormat="1" x14ac:dyDescent="0.3">
      <c r="A2196" s="3">
        <v>45426</v>
      </c>
      <c r="B2196" s="174">
        <v>5403</v>
      </c>
      <c r="C2196" s="65" t="s">
        <v>4822</v>
      </c>
      <c r="D2196" s="106"/>
      <c r="E2196" s="94" t="s">
        <v>16</v>
      </c>
      <c r="H2196" s="31">
        <v>500</v>
      </c>
      <c r="I2196" s="88">
        <f t="shared" si="139"/>
        <v>18126.550000000003</v>
      </c>
      <c r="L2196" s="2">
        <f t="shared" si="141"/>
        <v>27</v>
      </c>
    </row>
    <row r="2197" spans="1:12" s="31" customFormat="1" x14ac:dyDescent="0.3">
      <c r="A2197" s="41">
        <v>45427</v>
      </c>
      <c r="B2197" s="174">
        <v>4164</v>
      </c>
      <c r="C2197" s="106" t="s">
        <v>4812</v>
      </c>
      <c r="D2197" s="106"/>
      <c r="E2197" s="94"/>
      <c r="H2197" s="31">
        <v>4000</v>
      </c>
      <c r="I2197" s="88">
        <f t="shared" si="139"/>
        <v>14126.550000000003</v>
      </c>
      <c r="L2197" s="2">
        <f t="shared" si="141"/>
        <v>16</v>
      </c>
    </row>
    <row r="2198" spans="1:12" s="31" customFormat="1" x14ac:dyDescent="0.3">
      <c r="A2198" s="41">
        <v>45427</v>
      </c>
      <c r="B2198" s="174">
        <v>5406</v>
      </c>
      <c r="C2198" s="106"/>
      <c r="D2198" s="106"/>
      <c r="E2198" s="94" t="s">
        <v>16</v>
      </c>
      <c r="H2198" s="31">
        <v>100</v>
      </c>
      <c r="I2198" s="88">
        <f t="shared" si="139"/>
        <v>14026.550000000003</v>
      </c>
      <c r="L2198" s="2">
        <f t="shared" si="141"/>
        <v>25.4</v>
      </c>
    </row>
    <row r="2199" spans="1:12" s="31" customFormat="1" x14ac:dyDescent="0.3">
      <c r="A2199" s="41">
        <v>45427</v>
      </c>
      <c r="B2199" s="174">
        <v>5376</v>
      </c>
      <c r="C2199" s="106" t="s">
        <v>4790</v>
      </c>
      <c r="D2199" s="106"/>
      <c r="E2199" s="94"/>
      <c r="H2199" s="31">
        <v>1000</v>
      </c>
      <c r="I2199" s="88">
        <f t="shared" si="139"/>
        <v>13026.550000000003</v>
      </c>
      <c r="L2199" s="2">
        <f t="shared" si="141"/>
        <v>4</v>
      </c>
    </row>
    <row r="2200" spans="1:12" s="31" customFormat="1" x14ac:dyDescent="0.3">
      <c r="A2200" s="3">
        <v>45427</v>
      </c>
      <c r="B2200" s="11" t="s">
        <v>4042</v>
      </c>
      <c r="C2200" s="65" t="s">
        <v>52</v>
      </c>
      <c r="D2200" s="106"/>
      <c r="E2200" s="94" t="s">
        <v>16</v>
      </c>
      <c r="H2200" s="31">
        <v>500</v>
      </c>
      <c r="I2200" s="88">
        <f t="shared" si="139"/>
        <v>12526.550000000003</v>
      </c>
      <c r="L2200" s="2">
        <f t="shared" si="141"/>
        <v>27</v>
      </c>
    </row>
    <row r="2201" spans="1:12" s="31" customFormat="1" x14ac:dyDescent="0.3">
      <c r="A2201" s="3">
        <v>45427</v>
      </c>
      <c r="B2201" s="174">
        <v>2528</v>
      </c>
      <c r="C2201" s="106" t="s">
        <v>2577</v>
      </c>
      <c r="D2201" s="106"/>
      <c r="E2201" s="94"/>
      <c r="H2201" s="31">
        <v>2000</v>
      </c>
      <c r="I2201" s="88">
        <f t="shared" si="139"/>
        <v>10526.550000000003</v>
      </c>
      <c r="L2201" s="2">
        <f t="shared" si="141"/>
        <v>8</v>
      </c>
    </row>
    <row r="2202" spans="1:12" s="31" customFormat="1" x14ac:dyDescent="0.3">
      <c r="A2202" s="41">
        <v>45428</v>
      </c>
      <c r="B2202" s="174" t="s">
        <v>1250</v>
      </c>
      <c r="C2202" s="106" t="s">
        <v>4831</v>
      </c>
      <c r="D2202" s="106"/>
      <c r="E2202" s="94"/>
      <c r="G2202" s="31">
        <v>1800</v>
      </c>
      <c r="I2202" s="88">
        <f t="shared" si="139"/>
        <v>12326.550000000003</v>
      </c>
      <c r="L2202" s="2">
        <f t="shared" si="141"/>
        <v>7.2</v>
      </c>
    </row>
    <row r="2203" spans="1:12" s="31" customFormat="1" x14ac:dyDescent="0.3">
      <c r="A2203" s="41">
        <v>45428</v>
      </c>
      <c r="B2203" s="174"/>
      <c r="C2203" s="106"/>
      <c r="D2203" s="106"/>
      <c r="E2203" s="94"/>
      <c r="H2203" s="31">
        <v>1000</v>
      </c>
      <c r="I2203" s="88">
        <f t="shared" si="139"/>
        <v>11326.550000000003</v>
      </c>
      <c r="L2203" s="2">
        <f t="shared" si="141"/>
        <v>4</v>
      </c>
    </row>
    <row r="2204" spans="1:12" s="31" customFormat="1" x14ac:dyDescent="0.3">
      <c r="A2204" s="41">
        <v>45428</v>
      </c>
      <c r="B2204" s="174"/>
      <c r="C2204" s="106" t="s">
        <v>3649</v>
      </c>
      <c r="D2204" s="106"/>
      <c r="E2204" s="94"/>
      <c r="H2204" s="31">
        <v>1100</v>
      </c>
      <c r="I2204" s="88">
        <f t="shared" si="139"/>
        <v>10226.550000000003</v>
      </c>
      <c r="L2204" s="2">
        <f t="shared" si="141"/>
        <v>4.4000000000000004</v>
      </c>
    </row>
    <row r="2205" spans="1:12" s="31" customFormat="1" x14ac:dyDescent="0.3">
      <c r="A2205" s="41">
        <v>45428</v>
      </c>
      <c r="B2205" s="174"/>
      <c r="C2205" s="106" t="s">
        <v>4832</v>
      </c>
      <c r="D2205" s="106"/>
      <c r="E2205" s="94"/>
      <c r="H2205" s="31">
        <v>3000</v>
      </c>
      <c r="I2205" s="88">
        <f t="shared" si="139"/>
        <v>7226.5500000000029</v>
      </c>
      <c r="L2205" s="2">
        <f t="shared" si="141"/>
        <v>12</v>
      </c>
    </row>
    <row r="2206" spans="1:12" s="31" customFormat="1" x14ac:dyDescent="0.3">
      <c r="A2206" s="41">
        <v>45428</v>
      </c>
      <c r="B2206" s="174"/>
      <c r="C2206" s="106" t="s">
        <v>2443</v>
      </c>
      <c r="D2206" s="106"/>
      <c r="E2206" s="94"/>
      <c r="G2206" s="31">
        <v>4250</v>
      </c>
      <c r="I2206" s="88">
        <f t="shared" si="139"/>
        <v>11476.550000000003</v>
      </c>
      <c r="L2206" s="2">
        <f t="shared" si="141"/>
        <v>17</v>
      </c>
    </row>
    <row r="2207" spans="1:12" s="31" customFormat="1" x14ac:dyDescent="0.3">
      <c r="A2207" s="41">
        <v>45428</v>
      </c>
      <c r="B2207" s="174">
        <v>5405</v>
      </c>
      <c r="C2207" s="106"/>
      <c r="D2207" s="106"/>
      <c r="E2207" s="94"/>
      <c r="H2207" s="31">
        <v>1000</v>
      </c>
      <c r="I2207" s="88">
        <f t="shared" si="139"/>
        <v>10476.550000000003</v>
      </c>
      <c r="L2207" s="2">
        <f t="shared" si="141"/>
        <v>4</v>
      </c>
    </row>
    <row r="2208" spans="1:12" s="31" customFormat="1" x14ac:dyDescent="0.3">
      <c r="A2208" s="41">
        <v>45428</v>
      </c>
      <c r="B2208" s="174">
        <v>4810</v>
      </c>
      <c r="C2208" s="106" t="s">
        <v>3920</v>
      </c>
      <c r="D2208" s="106"/>
      <c r="E2208" s="94"/>
      <c r="G2208" s="31">
        <v>6000</v>
      </c>
      <c r="I2208" s="88">
        <f t="shared" si="139"/>
        <v>16476.550000000003</v>
      </c>
      <c r="L2208" s="2">
        <f t="shared" ref="L2208:L2229" si="142">IF((G2208+H2208)&lt;=5000,(H2208+G2208)*0.004,20)+IF(E2208="Y",25,0)</f>
        <v>20</v>
      </c>
    </row>
    <row r="2209" spans="1:12" s="31" customFormat="1" x14ac:dyDescent="0.3">
      <c r="A2209" s="41">
        <v>45429</v>
      </c>
      <c r="B2209" s="174"/>
      <c r="C2209" s="106"/>
      <c r="D2209" s="106"/>
      <c r="E2209" s="94"/>
      <c r="H2209" s="31">
        <v>5000</v>
      </c>
      <c r="I2209" s="88">
        <f t="shared" si="139"/>
        <v>11476.550000000003</v>
      </c>
      <c r="L2209" s="2">
        <f t="shared" si="142"/>
        <v>20</v>
      </c>
    </row>
    <row r="2210" spans="1:12" s="31" customFormat="1" x14ac:dyDescent="0.3">
      <c r="A2210" s="41">
        <v>45521</v>
      </c>
      <c r="B2210" s="174"/>
      <c r="C2210" s="106" t="s">
        <v>3670</v>
      </c>
      <c r="D2210" s="106"/>
      <c r="E2210" s="94"/>
      <c r="G2210" s="31">
        <v>400</v>
      </c>
      <c r="I2210" s="88">
        <f t="shared" si="139"/>
        <v>11876.550000000003</v>
      </c>
      <c r="L2210" s="2">
        <f t="shared" si="142"/>
        <v>1.6</v>
      </c>
    </row>
    <row r="2211" spans="1:12" s="31" customFormat="1" x14ac:dyDescent="0.3">
      <c r="A2211" s="41">
        <v>45521</v>
      </c>
      <c r="B2211" s="174" t="s">
        <v>2241</v>
      </c>
      <c r="C2211" s="106" t="s">
        <v>4834</v>
      </c>
      <c r="D2211" s="106">
        <v>8434686160</v>
      </c>
      <c r="E2211" s="94"/>
      <c r="G2211" s="31">
        <v>1100</v>
      </c>
      <c r="I2211" s="88">
        <f t="shared" si="139"/>
        <v>12976.550000000003</v>
      </c>
      <c r="L2211" s="2">
        <f t="shared" si="142"/>
        <v>4.4000000000000004</v>
      </c>
    </row>
    <row r="2212" spans="1:12" s="31" customFormat="1" x14ac:dyDescent="0.3">
      <c r="A2212" s="41">
        <v>45432</v>
      </c>
      <c r="B2212" s="174"/>
      <c r="C2212" s="106" t="s">
        <v>3169</v>
      </c>
      <c r="D2212" s="106"/>
      <c r="E2212" s="94"/>
      <c r="H2212" s="31">
        <v>2000</v>
      </c>
      <c r="I2212" s="88">
        <f t="shared" si="139"/>
        <v>10976.550000000003</v>
      </c>
      <c r="L2212" s="2">
        <f t="shared" si="142"/>
        <v>8</v>
      </c>
    </row>
    <row r="2213" spans="1:12" s="31" customFormat="1" x14ac:dyDescent="0.3">
      <c r="A2213" s="41">
        <v>45432</v>
      </c>
      <c r="B2213" s="174"/>
      <c r="C2213" s="106" t="s">
        <v>2689</v>
      </c>
      <c r="D2213" s="106"/>
      <c r="E2213" s="94"/>
      <c r="H2213" s="31">
        <v>5000</v>
      </c>
      <c r="I2213" s="88">
        <f t="shared" si="139"/>
        <v>5976.5500000000029</v>
      </c>
      <c r="L2213" s="2">
        <f t="shared" si="142"/>
        <v>20</v>
      </c>
    </row>
    <row r="2214" spans="1:12" s="31" customFormat="1" x14ac:dyDescent="0.3">
      <c r="A2214" s="41">
        <v>45432</v>
      </c>
      <c r="B2214" s="174">
        <v>5408</v>
      </c>
      <c r="C2214" s="106" t="s">
        <v>4837</v>
      </c>
      <c r="D2214" s="106"/>
      <c r="E2214" s="94" t="s">
        <v>16</v>
      </c>
      <c r="H2214" s="31">
        <v>200</v>
      </c>
      <c r="I2214" s="88">
        <f t="shared" si="139"/>
        <v>5776.5500000000029</v>
      </c>
      <c r="L2214" s="2">
        <f t="shared" si="142"/>
        <v>25.8</v>
      </c>
    </row>
    <row r="2215" spans="1:12" s="31" customFormat="1" x14ac:dyDescent="0.3">
      <c r="A2215" s="41">
        <v>45432</v>
      </c>
      <c r="B2215" s="174">
        <v>5409</v>
      </c>
      <c r="C2215" s="106" t="s">
        <v>4844</v>
      </c>
      <c r="D2215" s="106"/>
      <c r="E2215" s="94" t="s">
        <v>16</v>
      </c>
      <c r="H2215" s="31">
        <v>300</v>
      </c>
      <c r="I2215" s="88">
        <f t="shared" si="139"/>
        <v>5476.5500000000029</v>
      </c>
      <c r="L2215" s="2">
        <f t="shared" si="142"/>
        <v>26.2</v>
      </c>
    </row>
    <row r="2216" spans="1:12" s="31" customFormat="1" x14ac:dyDescent="0.3">
      <c r="A2216" s="41">
        <v>45433</v>
      </c>
      <c r="B2216" s="174">
        <v>5410</v>
      </c>
      <c r="C2216" s="106" t="s">
        <v>4848</v>
      </c>
      <c r="D2216" s="106"/>
      <c r="E2216" s="94" t="s">
        <v>16</v>
      </c>
      <c r="H2216" s="31">
        <v>500</v>
      </c>
      <c r="I2216" s="88">
        <f t="shared" si="139"/>
        <v>4976.5500000000029</v>
      </c>
      <c r="L2216" s="2">
        <f t="shared" si="142"/>
        <v>27</v>
      </c>
    </row>
    <row r="2217" spans="1:12" s="31" customFormat="1" x14ac:dyDescent="0.3">
      <c r="A2217" s="41">
        <v>45433</v>
      </c>
      <c r="B2217" s="11" t="s">
        <v>4849</v>
      </c>
      <c r="C2217" s="106" t="s">
        <v>4850</v>
      </c>
      <c r="D2217" s="106"/>
      <c r="E2217" s="94"/>
      <c r="H2217" s="31">
        <v>2500</v>
      </c>
      <c r="I2217" s="88">
        <f t="shared" si="139"/>
        <v>2476.5500000000029</v>
      </c>
      <c r="L2217" s="2">
        <f t="shared" si="142"/>
        <v>10</v>
      </c>
    </row>
    <row r="2218" spans="1:12" s="31" customFormat="1" x14ac:dyDescent="0.3">
      <c r="A2218" s="41">
        <v>45433</v>
      </c>
      <c r="B2218" s="174"/>
      <c r="C2218" s="106" t="s">
        <v>3459</v>
      </c>
      <c r="D2218" s="106"/>
      <c r="E2218" s="94"/>
      <c r="G2218" s="31">
        <v>500</v>
      </c>
      <c r="I2218" s="88">
        <f t="shared" si="139"/>
        <v>2976.5500000000029</v>
      </c>
      <c r="L2218" s="2">
        <f t="shared" si="142"/>
        <v>2</v>
      </c>
    </row>
    <row r="2219" spans="1:12" s="31" customFormat="1" x14ac:dyDescent="0.3">
      <c r="A2219" s="41">
        <v>45434</v>
      </c>
      <c r="B2219" s="174"/>
      <c r="C2219" s="106" t="s">
        <v>4853</v>
      </c>
      <c r="D2219" s="106"/>
      <c r="E2219" s="94"/>
      <c r="G2219" s="31">
        <v>1400</v>
      </c>
      <c r="I2219" s="88">
        <f t="shared" si="139"/>
        <v>4376.5500000000029</v>
      </c>
      <c r="L2219" s="2">
        <f t="shared" si="142"/>
        <v>5.6000000000000005</v>
      </c>
    </row>
    <row r="2220" spans="1:12" s="31" customFormat="1" x14ac:dyDescent="0.3">
      <c r="A2220" s="41">
        <v>45434</v>
      </c>
      <c r="B2220" s="174" t="s">
        <v>4859</v>
      </c>
      <c r="C2220" s="106" t="s">
        <v>4856</v>
      </c>
      <c r="D2220" s="106"/>
      <c r="E2220" s="94" t="s">
        <v>16</v>
      </c>
      <c r="H2220" s="31">
        <v>600</v>
      </c>
      <c r="I2220" s="88">
        <f t="shared" si="139"/>
        <v>3776.5500000000029</v>
      </c>
      <c r="L2220" s="2">
        <f t="shared" si="142"/>
        <v>27.4</v>
      </c>
    </row>
    <row r="2221" spans="1:12" s="31" customFormat="1" x14ac:dyDescent="0.3">
      <c r="A2221" s="41">
        <v>45434</v>
      </c>
      <c r="B2221" s="174" t="s">
        <v>4864</v>
      </c>
      <c r="C2221" s="106" t="s">
        <v>4862</v>
      </c>
      <c r="D2221" s="106"/>
      <c r="E2221" s="94" t="s">
        <v>16</v>
      </c>
      <c r="H2221" s="31">
        <v>200</v>
      </c>
      <c r="I2221" s="88">
        <f t="shared" si="139"/>
        <v>3576.5500000000029</v>
      </c>
      <c r="L2221" s="2">
        <f t="shared" si="142"/>
        <v>25.8</v>
      </c>
    </row>
    <row r="2222" spans="1:12" s="31" customFormat="1" x14ac:dyDescent="0.3">
      <c r="A2222" s="41">
        <v>45434</v>
      </c>
      <c r="B2222" s="174"/>
      <c r="C2222" s="106" t="s">
        <v>3844</v>
      </c>
      <c r="D2222" s="106"/>
      <c r="E2222" s="94"/>
      <c r="G2222" s="31">
        <v>5000</v>
      </c>
      <c r="I2222" s="88">
        <f t="shared" si="139"/>
        <v>8576.5500000000029</v>
      </c>
      <c r="L2222" s="2">
        <f t="shared" si="142"/>
        <v>20</v>
      </c>
    </row>
    <row r="2223" spans="1:12" s="31" customFormat="1" x14ac:dyDescent="0.3">
      <c r="A2223" s="41">
        <v>45434</v>
      </c>
      <c r="B2223" s="174"/>
      <c r="C2223" s="106" t="s">
        <v>3896</v>
      </c>
      <c r="D2223" s="106"/>
      <c r="E2223" s="94"/>
      <c r="H2223" s="31">
        <v>5000</v>
      </c>
      <c r="I2223" s="88">
        <f t="shared" si="139"/>
        <v>3576.5500000000029</v>
      </c>
      <c r="L2223" s="2">
        <f t="shared" si="142"/>
        <v>20</v>
      </c>
    </row>
    <row r="2224" spans="1:12" s="31" customFormat="1" x14ac:dyDescent="0.3">
      <c r="A2224" s="41">
        <v>45434</v>
      </c>
      <c r="B2224" s="174">
        <v>1580</v>
      </c>
      <c r="C2224" s="106" t="s">
        <v>4867</v>
      </c>
      <c r="D2224" s="106"/>
      <c r="E2224" s="94"/>
      <c r="G2224" s="31">
        <v>1000</v>
      </c>
      <c r="I2224" s="88">
        <f t="shared" si="139"/>
        <v>4576.5500000000029</v>
      </c>
      <c r="L2224" s="2">
        <f t="shared" si="142"/>
        <v>4</v>
      </c>
    </row>
    <row r="2225" spans="1:12" s="31" customFormat="1" x14ac:dyDescent="0.3">
      <c r="A2225" s="41">
        <v>45434</v>
      </c>
      <c r="B2225" s="174" t="s">
        <v>2743</v>
      </c>
      <c r="C2225" s="106" t="s">
        <v>4868</v>
      </c>
      <c r="D2225" s="106"/>
      <c r="E2225" s="94"/>
      <c r="G2225" s="31">
        <v>500</v>
      </c>
      <c r="I2225" s="88">
        <f t="shared" si="139"/>
        <v>5076.5500000000029</v>
      </c>
      <c r="L2225" s="2">
        <f t="shared" si="142"/>
        <v>2</v>
      </c>
    </row>
    <row r="2226" spans="1:12" s="31" customFormat="1" x14ac:dyDescent="0.3">
      <c r="A2226" s="41">
        <v>45435</v>
      </c>
      <c r="B2226" s="174" t="s">
        <v>1250</v>
      </c>
      <c r="C2226" s="106" t="s">
        <v>2443</v>
      </c>
      <c r="D2226" s="106"/>
      <c r="E2226" s="94"/>
      <c r="G2226" s="31">
        <v>1850</v>
      </c>
      <c r="I2226" s="88">
        <f t="shared" si="139"/>
        <v>6926.5500000000029</v>
      </c>
      <c r="L2226" s="2">
        <f t="shared" si="142"/>
        <v>7.4</v>
      </c>
    </row>
    <row r="2227" spans="1:12" s="31" customFormat="1" x14ac:dyDescent="0.3">
      <c r="A2227" s="41">
        <v>45435</v>
      </c>
      <c r="B2227" s="174">
        <v>4164</v>
      </c>
      <c r="C2227" s="106" t="s">
        <v>2274</v>
      </c>
      <c r="D2227" s="106"/>
      <c r="E2227" s="94"/>
      <c r="H2227" s="31">
        <v>6000</v>
      </c>
      <c r="I2227" s="88">
        <f t="shared" si="139"/>
        <v>926.55000000000291</v>
      </c>
      <c r="L2227" s="2">
        <f t="shared" si="142"/>
        <v>20</v>
      </c>
    </row>
    <row r="2228" spans="1:12" s="31" customFormat="1" x14ac:dyDescent="0.3">
      <c r="A2228" s="41">
        <v>45435</v>
      </c>
      <c r="B2228" s="174" t="s">
        <v>4879</v>
      </c>
      <c r="C2228" s="106" t="s">
        <v>4877</v>
      </c>
      <c r="D2228" s="106"/>
      <c r="E2228" s="94" t="s">
        <v>16</v>
      </c>
      <c r="H2228" s="31">
        <v>100</v>
      </c>
      <c r="I2228" s="88">
        <f t="shared" si="139"/>
        <v>826.55000000000291</v>
      </c>
      <c r="L2228" s="2">
        <f t="shared" si="142"/>
        <v>25.4</v>
      </c>
    </row>
    <row r="2229" spans="1:12" s="31" customFormat="1" x14ac:dyDescent="0.3">
      <c r="A2229" s="41">
        <v>45436</v>
      </c>
      <c r="B2229" s="174" t="s">
        <v>4880</v>
      </c>
      <c r="C2229" s="106" t="s">
        <v>4874</v>
      </c>
      <c r="D2229" s="106"/>
      <c r="E2229" s="94" t="s">
        <v>16</v>
      </c>
      <c r="H2229" s="31">
        <v>500</v>
      </c>
      <c r="I2229" s="88">
        <f t="shared" si="139"/>
        <v>326.55000000000291</v>
      </c>
      <c r="L2229" s="2">
        <f t="shared" si="142"/>
        <v>27</v>
      </c>
    </row>
    <row r="2230" spans="1:12" s="31" customFormat="1" x14ac:dyDescent="0.3">
      <c r="A2230" s="41">
        <v>45436</v>
      </c>
      <c r="B2230" s="174"/>
      <c r="C2230" s="106" t="s">
        <v>2887</v>
      </c>
      <c r="D2230" s="106"/>
      <c r="E2230" s="94"/>
      <c r="G2230" s="31">
        <v>4000</v>
      </c>
      <c r="I2230" s="88">
        <f t="shared" si="139"/>
        <v>4326.5500000000029</v>
      </c>
      <c r="L2230" s="2"/>
    </row>
    <row r="2231" spans="1:12" s="31" customFormat="1" x14ac:dyDescent="0.3">
      <c r="A2231" s="41">
        <v>45436</v>
      </c>
      <c r="B2231" s="174" t="s">
        <v>3525</v>
      </c>
      <c r="C2231" s="106" t="s">
        <v>4870</v>
      </c>
      <c r="D2231" s="106"/>
      <c r="E2231" s="94"/>
      <c r="H2231" s="31">
        <v>4000</v>
      </c>
      <c r="I2231" s="88">
        <f t="shared" si="139"/>
        <v>326.55000000000291</v>
      </c>
      <c r="L2231" s="2">
        <f t="shared" ref="L2231:L2239" si="143">IF((G2231+H2231)&lt;=5000,(H2231+G2231)*0.004,20)+IF(E2231="Y",25,0)</f>
        <v>16</v>
      </c>
    </row>
    <row r="2232" spans="1:12" s="31" customFormat="1" x14ac:dyDescent="0.3">
      <c r="A2232" s="41">
        <v>45436</v>
      </c>
      <c r="B2232" s="174" t="s">
        <v>1250</v>
      </c>
      <c r="C2232" s="106" t="s">
        <v>4881</v>
      </c>
      <c r="D2232" s="106"/>
      <c r="E2232" s="94"/>
      <c r="G2232" s="31">
        <v>1700</v>
      </c>
      <c r="I2232" s="88">
        <f t="shared" si="139"/>
        <v>2026.5500000000029</v>
      </c>
      <c r="L2232" s="2">
        <f t="shared" si="143"/>
        <v>6.8</v>
      </c>
    </row>
    <row r="2233" spans="1:12" s="31" customFormat="1" x14ac:dyDescent="0.3">
      <c r="A2233" s="41">
        <v>45436</v>
      </c>
      <c r="B2233" s="174" t="s">
        <v>4880</v>
      </c>
      <c r="C2233" s="106" t="s">
        <v>4874</v>
      </c>
      <c r="D2233" s="106"/>
      <c r="E2233" s="94"/>
      <c r="H2233" s="31">
        <v>500</v>
      </c>
      <c r="I2233" s="88">
        <f t="shared" si="139"/>
        <v>1526.5500000000029</v>
      </c>
      <c r="L2233" s="2">
        <f t="shared" si="143"/>
        <v>2</v>
      </c>
    </row>
    <row r="2234" spans="1:12" s="31" customFormat="1" x14ac:dyDescent="0.3">
      <c r="A2234" s="41">
        <v>45802</v>
      </c>
      <c r="B2234" s="174" t="s">
        <v>1160</v>
      </c>
      <c r="C2234" s="106" t="s">
        <v>4885</v>
      </c>
      <c r="D2234" s="106"/>
      <c r="E2234" s="94"/>
      <c r="G2234" s="31">
        <v>3000</v>
      </c>
      <c r="I2234" s="88">
        <f t="shared" si="139"/>
        <v>4526.5500000000029</v>
      </c>
      <c r="L2234" s="2">
        <f t="shared" si="143"/>
        <v>12</v>
      </c>
    </row>
    <row r="2235" spans="1:12" s="31" customFormat="1" x14ac:dyDescent="0.3">
      <c r="A2235" s="41">
        <v>45802</v>
      </c>
      <c r="B2235" s="174" t="s">
        <v>2241</v>
      </c>
      <c r="C2235" s="106" t="s">
        <v>4886</v>
      </c>
      <c r="D2235" s="106"/>
      <c r="E2235" s="94"/>
      <c r="G2235" s="31">
        <v>2000</v>
      </c>
      <c r="I2235" s="88">
        <f t="shared" si="139"/>
        <v>6526.5500000000029</v>
      </c>
      <c r="L2235" s="2">
        <f t="shared" si="143"/>
        <v>8</v>
      </c>
    </row>
    <row r="2236" spans="1:12" s="31" customFormat="1" x14ac:dyDescent="0.3">
      <c r="A2236" s="41">
        <v>45802</v>
      </c>
      <c r="B2236" s="174" t="s">
        <v>1250</v>
      </c>
      <c r="C2236" s="106" t="s">
        <v>2735</v>
      </c>
      <c r="D2236" s="106"/>
      <c r="E2236" s="94"/>
      <c r="H2236" s="31">
        <v>5000</v>
      </c>
      <c r="I2236" s="88">
        <f t="shared" si="139"/>
        <v>1526.5500000000029</v>
      </c>
      <c r="L2236" s="2">
        <f t="shared" si="143"/>
        <v>20</v>
      </c>
    </row>
    <row r="2237" spans="1:12" s="31" customFormat="1" x14ac:dyDescent="0.3">
      <c r="A2237" s="41">
        <v>45439</v>
      </c>
      <c r="B2237" s="174" t="s">
        <v>1472</v>
      </c>
      <c r="C2237" s="106" t="s">
        <v>4888</v>
      </c>
      <c r="D2237" s="106"/>
      <c r="E2237" s="94"/>
      <c r="G2237" s="31">
        <v>3000</v>
      </c>
      <c r="I2237" s="88">
        <f t="shared" si="139"/>
        <v>4526.5500000000029</v>
      </c>
      <c r="L2237" s="2">
        <f t="shared" si="143"/>
        <v>12</v>
      </c>
    </row>
    <row r="2238" spans="1:12" s="31" customFormat="1" x14ac:dyDescent="0.3">
      <c r="A2238" s="41">
        <v>45440</v>
      </c>
      <c r="B2238" s="174" t="s">
        <v>2689</v>
      </c>
      <c r="C2238" s="106" t="s">
        <v>1279</v>
      </c>
      <c r="D2238" s="106"/>
      <c r="E2238" s="94"/>
      <c r="H2238" s="31">
        <v>3000</v>
      </c>
      <c r="I2238" s="88">
        <f t="shared" si="139"/>
        <v>1526.5500000000029</v>
      </c>
      <c r="L2238" s="2">
        <f t="shared" si="143"/>
        <v>12</v>
      </c>
    </row>
    <row r="2239" spans="1:12" s="31" customFormat="1" x14ac:dyDescent="0.3">
      <c r="A2239" s="41">
        <v>45441</v>
      </c>
      <c r="B2239" s="174" t="s">
        <v>2689</v>
      </c>
      <c r="C2239" s="106" t="s">
        <v>1279</v>
      </c>
      <c r="D2239" s="106"/>
      <c r="E2239" s="94"/>
      <c r="H2239" s="31">
        <v>1400</v>
      </c>
      <c r="I2239" s="88">
        <f t="shared" si="139"/>
        <v>126.55000000000291</v>
      </c>
      <c r="L2239" s="2">
        <f t="shared" si="143"/>
        <v>5.6000000000000005</v>
      </c>
    </row>
    <row r="2240" spans="1:12" s="31" customFormat="1" x14ac:dyDescent="0.3">
      <c r="A2240" s="41">
        <v>45442</v>
      </c>
      <c r="B2240" s="174" t="s">
        <v>2241</v>
      </c>
      <c r="C2240" s="106" t="s">
        <v>3519</v>
      </c>
      <c r="D2240" s="106"/>
      <c r="E2240" s="94"/>
      <c r="G2240" s="31">
        <v>10000</v>
      </c>
      <c r="I2240" s="88">
        <f t="shared" si="139"/>
        <v>10126.550000000003</v>
      </c>
      <c r="L2240" s="2"/>
    </row>
    <row r="2241" spans="1:13" s="31" customFormat="1" x14ac:dyDescent="0.3">
      <c r="A2241" s="41">
        <v>45442</v>
      </c>
      <c r="B2241" s="174">
        <v>5416</v>
      </c>
      <c r="C2241" s="106" t="s">
        <v>4893</v>
      </c>
      <c r="D2241" s="106"/>
      <c r="E2241" s="94" t="s">
        <v>16</v>
      </c>
      <c r="H2241" s="31">
        <v>500</v>
      </c>
      <c r="I2241" s="88">
        <f t="shared" si="139"/>
        <v>9626.5500000000029</v>
      </c>
      <c r="L2241" s="2">
        <f t="shared" ref="L2241:L2246" si="144">IF((G2241+H2241)&lt;=5000,(H2241+G2241)*0.004,20)+IF(E2241="Y",25,0)</f>
        <v>27</v>
      </c>
    </row>
    <row r="2242" spans="1:13" s="31" customFormat="1" x14ac:dyDescent="0.3">
      <c r="A2242" s="41">
        <v>45442</v>
      </c>
      <c r="B2242" s="174">
        <v>665</v>
      </c>
      <c r="C2242" s="106" t="s">
        <v>4894</v>
      </c>
      <c r="D2242" s="106"/>
      <c r="E2242" s="94"/>
      <c r="H2242" s="31">
        <v>500</v>
      </c>
      <c r="I2242" s="88">
        <f t="shared" si="139"/>
        <v>9126.5500000000029</v>
      </c>
      <c r="L2242" s="2">
        <f t="shared" si="144"/>
        <v>2</v>
      </c>
    </row>
    <row r="2243" spans="1:13" s="31" customFormat="1" x14ac:dyDescent="0.3">
      <c r="A2243" s="41">
        <v>45442</v>
      </c>
      <c r="B2243" s="174">
        <v>504</v>
      </c>
      <c r="C2243" s="106" t="s">
        <v>3088</v>
      </c>
      <c r="D2243" s="106"/>
      <c r="E2243" s="94"/>
      <c r="H2243" s="31">
        <v>2500</v>
      </c>
      <c r="I2243" s="88">
        <f t="shared" si="139"/>
        <v>6626.5500000000029</v>
      </c>
      <c r="L2243" s="2">
        <f t="shared" si="144"/>
        <v>10</v>
      </c>
    </row>
    <row r="2244" spans="1:13" s="31" customFormat="1" x14ac:dyDescent="0.3">
      <c r="A2244" s="41">
        <v>45443</v>
      </c>
      <c r="B2244" s="174">
        <v>5417</v>
      </c>
      <c r="C2244" s="106" t="s">
        <v>819</v>
      </c>
      <c r="D2244" s="106"/>
      <c r="E2244" s="94" t="s">
        <v>16</v>
      </c>
      <c r="H2244" s="31">
        <v>100</v>
      </c>
      <c r="I2244" s="88">
        <f t="shared" si="139"/>
        <v>6526.5500000000029</v>
      </c>
      <c r="L2244" s="2">
        <f t="shared" si="144"/>
        <v>25.4</v>
      </c>
    </row>
    <row r="2245" spans="1:13" s="31" customFormat="1" x14ac:dyDescent="0.3">
      <c r="A2245" s="41">
        <v>45443</v>
      </c>
      <c r="B2245" s="174">
        <v>5418</v>
      </c>
      <c r="C2245" s="106" t="s">
        <v>4900</v>
      </c>
      <c r="D2245" s="106"/>
      <c r="E2245" s="94" t="s">
        <v>16</v>
      </c>
      <c r="H2245" s="31">
        <v>100</v>
      </c>
      <c r="I2245" s="88">
        <f t="shared" si="139"/>
        <v>6426.5500000000029</v>
      </c>
      <c r="L2245" s="2">
        <f t="shared" si="144"/>
        <v>25.4</v>
      </c>
    </row>
    <row r="2246" spans="1:13" s="31" customFormat="1" x14ac:dyDescent="0.3">
      <c r="A2246" s="41">
        <v>45443</v>
      </c>
      <c r="B2246" s="174">
        <v>5419</v>
      </c>
      <c r="C2246" s="65" t="s">
        <v>4903</v>
      </c>
      <c r="D2246" s="106"/>
      <c r="E2246" s="94" t="s">
        <v>16</v>
      </c>
      <c r="H2246" s="31">
        <v>500</v>
      </c>
      <c r="I2246" s="88">
        <f t="shared" si="139"/>
        <v>5926.5500000000029</v>
      </c>
      <c r="L2246" s="2">
        <f t="shared" si="144"/>
        <v>27</v>
      </c>
    </row>
    <row r="2247" spans="1:13" x14ac:dyDescent="0.3">
      <c r="A2247" s="77">
        <f>COUNT(A2157:A2246)</f>
        <v>90</v>
      </c>
      <c r="B2247" s="80"/>
      <c r="C2247" s="112"/>
      <c r="D2247" s="112"/>
      <c r="E2247" s="92">
        <f>COUNTIF(E2157:E2246,"Y")</f>
        <v>19</v>
      </c>
      <c r="F2247" s="77">
        <f>G2247+H2247</f>
        <v>208400</v>
      </c>
      <c r="G2247" s="80">
        <f t="shared" ref="G2247:L2247" si="145">SUM(G2157:G2246)</f>
        <v>73000</v>
      </c>
      <c r="H2247" s="80">
        <f t="shared" si="145"/>
        <v>135400</v>
      </c>
      <c r="I2247" s="80">
        <f t="shared" si="145"/>
        <v>1108089.500000003</v>
      </c>
      <c r="J2247" s="80">
        <f t="shared" si="145"/>
        <v>0</v>
      </c>
      <c r="K2247" s="80">
        <f t="shared" si="145"/>
        <v>0</v>
      </c>
      <c r="L2247" s="80">
        <f t="shared" si="145"/>
        <v>1333.8000000000002</v>
      </c>
      <c r="M2247" s="77"/>
    </row>
    <row r="2249" spans="1:13" x14ac:dyDescent="0.3">
      <c r="A2249" s="41">
        <v>45444</v>
      </c>
      <c r="B2249" s="174"/>
      <c r="C2249" s="106" t="s">
        <v>2832</v>
      </c>
      <c r="D2249" s="106"/>
      <c r="E2249" s="94"/>
      <c r="F2249" s="31"/>
      <c r="G2249" s="31">
        <v>5926.55</v>
      </c>
      <c r="H2249" s="31"/>
      <c r="I2249" s="88">
        <f t="shared" ref="I2249:I2322" si="146">I2248+G2249-H2249</f>
        <v>5926.55</v>
      </c>
      <c r="J2249" s="31"/>
      <c r="K2249" s="31"/>
    </row>
    <row r="2250" spans="1:13" x14ac:dyDescent="0.3">
      <c r="A2250" s="41" t="s">
        <v>4906</v>
      </c>
      <c r="B2250" s="174">
        <v>2189</v>
      </c>
      <c r="C2250" s="106" t="s">
        <v>4073</v>
      </c>
      <c r="D2250" s="106"/>
      <c r="E2250" s="94"/>
      <c r="F2250" s="31"/>
      <c r="G2250" s="31">
        <v>10000</v>
      </c>
      <c r="H2250" s="31"/>
      <c r="I2250" s="88">
        <f t="shared" si="146"/>
        <v>15926.55</v>
      </c>
      <c r="J2250" s="31"/>
      <c r="K2250" s="31"/>
      <c r="L2250" s="2">
        <f t="shared" ref="L2250:L2322" si="147">IF((G2250+H2250)&lt;=5000,(H2250+G2250)*0.004,20)+IF(E2250="Y",25,0)</f>
        <v>20</v>
      </c>
    </row>
    <row r="2251" spans="1:13" x14ac:dyDescent="0.3">
      <c r="A2251" s="41" t="s">
        <v>4906</v>
      </c>
      <c r="B2251" s="174" t="s">
        <v>4907</v>
      </c>
      <c r="C2251" s="106"/>
      <c r="D2251" s="106"/>
      <c r="E2251" s="94"/>
      <c r="F2251" s="31"/>
      <c r="G2251" s="31"/>
      <c r="H2251" s="31">
        <v>1500</v>
      </c>
      <c r="I2251" s="88">
        <f t="shared" si="146"/>
        <v>14426.55</v>
      </c>
      <c r="J2251" s="31"/>
      <c r="K2251" s="31"/>
      <c r="L2251" s="2">
        <f t="shared" si="147"/>
        <v>6</v>
      </c>
    </row>
    <row r="2252" spans="1:13" x14ac:dyDescent="0.3">
      <c r="A2252" s="41">
        <v>45447</v>
      </c>
      <c r="B2252" s="174">
        <v>2189</v>
      </c>
      <c r="C2252" s="106" t="s">
        <v>4551</v>
      </c>
      <c r="D2252" s="106"/>
      <c r="E2252" s="94"/>
      <c r="F2252" s="31"/>
      <c r="G2252" s="31">
        <v>5000</v>
      </c>
      <c r="H2252" s="31"/>
      <c r="I2252" s="88">
        <f t="shared" si="146"/>
        <v>19426.55</v>
      </c>
      <c r="J2252" s="31"/>
      <c r="K2252" s="31"/>
      <c r="L2252" s="2">
        <f t="shared" si="147"/>
        <v>20</v>
      </c>
    </row>
    <row r="2253" spans="1:13" x14ac:dyDescent="0.3">
      <c r="A2253" s="41">
        <v>45447</v>
      </c>
      <c r="B2253" s="174" t="s">
        <v>2689</v>
      </c>
      <c r="C2253" s="106" t="s">
        <v>1356</v>
      </c>
      <c r="D2253" s="106"/>
      <c r="E2253" s="94"/>
      <c r="F2253" s="31"/>
      <c r="G2253" s="31"/>
      <c r="H2253" s="31">
        <v>10000</v>
      </c>
      <c r="I2253" s="88">
        <f t="shared" si="146"/>
        <v>9426.5499999999993</v>
      </c>
      <c r="J2253" s="31"/>
      <c r="K2253" s="31"/>
      <c r="L2253" s="2">
        <f t="shared" si="147"/>
        <v>20</v>
      </c>
    </row>
    <row r="2254" spans="1:13" x14ac:dyDescent="0.3">
      <c r="A2254" s="41">
        <v>45449</v>
      </c>
      <c r="B2254" s="174">
        <v>4164</v>
      </c>
      <c r="C2254" s="106" t="s">
        <v>2274</v>
      </c>
      <c r="D2254" s="106"/>
      <c r="E2254" s="94"/>
      <c r="F2254" s="31"/>
      <c r="G2254" s="31"/>
      <c r="H2254" s="31">
        <v>6000</v>
      </c>
      <c r="I2254" s="88">
        <f t="shared" si="146"/>
        <v>3426.5499999999993</v>
      </c>
      <c r="J2254" s="31"/>
      <c r="K2254" s="31"/>
      <c r="L2254" s="2">
        <f t="shared" si="147"/>
        <v>20</v>
      </c>
    </row>
    <row r="2255" spans="1:13" x14ac:dyDescent="0.3">
      <c r="A2255" s="41">
        <v>45449</v>
      </c>
      <c r="B2255" s="174" t="s">
        <v>2678</v>
      </c>
      <c r="C2255" s="106" t="s">
        <v>3088</v>
      </c>
      <c r="D2255" s="106"/>
      <c r="E2255" s="94"/>
      <c r="F2255" s="31"/>
      <c r="G2255" s="31"/>
      <c r="H2255" s="31">
        <v>100</v>
      </c>
      <c r="I2255" s="88">
        <f t="shared" si="146"/>
        <v>3326.5499999999993</v>
      </c>
      <c r="J2255" s="31"/>
      <c r="K2255" s="31"/>
      <c r="L2255" s="2">
        <f t="shared" si="147"/>
        <v>0.4</v>
      </c>
    </row>
    <row r="2256" spans="1:13" x14ac:dyDescent="0.3">
      <c r="A2256" s="41">
        <v>45450</v>
      </c>
      <c r="B2256" s="174"/>
      <c r="C2256" s="106" t="s">
        <v>4911</v>
      </c>
      <c r="D2256" s="106"/>
      <c r="E2256" s="94"/>
      <c r="F2256" s="31"/>
      <c r="G2256" s="31">
        <v>2000</v>
      </c>
      <c r="H2256" s="31"/>
      <c r="I2256" s="88">
        <f t="shared" si="146"/>
        <v>5326.5499999999993</v>
      </c>
      <c r="J2256" s="31"/>
      <c r="K2256" s="31"/>
      <c r="L2256" s="2">
        <f t="shared" si="147"/>
        <v>8</v>
      </c>
    </row>
    <row r="2257" spans="1:12" x14ac:dyDescent="0.3">
      <c r="A2257" s="41">
        <v>45450</v>
      </c>
      <c r="B2257" s="174">
        <v>5422</v>
      </c>
      <c r="C2257" s="106" t="s">
        <v>4913</v>
      </c>
      <c r="D2257" s="106"/>
      <c r="E2257" s="94" t="s">
        <v>14</v>
      </c>
      <c r="F2257" s="31"/>
      <c r="G2257" s="31"/>
      <c r="H2257" s="31">
        <v>200</v>
      </c>
      <c r="I2257" s="88">
        <f t="shared" si="146"/>
        <v>5126.5499999999993</v>
      </c>
      <c r="J2257" s="31"/>
      <c r="K2257" s="31"/>
      <c r="L2257" s="2">
        <f t="shared" si="147"/>
        <v>25.8</v>
      </c>
    </row>
    <row r="2258" spans="1:12" x14ac:dyDescent="0.3">
      <c r="A2258" s="41">
        <v>45450</v>
      </c>
      <c r="B2258" s="174" t="s">
        <v>3527</v>
      </c>
      <c r="C2258" s="106" t="s">
        <v>4915</v>
      </c>
      <c r="D2258" s="106"/>
      <c r="E2258" s="94"/>
      <c r="F2258" s="31"/>
      <c r="G2258" s="31"/>
      <c r="H2258" s="31">
        <v>5000</v>
      </c>
      <c r="I2258" s="88">
        <f t="shared" si="146"/>
        <v>126.54999999999927</v>
      </c>
      <c r="J2258" s="31"/>
      <c r="K2258" s="31"/>
      <c r="L2258" s="2">
        <f t="shared" si="147"/>
        <v>20</v>
      </c>
    </row>
    <row r="2259" spans="1:12" x14ac:dyDescent="0.3">
      <c r="A2259" s="41">
        <v>45450</v>
      </c>
      <c r="B2259" s="174" t="s">
        <v>1160</v>
      </c>
      <c r="C2259" s="106" t="s">
        <v>3513</v>
      </c>
      <c r="D2259" s="106"/>
      <c r="E2259" s="94"/>
      <c r="F2259" s="31"/>
      <c r="G2259" s="31">
        <v>2000</v>
      </c>
      <c r="H2259" s="31"/>
      <c r="I2259" s="88">
        <f t="shared" si="146"/>
        <v>2126.5499999999993</v>
      </c>
      <c r="J2259" s="31"/>
      <c r="K2259" s="31"/>
      <c r="L2259" s="2">
        <f t="shared" si="147"/>
        <v>8</v>
      </c>
    </row>
    <row r="2260" spans="1:12" x14ac:dyDescent="0.3">
      <c r="A2260" s="41">
        <v>45450</v>
      </c>
      <c r="B2260" s="174"/>
      <c r="C2260" s="106" t="s">
        <v>2387</v>
      </c>
      <c r="D2260" s="106"/>
      <c r="E2260" s="94"/>
      <c r="F2260" s="31"/>
      <c r="G2260" s="31">
        <v>1850</v>
      </c>
      <c r="H2260" s="31"/>
      <c r="I2260" s="88">
        <f t="shared" si="146"/>
        <v>3976.5499999999993</v>
      </c>
      <c r="J2260" s="31"/>
      <c r="K2260" s="31"/>
      <c r="L2260" s="2">
        <f t="shared" si="147"/>
        <v>7.4</v>
      </c>
    </row>
    <row r="2261" spans="1:12" x14ac:dyDescent="0.3">
      <c r="A2261" s="41">
        <v>45451</v>
      </c>
      <c r="B2261" s="174">
        <v>4779</v>
      </c>
      <c r="C2261" s="106" t="s">
        <v>4374</v>
      </c>
      <c r="D2261" s="106"/>
      <c r="E2261" s="94"/>
      <c r="F2261" s="31"/>
      <c r="G2261" s="31">
        <v>1200</v>
      </c>
      <c r="H2261" s="31"/>
      <c r="I2261" s="88">
        <f t="shared" si="146"/>
        <v>5176.5499999999993</v>
      </c>
      <c r="J2261" s="31"/>
      <c r="K2261" s="31"/>
      <c r="L2261" s="2">
        <f t="shared" si="147"/>
        <v>4.8</v>
      </c>
    </row>
    <row r="2262" spans="1:12" x14ac:dyDescent="0.3">
      <c r="A2262" s="41">
        <v>45451</v>
      </c>
      <c r="B2262" s="174">
        <v>1818</v>
      </c>
      <c r="C2262" s="106" t="s">
        <v>3035</v>
      </c>
      <c r="D2262" s="106"/>
      <c r="E2262" s="94"/>
      <c r="F2262" s="31"/>
      <c r="G2262" s="31"/>
      <c r="H2262" s="31">
        <v>4800</v>
      </c>
      <c r="I2262" s="88">
        <f t="shared" si="146"/>
        <v>376.54999999999927</v>
      </c>
      <c r="J2262" s="31"/>
      <c r="K2262" s="31"/>
      <c r="L2262" s="2">
        <f t="shared" si="147"/>
        <v>19.2</v>
      </c>
    </row>
    <row r="2263" spans="1:12" x14ac:dyDescent="0.3">
      <c r="A2263" s="41">
        <v>45452</v>
      </c>
      <c r="B2263" s="174" t="s">
        <v>4762</v>
      </c>
      <c r="C2263" s="106" t="s">
        <v>4916</v>
      </c>
      <c r="D2263" s="106"/>
      <c r="E2263" s="94"/>
      <c r="F2263" s="31"/>
      <c r="G2263" s="31">
        <v>2000</v>
      </c>
      <c r="H2263" s="31"/>
      <c r="I2263" s="88">
        <f t="shared" si="146"/>
        <v>2376.5499999999993</v>
      </c>
      <c r="J2263" s="31"/>
      <c r="K2263" s="31"/>
      <c r="L2263" s="2">
        <f t="shared" si="147"/>
        <v>8</v>
      </c>
    </row>
    <row r="2264" spans="1:12" x14ac:dyDescent="0.3">
      <c r="A2264" s="41">
        <v>45453</v>
      </c>
      <c r="B2264" s="174" t="s">
        <v>2241</v>
      </c>
      <c r="C2264" s="106" t="s">
        <v>3975</v>
      </c>
      <c r="D2264" s="106"/>
      <c r="E2264" s="94"/>
      <c r="F2264" s="31"/>
      <c r="G2264" s="31">
        <v>3000</v>
      </c>
      <c r="H2264" s="31"/>
      <c r="I2264" s="88">
        <f t="shared" si="146"/>
        <v>5376.5499999999993</v>
      </c>
      <c r="J2264" s="31"/>
      <c r="K2264" s="31"/>
      <c r="L2264" s="2">
        <f t="shared" si="147"/>
        <v>12</v>
      </c>
    </row>
    <row r="2265" spans="1:12" x14ac:dyDescent="0.3">
      <c r="A2265" s="41">
        <v>45453</v>
      </c>
      <c r="B2265" s="174">
        <v>4388</v>
      </c>
      <c r="C2265" s="106" t="s">
        <v>2784</v>
      </c>
      <c r="D2265" s="106"/>
      <c r="E2265" s="94"/>
      <c r="F2265" s="31"/>
      <c r="G2265" s="31"/>
      <c r="H2265" s="31">
        <v>500</v>
      </c>
      <c r="I2265" s="88">
        <f t="shared" si="146"/>
        <v>4876.5499999999993</v>
      </c>
      <c r="J2265" s="31"/>
      <c r="K2265" s="31"/>
      <c r="L2265" s="2">
        <f t="shared" si="147"/>
        <v>2</v>
      </c>
    </row>
    <row r="2266" spans="1:12" x14ac:dyDescent="0.3">
      <c r="A2266" s="41">
        <v>45453</v>
      </c>
      <c r="B2266" s="174" t="s">
        <v>2241</v>
      </c>
      <c r="C2266" s="106" t="s">
        <v>4917</v>
      </c>
      <c r="D2266" s="106"/>
      <c r="E2266" s="94"/>
      <c r="F2266" s="31"/>
      <c r="G2266" s="31">
        <v>4000</v>
      </c>
      <c r="H2266" s="31"/>
      <c r="I2266" s="88">
        <f t="shared" si="146"/>
        <v>8876.5499999999993</v>
      </c>
      <c r="J2266" s="31"/>
      <c r="K2266" s="31"/>
      <c r="L2266" s="2">
        <f t="shared" si="147"/>
        <v>16</v>
      </c>
    </row>
    <row r="2267" spans="1:12" x14ac:dyDescent="0.3">
      <c r="A2267" s="41">
        <v>45453</v>
      </c>
      <c r="B2267" s="174">
        <v>4164</v>
      </c>
      <c r="C2267" s="106" t="s">
        <v>2289</v>
      </c>
      <c r="D2267" s="106"/>
      <c r="E2267" s="94"/>
      <c r="F2267" s="31"/>
      <c r="G2267" s="31"/>
      <c r="H2267" s="31">
        <v>8000</v>
      </c>
      <c r="I2267" s="88">
        <f t="shared" si="146"/>
        <v>876.54999999999927</v>
      </c>
      <c r="J2267" s="31"/>
      <c r="K2267" s="31"/>
      <c r="L2267" s="2">
        <f t="shared" si="147"/>
        <v>20</v>
      </c>
    </row>
    <row r="2268" spans="1:12" x14ac:dyDescent="0.3">
      <c r="A2268" s="41">
        <v>45453</v>
      </c>
      <c r="B2268" s="174" t="s">
        <v>2241</v>
      </c>
      <c r="C2268" s="106" t="s">
        <v>2627</v>
      </c>
      <c r="D2268" s="106"/>
      <c r="E2268" s="94"/>
      <c r="F2268" s="31"/>
      <c r="G2268" s="31">
        <v>1000</v>
      </c>
      <c r="H2268" s="31"/>
      <c r="I2268" s="88">
        <f t="shared" si="146"/>
        <v>1876.5499999999993</v>
      </c>
      <c r="J2268" s="31"/>
      <c r="K2268" s="31"/>
      <c r="L2268" s="2">
        <f t="shared" si="147"/>
        <v>4</v>
      </c>
    </row>
    <row r="2269" spans="1:12" x14ac:dyDescent="0.3">
      <c r="A2269" s="41">
        <v>45454</v>
      </c>
      <c r="B2269" s="174" t="s">
        <v>1250</v>
      </c>
      <c r="C2269" s="106" t="s">
        <v>2387</v>
      </c>
      <c r="D2269" s="106"/>
      <c r="E2269" s="94"/>
      <c r="F2269" s="31"/>
      <c r="G2269" s="31">
        <v>4500</v>
      </c>
      <c r="H2269" s="31"/>
      <c r="I2269" s="88">
        <f t="shared" si="146"/>
        <v>6376.5499999999993</v>
      </c>
      <c r="J2269" s="31"/>
      <c r="K2269" s="31"/>
      <c r="L2269" s="2">
        <f t="shared" si="147"/>
        <v>18</v>
      </c>
    </row>
    <row r="2270" spans="1:12" x14ac:dyDescent="0.3">
      <c r="A2270" s="41">
        <v>45454</v>
      </c>
      <c r="B2270" s="174">
        <v>4164</v>
      </c>
      <c r="C2270" s="106" t="s">
        <v>2289</v>
      </c>
      <c r="D2270" s="106"/>
      <c r="E2270" s="94"/>
      <c r="F2270" s="31"/>
      <c r="G2270" s="31"/>
      <c r="H2270" s="31">
        <v>6000</v>
      </c>
      <c r="I2270" s="88">
        <f t="shared" si="146"/>
        <v>376.54999999999927</v>
      </c>
      <c r="J2270" s="31"/>
      <c r="K2270" s="31"/>
      <c r="L2270" s="2">
        <f t="shared" si="147"/>
        <v>20</v>
      </c>
    </row>
    <row r="2271" spans="1:12" x14ac:dyDescent="0.3">
      <c r="A2271" s="41">
        <v>45454</v>
      </c>
      <c r="B2271" s="174">
        <v>5426</v>
      </c>
      <c r="C2271" s="65" t="s">
        <v>4921</v>
      </c>
      <c r="D2271" s="106"/>
      <c r="E2271" s="94"/>
      <c r="F2271" s="31"/>
      <c r="G2271" s="31"/>
      <c r="H2271" s="31">
        <v>200</v>
      </c>
      <c r="I2271" s="88">
        <f t="shared" si="146"/>
        <v>176.54999999999927</v>
      </c>
      <c r="J2271" s="31"/>
      <c r="K2271" s="31"/>
      <c r="L2271" s="2">
        <f t="shared" si="147"/>
        <v>0.8</v>
      </c>
    </row>
    <row r="2272" spans="1:12" x14ac:dyDescent="0.3">
      <c r="A2272" s="41">
        <v>45455</v>
      </c>
      <c r="B2272" s="174" t="s">
        <v>1250</v>
      </c>
      <c r="C2272" s="106" t="s">
        <v>3077</v>
      </c>
      <c r="D2272" s="106"/>
      <c r="E2272" s="94"/>
      <c r="F2272" s="31"/>
      <c r="G2272" s="31">
        <v>800</v>
      </c>
      <c r="H2272" s="31"/>
      <c r="I2272" s="88">
        <f t="shared" si="146"/>
        <v>976.54999999999927</v>
      </c>
      <c r="J2272" s="31"/>
      <c r="K2272" s="31"/>
      <c r="L2272" s="2">
        <f t="shared" si="147"/>
        <v>3.2</v>
      </c>
    </row>
    <row r="2273" spans="1:12" x14ac:dyDescent="0.3">
      <c r="A2273" s="41">
        <v>45455</v>
      </c>
      <c r="B2273" s="174" t="s">
        <v>1250</v>
      </c>
      <c r="C2273" s="106" t="s">
        <v>2883</v>
      </c>
      <c r="D2273" s="106"/>
      <c r="E2273" s="94"/>
      <c r="F2273" s="31"/>
      <c r="G2273" s="31">
        <v>400</v>
      </c>
      <c r="H2273" s="31"/>
      <c r="I2273" s="88">
        <f t="shared" si="146"/>
        <v>1376.5499999999993</v>
      </c>
      <c r="J2273" s="31"/>
      <c r="K2273" s="31"/>
      <c r="L2273" s="2">
        <f t="shared" si="147"/>
        <v>1.6</v>
      </c>
    </row>
    <row r="2274" spans="1:12" x14ac:dyDescent="0.3">
      <c r="A2274" s="41">
        <v>45455</v>
      </c>
      <c r="B2274" s="174" t="s">
        <v>1250</v>
      </c>
      <c r="C2274" s="106" t="s">
        <v>2883</v>
      </c>
      <c r="D2274" s="106"/>
      <c r="E2274" s="94"/>
      <c r="F2274" s="31"/>
      <c r="G2274" s="31">
        <v>400</v>
      </c>
      <c r="H2274" s="31"/>
      <c r="I2274" s="88">
        <f t="shared" si="146"/>
        <v>1776.5499999999993</v>
      </c>
      <c r="J2274" s="31"/>
      <c r="K2274" s="31"/>
      <c r="L2274" s="2">
        <f t="shared" si="147"/>
        <v>1.6</v>
      </c>
    </row>
    <row r="2275" spans="1:12" x14ac:dyDescent="0.3">
      <c r="A2275" s="41">
        <v>45455</v>
      </c>
      <c r="B2275" s="174" t="s">
        <v>2351</v>
      </c>
      <c r="C2275" s="106" t="s">
        <v>4927</v>
      </c>
      <c r="D2275" s="106">
        <v>7481026838</v>
      </c>
      <c r="E2275" s="94"/>
      <c r="F2275" s="31"/>
      <c r="G2275" s="31">
        <v>5000</v>
      </c>
      <c r="H2275" s="31"/>
      <c r="I2275" s="88">
        <f t="shared" si="146"/>
        <v>6776.5499999999993</v>
      </c>
      <c r="J2275" s="31"/>
      <c r="K2275" s="31"/>
      <c r="L2275" s="2">
        <f t="shared" si="147"/>
        <v>20</v>
      </c>
    </row>
    <row r="2276" spans="1:12" x14ac:dyDescent="0.3">
      <c r="A2276" s="41">
        <v>45455</v>
      </c>
      <c r="B2276" s="174">
        <v>4164</v>
      </c>
      <c r="C2276" s="106" t="s">
        <v>2289</v>
      </c>
      <c r="D2276" s="106"/>
      <c r="E2276" s="94"/>
      <c r="F2276" s="31"/>
      <c r="G2276" s="31"/>
      <c r="H2276" s="31">
        <v>4000</v>
      </c>
      <c r="I2276" s="88">
        <f t="shared" si="146"/>
        <v>2776.5499999999993</v>
      </c>
      <c r="J2276" s="31"/>
      <c r="K2276" s="31"/>
      <c r="L2276" s="2">
        <f t="shared" si="147"/>
        <v>16</v>
      </c>
    </row>
    <row r="2277" spans="1:12" x14ac:dyDescent="0.3">
      <c r="A2277" s="41">
        <v>45455</v>
      </c>
      <c r="B2277" s="11" t="s">
        <v>2689</v>
      </c>
      <c r="C2277" s="106" t="s">
        <v>1279</v>
      </c>
      <c r="D2277" s="106"/>
      <c r="E2277" s="94"/>
      <c r="F2277" s="31"/>
      <c r="G2277" s="31"/>
      <c r="H2277" s="31">
        <v>2000</v>
      </c>
      <c r="I2277" s="88">
        <f t="shared" si="146"/>
        <v>776.54999999999927</v>
      </c>
      <c r="J2277" s="31"/>
      <c r="K2277" s="31"/>
      <c r="L2277" s="2">
        <f t="shared" si="147"/>
        <v>8</v>
      </c>
    </row>
    <row r="2278" spans="1:12" x14ac:dyDescent="0.3">
      <c r="A2278" s="41">
        <v>45455</v>
      </c>
      <c r="B2278" s="174" t="s">
        <v>1250</v>
      </c>
      <c r="C2278" s="106" t="s">
        <v>4662</v>
      </c>
      <c r="D2278" s="106"/>
      <c r="E2278" s="94"/>
      <c r="F2278" s="31"/>
      <c r="G2278" s="31">
        <v>2500</v>
      </c>
      <c r="H2278" s="31"/>
      <c r="I2278" s="88">
        <f t="shared" si="146"/>
        <v>3276.5499999999993</v>
      </c>
      <c r="J2278" s="31"/>
      <c r="K2278" s="31"/>
      <c r="L2278" s="2">
        <f t="shared" si="147"/>
        <v>10</v>
      </c>
    </row>
    <row r="2279" spans="1:12" x14ac:dyDescent="0.3">
      <c r="A2279" s="41">
        <v>45456</v>
      </c>
      <c r="B2279" s="174">
        <v>1512472</v>
      </c>
      <c r="C2279" s="65" t="s">
        <v>4930</v>
      </c>
      <c r="D2279" s="106"/>
      <c r="E2279" s="94" t="s">
        <v>16</v>
      </c>
      <c r="F2279" s="31"/>
      <c r="G2279" s="31"/>
      <c r="H2279" s="31">
        <v>2000</v>
      </c>
      <c r="I2279" s="88">
        <f t="shared" si="146"/>
        <v>1276.5499999999993</v>
      </c>
      <c r="J2279" s="31"/>
      <c r="K2279" s="31"/>
      <c r="L2279" s="2">
        <f t="shared" si="147"/>
        <v>33</v>
      </c>
    </row>
    <row r="2280" spans="1:12" x14ac:dyDescent="0.3">
      <c r="A2280" s="41">
        <v>45458</v>
      </c>
      <c r="B2280" s="174" t="s">
        <v>2351</v>
      </c>
      <c r="C2280" s="65" t="s">
        <v>4937</v>
      </c>
      <c r="D2280" s="106"/>
      <c r="E2280" s="94"/>
      <c r="F2280" s="31"/>
      <c r="G2280" s="31">
        <v>1000</v>
      </c>
      <c r="H2280" s="31"/>
      <c r="I2280" s="88">
        <f t="shared" si="146"/>
        <v>2276.5499999999993</v>
      </c>
      <c r="J2280" s="31"/>
      <c r="K2280" s="31"/>
      <c r="L2280" s="2">
        <f t="shared" si="147"/>
        <v>4</v>
      </c>
    </row>
    <row r="2281" spans="1:12" x14ac:dyDescent="0.3">
      <c r="A2281" s="41">
        <v>45458</v>
      </c>
      <c r="B2281" s="174">
        <v>5376</v>
      </c>
      <c r="C2281" s="106" t="s">
        <v>4938</v>
      </c>
      <c r="D2281" s="106"/>
      <c r="E2281" s="94"/>
      <c r="F2281" s="31"/>
      <c r="G2281" s="31"/>
      <c r="H2281" s="31">
        <v>2000</v>
      </c>
      <c r="I2281" s="88">
        <f t="shared" si="146"/>
        <v>276.54999999999927</v>
      </c>
      <c r="J2281" s="31"/>
      <c r="K2281" s="31"/>
      <c r="L2281" s="2">
        <f t="shared" si="147"/>
        <v>8</v>
      </c>
    </row>
    <row r="2282" spans="1:12" x14ac:dyDescent="0.3">
      <c r="A2282" s="41">
        <v>45458</v>
      </c>
      <c r="B2282" s="174" t="s">
        <v>1250</v>
      </c>
      <c r="C2282" s="65" t="s">
        <v>2387</v>
      </c>
      <c r="D2282" s="106"/>
      <c r="E2282" s="94"/>
      <c r="F2282" s="31"/>
      <c r="G2282" s="31">
        <v>1340</v>
      </c>
      <c r="H2282" s="31"/>
      <c r="I2282" s="88">
        <f t="shared" si="146"/>
        <v>1616.5499999999993</v>
      </c>
      <c r="J2282" s="31"/>
      <c r="K2282" s="31"/>
      <c r="L2282" s="2">
        <f t="shared" si="147"/>
        <v>5.36</v>
      </c>
    </row>
    <row r="2283" spans="1:12" x14ac:dyDescent="0.3">
      <c r="A2283" s="41">
        <v>45461</v>
      </c>
      <c r="B2283" s="174">
        <v>2028</v>
      </c>
      <c r="C2283" s="65" t="s">
        <v>3542</v>
      </c>
      <c r="D2283" s="106"/>
      <c r="E2283" s="94"/>
      <c r="F2283" s="31"/>
      <c r="G2283" s="31">
        <v>1000</v>
      </c>
      <c r="H2283" s="31"/>
      <c r="I2283" s="88">
        <f t="shared" si="146"/>
        <v>2616.5499999999993</v>
      </c>
      <c r="J2283" s="31"/>
      <c r="K2283" s="31"/>
      <c r="L2283" s="2">
        <f t="shared" si="147"/>
        <v>4</v>
      </c>
    </row>
    <row r="2284" spans="1:12" x14ac:dyDescent="0.3">
      <c r="A2284" s="41" t="s">
        <v>4948</v>
      </c>
      <c r="B2284" s="11" t="s">
        <v>4940</v>
      </c>
      <c r="C2284" s="65" t="s">
        <v>4943</v>
      </c>
      <c r="D2284" s="106"/>
      <c r="E2284" s="94" t="s">
        <v>16</v>
      </c>
      <c r="F2284" s="31"/>
      <c r="G2284" s="31"/>
      <c r="H2284" s="31">
        <v>100</v>
      </c>
      <c r="I2284" s="88">
        <f t="shared" si="146"/>
        <v>2516.5499999999993</v>
      </c>
      <c r="J2284" s="31"/>
      <c r="K2284" s="31"/>
      <c r="L2284" s="2">
        <f t="shared" si="147"/>
        <v>25.4</v>
      </c>
    </row>
    <row r="2285" spans="1:12" x14ac:dyDescent="0.3">
      <c r="A2285" s="41" t="s">
        <v>4948</v>
      </c>
      <c r="B2285" s="11" t="s">
        <v>4942</v>
      </c>
      <c r="C2285" s="65" t="s">
        <v>4944</v>
      </c>
      <c r="D2285" s="106"/>
      <c r="E2285" s="94" t="s">
        <v>14</v>
      </c>
      <c r="F2285" s="31"/>
      <c r="G2285" s="31"/>
      <c r="H2285" s="31">
        <v>100</v>
      </c>
      <c r="I2285" s="88">
        <f t="shared" si="146"/>
        <v>2416.5499999999993</v>
      </c>
      <c r="J2285" s="31" t="s">
        <v>4949</v>
      </c>
      <c r="K2285" s="31"/>
      <c r="L2285" s="2">
        <f t="shared" si="147"/>
        <v>25.4</v>
      </c>
    </row>
    <row r="2286" spans="1:12" x14ac:dyDescent="0.3">
      <c r="A2286" s="41">
        <v>45463</v>
      </c>
      <c r="B2286" s="174" t="s">
        <v>2351</v>
      </c>
      <c r="C2286" s="65" t="s">
        <v>4927</v>
      </c>
      <c r="D2286" s="106"/>
      <c r="E2286" s="94"/>
      <c r="F2286" s="31"/>
      <c r="G2286" s="31">
        <v>2200</v>
      </c>
      <c r="H2286" s="31"/>
      <c r="I2286" s="88">
        <f t="shared" si="146"/>
        <v>4616.5499999999993</v>
      </c>
      <c r="J2286" s="31"/>
      <c r="K2286" s="31"/>
      <c r="L2286" s="2">
        <f t="shared" si="147"/>
        <v>8.8000000000000007</v>
      </c>
    </row>
    <row r="2287" spans="1:12" x14ac:dyDescent="0.3">
      <c r="A2287" s="41">
        <v>45464</v>
      </c>
      <c r="B2287" s="11" t="s">
        <v>2241</v>
      </c>
      <c r="C2287" s="65" t="s">
        <v>4950</v>
      </c>
      <c r="D2287" s="106"/>
      <c r="E2287" s="94"/>
      <c r="F2287" s="31"/>
      <c r="G2287" s="31">
        <v>1000</v>
      </c>
      <c r="H2287" s="31"/>
      <c r="I2287" s="88">
        <f t="shared" si="146"/>
        <v>5616.5499999999993</v>
      </c>
      <c r="J2287" s="31"/>
      <c r="K2287" s="31"/>
      <c r="L2287" s="2">
        <f t="shared" si="147"/>
        <v>4</v>
      </c>
    </row>
    <row r="2288" spans="1:12" x14ac:dyDescent="0.3">
      <c r="A2288" s="41">
        <v>45464</v>
      </c>
      <c r="B2288" s="11" t="s">
        <v>2448</v>
      </c>
      <c r="C2288" s="50" t="s">
        <v>2274</v>
      </c>
      <c r="D2288" s="106"/>
      <c r="E2288" s="94"/>
      <c r="F2288" s="31"/>
      <c r="G2288" s="31"/>
      <c r="H2288" s="31">
        <v>5000</v>
      </c>
      <c r="I2288" s="88">
        <f t="shared" si="146"/>
        <v>616.54999999999927</v>
      </c>
      <c r="J2288" s="31"/>
      <c r="K2288" s="31"/>
      <c r="L2288" s="2">
        <f t="shared" si="147"/>
        <v>20</v>
      </c>
    </row>
    <row r="2289" spans="1:12" x14ac:dyDescent="0.3">
      <c r="A2289" s="41">
        <v>45464</v>
      </c>
      <c r="B2289" s="11" t="s">
        <v>4762</v>
      </c>
      <c r="C2289" s="65" t="s">
        <v>4951</v>
      </c>
      <c r="D2289" s="106"/>
      <c r="E2289" s="94"/>
      <c r="F2289" s="31"/>
      <c r="G2289" s="31">
        <v>1500</v>
      </c>
      <c r="H2289" s="31"/>
      <c r="I2289" s="88">
        <f t="shared" si="146"/>
        <v>2116.5499999999993</v>
      </c>
      <c r="J2289" s="31"/>
      <c r="K2289" s="31"/>
      <c r="L2289" s="2">
        <f t="shared" si="147"/>
        <v>6</v>
      </c>
    </row>
    <row r="2290" spans="1:12" x14ac:dyDescent="0.3">
      <c r="A2290" s="41">
        <v>45464</v>
      </c>
      <c r="B2290" s="11" t="s">
        <v>1160</v>
      </c>
      <c r="C2290" s="65" t="s">
        <v>4662</v>
      </c>
      <c r="D2290" s="106"/>
      <c r="E2290" s="94"/>
      <c r="F2290" s="31"/>
      <c r="G2290" s="31">
        <v>1500</v>
      </c>
      <c r="H2290" s="31"/>
      <c r="I2290" s="88">
        <f t="shared" si="146"/>
        <v>3616.5499999999993</v>
      </c>
      <c r="J2290" s="31"/>
      <c r="K2290" s="31"/>
      <c r="L2290" s="2">
        <f t="shared" si="147"/>
        <v>6</v>
      </c>
    </row>
    <row r="2291" spans="1:12" x14ac:dyDescent="0.3">
      <c r="A2291" s="41">
        <v>45464</v>
      </c>
      <c r="B2291" s="11" t="s">
        <v>1160</v>
      </c>
      <c r="C2291" s="65" t="s">
        <v>4952</v>
      </c>
      <c r="D2291" s="106"/>
      <c r="E2291" s="94"/>
      <c r="F2291" s="31"/>
      <c r="G2291" s="31">
        <v>700</v>
      </c>
      <c r="H2291" s="31"/>
      <c r="I2291" s="88">
        <f t="shared" si="146"/>
        <v>4316.5499999999993</v>
      </c>
      <c r="J2291" s="31"/>
      <c r="K2291" s="31"/>
      <c r="L2291" s="2">
        <f t="shared" si="147"/>
        <v>2.8000000000000003</v>
      </c>
    </row>
    <row r="2292" spans="1:12" x14ac:dyDescent="0.3">
      <c r="A2292" s="41">
        <v>45464</v>
      </c>
      <c r="B2292" s="11" t="s">
        <v>1250</v>
      </c>
      <c r="C2292" s="65" t="s">
        <v>2387</v>
      </c>
      <c r="D2292" s="106"/>
      <c r="E2292" s="94"/>
      <c r="F2292" s="31"/>
      <c r="G2292" s="31">
        <v>1500</v>
      </c>
      <c r="H2292" s="31"/>
      <c r="I2292" s="88">
        <f t="shared" si="146"/>
        <v>5816.5499999999993</v>
      </c>
      <c r="J2292" s="31"/>
      <c r="K2292" s="31"/>
      <c r="L2292" s="2">
        <f t="shared" si="147"/>
        <v>6</v>
      </c>
    </row>
    <row r="2293" spans="1:12" x14ac:dyDescent="0.3">
      <c r="A2293" s="41">
        <v>45464</v>
      </c>
      <c r="B2293" s="11" t="s">
        <v>2351</v>
      </c>
      <c r="C2293" s="65" t="s">
        <v>2463</v>
      </c>
      <c r="D2293" s="106"/>
      <c r="E2293" s="94"/>
      <c r="F2293" s="31"/>
      <c r="G2293" s="31">
        <v>2050</v>
      </c>
      <c r="H2293" s="31"/>
      <c r="I2293" s="88">
        <f t="shared" si="146"/>
        <v>7866.5499999999993</v>
      </c>
      <c r="J2293" s="31"/>
      <c r="K2293" s="31"/>
      <c r="L2293" s="2">
        <f t="shared" si="147"/>
        <v>8.1999999999999993</v>
      </c>
    </row>
    <row r="2294" spans="1:12" x14ac:dyDescent="0.3">
      <c r="A2294" s="41">
        <v>45464</v>
      </c>
      <c r="B2294" s="11" t="s">
        <v>2743</v>
      </c>
      <c r="C2294" s="65"/>
      <c r="D2294" s="106"/>
      <c r="E2294" s="94"/>
      <c r="F2294" s="31"/>
      <c r="G2294" s="31">
        <v>4000</v>
      </c>
      <c r="H2294" s="31"/>
      <c r="I2294" s="88">
        <f t="shared" si="146"/>
        <v>11866.55</v>
      </c>
      <c r="J2294" s="31"/>
      <c r="K2294" s="31"/>
      <c r="L2294" s="2">
        <f t="shared" si="147"/>
        <v>16</v>
      </c>
    </row>
    <row r="2295" spans="1:12" x14ac:dyDescent="0.3">
      <c r="A2295" s="41">
        <v>45465</v>
      </c>
      <c r="B2295" s="11" t="s">
        <v>4961</v>
      </c>
      <c r="C2295" s="65" t="s">
        <v>4959</v>
      </c>
      <c r="D2295" s="106"/>
      <c r="E2295" s="94" t="s">
        <v>16</v>
      </c>
      <c r="F2295" s="31"/>
      <c r="G2295" s="31"/>
      <c r="H2295" s="31">
        <v>2000</v>
      </c>
      <c r="I2295" s="88">
        <f t="shared" si="146"/>
        <v>9866.5499999999993</v>
      </c>
      <c r="J2295" s="31"/>
      <c r="K2295" s="31"/>
      <c r="L2295" s="2">
        <f t="shared" si="147"/>
        <v>33</v>
      </c>
    </row>
    <row r="2296" spans="1:12" x14ac:dyDescent="0.3">
      <c r="A2296" s="41">
        <v>45465</v>
      </c>
      <c r="B2296" s="11" t="s">
        <v>1250</v>
      </c>
      <c r="C2296" s="65" t="s">
        <v>2387</v>
      </c>
      <c r="D2296" s="106"/>
      <c r="E2296" s="94"/>
      <c r="F2296" s="31"/>
      <c r="G2296" s="31">
        <v>1400</v>
      </c>
      <c r="H2296" s="31"/>
      <c r="I2296" s="88">
        <f t="shared" si="146"/>
        <v>11266.55</v>
      </c>
      <c r="J2296" s="31"/>
      <c r="K2296" s="31"/>
      <c r="L2296" s="2">
        <f t="shared" si="147"/>
        <v>5.6000000000000005</v>
      </c>
    </row>
    <row r="2297" spans="1:12" x14ac:dyDescent="0.3">
      <c r="A2297" s="41">
        <v>45466</v>
      </c>
      <c r="B2297" s="11" t="s">
        <v>3232</v>
      </c>
      <c r="C2297" s="65" t="s">
        <v>4954</v>
      </c>
      <c r="D2297" s="106"/>
      <c r="E2297" s="94"/>
      <c r="F2297" s="31"/>
      <c r="G2297" s="31">
        <v>2000</v>
      </c>
      <c r="H2297" s="31"/>
      <c r="I2297" s="88">
        <f t="shared" si="146"/>
        <v>13266.55</v>
      </c>
      <c r="J2297" s="31"/>
      <c r="K2297" s="31"/>
      <c r="L2297" s="2">
        <f t="shared" si="147"/>
        <v>8</v>
      </c>
    </row>
    <row r="2298" spans="1:12" x14ac:dyDescent="0.3">
      <c r="A2298" s="41">
        <v>45466</v>
      </c>
      <c r="B2298" s="11" t="s">
        <v>2678</v>
      </c>
      <c r="C2298" s="65" t="s">
        <v>3088</v>
      </c>
      <c r="D2298" s="106"/>
      <c r="E2298" s="94"/>
      <c r="F2298" s="31"/>
      <c r="G2298" s="31"/>
      <c r="H2298" s="31">
        <v>10000</v>
      </c>
      <c r="I2298" s="88">
        <f t="shared" si="146"/>
        <v>3266.5499999999993</v>
      </c>
      <c r="J2298" s="31"/>
      <c r="K2298" s="31"/>
      <c r="L2298" s="2">
        <f t="shared" si="147"/>
        <v>20</v>
      </c>
    </row>
    <row r="2299" spans="1:12" x14ac:dyDescent="0.3">
      <c r="A2299" s="41">
        <v>45466</v>
      </c>
      <c r="B2299" s="11" t="s">
        <v>1160</v>
      </c>
      <c r="C2299" s="65"/>
      <c r="D2299" s="106"/>
      <c r="E2299" s="94"/>
      <c r="F2299" s="31"/>
      <c r="G2299" s="31">
        <v>1500</v>
      </c>
      <c r="H2299" s="31"/>
      <c r="I2299" s="88">
        <f t="shared" si="146"/>
        <v>4766.5499999999993</v>
      </c>
      <c r="J2299" s="31"/>
      <c r="K2299" s="31"/>
      <c r="L2299" s="2">
        <f t="shared" si="147"/>
        <v>6</v>
      </c>
    </row>
    <row r="2300" spans="1:12" x14ac:dyDescent="0.3">
      <c r="A2300" s="41">
        <v>45467</v>
      </c>
      <c r="B2300" s="11" t="s">
        <v>4960</v>
      </c>
      <c r="C2300" s="65" t="s">
        <v>4566</v>
      </c>
      <c r="D2300" s="106"/>
      <c r="E2300" s="94" t="s">
        <v>16</v>
      </c>
      <c r="F2300" s="31"/>
      <c r="G2300" s="31"/>
      <c r="H2300" s="31">
        <v>2100</v>
      </c>
      <c r="I2300" s="88">
        <f t="shared" si="146"/>
        <v>2666.5499999999993</v>
      </c>
      <c r="J2300" s="31"/>
      <c r="K2300" s="31"/>
      <c r="L2300" s="2">
        <f t="shared" si="147"/>
        <v>33.4</v>
      </c>
    </row>
    <row r="2301" spans="1:12" x14ac:dyDescent="0.3">
      <c r="A2301" s="41">
        <v>45467</v>
      </c>
      <c r="B2301" s="11" t="s">
        <v>4962</v>
      </c>
      <c r="C2301" s="65" t="s">
        <v>4963</v>
      </c>
      <c r="D2301" s="106"/>
      <c r="E2301" s="94"/>
      <c r="F2301" s="31"/>
      <c r="G2301" s="31">
        <v>2000</v>
      </c>
      <c r="H2301" s="31"/>
      <c r="I2301" s="88">
        <f t="shared" si="146"/>
        <v>4666.5499999999993</v>
      </c>
      <c r="J2301" s="31"/>
      <c r="K2301" s="31"/>
      <c r="L2301" s="2">
        <f t="shared" si="147"/>
        <v>8</v>
      </c>
    </row>
    <row r="2302" spans="1:12" x14ac:dyDescent="0.3">
      <c r="A2302" s="41">
        <v>45467</v>
      </c>
      <c r="B2302" s="11" t="s">
        <v>4965</v>
      </c>
      <c r="C2302" s="65" t="s">
        <v>4969</v>
      </c>
      <c r="D2302" s="106"/>
      <c r="E2302" s="94" t="s">
        <v>16</v>
      </c>
      <c r="F2302" s="31"/>
      <c r="G2302" s="31"/>
      <c r="H2302" s="31">
        <v>100</v>
      </c>
      <c r="I2302" s="88">
        <f t="shared" si="146"/>
        <v>4566.5499999999993</v>
      </c>
      <c r="J2302" s="31"/>
      <c r="K2302" s="31"/>
      <c r="L2302" s="2">
        <f t="shared" si="147"/>
        <v>25.4</v>
      </c>
    </row>
    <row r="2303" spans="1:12" x14ac:dyDescent="0.3">
      <c r="A2303" s="41">
        <v>45467</v>
      </c>
      <c r="B2303" s="11" t="s">
        <v>1250</v>
      </c>
      <c r="C2303" s="65" t="s">
        <v>179</v>
      </c>
      <c r="D2303" s="106"/>
      <c r="E2303" s="94"/>
      <c r="F2303" s="31"/>
      <c r="G2303" s="31">
        <v>8000</v>
      </c>
      <c r="H2303" s="31"/>
      <c r="I2303" s="88">
        <f t="shared" si="146"/>
        <v>12566.55</v>
      </c>
      <c r="J2303" s="31"/>
      <c r="K2303" s="31"/>
      <c r="L2303" s="2">
        <f t="shared" si="147"/>
        <v>20</v>
      </c>
    </row>
    <row r="2304" spans="1:12" x14ac:dyDescent="0.3">
      <c r="A2304" s="41">
        <v>45467</v>
      </c>
      <c r="B2304" s="11" t="s">
        <v>1250</v>
      </c>
      <c r="C2304" s="65" t="s">
        <v>4092</v>
      </c>
      <c r="D2304" s="106"/>
      <c r="E2304" s="94"/>
      <c r="F2304" s="31"/>
      <c r="G2304" s="31">
        <v>500</v>
      </c>
      <c r="H2304" s="31"/>
      <c r="I2304" s="88">
        <f t="shared" si="146"/>
        <v>13066.55</v>
      </c>
      <c r="J2304" s="31"/>
      <c r="K2304" s="31"/>
      <c r="L2304" s="2">
        <f t="shared" si="147"/>
        <v>2</v>
      </c>
    </row>
    <row r="2305" spans="1:12" x14ac:dyDescent="0.3">
      <c r="A2305" s="41">
        <v>45467</v>
      </c>
      <c r="B2305" s="11" t="s">
        <v>4970</v>
      </c>
      <c r="C2305" s="65" t="s">
        <v>4802</v>
      </c>
      <c r="D2305" s="106"/>
      <c r="E2305" s="94"/>
      <c r="F2305" s="31"/>
      <c r="G2305" s="31"/>
      <c r="H2305" s="31">
        <v>10000</v>
      </c>
      <c r="I2305" s="88">
        <f t="shared" si="146"/>
        <v>3066.5499999999993</v>
      </c>
      <c r="J2305" s="31"/>
      <c r="K2305" s="31"/>
      <c r="L2305" s="2">
        <f t="shared" si="147"/>
        <v>20</v>
      </c>
    </row>
    <row r="2306" spans="1:12" x14ac:dyDescent="0.3">
      <c r="A2306" s="41">
        <v>45467</v>
      </c>
      <c r="B2306" s="11" t="s">
        <v>1250</v>
      </c>
      <c r="C2306" s="65" t="s">
        <v>1782</v>
      </c>
      <c r="D2306" s="106"/>
      <c r="E2306" s="94"/>
      <c r="F2306" s="31"/>
      <c r="G2306" s="31">
        <v>500</v>
      </c>
      <c r="H2306" s="31"/>
      <c r="I2306" s="88">
        <f t="shared" si="146"/>
        <v>3566.5499999999993</v>
      </c>
      <c r="J2306" s="31"/>
      <c r="K2306" s="31"/>
      <c r="L2306" s="2">
        <f t="shared" si="147"/>
        <v>2</v>
      </c>
    </row>
    <row r="2307" spans="1:12" x14ac:dyDescent="0.3">
      <c r="A2307" s="41">
        <v>45468</v>
      </c>
      <c r="B2307" s="11" t="s">
        <v>4974</v>
      </c>
      <c r="C2307" s="65" t="s">
        <v>4972</v>
      </c>
      <c r="D2307" s="106"/>
      <c r="E2307" s="94" t="s">
        <v>16</v>
      </c>
      <c r="F2307" s="31"/>
      <c r="G2307" s="31"/>
      <c r="H2307" s="31">
        <v>100</v>
      </c>
      <c r="I2307" s="88">
        <f t="shared" si="146"/>
        <v>3466.5499999999993</v>
      </c>
      <c r="J2307" s="31"/>
      <c r="K2307" s="31"/>
      <c r="L2307" s="2">
        <f t="shared" si="147"/>
        <v>25.4</v>
      </c>
    </row>
    <row r="2308" spans="1:12" x14ac:dyDescent="0.3">
      <c r="A2308" s="41">
        <v>45468</v>
      </c>
      <c r="B2308" s="11" t="s">
        <v>4975</v>
      </c>
      <c r="C2308" s="65" t="s">
        <v>225</v>
      </c>
      <c r="D2308" s="106"/>
      <c r="E2308" s="94"/>
      <c r="F2308" s="31"/>
      <c r="G2308" s="31">
        <v>1500</v>
      </c>
      <c r="H2308" s="31"/>
      <c r="I2308" s="88">
        <f t="shared" si="146"/>
        <v>4966.5499999999993</v>
      </c>
      <c r="J2308" s="31"/>
      <c r="K2308" s="31"/>
      <c r="L2308" s="2">
        <f t="shared" si="147"/>
        <v>6</v>
      </c>
    </row>
    <row r="2309" spans="1:12" x14ac:dyDescent="0.3">
      <c r="A2309" s="41">
        <v>45468</v>
      </c>
      <c r="B2309" s="11" t="s">
        <v>4978</v>
      </c>
      <c r="C2309" s="65" t="s">
        <v>4981</v>
      </c>
      <c r="D2309" s="106"/>
      <c r="E2309" s="94" t="s">
        <v>16</v>
      </c>
      <c r="F2309" s="31"/>
      <c r="G2309" s="31"/>
      <c r="H2309" s="31">
        <v>200</v>
      </c>
      <c r="I2309" s="88">
        <f t="shared" si="146"/>
        <v>4766.5499999999993</v>
      </c>
      <c r="J2309" s="31"/>
      <c r="K2309" s="31"/>
      <c r="L2309" s="2">
        <f t="shared" si="147"/>
        <v>25.8</v>
      </c>
    </row>
    <row r="2310" spans="1:12" x14ac:dyDescent="0.3">
      <c r="A2310" s="41">
        <v>45468</v>
      </c>
      <c r="B2310" s="11" t="s">
        <v>1160</v>
      </c>
      <c r="C2310" s="65" t="s">
        <v>4982</v>
      </c>
      <c r="D2310" s="106"/>
      <c r="E2310" s="94"/>
      <c r="F2310" s="31"/>
      <c r="G2310" s="31">
        <v>1000</v>
      </c>
      <c r="H2310" s="31"/>
      <c r="I2310" s="88">
        <f t="shared" si="146"/>
        <v>5766.5499999999993</v>
      </c>
      <c r="J2310" s="31"/>
      <c r="K2310" s="31"/>
      <c r="L2310" s="2">
        <f t="shared" si="147"/>
        <v>4</v>
      </c>
    </row>
    <row r="2311" spans="1:12" x14ac:dyDescent="0.3">
      <c r="A2311" s="41">
        <v>45469</v>
      </c>
      <c r="B2311" s="11" t="s">
        <v>1250</v>
      </c>
      <c r="C2311" s="65" t="s">
        <v>2387</v>
      </c>
      <c r="D2311" s="106"/>
      <c r="E2311" s="94"/>
      <c r="F2311" s="31"/>
      <c r="G2311" s="31">
        <v>1500</v>
      </c>
      <c r="H2311" s="31"/>
      <c r="I2311" s="88">
        <f t="shared" si="146"/>
        <v>7266.5499999999993</v>
      </c>
      <c r="J2311" s="31"/>
      <c r="K2311" s="31"/>
      <c r="L2311" s="2">
        <f t="shared" si="147"/>
        <v>6</v>
      </c>
    </row>
    <row r="2312" spans="1:12" x14ac:dyDescent="0.3">
      <c r="A2312" s="41">
        <v>45470</v>
      </c>
      <c r="B2312" s="11" t="s">
        <v>4987</v>
      </c>
      <c r="D2312" s="106"/>
      <c r="E2312" s="94" t="s">
        <v>16</v>
      </c>
      <c r="F2312" s="31"/>
      <c r="G2312" s="31"/>
      <c r="H2312" s="31">
        <v>2000</v>
      </c>
      <c r="I2312" s="88">
        <f t="shared" si="146"/>
        <v>5266.5499999999993</v>
      </c>
      <c r="J2312" s="31"/>
      <c r="K2312" s="31"/>
      <c r="L2312" s="2">
        <f t="shared" si="147"/>
        <v>33</v>
      </c>
    </row>
    <row r="2313" spans="1:12" x14ac:dyDescent="0.3">
      <c r="A2313" s="41">
        <v>45470</v>
      </c>
      <c r="B2313" s="11" t="s">
        <v>2689</v>
      </c>
      <c r="C2313" s="65" t="s">
        <v>1279</v>
      </c>
      <c r="D2313" s="106"/>
      <c r="E2313" s="94"/>
      <c r="F2313" s="31"/>
      <c r="G2313" s="31"/>
      <c r="H2313" s="31">
        <v>4500</v>
      </c>
      <c r="I2313" s="88">
        <f t="shared" si="146"/>
        <v>766.54999999999927</v>
      </c>
      <c r="J2313" s="31"/>
      <c r="K2313" s="31"/>
      <c r="L2313" s="2">
        <f t="shared" si="147"/>
        <v>18</v>
      </c>
    </row>
    <row r="2314" spans="1:12" x14ac:dyDescent="0.3">
      <c r="A2314" s="41">
        <v>45471</v>
      </c>
      <c r="B2314" s="11" t="s">
        <v>1250</v>
      </c>
      <c r="C2314" s="65" t="s">
        <v>3670</v>
      </c>
      <c r="D2314" s="106"/>
      <c r="E2314" s="94"/>
      <c r="F2314" s="31"/>
      <c r="G2314" s="31">
        <v>300</v>
      </c>
      <c r="H2314" s="31"/>
      <c r="I2314" s="88">
        <f t="shared" si="146"/>
        <v>1066.5499999999993</v>
      </c>
      <c r="J2314" s="31"/>
      <c r="K2314" s="31"/>
      <c r="L2314" s="2">
        <f t="shared" si="147"/>
        <v>1.2</v>
      </c>
    </row>
    <row r="2315" spans="1:12" x14ac:dyDescent="0.3">
      <c r="A2315" s="41">
        <v>45471</v>
      </c>
      <c r="B2315" s="11" t="s">
        <v>4990</v>
      </c>
      <c r="C2315" s="65" t="s">
        <v>313</v>
      </c>
      <c r="D2315" s="106"/>
      <c r="E2315" s="94" t="s">
        <v>16</v>
      </c>
      <c r="F2315" s="31"/>
      <c r="G2315" s="31"/>
      <c r="H2315" s="31">
        <v>100</v>
      </c>
      <c r="I2315" s="88">
        <f t="shared" si="146"/>
        <v>966.54999999999927</v>
      </c>
      <c r="J2315" s="31"/>
      <c r="K2315" s="31"/>
      <c r="L2315" s="2">
        <f t="shared" si="147"/>
        <v>25.4</v>
      </c>
    </row>
    <row r="2316" spans="1:12" x14ac:dyDescent="0.3">
      <c r="A2316" s="41">
        <v>45471</v>
      </c>
      <c r="B2316" s="11" t="s">
        <v>1250</v>
      </c>
      <c r="C2316" s="65" t="s">
        <v>2387</v>
      </c>
      <c r="D2316" s="106"/>
      <c r="E2316" s="94"/>
      <c r="F2316" s="31"/>
      <c r="G2316" s="31">
        <v>2450</v>
      </c>
      <c r="H2316" s="31"/>
      <c r="I2316" s="88">
        <f t="shared" si="146"/>
        <v>3416.5499999999993</v>
      </c>
      <c r="J2316" s="31"/>
      <c r="K2316" s="31"/>
      <c r="L2316" s="2">
        <f t="shared" si="147"/>
        <v>9.8000000000000007</v>
      </c>
    </row>
    <row r="2317" spans="1:12" x14ac:dyDescent="0.3">
      <c r="A2317" s="41">
        <v>45471</v>
      </c>
      <c r="B2317" s="11" t="s">
        <v>4996</v>
      </c>
      <c r="C2317" s="65" t="s">
        <v>4994</v>
      </c>
      <c r="D2317" s="106"/>
      <c r="E2317" s="94" t="s">
        <v>16</v>
      </c>
      <c r="F2317" s="31"/>
      <c r="G2317" s="31"/>
      <c r="H2317" s="31">
        <v>2000</v>
      </c>
      <c r="I2317" s="88">
        <f t="shared" si="146"/>
        <v>1416.5499999999993</v>
      </c>
      <c r="J2317" s="31"/>
      <c r="K2317" s="31"/>
      <c r="L2317" s="2">
        <f t="shared" si="147"/>
        <v>33</v>
      </c>
    </row>
    <row r="2318" spans="1:12" x14ac:dyDescent="0.3">
      <c r="A2318" s="41">
        <v>45471</v>
      </c>
      <c r="B2318" s="11" t="s">
        <v>1160</v>
      </c>
      <c r="C2318" s="65" t="s">
        <v>3370</v>
      </c>
      <c r="D2318" s="106"/>
      <c r="E2318" s="94"/>
      <c r="F2318" s="31"/>
      <c r="G2318" s="31"/>
      <c r="H2318" s="31">
        <v>1000</v>
      </c>
      <c r="I2318" s="88">
        <f t="shared" si="146"/>
        <v>416.54999999999927</v>
      </c>
      <c r="J2318" s="31"/>
      <c r="K2318" s="31"/>
      <c r="L2318" s="2">
        <f t="shared" si="147"/>
        <v>4</v>
      </c>
    </row>
    <row r="2319" spans="1:12" x14ac:dyDescent="0.3">
      <c r="A2319" s="41">
        <v>45471</v>
      </c>
      <c r="B2319" s="11" t="s">
        <v>1160</v>
      </c>
      <c r="C2319" s="65" t="s">
        <v>1160</v>
      </c>
      <c r="D2319" s="106"/>
      <c r="E2319" s="94"/>
      <c r="F2319" s="31"/>
      <c r="G2319" s="31">
        <v>1000</v>
      </c>
      <c r="H2319" s="31"/>
      <c r="I2319" s="88">
        <f t="shared" si="146"/>
        <v>1416.5499999999993</v>
      </c>
      <c r="J2319" s="31"/>
      <c r="K2319" s="31"/>
      <c r="L2319" s="2">
        <f t="shared" si="147"/>
        <v>4</v>
      </c>
    </row>
    <row r="2320" spans="1:12" x14ac:dyDescent="0.3">
      <c r="A2320" s="41">
        <v>45472</v>
      </c>
      <c r="C2320" s="65" t="s">
        <v>2887</v>
      </c>
      <c r="D2320" s="106"/>
      <c r="E2320" s="94"/>
      <c r="F2320" s="31"/>
      <c r="G2320" s="31">
        <v>8000</v>
      </c>
      <c r="H2320" s="31"/>
      <c r="I2320" s="88">
        <f t="shared" si="146"/>
        <v>9416.5499999999993</v>
      </c>
      <c r="J2320" s="31"/>
      <c r="K2320" s="31"/>
      <c r="L2320" s="2">
        <v>0</v>
      </c>
    </row>
    <row r="2321" spans="1:12" x14ac:dyDescent="0.3">
      <c r="A2321" s="41">
        <v>45472</v>
      </c>
      <c r="B2321" s="11" t="s">
        <v>5001</v>
      </c>
      <c r="C2321" s="50" t="s">
        <v>4997</v>
      </c>
      <c r="D2321" s="106"/>
      <c r="E2321" s="94"/>
      <c r="F2321" s="31"/>
      <c r="G2321" s="31"/>
      <c r="H2321" s="31">
        <v>6000</v>
      </c>
      <c r="I2321" s="88">
        <f t="shared" si="146"/>
        <v>3416.5499999999993</v>
      </c>
      <c r="J2321" s="31"/>
      <c r="K2321" s="31"/>
      <c r="L2321" s="2">
        <f t="shared" si="147"/>
        <v>20</v>
      </c>
    </row>
    <row r="2322" spans="1:12" x14ac:dyDescent="0.3">
      <c r="A2322" s="41">
        <v>45472</v>
      </c>
      <c r="B2322" s="11" t="s">
        <v>1250</v>
      </c>
      <c r="C2322" s="65" t="s">
        <v>3658</v>
      </c>
      <c r="D2322" s="106"/>
      <c r="E2322" s="94"/>
      <c r="F2322" s="31"/>
      <c r="G2322" s="31">
        <v>4000</v>
      </c>
      <c r="H2322" s="31"/>
      <c r="I2322" s="88">
        <f t="shared" si="146"/>
        <v>7416.5499999999993</v>
      </c>
      <c r="J2322" s="31"/>
      <c r="K2322" s="31"/>
      <c r="L2322" s="2">
        <f t="shared" si="147"/>
        <v>16</v>
      </c>
    </row>
    <row r="2323" spans="1:12" x14ac:dyDescent="0.3">
      <c r="A2323" s="77">
        <f>COUNT(A2250:A2322)</f>
        <v>69</v>
      </c>
      <c r="B2323" s="80"/>
      <c r="C2323" s="112"/>
      <c r="D2323" s="112"/>
      <c r="E2323" s="92">
        <f>COUNTIF(E2249:E2322,"Y")</f>
        <v>12</v>
      </c>
      <c r="F2323" s="77">
        <f>G2323+H2323</f>
        <v>196690</v>
      </c>
      <c r="G2323" s="80">
        <f>SUM(G2250:G2322)</f>
        <v>99090</v>
      </c>
      <c r="H2323" s="80">
        <f>SUM(H2250:H2322)</f>
        <v>97600</v>
      </c>
      <c r="I2323" s="80"/>
      <c r="J2323" s="80"/>
      <c r="K2323" s="80"/>
      <c r="L2323" s="80">
        <f>SUM(L2250:L2322)</f>
        <v>938.75999999999988</v>
      </c>
    </row>
    <row r="2325" spans="1:12" x14ac:dyDescent="0.3">
      <c r="A2325" s="41">
        <v>45474</v>
      </c>
      <c r="C2325" s="65" t="s">
        <v>2832</v>
      </c>
      <c r="D2325" s="106"/>
      <c r="E2325" s="94"/>
      <c r="F2325" s="31"/>
      <c r="G2325" s="31">
        <v>7416.55</v>
      </c>
      <c r="H2325" s="31"/>
      <c r="I2325" s="88">
        <f t="shared" ref="I2325:I2451" si="148">I2324+G2325-H2325</f>
        <v>7416.55</v>
      </c>
      <c r="J2325" s="31"/>
      <c r="K2325" s="31"/>
    </row>
    <row r="2326" spans="1:12" x14ac:dyDescent="0.3">
      <c r="A2326" s="41">
        <v>45474</v>
      </c>
      <c r="C2326" s="65" t="s">
        <v>4073</v>
      </c>
      <c r="D2326" s="106"/>
      <c r="E2326" s="94"/>
      <c r="F2326" s="31"/>
      <c r="G2326" s="31">
        <v>10000</v>
      </c>
      <c r="H2326" s="31"/>
      <c r="I2326" s="88">
        <f t="shared" si="148"/>
        <v>17416.55</v>
      </c>
      <c r="J2326" s="31"/>
      <c r="K2326" s="31"/>
      <c r="L2326" s="2">
        <f t="shared" ref="L2326:L2453" si="149">IF((G2326+H2326)&lt;=5000,(H2326+G2326)*0.004,20)+IF(E2326="Y",25,0)</f>
        <v>20</v>
      </c>
    </row>
    <row r="2327" spans="1:12" x14ac:dyDescent="0.3">
      <c r="A2327" s="41">
        <v>45474</v>
      </c>
      <c r="C2327" s="65"/>
      <c r="D2327" s="106"/>
      <c r="E2327" s="94"/>
      <c r="F2327" s="31"/>
      <c r="G2327" s="31">
        <v>1000</v>
      </c>
      <c r="H2327" s="31"/>
      <c r="I2327" s="88">
        <f t="shared" si="148"/>
        <v>18416.55</v>
      </c>
      <c r="J2327" s="31"/>
      <c r="K2327" s="31"/>
      <c r="L2327" s="2">
        <f t="shared" si="149"/>
        <v>4</v>
      </c>
    </row>
    <row r="2328" spans="1:12" x14ac:dyDescent="0.3">
      <c r="A2328" s="41">
        <v>45474</v>
      </c>
      <c r="B2328" s="11" t="s">
        <v>5010</v>
      </c>
      <c r="C2328" s="65" t="s">
        <v>5009</v>
      </c>
      <c r="D2328" s="106"/>
      <c r="E2328" s="94" t="s">
        <v>16</v>
      </c>
      <c r="F2328" s="31"/>
      <c r="G2328" s="31"/>
      <c r="H2328" s="31">
        <v>200</v>
      </c>
      <c r="I2328" s="88">
        <f t="shared" si="148"/>
        <v>18216.55</v>
      </c>
      <c r="J2328" s="31"/>
      <c r="K2328" s="31"/>
      <c r="L2328" s="2">
        <f t="shared" si="149"/>
        <v>25.8</v>
      </c>
    </row>
    <row r="2329" spans="1:12" x14ac:dyDescent="0.3">
      <c r="A2329" s="41">
        <v>45474</v>
      </c>
      <c r="B2329" s="11" t="s">
        <v>4975</v>
      </c>
      <c r="C2329" s="50" t="s">
        <v>225</v>
      </c>
      <c r="D2329" s="106"/>
      <c r="E2329" s="94"/>
      <c r="F2329" s="31"/>
      <c r="G2329" s="31">
        <v>2000</v>
      </c>
      <c r="H2329" s="31"/>
      <c r="I2329" s="88">
        <f t="shared" si="148"/>
        <v>20216.55</v>
      </c>
      <c r="J2329" s="31"/>
      <c r="K2329" s="31"/>
      <c r="L2329" s="2">
        <f t="shared" si="149"/>
        <v>8</v>
      </c>
    </row>
    <row r="2330" spans="1:12" x14ac:dyDescent="0.3">
      <c r="A2330" s="41">
        <v>45474</v>
      </c>
      <c r="B2330" s="11" t="s">
        <v>5012</v>
      </c>
      <c r="C2330" s="65" t="s">
        <v>5013</v>
      </c>
      <c r="D2330" s="106"/>
      <c r="E2330" s="94" t="s">
        <v>14</v>
      </c>
      <c r="F2330" s="31"/>
      <c r="G2330" s="31"/>
      <c r="H2330" s="31">
        <v>450</v>
      </c>
      <c r="I2330" s="88">
        <f t="shared" si="148"/>
        <v>19766.55</v>
      </c>
      <c r="J2330" s="31"/>
      <c r="K2330" s="31"/>
      <c r="L2330" s="2">
        <f t="shared" si="149"/>
        <v>26.8</v>
      </c>
    </row>
    <row r="2331" spans="1:12" x14ac:dyDescent="0.3">
      <c r="A2331" s="41">
        <v>45475</v>
      </c>
      <c r="B2331" s="11" t="s">
        <v>2716</v>
      </c>
      <c r="C2331" s="65" t="s">
        <v>1279</v>
      </c>
      <c r="D2331" s="106"/>
      <c r="E2331" s="94"/>
      <c r="F2331" s="31"/>
      <c r="G2331" s="31"/>
      <c r="H2331" s="31">
        <v>10000</v>
      </c>
      <c r="I2331" s="88">
        <f t="shared" si="148"/>
        <v>9766.5499999999993</v>
      </c>
      <c r="J2331" s="31"/>
      <c r="K2331" s="31"/>
      <c r="L2331" s="2">
        <f t="shared" si="149"/>
        <v>20</v>
      </c>
    </row>
    <row r="2332" spans="1:12" x14ac:dyDescent="0.3">
      <c r="A2332" s="41">
        <v>45475</v>
      </c>
      <c r="B2332" s="11" t="s">
        <v>1250</v>
      </c>
      <c r="C2332" s="65" t="s">
        <v>5014</v>
      </c>
      <c r="D2332" s="106"/>
      <c r="E2332" s="94"/>
      <c r="F2332" s="31"/>
      <c r="G2332" s="31">
        <v>4500</v>
      </c>
      <c r="H2332" s="31"/>
      <c r="I2332" s="88">
        <f t="shared" si="148"/>
        <v>14266.55</v>
      </c>
      <c r="J2332" s="31"/>
      <c r="K2332" s="31"/>
      <c r="L2332" s="2">
        <f t="shared" si="149"/>
        <v>18</v>
      </c>
    </row>
    <row r="2333" spans="1:12" x14ac:dyDescent="0.3">
      <c r="A2333" s="41">
        <v>45476</v>
      </c>
      <c r="B2333" s="11" t="s">
        <v>2735</v>
      </c>
      <c r="C2333" s="65" t="s">
        <v>2779</v>
      </c>
      <c r="E2333" s="94"/>
      <c r="F2333" s="31"/>
      <c r="G2333" s="31"/>
      <c r="H2333" s="31">
        <v>1500</v>
      </c>
      <c r="I2333" s="88">
        <f t="shared" si="148"/>
        <v>12766.55</v>
      </c>
      <c r="J2333" s="31"/>
      <c r="K2333" s="31"/>
      <c r="L2333" s="2">
        <f t="shared" si="149"/>
        <v>6</v>
      </c>
    </row>
    <row r="2334" spans="1:12" x14ac:dyDescent="0.3">
      <c r="A2334" s="3">
        <v>45476</v>
      </c>
      <c r="B2334" s="11" t="s">
        <v>5018</v>
      </c>
      <c r="C2334" s="65" t="s">
        <v>5021</v>
      </c>
      <c r="E2334" s="94" t="s">
        <v>16</v>
      </c>
      <c r="F2334" s="31"/>
      <c r="G2334" s="31"/>
      <c r="H2334" s="31">
        <v>200</v>
      </c>
      <c r="I2334" s="88">
        <f t="shared" si="148"/>
        <v>12566.55</v>
      </c>
      <c r="J2334" s="31"/>
      <c r="K2334" s="31"/>
      <c r="L2334" s="2">
        <f t="shared" si="149"/>
        <v>25.8</v>
      </c>
    </row>
    <row r="2335" spans="1:12" x14ac:dyDescent="0.3">
      <c r="A2335" s="3">
        <v>45476</v>
      </c>
      <c r="B2335" s="11" t="s">
        <v>5019</v>
      </c>
      <c r="C2335" s="65" t="s">
        <v>5020</v>
      </c>
      <c r="D2335" s="106"/>
      <c r="E2335" s="94" t="s">
        <v>16</v>
      </c>
      <c r="F2335" s="31"/>
      <c r="G2335" s="31"/>
      <c r="H2335" s="31">
        <v>200</v>
      </c>
      <c r="I2335" s="88">
        <f t="shared" si="148"/>
        <v>12366.55</v>
      </c>
      <c r="J2335" s="31"/>
      <c r="K2335" s="31"/>
      <c r="L2335" s="2">
        <f t="shared" si="149"/>
        <v>25.8</v>
      </c>
    </row>
    <row r="2336" spans="1:12" x14ac:dyDescent="0.3">
      <c r="A2336" s="3">
        <v>45476</v>
      </c>
      <c r="B2336" s="11" t="s">
        <v>1250</v>
      </c>
      <c r="C2336" s="65" t="s">
        <v>5023</v>
      </c>
      <c r="D2336" s="106"/>
      <c r="E2336" s="94"/>
      <c r="F2336" s="31"/>
      <c r="G2336" s="31">
        <v>10000</v>
      </c>
      <c r="H2336" s="31"/>
      <c r="I2336" s="88">
        <f t="shared" si="148"/>
        <v>22366.55</v>
      </c>
      <c r="J2336" s="31"/>
      <c r="K2336" s="31"/>
      <c r="L2336" s="2">
        <f t="shared" si="149"/>
        <v>20</v>
      </c>
    </row>
    <row r="2337" spans="1:12" x14ac:dyDescent="0.3">
      <c r="A2337" s="3">
        <v>45476</v>
      </c>
      <c r="B2337" s="11" t="s">
        <v>5025</v>
      </c>
      <c r="C2337" s="65" t="s">
        <v>5026</v>
      </c>
      <c r="D2337" s="106"/>
      <c r="E2337" s="94" t="s">
        <v>16</v>
      </c>
      <c r="F2337" s="31"/>
      <c r="G2337" s="31"/>
      <c r="H2337" s="31">
        <v>500</v>
      </c>
      <c r="I2337" s="88">
        <f t="shared" si="148"/>
        <v>21866.55</v>
      </c>
      <c r="J2337" s="31"/>
      <c r="K2337" s="31"/>
      <c r="L2337" s="2">
        <f t="shared" si="149"/>
        <v>27</v>
      </c>
    </row>
    <row r="2338" spans="1:12" x14ac:dyDescent="0.3">
      <c r="A2338" s="3">
        <v>45476</v>
      </c>
      <c r="B2338" s="11" t="s">
        <v>1250</v>
      </c>
      <c r="C2338" s="65" t="s">
        <v>2443</v>
      </c>
      <c r="D2338" s="106"/>
      <c r="E2338" s="94"/>
      <c r="F2338" s="31"/>
      <c r="G2338" s="31">
        <v>600</v>
      </c>
      <c r="H2338" s="31"/>
      <c r="I2338" s="88">
        <f t="shared" si="148"/>
        <v>22466.55</v>
      </c>
      <c r="J2338" s="31"/>
      <c r="K2338" s="31"/>
      <c r="L2338" s="2">
        <f t="shared" si="149"/>
        <v>2.4</v>
      </c>
    </row>
    <row r="2339" spans="1:12" x14ac:dyDescent="0.3">
      <c r="A2339" s="41">
        <v>45477</v>
      </c>
      <c r="B2339" s="11" t="s">
        <v>5028</v>
      </c>
      <c r="C2339" s="65" t="s">
        <v>3037</v>
      </c>
      <c r="D2339" s="106"/>
      <c r="E2339" s="94"/>
      <c r="F2339" s="31"/>
      <c r="G2339" s="31">
        <v>4000</v>
      </c>
      <c r="H2339" s="31"/>
      <c r="I2339" s="88">
        <f t="shared" si="148"/>
        <v>26466.55</v>
      </c>
      <c r="J2339" s="31"/>
      <c r="K2339" s="31"/>
      <c r="L2339" s="2">
        <f t="shared" si="149"/>
        <v>16</v>
      </c>
    </row>
    <row r="2340" spans="1:12" x14ac:dyDescent="0.3">
      <c r="A2340" s="41">
        <v>45477</v>
      </c>
      <c r="B2340" s="11" t="s">
        <v>5033</v>
      </c>
      <c r="C2340" s="65" t="s">
        <v>5034</v>
      </c>
      <c r="D2340" s="106"/>
      <c r="E2340" s="94" t="s">
        <v>16</v>
      </c>
      <c r="F2340" s="31"/>
      <c r="G2340" s="31"/>
      <c r="H2340" s="31">
        <v>1500</v>
      </c>
      <c r="I2340" s="88">
        <f t="shared" si="148"/>
        <v>24966.55</v>
      </c>
      <c r="J2340" s="31"/>
      <c r="K2340" s="31"/>
      <c r="L2340" s="2">
        <f t="shared" si="149"/>
        <v>31</v>
      </c>
    </row>
    <row r="2341" spans="1:12" x14ac:dyDescent="0.3">
      <c r="A2341" s="41">
        <v>45477</v>
      </c>
      <c r="B2341" s="11" t="s">
        <v>1160</v>
      </c>
      <c r="C2341" s="65" t="s">
        <v>5032</v>
      </c>
      <c r="D2341" s="106">
        <v>8969184095</v>
      </c>
      <c r="E2341" s="94"/>
      <c r="F2341" s="31"/>
      <c r="G2341" s="31">
        <v>2000</v>
      </c>
      <c r="H2341" s="31"/>
      <c r="I2341" s="88">
        <f t="shared" si="148"/>
        <v>26966.55</v>
      </c>
      <c r="J2341" s="31"/>
      <c r="K2341" s="31"/>
      <c r="L2341" s="2">
        <f t="shared" si="149"/>
        <v>8</v>
      </c>
    </row>
    <row r="2342" spans="1:12" x14ac:dyDescent="0.3">
      <c r="A2342" s="41">
        <v>45477</v>
      </c>
      <c r="B2342" s="11" t="s">
        <v>5036</v>
      </c>
      <c r="C2342" s="65" t="s">
        <v>1279</v>
      </c>
      <c r="D2342" s="106"/>
      <c r="E2342" s="94"/>
      <c r="F2342" s="31"/>
      <c r="G2342" s="31"/>
      <c r="H2342" s="31">
        <v>5000</v>
      </c>
      <c r="I2342" s="88">
        <f t="shared" si="148"/>
        <v>21966.55</v>
      </c>
      <c r="J2342" s="31"/>
      <c r="K2342" s="31"/>
      <c r="L2342" s="2">
        <f t="shared" si="149"/>
        <v>20</v>
      </c>
    </row>
    <row r="2343" spans="1:12" x14ac:dyDescent="0.3">
      <c r="A2343" s="41">
        <v>45477</v>
      </c>
      <c r="B2343" s="11" t="s">
        <v>1250</v>
      </c>
      <c r="C2343" s="65" t="s">
        <v>4852</v>
      </c>
      <c r="D2343" s="106"/>
      <c r="E2343" s="94"/>
      <c r="F2343" s="31"/>
      <c r="G2343" s="31">
        <v>1000</v>
      </c>
      <c r="H2343" s="31"/>
      <c r="I2343" s="88">
        <f t="shared" si="148"/>
        <v>22966.55</v>
      </c>
      <c r="J2343" s="31"/>
      <c r="K2343" s="31"/>
      <c r="L2343" s="2">
        <f t="shared" si="149"/>
        <v>4</v>
      </c>
    </row>
    <row r="2344" spans="1:12" x14ac:dyDescent="0.3">
      <c r="A2344" s="41">
        <v>45477</v>
      </c>
      <c r="B2344" s="11" t="s">
        <v>1250</v>
      </c>
      <c r="C2344" s="65" t="s">
        <v>4073</v>
      </c>
      <c r="D2344" s="106"/>
      <c r="E2344" s="94"/>
      <c r="F2344" s="31"/>
      <c r="G2344" s="31">
        <v>2000</v>
      </c>
      <c r="H2344" s="31"/>
      <c r="I2344" s="88">
        <f t="shared" si="148"/>
        <v>24966.55</v>
      </c>
      <c r="J2344" s="31"/>
      <c r="K2344" s="31"/>
      <c r="L2344" s="2">
        <f t="shared" si="149"/>
        <v>8</v>
      </c>
    </row>
    <row r="2345" spans="1:12" x14ac:dyDescent="0.3">
      <c r="A2345" s="41">
        <v>45478</v>
      </c>
      <c r="B2345" s="11" t="s">
        <v>1250</v>
      </c>
      <c r="C2345" s="65" t="s">
        <v>2190</v>
      </c>
      <c r="D2345" s="106"/>
      <c r="E2345" s="94"/>
      <c r="F2345" s="31"/>
      <c r="G2345" s="31">
        <v>1500</v>
      </c>
      <c r="H2345" s="31"/>
      <c r="I2345" s="88">
        <f t="shared" si="148"/>
        <v>26466.55</v>
      </c>
      <c r="J2345" s="31"/>
      <c r="K2345" s="31"/>
      <c r="L2345" s="2">
        <f t="shared" si="149"/>
        <v>6</v>
      </c>
    </row>
    <row r="2346" spans="1:12" x14ac:dyDescent="0.3">
      <c r="A2346" s="41">
        <v>45478</v>
      </c>
      <c r="B2346" s="11" t="s">
        <v>1250</v>
      </c>
      <c r="C2346" s="65" t="s">
        <v>2348</v>
      </c>
      <c r="D2346" s="106"/>
      <c r="E2346" s="94"/>
      <c r="F2346" s="31"/>
      <c r="G2346" s="31">
        <v>5000</v>
      </c>
      <c r="H2346" s="31"/>
      <c r="I2346" s="88">
        <f t="shared" si="148"/>
        <v>31466.55</v>
      </c>
      <c r="J2346" s="31"/>
      <c r="K2346" s="31"/>
      <c r="L2346" s="2">
        <f t="shared" si="149"/>
        <v>20</v>
      </c>
    </row>
    <row r="2347" spans="1:12" x14ac:dyDescent="0.3">
      <c r="A2347" s="41">
        <v>45478</v>
      </c>
      <c r="B2347" s="11" t="s">
        <v>5042</v>
      </c>
      <c r="C2347" s="65" t="s">
        <v>5040</v>
      </c>
      <c r="D2347" s="106"/>
      <c r="E2347" s="94" t="s">
        <v>16</v>
      </c>
      <c r="F2347" s="31"/>
      <c r="G2347" s="31"/>
      <c r="H2347" s="31">
        <v>300</v>
      </c>
      <c r="I2347" s="88">
        <f t="shared" si="148"/>
        <v>31166.55</v>
      </c>
      <c r="J2347" s="31"/>
      <c r="K2347" s="31"/>
      <c r="L2347" s="2">
        <f t="shared" si="149"/>
        <v>26.2</v>
      </c>
    </row>
    <row r="2348" spans="1:12" x14ac:dyDescent="0.3">
      <c r="A2348" s="41">
        <v>45478</v>
      </c>
      <c r="B2348" s="11" t="s">
        <v>1250</v>
      </c>
      <c r="C2348" s="65" t="s">
        <v>2443</v>
      </c>
      <c r="D2348" s="106"/>
      <c r="E2348" s="94"/>
      <c r="F2348" s="31"/>
      <c r="G2348" s="31">
        <v>2400</v>
      </c>
      <c r="H2348" s="31"/>
      <c r="I2348" s="88">
        <f t="shared" si="148"/>
        <v>33566.550000000003</v>
      </c>
      <c r="J2348" s="31"/>
      <c r="K2348" s="31"/>
      <c r="L2348" s="2">
        <f t="shared" si="149"/>
        <v>9.6</v>
      </c>
    </row>
    <row r="2349" spans="1:12" x14ac:dyDescent="0.3">
      <c r="A2349" s="41">
        <v>45478</v>
      </c>
      <c r="B2349" s="11" t="s">
        <v>1250</v>
      </c>
      <c r="C2349" s="65" t="s">
        <v>5014</v>
      </c>
      <c r="D2349" s="106"/>
      <c r="E2349" s="94"/>
      <c r="F2349" s="31"/>
      <c r="G2349" s="31">
        <v>500</v>
      </c>
      <c r="H2349" s="31"/>
      <c r="I2349" s="88">
        <f t="shared" si="148"/>
        <v>34066.550000000003</v>
      </c>
      <c r="J2349" s="31"/>
      <c r="K2349" s="31"/>
      <c r="L2349" s="2">
        <f t="shared" si="149"/>
        <v>2</v>
      </c>
    </row>
    <row r="2350" spans="1:12" x14ac:dyDescent="0.3">
      <c r="A2350" s="41">
        <v>45479</v>
      </c>
      <c r="B2350" s="11" t="s">
        <v>2689</v>
      </c>
      <c r="C2350" s="65" t="s">
        <v>1279</v>
      </c>
      <c r="D2350" s="106"/>
      <c r="E2350" s="94"/>
      <c r="F2350" s="31"/>
      <c r="G2350" s="31"/>
      <c r="H2350" s="31">
        <v>10000</v>
      </c>
      <c r="I2350" s="88">
        <f t="shared" si="148"/>
        <v>24066.550000000003</v>
      </c>
      <c r="J2350" s="31"/>
      <c r="K2350" s="31"/>
      <c r="L2350" s="2">
        <f t="shared" si="149"/>
        <v>20</v>
      </c>
    </row>
    <row r="2351" spans="1:12" x14ac:dyDescent="0.3">
      <c r="A2351" s="41">
        <v>45479</v>
      </c>
      <c r="B2351" s="11" t="s">
        <v>1250</v>
      </c>
      <c r="C2351" s="65" t="s">
        <v>5041</v>
      </c>
      <c r="D2351" s="106"/>
      <c r="E2351" s="94"/>
      <c r="F2351" s="31"/>
      <c r="G2351" s="31">
        <v>1000</v>
      </c>
      <c r="H2351" s="31"/>
      <c r="I2351" s="88">
        <f t="shared" si="148"/>
        <v>25066.550000000003</v>
      </c>
      <c r="J2351" s="31"/>
      <c r="K2351" s="31"/>
      <c r="L2351" s="2">
        <f t="shared" si="149"/>
        <v>4</v>
      </c>
    </row>
    <row r="2352" spans="1:12" x14ac:dyDescent="0.3">
      <c r="A2352" s="41">
        <v>45479</v>
      </c>
      <c r="B2352" s="11" t="s">
        <v>1250</v>
      </c>
      <c r="C2352" s="65" t="s">
        <v>2616</v>
      </c>
      <c r="D2352" s="106"/>
      <c r="E2352" s="94"/>
      <c r="F2352" s="31"/>
      <c r="G2352" s="31">
        <v>2300</v>
      </c>
      <c r="H2352" s="31"/>
      <c r="I2352" s="88">
        <f t="shared" si="148"/>
        <v>27366.550000000003</v>
      </c>
      <c r="J2352" s="31"/>
      <c r="K2352" s="31"/>
      <c r="L2352" s="2">
        <f t="shared" si="149"/>
        <v>9.2000000000000011</v>
      </c>
    </row>
    <row r="2353" spans="1:12" x14ac:dyDescent="0.3">
      <c r="A2353" s="41">
        <v>45479</v>
      </c>
      <c r="B2353" s="11" t="s">
        <v>1250</v>
      </c>
      <c r="C2353" s="65" t="s">
        <v>4437</v>
      </c>
      <c r="D2353" s="106"/>
      <c r="E2353" s="94"/>
      <c r="F2353" s="31"/>
      <c r="G2353" s="31">
        <v>1000</v>
      </c>
      <c r="H2353" s="31"/>
      <c r="I2353" s="88">
        <f t="shared" si="148"/>
        <v>28366.550000000003</v>
      </c>
      <c r="J2353" s="31"/>
      <c r="K2353" s="31"/>
      <c r="L2353" s="2">
        <f t="shared" si="149"/>
        <v>4</v>
      </c>
    </row>
    <row r="2354" spans="1:12" x14ac:dyDescent="0.3">
      <c r="A2354" s="41">
        <v>45480</v>
      </c>
      <c r="B2354" s="11" t="s">
        <v>1250</v>
      </c>
      <c r="C2354" s="65" t="s">
        <v>4073</v>
      </c>
      <c r="D2354" s="106"/>
      <c r="E2354" s="94"/>
      <c r="F2354" s="31"/>
      <c r="G2354" s="31">
        <v>2000</v>
      </c>
      <c r="H2354" s="31"/>
      <c r="I2354" s="88">
        <f t="shared" si="148"/>
        <v>30366.550000000003</v>
      </c>
      <c r="J2354" s="31"/>
      <c r="K2354" s="31"/>
      <c r="L2354" s="2">
        <f t="shared" si="149"/>
        <v>8</v>
      </c>
    </row>
    <row r="2355" spans="1:12" x14ac:dyDescent="0.3">
      <c r="A2355" s="41">
        <v>45481</v>
      </c>
      <c r="B2355" s="11" t="s">
        <v>1250</v>
      </c>
      <c r="C2355" s="65" t="s">
        <v>5014</v>
      </c>
      <c r="D2355" s="106"/>
      <c r="E2355" s="94"/>
      <c r="F2355" s="31"/>
      <c r="G2355" s="31">
        <v>3500</v>
      </c>
      <c r="H2355" s="31"/>
      <c r="I2355" s="88">
        <f t="shared" si="148"/>
        <v>33866.550000000003</v>
      </c>
      <c r="J2355" s="31"/>
      <c r="K2355" s="31"/>
      <c r="L2355" s="2">
        <f t="shared" si="149"/>
        <v>14</v>
      </c>
    </row>
    <row r="2356" spans="1:12" x14ac:dyDescent="0.3">
      <c r="A2356" s="41">
        <v>45483</v>
      </c>
      <c r="B2356" s="11" t="s">
        <v>4652</v>
      </c>
      <c r="C2356" s="65" t="s">
        <v>4938</v>
      </c>
      <c r="D2356" s="106"/>
      <c r="E2356" s="94"/>
      <c r="F2356" s="31"/>
      <c r="G2356" s="31"/>
      <c r="H2356" s="31">
        <v>2000</v>
      </c>
      <c r="I2356" s="88">
        <f t="shared" si="148"/>
        <v>31866.550000000003</v>
      </c>
      <c r="J2356" s="31"/>
      <c r="K2356" s="31"/>
      <c r="L2356" s="2">
        <f t="shared" si="149"/>
        <v>8</v>
      </c>
    </row>
    <row r="2357" spans="1:12" x14ac:dyDescent="0.3">
      <c r="A2357" s="41">
        <v>45483</v>
      </c>
      <c r="B2357" s="11" t="s">
        <v>5057</v>
      </c>
      <c r="C2357" s="65" t="s">
        <v>5055</v>
      </c>
      <c r="D2357" s="106"/>
      <c r="E2357" s="94" t="s">
        <v>16</v>
      </c>
      <c r="F2357" s="31"/>
      <c r="G2357" s="31"/>
      <c r="H2357" s="31">
        <v>450</v>
      </c>
      <c r="I2357" s="88">
        <f t="shared" si="148"/>
        <v>31416.550000000003</v>
      </c>
      <c r="J2357" s="31"/>
      <c r="K2357" s="31"/>
      <c r="L2357" s="2">
        <f t="shared" si="149"/>
        <v>26.8</v>
      </c>
    </row>
    <row r="2358" spans="1:12" x14ac:dyDescent="0.3">
      <c r="A2358" s="41">
        <v>45483</v>
      </c>
      <c r="B2358" s="11" t="s">
        <v>5059</v>
      </c>
      <c r="C2358" s="65" t="s">
        <v>5061</v>
      </c>
      <c r="D2358" s="106"/>
      <c r="E2358" s="94" t="s">
        <v>16</v>
      </c>
      <c r="F2358" s="31"/>
      <c r="G2358" s="31"/>
      <c r="H2358" s="31">
        <v>100</v>
      </c>
      <c r="I2358" s="88">
        <f t="shared" si="148"/>
        <v>31316.550000000003</v>
      </c>
      <c r="J2358" s="31"/>
      <c r="K2358" s="31"/>
      <c r="L2358" s="2">
        <f t="shared" si="149"/>
        <v>25.4</v>
      </c>
    </row>
    <row r="2359" spans="1:12" x14ac:dyDescent="0.3">
      <c r="A2359" s="41">
        <v>45483</v>
      </c>
      <c r="B2359" s="11" t="s">
        <v>5060</v>
      </c>
      <c r="C2359" s="65" t="s">
        <v>5062</v>
      </c>
      <c r="D2359" s="106"/>
      <c r="E2359" s="94" t="s">
        <v>16</v>
      </c>
      <c r="F2359" s="31"/>
      <c r="G2359" s="31"/>
      <c r="H2359" s="31">
        <v>100</v>
      </c>
      <c r="I2359" s="88">
        <f t="shared" si="148"/>
        <v>31216.550000000003</v>
      </c>
      <c r="J2359" s="31"/>
      <c r="K2359" s="31"/>
      <c r="L2359" s="2">
        <f t="shared" si="149"/>
        <v>25.4</v>
      </c>
    </row>
    <row r="2360" spans="1:12" x14ac:dyDescent="0.3">
      <c r="A2360" s="41">
        <v>45483</v>
      </c>
      <c r="B2360" s="11" t="s">
        <v>5064</v>
      </c>
      <c r="C2360" s="65" t="s">
        <v>4684</v>
      </c>
      <c r="D2360" s="106"/>
      <c r="E2360" s="94" t="s">
        <v>16</v>
      </c>
      <c r="F2360" s="31"/>
      <c r="G2360" s="31"/>
      <c r="H2360" s="31">
        <v>100</v>
      </c>
      <c r="I2360" s="88">
        <f t="shared" si="148"/>
        <v>31116.550000000003</v>
      </c>
      <c r="J2360" s="31"/>
      <c r="K2360" s="31"/>
      <c r="L2360" s="2">
        <f t="shared" si="149"/>
        <v>25.4</v>
      </c>
    </row>
    <row r="2361" spans="1:12" x14ac:dyDescent="0.3">
      <c r="A2361" s="41">
        <v>45485</v>
      </c>
      <c r="B2361" s="11" t="s">
        <v>4282</v>
      </c>
      <c r="C2361" s="65" t="s">
        <v>4283</v>
      </c>
      <c r="D2361" s="106"/>
      <c r="E2361" s="94"/>
      <c r="F2361" s="31"/>
      <c r="G2361" s="31"/>
      <c r="H2361" s="31">
        <v>100</v>
      </c>
      <c r="I2361" s="88">
        <f t="shared" si="148"/>
        <v>31016.550000000003</v>
      </c>
      <c r="J2361" s="31"/>
      <c r="K2361" s="31"/>
      <c r="L2361" s="2">
        <f t="shared" si="149"/>
        <v>0.4</v>
      </c>
    </row>
    <row r="2362" spans="1:12" x14ac:dyDescent="0.3">
      <c r="A2362" s="41">
        <v>45485</v>
      </c>
      <c r="B2362" s="11" t="s">
        <v>3204</v>
      </c>
      <c r="D2362" s="106"/>
      <c r="E2362" s="94"/>
      <c r="F2362" s="31"/>
      <c r="G2362" s="31">
        <v>1000</v>
      </c>
      <c r="H2362" s="31"/>
      <c r="I2362" s="88">
        <f t="shared" si="148"/>
        <v>32016.550000000003</v>
      </c>
      <c r="J2362" s="31"/>
      <c r="K2362" s="31"/>
      <c r="L2362" s="2">
        <f t="shared" si="149"/>
        <v>4</v>
      </c>
    </row>
    <row r="2363" spans="1:12" x14ac:dyDescent="0.3">
      <c r="A2363" s="41">
        <v>45485</v>
      </c>
      <c r="B2363" s="11" t="s">
        <v>5068</v>
      </c>
      <c r="C2363" s="65" t="s">
        <v>5067</v>
      </c>
      <c r="D2363" s="106"/>
      <c r="E2363" s="94"/>
      <c r="F2363" s="31"/>
      <c r="G2363" s="31">
        <v>1500</v>
      </c>
      <c r="H2363" s="31"/>
      <c r="I2363" s="88">
        <f t="shared" si="148"/>
        <v>33516.550000000003</v>
      </c>
      <c r="J2363" s="31"/>
      <c r="K2363" s="31"/>
      <c r="L2363" s="2">
        <f t="shared" si="149"/>
        <v>6</v>
      </c>
    </row>
    <row r="2364" spans="1:12" x14ac:dyDescent="0.3">
      <c r="A2364" s="41">
        <v>45485</v>
      </c>
      <c r="B2364" s="11" t="s">
        <v>5071</v>
      </c>
      <c r="C2364" s="65" t="s">
        <v>5072</v>
      </c>
      <c r="D2364" s="106"/>
      <c r="E2364" s="94" t="s">
        <v>16</v>
      </c>
      <c r="F2364" s="31"/>
      <c r="G2364" s="31"/>
      <c r="H2364" s="4">
        <v>200</v>
      </c>
      <c r="I2364" s="88">
        <f t="shared" si="148"/>
        <v>33316.550000000003</v>
      </c>
      <c r="J2364" s="31"/>
      <c r="K2364" s="31"/>
      <c r="L2364" s="2">
        <f t="shared" si="149"/>
        <v>25.8</v>
      </c>
    </row>
    <row r="2365" spans="1:12" x14ac:dyDescent="0.3">
      <c r="A2365" s="41">
        <v>45485</v>
      </c>
      <c r="B2365" s="11" t="s">
        <v>5079</v>
      </c>
      <c r="C2365" s="65" t="s">
        <v>5080</v>
      </c>
      <c r="D2365" s="106"/>
      <c r="E2365" s="94" t="s">
        <v>16</v>
      </c>
      <c r="F2365" s="31"/>
      <c r="G2365" s="31"/>
      <c r="H2365" s="4">
        <v>2000</v>
      </c>
      <c r="I2365" s="88">
        <f t="shared" si="148"/>
        <v>31316.550000000003</v>
      </c>
      <c r="J2365" s="31"/>
      <c r="K2365" s="31"/>
      <c r="L2365" s="2">
        <f t="shared" si="149"/>
        <v>33</v>
      </c>
    </row>
    <row r="2366" spans="1:12" x14ac:dyDescent="0.3">
      <c r="A2366" s="41">
        <v>45485</v>
      </c>
      <c r="B2366" s="11" t="s">
        <v>5076</v>
      </c>
      <c r="C2366" s="65" t="s">
        <v>5077</v>
      </c>
      <c r="D2366" s="106"/>
      <c r="E2366" s="94" t="s">
        <v>16</v>
      </c>
      <c r="F2366" s="31"/>
      <c r="G2366" s="31"/>
      <c r="H2366" s="4">
        <v>500</v>
      </c>
      <c r="I2366" s="88">
        <f t="shared" si="148"/>
        <v>30816.550000000003</v>
      </c>
      <c r="J2366" s="31"/>
      <c r="K2366" s="31"/>
      <c r="L2366" s="2">
        <f t="shared" si="149"/>
        <v>27</v>
      </c>
    </row>
    <row r="2367" spans="1:12" x14ac:dyDescent="0.3">
      <c r="A2367" s="41">
        <v>45485</v>
      </c>
      <c r="B2367" s="11" t="s">
        <v>5069</v>
      </c>
      <c r="D2367" s="106"/>
      <c r="E2367" s="94"/>
      <c r="F2367" s="31"/>
      <c r="G2367" s="31"/>
      <c r="H2367" s="4">
        <v>1000</v>
      </c>
      <c r="I2367" s="88">
        <f t="shared" si="148"/>
        <v>29816.550000000003</v>
      </c>
      <c r="J2367" s="31"/>
      <c r="K2367" s="31"/>
      <c r="L2367" s="2">
        <f t="shared" si="149"/>
        <v>4</v>
      </c>
    </row>
    <row r="2368" spans="1:12" x14ac:dyDescent="0.3">
      <c r="A2368" s="41">
        <v>45485</v>
      </c>
      <c r="B2368" s="11" t="s">
        <v>5082</v>
      </c>
      <c r="C2368" s="65" t="s">
        <v>5083</v>
      </c>
      <c r="D2368" s="106"/>
      <c r="E2368" s="94" t="s">
        <v>16</v>
      </c>
      <c r="F2368" s="31"/>
      <c r="G2368" s="31"/>
      <c r="H2368" s="4">
        <v>150</v>
      </c>
      <c r="I2368" s="88">
        <f t="shared" si="148"/>
        <v>29666.550000000003</v>
      </c>
      <c r="J2368" s="31"/>
      <c r="K2368" s="31"/>
      <c r="L2368" s="2">
        <f t="shared" si="149"/>
        <v>25.6</v>
      </c>
    </row>
    <row r="2369" spans="1:12" x14ac:dyDescent="0.3">
      <c r="A2369" s="41">
        <v>45486</v>
      </c>
      <c r="B2369" s="11" t="s">
        <v>1250</v>
      </c>
      <c r="C2369" s="65" t="s">
        <v>2443</v>
      </c>
      <c r="D2369" s="106"/>
      <c r="E2369" s="94"/>
      <c r="F2369" s="31"/>
      <c r="G2369" s="31">
        <v>2550</v>
      </c>
      <c r="H2369" s="31"/>
      <c r="I2369" s="88">
        <f t="shared" si="148"/>
        <v>32216.550000000003</v>
      </c>
      <c r="J2369" s="31"/>
      <c r="K2369" s="31"/>
      <c r="L2369" s="2">
        <f t="shared" si="149"/>
        <v>10.200000000000001</v>
      </c>
    </row>
    <row r="2370" spans="1:12" x14ac:dyDescent="0.3">
      <c r="A2370" s="41">
        <v>45486</v>
      </c>
      <c r="B2370" s="11" t="s">
        <v>1250</v>
      </c>
      <c r="C2370" s="65" t="s">
        <v>5084</v>
      </c>
      <c r="D2370" s="106"/>
      <c r="E2370" s="94"/>
      <c r="F2370" s="31"/>
      <c r="G2370" s="31">
        <v>500</v>
      </c>
      <c r="H2370" s="31"/>
      <c r="I2370" s="88">
        <f t="shared" si="148"/>
        <v>32716.550000000003</v>
      </c>
      <c r="J2370" s="31"/>
      <c r="K2370" s="31"/>
      <c r="L2370" s="2">
        <f t="shared" si="149"/>
        <v>2</v>
      </c>
    </row>
    <row r="2371" spans="1:12" x14ac:dyDescent="0.3">
      <c r="A2371" s="41">
        <v>45487</v>
      </c>
      <c r="B2371" s="11" t="s">
        <v>4285</v>
      </c>
      <c r="C2371" s="65" t="s">
        <v>4374</v>
      </c>
      <c r="D2371" s="106"/>
      <c r="E2371" s="94"/>
      <c r="F2371" s="31"/>
      <c r="G2371" s="31">
        <v>10000</v>
      </c>
      <c r="H2371" s="31"/>
      <c r="I2371" s="88">
        <f t="shared" si="148"/>
        <v>42716.55</v>
      </c>
      <c r="J2371" s="31"/>
      <c r="K2371" s="31"/>
      <c r="L2371" s="2">
        <f t="shared" si="149"/>
        <v>20</v>
      </c>
    </row>
    <row r="2372" spans="1:12" x14ac:dyDescent="0.3">
      <c r="A2372" s="41">
        <v>45487</v>
      </c>
      <c r="B2372" s="11" t="s">
        <v>3871</v>
      </c>
      <c r="C2372" s="65" t="s">
        <v>2347</v>
      </c>
      <c r="D2372" s="106"/>
      <c r="E2372" s="94"/>
      <c r="F2372" s="31"/>
      <c r="G2372" s="31"/>
      <c r="H2372" s="31">
        <v>4800</v>
      </c>
      <c r="I2372" s="88">
        <f t="shared" si="148"/>
        <v>37916.550000000003</v>
      </c>
      <c r="J2372" s="31"/>
      <c r="K2372" s="31"/>
      <c r="L2372" s="2">
        <f t="shared" si="149"/>
        <v>19.2</v>
      </c>
    </row>
    <row r="2373" spans="1:12" x14ac:dyDescent="0.3">
      <c r="A2373" s="41">
        <v>45487</v>
      </c>
      <c r="B2373" s="11" t="s">
        <v>5085</v>
      </c>
      <c r="C2373" s="65" t="s">
        <v>311</v>
      </c>
      <c r="D2373" s="106"/>
      <c r="E2373" s="94"/>
      <c r="F2373" s="31"/>
      <c r="G2373" s="31">
        <v>5000</v>
      </c>
      <c r="H2373" s="31"/>
      <c r="I2373" s="88">
        <f t="shared" si="148"/>
        <v>42916.55</v>
      </c>
      <c r="J2373" s="31"/>
      <c r="K2373" s="31"/>
      <c r="L2373" s="2">
        <f t="shared" si="149"/>
        <v>20</v>
      </c>
    </row>
    <row r="2374" spans="1:12" x14ac:dyDescent="0.3">
      <c r="A2374" s="41">
        <v>45487</v>
      </c>
      <c r="B2374" s="11" t="s">
        <v>5087</v>
      </c>
      <c r="C2374" s="65" t="s">
        <v>5086</v>
      </c>
      <c r="E2374" s="4"/>
      <c r="F2374"/>
      <c r="G2374" s="31">
        <v>4300</v>
      </c>
      <c r="H2374"/>
      <c r="I2374" s="88">
        <f t="shared" si="148"/>
        <v>47216.55</v>
      </c>
      <c r="L2374" s="2">
        <f t="shared" si="149"/>
        <v>17.2</v>
      </c>
    </row>
    <row r="2375" spans="1:12" x14ac:dyDescent="0.3">
      <c r="A2375" s="3">
        <v>45488</v>
      </c>
      <c r="B2375" s="11">
        <v>1309762</v>
      </c>
      <c r="C2375" s="65" t="s">
        <v>5088</v>
      </c>
      <c r="E2375" s="4"/>
      <c r="F2375"/>
      <c r="G2375"/>
      <c r="H2375">
        <v>10000</v>
      </c>
      <c r="I2375" s="88">
        <f t="shared" si="148"/>
        <v>37216.550000000003</v>
      </c>
      <c r="L2375" s="2">
        <f t="shared" si="149"/>
        <v>20</v>
      </c>
    </row>
    <row r="2376" spans="1:12" x14ac:dyDescent="0.3">
      <c r="A2376" s="3">
        <v>45488</v>
      </c>
      <c r="B2376" s="11" t="s">
        <v>5095</v>
      </c>
      <c r="C2376" s="65" t="s">
        <v>5090</v>
      </c>
      <c r="E2376" s="4" t="s">
        <v>16</v>
      </c>
      <c r="F2376"/>
      <c r="G2376"/>
      <c r="H2376">
        <v>2000</v>
      </c>
      <c r="I2376" s="88">
        <f t="shared" si="148"/>
        <v>35216.550000000003</v>
      </c>
      <c r="L2376" s="2">
        <f t="shared" si="149"/>
        <v>33</v>
      </c>
    </row>
    <row r="2377" spans="1:12" x14ac:dyDescent="0.3">
      <c r="A2377" s="3">
        <v>45488</v>
      </c>
      <c r="B2377" s="11">
        <v>5458</v>
      </c>
      <c r="C2377" s="65" t="s">
        <v>5094</v>
      </c>
      <c r="E2377" s="4" t="s">
        <v>16</v>
      </c>
      <c r="F2377"/>
      <c r="G2377"/>
      <c r="H2377">
        <v>200</v>
      </c>
      <c r="I2377" s="88">
        <f t="shared" si="148"/>
        <v>35016.550000000003</v>
      </c>
      <c r="L2377" s="2">
        <f t="shared" si="149"/>
        <v>25.8</v>
      </c>
    </row>
    <row r="2378" spans="1:12" x14ac:dyDescent="0.3">
      <c r="A2378" s="3">
        <v>45488</v>
      </c>
      <c r="B2378" s="11">
        <v>5459</v>
      </c>
      <c r="C2378" s="65" t="s">
        <v>4862</v>
      </c>
      <c r="E2378" s="4" t="s">
        <v>16</v>
      </c>
      <c r="F2378"/>
      <c r="G2378"/>
      <c r="H2378">
        <v>500</v>
      </c>
      <c r="I2378" s="88">
        <f t="shared" si="148"/>
        <v>34516.550000000003</v>
      </c>
      <c r="L2378" s="2">
        <f t="shared" si="149"/>
        <v>27</v>
      </c>
    </row>
    <row r="2379" spans="1:12" x14ac:dyDescent="0.3">
      <c r="A2379" s="3">
        <v>45488</v>
      </c>
      <c r="B2379" s="11">
        <v>5460</v>
      </c>
      <c r="C2379" s="65" t="s">
        <v>5098</v>
      </c>
      <c r="E2379" s="4" t="s">
        <v>16</v>
      </c>
      <c r="F2379"/>
      <c r="G2379"/>
      <c r="H2379">
        <v>500</v>
      </c>
      <c r="I2379" s="88">
        <f t="shared" si="148"/>
        <v>34016.550000000003</v>
      </c>
      <c r="L2379" s="2">
        <f t="shared" si="149"/>
        <v>27</v>
      </c>
    </row>
    <row r="2380" spans="1:12" x14ac:dyDescent="0.3">
      <c r="A2380" s="3">
        <v>45488</v>
      </c>
      <c r="B2380" s="11">
        <v>5461</v>
      </c>
      <c r="C2380" s="65" t="s">
        <v>5103</v>
      </c>
      <c r="E2380" s="4" t="s">
        <v>16</v>
      </c>
      <c r="F2380"/>
      <c r="G2380"/>
      <c r="H2380">
        <v>500</v>
      </c>
      <c r="I2380" s="88">
        <f t="shared" si="148"/>
        <v>33516.550000000003</v>
      </c>
      <c r="L2380" s="2">
        <f t="shared" si="149"/>
        <v>27</v>
      </c>
    </row>
    <row r="2381" spans="1:12" x14ac:dyDescent="0.3">
      <c r="A2381" s="3">
        <v>45488</v>
      </c>
      <c r="B2381" s="11">
        <v>4164</v>
      </c>
      <c r="C2381" s="65" t="s">
        <v>2289</v>
      </c>
      <c r="E2381" s="4"/>
      <c r="F2381"/>
      <c r="G2381"/>
      <c r="H2381">
        <v>7000</v>
      </c>
      <c r="I2381" s="88">
        <f t="shared" si="148"/>
        <v>26516.550000000003</v>
      </c>
      <c r="L2381" s="2">
        <f t="shared" si="149"/>
        <v>20</v>
      </c>
    </row>
    <row r="2382" spans="1:12" x14ac:dyDescent="0.3">
      <c r="A2382" s="3">
        <v>45488</v>
      </c>
      <c r="B2382" s="11" t="s">
        <v>1250</v>
      </c>
      <c r="C2382" s="65" t="s">
        <v>2884</v>
      </c>
      <c r="E2382" s="4"/>
      <c r="F2382"/>
      <c r="G2382">
        <v>400</v>
      </c>
      <c r="H2382"/>
      <c r="I2382" s="88">
        <f t="shared" si="148"/>
        <v>26916.550000000003</v>
      </c>
      <c r="L2382" s="2">
        <f t="shared" si="149"/>
        <v>1.6</v>
      </c>
    </row>
    <row r="2383" spans="1:12" x14ac:dyDescent="0.3">
      <c r="A2383" s="3">
        <v>45489</v>
      </c>
      <c r="B2383" s="11" t="s">
        <v>2689</v>
      </c>
      <c r="C2383" s="65" t="s">
        <v>5109</v>
      </c>
      <c r="E2383" s="4"/>
      <c r="F2383"/>
      <c r="G2383"/>
      <c r="H2383">
        <v>6000</v>
      </c>
      <c r="I2383" s="88">
        <f t="shared" si="148"/>
        <v>20916.550000000003</v>
      </c>
      <c r="L2383" s="2">
        <f t="shared" si="149"/>
        <v>20</v>
      </c>
    </row>
    <row r="2384" spans="1:12" x14ac:dyDescent="0.3">
      <c r="A2384" s="3">
        <v>45489</v>
      </c>
      <c r="B2384" s="11">
        <v>5463</v>
      </c>
      <c r="C2384" s="65" t="s">
        <v>683</v>
      </c>
      <c r="E2384" s="4" t="s">
        <v>16</v>
      </c>
      <c r="F2384"/>
      <c r="G2384"/>
      <c r="H2384"/>
      <c r="I2384" s="88">
        <f t="shared" si="148"/>
        <v>20916.550000000003</v>
      </c>
      <c r="L2384" s="2">
        <f t="shared" si="149"/>
        <v>25</v>
      </c>
    </row>
    <row r="2385" spans="1:12" x14ac:dyDescent="0.3">
      <c r="A2385" s="3">
        <v>45489</v>
      </c>
      <c r="B2385" s="11">
        <v>5464</v>
      </c>
      <c r="C2385" s="65" t="s">
        <v>5118</v>
      </c>
      <c r="E2385" s="4" t="s">
        <v>16</v>
      </c>
      <c r="F2385"/>
      <c r="G2385"/>
      <c r="H2385">
        <v>200</v>
      </c>
      <c r="I2385" s="88">
        <f t="shared" si="148"/>
        <v>20716.550000000003</v>
      </c>
      <c r="L2385" s="2">
        <f t="shared" si="149"/>
        <v>25.8</v>
      </c>
    </row>
    <row r="2386" spans="1:12" x14ac:dyDescent="0.3">
      <c r="A2386" s="3">
        <v>45489</v>
      </c>
      <c r="B2386" s="11" t="s">
        <v>1250</v>
      </c>
      <c r="C2386" s="65" t="s">
        <v>5014</v>
      </c>
      <c r="E2386" s="4"/>
      <c r="F2386"/>
      <c r="G2386">
        <v>4000</v>
      </c>
      <c r="H2386"/>
      <c r="I2386" s="88">
        <f t="shared" si="148"/>
        <v>24716.550000000003</v>
      </c>
      <c r="L2386" s="2">
        <f t="shared" si="149"/>
        <v>16</v>
      </c>
    </row>
    <row r="2387" spans="1:12" x14ac:dyDescent="0.3">
      <c r="A2387" s="3">
        <v>45490</v>
      </c>
      <c r="B2387" s="11">
        <v>2028</v>
      </c>
      <c r="C2387" s="65" t="s">
        <v>5120</v>
      </c>
      <c r="E2387" s="4"/>
      <c r="F2387"/>
      <c r="G2387">
        <v>2000</v>
      </c>
      <c r="H2387"/>
      <c r="I2387" s="88">
        <f t="shared" si="148"/>
        <v>26716.550000000003</v>
      </c>
      <c r="L2387" s="2">
        <f t="shared" si="149"/>
        <v>8</v>
      </c>
    </row>
    <row r="2388" spans="1:12" x14ac:dyDescent="0.3">
      <c r="A2388" s="3">
        <v>45490</v>
      </c>
      <c r="B2388" s="11" t="s">
        <v>3232</v>
      </c>
      <c r="C2388" s="65" t="s">
        <v>5121</v>
      </c>
      <c r="E2388" s="4"/>
      <c r="F2388"/>
      <c r="G2388">
        <v>2000</v>
      </c>
      <c r="H2388"/>
      <c r="I2388" s="88">
        <f t="shared" si="148"/>
        <v>28716.550000000003</v>
      </c>
      <c r="L2388" s="2">
        <f t="shared" si="149"/>
        <v>8</v>
      </c>
    </row>
    <row r="2389" spans="1:12" x14ac:dyDescent="0.3">
      <c r="A2389" s="3">
        <v>45490</v>
      </c>
      <c r="B2389" s="11">
        <v>5465</v>
      </c>
      <c r="C2389" s="65" t="s">
        <v>5126</v>
      </c>
      <c r="E2389" s="4" t="s">
        <v>16</v>
      </c>
      <c r="F2389"/>
      <c r="G2389"/>
      <c r="H2389">
        <v>200</v>
      </c>
      <c r="I2389" s="88">
        <f t="shared" si="148"/>
        <v>28516.550000000003</v>
      </c>
      <c r="L2389" s="2">
        <f t="shared" si="149"/>
        <v>25.8</v>
      </c>
    </row>
    <row r="2390" spans="1:12" x14ac:dyDescent="0.3">
      <c r="A2390" s="3">
        <v>45490</v>
      </c>
      <c r="B2390" s="11" t="s">
        <v>1160</v>
      </c>
      <c r="C2390" s="65" t="s">
        <v>3513</v>
      </c>
      <c r="E2390" s="4"/>
      <c r="F2390"/>
      <c r="G2390">
        <v>5050</v>
      </c>
      <c r="H2390"/>
      <c r="I2390" s="88">
        <f t="shared" si="148"/>
        <v>33566.550000000003</v>
      </c>
      <c r="L2390" s="2">
        <f t="shared" si="149"/>
        <v>20</v>
      </c>
    </row>
    <row r="2391" spans="1:12" x14ac:dyDescent="0.3">
      <c r="A2391" s="3">
        <v>45490</v>
      </c>
      <c r="B2391" s="11" t="s">
        <v>1250</v>
      </c>
      <c r="C2391" s="65" t="s">
        <v>3416</v>
      </c>
      <c r="E2391" s="4"/>
      <c r="F2391"/>
      <c r="G2391">
        <v>3000</v>
      </c>
      <c r="H2391"/>
      <c r="I2391" s="88">
        <f t="shared" si="148"/>
        <v>36566.550000000003</v>
      </c>
      <c r="L2391" s="2">
        <f t="shared" si="149"/>
        <v>12</v>
      </c>
    </row>
    <row r="2392" spans="1:12" x14ac:dyDescent="0.3">
      <c r="A2392" s="3">
        <v>45492</v>
      </c>
      <c r="B2392" s="11">
        <v>5467</v>
      </c>
      <c r="C2392" s="65" t="s">
        <v>5135</v>
      </c>
      <c r="D2392" s="50">
        <v>8797627332</v>
      </c>
      <c r="E2392" s="4" t="s">
        <v>16</v>
      </c>
      <c r="F2392"/>
      <c r="G2392"/>
      <c r="H2392">
        <v>200</v>
      </c>
      <c r="I2392" s="88">
        <f t="shared" si="148"/>
        <v>36366.550000000003</v>
      </c>
      <c r="L2392" s="2">
        <f t="shared" si="149"/>
        <v>25.8</v>
      </c>
    </row>
    <row r="2393" spans="1:12" x14ac:dyDescent="0.3">
      <c r="A2393" s="3">
        <v>45492</v>
      </c>
      <c r="B2393" s="11" t="s">
        <v>1160</v>
      </c>
      <c r="C2393" s="65" t="s">
        <v>3650</v>
      </c>
      <c r="E2393" s="4"/>
      <c r="F2393"/>
      <c r="G2393">
        <v>3000</v>
      </c>
      <c r="H2393"/>
      <c r="I2393" s="88">
        <f t="shared" si="148"/>
        <v>39366.550000000003</v>
      </c>
      <c r="L2393" s="2">
        <f t="shared" si="149"/>
        <v>12</v>
      </c>
    </row>
    <row r="2394" spans="1:12" x14ac:dyDescent="0.3">
      <c r="A2394" s="3">
        <v>45492</v>
      </c>
      <c r="B2394" s="11">
        <v>1528</v>
      </c>
      <c r="C2394" s="65" t="s">
        <v>3623</v>
      </c>
      <c r="E2394" s="4"/>
      <c r="F2394"/>
      <c r="G2394"/>
      <c r="H2394">
        <v>13000</v>
      </c>
      <c r="I2394" s="88">
        <f t="shared" si="148"/>
        <v>26366.550000000003</v>
      </c>
      <c r="L2394" s="2">
        <f t="shared" si="149"/>
        <v>20</v>
      </c>
    </row>
    <row r="2395" spans="1:12" x14ac:dyDescent="0.3">
      <c r="A2395" s="3">
        <v>45492</v>
      </c>
      <c r="B2395" s="11">
        <v>5468</v>
      </c>
      <c r="C2395" s="65" t="s">
        <v>5138</v>
      </c>
      <c r="E2395" s="4" t="s">
        <v>16</v>
      </c>
      <c r="F2395"/>
      <c r="G2395"/>
      <c r="H2395">
        <v>500</v>
      </c>
      <c r="I2395" s="88">
        <f t="shared" si="148"/>
        <v>25866.550000000003</v>
      </c>
      <c r="L2395" s="2">
        <f t="shared" si="149"/>
        <v>27</v>
      </c>
    </row>
    <row r="2396" spans="1:12" x14ac:dyDescent="0.3">
      <c r="A2396" s="3">
        <v>45493</v>
      </c>
      <c r="C2396" s="65" t="s">
        <v>683</v>
      </c>
      <c r="E2396" s="4"/>
      <c r="F2396"/>
      <c r="G2396"/>
      <c r="H2396">
        <v>300</v>
      </c>
      <c r="I2396" s="88">
        <f t="shared" si="148"/>
        <v>25566.550000000003</v>
      </c>
      <c r="L2396" s="2">
        <f t="shared" si="149"/>
        <v>1.2</v>
      </c>
    </row>
    <row r="2397" spans="1:12" x14ac:dyDescent="0.3">
      <c r="A2397" s="3">
        <v>45493</v>
      </c>
      <c r="B2397" s="11" t="s">
        <v>1250</v>
      </c>
      <c r="C2397" s="65" t="s">
        <v>5142</v>
      </c>
      <c r="E2397" s="4"/>
      <c r="F2397"/>
      <c r="G2397">
        <v>400</v>
      </c>
      <c r="H2397"/>
      <c r="I2397" s="88">
        <f t="shared" si="148"/>
        <v>25966.550000000003</v>
      </c>
      <c r="L2397" s="2">
        <f t="shared" si="149"/>
        <v>1.6</v>
      </c>
    </row>
    <row r="2398" spans="1:12" x14ac:dyDescent="0.3">
      <c r="A2398" s="3">
        <v>45493</v>
      </c>
      <c r="B2398" s="11" t="s">
        <v>3474</v>
      </c>
      <c r="C2398" s="65" t="s">
        <v>5143</v>
      </c>
      <c r="E2398" s="4"/>
      <c r="F2398"/>
      <c r="G2398">
        <v>1100</v>
      </c>
      <c r="H2398"/>
      <c r="I2398" s="88">
        <f t="shared" si="148"/>
        <v>27066.550000000003</v>
      </c>
      <c r="L2398" s="2">
        <f t="shared" si="149"/>
        <v>4.4000000000000004</v>
      </c>
    </row>
    <row r="2399" spans="1:12" x14ac:dyDescent="0.3">
      <c r="A2399" s="3">
        <v>45493</v>
      </c>
      <c r="B2399" s="11">
        <v>5389</v>
      </c>
      <c r="C2399" s="65" t="s">
        <v>5145</v>
      </c>
      <c r="E2399" s="4"/>
      <c r="F2399"/>
      <c r="G2399"/>
      <c r="H2399">
        <v>1800</v>
      </c>
      <c r="I2399" s="88">
        <f t="shared" si="148"/>
        <v>25266.550000000003</v>
      </c>
      <c r="L2399" s="2">
        <f t="shared" si="149"/>
        <v>7.2</v>
      </c>
    </row>
    <row r="2400" spans="1:12" x14ac:dyDescent="0.3">
      <c r="A2400" s="3">
        <v>45493</v>
      </c>
      <c r="B2400" s="11">
        <v>5469</v>
      </c>
      <c r="C2400" s="65" t="s">
        <v>5146</v>
      </c>
      <c r="E2400" s="4" t="s">
        <v>16</v>
      </c>
      <c r="F2400"/>
      <c r="G2400"/>
      <c r="H2400">
        <v>150</v>
      </c>
      <c r="I2400" s="88">
        <f t="shared" si="148"/>
        <v>25116.550000000003</v>
      </c>
      <c r="L2400" s="2">
        <f t="shared" si="149"/>
        <v>25.6</v>
      </c>
    </row>
    <row r="2401" spans="1:12" x14ac:dyDescent="0.3">
      <c r="A2401" s="3">
        <v>45493</v>
      </c>
      <c r="B2401" s="11" t="s">
        <v>5150</v>
      </c>
      <c r="C2401" s="65" t="s">
        <v>5151</v>
      </c>
      <c r="E2401" s="4"/>
      <c r="F2401"/>
      <c r="G2401">
        <v>2000</v>
      </c>
      <c r="H2401"/>
      <c r="I2401" s="88">
        <f t="shared" si="148"/>
        <v>27116.550000000003</v>
      </c>
      <c r="L2401" s="2">
        <f t="shared" si="149"/>
        <v>8</v>
      </c>
    </row>
    <row r="2402" spans="1:12" x14ac:dyDescent="0.3">
      <c r="A2402" s="3">
        <v>45493</v>
      </c>
      <c r="B2402" s="11" t="s">
        <v>5152</v>
      </c>
      <c r="C2402" s="65" t="s">
        <v>3761</v>
      </c>
      <c r="E2402" s="4"/>
      <c r="F2402"/>
      <c r="G2402"/>
      <c r="H2402">
        <v>5000</v>
      </c>
      <c r="I2402" s="88">
        <f t="shared" si="148"/>
        <v>22116.550000000003</v>
      </c>
      <c r="L2402" s="2">
        <f t="shared" si="149"/>
        <v>20</v>
      </c>
    </row>
    <row r="2403" spans="1:12" x14ac:dyDescent="0.3">
      <c r="A2403" s="3">
        <v>45493</v>
      </c>
      <c r="B2403" s="11" t="s">
        <v>4970</v>
      </c>
      <c r="C2403" s="65" t="s">
        <v>610</v>
      </c>
      <c r="D2403" s="50">
        <v>7209411109</v>
      </c>
      <c r="E2403" s="4"/>
      <c r="F2403"/>
      <c r="G2403"/>
      <c r="H2403">
        <v>20000</v>
      </c>
      <c r="I2403" s="88">
        <f t="shared" si="148"/>
        <v>2116.5500000000029</v>
      </c>
      <c r="L2403" s="2">
        <f t="shared" si="149"/>
        <v>20</v>
      </c>
    </row>
    <row r="2404" spans="1:12" x14ac:dyDescent="0.3">
      <c r="A2404" s="3">
        <v>45493</v>
      </c>
      <c r="B2404" s="11" t="s">
        <v>1160</v>
      </c>
      <c r="C2404" s="65" t="s">
        <v>5153</v>
      </c>
      <c r="D2404" s="50">
        <v>8252446130</v>
      </c>
      <c r="E2404" s="4"/>
      <c r="F2404"/>
      <c r="G2404">
        <v>400</v>
      </c>
      <c r="H2404"/>
      <c r="I2404" s="88">
        <f t="shared" si="148"/>
        <v>2516.5500000000029</v>
      </c>
      <c r="L2404" s="2">
        <f t="shared" si="149"/>
        <v>1.6</v>
      </c>
    </row>
    <row r="2405" spans="1:12" x14ac:dyDescent="0.3">
      <c r="A2405" s="3">
        <v>45493</v>
      </c>
      <c r="B2405" s="11" t="s">
        <v>5156</v>
      </c>
      <c r="C2405" s="65" t="s">
        <v>5157</v>
      </c>
      <c r="E2405" s="4" t="s">
        <v>14</v>
      </c>
      <c r="F2405"/>
      <c r="G2405"/>
      <c r="H2405">
        <v>100</v>
      </c>
      <c r="I2405" s="88">
        <f t="shared" si="148"/>
        <v>2416.5500000000029</v>
      </c>
      <c r="L2405" s="2">
        <f t="shared" si="149"/>
        <v>25.4</v>
      </c>
    </row>
    <row r="2406" spans="1:12" x14ac:dyDescent="0.3">
      <c r="A2406" s="3">
        <v>45493</v>
      </c>
      <c r="B2406" s="11" t="s">
        <v>2241</v>
      </c>
      <c r="C2406" s="65" t="s">
        <v>5159</v>
      </c>
      <c r="E2406" s="4"/>
      <c r="F2406"/>
      <c r="G2406">
        <v>1050</v>
      </c>
      <c r="H2406"/>
      <c r="I2406" s="88">
        <f t="shared" si="148"/>
        <v>3466.5500000000029</v>
      </c>
      <c r="L2406" s="2">
        <f t="shared" si="149"/>
        <v>4.2</v>
      </c>
    </row>
    <row r="2407" spans="1:12" x14ac:dyDescent="0.3">
      <c r="A2407" s="3">
        <v>45493</v>
      </c>
      <c r="B2407" s="11" t="s">
        <v>2241</v>
      </c>
      <c r="C2407" s="65" t="s">
        <v>5161</v>
      </c>
      <c r="E2407" s="4"/>
      <c r="F2407"/>
      <c r="G2407">
        <v>2500</v>
      </c>
      <c r="H2407"/>
      <c r="I2407" s="88">
        <f t="shared" si="148"/>
        <v>5966.5500000000029</v>
      </c>
      <c r="L2407" s="2">
        <f t="shared" si="149"/>
        <v>10</v>
      </c>
    </row>
    <row r="2408" spans="1:12" x14ac:dyDescent="0.3">
      <c r="A2408" s="3">
        <v>45493</v>
      </c>
      <c r="B2408" s="11" t="s">
        <v>2241</v>
      </c>
      <c r="C2408" s="65" t="s">
        <v>5162</v>
      </c>
      <c r="E2408" s="4"/>
      <c r="F2408"/>
      <c r="G2408">
        <v>1000</v>
      </c>
      <c r="H2408"/>
      <c r="I2408" s="88">
        <f t="shared" si="148"/>
        <v>6966.5500000000029</v>
      </c>
      <c r="L2408" s="2">
        <f t="shared" si="149"/>
        <v>4</v>
      </c>
    </row>
    <row r="2409" spans="1:12" x14ac:dyDescent="0.3">
      <c r="A2409" s="3">
        <v>45494</v>
      </c>
      <c r="B2409" s="11" t="s">
        <v>1250</v>
      </c>
      <c r="C2409" s="65" t="s">
        <v>2443</v>
      </c>
      <c r="E2409" s="4"/>
      <c r="F2409"/>
      <c r="G2409">
        <v>1050</v>
      </c>
      <c r="H2409"/>
      <c r="I2409" s="88">
        <f t="shared" si="148"/>
        <v>8016.5500000000029</v>
      </c>
      <c r="L2409" s="2">
        <f t="shared" si="149"/>
        <v>4.2</v>
      </c>
    </row>
    <row r="2410" spans="1:12" x14ac:dyDescent="0.3">
      <c r="A2410" s="3">
        <v>45495</v>
      </c>
      <c r="B2410" s="11">
        <v>5471</v>
      </c>
      <c r="C2410" s="65" t="s">
        <v>5178</v>
      </c>
      <c r="E2410" s="4" t="s">
        <v>16</v>
      </c>
      <c r="F2410"/>
      <c r="G2410"/>
      <c r="H2410">
        <v>500</v>
      </c>
      <c r="I2410" s="88">
        <f t="shared" si="148"/>
        <v>7516.5500000000029</v>
      </c>
    </row>
    <row r="2411" spans="1:12" x14ac:dyDescent="0.3">
      <c r="A2411" s="3">
        <v>45434</v>
      </c>
      <c r="B2411" s="11" t="s">
        <v>1250</v>
      </c>
      <c r="C2411" s="65" t="s">
        <v>4073</v>
      </c>
      <c r="E2411" s="4"/>
      <c r="F2411"/>
      <c r="G2411">
        <v>2500</v>
      </c>
      <c r="H2411"/>
      <c r="I2411" s="88">
        <f t="shared" si="148"/>
        <v>10016.550000000003</v>
      </c>
      <c r="L2411" s="2">
        <f t="shared" si="149"/>
        <v>10</v>
      </c>
    </row>
    <row r="2412" spans="1:12" x14ac:dyDescent="0.3">
      <c r="A2412" s="3">
        <v>45434</v>
      </c>
      <c r="B2412" s="11" t="s">
        <v>5165</v>
      </c>
      <c r="C2412" s="65" t="s">
        <v>5166</v>
      </c>
      <c r="E2412" s="4"/>
      <c r="F2412"/>
      <c r="G2412">
        <v>3000</v>
      </c>
      <c r="H2412"/>
      <c r="I2412" s="88">
        <f t="shared" si="148"/>
        <v>13016.550000000003</v>
      </c>
      <c r="L2412" s="2">
        <f t="shared" si="149"/>
        <v>12</v>
      </c>
    </row>
    <row r="2413" spans="1:12" x14ac:dyDescent="0.3">
      <c r="A2413" s="3">
        <v>45434</v>
      </c>
      <c r="B2413" s="11" t="s">
        <v>1250</v>
      </c>
      <c r="C2413" s="65" t="s">
        <v>4658</v>
      </c>
      <c r="E2413" s="4"/>
      <c r="F2413"/>
      <c r="G2413">
        <v>6000</v>
      </c>
      <c r="H2413"/>
      <c r="I2413" s="88">
        <f t="shared" si="148"/>
        <v>19016.550000000003</v>
      </c>
      <c r="L2413" s="2">
        <f t="shared" si="149"/>
        <v>20</v>
      </c>
    </row>
    <row r="2414" spans="1:12" x14ac:dyDescent="0.3">
      <c r="A2414" s="3">
        <v>45434</v>
      </c>
      <c r="B2414" s="11" t="s">
        <v>1160</v>
      </c>
      <c r="C2414" s="65" t="s">
        <v>5167</v>
      </c>
      <c r="D2414" s="50">
        <v>7463843058</v>
      </c>
      <c r="E2414" s="4"/>
      <c r="F2414"/>
      <c r="G2414">
        <v>1000</v>
      </c>
      <c r="H2414"/>
      <c r="I2414" s="88">
        <f t="shared" si="148"/>
        <v>20016.550000000003</v>
      </c>
      <c r="L2414" s="2">
        <f t="shared" si="149"/>
        <v>4</v>
      </c>
    </row>
    <row r="2415" spans="1:12" x14ac:dyDescent="0.3">
      <c r="A2415" s="3">
        <v>45496</v>
      </c>
      <c r="B2415" s="11" t="s">
        <v>1250</v>
      </c>
      <c r="C2415" s="65" t="s">
        <v>2443</v>
      </c>
      <c r="E2415" s="4"/>
      <c r="F2415"/>
      <c r="G2415">
        <v>1700</v>
      </c>
      <c r="H2415"/>
      <c r="I2415" s="88">
        <f t="shared" si="148"/>
        <v>21716.550000000003</v>
      </c>
      <c r="L2415" s="2">
        <f t="shared" si="149"/>
        <v>6.8</v>
      </c>
    </row>
    <row r="2416" spans="1:12" x14ac:dyDescent="0.3">
      <c r="A2416" s="3">
        <v>45496</v>
      </c>
      <c r="B2416" s="11" t="s">
        <v>1250</v>
      </c>
      <c r="C2416" s="65" t="s">
        <v>5014</v>
      </c>
      <c r="E2416" s="4"/>
      <c r="F2416"/>
      <c r="G2416">
        <v>2500</v>
      </c>
      <c r="H2416"/>
      <c r="I2416" s="88">
        <f t="shared" si="148"/>
        <v>24216.550000000003</v>
      </c>
      <c r="L2416" s="2">
        <f t="shared" si="149"/>
        <v>10</v>
      </c>
    </row>
    <row r="2417" spans="1:12" x14ac:dyDescent="0.3">
      <c r="A2417" s="3">
        <v>45496</v>
      </c>
      <c r="B2417" s="11" t="s">
        <v>1160</v>
      </c>
      <c r="C2417" s="65" t="s">
        <v>5170</v>
      </c>
      <c r="E2417" s="4"/>
      <c r="F2417"/>
      <c r="G2417">
        <v>200</v>
      </c>
      <c r="H2417"/>
      <c r="I2417" s="88">
        <f t="shared" si="148"/>
        <v>24416.550000000003</v>
      </c>
      <c r="L2417" s="2">
        <f t="shared" si="149"/>
        <v>0.8</v>
      </c>
    </row>
    <row r="2418" spans="1:12" x14ac:dyDescent="0.3">
      <c r="A2418" s="3">
        <v>45496</v>
      </c>
      <c r="B2418" s="11">
        <v>4164</v>
      </c>
      <c r="C2418" s="65" t="s">
        <v>2289</v>
      </c>
      <c r="E2418" s="4"/>
      <c r="F2418"/>
      <c r="G2418"/>
      <c r="H2418">
        <v>7000</v>
      </c>
      <c r="I2418" s="88">
        <f t="shared" si="148"/>
        <v>17416.550000000003</v>
      </c>
      <c r="L2418" s="2">
        <f t="shared" si="149"/>
        <v>20</v>
      </c>
    </row>
    <row r="2419" spans="1:12" x14ac:dyDescent="0.3">
      <c r="A2419" s="3">
        <v>45496</v>
      </c>
      <c r="B2419" s="11">
        <v>4163</v>
      </c>
      <c r="C2419" s="65" t="s">
        <v>5171</v>
      </c>
      <c r="E2419" s="4"/>
      <c r="F2419"/>
      <c r="G2419"/>
      <c r="H2419">
        <v>1500</v>
      </c>
      <c r="I2419" s="88">
        <f t="shared" si="148"/>
        <v>15916.550000000003</v>
      </c>
      <c r="L2419" s="2">
        <f t="shared" si="149"/>
        <v>6</v>
      </c>
    </row>
    <row r="2420" spans="1:12" x14ac:dyDescent="0.3">
      <c r="A2420" s="3">
        <v>45496</v>
      </c>
      <c r="B2420" s="11">
        <v>5472</v>
      </c>
      <c r="C2420" s="65" t="s">
        <v>5177</v>
      </c>
      <c r="E2420" s="4" t="s">
        <v>16</v>
      </c>
      <c r="F2420"/>
      <c r="G2420"/>
      <c r="H2420">
        <v>500</v>
      </c>
      <c r="I2420" s="88">
        <f t="shared" si="148"/>
        <v>15416.550000000003</v>
      </c>
      <c r="L2420" s="2">
        <f t="shared" si="149"/>
        <v>27</v>
      </c>
    </row>
    <row r="2421" spans="1:12" x14ac:dyDescent="0.3">
      <c r="A2421" s="3">
        <v>45497</v>
      </c>
      <c r="B2421" s="11" t="s">
        <v>1250</v>
      </c>
      <c r="C2421" s="65" t="s">
        <v>3840</v>
      </c>
      <c r="E2421" s="4"/>
      <c r="F2421"/>
      <c r="G2421">
        <v>3000</v>
      </c>
      <c r="H2421"/>
      <c r="I2421" s="88">
        <f t="shared" si="148"/>
        <v>18416.550000000003</v>
      </c>
      <c r="L2421" s="2">
        <f t="shared" si="149"/>
        <v>12</v>
      </c>
    </row>
    <row r="2422" spans="1:12" x14ac:dyDescent="0.3">
      <c r="A2422" s="3">
        <v>45497</v>
      </c>
      <c r="B2422" s="11" t="s">
        <v>2716</v>
      </c>
      <c r="C2422" s="65" t="s">
        <v>1279</v>
      </c>
      <c r="E2422" s="4"/>
      <c r="F2422"/>
      <c r="G2422"/>
      <c r="H2422">
        <v>5000</v>
      </c>
      <c r="I2422" s="88">
        <f t="shared" si="148"/>
        <v>13416.550000000003</v>
      </c>
      <c r="L2422" s="2">
        <f t="shared" si="149"/>
        <v>20</v>
      </c>
    </row>
    <row r="2423" spans="1:12" x14ac:dyDescent="0.3">
      <c r="A2423" s="3">
        <v>45497</v>
      </c>
      <c r="B2423" s="11" t="s">
        <v>3571</v>
      </c>
      <c r="C2423" s="65" t="s">
        <v>3542</v>
      </c>
      <c r="E2423" s="4"/>
      <c r="F2423"/>
      <c r="G2423">
        <v>600</v>
      </c>
      <c r="H2423"/>
      <c r="I2423" s="88">
        <f t="shared" si="148"/>
        <v>14016.550000000003</v>
      </c>
      <c r="L2423" s="2">
        <f t="shared" si="149"/>
        <v>2.4</v>
      </c>
    </row>
    <row r="2424" spans="1:12" x14ac:dyDescent="0.3">
      <c r="A2424" s="3">
        <v>45497</v>
      </c>
      <c r="B2424" s="11" t="s">
        <v>2416</v>
      </c>
      <c r="C2424" s="65" t="s">
        <v>5179</v>
      </c>
      <c r="E2424" s="4"/>
      <c r="F2424"/>
      <c r="G2424">
        <v>2000</v>
      </c>
      <c r="H2424"/>
      <c r="I2424" s="88">
        <f t="shared" si="148"/>
        <v>16016.550000000003</v>
      </c>
      <c r="L2424" s="2">
        <f t="shared" si="149"/>
        <v>8</v>
      </c>
    </row>
    <row r="2425" spans="1:12" x14ac:dyDescent="0.3">
      <c r="A2425" s="3">
        <v>45497</v>
      </c>
      <c r="B2425" s="11" t="s">
        <v>2351</v>
      </c>
      <c r="C2425" s="65" t="s">
        <v>3246</v>
      </c>
      <c r="E2425" s="4"/>
      <c r="F2425"/>
      <c r="G2425">
        <v>3400</v>
      </c>
      <c r="H2425"/>
      <c r="I2425" s="88">
        <f t="shared" si="148"/>
        <v>19416.550000000003</v>
      </c>
      <c r="L2425" s="2">
        <f t="shared" si="149"/>
        <v>13.6</v>
      </c>
    </row>
    <row r="2426" spans="1:12" x14ac:dyDescent="0.3">
      <c r="A2426" s="3">
        <v>45497</v>
      </c>
      <c r="B2426" s="11" t="s">
        <v>1250</v>
      </c>
      <c r="C2426" s="65" t="s">
        <v>5084</v>
      </c>
      <c r="E2426" s="4"/>
      <c r="F2426"/>
      <c r="G2426">
        <v>1000</v>
      </c>
      <c r="H2426"/>
      <c r="I2426" s="88">
        <f t="shared" si="148"/>
        <v>20416.550000000003</v>
      </c>
      <c r="L2426" s="2">
        <f t="shared" si="149"/>
        <v>4</v>
      </c>
    </row>
    <row r="2427" spans="1:12" x14ac:dyDescent="0.3">
      <c r="A2427" s="3">
        <v>45497</v>
      </c>
      <c r="B2427" s="11">
        <v>5473</v>
      </c>
      <c r="C2427" s="65" t="s">
        <v>5184</v>
      </c>
      <c r="E2427" s="4" t="s">
        <v>16</v>
      </c>
      <c r="F2427"/>
      <c r="G2427"/>
      <c r="H2427">
        <v>500</v>
      </c>
      <c r="I2427" s="88">
        <f t="shared" si="148"/>
        <v>19916.550000000003</v>
      </c>
      <c r="L2427" s="2">
        <f t="shared" si="149"/>
        <v>27</v>
      </c>
    </row>
    <row r="2428" spans="1:12" x14ac:dyDescent="0.3">
      <c r="A2428" s="3">
        <v>45497</v>
      </c>
      <c r="B2428" s="11">
        <v>5474</v>
      </c>
      <c r="C2428" s="65" t="s">
        <v>5189</v>
      </c>
      <c r="E2428" s="4" t="s">
        <v>16</v>
      </c>
      <c r="F2428"/>
      <c r="G2428"/>
      <c r="H2428">
        <v>500</v>
      </c>
      <c r="I2428" s="88">
        <f t="shared" si="148"/>
        <v>19416.550000000003</v>
      </c>
      <c r="L2428" s="2">
        <f t="shared" si="149"/>
        <v>27</v>
      </c>
    </row>
    <row r="2429" spans="1:12" x14ac:dyDescent="0.3">
      <c r="A2429" s="3">
        <v>45497</v>
      </c>
      <c r="B2429" s="11" t="s">
        <v>5165</v>
      </c>
      <c r="C2429" s="65" t="s">
        <v>5190</v>
      </c>
      <c r="E2429" s="4"/>
      <c r="F2429"/>
      <c r="G2429">
        <v>4000</v>
      </c>
      <c r="H2429"/>
      <c r="I2429" s="88">
        <f t="shared" si="148"/>
        <v>23416.550000000003</v>
      </c>
      <c r="L2429" s="2">
        <f t="shared" si="149"/>
        <v>16</v>
      </c>
    </row>
    <row r="2430" spans="1:12" x14ac:dyDescent="0.3">
      <c r="A2430" s="3">
        <v>45497</v>
      </c>
      <c r="B2430" s="11" t="s">
        <v>5192</v>
      </c>
      <c r="C2430" s="65" t="s">
        <v>5193</v>
      </c>
      <c r="E2430" s="4" t="s">
        <v>16</v>
      </c>
      <c r="F2430"/>
      <c r="G2430"/>
      <c r="H2430">
        <v>150</v>
      </c>
      <c r="I2430" s="88">
        <f t="shared" si="148"/>
        <v>23266.550000000003</v>
      </c>
      <c r="L2430" s="2">
        <f t="shared" si="149"/>
        <v>25.6</v>
      </c>
    </row>
    <row r="2431" spans="1:12" x14ac:dyDescent="0.3">
      <c r="A2431" s="3">
        <v>45498</v>
      </c>
      <c r="B2431" s="11">
        <v>4477</v>
      </c>
      <c r="C2431" s="65" t="s">
        <v>5200</v>
      </c>
      <c r="E2431" s="4"/>
      <c r="F2431"/>
      <c r="G2431">
        <v>2000</v>
      </c>
      <c r="H2431"/>
      <c r="I2431" s="88">
        <f t="shared" si="148"/>
        <v>25266.550000000003</v>
      </c>
      <c r="L2431" s="2">
        <f t="shared" si="149"/>
        <v>8</v>
      </c>
    </row>
    <row r="2432" spans="1:12" x14ac:dyDescent="0.3">
      <c r="A2432" s="3">
        <v>45498</v>
      </c>
      <c r="B2432" s="11" t="s">
        <v>2241</v>
      </c>
      <c r="C2432" s="65" t="s">
        <v>5201</v>
      </c>
      <c r="E2432" s="4"/>
      <c r="F2432"/>
      <c r="G2432">
        <v>2000</v>
      </c>
      <c r="H2432"/>
      <c r="I2432" s="88">
        <f t="shared" si="148"/>
        <v>27266.550000000003</v>
      </c>
      <c r="L2432" s="2">
        <f t="shared" si="149"/>
        <v>8</v>
      </c>
    </row>
    <row r="2433" spans="1:12" x14ac:dyDescent="0.3">
      <c r="A2433" s="3">
        <v>45498</v>
      </c>
      <c r="B2433" s="11">
        <v>4654</v>
      </c>
      <c r="C2433" s="65" t="s">
        <v>252</v>
      </c>
      <c r="E2433" s="4"/>
      <c r="F2433"/>
      <c r="G2433"/>
      <c r="H2433">
        <v>5000</v>
      </c>
      <c r="I2433" s="88">
        <f t="shared" si="148"/>
        <v>22266.550000000003</v>
      </c>
      <c r="L2433" s="2">
        <f t="shared" si="149"/>
        <v>20</v>
      </c>
    </row>
    <row r="2434" spans="1:12" x14ac:dyDescent="0.3">
      <c r="A2434" s="3">
        <v>45498</v>
      </c>
      <c r="B2434" s="11">
        <v>4163</v>
      </c>
      <c r="C2434" s="65" t="s">
        <v>5171</v>
      </c>
      <c r="E2434" s="4"/>
      <c r="F2434"/>
      <c r="G2434"/>
      <c r="H2434">
        <v>4000</v>
      </c>
      <c r="I2434" s="88">
        <f t="shared" si="148"/>
        <v>18266.550000000003</v>
      </c>
      <c r="L2434" s="2">
        <f t="shared" si="149"/>
        <v>16</v>
      </c>
    </row>
    <row r="2435" spans="1:12" x14ac:dyDescent="0.3">
      <c r="A2435" s="3">
        <v>45498</v>
      </c>
      <c r="B2435" s="11" t="s">
        <v>1250</v>
      </c>
      <c r="C2435" s="65" t="s">
        <v>3542</v>
      </c>
      <c r="E2435" s="4"/>
      <c r="F2435"/>
      <c r="G2435">
        <v>1500</v>
      </c>
      <c r="H2435"/>
      <c r="I2435" s="88">
        <f t="shared" si="148"/>
        <v>19766.550000000003</v>
      </c>
      <c r="L2435" s="2">
        <f t="shared" si="149"/>
        <v>6</v>
      </c>
    </row>
    <row r="2436" spans="1:12" x14ac:dyDescent="0.3">
      <c r="A2436" s="3">
        <v>45498</v>
      </c>
      <c r="B2436" s="11">
        <v>5476</v>
      </c>
      <c r="C2436" s="65" t="s">
        <v>5197</v>
      </c>
      <c r="E2436" s="4" t="s">
        <v>16</v>
      </c>
      <c r="F2436"/>
      <c r="G2436"/>
      <c r="H2436">
        <v>500</v>
      </c>
      <c r="I2436" s="88">
        <f t="shared" si="148"/>
        <v>19266.550000000003</v>
      </c>
      <c r="L2436" s="2">
        <f t="shared" si="149"/>
        <v>27</v>
      </c>
    </row>
    <row r="2437" spans="1:12" x14ac:dyDescent="0.3">
      <c r="A2437" s="3">
        <v>45499</v>
      </c>
      <c r="B2437" s="11">
        <v>5477</v>
      </c>
      <c r="C2437" s="65" t="s">
        <v>5206</v>
      </c>
      <c r="E2437" s="4" t="s">
        <v>16</v>
      </c>
      <c r="F2437"/>
      <c r="G2437"/>
      <c r="H2437">
        <v>100</v>
      </c>
      <c r="I2437" s="88">
        <f t="shared" si="148"/>
        <v>19166.550000000003</v>
      </c>
      <c r="L2437" s="2">
        <f t="shared" si="149"/>
        <v>25.4</v>
      </c>
    </row>
    <row r="2438" spans="1:12" x14ac:dyDescent="0.3">
      <c r="A2438" s="3">
        <v>45499</v>
      </c>
      <c r="B2438" s="11">
        <v>2028</v>
      </c>
      <c r="C2438" s="65" t="s">
        <v>3542</v>
      </c>
      <c r="E2438" s="4"/>
      <c r="F2438"/>
      <c r="G2438">
        <v>500</v>
      </c>
      <c r="H2438"/>
      <c r="I2438" s="88">
        <f t="shared" si="148"/>
        <v>19666.550000000003</v>
      </c>
      <c r="L2438" s="2">
        <f t="shared" si="149"/>
        <v>2</v>
      </c>
    </row>
    <row r="2439" spans="1:12" x14ac:dyDescent="0.3">
      <c r="A2439" s="3">
        <v>45500</v>
      </c>
      <c r="C2439" s="65"/>
      <c r="E2439" s="4"/>
      <c r="F2439"/>
      <c r="G2439"/>
      <c r="H2439">
        <v>2150</v>
      </c>
      <c r="I2439" s="88">
        <f t="shared" si="148"/>
        <v>17516.550000000003</v>
      </c>
      <c r="L2439" s="2">
        <f t="shared" si="149"/>
        <v>8.6</v>
      </c>
    </row>
    <row r="2440" spans="1:12" x14ac:dyDescent="0.3">
      <c r="A2440" s="3">
        <v>45500</v>
      </c>
      <c r="B2440" s="11" t="s">
        <v>5214</v>
      </c>
      <c r="C2440" s="65" t="s">
        <v>5088</v>
      </c>
      <c r="E2440" s="4"/>
      <c r="F2440"/>
      <c r="G2440"/>
      <c r="H2440">
        <v>5000</v>
      </c>
      <c r="I2440" s="88">
        <f t="shared" si="148"/>
        <v>12516.550000000003</v>
      </c>
      <c r="L2440" s="2">
        <f t="shared" si="149"/>
        <v>20</v>
      </c>
    </row>
    <row r="2441" spans="1:12" x14ac:dyDescent="0.3">
      <c r="A2441" s="3">
        <v>45500</v>
      </c>
      <c r="B2441" s="11" t="s">
        <v>1250</v>
      </c>
      <c r="C2441" s="65" t="s">
        <v>2443</v>
      </c>
      <c r="E2441" s="4"/>
      <c r="F2441"/>
      <c r="G2441">
        <v>1350</v>
      </c>
      <c r="H2441"/>
      <c r="I2441" s="88">
        <f t="shared" si="148"/>
        <v>13866.550000000003</v>
      </c>
      <c r="L2441" s="2">
        <f t="shared" si="149"/>
        <v>5.4</v>
      </c>
    </row>
    <row r="2442" spans="1:12" x14ac:dyDescent="0.3">
      <c r="A2442" s="3">
        <v>45502</v>
      </c>
      <c r="B2442" s="11">
        <v>5472</v>
      </c>
      <c r="C2442" s="65"/>
      <c r="E2442" s="4"/>
      <c r="F2442"/>
      <c r="G2442"/>
      <c r="H2442">
        <v>5000</v>
      </c>
      <c r="I2442" s="88">
        <f t="shared" si="148"/>
        <v>8866.5500000000029</v>
      </c>
      <c r="L2442" s="2">
        <f t="shared" si="149"/>
        <v>20</v>
      </c>
    </row>
    <row r="2443" spans="1:12" x14ac:dyDescent="0.3">
      <c r="A2443" s="3">
        <v>45502</v>
      </c>
      <c r="B2443" s="11" t="s">
        <v>1250</v>
      </c>
      <c r="C2443" s="65" t="s">
        <v>3251</v>
      </c>
      <c r="E2443" s="4"/>
      <c r="F2443"/>
      <c r="G2443"/>
      <c r="H2443">
        <v>1900</v>
      </c>
      <c r="I2443" s="88">
        <f t="shared" si="148"/>
        <v>6966.5500000000029</v>
      </c>
      <c r="L2443" s="2">
        <f t="shared" si="149"/>
        <v>7.6000000000000005</v>
      </c>
    </row>
    <row r="2444" spans="1:12" x14ac:dyDescent="0.3">
      <c r="A2444" s="3">
        <v>45502</v>
      </c>
      <c r="B2444" s="11" t="s">
        <v>5215</v>
      </c>
      <c r="C2444" s="65" t="s">
        <v>2443</v>
      </c>
      <c r="E2444" s="4"/>
      <c r="F2444"/>
      <c r="G2444">
        <v>3140</v>
      </c>
      <c r="H2444"/>
      <c r="I2444" s="88">
        <f t="shared" si="148"/>
        <v>10106.550000000003</v>
      </c>
      <c r="L2444" s="2">
        <f t="shared" si="149"/>
        <v>12.56</v>
      </c>
    </row>
    <row r="2445" spans="1:12" x14ac:dyDescent="0.3">
      <c r="A2445" s="3">
        <v>45503</v>
      </c>
      <c r="B2445" s="11">
        <v>4164</v>
      </c>
      <c r="C2445" s="65" t="s">
        <v>2289</v>
      </c>
      <c r="E2445" s="4"/>
      <c r="F2445"/>
      <c r="G2445"/>
      <c r="H2445">
        <v>6000</v>
      </c>
      <c r="I2445" s="88">
        <f t="shared" si="148"/>
        <v>4106.5500000000029</v>
      </c>
      <c r="L2445" s="2">
        <f t="shared" si="149"/>
        <v>20</v>
      </c>
    </row>
    <row r="2446" spans="1:12" x14ac:dyDescent="0.3">
      <c r="A2446" s="3">
        <v>45504</v>
      </c>
      <c r="B2446" s="11">
        <v>5478</v>
      </c>
      <c r="C2446" s="65"/>
      <c r="E2446" s="4" t="s">
        <v>16</v>
      </c>
      <c r="F2446"/>
      <c r="G2446"/>
      <c r="H2446">
        <v>500</v>
      </c>
      <c r="I2446" s="88">
        <f t="shared" si="148"/>
        <v>3606.5500000000029</v>
      </c>
      <c r="L2446" s="2">
        <f t="shared" si="149"/>
        <v>27</v>
      </c>
    </row>
    <row r="2447" spans="1:12" x14ac:dyDescent="0.3">
      <c r="A2447" s="3">
        <v>45504</v>
      </c>
      <c r="B2447" s="11">
        <v>5479</v>
      </c>
      <c r="C2447" s="65" t="s">
        <v>5221</v>
      </c>
      <c r="E2447" s="4" t="s">
        <v>16</v>
      </c>
      <c r="F2447"/>
      <c r="G2447"/>
      <c r="H2447">
        <v>400</v>
      </c>
      <c r="I2447" s="88">
        <f t="shared" si="148"/>
        <v>3206.5500000000029</v>
      </c>
      <c r="L2447" s="2">
        <f t="shared" si="149"/>
        <v>26.6</v>
      </c>
    </row>
    <row r="2448" spans="1:12" x14ac:dyDescent="0.3">
      <c r="A2448" s="3">
        <v>45504</v>
      </c>
      <c r="B2448" s="11" t="s">
        <v>3148</v>
      </c>
      <c r="C2448" s="65" t="s">
        <v>5014</v>
      </c>
      <c r="E2448" s="4"/>
      <c r="F2448"/>
      <c r="G2448">
        <v>6000</v>
      </c>
      <c r="H2448"/>
      <c r="I2448" s="88">
        <f t="shared" si="148"/>
        <v>9206.5500000000029</v>
      </c>
      <c r="L2448" s="2">
        <f t="shared" si="149"/>
        <v>20</v>
      </c>
    </row>
    <row r="2449" spans="1:12" x14ac:dyDescent="0.3">
      <c r="A2449" s="3">
        <v>45504</v>
      </c>
      <c r="C2449" s="65" t="s">
        <v>2274</v>
      </c>
      <c r="E2449" s="4"/>
      <c r="F2449"/>
      <c r="G2449"/>
      <c r="H2449">
        <v>5000</v>
      </c>
      <c r="I2449" s="88">
        <f t="shared" si="148"/>
        <v>4206.5500000000029</v>
      </c>
      <c r="L2449" s="2">
        <f t="shared" si="149"/>
        <v>20</v>
      </c>
    </row>
    <row r="2450" spans="1:12" ht="45" customHeight="1" x14ac:dyDescent="0.3">
      <c r="A2450" s="3">
        <v>45504</v>
      </c>
      <c r="B2450" s="11" t="s">
        <v>3148</v>
      </c>
      <c r="C2450" s="65" t="s">
        <v>4852</v>
      </c>
      <c r="E2450" s="4"/>
      <c r="F2450"/>
      <c r="G2450">
        <v>2000</v>
      </c>
      <c r="H2450"/>
      <c r="I2450" s="88">
        <f t="shared" si="148"/>
        <v>6206.5500000000029</v>
      </c>
      <c r="L2450" s="2">
        <f t="shared" si="149"/>
        <v>8</v>
      </c>
    </row>
    <row r="2451" spans="1:12" x14ac:dyDescent="0.3">
      <c r="A2451" s="3">
        <v>45504</v>
      </c>
      <c r="B2451" s="11" t="s">
        <v>5218</v>
      </c>
      <c r="C2451" s="51"/>
      <c r="D2451" s="7"/>
      <c r="E2451" s="4" t="s">
        <v>16</v>
      </c>
      <c r="F2451"/>
      <c r="G2451"/>
      <c r="H2451">
        <v>500</v>
      </c>
      <c r="I2451" s="88">
        <f t="shared" si="148"/>
        <v>5706.5500000000029</v>
      </c>
      <c r="L2451" s="2">
        <f t="shared" si="149"/>
        <v>27</v>
      </c>
    </row>
    <row r="2452" spans="1:12" x14ac:dyDescent="0.3">
      <c r="A2452" s="3">
        <v>45504</v>
      </c>
      <c r="B2452" s="11" t="s">
        <v>5219</v>
      </c>
      <c r="C2452" s="51"/>
      <c r="D2452" s="7" t="s">
        <v>5221</v>
      </c>
      <c r="E2452" s="4" t="s">
        <v>16</v>
      </c>
      <c r="F2452"/>
      <c r="G2452"/>
      <c r="H2452" s="4">
        <v>400</v>
      </c>
      <c r="I2452" s="88">
        <f>I2451+G2452-H2452</f>
        <v>5306.5500000000029</v>
      </c>
      <c r="L2452" s="2">
        <f t="shared" si="149"/>
        <v>26.6</v>
      </c>
    </row>
    <row r="2453" spans="1:12" x14ac:dyDescent="0.3">
      <c r="A2453" s="3">
        <v>45504</v>
      </c>
      <c r="B2453" s="11" t="s">
        <v>5223</v>
      </c>
      <c r="C2453" s="51"/>
      <c r="D2453" s="7" t="s">
        <v>5224</v>
      </c>
      <c r="E2453" s="4" t="s">
        <v>16</v>
      </c>
      <c r="F2453"/>
      <c r="G2453"/>
      <c r="H2453" s="4">
        <v>200</v>
      </c>
      <c r="I2453" s="88">
        <f>I2452+G2453-H2453</f>
        <v>5106.5500000000029</v>
      </c>
      <c r="L2453" s="2">
        <f t="shared" si="149"/>
        <v>25.8</v>
      </c>
    </row>
    <row r="2454" spans="1:12" x14ac:dyDescent="0.3">
      <c r="I2454" s="88">
        <f>I2453+G2459-H2459</f>
        <v>5006.5500000000029</v>
      </c>
      <c r="L2454" s="2">
        <f>IF((G2459+H2459)&lt;=5000,(H2459+G2459)*0.004,20)+IF(E2459="Y",25,0)</f>
        <v>25.4</v>
      </c>
    </row>
    <row r="2455" spans="1:12" x14ac:dyDescent="0.3">
      <c r="A2455" s="3"/>
      <c r="C2455" s="65"/>
      <c r="E2455" s="4"/>
      <c r="F2455"/>
      <c r="G2455"/>
      <c r="H2455"/>
      <c r="I2455" s="88"/>
    </row>
    <row r="2456" spans="1:12" x14ac:dyDescent="0.3">
      <c r="A2456" s="77">
        <f>COUNT(A2326:A2455)</f>
        <v>128</v>
      </c>
      <c r="B2456" s="80"/>
      <c r="C2456" s="112"/>
      <c r="D2456" s="112"/>
      <c r="E2456" s="92">
        <f>COUNTIF(E2326:E2455,"Y")</f>
        <v>39</v>
      </c>
      <c r="F2456" s="77">
        <f>G2456+H2456</f>
        <v>321290</v>
      </c>
      <c r="G2456" s="80">
        <f>SUM(G2326:G2455)</f>
        <v>159490</v>
      </c>
      <c r="H2456" s="80">
        <f>SUM(H2326:H2455)</f>
        <v>161800</v>
      </c>
      <c r="I2456" s="80"/>
      <c r="J2456" s="80"/>
      <c r="K2456" s="80"/>
      <c r="L2456" s="80">
        <f>SUM(L2326:L2455)</f>
        <v>2014.3599999999997</v>
      </c>
    </row>
    <row r="2458" spans="1:12" x14ac:dyDescent="0.3">
      <c r="A2458" s="3">
        <v>45505</v>
      </c>
      <c r="C2458" s="50" t="s">
        <v>4112</v>
      </c>
      <c r="H2458" s="88">
        <v>3144.88</v>
      </c>
      <c r="I2458" s="88">
        <v>3144.88</v>
      </c>
    </row>
    <row r="2459" spans="1:12" x14ac:dyDescent="0.3">
      <c r="A2459" s="3">
        <v>45505</v>
      </c>
      <c r="B2459" s="11" t="s">
        <v>5226</v>
      </c>
      <c r="C2459" s="65" t="s">
        <v>5227</v>
      </c>
      <c r="E2459" s="4" t="s">
        <v>16</v>
      </c>
      <c r="F2459"/>
      <c r="G2459"/>
      <c r="H2459" s="4">
        <v>100</v>
      </c>
      <c r="I2459" s="88">
        <f>I2458+G2459-H2459</f>
        <v>3044.88</v>
      </c>
      <c r="L2459" s="2">
        <f t="shared" ref="L2459:L2474" si="150">IF((G2459+H2459)&lt;=5000,(H2459+G2459)*0.004,20)+IF(E2459="Y",25,0)</f>
        <v>25.4</v>
      </c>
    </row>
    <row r="2460" spans="1:12" x14ac:dyDescent="0.3">
      <c r="A2460" s="3">
        <v>45505</v>
      </c>
      <c r="B2460" s="11" t="s">
        <v>5230</v>
      </c>
      <c r="C2460" s="65" t="s">
        <v>5231</v>
      </c>
      <c r="E2460" s="4" t="s">
        <v>16</v>
      </c>
      <c r="H2460" s="4">
        <v>100</v>
      </c>
      <c r="I2460" s="88">
        <f t="shared" ref="I2460:I2523" si="151">I2459+G2460-H2460</f>
        <v>2944.88</v>
      </c>
      <c r="J2460" s="62"/>
      <c r="L2460" s="2">
        <f t="shared" si="150"/>
        <v>25.4</v>
      </c>
    </row>
    <row r="2461" spans="1:12" x14ac:dyDescent="0.3">
      <c r="A2461" s="3">
        <v>45505</v>
      </c>
      <c r="B2461" s="11" t="s">
        <v>5234</v>
      </c>
      <c r="C2461" s="65" t="s">
        <v>5235</v>
      </c>
      <c r="E2461" s="4" t="s">
        <v>16</v>
      </c>
      <c r="H2461" s="4">
        <v>100</v>
      </c>
      <c r="I2461" s="88">
        <f t="shared" si="151"/>
        <v>2844.88</v>
      </c>
      <c r="L2461" s="2">
        <f t="shared" si="150"/>
        <v>25.4</v>
      </c>
    </row>
    <row r="2462" spans="1:12" x14ac:dyDescent="0.3">
      <c r="A2462" s="3">
        <v>45505</v>
      </c>
      <c r="B2462" s="11" t="s">
        <v>5238</v>
      </c>
      <c r="C2462" s="65" t="s">
        <v>5239</v>
      </c>
      <c r="E2462" s="4" t="s">
        <v>16</v>
      </c>
      <c r="H2462" s="4">
        <v>100</v>
      </c>
      <c r="I2462" s="88">
        <f t="shared" si="151"/>
        <v>2744.88</v>
      </c>
      <c r="L2462" s="2">
        <f t="shared" si="150"/>
        <v>25.4</v>
      </c>
    </row>
    <row r="2463" spans="1:12" x14ac:dyDescent="0.3">
      <c r="A2463" s="3">
        <v>45505</v>
      </c>
      <c r="B2463" s="11" t="s">
        <v>5241</v>
      </c>
      <c r="C2463" s="65" t="s">
        <v>5242</v>
      </c>
      <c r="E2463" s="4" t="s">
        <v>16</v>
      </c>
      <c r="H2463" s="4">
        <v>100</v>
      </c>
      <c r="I2463" s="88">
        <f t="shared" si="151"/>
        <v>2644.88</v>
      </c>
      <c r="L2463" s="2">
        <f t="shared" si="150"/>
        <v>25.4</v>
      </c>
    </row>
    <row r="2464" spans="1:12" x14ac:dyDescent="0.3">
      <c r="A2464" s="3">
        <v>45505</v>
      </c>
      <c r="B2464" s="11" t="s">
        <v>2241</v>
      </c>
      <c r="C2464" s="65" t="s">
        <v>5245</v>
      </c>
      <c r="G2464" s="2">
        <v>500</v>
      </c>
      <c r="I2464" s="88">
        <f t="shared" si="151"/>
        <v>3144.88</v>
      </c>
      <c r="L2464" s="2">
        <f t="shared" si="150"/>
        <v>2</v>
      </c>
    </row>
    <row r="2465" spans="1:12" x14ac:dyDescent="0.3">
      <c r="A2465" s="3">
        <v>45506</v>
      </c>
      <c r="B2465" s="11" t="s">
        <v>1250</v>
      </c>
      <c r="G2465" s="2">
        <v>1000</v>
      </c>
      <c r="I2465" s="88">
        <f t="shared" si="151"/>
        <v>4144.88</v>
      </c>
      <c r="J2465" s="62"/>
      <c r="L2465" s="2">
        <f t="shared" si="150"/>
        <v>4</v>
      </c>
    </row>
    <row r="2466" spans="1:12" x14ac:dyDescent="0.3">
      <c r="A2466" s="3">
        <v>45506</v>
      </c>
      <c r="B2466" s="11" t="s">
        <v>4334</v>
      </c>
      <c r="C2466" s="65" t="s">
        <v>5247</v>
      </c>
      <c r="E2466" s="90" t="s">
        <v>16</v>
      </c>
      <c r="H2466" s="2">
        <v>100</v>
      </c>
      <c r="I2466" s="88">
        <f t="shared" si="151"/>
        <v>4044.88</v>
      </c>
      <c r="L2466" s="2">
        <f t="shared" si="150"/>
        <v>25.4</v>
      </c>
    </row>
    <row r="2467" spans="1:12" x14ac:dyDescent="0.3">
      <c r="A2467" s="3">
        <v>45506</v>
      </c>
      <c r="B2467" s="11" t="s">
        <v>5250</v>
      </c>
      <c r="C2467" s="65" t="s">
        <v>5251</v>
      </c>
      <c r="E2467" s="90" t="s">
        <v>16</v>
      </c>
      <c r="H2467" s="2">
        <v>100</v>
      </c>
      <c r="I2467" s="88">
        <f t="shared" si="151"/>
        <v>3944.88</v>
      </c>
      <c r="L2467" s="2">
        <f t="shared" si="150"/>
        <v>25.4</v>
      </c>
    </row>
    <row r="2468" spans="1:12" x14ac:dyDescent="0.3">
      <c r="A2468" s="3">
        <v>45506</v>
      </c>
      <c r="B2468" s="11" t="s">
        <v>5254</v>
      </c>
      <c r="C2468" s="65" t="s">
        <v>5257</v>
      </c>
      <c r="E2468" s="90" t="s">
        <v>16</v>
      </c>
      <c r="H2468" s="2">
        <v>100</v>
      </c>
      <c r="I2468" s="88">
        <f t="shared" si="151"/>
        <v>3844.88</v>
      </c>
      <c r="L2468" s="2">
        <f t="shared" si="150"/>
        <v>25.4</v>
      </c>
    </row>
    <row r="2469" spans="1:12" x14ac:dyDescent="0.3">
      <c r="A2469" s="3">
        <v>45506</v>
      </c>
      <c r="B2469" s="11" t="s">
        <v>5259</v>
      </c>
      <c r="C2469" s="65" t="s">
        <v>5260</v>
      </c>
      <c r="E2469" s="90" t="s">
        <v>16</v>
      </c>
      <c r="H2469" s="2">
        <v>300</v>
      </c>
      <c r="I2469" s="88">
        <f t="shared" si="151"/>
        <v>3544.88</v>
      </c>
      <c r="L2469" s="2">
        <f t="shared" si="150"/>
        <v>26.2</v>
      </c>
    </row>
    <row r="2470" spans="1:12" x14ac:dyDescent="0.3">
      <c r="A2470" s="3">
        <v>45506</v>
      </c>
      <c r="B2470" s="11" t="s">
        <v>5263</v>
      </c>
      <c r="C2470" s="65" t="s">
        <v>5264</v>
      </c>
      <c r="E2470" s="90" t="s">
        <v>16</v>
      </c>
      <c r="H2470" s="2">
        <v>300</v>
      </c>
      <c r="I2470" s="88">
        <f t="shared" si="151"/>
        <v>3244.88</v>
      </c>
      <c r="J2470" s="62"/>
      <c r="L2470" s="2">
        <f t="shared" si="150"/>
        <v>26.2</v>
      </c>
    </row>
    <row r="2471" spans="1:12" x14ac:dyDescent="0.3">
      <c r="A2471" s="3">
        <v>45506</v>
      </c>
      <c r="B2471" s="11" t="s">
        <v>5267</v>
      </c>
      <c r="C2471" s="65" t="s">
        <v>5268</v>
      </c>
      <c r="E2471" s="90" t="s">
        <v>16</v>
      </c>
      <c r="H2471" s="2">
        <v>200</v>
      </c>
      <c r="I2471" s="88">
        <f t="shared" si="151"/>
        <v>3044.88</v>
      </c>
      <c r="J2471" s="62"/>
      <c r="L2471" s="2">
        <f t="shared" si="150"/>
        <v>25.8</v>
      </c>
    </row>
    <row r="2472" spans="1:12" x14ac:dyDescent="0.3">
      <c r="A2472" s="3">
        <v>45506</v>
      </c>
      <c r="B2472" s="11" t="s">
        <v>1250</v>
      </c>
      <c r="C2472" s="65" t="s">
        <v>5270</v>
      </c>
      <c r="G2472" s="2">
        <v>2000</v>
      </c>
      <c r="I2472" s="88">
        <f t="shared" si="151"/>
        <v>5044.88</v>
      </c>
      <c r="J2472" s="62"/>
      <c r="L2472" s="2">
        <f t="shared" si="150"/>
        <v>8</v>
      </c>
    </row>
    <row r="2473" spans="1:12" x14ac:dyDescent="0.3">
      <c r="A2473" s="3">
        <v>45506</v>
      </c>
      <c r="B2473" s="11" t="s">
        <v>3871</v>
      </c>
      <c r="C2473" s="65" t="s">
        <v>2347</v>
      </c>
      <c r="H2473" s="2">
        <v>1000</v>
      </c>
      <c r="I2473" s="88">
        <f t="shared" si="151"/>
        <v>4044.88</v>
      </c>
      <c r="J2473" s="62"/>
      <c r="L2473" s="2">
        <f t="shared" si="150"/>
        <v>4</v>
      </c>
    </row>
    <row r="2474" spans="1:12" x14ac:dyDescent="0.3">
      <c r="A2474" s="3">
        <v>45506</v>
      </c>
      <c r="C2474" s="65" t="s">
        <v>5276</v>
      </c>
      <c r="E2474" s="90" t="s">
        <v>16</v>
      </c>
      <c r="H2474" s="2">
        <v>100</v>
      </c>
      <c r="I2474" s="88">
        <f t="shared" si="151"/>
        <v>3944.88</v>
      </c>
      <c r="J2474" s="62"/>
      <c r="L2474" s="2">
        <f t="shared" si="150"/>
        <v>25.4</v>
      </c>
    </row>
    <row r="2475" spans="1:12" x14ac:dyDescent="0.3">
      <c r="A2475" s="3">
        <v>45506</v>
      </c>
      <c r="B2475" s="11" t="s">
        <v>4788</v>
      </c>
      <c r="C2475" s="65" t="s">
        <v>5414</v>
      </c>
      <c r="H2475" s="2">
        <v>500</v>
      </c>
      <c r="I2475" s="88">
        <f t="shared" si="151"/>
        <v>3444.88</v>
      </c>
      <c r="J2475" s="62"/>
    </row>
    <row r="2476" spans="1:12" x14ac:dyDescent="0.3">
      <c r="A2476" s="3">
        <v>45507</v>
      </c>
      <c r="B2476" s="11" t="s">
        <v>2634</v>
      </c>
      <c r="C2476" s="65" t="s">
        <v>5288</v>
      </c>
      <c r="H2476" s="2">
        <v>3200</v>
      </c>
      <c r="I2476" s="88">
        <f t="shared" si="151"/>
        <v>244.88000000000011</v>
      </c>
      <c r="J2476" s="62">
        <v>2655.12</v>
      </c>
      <c r="L2476" s="2">
        <f t="shared" ref="L2476:L2539" si="152">IF((G2476+H2476)&lt;=5000,(H2476+G2476)*0.004,20)+IF(E2476="Y",25,0)</f>
        <v>12.8</v>
      </c>
    </row>
    <row r="2477" spans="1:12" x14ac:dyDescent="0.3">
      <c r="A2477" s="3">
        <v>45507</v>
      </c>
      <c r="B2477" s="11" t="s">
        <v>5289</v>
      </c>
      <c r="C2477" s="65" t="s">
        <v>5290</v>
      </c>
      <c r="E2477" s="90" t="s">
        <v>16</v>
      </c>
      <c r="H2477" s="2">
        <v>100</v>
      </c>
      <c r="I2477" s="88">
        <f t="shared" si="151"/>
        <v>144.88000000000011</v>
      </c>
      <c r="J2477" s="62"/>
      <c r="L2477" s="2">
        <f t="shared" si="152"/>
        <v>25.4</v>
      </c>
    </row>
    <row r="2478" spans="1:12" x14ac:dyDescent="0.3">
      <c r="A2478" s="3">
        <v>45507</v>
      </c>
      <c r="B2478" s="11" t="s">
        <v>5294</v>
      </c>
      <c r="C2478" s="65" t="s">
        <v>5295</v>
      </c>
      <c r="E2478" s="90" t="s">
        <v>16</v>
      </c>
      <c r="H2478" s="2">
        <v>100</v>
      </c>
      <c r="I2478" s="88">
        <f t="shared" si="151"/>
        <v>44.880000000000109</v>
      </c>
      <c r="J2478" s="62"/>
      <c r="L2478" s="2">
        <f t="shared" si="152"/>
        <v>25.4</v>
      </c>
    </row>
    <row r="2479" spans="1:12" x14ac:dyDescent="0.3">
      <c r="A2479" s="3">
        <v>45507</v>
      </c>
      <c r="B2479" s="11" t="s">
        <v>5267</v>
      </c>
      <c r="C2479" s="65" t="s">
        <v>5268</v>
      </c>
      <c r="H2479" s="2">
        <v>1000</v>
      </c>
      <c r="I2479" s="88">
        <f t="shared" si="151"/>
        <v>-955.11999999999989</v>
      </c>
      <c r="J2479" s="62"/>
      <c r="L2479" s="2">
        <f t="shared" si="152"/>
        <v>4</v>
      </c>
    </row>
    <row r="2480" spans="1:12" x14ac:dyDescent="0.3">
      <c r="A2480" s="3">
        <v>45507</v>
      </c>
      <c r="B2480" s="11" t="s">
        <v>3290</v>
      </c>
      <c r="G2480" s="2">
        <v>2000</v>
      </c>
      <c r="I2480" s="88">
        <f t="shared" si="151"/>
        <v>1044.8800000000001</v>
      </c>
      <c r="J2480" s="62"/>
      <c r="L2480" s="2">
        <f t="shared" si="152"/>
        <v>8</v>
      </c>
    </row>
    <row r="2481" spans="1:16" x14ac:dyDescent="0.3">
      <c r="A2481" s="3">
        <v>45507</v>
      </c>
      <c r="B2481" s="11" t="s">
        <v>5300</v>
      </c>
      <c r="C2481" s="65" t="s">
        <v>5304</v>
      </c>
      <c r="E2481" s="90" t="s">
        <v>16</v>
      </c>
      <c r="H2481" s="2">
        <v>400</v>
      </c>
      <c r="I2481" s="88">
        <f t="shared" si="151"/>
        <v>644.88000000000011</v>
      </c>
      <c r="J2481" s="62"/>
      <c r="L2481" s="2">
        <f t="shared" si="152"/>
        <v>26.6</v>
      </c>
    </row>
    <row r="2482" spans="1:16" x14ac:dyDescent="0.3">
      <c r="A2482" s="3">
        <v>45507</v>
      </c>
      <c r="B2482" s="11" t="s">
        <v>5306</v>
      </c>
      <c r="C2482" s="65" t="s">
        <v>5309</v>
      </c>
      <c r="E2482" s="90" t="s">
        <v>16</v>
      </c>
      <c r="H2482" s="2">
        <v>500</v>
      </c>
      <c r="I2482" s="88">
        <f t="shared" si="151"/>
        <v>144.88000000000011</v>
      </c>
      <c r="J2482" s="62"/>
      <c r="L2482" s="2">
        <f t="shared" si="152"/>
        <v>27</v>
      </c>
    </row>
    <row r="2483" spans="1:16" x14ac:dyDescent="0.3">
      <c r="A2483" s="3">
        <v>45507</v>
      </c>
      <c r="B2483" s="11" t="s">
        <v>5312</v>
      </c>
      <c r="C2483" s="65" t="s">
        <v>5313</v>
      </c>
      <c r="E2483" s="90" t="s">
        <v>16</v>
      </c>
      <c r="H2483" s="2">
        <v>500</v>
      </c>
      <c r="I2483" s="88">
        <f t="shared" si="151"/>
        <v>-355.11999999999989</v>
      </c>
      <c r="J2483" s="62"/>
      <c r="L2483" s="2">
        <f t="shared" si="152"/>
        <v>27</v>
      </c>
    </row>
    <row r="2484" spans="1:16" x14ac:dyDescent="0.3">
      <c r="A2484" s="3">
        <v>45507</v>
      </c>
      <c r="B2484" s="11" t="s">
        <v>1250</v>
      </c>
      <c r="C2484" s="65" t="s">
        <v>5316</v>
      </c>
      <c r="I2484" s="88">
        <f t="shared" si="151"/>
        <v>-355.11999999999989</v>
      </c>
      <c r="J2484" s="62">
        <v>2455</v>
      </c>
      <c r="L2484" s="2">
        <f t="shared" si="152"/>
        <v>0</v>
      </c>
    </row>
    <row r="2485" spans="1:16" x14ac:dyDescent="0.3">
      <c r="A2485" s="3">
        <v>45507</v>
      </c>
      <c r="B2485" s="11" t="s">
        <v>5318</v>
      </c>
      <c r="C2485" s="65" t="s">
        <v>5321</v>
      </c>
      <c r="E2485" s="90" t="s">
        <v>16</v>
      </c>
      <c r="H2485" s="2">
        <v>200</v>
      </c>
      <c r="I2485" s="88">
        <f t="shared" si="151"/>
        <v>-555.11999999999989</v>
      </c>
      <c r="J2485" s="62"/>
      <c r="L2485" s="2">
        <f t="shared" si="152"/>
        <v>25.8</v>
      </c>
    </row>
    <row r="2486" spans="1:16" x14ac:dyDescent="0.3">
      <c r="A2486" s="3">
        <v>45507</v>
      </c>
      <c r="B2486" s="11" t="s">
        <v>1250</v>
      </c>
      <c r="C2486" s="65" t="s">
        <v>5270</v>
      </c>
      <c r="G2486" s="2">
        <v>5000</v>
      </c>
      <c r="I2486" s="88">
        <f t="shared" si="151"/>
        <v>4444.88</v>
      </c>
      <c r="J2486" s="62"/>
      <c r="L2486" s="2">
        <f t="shared" si="152"/>
        <v>20</v>
      </c>
    </row>
    <row r="2487" spans="1:16" x14ac:dyDescent="0.3">
      <c r="A2487" s="3">
        <v>45507</v>
      </c>
      <c r="B2487" s="11" t="s">
        <v>5323</v>
      </c>
      <c r="C2487" s="65" t="s">
        <v>5324</v>
      </c>
      <c r="E2487" s="90" t="s">
        <v>16</v>
      </c>
      <c r="H2487" s="2">
        <v>500</v>
      </c>
      <c r="I2487" s="88">
        <f t="shared" si="151"/>
        <v>3944.88</v>
      </c>
      <c r="J2487" s="62"/>
      <c r="L2487" s="2">
        <f t="shared" si="152"/>
        <v>27</v>
      </c>
    </row>
    <row r="2488" spans="1:16" x14ac:dyDescent="0.3">
      <c r="A2488" s="3">
        <v>45507</v>
      </c>
      <c r="B2488" s="11" t="s">
        <v>1250</v>
      </c>
      <c r="C2488" s="65" t="s">
        <v>3670</v>
      </c>
      <c r="G2488" s="2">
        <v>2000</v>
      </c>
      <c r="I2488" s="88">
        <f t="shared" si="151"/>
        <v>5944.88</v>
      </c>
      <c r="J2488" s="62"/>
      <c r="L2488" s="2">
        <f t="shared" si="152"/>
        <v>8</v>
      </c>
      <c r="O2488" s="62"/>
      <c r="P2488" s="62"/>
    </row>
    <row r="2489" spans="1:16" x14ac:dyDescent="0.3">
      <c r="A2489" s="3">
        <v>45509</v>
      </c>
      <c r="B2489" s="11" t="s">
        <v>5215</v>
      </c>
      <c r="C2489" s="65" t="s">
        <v>4331</v>
      </c>
      <c r="G2489" s="2">
        <v>2000</v>
      </c>
      <c r="I2489" s="88">
        <f t="shared" si="151"/>
        <v>7944.88</v>
      </c>
      <c r="J2489" s="62">
        <v>10755.12</v>
      </c>
      <c r="L2489" s="2">
        <f t="shared" si="152"/>
        <v>8</v>
      </c>
    </row>
    <row r="2490" spans="1:16" x14ac:dyDescent="0.3">
      <c r="A2490" s="3">
        <v>45509</v>
      </c>
      <c r="B2490" s="11" t="s">
        <v>5328</v>
      </c>
      <c r="C2490" s="65" t="s">
        <v>5329</v>
      </c>
      <c r="E2490" s="90" t="s">
        <v>16</v>
      </c>
      <c r="H2490" s="2">
        <v>500</v>
      </c>
      <c r="I2490" s="88">
        <f t="shared" si="151"/>
        <v>7444.88</v>
      </c>
      <c r="J2490" s="62"/>
      <c r="L2490" s="2">
        <f t="shared" si="152"/>
        <v>27</v>
      </c>
    </row>
    <row r="2491" spans="1:16" x14ac:dyDescent="0.3">
      <c r="A2491" s="3">
        <v>45509</v>
      </c>
      <c r="B2491" s="11" t="s">
        <v>1250</v>
      </c>
      <c r="G2491" s="2">
        <v>4000</v>
      </c>
      <c r="I2491" s="88">
        <f t="shared" si="151"/>
        <v>11444.880000000001</v>
      </c>
      <c r="J2491" s="62"/>
      <c r="L2491" s="2">
        <f t="shared" si="152"/>
        <v>16</v>
      </c>
    </row>
    <row r="2492" spans="1:16" x14ac:dyDescent="0.3">
      <c r="A2492" s="3">
        <v>45509</v>
      </c>
      <c r="B2492" s="11" t="s">
        <v>5332</v>
      </c>
      <c r="C2492" s="65" t="s">
        <v>5333</v>
      </c>
      <c r="E2492" s="90" t="s">
        <v>16</v>
      </c>
      <c r="H2492" s="4">
        <v>500</v>
      </c>
      <c r="I2492" s="88">
        <f t="shared" si="151"/>
        <v>10944.880000000001</v>
      </c>
      <c r="J2492" s="62"/>
      <c r="L2492" s="2">
        <f t="shared" si="152"/>
        <v>27</v>
      </c>
    </row>
    <row r="2493" spans="1:16" x14ac:dyDescent="0.3">
      <c r="A2493" s="3">
        <v>45509</v>
      </c>
      <c r="B2493" s="11" t="s">
        <v>5336</v>
      </c>
      <c r="C2493" s="65" t="s">
        <v>5020</v>
      </c>
      <c r="E2493" s="90" t="s">
        <v>16</v>
      </c>
      <c r="H2493" s="4">
        <v>100</v>
      </c>
      <c r="I2493" s="88">
        <f t="shared" si="151"/>
        <v>10844.880000000001</v>
      </c>
      <c r="J2493" s="62"/>
      <c r="L2493" s="2">
        <f t="shared" si="152"/>
        <v>25.4</v>
      </c>
    </row>
    <row r="2494" spans="1:16" x14ac:dyDescent="0.3">
      <c r="A2494" s="3">
        <v>45509</v>
      </c>
      <c r="B2494" s="11" t="s">
        <v>5339</v>
      </c>
      <c r="C2494" s="65" t="s">
        <v>2007</v>
      </c>
      <c r="E2494" s="90" t="s">
        <v>16</v>
      </c>
      <c r="H2494" s="4">
        <v>200</v>
      </c>
      <c r="I2494" s="88">
        <f t="shared" si="151"/>
        <v>10644.880000000001</v>
      </c>
      <c r="J2494" s="62"/>
      <c r="L2494" s="2">
        <f t="shared" si="152"/>
        <v>25.8</v>
      </c>
    </row>
    <row r="2495" spans="1:16" x14ac:dyDescent="0.3">
      <c r="A2495" s="3">
        <v>45509</v>
      </c>
      <c r="B2495" s="11" t="s">
        <v>5341</v>
      </c>
      <c r="C2495" s="65"/>
      <c r="E2495" s="90" t="s">
        <v>16</v>
      </c>
      <c r="H2495" s="4">
        <v>500</v>
      </c>
      <c r="I2495" s="88">
        <f t="shared" si="151"/>
        <v>10144.880000000001</v>
      </c>
      <c r="J2495" s="62"/>
      <c r="L2495" s="2">
        <f t="shared" si="152"/>
        <v>27</v>
      </c>
    </row>
    <row r="2496" spans="1:16" x14ac:dyDescent="0.3">
      <c r="A2496" s="3">
        <v>45509</v>
      </c>
      <c r="B2496" s="11" t="s">
        <v>5344</v>
      </c>
      <c r="C2496" s="65" t="s">
        <v>5345</v>
      </c>
      <c r="E2496" s="90" t="s">
        <v>16</v>
      </c>
      <c r="H2496" s="4">
        <f>100+100</f>
        <v>200</v>
      </c>
      <c r="I2496" s="88">
        <f t="shared" si="151"/>
        <v>9944.880000000001</v>
      </c>
      <c r="J2496" s="62"/>
      <c r="L2496" s="2">
        <f t="shared" si="152"/>
        <v>25.8</v>
      </c>
    </row>
    <row r="2497" spans="1:12" x14ac:dyDescent="0.3">
      <c r="A2497" s="3">
        <v>45509</v>
      </c>
      <c r="B2497" s="11" t="s">
        <v>1250</v>
      </c>
      <c r="C2497" s="65" t="s">
        <v>4382</v>
      </c>
      <c r="G2497" s="2">
        <v>800</v>
      </c>
      <c r="I2497" s="88">
        <f t="shared" si="151"/>
        <v>10744.880000000001</v>
      </c>
      <c r="J2497" s="62"/>
      <c r="L2497" s="2">
        <f t="shared" si="152"/>
        <v>3.2</v>
      </c>
    </row>
    <row r="2498" spans="1:12" x14ac:dyDescent="0.3">
      <c r="A2498" s="3">
        <v>45509</v>
      </c>
      <c r="B2498" s="11" t="s">
        <v>3232</v>
      </c>
      <c r="C2498" s="65" t="s">
        <v>4083</v>
      </c>
      <c r="G2498" s="2">
        <v>1900</v>
      </c>
      <c r="I2498" s="88">
        <f t="shared" si="151"/>
        <v>12644.880000000001</v>
      </c>
      <c r="J2498" s="62"/>
      <c r="L2498" s="2">
        <f t="shared" si="152"/>
        <v>7.6000000000000005</v>
      </c>
    </row>
    <row r="2499" spans="1:12" x14ac:dyDescent="0.3">
      <c r="A2499" s="3">
        <v>45509</v>
      </c>
      <c r="B2499" s="11" t="s">
        <v>5348</v>
      </c>
      <c r="C2499" s="65" t="s">
        <v>3735</v>
      </c>
      <c r="H2499" s="2">
        <v>3000</v>
      </c>
      <c r="I2499" s="88">
        <f t="shared" si="151"/>
        <v>9644.880000000001</v>
      </c>
      <c r="J2499" s="62"/>
      <c r="L2499" s="2">
        <f t="shared" si="152"/>
        <v>12</v>
      </c>
    </row>
    <row r="2500" spans="1:12" x14ac:dyDescent="0.3">
      <c r="A2500" s="3">
        <v>45509</v>
      </c>
      <c r="B2500" s="11" t="s">
        <v>3148</v>
      </c>
      <c r="C2500" s="65" t="s">
        <v>4551</v>
      </c>
      <c r="G2500" s="2">
        <v>10000</v>
      </c>
      <c r="I2500" s="88">
        <f t="shared" si="151"/>
        <v>19644.88</v>
      </c>
      <c r="J2500" s="62"/>
      <c r="L2500" s="2">
        <f t="shared" si="152"/>
        <v>20</v>
      </c>
    </row>
    <row r="2501" spans="1:12" x14ac:dyDescent="0.3">
      <c r="A2501" s="3">
        <v>45509</v>
      </c>
      <c r="B2501" s="11" t="s">
        <v>5350</v>
      </c>
      <c r="C2501" s="65" t="s">
        <v>5351</v>
      </c>
      <c r="E2501" s="90" t="s">
        <v>16</v>
      </c>
      <c r="H2501" s="2">
        <v>100</v>
      </c>
      <c r="I2501" s="88">
        <f t="shared" si="151"/>
        <v>19544.88</v>
      </c>
      <c r="J2501" s="62"/>
      <c r="L2501" s="2">
        <f t="shared" si="152"/>
        <v>25.4</v>
      </c>
    </row>
    <row r="2502" spans="1:12" x14ac:dyDescent="0.3">
      <c r="A2502" s="3">
        <v>45509</v>
      </c>
      <c r="B2502" s="11" t="s">
        <v>5355</v>
      </c>
      <c r="C2502" s="65" t="s">
        <v>5357</v>
      </c>
      <c r="E2502" s="90" t="s">
        <v>16</v>
      </c>
      <c r="H2502" s="2">
        <v>150</v>
      </c>
      <c r="I2502" s="88">
        <f t="shared" si="151"/>
        <v>19394.88</v>
      </c>
      <c r="J2502" s="62"/>
      <c r="L2502" s="2">
        <f t="shared" si="152"/>
        <v>25.6</v>
      </c>
    </row>
    <row r="2503" spans="1:12" x14ac:dyDescent="0.3">
      <c r="A2503" s="3">
        <v>45510</v>
      </c>
      <c r="B2503" s="11" t="s">
        <v>1250</v>
      </c>
      <c r="C2503" s="65" t="s">
        <v>2348</v>
      </c>
      <c r="G2503" s="2">
        <v>5000</v>
      </c>
      <c r="I2503" s="88">
        <f t="shared" si="151"/>
        <v>24394.880000000001</v>
      </c>
      <c r="J2503" s="62"/>
      <c r="L2503" s="2">
        <f t="shared" si="152"/>
        <v>20</v>
      </c>
    </row>
    <row r="2504" spans="1:12" x14ac:dyDescent="0.3">
      <c r="A2504" s="3">
        <v>45510</v>
      </c>
      <c r="B2504" s="11" t="s">
        <v>5360</v>
      </c>
      <c r="C2504" s="65" t="s">
        <v>1664</v>
      </c>
      <c r="E2504" s="90" t="s">
        <v>14</v>
      </c>
      <c r="H2504" s="2">
        <v>1000</v>
      </c>
      <c r="I2504" s="88">
        <f t="shared" si="151"/>
        <v>23394.880000000001</v>
      </c>
      <c r="J2504" s="62"/>
      <c r="L2504" s="2">
        <f t="shared" si="152"/>
        <v>29</v>
      </c>
    </row>
    <row r="2505" spans="1:12" x14ac:dyDescent="0.3">
      <c r="A2505" s="3">
        <v>45510</v>
      </c>
      <c r="B2505" s="11" t="s">
        <v>5364</v>
      </c>
      <c r="C2505" s="65" t="s">
        <v>5366</v>
      </c>
      <c r="E2505" s="90" t="s">
        <v>14</v>
      </c>
      <c r="H2505" s="2">
        <v>2000</v>
      </c>
      <c r="I2505" s="88">
        <f t="shared" si="151"/>
        <v>21394.880000000001</v>
      </c>
      <c r="J2505" s="62" t="s">
        <v>5365</v>
      </c>
      <c r="L2505" s="2">
        <f t="shared" si="152"/>
        <v>33</v>
      </c>
    </row>
    <row r="2506" spans="1:12" x14ac:dyDescent="0.3">
      <c r="A2506" s="3">
        <v>45510</v>
      </c>
      <c r="B2506" s="11" t="s">
        <v>2942</v>
      </c>
      <c r="C2506" s="65" t="s">
        <v>5245</v>
      </c>
      <c r="G2506" s="2">
        <v>300</v>
      </c>
      <c r="I2506" s="88">
        <f t="shared" si="151"/>
        <v>21694.880000000001</v>
      </c>
      <c r="J2506" s="62"/>
      <c r="L2506" s="2">
        <f t="shared" si="152"/>
        <v>1.2</v>
      </c>
    </row>
    <row r="2507" spans="1:12" x14ac:dyDescent="0.3">
      <c r="A2507" s="3">
        <v>45510</v>
      </c>
      <c r="B2507" s="11" t="s">
        <v>5368</v>
      </c>
      <c r="C2507" s="65" t="s">
        <v>1001</v>
      </c>
      <c r="E2507" s="90" t="s">
        <v>16</v>
      </c>
      <c r="H2507" s="2">
        <v>17000</v>
      </c>
      <c r="I2507" s="88">
        <f t="shared" si="151"/>
        <v>4694.880000000001</v>
      </c>
      <c r="J2507" s="62"/>
      <c r="L2507" s="2">
        <f t="shared" si="152"/>
        <v>45</v>
      </c>
    </row>
    <row r="2508" spans="1:12" x14ac:dyDescent="0.3">
      <c r="A2508" s="3">
        <v>45511</v>
      </c>
      <c r="B2508" s="11" t="s">
        <v>3915</v>
      </c>
      <c r="C2508" s="65" t="s">
        <v>5370</v>
      </c>
      <c r="G2508" s="2">
        <v>5000</v>
      </c>
      <c r="I2508" s="88">
        <f t="shared" si="151"/>
        <v>9694.880000000001</v>
      </c>
      <c r="J2508" s="62"/>
      <c r="L2508" s="2">
        <f t="shared" si="152"/>
        <v>20</v>
      </c>
    </row>
    <row r="2509" spans="1:12" x14ac:dyDescent="0.3">
      <c r="A2509" s="3">
        <v>45511</v>
      </c>
      <c r="B2509" s="11" t="s">
        <v>5230</v>
      </c>
      <c r="C2509" s="65" t="s">
        <v>5231</v>
      </c>
      <c r="H2509" s="74">
        <v>500</v>
      </c>
      <c r="I2509" s="88">
        <f t="shared" si="151"/>
        <v>9194.880000000001</v>
      </c>
      <c r="J2509" s="62"/>
      <c r="L2509" s="2">
        <f t="shared" si="152"/>
        <v>2</v>
      </c>
    </row>
    <row r="2510" spans="1:12" x14ac:dyDescent="0.3">
      <c r="A2510" s="3">
        <v>45511</v>
      </c>
      <c r="B2510" s="11" t="s">
        <v>1250</v>
      </c>
      <c r="C2510" s="65" t="s">
        <v>5371</v>
      </c>
      <c r="G2510" s="2">
        <v>200</v>
      </c>
      <c r="I2510" s="88">
        <f t="shared" si="151"/>
        <v>9394.880000000001</v>
      </c>
      <c r="J2510" s="62"/>
      <c r="L2510" s="2">
        <f t="shared" si="152"/>
        <v>0.8</v>
      </c>
    </row>
    <row r="2511" spans="1:12" x14ac:dyDescent="0.3">
      <c r="A2511" s="3">
        <v>45511</v>
      </c>
      <c r="B2511" s="11" t="s">
        <v>5373</v>
      </c>
      <c r="C2511" s="65" t="s">
        <v>5374</v>
      </c>
      <c r="E2511" s="90" t="s">
        <v>16</v>
      </c>
      <c r="H2511" s="2">
        <v>100</v>
      </c>
      <c r="I2511" s="88">
        <f t="shared" si="151"/>
        <v>9294.880000000001</v>
      </c>
      <c r="J2511" s="62"/>
      <c r="L2511" s="2">
        <f t="shared" si="152"/>
        <v>25.4</v>
      </c>
    </row>
    <row r="2512" spans="1:12" x14ac:dyDescent="0.3">
      <c r="A2512" s="3">
        <v>45511</v>
      </c>
      <c r="B2512" s="11" t="s">
        <v>5378</v>
      </c>
      <c r="C2512" s="65" t="s">
        <v>5379</v>
      </c>
      <c r="E2512" s="90" t="s">
        <v>16</v>
      </c>
      <c r="H2512" s="2">
        <v>100</v>
      </c>
      <c r="I2512" s="88">
        <f t="shared" si="151"/>
        <v>9194.880000000001</v>
      </c>
      <c r="J2512" s="62"/>
      <c r="L2512" s="2">
        <f t="shared" si="152"/>
        <v>25.4</v>
      </c>
    </row>
    <row r="2513" spans="1:12" x14ac:dyDescent="0.3">
      <c r="A2513" s="3">
        <v>45511</v>
      </c>
      <c r="B2513" s="11" t="s">
        <v>5383</v>
      </c>
      <c r="C2513" s="65" t="s">
        <v>5384</v>
      </c>
      <c r="E2513" s="90" t="s">
        <v>16</v>
      </c>
      <c r="H2513" s="2">
        <v>100</v>
      </c>
      <c r="I2513" s="88">
        <f t="shared" si="151"/>
        <v>9094.880000000001</v>
      </c>
      <c r="J2513" s="62"/>
      <c r="L2513" s="2">
        <f t="shared" si="152"/>
        <v>25.4</v>
      </c>
    </row>
    <row r="2514" spans="1:12" x14ac:dyDescent="0.3">
      <c r="A2514" s="3">
        <v>45511</v>
      </c>
      <c r="B2514" s="11" t="s">
        <v>5386</v>
      </c>
      <c r="C2514" s="65" t="s">
        <v>5387</v>
      </c>
      <c r="E2514" s="90" t="s">
        <v>16</v>
      </c>
      <c r="H2514" s="2">
        <v>150</v>
      </c>
      <c r="I2514" s="88">
        <f t="shared" si="151"/>
        <v>8944.880000000001</v>
      </c>
      <c r="J2514" s="62"/>
      <c r="L2514" s="2">
        <f t="shared" si="152"/>
        <v>25.6</v>
      </c>
    </row>
    <row r="2515" spans="1:12" x14ac:dyDescent="0.3">
      <c r="A2515" s="3">
        <v>45511</v>
      </c>
      <c r="B2515" s="11" t="s">
        <v>5391</v>
      </c>
      <c r="C2515" s="65" t="s">
        <v>4566</v>
      </c>
      <c r="E2515" s="90" t="s">
        <v>16</v>
      </c>
      <c r="H2515" s="2">
        <v>100</v>
      </c>
      <c r="I2515" s="88">
        <f t="shared" si="151"/>
        <v>8844.880000000001</v>
      </c>
      <c r="J2515" s="62"/>
      <c r="L2515" s="2">
        <f t="shared" si="152"/>
        <v>25.4</v>
      </c>
    </row>
    <row r="2516" spans="1:12" x14ac:dyDescent="0.3">
      <c r="A2516" s="3">
        <v>45511</v>
      </c>
      <c r="B2516" s="11" t="s">
        <v>5394</v>
      </c>
      <c r="C2516" s="65" t="s">
        <v>192</v>
      </c>
      <c r="E2516" s="90" t="s">
        <v>16</v>
      </c>
      <c r="H2516" s="2">
        <v>100</v>
      </c>
      <c r="I2516" s="88">
        <f t="shared" si="151"/>
        <v>8744.880000000001</v>
      </c>
      <c r="J2516" s="62"/>
      <c r="L2516" s="2">
        <f t="shared" si="152"/>
        <v>25.4</v>
      </c>
    </row>
    <row r="2517" spans="1:12" x14ac:dyDescent="0.3">
      <c r="A2517" s="3">
        <v>45511</v>
      </c>
      <c r="B2517" s="11" t="s">
        <v>5399</v>
      </c>
      <c r="C2517" s="65" t="s">
        <v>5400</v>
      </c>
      <c r="E2517" s="90" t="s">
        <v>16</v>
      </c>
      <c r="H2517" s="2">
        <v>100</v>
      </c>
      <c r="I2517" s="88">
        <f t="shared" si="151"/>
        <v>8644.880000000001</v>
      </c>
      <c r="J2517" s="62"/>
      <c r="L2517" s="2">
        <f t="shared" si="152"/>
        <v>25.4</v>
      </c>
    </row>
    <row r="2518" spans="1:12" x14ac:dyDescent="0.3">
      <c r="A2518" s="3">
        <v>45511</v>
      </c>
      <c r="B2518" s="11" t="s">
        <v>5415</v>
      </c>
      <c r="C2518" s="65" t="s">
        <v>5404</v>
      </c>
      <c r="E2518" s="90" t="s">
        <v>16</v>
      </c>
      <c r="H2518" s="2">
        <v>100</v>
      </c>
      <c r="I2518" s="88">
        <f t="shared" si="151"/>
        <v>8544.880000000001</v>
      </c>
      <c r="J2518" s="62"/>
      <c r="L2518" s="2">
        <f t="shared" si="152"/>
        <v>25.4</v>
      </c>
    </row>
    <row r="2519" spans="1:12" x14ac:dyDescent="0.3">
      <c r="A2519" s="3">
        <v>45511</v>
      </c>
      <c r="B2519" s="11" t="s">
        <v>5409</v>
      </c>
      <c r="C2519" s="65" t="s">
        <v>5410</v>
      </c>
      <c r="E2519" s="90" t="s">
        <v>16</v>
      </c>
      <c r="H2519" s="2">
        <v>200</v>
      </c>
      <c r="I2519" s="88">
        <f t="shared" si="151"/>
        <v>8344.880000000001</v>
      </c>
      <c r="J2519" s="62">
        <v>11654</v>
      </c>
      <c r="L2519" s="2">
        <f t="shared" si="152"/>
        <v>25.8</v>
      </c>
    </row>
    <row r="2520" spans="1:12" x14ac:dyDescent="0.3">
      <c r="A2520" s="3">
        <v>45511</v>
      </c>
      <c r="B2520" s="11" t="s">
        <v>2678</v>
      </c>
      <c r="C2520" s="65" t="s">
        <v>2679</v>
      </c>
      <c r="H2520" s="2">
        <v>3000</v>
      </c>
      <c r="I2520" s="88">
        <f t="shared" si="151"/>
        <v>5344.880000000001</v>
      </c>
      <c r="J2520" s="62"/>
      <c r="L2520" s="2">
        <f t="shared" si="152"/>
        <v>12</v>
      </c>
    </row>
    <row r="2521" spans="1:12" x14ac:dyDescent="0.3">
      <c r="A2521" s="3">
        <v>45511</v>
      </c>
      <c r="B2521" s="11" t="s">
        <v>1250</v>
      </c>
      <c r="C2521" s="65" t="s">
        <v>3670</v>
      </c>
      <c r="G2521" s="2">
        <v>3000</v>
      </c>
      <c r="I2521" s="88">
        <f t="shared" si="151"/>
        <v>8344.880000000001</v>
      </c>
      <c r="J2521" s="62"/>
      <c r="L2521" s="2">
        <f t="shared" si="152"/>
        <v>12</v>
      </c>
    </row>
    <row r="2522" spans="1:12" x14ac:dyDescent="0.3">
      <c r="A2522" s="3">
        <v>45512</v>
      </c>
      <c r="B2522" s="11" t="s">
        <v>5418</v>
      </c>
      <c r="C2522" s="65" t="s">
        <v>405</v>
      </c>
      <c r="E2522" s="90" t="s">
        <v>16</v>
      </c>
      <c r="H2522" s="2">
        <v>100</v>
      </c>
      <c r="I2522" s="88">
        <f t="shared" si="151"/>
        <v>8244.880000000001</v>
      </c>
      <c r="J2522" s="62"/>
      <c r="L2522" s="2">
        <f t="shared" si="152"/>
        <v>25.4</v>
      </c>
    </row>
    <row r="2523" spans="1:12" x14ac:dyDescent="0.3">
      <c r="A2523" s="3">
        <v>45512</v>
      </c>
      <c r="B2523" s="11" t="s">
        <v>5422</v>
      </c>
      <c r="C2523" s="65" t="s">
        <v>5423</v>
      </c>
      <c r="E2523" s="90" t="s">
        <v>16</v>
      </c>
      <c r="H2523" s="2">
        <v>200</v>
      </c>
      <c r="I2523" s="88">
        <f t="shared" si="151"/>
        <v>8044.880000000001</v>
      </c>
      <c r="J2523" s="62"/>
      <c r="L2523" s="2">
        <f t="shared" si="152"/>
        <v>25.8</v>
      </c>
    </row>
    <row r="2524" spans="1:12" x14ac:dyDescent="0.3">
      <c r="A2524" s="3">
        <v>45512</v>
      </c>
      <c r="B2524" s="11" t="s">
        <v>4680</v>
      </c>
      <c r="C2524" s="65" t="s">
        <v>4681</v>
      </c>
      <c r="H2524" s="2">
        <v>7000</v>
      </c>
      <c r="I2524" s="88">
        <f t="shared" ref="I2524:I2593" si="153">I2523+G2524-H2524</f>
        <v>1044.880000000001</v>
      </c>
      <c r="J2524" s="62"/>
      <c r="L2524" s="2">
        <f t="shared" si="152"/>
        <v>20</v>
      </c>
    </row>
    <row r="2525" spans="1:12" x14ac:dyDescent="0.3">
      <c r="A2525" s="3">
        <v>45512</v>
      </c>
      <c r="B2525" s="11" t="s">
        <v>5368</v>
      </c>
      <c r="C2525" s="65" t="s">
        <v>1001</v>
      </c>
      <c r="H2525" s="2">
        <v>2000</v>
      </c>
      <c r="I2525" s="88">
        <f t="shared" si="153"/>
        <v>-955.11999999999898</v>
      </c>
      <c r="J2525" s="62">
        <v>2354</v>
      </c>
      <c r="L2525" s="2">
        <f t="shared" si="152"/>
        <v>8</v>
      </c>
    </row>
    <row r="2526" spans="1:12" x14ac:dyDescent="0.3">
      <c r="A2526" s="3">
        <v>45512</v>
      </c>
      <c r="B2526" s="11" t="s">
        <v>5415</v>
      </c>
      <c r="C2526" s="65" t="s">
        <v>5428</v>
      </c>
      <c r="H2526" s="2">
        <v>200</v>
      </c>
      <c r="I2526" s="88">
        <f t="shared" si="153"/>
        <v>-1155.119999999999</v>
      </c>
      <c r="J2526" s="62"/>
      <c r="L2526" s="2">
        <f t="shared" si="152"/>
        <v>0.8</v>
      </c>
    </row>
    <row r="2527" spans="1:12" x14ac:dyDescent="0.3">
      <c r="A2527" s="3">
        <v>45512</v>
      </c>
      <c r="B2527" s="11" t="s">
        <v>5432</v>
      </c>
      <c r="C2527" s="65" t="s">
        <v>5435</v>
      </c>
      <c r="H2527" s="2">
        <v>200</v>
      </c>
      <c r="I2527" s="88">
        <f t="shared" si="153"/>
        <v>-1355.119999999999</v>
      </c>
      <c r="J2527" s="62"/>
      <c r="L2527" s="2">
        <f t="shared" si="152"/>
        <v>0.8</v>
      </c>
    </row>
    <row r="2528" spans="1:12" x14ac:dyDescent="0.3">
      <c r="A2528" s="3">
        <v>45512</v>
      </c>
      <c r="B2528" s="11" t="s">
        <v>1250</v>
      </c>
      <c r="C2528" s="65" t="s">
        <v>5014</v>
      </c>
      <c r="G2528" s="2">
        <v>4000</v>
      </c>
      <c r="I2528" s="88">
        <f t="shared" si="153"/>
        <v>2644.880000000001</v>
      </c>
      <c r="J2528" s="62">
        <v>6154</v>
      </c>
      <c r="L2528" s="2">
        <f t="shared" si="152"/>
        <v>16</v>
      </c>
    </row>
    <row r="2529" spans="1:12" x14ac:dyDescent="0.3">
      <c r="A2529" s="3">
        <v>45513</v>
      </c>
      <c r="B2529" s="11" t="s">
        <v>5438</v>
      </c>
      <c r="C2529" s="65" t="s">
        <v>5439</v>
      </c>
      <c r="E2529" s="90" t="s">
        <v>16</v>
      </c>
      <c r="H2529" s="2">
        <v>500</v>
      </c>
      <c r="I2529" s="88">
        <f t="shared" si="153"/>
        <v>2144.880000000001</v>
      </c>
      <c r="J2529" s="62"/>
      <c r="L2529" s="2">
        <f t="shared" si="152"/>
        <v>27</v>
      </c>
    </row>
    <row r="2530" spans="1:12" x14ac:dyDescent="0.3">
      <c r="A2530" s="3">
        <v>45513</v>
      </c>
      <c r="B2530" s="11" t="s">
        <v>5444</v>
      </c>
      <c r="C2530" s="65" t="s">
        <v>5445</v>
      </c>
      <c r="E2530" s="90" t="s">
        <v>16</v>
      </c>
      <c r="H2530" s="2">
        <v>500</v>
      </c>
      <c r="I2530" s="88">
        <f t="shared" si="153"/>
        <v>1644.880000000001</v>
      </c>
      <c r="J2530" s="62"/>
      <c r="L2530" s="2">
        <f t="shared" si="152"/>
        <v>27</v>
      </c>
    </row>
    <row r="2531" spans="1:12" x14ac:dyDescent="0.3">
      <c r="A2531" s="3">
        <v>45513</v>
      </c>
      <c r="B2531" s="11" t="s">
        <v>5448</v>
      </c>
      <c r="C2531" s="65" t="s">
        <v>5449</v>
      </c>
      <c r="E2531" s="90" t="s">
        <v>16</v>
      </c>
      <c r="H2531" s="2">
        <v>200</v>
      </c>
      <c r="I2531" s="88">
        <f t="shared" si="153"/>
        <v>1444.880000000001</v>
      </c>
      <c r="J2531" s="62"/>
      <c r="L2531" s="2">
        <f t="shared" si="152"/>
        <v>25.8</v>
      </c>
    </row>
    <row r="2532" spans="1:12" x14ac:dyDescent="0.3">
      <c r="A2532" s="3">
        <v>45513</v>
      </c>
      <c r="B2532" s="11" t="s">
        <v>4061</v>
      </c>
      <c r="C2532" s="65" t="s">
        <v>5452</v>
      </c>
      <c r="G2532" s="2">
        <v>1000</v>
      </c>
      <c r="I2532" s="88">
        <f t="shared" si="153"/>
        <v>2444.880000000001</v>
      </c>
      <c r="J2532" s="62"/>
      <c r="L2532" s="2">
        <f t="shared" si="152"/>
        <v>4</v>
      </c>
    </row>
    <row r="2533" spans="1:12" x14ac:dyDescent="0.3">
      <c r="A2533" s="3">
        <v>45513</v>
      </c>
      <c r="B2533" s="11" t="s">
        <v>3871</v>
      </c>
      <c r="C2533" s="65" t="s">
        <v>2347</v>
      </c>
      <c r="H2533" s="2">
        <v>4800</v>
      </c>
      <c r="I2533" s="88">
        <f t="shared" si="153"/>
        <v>-2355.119999999999</v>
      </c>
      <c r="J2533" s="62"/>
      <c r="L2533" s="2">
        <f t="shared" si="152"/>
        <v>19.2</v>
      </c>
    </row>
    <row r="2534" spans="1:12" x14ac:dyDescent="0.3">
      <c r="A2534" s="3">
        <v>45514</v>
      </c>
      <c r="B2534" s="11" t="s">
        <v>1250</v>
      </c>
      <c r="C2534" s="65" t="s">
        <v>2443</v>
      </c>
      <c r="G2534" s="2">
        <v>1630</v>
      </c>
      <c r="I2534" s="88">
        <f t="shared" si="153"/>
        <v>-725.11999999999898</v>
      </c>
      <c r="J2534" s="62"/>
      <c r="L2534" s="2">
        <f t="shared" si="152"/>
        <v>6.5200000000000005</v>
      </c>
    </row>
    <row r="2535" spans="1:12" x14ac:dyDescent="0.3">
      <c r="A2535" s="3">
        <v>45514</v>
      </c>
      <c r="B2535" s="11" t="s">
        <v>4081</v>
      </c>
      <c r="C2535" s="65" t="s">
        <v>5454</v>
      </c>
      <c r="H2535" s="2">
        <v>2000</v>
      </c>
      <c r="I2535" s="88">
        <f t="shared" si="153"/>
        <v>-2725.119999999999</v>
      </c>
      <c r="J2535" s="62"/>
      <c r="L2535" s="2">
        <f t="shared" si="152"/>
        <v>8</v>
      </c>
    </row>
    <row r="2536" spans="1:12" x14ac:dyDescent="0.3">
      <c r="A2536" s="3">
        <v>45515</v>
      </c>
      <c r="B2536" s="11" t="s">
        <v>1160</v>
      </c>
      <c r="C2536" s="65" t="s">
        <v>5455</v>
      </c>
      <c r="G2536" s="2">
        <v>1200</v>
      </c>
      <c r="I2536" s="88">
        <f t="shared" si="153"/>
        <v>-1525.119999999999</v>
      </c>
      <c r="J2536" s="62"/>
      <c r="L2536" s="2">
        <f t="shared" si="152"/>
        <v>4.8</v>
      </c>
    </row>
    <row r="2537" spans="1:12" x14ac:dyDescent="0.3">
      <c r="A2537" s="3">
        <v>45516</v>
      </c>
      <c r="B2537" s="11" t="s">
        <v>1250</v>
      </c>
      <c r="C2537" s="65" t="s">
        <v>4207</v>
      </c>
      <c r="G2537" s="2">
        <v>5000</v>
      </c>
      <c r="I2537" s="88">
        <f t="shared" si="153"/>
        <v>3474.880000000001</v>
      </c>
      <c r="J2537" s="62"/>
      <c r="L2537" s="2">
        <f t="shared" si="152"/>
        <v>20</v>
      </c>
    </row>
    <row r="2538" spans="1:12" x14ac:dyDescent="0.3">
      <c r="A2538" s="3">
        <v>45516</v>
      </c>
      <c r="B2538" s="11" t="s">
        <v>5458</v>
      </c>
      <c r="C2538" s="65" t="s">
        <v>5461</v>
      </c>
      <c r="E2538" s="90" t="s">
        <v>16</v>
      </c>
      <c r="H2538" s="4">
        <v>200</v>
      </c>
      <c r="I2538" s="88">
        <f t="shared" si="153"/>
        <v>3274.880000000001</v>
      </c>
      <c r="J2538" s="62"/>
      <c r="L2538" s="2">
        <f t="shared" si="152"/>
        <v>25.8</v>
      </c>
    </row>
    <row r="2539" spans="1:12" x14ac:dyDescent="0.3">
      <c r="A2539" s="3">
        <v>45516</v>
      </c>
      <c r="B2539" s="11" t="s">
        <v>5463</v>
      </c>
      <c r="C2539" s="65" t="s">
        <v>5464</v>
      </c>
      <c r="E2539" s="90" t="s">
        <v>16</v>
      </c>
      <c r="H2539" s="4">
        <v>500</v>
      </c>
      <c r="I2539" s="88">
        <f t="shared" si="153"/>
        <v>2774.880000000001</v>
      </c>
      <c r="J2539" s="62"/>
      <c r="L2539" s="2">
        <f t="shared" si="152"/>
        <v>27</v>
      </c>
    </row>
    <row r="2540" spans="1:12" x14ac:dyDescent="0.3">
      <c r="A2540" s="3">
        <v>45516</v>
      </c>
      <c r="B2540" s="11" t="s">
        <v>5467</v>
      </c>
      <c r="C2540" s="65" t="s">
        <v>5468</v>
      </c>
      <c r="E2540" s="90" t="s">
        <v>16</v>
      </c>
      <c r="H2540" s="4">
        <v>500</v>
      </c>
      <c r="I2540" s="88">
        <f t="shared" si="153"/>
        <v>2274.880000000001</v>
      </c>
      <c r="J2540" s="62"/>
      <c r="L2540" s="2">
        <f t="shared" ref="L2540:L2622" si="154">IF((G2540+H2540)&lt;=5000,(H2540+G2540)*0.004,20)+IF(E2540="Y",25,0)</f>
        <v>27</v>
      </c>
    </row>
    <row r="2541" spans="1:12" x14ac:dyDescent="0.3">
      <c r="A2541" s="3">
        <v>45516</v>
      </c>
      <c r="B2541" s="11" t="s">
        <v>5472</v>
      </c>
      <c r="C2541" s="65" t="s">
        <v>5473</v>
      </c>
      <c r="E2541" s="90" t="s">
        <v>16</v>
      </c>
      <c r="H2541" s="4">
        <v>200</v>
      </c>
      <c r="I2541" s="88">
        <f t="shared" si="153"/>
        <v>2074.880000000001</v>
      </c>
      <c r="J2541" s="62"/>
      <c r="L2541" s="2">
        <f t="shared" si="154"/>
        <v>25.8</v>
      </c>
    </row>
    <row r="2542" spans="1:12" x14ac:dyDescent="0.3">
      <c r="A2542" s="3">
        <v>45516</v>
      </c>
      <c r="B2542" s="11" t="s">
        <v>5477</v>
      </c>
      <c r="C2542" s="65" t="s">
        <v>5478</v>
      </c>
      <c r="E2542" s="90" t="s">
        <v>16</v>
      </c>
      <c r="H2542" s="2">
        <v>100</v>
      </c>
      <c r="I2542" s="88">
        <f t="shared" si="153"/>
        <v>1974.880000000001</v>
      </c>
      <c r="J2542" s="62"/>
      <c r="L2542" s="2">
        <f t="shared" si="154"/>
        <v>25.4</v>
      </c>
    </row>
    <row r="2543" spans="1:12" x14ac:dyDescent="0.3">
      <c r="A2543" s="3">
        <v>45516</v>
      </c>
      <c r="B2543" s="11" t="s">
        <v>1250</v>
      </c>
      <c r="C2543" s="65" t="s">
        <v>3670</v>
      </c>
      <c r="G2543" s="2">
        <v>2500</v>
      </c>
      <c r="I2543" s="88">
        <f t="shared" si="153"/>
        <v>4474.880000000001</v>
      </c>
      <c r="J2543" s="62"/>
      <c r="L2543" s="2">
        <f t="shared" si="154"/>
        <v>10</v>
      </c>
    </row>
    <row r="2544" spans="1:12" x14ac:dyDescent="0.3">
      <c r="A2544" s="3">
        <v>45516</v>
      </c>
      <c r="B2544" s="11" t="s">
        <v>1250</v>
      </c>
      <c r="C2544" s="65" t="s">
        <v>2443</v>
      </c>
      <c r="G2544" s="2">
        <v>2650</v>
      </c>
      <c r="I2544" s="88">
        <f t="shared" si="153"/>
        <v>7124.880000000001</v>
      </c>
      <c r="J2544" s="62"/>
      <c r="L2544" s="2">
        <f t="shared" si="154"/>
        <v>10.6</v>
      </c>
    </row>
    <row r="2545" spans="1:12" x14ac:dyDescent="0.3">
      <c r="A2545" s="3">
        <v>45517</v>
      </c>
      <c r="B2545" s="11" t="s">
        <v>5482</v>
      </c>
      <c r="C2545" s="65" t="s">
        <v>5483</v>
      </c>
      <c r="E2545" s="90" t="s">
        <v>16</v>
      </c>
      <c r="H2545" s="4">
        <v>200</v>
      </c>
      <c r="I2545" s="88">
        <f t="shared" si="153"/>
        <v>6924.880000000001</v>
      </c>
      <c r="J2545" s="62"/>
      <c r="L2545" s="2">
        <f t="shared" si="154"/>
        <v>25.8</v>
      </c>
    </row>
    <row r="2546" spans="1:12" x14ac:dyDescent="0.3">
      <c r="A2546" s="3">
        <v>45517</v>
      </c>
      <c r="B2546" s="11" t="s">
        <v>5487</v>
      </c>
      <c r="C2546" s="65" t="s">
        <v>5488</v>
      </c>
      <c r="E2546" s="90" t="s">
        <v>16</v>
      </c>
      <c r="H2546" s="4">
        <v>2500</v>
      </c>
      <c r="I2546" s="88">
        <f t="shared" si="153"/>
        <v>4424.880000000001</v>
      </c>
      <c r="J2546" s="62"/>
      <c r="L2546" s="2">
        <f t="shared" si="154"/>
        <v>35</v>
      </c>
    </row>
    <row r="2547" spans="1:12" x14ac:dyDescent="0.3">
      <c r="A2547" s="3">
        <v>45517</v>
      </c>
      <c r="B2547" s="11" t="s">
        <v>5492</v>
      </c>
      <c r="C2547" s="65" t="s">
        <v>5493</v>
      </c>
      <c r="E2547" s="90" t="s">
        <v>16</v>
      </c>
      <c r="H2547" s="4">
        <v>100</v>
      </c>
      <c r="I2547" s="88">
        <f t="shared" si="153"/>
        <v>4324.880000000001</v>
      </c>
      <c r="J2547" s="62"/>
      <c r="L2547" s="2">
        <f t="shared" si="154"/>
        <v>25.4</v>
      </c>
    </row>
    <row r="2548" spans="1:12" x14ac:dyDescent="0.3">
      <c r="A2548" s="3">
        <v>45517</v>
      </c>
      <c r="B2548" s="11" t="s">
        <v>5495</v>
      </c>
      <c r="C2548" s="65" t="s">
        <v>5496</v>
      </c>
      <c r="E2548" s="90" t="s">
        <v>16</v>
      </c>
      <c r="H2548" s="4">
        <v>500</v>
      </c>
      <c r="I2548" s="88">
        <f t="shared" si="153"/>
        <v>3824.880000000001</v>
      </c>
      <c r="J2548" s="62">
        <v>6934.88</v>
      </c>
      <c r="L2548" s="2">
        <f t="shared" si="154"/>
        <v>27</v>
      </c>
    </row>
    <row r="2549" spans="1:12" x14ac:dyDescent="0.3">
      <c r="A2549" s="3">
        <v>45518</v>
      </c>
      <c r="B2549" s="11" t="s">
        <v>5503</v>
      </c>
      <c r="C2549" s="65" t="s">
        <v>5504</v>
      </c>
      <c r="E2549" s="90" t="s">
        <v>16</v>
      </c>
      <c r="H2549" s="4">
        <v>100</v>
      </c>
      <c r="I2549" s="88">
        <f t="shared" si="153"/>
        <v>3724.880000000001</v>
      </c>
      <c r="J2549" s="62"/>
      <c r="L2549" s="2">
        <f t="shared" si="154"/>
        <v>25.4</v>
      </c>
    </row>
    <row r="2550" spans="1:12" x14ac:dyDescent="0.3">
      <c r="A2550" s="3">
        <v>45518</v>
      </c>
      <c r="B2550" s="11" t="s">
        <v>5508</v>
      </c>
      <c r="C2550" s="65" t="s">
        <v>5384</v>
      </c>
      <c r="E2550" s="90" t="s">
        <v>16</v>
      </c>
      <c r="H2550" s="4">
        <v>500</v>
      </c>
      <c r="I2550" s="88">
        <f t="shared" si="153"/>
        <v>3224.880000000001</v>
      </c>
      <c r="J2550" s="62"/>
      <c r="L2550" s="2">
        <f t="shared" si="154"/>
        <v>27</v>
      </c>
    </row>
    <row r="2551" spans="1:12" x14ac:dyDescent="0.3">
      <c r="A2551" s="3">
        <v>45518</v>
      </c>
      <c r="B2551" s="11" t="s">
        <v>5512</v>
      </c>
      <c r="C2551" s="65" t="s">
        <v>5513</v>
      </c>
      <c r="E2551" s="90" t="s">
        <v>16</v>
      </c>
      <c r="H2551" s="4">
        <v>100</v>
      </c>
      <c r="I2551" s="88">
        <f t="shared" si="153"/>
        <v>3124.880000000001</v>
      </c>
      <c r="J2551" s="62">
        <v>6234.68</v>
      </c>
      <c r="L2551" s="2">
        <f t="shared" si="154"/>
        <v>25.4</v>
      </c>
    </row>
    <row r="2552" spans="1:12" x14ac:dyDescent="0.3">
      <c r="A2552" s="3">
        <v>45519</v>
      </c>
      <c r="B2552" s="11" t="s">
        <v>2351</v>
      </c>
      <c r="C2552" s="65" t="s">
        <v>5516</v>
      </c>
      <c r="G2552" s="2">
        <v>5000</v>
      </c>
      <c r="I2552" s="88">
        <f t="shared" si="153"/>
        <v>8124.880000000001</v>
      </c>
      <c r="J2552" s="62"/>
      <c r="L2552" s="2">
        <f t="shared" si="154"/>
        <v>20</v>
      </c>
    </row>
    <row r="2553" spans="1:12" x14ac:dyDescent="0.3">
      <c r="A2553" s="3">
        <v>45519</v>
      </c>
      <c r="B2553" s="11" t="s">
        <v>3788</v>
      </c>
      <c r="C2553" s="65" t="s">
        <v>5518</v>
      </c>
      <c r="H2553" s="2">
        <v>2000</v>
      </c>
      <c r="I2553" s="88">
        <f t="shared" si="153"/>
        <v>6124.880000000001</v>
      </c>
      <c r="J2553" s="62"/>
      <c r="L2553" s="2">
        <f t="shared" si="154"/>
        <v>8</v>
      </c>
    </row>
    <row r="2554" spans="1:12" x14ac:dyDescent="0.3">
      <c r="A2554" s="3">
        <v>45519</v>
      </c>
      <c r="B2554" s="11" t="s">
        <v>1250</v>
      </c>
      <c r="C2554" s="65" t="s">
        <v>2443</v>
      </c>
      <c r="G2554" s="2">
        <v>1820</v>
      </c>
      <c r="I2554" s="88">
        <f t="shared" si="153"/>
        <v>7944.880000000001</v>
      </c>
      <c r="J2554" s="62"/>
      <c r="L2554" s="2">
        <f t="shared" si="154"/>
        <v>7.28</v>
      </c>
    </row>
    <row r="2555" spans="1:12" x14ac:dyDescent="0.3">
      <c r="A2555" s="3">
        <v>45520</v>
      </c>
      <c r="B2555" s="11" t="s">
        <v>1388</v>
      </c>
      <c r="C2555" s="65" t="s">
        <v>5522</v>
      </c>
      <c r="H2555" s="2">
        <v>5000</v>
      </c>
      <c r="I2555" s="88">
        <f t="shared" si="153"/>
        <v>2944.880000000001</v>
      </c>
      <c r="J2555" s="62"/>
      <c r="L2555" s="2">
        <f t="shared" si="154"/>
        <v>20</v>
      </c>
    </row>
    <row r="2556" spans="1:12" x14ac:dyDescent="0.3">
      <c r="A2556" s="3">
        <v>45520</v>
      </c>
      <c r="B2556" s="11" t="s">
        <v>5524</v>
      </c>
      <c r="C2556" s="65" t="s">
        <v>2404</v>
      </c>
      <c r="E2556" s="90" t="s">
        <v>16</v>
      </c>
      <c r="H2556" s="2">
        <v>1000</v>
      </c>
      <c r="I2556" s="88">
        <f t="shared" si="153"/>
        <v>1944.880000000001</v>
      </c>
      <c r="L2556" s="2">
        <f t="shared" si="154"/>
        <v>29</v>
      </c>
    </row>
    <row r="2557" spans="1:12" x14ac:dyDescent="0.3">
      <c r="A2557" s="3">
        <v>45520</v>
      </c>
      <c r="B2557" s="11" t="s">
        <v>1472</v>
      </c>
      <c r="C2557" s="65" t="s">
        <v>5529</v>
      </c>
      <c r="D2557" s="50">
        <v>7763956666</v>
      </c>
      <c r="G2557" s="2">
        <v>3000</v>
      </c>
      <c r="I2557" s="88">
        <f t="shared" si="153"/>
        <v>4944.880000000001</v>
      </c>
      <c r="J2557" s="62"/>
      <c r="L2557" s="2">
        <f t="shared" si="154"/>
        <v>12</v>
      </c>
    </row>
    <row r="2558" spans="1:12" x14ac:dyDescent="0.3">
      <c r="A2558" s="3">
        <v>45520</v>
      </c>
      <c r="B2558" s="11" t="s">
        <v>1250</v>
      </c>
      <c r="C2558" s="65" t="s">
        <v>5530</v>
      </c>
      <c r="G2558" s="2">
        <v>2000</v>
      </c>
      <c r="I2558" s="88">
        <f t="shared" si="153"/>
        <v>6944.880000000001</v>
      </c>
      <c r="J2558" s="62"/>
      <c r="L2558" s="2">
        <f t="shared" si="154"/>
        <v>8</v>
      </c>
    </row>
    <row r="2559" spans="1:12" x14ac:dyDescent="0.3">
      <c r="A2559" s="3">
        <v>45520</v>
      </c>
      <c r="B2559" s="11" t="s">
        <v>5532</v>
      </c>
      <c r="C2559" s="65" t="s">
        <v>5533</v>
      </c>
      <c r="E2559" s="90" t="s">
        <v>16</v>
      </c>
      <c r="H2559" s="2">
        <v>200</v>
      </c>
      <c r="I2559" s="88">
        <f t="shared" si="153"/>
        <v>6744.880000000001</v>
      </c>
      <c r="J2559" s="62"/>
      <c r="L2559" s="2">
        <f t="shared" si="154"/>
        <v>25.8</v>
      </c>
    </row>
    <row r="2560" spans="1:12" x14ac:dyDescent="0.3">
      <c r="A2560" s="3">
        <v>45520</v>
      </c>
      <c r="B2560" s="11" t="s">
        <v>5537</v>
      </c>
      <c r="C2560" s="65" t="s">
        <v>5538</v>
      </c>
      <c r="E2560" s="90" t="s">
        <v>16</v>
      </c>
      <c r="H2560" s="2">
        <v>100</v>
      </c>
      <c r="I2560" s="88">
        <f t="shared" si="153"/>
        <v>6644.880000000001</v>
      </c>
      <c r="J2560" s="62"/>
      <c r="L2560" s="2">
        <f t="shared" si="154"/>
        <v>25.4</v>
      </c>
    </row>
    <row r="2561" spans="1:12" x14ac:dyDescent="0.3">
      <c r="A2561" s="3">
        <v>45520</v>
      </c>
      <c r="B2561" s="11" t="s">
        <v>5541</v>
      </c>
      <c r="C2561" s="65" t="s">
        <v>4737</v>
      </c>
      <c r="G2561" s="2">
        <v>3000</v>
      </c>
      <c r="I2561" s="88">
        <f t="shared" si="153"/>
        <v>9644.880000000001</v>
      </c>
      <c r="J2561" s="62"/>
      <c r="L2561" s="2">
        <f t="shared" si="154"/>
        <v>12</v>
      </c>
    </row>
    <row r="2562" spans="1:12" x14ac:dyDescent="0.3">
      <c r="A2562" s="3">
        <v>45521</v>
      </c>
      <c r="B2562" s="11" t="s">
        <v>5542</v>
      </c>
      <c r="C2562" s="65" t="s">
        <v>5543</v>
      </c>
      <c r="G2562" s="2">
        <v>10000</v>
      </c>
      <c r="I2562" s="88">
        <f t="shared" si="153"/>
        <v>19644.88</v>
      </c>
      <c r="J2562" s="62"/>
      <c r="L2562" s="2">
        <f t="shared" si="154"/>
        <v>20</v>
      </c>
    </row>
    <row r="2563" spans="1:12" x14ac:dyDescent="0.3">
      <c r="A2563" s="3">
        <v>45521</v>
      </c>
      <c r="B2563" s="11" t="s">
        <v>1250</v>
      </c>
      <c r="C2563" s="65" t="s">
        <v>5522</v>
      </c>
      <c r="H2563" s="2">
        <v>10000</v>
      </c>
      <c r="I2563" s="88">
        <f t="shared" si="153"/>
        <v>9644.880000000001</v>
      </c>
      <c r="J2563" s="62"/>
      <c r="L2563" s="2">
        <f t="shared" si="154"/>
        <v>20</v>
      </c>
    </row>
    <row r="2564" spans="1:12" x14ac:dyDescent="0.3">
      <c r="A2564" s="3">
        <v>45521</v>
      </c>
      <c r="B2564" s="11" t="s">
        <v>4311</v>
      </c>
      <c r="C2564" s="65" t="s">
        <v>5545</v>
      </c>
      <c r="G2564" s="2">
        <v>2500</v>
      </c>
      <c r="I2564" s="88">
        <f t="shared" si="153"/>
        <v>12144.880000000001</v>
      </c>
      <c r="J2564" s="62"/>
      <c r="L2564" s="2">
        <f t="shared" si="154"/>
        <v>10</v>
      </c>
    </row>
    <row r="2565" spans="1:12" x14ac:dyDescent="0.3">
      <c r="A2565" s="3">
        <v>45521</v>
      </c>
      <c r="B2565" s="11" t="s">
        <v>1250</v>
      </c>
      <c r="C2565" s="65" t="s">
        <v>2443</v>
      </c>
      <c r="G2565" s="2">
        <v>1500</v>
      </c>
      <c r="I2565" s="88">
        <f t="shared" si="153"/>
        <v>13644.880000000001</v>
      </c>
      <c r="J2565" s="62"/>
      <c r="L2565" s="2">
        <f t="shared" si="154"/>
        <v>6</v>
      </c>
    </row>
    <row r="2566" spans="1:12" x14ac:dyDescent="0.3">
      <c r="A2566" s="3">
        <v>45522</v>
      </c>
      <c r="B2566" s="11" t="s">
        <v>1250</v>
      </c>
      <c r="C2566" s="65" t="s">
        <v>5522</v>
      </c>
      <c r="H2566" s="2">
        <v>10000</v>
      </c>
      <c r="I2566" s="88">
        <f t="shared" si="153"/>
        <v>3644.880000000001</v>
      </c>
      <c r="L2566" s="2">
        <f t="shared" si="154"/>
        <v>20</v>
      </c>
    </row>
    <row r="2567" spans="1:12" x14ac:dyDescent="0.3">
      <c r="A2567" s="3">
        <v>45522</v>
      </c>
      <c r="B2567" s="11" t="s">
        <v>1250</v>
      </c>
      <c r="C2567" s="65"/>
      <c r="G2567" s="2">
        <v>2400</v>
      </c>
      <c r="I2567" s="88">
        <f t="shared" si="153"/>
        <v>6044.880000000001</v>
      </c>
      <c r="J2567" s="62">
        <v>9054.8799999999992</v>
      </c>
      <c r="L2567" s="2">
        <f t="shared" si="154"/>
        <v>9.6</v>
      </c>
    </row>
    <row r="2568" spans="1:12" x14ac:dyDescent="0.3">
      <c r="A2568" s="3">
        <v>45524</v>
      </c>
      <c r="B2568" s="11" t="s">
        <v>1250</v>
      </c>
      <c r="C2568" s="65" t="s">
        <v>5546</v>
      </c>
      <c r="G2568" s="2">
        <v>500</v>
      </c>
      <c r="I2568" s="88">
        <f t="shared" si="153"/>
        <v>6544.880000000001</v>
      </c>
      <c r="J2568" s="62"/>
      <c r="L2568" s="2">
        <f t="shared" si="154"/>
        <v>2</v>
      </c>
    </row>
    <row r="2569" spans="1:12" x14ac:dyDescent="0.3">
      <c r="A2569" s="3">
        <v>45524</v>
      </c>
      <c r="B2569" s="11" t="s">
        <v>5548</v>
      </c>
      <c r="C2569" s="65" t="s">
        <v>5549</v>
      </c>
      <c r="E2569" s="90" t="s">
        <v>16</v>
      </c>
      <c r="H2569" s="2">
        <v>100</v>
      </c>
      <c r="I2569" s="88">
        <f t="shared" si="153"/>
        <v>6444.880000000001</v>
      </c>
      <c r="J2569" s="62"/>
      <c r="L2569" s="2">
        <f t="shared" si="154"/>
        <v>25.4</v>
      </c>
    </row>
    <row r="2570" spans="1:12" x14ac:dyDescent="0.3">
      <c r="A2570" s="3">
        <v>45524</v>
      </c>
      <c r="B2570" s="11" t="s">
        <v>5553</v>
      </c>
      <c r="C2570" s="65" t="s">
        <v>5554</v>
      </c>
      <c r="E2570" s="90" t="s">
        <v>16</v>
      </c>
      <c r="H2570" s="2">
        <v>100</v>
      </c>
      <c r="I2570" s="88">
        <f t="shared" si="153"/>
        <v>6344.880000000001</v>
      </c>
      <c r="J2570" s="62"/>
      <c r="L2570" s="2">
        <f t="shared" si="154"/>
        <v>25.4</v>
      </c>
    </row>
    <row r="2571" spans="1:12" x14ac:dyDescent="0.3">
      <c r="A2571" s="3">
        <v>45524</v>
      </c>
      <c r="B2571" s="11" t="s">
        <v>5556</v>
      </c>
      <c r="C2571" s="65" t="s">
        <v>5557</v>
      </c>
      <c r="E2571" s="90" t="s">
        <v>16</v>
      </c>
      <c r="H2571" s="2">
        <v>500</v>
      </c>
      <c r="I2571" s="88">
        <f t="shared" si="153"/>
        <v>5844.880000000001</v>
      </c>
      <c r="J2571" s="62"/>
      <c r="L2571" s="2">
        <f t="shared" si="154"/>
        <v>27</v>
      </c>
    </row>
    <row r="2572" spans="1:12" x14ac:dyDescent="0.3">
      <c r="A2572" s="3">
        <v>45525</v>
      </c>
      <c r="B2572" s="11" t="s">
        <v>1250</v>
      </c>
      <c r="C2572" s="65" t="s">
        <v>2443</v>
      </c>
      <c r="G2572" s="2">
        <v>1100</v>
      </c>
      <c r="I2572" s="88">
        <f t="shared" si="153"/>
        <v>6944.880000000001</v>
      </c>
      <c r="J2572" s="62"/>
      <c r="L2572" s="2">
        <f t="shared" si="154"/>
        <v>4.4000000000000004</v>
      </c>
    </row>
    <row r="2573" spans="1:12" x14ac:dyDescent="0.3">
      <c r="A2573" s="3">
        <v>45526</v>
      </c>
      <c r="B2573" s="11" t="s">
        <v>1250</v>
      </c>
      <c r="C2573" s="65" t="s">
        <v>3670</v>
      </c>
      <c r="G2573" s="2">
        <v>500</v>
      </c>
      <c r="I2573" s="88">
        <f t="shared" si="153"/>
        <v>7444.880000000001</v>
      </c>
      <c r="J2573" s="62"/>
      <c r="L2573" s="2">
        <f t="shared" si="154"/>
        <v>2</v>
      </c>
    </row>
    <row r="2574" spans="1:12" x14ac:dyDescent="0.3">
      <c r="A2574" s="3">
        <v>45526</v>
      </c>
      <c r="B2574" s="11" t="s">
        <v>2448</v>
      </c>
      <c r="C2574" s="65" t="s">
        <v>2274</v>
      </c>
      <c r="H2574" s="2">
        <v>6000</v>
      </c>
      <c r="I2574" s="88">
        <f t="shared" si="153"/>
        <v>1444.880000000001</v>
      </c>
      <c r="J2574" s="62"/>
      <c r="L2574" s="2">
        <f t="shared" si="154"/>
        <v>20</v>
      </c>
    </row>
    <row r="2575" spans="1:12" x14ac:dyDescent="0.3">
      <c r="A2575" s="3">
        <v>45526</v>
      </c>
      <c r="B2575" s="11" t="s">
        <v>5564</v>
      </c>
      <c r="C2575" s="65" t="s">
        <v>620</v>
      </c>
      <c r="E2575" s="90" t="s">
        <v>16</v>
      </c>
      <c r="H2575" s="2">
        <v>500</v>
      </c>
      <c r="I2575" s="88">
        <f t="shared" si="153"/>
        <v>944.88000000000102</v>
      </c>
      <c r="J2575" s="62"/>
      <c r="L2575" s="2">
        <f t="shared" si="154"/>
        <v>27</v>
      </c>
    </row>
    <row r="2576" spans="1:12" x14ac:dyDescent="0.3">
      <c r="A2576" s="3">
        <v>45526</v>
      </c>
      <c r="B2576" s="11" t="s">
        <v>5567</v>
      </c>
      <c r="C2576" s="65" t="s">
        <v>5568</v>
      </c>
      <c r="E2576" s="90" t="s">
        <v>16</v>
      </c>
      <c r="H2576" s="2">
        <v>150</v>
      </c>
      <c r="I2576" s="88">
        <f t="shared" si="153"/>
        <v>794.88000000000102</v>
      </c>
      <c r="J2576" s="62"/>
      <c r="L2576" s="2">
        <f t="shared" si="154"/>
        <v>25.6</v>
      </c>
    </row>
    <row r="2577" spans="1:12" x14ac:dyDescent="0.3">
      <c r="A2577" s="3">
        <v>45526</v>
      </c>
      <c r="B2577" s="11" t="s">
        <v>1250</v>
      </c>
      <c r="C2577" s="65" t="s">
        <v>2443</v>
      </c>
      <c r="G2577" s="2">
        <v>1140</v>
      </c>
      <c r="I2577" s="88">
        <f t="shared" si="153"/>
        <v>1934.880000000001</v>
      </c>
      <c r="J2577" s="62"/>
      <c r="L2577" s="2">
        <f t="shared" si="154"/>
        <v>4.5600000000000005</v>
      </c>
    </row>
    <row r="2578" spans="1:12" x14ac:dyDescent="0.3">
      <c r="A2578" s="3">
        <v>45527</v>
      </c>
      <c r="B2578" s="11" t="s">
        <v>1250</v>
      </c>
      <c r="C2578" s="65" t="s">
        <v>5572</v>
      </c>
      <c r="H2578" s="2">
        <v>1000</v>
      </c>
      <c r="I2578" s="88">
        <f t="shared" si="153"/>
        <v>934.88000000000102</v>
      </c>
      <c r="J2578" s="62"/>
      <c r="L2578" s="2">
        <f t="shared" si="154"/>
        <v>4</v>
      </c>
    </row>
    <row r="2579" spans="1:12" x14ac:dyDescent="0.3">
      <c r="A2579" s="3">
        <v>45527</v>
      </c>
      <c r="B2579" s="11" t="s">
        <v>5574</v>
      </c>
      <c r="C2579" s="65" t="s">
        <v>5575</v>
      </c>
      <c r="E2579" s="90" t="s">
        <v>16</v>
      </c>
      <c r="H2579" s="2">
        <v>500</v>
      </c>
      <c r="I2579" s="88">
        <f t="shared" si="153"/>
        <v>434.88000000000102</v>
      </c>
      <c r="J2579" s="62"/>
      <c r="L2579" s="2">
        <f t="shared" si="154"/>
        <v>27</v>
      </c>
    </row>
    <row r="2580" spans="1:12" x14ac:dyDescent="0.3">
      <c r="A2580" s="3">
        <v>45527</v>
      </c>
      <c r="B2580" s="11" t="s">
        <v>5579</v>
      </c>
      <c r="C2580" s="65" t="s">
        <v>5580</v>
      </c>
      <c r="E2580" s="90" t="s">
        <v>16</v>
      </c>
      <c r="H2580" s="2">
        <v>100</v>
      </c>
      <c r="I2580" s="88">
        <f t="shared" si="153"/>
        <v>334.88000000000102</v>
      </c>
      <c r="J2580" s="62"/>
      <c r="L2580" s="2">
        <f t="shared" si="154"/>
        <v>25.4</v>
      </c>
    </row>
    <row r="2581" spans="1:12" x14ac:dyDescent="0.3">
      <c r="A2581" s="3">
        <v>45528</v>
      </c>
      <c r="B2581" s="11" t="s">
        <v>1160</v>
      </c>
      <c r="C2581" s="65" t="s">
        <v>5583</v>
      </c>
      <c r="G2581" s="2">
        <v>5000</v>
      </c>
      <c r="I2581" s="88">
        <f t="shared" si="153"/>
        <v>5334.880000000001</v>
      </c>
      <c r="J2581" s="62"/>
      <c r="L2581" s="2">
        <f t="shared" si="154"/>
        <v>20</v>
      </c>
    </row>
    <row r="2582" spans="1:12" x14ac:dyDescent="0.3">
      <c r="A2582" s="3">
        <v>45528</v>
      </c>
      <c r="B2582" s="11" t="s">
        <v>1250</v>
      </c>
      <c r="C2582" s="65"/>
      <c r="G2582" s="2">
        <v>2000</v>
      </c>
      <c r="I2582" s="88">
        <f t="shared" si="153"/>
        <v>7334.880000000001</v>
      </c>
      <c r="J2582" s="62"/>
      <c r="L2582" s="2">
        <f t="shared" si="154"/>
        <v>8</v>
      </c>
    </row>
    <row r="2583" spans="1:12" x14ac:dyDescent="0.3">
      <c r="A2583" s="3">
        <v>45530</v>
      </c>
      <c r="B2583" s="11" t="s">
        <v>1250</v>
      </c>
      <c r="C2583" s="65" t="s">
        <v>5586</v>
      </c>
      <c r="G2583" s="2">
        <v>6000</v>
      </c>
      <c r="I2583" s="88">
        <f t="shared" si="153"/>
        <v>13334.880000000001</v>
      </c>
      <c r="J2583" s="62"/>
      <c r="L2583" s="2">
        <f t="shared" si="154"/>
        <v>20</v>
      </c>
    </row>
    <row r="2584" spans="1:12" x14ac:dyDescent="0.3">
      <c r="A2584" s="3">
        <v>45530</v>
      </c>
      <c r="B2584" s="11" t="s">
        <v>5587</v>
      </c>
      <c r="C2584" s="65" t="s">
        <v>4688</v>
      </c>
      <c r="G2584" s="2">
        <v>1300</v>
      </c>
      <c r="I2584" s="88">
        <f t="shared" si="153"/>
        <v>14634.880000000001</v>
      </c>
      <c r="J2584" s="62"/>
      <c r="L2584" s="2">
        <f t="shared" si="154"/>
        <v>5.2</v>
      </c>
    </row>
    <row r="2585" spans="1:12" x14ac:dyDescent="0.3">
      <c r="A2585" s="3">
        <v>45530</v>
      </c>
      <c r="B2585" s="11" t="s">
        <v>1250</v>
      </c>
      <c r="C2585" s="65" t="s">
        <v>2443</v>
      </c>
      <c r="G2585" s="2">
        <v>2800</v>
      </c>
      <c r="I2585" s="88">
        <f t="shared" si="153"/>
        <v>17434.88</v>
      </c>
      <c r="J2585" s="62"/>
      <c r="L2585" s="2">
        <f t="shared" si="154"/>
        <v>11.200000000000001</v>
      </c>
    </row>
    <row r="2586" spans="1:12" x14ac:dyDescent="0.3">
      <c r="A2586" s="3">
        <v>45530</v>
      </c>
      <c r="B2586" s="11" t="s">
        <v>1250</v>
      </c>
      <c r="C2586" s="65" t="s">
        <v>3670</v>
      </c>
      <c r="G2586" s="2">
        <v>3000</v>
      </c>
      <c r="I2586" s="88">
        <f t="shared" si="153"/>
        <v>20434.88</v>
      </c>
      <c r="J2586" s="62"/>
      <c r="L2586" s="2">
        <f t="shared" si="154"/>
        <v>12</v>
      </c>
    </row>
    <row r="2587" spans="1:12" x14ac:dyDescent="0.3">
      <c r="A2587" s="3">
        <v>45530</v>
      </c>
      <c r="B2587" s="11" t="s">
        <v>1250</v>
      </c>
      <c r="C2587" s="65" t="s">
        <v>5588</v>
      </c>
      <c r="H2587" s="2">
        <v>10000</v>
      </c>
      <c r="I2587" s="88">
        <f t="shared" si="153"/>
        <v>10434.880000000001</v>
      </c>
      <c r="J2587" s="62"/>
      <c r="L2587" s="2">
        <f t="shared" si="154"/>
        <v>20</v>
      </c>
    </row>
    <row r="2588" spans="1:12" x14ac:dyDescent="0.3">
      <c r="A2588" s="3">
        <v>45530</v>
      </c>
      <c r="B2588" s="11" t="s">
        <v>5592</v>
      </c>
      <c r="C2588" s="65" t="s">
        <v>5591</v>
      </c>
      <c r="E2588" s="90" t="s">
        <v>14</v>
      </c>
      <c r="H2588" s="2">
        <v>500</v>
      </c>
      <c r="I2588" s="88">
        <f t="shared" si="153"/>
        <v>9934.880000000001</v>
      </c>
      <c r="J2588" s="62"/>
      <c r="L2588" s="2">
        <f t="shared" si="154"/>
        <v>27</v>
      </c>
    </row>
    <row r="2589" spans="1:12" x14ac:dyDescent="0.3">
      <c r="A2589" s="3">
        <v>45530</v>
      </c>
      <c r="B2589" s="11" t="s">
        <v>5595</v>
      </c>
      <c r="C2589" s="65" t="s">
        <v>5596</v>
      </c>
      <c r="H2589" s="2">
        <v>10000</v>
      </c>
      <c r="I2589" s="88">
        <f t="shared" si="153"/>
        <v>-65.119999999998981</v>
      </c>
      <c r="J2589" s="62"/>
      <c r="L2589" s="2">
        <f t="shared" si="154"/>
        <v>20</v>
      </c>
    </row>
    <row r="2590" spans="1:12" x14ac:dyDescent="0.3">
      <c r="A2590" s="3">
        <v>45531</v>
      </c>
      <c r="B2590" s="11" t="s">
        <v>5598</v>
      </c>
      <c r="C2590" s="65" t="s">
        <v>5601</v>
      </c>
      <c r="E2590" s="90" t="s">
        <v>16</v>
      </c>
      <c r="H2590" s="2">
        <v>100</v>
      </c>
      <c r="I2590" s="88">
        <f t="shared" si="153"/>
        <v>-165.11999999999898</v>
      </c>
      <c r="J2590" s="62"/>
      <c r="L2590" s="2">
        <f t="shared" si="154"/>
        <v>25.4</v>
      </c>
    </row>
    <row r="2591" spans="1:12" x14ac:dyDescent="0.3">
      <c r="A2591" s="3">
        <v>45531</v>
      </c>
      <c r="B2591" s="11" t="s">
        <v>1250</v>
      </c>
      <c r="C2591" s="65" t="s">
        <v>2443</v>
      </c>
      <c r="G2591" s="2">
        <v>1200</v>
      </c>
      <c r="I2591" s="88">
        <f t="shared" si="153"/>
        <v>1034.880000000001</v>
      </c>
      <c r="K2591" s="62">
        <v>20</v>
      </c>
      <c r="L2591" s="2">
        <f t="shared" si="154"/>
        <v>4.8</v>
      </c>
    </row>
    <row r="2592" spans="1:12" x14ac:dyDescent="0.3">
      <c r="A2592" s="3">
        <v>45531</v>
      </c>
      <c r="B2592" s="11" t="s">
        <v>5602</v>
      </c>
      <c r="C2592" s="65" t="s">
        <v>2987</v>
      </c>
      <c r="H2592" s="2">
        <v>500</v>
      </c>
      <c r="I2592" s="88">
        <f t="shared" si="153"/>
        <v>534.88000000000102</v>
      </c>
      <c r="J2592" s="62"/>
      <c r="L2592" s="2">
        <f t="shared" si="154"/>
        <v>2</v>
      </c>
    </row>
    <row r="2593" spans="1:12" x14ac:dyDescent="0.3">
      <c r="A2593" s="3">
        <v>45531</v>
      </c>
      <c r="B2593" s="11" t="s">
        <v>2241</v>
      </c>
      <c r="C2593" s="65" t="s">
        <v>5603</v>
      </c>
      <c r="G2593" s="2">
        <v>2050</v>
      </c>
      <c r="I2593" s="88">
        <f t="shared" si="153"/>
        <v>2584.880000000001</v>
      </c>
      <c r="J2593" s="62"/>
      <c r="L2593" s="2">
        <f t="shared" si="154"/>
        <v>8.1999999999999993</v>
      </c>
    </row>
    <row r="2594" spans="1:12" x14ac:dyDescent="0.3">
      <c r="A2594" s="3">
        <v>45532</v>
      </c>
      <c r="B2594" s="11" t="s">
        <v>5604</v>
      </c>
      <c r="C2594" s="65" t="s">
        <v>5605</v>
      </c>
      <c r="G2594" s="2">
        <v>1000</v>
      </c>
      <c r="I2594" s="88">
        <f t="shared" ref="I2594:I2621" si="155">I2593+G2594-H2594</f>
        <v>3584.880000000001</v>
      </c>
      <c r="J2594" s="62"/>
      <c r="L2594" s="2">
        <f t="shared" si="154"/>
        <v>4</v>
      </c>
    </row>
    <row r="2595" spans="1:12" x14ac:dyDescent="0.3">
      <c r="A2595" s="3">
        <v>45532</v>
      </c>
      <c r="B2595" s="11" t="s">
        <v>1160</v>
      </c>
      <c r="C2595" s="65" t="s">
        <v>5606</v>
      </c>
      <c r="G2595" s="2">
        <v>2000</v>
      </c>
      <c r="I2595" s="88">
        <f t="shared" si="155"/>
        <v>5584.880000000001</v>
      </c>
      <c r="J2595" s="62"/>
      <c r="L2595" s="2">
        <f t="shared" si="154"/>
        <v>8</v>
      </c>
    </row>
    <row r="2596" spans="1:12" x14ac:dyDescent="0.3">
      <c r="A2596" s="3">
        <v>45532</v>
      </c>
      <c r="B2596" s="11" t="s">
        <v>1250</v>
      </c>
      <c r="C2596" s="65" t="s">
        <v>3401</v>
      </c>
      <c r="G2596" s="2">
        <v>1000</v>
      </c>
      <c r="I2596" s="88">
        <f t="shared" si="155"/>
        <v>6584.880000000001</v>
      </c>
      <c r="J2596" s="62"/>
      <c r="L2596" s="2">
        <f t="shared" si="154"/>
        <v>4</v>
      </c>
    </row>
    <row r="2597" spans="1:12" x14ac:dyDescent="0.3">
      <c r="A2597" s="3">
        <v>45533</v>
      </c>
      <c r="B2597" s="11" t="s">
        <v>3220</v>
      </c>
      <c r="C2597" s="65" t="s">
        <v>5607</v>
      </c>
      <c r="G2597" s="2">
        <v>1000</v>
      </c>
      <c r="I2597" s="88">
        <f t="shared" si="155"/>
        <v>7584.880000000001</v>
      </c>
      <c r="J2597" s="62">
        <v>9594.8799999999992</v>
      </c>
      <c r="K2597" s="62"/>
      <c r="L2597" s="2">
        <f t="shared" si="154"/>
        <v>4</v>
      </c>
    </row>
    <row r="2598" spans="1:12" x14ac:dyDescent="0.3">
      <c r="A2598" s="3">
        <v>45533</v>
      </c>
      <c r="B2598" s="11" t="s">
        <v>1160</v>
      </c>
      <c r="C2598" s="65" t="s">
        <v>3701</v>
      </c>
      <c r="G2598" s="2">
        <v>2000</v>
      </c>
      <c r="I2598" s="88">
        <f t="shared" si="155"/>
        <v>9584.880000000001</v>
      </c>
      <c r="J2598" s="62"/>
      <c r="L2598" s="2">
        <f t="shared" si="154"/>
        <v>8</v>
      </c>
    </row>
    <row r="2599" spans="1:12" x14ac:dyDescent="0.3">
      <c r="A2599" s="3">
        <v>45533</v>
      </c>
      <c r="B2599" s="11" t="s">
        <v>2241</v>
      </c>
      <c r="C2599" s="65" t="s">
        <v>5603</v>
      </c>
      <c r="G2599" s="2">
        <v>1000</v>
      </c>
      <c r="I2599" s="88">
        <f t="shared" si="155"/>
        <v>10584.880000000001</v>
      </c>
      <c r="J2599" s="62"/>
      <c r="L2599" s="2">
        <f t="shared" si="154"/>
        <v>4</v>
      </c>
    </row>
    <row r="2600" spans="1:12" x14ac:dyDescent="0.3">
      <c r="A2600" s="3">
        <v>45533</v>
      </c>
      <c r="B2600" s="11" t="s">
        <v>1250</v>
      </c>
      <c r="C2600" s="65" t="s">
        <v>5608</v>
      </c>
      <c r="G2600" s="2">
        <v>1000</v>
      </c>
      <c r="I2600" s="88">
        <f t="shared" si="155"/>
        <v>11584.880000000001</v>
      </c>
      <c r="J2600" s="62"/>
      <c r="L2600" s="2">
        <f t="shared" si="154"/>
        <v>4</v>
      </c>
    </row>
    <row r="2601" spans="1:12" x14ac:dyDescent="0.3">
      <c r="A2601" s="3">
        <v>45533</v>
      </c>
      <c r="B2601" s="11" t="s">
        <v>5609</v>
      </c>
      <c r="C2601" s="65"/>
      <c r="E2601" s="90" t="s">
        <v>16</v>
      </c>
      <c r="H2601" s="2">
        <v>200</v>
      </c>
      <c r="I2601" s="88">
        <f t="shared" si="155"/>
        <v>11384.880000000001</v>
      </c>
      <c r="J2601" s="62"/>
      <c r="L2601" s="2">
        <f t="shared" si="154"/>
        <v>25.8</v>
      </c>
    </row>
    <row r="2602" spans="1:12" x14ac:dyDescent="0.3">
      <c r="A2602" s="3">
        <v>45533</v>
      </c>
      <c r="B2602" s="11" t="s">
        <v>3148</v>
      </c>
      <c r="C2602" s="65" t="s">
        <v>4551</v>
      </c>
      <c r="G2602" s="2">
        <v>3000</v>
      </c>
      <c r="I2602" s="88">
        <f t="shared" si="155"/>
        <v>14384.880000000001</v>
      </c>
      <c r="J2602" s="62"/>
      <c r="L2602" s="2">
        <f t="shared" si="154"/>
        <v>12</v>
      </c>
    </row>
    <row r="2603" spans="1:12" x14ac:dyDescent="0.3">
      <c r="A2603" s="3">
        <v>45533</v>
      </c>
      <c r="B2603" s="11" t="s">
        <v>2942</v>
      </c>
      <c r="C2603" s="65" t="s">
        <v>5611</v>
      </c>
      <c r="G2603" s="2">
        <v>1000</v>
      </c>
      <c r="I2603" s="88">
        <f t="shared" si="155"/>
        <v>15384.880000000001</v>
      </c>
      <c r="J2603" s="62"/>
      <c r="L2603" s="2">
        <f t="shared" si="154"/>
        <v>4</v>
      </c>
    </row>
    <row r="2604" spans="1:12" x14ac:dyDescent="0.3">
      <c r="A2604" s="3">
        <v>45534</v>
      </c>
      <c r="B2604" s="11" t="s">
        <v>5613</v>
      </c>
      <c r="C2604" s="65" t="s">
        <v>5614</v>
      </c>
      <c r="E2604" s="90" t="s">
        <v>16</v>
      </c>
      <c r="H2604" s="2">
        <v>2000</v>
      </c>
      <c r="I2604" s="88">
        <f t="shared" si="155"/>
        <v>13384.880000000001</v>
      </c>
      <c r="J2604" s="62"/>
      <c r="L2604" s="2">
        <f t="shared" si="154"/>
        <v>33</v>
      </c>
    </row>
    <row r="2605" spans="1:12" x14ac:dyDescent="0.3">
      <c r="A2605" s="3">
        <v>45534</v>
      </c>
      <c r="B2605" s="11" t="s">
        <v>5618</v>
      </c>
      <c r="C2605" s="65" t="s">
        <v>5619</v>
      </c>
      <c r="E2605" s="90" t="s">
        <v>16</v>
      </c>
      <c r="H2605" s="2">
        <v>500</v>
      </c>
      <c r="I2605" s="88">
        <f t="shared" si="155"/>
        <v>12884.880000000001</v>
      </c>
      <c r="J2605" s="62"/>
      <c r="L2605" s="2">
        <f t="shared" si="154"/>
        <v>27</v>
      </c>
    </row>
    <row r="2606" spans="1:12" x14ac:dyDescent="0.3">
      <c r="A2606" s="3">
        <v>45534</v>
      </c>
      <c r="C2606" s="65"/>
      <c r="H2606" s="2">
        <v>2000</v>
      </c>
      <c r="I2606" s="88">
        <f t="shared" si="155"/>
        <v>10884.880000000001</v>
      </c>
      <c r="J2606" s="62"/>
    </row>
    <row r="2607" spans="1:12" x14ac:dyDescent="0.3">
      <c r="A2607" s="3">
        <v>45534</v>
      </c>
      <c r="B2607" s="11" t="s">
        <v>1250</v>
      </c>
      <c r="C2607" s="65" t="s">
        <v>2348</v>
      </c>
      <c r="G2607" s="2">
        <v>5000</v>
      </c>
      <c r="I2607" s="88">
        <f t="shared" si="155"/>
        <v>15884.880000000001</v>
      </c>
      <c r="J2607" s="62"/>
      <c r="L2607" s="2">
        <f t="shared" si="154"/>
        <v>20</v>
      </c>
    </row>
    <row r="2608" spans="1:12" x14ac:dyDescent="0.3">
      <c r="A2608" s="3">
        <v>45534</v>
      </c>
      <c r="B2608" s="11" t="s">
        <v>2241</v>
      </c>
      <c r="C2608" s="65" t="s">
        <v>5603</v>
      </c>
      <c r="G2608" s="2">
        <v>4000</v>
      </c>
      <c r="I2608" s="88">
        <f t="shared" si="155"/>
        <v>19884.88</v>
      </c>
      <c r="J2608" s="62"/>
      <c r="L2608" s="2">
        <f t="shared" si="154"/>
        <v>16</v>
      </c>
    </row>
    <row r="2609" spans="1:12" x14ac:dyDescent="0.3">
      <c r="A2609" s="3">
        <v>45534</v>
      </c>
      <c r="B2609" s="11" t="s">
        <v>1250</v>
      </c>
      <c r="C2609" s="65" t="s">
        <v>5588</v>
      </c>
      <c r="H2609" s="2">
        <v>10000</v>
      </c>
      <c r="I2609" s="88">
        <f t="shared" si="155"/>
        <v>9884.880000000001</v>
      </c>
      <c r="J2609" s="62"/>
      <c r="L2609" s="2">
        <f t="shared" si="154"/>
        <v>20</v>
      </c>
    </row>
    <row r="2610" spans="1:12" x14ac:dyDescent="0.3">
      <c r="A2610" s="3">
        <v>45534</v>
      </c>
      <c r="B2610" s="11" t="s">
        <v>1250</v>
      </c>
      <c r="C2610" s="65" t="s">
        <v>4662</v>
      </c>
      <c r="G2610" s="2">
        <v>2000</v>
      </c>
      <c r="I2610" s="88">
        <f t="shared" si="155"/>
        <v>11884.880000000001</v>
      </c>
      <c r="J2610" s="62"/>
      <c r="L2610" s="2">
        <f t="shared" si="154"/>
        <v>8</v>
      </c>
    </row>
    <row r="2611" spans="1:12" x14ac:dyDescent="0.3">
      <c r="A2611" s="3">
        <v>45534</v>
      </c>
      <c r="B2611" s="11" t="s">
        <v>1160</v>
      </c>
      <c r="C2611" s="65" t="s">
        <v>5621</v>
      </c>
      <c r="G2611" s="2">
        <v>1000</v>
      </c>
      <c r="I2611" s="88">
        <f t="shared" si="155"/>
        <v>12884.880000000001</v>
      </c>
      <c r="J2611" s="62"/>
      <c r="L2611" s="2">
        <f t="shared" si="154"/>
        <v>4</v>
      </c>
    </row>
    <row r="2612" spans="1:12" s="29" customFormat="1" x14ac:dyDescent="0.3">
      <c r="A2612" s="3">
        <v>45534</v>
      </c>
      <c r="B2612" s="11" t="s">
        <v>5624</v>
      </c>
      <c r="C2612" s="65" t="s">
        <v>5625</v>
      </c>
      <c r="E2612" s="32" t="s">
        <v>16</v>
      </c>
      <c r="H2612" s="29">
        <v>100</v>
      </c>
      <c r="I2612" s="88">
        <f t="shared" si="155"/>
        <v>12784.880000000001</v>
      </c>
      <c r="L2612" s="2">
        <f t="shared" si="154"/>
        <v>25.4</v>
      </c>
    </row>
    <row r="2613" spans="1:12" s="29" customFormat="1" x14ac:dyDescent="0.3">
      <c r="A2613" s="3">
        <v>45534</v>
      </c>
      <c r="B2613" s="11" t="s">
        <v>5628</v>
      </c>
      <c r="C2613" s="65" t="s">
        <v>5629</v>
      </c>
      <c r="E2613" s="32" t="s">
        <v>16</v>
      </c>
      <c r="H2613" s="29">
        <v>300</v>
      </c>
      <c r="I2613" s="88">
        <f t="shared" si="155"/>
        <v>12484.880000000001</v>
      </c>
      <c r="L2613" s="2">
        <f t="shared" si="154"/>
        <v>26.2</v>
      </c>
    </row>
    <row r="2614" spans="1:12" s="29" customFormat="1" x14ac:dyDescent="0.3">
      <c r="A2614" s="3">
        <v>45534</v>
      </c>
      <c r="B2614" s="11" t="s">
        <v>5633</v>
      </c>
      <c r="C2614" s="65" t="s">
        <v>5634</v>
      </c>
      <c r="E2614" s="32" t="s">
        <v>16</v>
      </c>
      <c r="H2614" s="29">
        <v>100</v>
      </c>
      <c r="I2614" s="88">
        <f t="shared" si="155"/>
        <v>12384.880000000001</v>
      </c>
      <c r="L2614" s="2">
        <f t="shared" si="154"/>
        <v>25.4</v>
      </c>
    </row>
    <row r="2615" spans="1:12" s="29" customFormat="1" x14ac:dyDescent="0.3">
      <c r="A2615" s="3">
        <v>45535</v>
      </c>
      <c r="B2615" s="11" t="s">
        <v>5637</v>
      </c>
      <c r="C2615" s="65" t="s">
        <v>5638</v>
      </c>
      <c r="E2615" s="32" t="s">
        <v>14</v>
      </c>
      <c r="H2615" s="29">
        <v>100</v>
      </c>
      <c r="I2615" s="88">
        <f t="shared" si="155"/>
        <v>12284.880000000001</v>
      </c>
      <c r="L2615" s="2">
        <f t="shared" si="154"/>
        <v>25.4</v>
      </c>
    </row>
    <row r="2616" spans="1:12" s="29" customFormat="1" x14ac:dyDescent="0.3">
      <c r="A2616" s="3">
        <v>45535</v>
      </c>
      <c r="B2616" s="11" t="s">
        <v>5639</v>
      </c>
      <c r="C2616" s="65" t="s">
        <v>5640</v>
      </c>
      <c r="E2616" s="32"/>
      <c r="H2616" s="29">
        <v>4000</v>
      </c>
      <c r="I2616" s="88">
        <f t="shared" si="155"/>
        <v>8284.880000000001</v>
      </c>
      <c r="L2616" s="2">
        <f t="shared" si="154"/>
        <v>16</v>
      </c>
    </row>
    <row r="2617" spans="1:12" s="29" customFormat="1" x14ac:dyDescent="0.3">
      <c r="A2617" s="3">
        <v>45535</v>
      </c>
      <c r="B2617" s="11" t="s">
        <v>5336</v>
      </c>
      <c r="C2617" s="65" t="s">
        <v>5641</v>
      </c>
      <c r="E2617" s="32" t="s">
        <v>16</v>
      </c>
      <c r="G2617" s="29">
        <v>1000</v>
      </c>
      <c r="I2617" s="88">
        <f t="shared" si="155"/>
        <v>9284.880000000001</v>
      </c>
      <c r="L2617" s="2">
        <f t="shared" si="154"/>
        <v>29</v>
      </c>
    </row>
    <row r="2618" spans="1:12" s="29" customFormat="1" x14ac:dyDescent="0.3">
      <c r="A2618" s="3">
        <v>45535</v>
      </c>
      <c r="B2618" s="11" t="s">
        <v>2351</v>
      </c>
      <c r="C2618" s="65" t="s">
        <v>5652</v>
      </c>
      <c r="E2618" s="32"/>
      <c r="G2618" s="29">
        <v>10000</v>
      </c>
      <c r="I2618" s="88">
        <f t="shared" si="155"/>
        <v>19284.88</v>
      </c>
      <c r="L2618" s="2">
        <f t="shared" si="154"/>
        <v>20</v>
      </c>
    </row>
    <row r="2619" spans="1:12" s="29" customFormat="1" x14ac:dyDescent="0.3">
      <c r="A2619" s="3">
        <v>45535</v>
      </c>
      <c r="B2619" s="11" t="s">
        <v>5654</v>
      </c>
      <c r="C2619" s="65" t="s">
        <v>5655</v>
      </c>
      <c r="E2619" s="32" t="s">
        <v>16</v>
      </c>
      <c r="H2619" s="29">
        <v>2000</v>
      </c>
      <c r="I2619" s="88">
        <f t="shared" si="155"/>
        <v>17284.88</v>
      </c>
      <c r="L2619" s="2">
        <f t="shared" si="154"/>
        <v>33</v>
      </c>
    </row>
    <row r="2620" spans="1:12" s="29" customFormat="1" x14ac:dyDescent="0.3">
      <c r="A2620" s="3">
        <v>45535</v>
      </c>
      <c r="B2620" s="11" t="s">
        <v>5659</v>
      </c>
      <c r="C2620" s="65" t="s">
        <v>5660</v>
      </c>
      <c r="E2620" s="32" t="s">
        <v>16</v>
      </c>
      <c r="H2620" s="29">
        <v>500</v>
      </c>
      <c r="I2620" s="88">
        <f t="shared" si="155"/>
        <v>16784.88</v>
      </c>
      <c r="L2620" s="2">
        <f t="shared" si="154"/>
        <v>27</v>
      </c>
    </row>
    <row r="2621" spans="1:12" s="29" customFormat="1" x14ac:dyDescent="0.3">
      <c r="A2621" s="3">
        <v>45535</v>
      </c>
      <c r="B2621" s="11" t="s">
        <v>1250</v>
      </c>
      <c r="C2621" s="65" t="s">
        <v>3670</v>
      </c>
      <c r="E2621" s="32"/>
      <c r="G2621" s="29">
        <v>3000</v>
      </c>
      <c r="I2621" s="88">
        <f t="shared" si="155"/>
        <v>19784.88</v>
      </c>
      <c r="L2621" s="2"/>
    </row>
    <row r="2622" spans="1:12" x14ac:dyDescent="0.3">
      <c r="I2622" s="88"/>
      <c r="J2622" s="62"/>
      <c r="L2622" s="2">
        <f t="shared" si="154"/>
        <v>0</v>
      </c>
    </row>
    <row r="2623" spans="1:12" x14ac:dyDescent="0.3">
      <c r="A2623" s="77">
        <f>COUNT(A2459:A2622)</f>
        <v>163</v>
      </c>
      <c r="B2623" s="80"/>
      <c r="C2623" s="112"/>
      <c r="D2623" s="112"/>
      <c r="E2623" s="92">
        <f>COUNTIF(E2459:E2622,"Y")</f>
        <v>78</v>
      </c>
      <c r="F2623" s="77">
        <f>G2623+H2623</f>
        <v>302340</v>
      </c>
      <c r="G2623" s="80">
        <f>SUM(G2459:G2622)</f>
        <v>159490</v>
      </c>
      <c r="H2623" s="80">
        <f>SUM(H2459:H2622)</f>
        <v>142850</v>
      </c>
      <c r="I2623" s="80">
        <f>SUM(I2459:I2622)</f>
        <v>1156565.4399999997</v>
      </c>
      <c r="J2623" s="80"/>
      <c r="K2623" s="80"/>
      <c r="L2623" s="80">
        <f>SUM(L2459:L2622)</f>
        <v>2913.36</v>
      </c>
    </row>
    <row r="2625" spans="1:13" x14ac:dyDescent="0.3">
      <c r="A2625" s="3">
        <v>45536</v>
      </c>
      <c r="C2625" s="65" t="s">
        <v>5667</v>
      </c>
      <c r="D2625" s="29"/>
      <c r="E2625" s="32"/>
      <c r="F2625" s="29"/>
      <c r="G2625" s="30">
        <v>21794.880000000001</v>
      </c>
      <c r="H2625" s="30"/>
      <c r="I2625" s="88">
        <f t="shared" ref="I2625:I2695" si="156">I2624+G2625-H2625</f>
        <v>21794.880000000001</v>
      </c>
      <c r="J2625" s="29"/>
      <c r="K2625" s="29"/>
      <c r="M2625" s="29"/>
    </row>
    <row r="2626" spans="1:13" x14ac:dyDescent="0.3">
      <c r="A2626" s="3">
        <v>45539</v>
      </c>
      <c r="B2626" s="11" t="s">
        <v>2634</v>
      </c>
      <c r="C2626" s="65" t="s">
        <v>5666</v>
      </c>
      <c r="D2626" s="29"/>
      <c r="E2626" s="32"/>
      <c r="F2626" s="29"/>
      <c r="G2626" s="30"/>
      <c r="H2626" s="30">
        <v>1200</v>
      </c>
      <c r="I2626" s="88">
        <f t="shared" si="156"/>
        <v>20594.88</v>
      </c>
      <c r="J2626" s="29"/>
      <c r="K2626" s="29"/>
      <c r="L2626" s="2">
        <f t="shared" ref="L2626:L2742" si="157">IF((G2626+H2626)&lt;=5000,(H2626+G2626)*0.004,20)+IF(E2626="Y",25,0)</f>
        <v>4.8</v>
      </c>
      <c r="M2626" s="2">
        <f t="shared" ref="M2626:M2657" si="158">IF((G2626+H2626)&lt;=5000,(G2626+H2626)*0.004,20)+IF(F2626="Y",25,0)</f>
        <v>4.8</v>
      </c>
    </row>
    <row r="2627" spans="1:13" x14ac:dyDescent="0.3">
      <c r="A2627" s="3">
        <v>45539</v>
      </c>
      <c r="B2627" s="11" t="s">
        <v>5669</v>
      </c>
      <c r="C2627" s="50" t="s">
        <v>5670</v>
      </c>
      <c r="E2627" s="90" t="s">
        <v>16</v>
      </c>
      <c r="H2627" s="2">
        <v>500</v>
      </c>
      <c r="I2627" s="88">
        <f t="shared" si="156"/>
        <v>20094.88</v>
      </c>
      <c r="L2627" s="2">
        <f t="shared" si="157"/>
        <v>27</v>
      </c>
      <c r="M2627" s="2">
        <f t="shared" si="158"/>
        <v>2</v>
      </c>
    </row>
    <row r="2628" spans="1:13" x14ac:dyDescent="0.3">
      <c r="A2628" s="3">
        <v>45539</v>
      </c>
      <c r="B2628" s="11" t="s">
        <v>5674</v>
      </c>
      <c r="C2628" s="65" t="s">
        <v>5675</v>
      </c>
      <c r="E2628" s="90" t="s">
        <v>16</v>
      </c>
      <c r="H2628" s="2">
        <v>500</v>
      </c>
      <c r="I2628" s="88">
        <f t="shared" si="156"/>
        <v>19594.88</v>
      </c>
      <c r="L2628" s="2">
        <f t="shared" si="157"/>
        <v>27</v>
      </c>
      <c r="M2628" s="2">
        <f t="shared" si="158"/>
        <v>2</v>
      </c>
    </row>
    <row r="2629" spans="1:13" x14ac:dyDescent="0.3">
      <c r="A2629" s="3">
        <v>45539</v>
      </c>
      <c r="B2629" s="11" t="s">
        <v>5678</v>
      </c>
      <c r="C2629" s="65" t="s">
        <v>5679</v>
      </c>
      <c r="E2629" s="90" t="s">
        <v>16</v>
      </c>
      <c r="H2629" s="2">
        <v>500</v>
      </c>
      <c r="I2629" s="88">
        <f t="shared" si="156"/>
        <v>19094.88</v>
      </c>
      <c r="L2629" s="2">
        <f t="shared" si="157"/>
        <v>27</v>
      </c>
      <c r="M2629" s="2">
        <f t="shared" si="158"/>
        <v>2</v>
      </c>
    </row>
    <row r="2630" spans="1:13" x14ac:dyDescent="0.3">
      <c r="A2630" s="3">
        <v>45539</v>
      </c>
      <c r="B2630" s="11" t="s">
        <v>1472</v>
      </c>
      <c r="C2630" s="65" t="s">
        <v>5682</v>
      </c>
      <c r="G2630" s="2">
        <v>1000</v>
      </c>
      <c r="I2630" s="88">
        <f t="shared" si="156"/>
        <v>20094.88</v>
      </c>
      <c r="L2630" s="2">
        <f t="shared" si="157"/>
        <v>4</v>
      </c>
      <c r="M2630" s="2">
        <f t="shared" si="158"/>
        <v>4</v>
      </c>
    </row>
    <row r="2631" spans="1:13" x14ac:dyDescent="0.3">
      <c r="A2631" s="3">
        <v>45540</v>
      </c>
      <c r="B2631" s="11" t="s">
        <v>3915</v>
      </c>
      <c r="C2631" s="65" t="s">
        <v>5684</v>
      </c>
      <c r="G2631" s="2">
        <v>8200</v>
      </c>
      <c r="I2631" s="88">
        <f t="shared" si="156"/>
        <v>28294.880000000001</v>
      </c>
      <c r="K2631">
        <v>0</v>
      </c>
      <c r="L2631" s="2">
        <f t="shared" si="157"/>
        <v>20</v>
      </c>
      <c r="M2631" s="2">
        <f t="shared" si="158"/>
        <v>20</v>
      </c>
    </row>
    <row r="2632" spans="1:13" x14ac:dyDescent="0.3">
      <c r="A2632" s="3">
        <v>45540</v>
      </c>
      <c r="B2632" s="11" t="s">
        <v>5686</v>
      </c>
      <c r="C2632" s="65" t="s">
        <v>5687</v>
      </c>
      <c r="E2632" s="90" t="s">
        <v>16</v>
      </c>
      <c r="H2632" s="2">
        <v>500</v>
      </c>
      <c r="I2632" s="88">
        <f t="shared" si="156"/>
        <v>27794.880000000001</v>
      </c>
      <c r="L2632" s="2">
        <f t="shared" si="157"/>
        <v>27</v>
      </c>
      <c r="M2632" s="2">
        <f t="shared" si="158"/>
        <v>2</v>
      </c>
    </row>
    <row r="2633" spans="1:13" x14ac:dyDescent="0.3">
      <c r="A2633" s="3">
        <v>45540</v>
      </c>
      <c r="B2633" s="11" t="s">
        <v>5691</v>
      </c>
      <c r="C2633" s="65" t="s">
        <v>5692</v>
      </c>
      <c r="E2633" s="90" t="s">
        <v>16</v>
      </c>
      <c r="H2633" s="2">
        <v>500</v>
      </c>
      <c r="I2633" s="88">
        <f t="shared" si="156"/>
        <v>27294.880000000001</v>
      </c>
      <c r="L2633" s="2">
        <f t="shared" si="157"/>
        <v>27</v>
      </c>
      <c r="M2633" s="2">
        <f t="shared" si="158"/>
        <v>2</v>
      </c>
    </row>
    <row r="2634" spans="1:13" x14ac:dyDescent="0.3">
      <c r="A2634" s="3">
        <v>45540</v>
      </c>
      <c r="B2634" s="11" t="s">
        <v>5695</v>
      </c>
      <c r="C2634" s="65" t="s">
        <v>5704</v>
      </c>
      <c r="E2634" s="90" t="s">
        <v>16</v>
      </c>
      <c r="H2634" s="2">
        <v>200</v>
      </c>
      <c r="I2634" s="88">
        <f t="shared" si="156"/>
        <v>27094.880000000001</v>
      </c>
      <c r="L2634" s="2">
        <f t="shared" si="157"/>
        <v>25.8</v>
      </c>
      <c r="M2634" s="2">
        <f t="shared" si="158"/>
        <v>0.8</v>
      </c>
    </row>
    <row r="2635" spans="1:13" x14ac:dyDescent="0.3">
      <c r="A2635" s="3">
        <v>45540</v>
      </c>
      <c r="B2635" s="11" t="s">
        <v>5238</v>
      </c>
      <c r="C2635" s="65" t="s">
        <v>5697</v>
      </c>
      <c r="G2635" s="2">
        <v>500</v>
      </c>
      <c r="I2635" s="88">
        <f t="shared" si="156"/>
        <v>27594.880000000001</v>
      </c>
      <c r="L2635" s="2">
        <f t="shared" si="157"/>
        <v>2</v>
      </c>
      <c r="M2635" s="2">
        <f t="shared" si="158"/>
        <v>2</v>
      </c>
    </row>
    <row r="2636" spans="1:13" x14ac:dyDescent="0.3">
      <c r="A2636" s="3">
        <v>45540</v>
      </c>
      <c r="B2636" s="11" t="s">
        <v>5186</v>
      </c>
      <c r="C2636" s="65" t="s">
        <v>5698</v>
      </c>
      <c r="D2636" s="50" t="s">
        <v>1549</v>
      </c>
      <c r="G2636" s="2">
        <v>500</v>
      </c>
      <c r="I2636" s="88">
        <f t="shared" si="156"/>
        <v>28094.880000000001</v>
      </c>
      <c r="L2636" s="2">
        <f t="shared" si="157"/>
        <v>2</v>
      </c>
      <c r="M2636" s="2">
        <f t="shared" si="158"/>
        <v>2</v>
      </c>
    </row>
    <row r="2637" spans="1:13" x14ac:dyDescent="0.3">
      <c r="A2637" s="3">
        <v>45540</v>
      </c>
      <c r="B2637" s="11" t="s">
        <v>5700</v>
      </c>
      <c r="C2637" s="65" t="s">
        <v>5702</v>
      </c>
      <c r="E2637" s="90" t="s">
        <v>16</v>
      </c>
      <c r="H2637" s="2">
        <v>200</v>
      </c>
      <c r="I2637" s="88">
        <f t="shared" si="156"/>
        <v>27894.880000000001</v>
      </c>
      <c r="L2637" s="2">
        <f t="shared" si="157"/>
        <v>25.8</v>
      </c>
      <c r="M2637" s="2">
        <f t="shared" si="158"/>
        <v>0.8</v>
      </c>
    </row>
    <row r="2638" spans="1:13" x14ac:dyDescent="0.3">
      <c r="A2638" s="3">
        <v>45540</v>
      </c>
      <c r="B2638" s="11" t="s">
        <v>4184</v>
      </c>
      <c r="C2638" s="65" t="s">
        <v>4894</v>
      </c>
      <c r="H2638" s="2">
        <v>2500</v>
      </c>
      <c r="I2638" s="88">
        <f t="shared" si="156"/>
        <v>25394.880000000001</v>
      </c>
      <c r="L2638" s="2">
        <f t="shared" si="157"/>
        <v>10</v>
      </c>
      <c r="M2638" s="2">
        <f t="shared" si="158"/>
        <v>10</v>
      </c>
    </row>
    <row r="2639" spans="1:13" x14ac:dyDescent="0.3">
      <c r="A2639" s="3">
        <v>45510</v>
      </c>
      <c r="B2639" s="11" t="s">
        <v>1250</v>
      </c>
      <c r="C2639" s="65" t="s">
        <v>2626</v>
      </c>
      <c r="G2639" s="2">
        <v>10000</v>
      </c>
      <c r="I2639" s="88">
        <f t="shared" si="156"/>
        <v>35394.880000000005</v>
      </c>
      <c r="L2639" s="2">
        <f t="shared" si="157"/>
        <v>20</v>
      </c>
      <c r="M2639" s="2">
        <f t="shared" si="158"/>
        <v>20</v>
      </c>
    </row>
    <row r="2640" spans="1:13" x14ac:dyDescent="0.3">
      <c r="A2640" s="3">
        <v>45510</v>
      </c>
      <c r="B2640" s="11" t="s">
        <v>5706</v>
      </c>
      <c r="C2640" s="65" t="s">
        <v>5707</v>
      </c>
      <c r="H2640" s="2">
        <v>10000</v>
      </c>
      <c r="I2640" s="88">
        <f t="shared" si="156"/>
        <v>25394.880000000005</v>
      </c>
      <c r="L2640" s="2">
        <f t="shared" si="157"/>
        <v>20</v>
      </c>
      <c r="M2640" s="2">
        <f t="shared" si="158"/>
        <v>20</v>
      </c>
    </row>
    <row r="2641" spans="1:13" x14ac:dyDescent="0.3">
      <c r="A2641" s="3">
        <v>45510</v>
      </c>
      <c r="B2641" s="11" t="s">
        <v>5708</v>
      </c>
      <c r="C2641" s="65" t="s">
        <v>5709</v>
      </c>
      <c r="E2641" s="90" t="s">
        <v>16</v>
      </c>
      <c r="H2641" s="2">
        <v>500</v>
      </c>
      <c r="I2641" s="88">
        <f t="shared" si="156"/>
        <v>24894.880000000005</v>
      </c>
      <c r="L2641" s="2">
        <f t="shared" si="157"/>
        <v>27</v>
      </c>
      <c r="M2641" s="2">
        <f t="shared" si="158"/>
        <v>2</v>
      </c>
    </row>
    <row r="2642" spans="1:13" x14ac:dyDescent="0.3">
      <c r="A2642" s="3">
        <v>45510</v>
      </c>
      <c r="B2642" s="11" t="s">
        <v>5712</v>
      </c>
      <c r="C2642" s="65" t="s">
        <v>5713</v>
      </c>
      <c r="E2642" s="90" t="s">
        <v>16</v>
      </c>
      <c r="H2642" s="2">
        <v>500</v>
      </c>
      <c r="I2642" s="88">
        <f t="shared" si="156"/>
        <v>24394.880000000005</v>
      </c>
      <c r="L2642" s="2">
        <f t="shared" si="157"/>
        <v>27</v>
      </c>
      <c r="M2642" s="2">
        <f t="shared" si="158"/>
        <v>2</v>
      </c>
    </row>
    <row r="2643" spans="1:13" x14ac:dyDescent="0.3">
      <c r="A2643" s="3">
        <v>45510</v>
      </c>
      <c r="B2643" s="11" t="s">
        <v>1250</v>
      </c>
      <c r="C2643" s="51" t="s">
        <v>5379</v>
      </c>
      <c r="G2643" s="2">
        <v>1000</v>
      </c>
      <c r="I2643" s="88">
        <f t="shared" si="156"/>
        <v>25394.880000000005</v>
      </c>
      <c r="L2643" s="2">
        <f t="shared" si="157"/>
        <v>4</v>
      </c>
      <c r="M2643" s="2">
        <f t="shared" si="158"/>
        <v>4</v>
      </c>
    </row>
    <row r="2644" spans="1:13" x14ac:dyDescent="0.3">
      <c r="A2644" s="3">
        <v>45542</v>
      </c>
      <c r="B2644" s="11" t="s">
        <v>5716</v>
      </c>
      <c r="C2644" s="65" t="s">
        <v>3519</v>
      </c>
      <c r="G2644" s="2">
        <v>5000</v>
      </c>
      <c r="I2644" s="88">
        <f t="shared" si="156"/>
        <v>30394.880000000005</v>
      </c>
      <c r="L2644" s="2">
        <f t="shared" si="157"/>
        <v>20</v>
      </c>
      <c r="M2644" s="2">
        <f t="shared" si="158"/>
        <v>20</v>
      </c>
    </row>
    <row r="2645" spans="1:13" x14ac:dyDescent="0.3">
      <c r="A2645" s="3">
        <v>45542</v>
      </c>
      <c r="B2645" s="11" t="s">
        <v>1250</v>
      </c>
      <c r="C2645" s="65" t="s">
        <v>5717</v>
      </c>
      <c r="G2645" s="2">
        <v>1000</v>
      </c>
      <c r="I2645" s="88">
        <f t="shared" si="156"/>
        <v>31394.880000000005</v>
      </c>
      <c r="L2645" s="2">
        <f t="shared" si="157"/>
        <v>4</v>
      </c>
      <c r="M2645" s="2">
        <f t="shared" si="158"/>
        <v>4</v>
      </c>
    </row>
    <row r="2646" spans="1:13" x14ac:dyDescent="0.3">
      <c r="A2646" s="3">
        <v>45542</v>
      </c>
      <c r="B2646" s="11" t="s">
        <v>5691</v>
      </c>
      <c r="C2646" s="65" t="s">
        <v>5692</v>
      </c>
      <c r="H2646" s="2">
        <v>500</v>
      </c>
      <c r="I2646" s="88">
        <f t="shared" si="156"/>
        <v>30894.880000000005</v>
      </c>
      <c r="L2646" s="2">
        <f t="shared" si="157"/>
        <v>2</v>
      </c>
      <c r="M2646" s="2">
        <f t="shared" si="158"/>
        <v>2</v>
      </c>
    </row>
    <row r="2647" spans="1:13" x14ac:dyDescent="0.3">
      <c r="A2647" s="3">
        <v>45542</v>
      </c>
      <c r="B2647" s="11" t="s">
        <v>1250</v>
      </c>
      <c r="C2647" s="65" t="s">
        <v>5720</v>
      </c>
      <c r="H2647" s="2">
        <v>10000</v>
      </c>
      <c r="I2647" s="88">
        <f t="shared" si="156"/>
        <v>20894.880000000005</v>
      </c>
      <c r="L2647" s="2">
        <f t="shared" si="157"/>
        <v>20</v>
      </c>
      <c r="M2647" s="2">
        <f t="shared" si="158"/>
        <v>20</v>
      </c>
    </row>
    <row r="2648" spans="1:13" x14ac:dyDescent="0.3">
      <c r="A2648" s="3">
        <v>45542</v>
      </c>
      <c r="B2648" s="11" t="s">
        <v>1250</v>
      </c>
      <c r="C2648" s="65" t="s">
        <v>2626</v>
      </c>
      <c r="G2648" s="2">
        <v>5000</v>
      </c>
      <c r="I2648" s="88">
        <f t="shared" si="156"/>
        <v>25894.880000000005</v>
      </c>
      <c r="K2648">
        <v>0</v>
      </c>
      <c r="L2648" s="2">
        <f t="shared" si="157"/>
        <v>20</v>
      </c>
      <c r="M2648" s="2">
        <f t="shared" si="158"/>
        <v>20</v>
      </c>
    </row>
    <row r="2649" spans="1:13" x14ac:dyDescent="0.3">
      <c r="A2649" s="3">
        <v>45543</v>
      </c>
      <c r="B2649" s="11" t="s">
        <v>2448</v>
      </c>
      <c r="C2649" s="65" t="s">
        <v>2289</v>
      </c>
      <c r="H2649" s="2">
        <v>10000</v>
      </c>
      <c r="I2649" s="88">
        <f t="shared" si="156"/>
        <v>15894.880000000005</v>
      </c>
      <c r="L2649" s="2">
        <f t="shared" si="157"/>
        <v>20</v>
      </c>
      <c r="M2649" s="2">
        <f t="shared" si="158"/>
        <v>20</v>
      </c>
    </row>
    <row r="2650" spans="1:13" x14ac:dyDescent="0.3">
      <c r="A2650" s="3">
        <v>45543</v>
      </c>
      <c r="B2650" s="11" t="s">
        <v>1250</v>
      </c>
      <c r="C2650" s="65" t="s">
        <v>5721</v>
      </c>
      <c r="G2650" s="2">
        <v>4000</v>
      </c>
      <c r="I2650" s="88">
        <f t="shared" si="156"/>
        <v>19894.880000000005</v>
      </c>
      <c r="L2650" s="2">
        <f t="shared" si="157"/>
        <v>16</v>
      </c>
      <c r="M2650" s="2">
        <f t="shared" si="158"/>
        <v>16</v>
      </c>
    </row>
    <row r="2651" spans="1:13" x14ac:dyDescent="0.3">
      <c r="A2651" s="3">
        <v>45543</v>
      </c>
      <c r="B2651" s="11" t="s">
        <v>1250</v>
      </c>
      <c r="C2651" s="65" t="s">
        <v>5722</v>
      </c>
      <c r="G2651" s="2">
        <v>10000</v>
      </c>
      <c r="I2651" s="88">
        <f t="shared" si="156"/>
        <v>29894.880000000005</v>
      </c>
      <c r="L2651" s="2">
        <f t="shared" si="157"/>
        <v>20</v>
      </c>
      <c r="M2651" s="2">
        <f t="shared" si="158"/>
        <v>20</v>
      </c>
    </row>
    <row r="2652" spans="1:13" x14ac:dyDescent="0.3">
      <c r="A2652" s="3">
        <v>45544</v>
      </c>
      <c r="B2652" s="11" t="s">
        <v>3524</v>
      </c>
      <c r="C2652" s="65" t="s">
        <v>5724</v>
      </c>
      <c r="H2652" s="2">
        <v>4000</v>
      </c>
      <c r="I2652" s="88">
        <f t="shared" si="156"/>
        <v>25894.880000000005</v>
      </c>
      <c r="L2652" s="2">
        <f t="shared" si="157"/>
        <v>16</v>
      </c>
      <c r="M2652" s="2">
        <f t="shared" si="158"/>
        <v>16</v>
      </c>
    </row>
    <row r="2653" spans="1:13" x14ac:dyDescent="0.3">
      <c r="A2653" s="3">
        <v>45544</v>
      </c>
      <c r="B2653" s="11" t="s">
        <v>3148</v>
      </c>
      <c r="C2653" s="65" t="s">
        <v>5725</v>
      </c>
      <c r="H2653" s="2">
        <v>3000</v>
      </c>
      <c r="I2653" s="88">
        <f t="shared" si="156"/>
        <v>22894.880000000005</v>
      </c>
      <c r="L2653" s="2">
        <f t="shared" si="157"/>
        <v>12</v>
      </c>
      <c r="M2653" s="2">
        <f t="shared" si="158"/>
        <v>12</v>
      </c>
    </row>
    <row r="2654" spans="1:13" x14ac:dyDescent="0.3">
      <c r="A2654" s="3">
        <v>45545</v>
      </c>
      <c r="B2654" s="11" t="s">
        <v>1250</v>
      </c>
      <c r="C2654" s="65" t="s">
        <v>2883</v>
      </c>
      <c r="G2654" s="2">
        <v>400</v>
      </c>
      <c r="I2654" s="88">
        <f t="shared" si="156"/>
        <v>23294.880000000005</v>
      </c>
      <c r="L2654" s="2">
        <f t="shared" si="157"/>
        <v>1.6</v>
      </c>
      <c r="M2654" s="2">
        <f t="shared" si="158"/>
        <v>1.6</v>
      </c>
    </row>
    <row r="2655" spans="1:13" x14ac:dyDescent="0.3">
      <c r="A2655" s="3">
        <v>45545</v>
      </c>
      <c r="B2655" s="11" t="s">
        <v>1250</v>
      </c>
      <c r="C2655" s="65" t="s">
        <v>2884</v>
      </c>
      <c r="G2655" s="2">
        <v>400</v>
      </c>
      <c r="I2655" s="88">
        <f t="shared" si="156"/>
        <v>23694.880000000005</v>
      </c>
      <c r="L2655" s="2">
        <f t="shared" si="157"/>
        <v>1.6</v>
      </c>
      <c r="M2655" s="2">
        <f t="shared" si="158"/>
        <v>1.6</v>
      </c>
    </row>
    <row r="2656" spans="1:13" x14ac:dyDescent="0.3">
      <c r="A2656" s="3">
        <v>45545</v>
      </c>
      <c r="B2656" s="11" t="s">
        <v>3871</v>
      </c>
      <c r="C2656" s="65" t="s">
        <v>2347</v>
      </c>
      <c r="H2656" s="2">
        <v>2500</v>
      </c>
      <c r="I2656" s="88">
        <f t="shared" si="156"/>
        <v>21194.880000000005</v>
      </c>
      <c r="L2656" s="2">
        <f t="shared" si="157"/>
        <v>10</v>
      </c>
      <c r="M2656" s="2">
        <f t="shared" si="158"/>
        <v>10</v>
      </c>
    </row>
    <row r="2657" spans="1:13" x14ac:dyDescent="0.3">
      <c r="A2657" s="3">
        <v>45545</v>
      </c>
      <c r="B2657" s="11" t="s">
        <v>1472</v>
      </c>
      <c r="C2657" s="65" t="s">
        <v>5682</v>
      </c>
      <c r="G2657" s="2">
        <v>1000</v>
      </c>
      <c r="I2657" s="88">
        <f t="shared" si="156"/>
        <v>22194.880000000005</v>
      </c>
      <c r="L2657" s="2">
        <f t="shared" si="157"/>
        <v>4</v>
      </c>
      <c r="M2657" s="2">
        <f t="shared" si="158"/>
        <v>4</v>
      </c>
    </row>
    <row r="2658" spans="1:13" x14ac:dyDescent="0.3">
      <c r="A2658" s="3">
        <v>45545</v>
      </c>
      <c r="B2658" s="11" t="s">
        <v>5986</v>
      </c>
      <c r="C2658" s="65" t="s">
        <v>5985</v>
      </c>
      <c r="G2658" s="2">
        <v>100</v>
      </c>
      <c r="I2658" s="88">
        <f t="shared" si="156"/>
        <v>22294.880000000005</v>
      </c>
      <c r="L2658" s="2">
        <f t="shared" si="157"/>
        <v>0.4</v>
      </c>
      <c r="M2658" s="2">
        <f t="shared" ref="M2658:M2689" si="159">IF((G2658+H2658)&lt;=5000,(G2658+H2658)*0.004,20)+IF(F2658="Y",25,0)</f>
        <v>0.4</v>
      </c>
    </row>
    <row r="2659" spans="1:13" x14ac:dyDescent="0.3">
      <c r="A2659" s="3">
        <v>45545</v>
      </c>
      <c r="B2659" s="11" t="s">
        <v>5986</v>
      </c>
      <c r="C2659" s="65" t="s">
        <v>5985</v>
      </c>
      <c r="H2659" s="2">
        <v>300</v>
      </c>
      <c r="I2659" s="88">
        <f t="shared" si="156"/>
        <v>21994.880000000005</v>
      </c>
      <c r="L2659" s="2">
        <f t="shared" si="157"/>
        <v>1.2</v>
      </c>
      <c r="M2659" s="2">
        <f t="shared" si="159"/>
        <v>1.2</v>
      </c>
    </row>
    <row r="2660" spans="1:13" x14ac:dyDescent="0.3">
      <c r="A2660" s="3">
        <v>45545</v>
      </c>
      <c r="B2660" s="11" t="s">
        <v>5727</v>
      </c>
      <c r="C2660" s="65" t="s">
        <v>5728</v>
      </c>
      <c r="E2660" s="90" t="s">
        <v>16</v>
      </c>
      <c r="H2660" s="2">
        <v>150</v>
      </c>
      <c r="I2660" s="88">
        <f t="shared" si="156"/>
        <v>21844.880000000005</v>
      </c>
      <c r="L2660" s="2">
        <f t="shared" si="157"/>
        <v>25.6</v>
      </c>
      <c r="M2660" s="2">
        <f t="shared" si="159"/>
        <v>0.6</v>
      </c>
    </row>
    <row r="2661" spans="1:13" x14ac:dyDescent="0.3">
      <c r="A2661" s="3">
        <v>45545</v>
      </c>
      <c r="B2661" s="11" t="s">
        <v>1250</v>
      </c>
      <c r="C2661" s="65" t="s">
        <v>3370</v>
      </c>
      <c r="G2661" s="2">
        <v>5000</v>
      </c>
      <c r="I2661" s="88">
        <f t="shared" si="156"/>
        <v>26844.880000000005</v>
      </c>
      <c r="L2661" s="2">
        <f t="shared" si="157"/>
        <v>20</v>
      </c>
      <c r="M2661" s="2">
        <f t="shared" si="159"/>
        <v>20</v>
      </c>
    </row>
    <row r="2662" spans="1:13" x14ac:dyDescent="0.3">
      <c r="A2662" s="3">
        <v>45545</v>
      </c>
      <c r="B2662" s="11" t="s">
        <v>1250</v>
      </c>
      <c r="C2662" s="65" t="s">
        <v>2616</v>
      </c>
      <c r="G2662" s="2">
        <v>3000</v>
      </c>
      <c r="I2662" s="88">
        <f t="shared" si="156"/>
        <v>29844.880000000005</v>
      </c>
      <c r="L2662" s="2">
        <f t="shared" si="157"/>
        <v>12</v>
      </c>
      <c r="M2662" s="2">
        <f t="shared" si="159"/>
        <v>12</v>
      </c>
    </row>
    <row r="2663" spans="1:13" x14ac:dyDescent="0.3">
      <c r="A2663" s="3">
        <v>45545</v>
      </c>
      <c r="B2663" s="11" t="s">
        <v>5730</v>
      </c>
      <c r="C2663" s="65" t="s">
        <v>5731</v>
      </c>
      <c r="H2663" s="2">
        <v>2000</v>
      </c>
      <c r="I2663" s="88">
        <f t="shared" si="156"/>
        <v>27844.880000000005</v>
      </c>
      <c r="L2663" s="2">
        <f t="shared" si="157"/>
        <v>8</v>
      </c>
      <c r="M2663" s="2">
        <f t="shared" si="159"/>
        <v>8</v>
      </c>
    </row>
    <row r="2664" spans="1:13" x14ac:dyDescent="0.3">
      <c r="A2664" s="3">
        <v>45545</v>
      </c>
      <c r="B2664" s="11" t="s">
        <v>5734</v>
      </c>
      <c r="C2664" s="65"/>
      <c r="E2664" s="90" t="s">
        <v>16</v>
      </c>
      <c r="H2664" s="2">
        <v>200</v>
      </c>
      <c r="I2664" s="88">
        <f t="shared" si="156"/>
        <v>27644.880000000005</v>
      </c>
      <c r="L2664" s="2">
        <f t="shared" si="157"/>
        <v>25.8</v>
      </c>
      <c r="M2664" s="2">
        <f t="shared" si="159"/>
        <v>0.8</v>
      </c>
    </row>
    <row r="2665" spans="1:13" x14ac:dyDescent="0.3">
      <c r="A2665" s="3">
        <v>45545</v>
      </c>
      <c r="B2665" s="11" t="s">
        <v>5737</v>
      </c>
      <c r="C2665" s="65" t="s">
        <v>5738</v>
      </c>
      <c r="E2665" s="90" t="s">
        <v>16</v>
      </c>
      <c r="H2665" s="2">
        <v>500</v>
      </c>
      <c r="I2665" s="88">
        <f t="shared" si="156"/>
        <v>27144.880000000005</v>
      </c>
      <c r="L2665" s="2">
        <f t="shared" si="157"/>
        <v>27</v>
      </c>
      <c r="M2665" s="2">
        <f t="shared" si="159"/>
        <v>2</v>
      </c>
    </row>
    <row r="2666" spans="1:13" x14ac:dyDescent="0.3">
      <c r="A2666" s="3">
        <v>45545</v>
      </c>
      <c r="B2666" s="11" t="s">
        <v>5147</v>
      </c>
      <c r="C2666" s="65" t="s">
        <v>5741</v>
      </c>
      <c r="G2666" s="2">
        <v>1000</v>
      </c>
      <c r="I2666" s="88">
        <f t="shared" si="156"/>
        <v>28144.880000000005</v>
      </c>
      <c r="L2666" s="2">
        <f t="shared" si="157"/>
        <v>4</v>
      </c>
      <c r="M2666" s="2">
        <f t="shared" si="159"/>
        <v>4</v>
      </c>
    </row>
    <row r="2667" spans="1:13" x14ac:dyDescent="0.3">
      <c r="A2667" s="3">
        <v>45546</v>
      </c>
      <c r="C2667" s="65" t="s">
        <v>5742</v>
      </c>
      <c r="H2667" s="2">
        <v>600</v>
      </c>
      <c r="I2667" s="88">
        <f t="shared" si="156"/>
        <v>27544.880000000005</v>
      </c>
      <c r="L2667" s="2">
        <f t="shared" si="157"/>
        <v>2.4</v>
      </c>
      <c r="M2667" s="2">
        <f t="shared" si="159"/>
        <v>2.4</v>
      </c>
    </row>
    <row r="2668" spans="1:13" x14ac:dyDescent="0.3">
      <c r="A2668" s="3">
        <v>45546</v>
      </c>
      <c r="B2668" s="11" t="s">
        <v>1250</v>
      </c>
      <c r="C2668" s="65" t="s">
        <v>4645</v>
      </c>
      <c r="G2668" s="2">
        <v>10000</v>
      </c>
      <c r="I2668" s="88">
        <f t="shared" si="156"/>
        <v>37544.880000000005</v>
      </c>
      <c r="L2668" s="2">
        <f t="shared" si="157"/>
        <v>20</v>
      </c>
      <c r="M2668" s="2">
        <f t="shared" si="159"/>
        <v>20</v>
      </c>
    </row>
    <row r="2669" spans="1:13" x14ac:dyDescent="0.3">
      <c r="A2669" s="3">
        <v>45546</v>
      </c>
      <c r="B2669" s="11" t="s">
        <v>2634</v>
      </c>
      <c r="C2669" s="65" t="s">
        <v>5666</v>
      </c>
      <c r="H2669" s="2">
        <v>10000</v>
      </c>
      <c r="I2669" s="88">
        <f t="shared" si="156"/>
        <v>27544.880000000005</v>
      </c>
      <c r="L2669" s="2">
        <f t="shared" si="157"/>
        <v>20</v>
      </c>
      <c r="M2669" s="2">
        <f t="shared" si="159"/>
        <v>20</v>
      </c>
    </row>
    <row r="2670" spans="1:13" x14ac:dyDescent="0.3">
      <c r="A2670" s="3">
        <v>45546</v>
      </c>
      <c r="B2670" s="11" t="s">
        <v>5368</v>
      </c>
      <c r="C2670" s="65" t="s">
        <v>5743</v>
      </c>
      <c r="H2670" s="2">
        <v>9000</v>
      </c>
      <c r="I2670" s="88">
        <f t="shared" si="156"/>
        <v>18544.880000000005</v>
      </c>
      <c r="L2670" s="2">
        <f t="shared" si="157"/>
        <v>20</v>
      </c>
      <c r="M2670" s="2">
        <f t="shared" si="159"/>
        <v>20</v>
      </c>
    </row>
    <row r="2671" spans="1:13" x14ac:dyDescent="0.3">
      <c r="A2671" s="3">
        <v>45546</v>
      </c>
      <c r="B2671" s="11" t="s">
        <v>4680</v>
      </c>
      <c r="C2671" s="65" t="s">
        <v>4681</v>
      </c>
      <c r="H2671" s="2">
        <v>5000</v>
      </c>
      <c r="I2671" s="88">
        <f t="shared" si="156"/>
        <v>13544.880000000005</v>
      </c>
      <c r="L2671" s="2">
        <f t="shared" si="157"/>
        <v>20</v>
      </c>
      <c r="M2671" s="2">
        <f t="shared" si="159"/>
        <v>20</v>
      </c>
    </row>
    <row r="2672" spans="1:13" x14ac:dyDescent="0.3">
      <c r="A2672" s="3">
        <v>45546</v>
      </c>
      <c r="B2672" s="11" t="s">
        <v>5745</v>
      </c>
      <c r="C2672" s="65" t="s">
        <v>5746</v>
      </c>
      <c r="E2672" s="90" t="s">
        <v>16</v>
      </c>
      <c r="H2672" s="2">
        <v>100</v>
      </c>
      <c r="I2672" s="88">
        <f t="shared" si="156"/>
        <v>13444.880000000005</v>
      </c>
      <c r="L2672" s="2">
        <f t="shared" si="157"/>
        <v>25.4</v>
      </c>
      <c r="M2672" s="2">
        <f t="shared" si="159"/>
        <v>0.4</v>
      </c>
    </row>
    <row r="2673" spans="1:13" x14ac:dyDescent="0.3">
      <c r="A2673" s="3">
        <v>45546</v>
      </c>
      <c r="B2673" s="11" t="s">
        <v>5753</v>
      </c>
      <c r="C2673" s="65" t="s">
        <v>5750</v>
      </c>
      <c r="E2673" s="90" t="s">
        <v>16</v>
      </c>
      <c r="H2673" s="2">
        <v>100</v>
      </c>
      <c r="I2673" s="88">
        <f t="shared" si="156"/>
        <v>13344.880000000005</v>
      </c>
      <c r="L2673" s="2">
        <f t="shared" si="157"/>
        <v>25.4</v>
      </c>
      <c r="M2673" s="2">
        <f t="shared" si="159"/>
        <v>0.4</v>
      </c>
    </row>
    <row r="2674" spans="1:13" x14ac:dyDescent="0.3">
      <c r="A2674" s="3">
        <v>45546</v>
      </c>
      <c r="B2674" s="11" t="s">
        <v>5755</v>
      </c>
      <c r="C2674" s="65" t="s">
        <v>5756</v>
      </c>
      <c r="E2674" s="90" t="s">
        <v>16</v>
      </c>
      <c r="H2674" s="2">
        <v>100</v>
      </c>
      <c r="I2674" s="88">
        <f t="shared" si="156"/>
        <v>13244.880000000005</v>
      </c>
      <c r="L2674" s="2">
        <f t="shared" si="157"/>
        <v>25.4</v>
      </c>
      <c r="M2674" s="2">
        <f t="shared" si="159"/>
        <v>0.4</v>
      </c>
    </row>
    <row r="2675" spans="1:13" x14ac:dyDescent="0.3">
      <c r="A2675" s="3">
        <v>45546</v>
      </c>
      <c r="B2675" s="11" t="s">
        <v>1250</v>
      </c>
      <c r="C2675" s="51"/>
      <c r="D2675" s="7"/>
      <c r="G2675" s="2">
        <v>1000</v>
      </c>
      <c r="I2675" s="88">
        <f t="shared" si="156"/>
        <v>14244.880000000005</v>
      </c>
      <c r="L2675" s="2">
        <f t="shared" si="157"/>
        <v>4</v>
      </c>
      <c r="M2675" s="2">
        <f t="shared" si="159"/>
        <v>4</v>
      </c>
    </row>
    <row r="2676" spans="1:13" x14ac:dyDescent="0.3">
      <c r="A2676" s="3">
        <v>45546</v>
      </c>
      <c r="B2676" s="11" t="s">
        <v>1250</v>
      </c>
      <c r="C2676" s="51" t="s">
        <v>5762</v>
      </c>
      <c r="D2676" s="7"/>
      <c r="H2676" s="2">
        <v>200</v>
      </c>
      <c r="I2676" s="88">
        <f t="shared" si="156"/>
        <v>14044.880000000005</v>
      </c>
      <c r="L2676" s="2">
        <f t="shared" si="157"/>
        <v>0.8</v>
      </c>
      <c r="M2676" s="2">
        <f t="shared" si="159"/>
        <v>0.8</v>
      </c>
    </row>
    <row r="2677" spans="1:13" x14ac:dyDescent="0.3">
      <c r="A2677" s="3">
        <v>45546</v>
      </c>
      <c r="B2677" s="11" t="s">
        <v>3541</v>
      </c>
      <c r="C2677" s="51" t="s">
        <v>3673</v>
      </c>
      <c r="D2677" s="7"/>
      <c r="G2677" s="2">
        <v>1500</v>
      </c>
      <c r="I2677" s="88">
        <f t="shared" si="156"/>
        <v>15544.880000000005</v>
      </c>
      <c r="L2677" s="2">
        <f t="shared" si="157"/>
        <v>6</v>
      </c>
      <c r="M2677" s="2">
        <f t="shared" si="159"/>
        <v>6</v>
      </c>
    </row>
    <row r="2678" spans="1:13" x14ac:dyDescent="0.3">
      <c r="A2678" s="3">
        <v>45548</v>
      </c>
      <c r="B2678" s="11" t="s">
        <v>5767</v>
      </c>
      <c r="C2678" s="51"/>
      <c r="D2678" s="7"/>
      <c r="E2678" s="90" t="s">
        <v>16</v>
      </c>
      <c r="H2678" s="2">
        <v>200</v>
      </c>
      <c r="I2678" s="88">
        <f t="shared" si="156"/>
        <v>15344.880000000005</v>
      </c>
      <c r="L2678" s="2">
        <f t="shared" si="157"/>
        <v>25.8</v>
      </c>
      <c r="M2678" s="2">
        <f t="shared" si="159"/>
        <v>0.8</v>
      </c>
    </row>
    <row r="2679" spans="1:13" x14ac:dyDescent="0.3">
      <c r="A2679" s="3">
        <v>45548</v>
      </c>
      <c r="B2679" s="11" t="s">
        <v>2743</v>
      </c>
      <c r="C2679" s="51" t="s">
        <v>5769</v>
      </c>
      <c r="D2679" s="7"/>
      <c r="G2679" s="2">
        <v>2000</v>
      </c>
      <c r="I2679" s="88">
        <f t="shared" si="156"/>
        <v>17344.880000000005</v>
      </c>
      <c r="L2679" s="2">
        <f t="shared" si="157"/>
        <v>8</v>
      </c>
      <c r="M2679" s="2">
        <f t="shared" si="159"/>
        <v>8</v>
      </c>
    </row>
    <row r="2680" spans="1:13" x14ac:dyDescent="0.3">
      <c r="A2680" s="3">
        <v>45548</v>
      </c>
      <c r="B2680" s="11" t="s">
        <v>5771</v>
      </c>
      <c r="C2680" s="65" t="s">
        <v>5772</v>
      </c>
      <c r="E2680" s="90" t="s">
        <v>16</v>
      </c>
      <c r="H2680" s="2">
        <v>500</v>
      </c>
      <c r="I2680" s="88">
        <f t="shared" si="156"/>
        <v>16844.880000000005</v>
      </c>
      <c r="L2680" s="2">
        <f t="shared" si="157"/>
        <v>27</v>
      </c>
      <c r="M2680" s="2">
        <f t="shared" si="159"/>
        <v>2</v>
      </c>
    </row>
    <row r="2681" spans="1:13" x14ac:dyDescent="0.3">
      <c r="A2681" s="3">
        <v>45548</v>
      </c>
      <c r="C2681" s="65" t="s">
        <v>5775</v>
      </c>
      <c r="E2681" s="90" t="s">
        <v>16</v>
      </c>
      <c r="H2681" s="2">
        <v>2000</v>
      </c>
      <c r="I2681" s="88">
        <f t="shared" si="156"/>
        <v>14844.880000000005</v>
      </c>
      <c r="L2681" s="2">
        <f t="shared" si="157"/>
        <v>33</v>
      </c>
      <c r="M2681" s="2">
        <f t="shared" si="159"/>
        <v>8</v>
      </c>
    </row>
    <row r="2682" spans="1:13" x14ac:dyDescent="0.3">
      <c r="A2682" s="3">
        <v>45548</v>
      </c>
      <c r="B2682" s="11" t="s">
        <v>1250</v>
      </c>
      <c r="C2682" s="51" t="s">
        <v>3744</v>
      </c>
      <c r="D2682" s="7"/>
      <c r="G2682" s="2">
        <v>500</v>
      </c>
      <c r="I2682" s="88">
        <f t="shared" si="156"/>
        <v>15344.880000000005</v>
      </c>
      <c r="L2682" s="2">
        <f t="shared" si="157"/>
        <v>2</v>
      </c>
      <c r="M2682" s="2">
        <f t="shared" si="159"/>
        <v>2</v>
      </c>
    </row>
    <row r="2683" spans="1:13" x14ac:dyDescent="0.3">
      <c r="A2683" s="3">
        <v>45548</v>
      </c>
      <c r="B2683" s="11" t="s">
        <v>5312</v>
      </c>
      <c r="C2683" s="51"/>
      <c r="D2683" s="7"/>
      <c r="H2683" s="2">
        <v>500</v>
      </c>
      <c r="I2683" s="88">
        <f t="shared" si="156"/>
        <v>14844.880000000005</v>
      </c>
      <c r="L2683" s="2">
        <f t="shared" si="157"/>
        <v>2</v>
      </c>
      <c r="M2683" s="2">
        <f t="shared" si="159"/>
        <v>2</v>
      </c>
    </row>
    <row r="2684" spans="1:13" x14ac:dyDescent="0.3">
      <c r="A2684" s="3">
        <v>45549</v>
      </c>
      <c r="B2684" s="11" t="s">
        <v>1250</v>
      </c>
      <c r="C2684" s="51" t="s">
        <v>3370</v>
      </c>
      <c r="D2684" s="7"/>
      <c r="G2684" s="2">
        <v>2000</v>
      </c>
      <c r="I2684" s="88">
        <f t="shared" si="156"/>
        <v>16844.880000000005</v>
      </c>
      <c r="L2684" s="2">
        <f t="shared" si="157"/>
        <v>8</v>
      </c>
      <c r="M2684" s="2">
        <f t="shared" si="159"/>
        <v>8</v>
      </c>
    </row>
    <row r="2685" spans="1:13" x14ac:dyDescent="0.3">
      <c r="A2685" s="3">
        <v>45549</v>
      </c>
      <c r="B2685" s="11" t="s">
        <v>5604</v>
      </c>
      <c r="C2685" s="51" t="s">
        <v>5778</v>
      </c>
      <c r="D2685" s="7"/>
      <c r="G2685" s="2">
        <v>3000</v>
      </c>
      <c r="I2685" s="88">
        <f t="shared" si="156"/>
        <v>19844.880000000005</v>
      </c>
      <c r="L2685" s="2">
        <f t="shared" si="157"/>
        <v>12</v>
      </c>
      <c r="M2685" s="2">
        <f t="shared" si="159"/>
        <v>12</v>
      </c>
    </row>
    <row r="2686" spans="1:13" x14ac:dyDescent="0.3">
      <c r="A2686" s="3">
        <v>45551</v>
      </c>
      <c r="B2686" s="11" t="s">
        <v>5789</v>
      </c>
      <c r="C2686" s="51" t="s">
        <v>2645</v>
      </c>
      <c r="D2686" s="7"/>
      <c r="G2686" s="2">
        <v>2000</v>
      </c>
      <c r="I2686" s="88">
        <f t="shared" si="156"/>
        <v>21844.880000000005</v>
      </c>
      <c r="L2686" s="2">
        <f t="shared" si="157"/>
        <v>8</v>
      </c>
      <c r="M2686" s="2">
        <f t="shared" si="159"/>
        <v>8</v>
      </c>
    </row>
    <row r="2687" spans="1:13" x14ac:dyDescent="0.3">
      <c r="A2687" s="3">
        <v>45551</v>
      </c>
      <c r="B2687" s="11" t="s">
        <v>1160</v>
      </c>
      <c r="C2687" s="51" t="s">
        <v>5790</v>
      </c>
      <c r="D2687" s="7"/>
      <c r="G2687" s="2">
        <v>1000</v>
      </c>
      <c r="I2687" s="88">
        <f t="shared" si="156"/>
        <v>22844.880000000005</v>
      </c>
      <c r="L2687" s="2">
        <f t="shared" si="157"/>
        <v>4</v>
      </c>
      <c r="M2687" s="2">
        <f t="shared" si="159"/>
        <v>4</v>
      </c>
    </row>
    <row r="2688" spans="1:13" x14ac:dyDescent="0.3">
      <c r="A2688" s="3">
        <v>45551</v>
      </c>
      <c r="B2688" s="11" t="s">
        <v>1250</v>
      </c>
      <c r="C2688" s="51" t="s">
        <v>4437</v>
      </c>
      <c r="D2688" s="7"/>
      <c r="G2688" s="2">
        <v>2000</v>
      </c>
      <c r="I2688" s="88">
        <f t="shared" si="156"/>
        <v>24844.880000000005</v>
      </c>
      <c r="L2688" s="2">
        <f t="shared" si="157"/>
        <v>8</v>
      </c>
      <c r="M2688" s="2">
        <f t="shared" si="159"/>
        <v>8</v>
      </c>
    </row>
    <row r="2689" spans="1:13" x14ac:dyDescent="0.3">
      <c r="A2689" s="3">
        <v>45551</v>
      </c>
      <c r="B2689" s="11" t="s">
        <v>5783</v>
      </c>
      <c r="C2689" s="51" t="s">
        <v>5780</v>
      </c>
      <c r="D2689" s="7"/>
      <c r="E2689" s="90" t="s">
        <v>16</v>
      </c>
      <c r="H2689" s="2">
        <v>150</v>
      </c>
      <c r="I2689" s="88">
        <f t="shared" si="156"/>
        <v>24694.880000000005</v>
      </c>
      <c r="M2689" s="2">
        <f t="shared" si="159"/>
        <v>0.6</v>
      </c>
    </row>
    <row r="2690" spans="1:13" x14ac:dyDescent="0.3">
      <c r="A2690" s="3">
        <v>45552</v>
      </c>
      <c r="B2690" s="11" t="s">
        <v>1250</v>
      </c>
      <c r="C2690" s="51" t="s">
        <v>5721</v>
      </c>
      <c r="D2690" s="7"/>
      <c r="G2690" s="2">
        <v>6000</v>
      </c>
      <c r="I2690" s="88">
        <f t="shared" si="156"/>
        <v>30694.880000000005</v>
      </c>
      <c r="L2690" s="2">
        <f t="shared" si="157"/>
        <v>20</v>
      </c>
      <c r="M2690" s="2">
        <f t="shared" ref="M2690:M2721" si="160">IF((G2690+H2690)&lt;=5000,(G2690+H2690)*0.004,20)+IF(F2690="Y",25,0)</f>
        <v>20</v>
      </c>
    </row>
    <row r="2691" spans="1:13" x14ac:dyDescent="0.3">
      <c r="A2691" s="3">
        <v>45552</v>
      </c>
      <c r="B2691" s="11" t="s">
        <v>5796</v>
      </c>
      <c r="C2691" s="51" t="s">
        <v>5794</v>
      </c>
      <c r="D2691" s="7"/>
      <c r="E2691" s="90" t="s">
        <v>16</v>
      </c>
      <c r="H2691" s="2">
        <v>100</v>
      </c>
      <c r="I2691" s="88">
        <f t="shared" si="156"/>
        <v>30594.880000000005</v>
      </c>
      <c r="L2691" s="2">
        <f t="shared" si="157"/>
        <v>25.4</v>
      </c>
      <c r="M2691" s="2">
        <f t="shared" si="160"/>
        <v>0.4</v>
      </c>
    </row>
    <row r="2692" spans="1:13" x14ac:dyDescent="0.3">
      <c r="A2692" s="3">
        <v>45552</v>
      </c>
      <c r="B2692" s="11" t="s">
        <v>5797</v>
      </c>
      <c r="C2692" s="51" t="s">
        <v>5798</v>
      </c>
      <c r="D2692" s="7"/>
      <c r="E2692" s="90" t="s">
        <v>16</v>
      </c>
      <c r="H2692" s="2">
        <v>100</v>
      </c>
      <c r="I2692" s="88">
        <f t="shared" si="156"/>
        <v>30494.880000000005</v>
      </c>
      <c r="L2692" s="2">
        <f t="shared" si="157"/>
        <v>25.4</v>
      </c>
      <c r="M2692" s="2">
        <f t="shared" si="160"/>
        <v>0.4</v>
      </c>
    </row>
    <row r="2693" spans="1:13" x14ac:dyDescent="0.3">
      <c r="A2693" s="3">
        <v>45552</v>
      </c>
      <c r="B2693" s="11" t="s">
        <v>5801</v>
      </c>
      <c r="C2693" s="51" t="s">
        <v>5802</v>
      </c>
      <c r="D2693" s="7"/>
      <c r="E2693" s="90" t="s">
        <v>16</v>
      </c>
      <c r="H2693" s="2">
        <v>250</v>
      </c>
      <c r="I2693" s="88">
        <f t="shared" si="156"/>
        <v>30244.880000000005</v>
      </c>
      <c r="L2693" s="2">
        <f t="shared" si="157"/>
        <v>26</v>
      </c>
      <c r="M2693" s="2">
        <f t="shared" si="160"/>
        <v>1</v>
      </c>
    </row>
    <row r="2694" spans="1:13" x14ac:dyDescent="0.3">
      <c r="A2694" s="3">
        <v>45552</v>
      </c>
      <c r="B2694" s="11" t="s">
        <v>3232</v>
      </c>
      <c r="C2694" s="51" t="s">
        <v>2275</v>
      </c>
      <c r="D2694" s="7"/>
      <c r="G2694" s="2">
        <v>1000</v>
      </c>
      <c r="I2694" s="88">
        <f t="shared" si="156"/>
        <v>31244.880000000005</v>
      </c>
      <c r="L2694" s="2">
        <f t="shared" si="157"/>
        <v>4</v>
      </c>
      <c r="M2694" s="2">
        <f t="shared" si="160"/>
        <v>4</v>
      </c>
    </row>
    <row r="2695" spans="1:13" x14ac:dyDescent="0.3">
      <c r="A2695" s="3">
        <v>45553</v>
      </c>
      <c r="B2695" s="11" t="s">
        <v>1250</v>
      </c>
      <c r="C2695" s="51"/>
      <c r="D2695" s="7"/>
      <c r="H2695" s="2">
        <v>500</v>
      </c>
      <c r="I2695" s="88">
        <f t="shared" si="156"/>
        <v>30744.880000000005</v>
      </c>
      <c r="L2695" s="2">
        <f t="shared" si="157"/>
        <v>2</v>
      </c>
      <c r="M2695" s="2">
        <f t="shared" si="160"/>
        <v>2</v>
      </c>
    </row>
    <row r="2696" spans="1:13" x14ac:dyDescent="0.3">
      <c r="A2696" s="3">
        <v>45553</v>
      </c>
      <c r="B2696" s="11" t="s">
        <v>4752</v>
      </c>
      <c r="C2696" s="51" t="s">
        <v>5806</v>
      </c>
      <c r="D2696" s="7"/>
      <c r="G2696" s="2">
        <v>3000</v>
      </c>
      <c r="I2696" s="88">
        <f t="shared" ref="I2696:I2773" si="161">I2695+G2696-H2696</f>
        <v>33744.880000000005</v>
      </c>
      <c r="L2696" s="2">
        <f t="shared" si="157"/>
        <v>12</v>
      </c>
      <c r="M2696" s="2">
        <f t="shared" si="160"/>
        <v>12</v>
      </c>
    </row>
    <row r="2697" spans="1:13" x14ac:dyDescent="0.3">
      <c r="A2697" s="3">
        <v>45554</v>
      </c>
      <c r="B2697" s="11" t="s">
        <v>1250</v>
      </c>
      <c r="C2697" s="51" t="s">
        <v>5721</v>
      </c>
      <c r="D2697" s="7"/>
      <c r="G2697" s="2">
        <v>4000</v>
      </c>
      <c r="I2697" s="88">
        <f t="shared" si="161"/>
        <v>37744.880000000005</v>
      </c>
      <c r="L2697" s="2">
        <f t="shared" si="157"/>
        <v>16</v>
      </c>
      <c r="M2697" s="2">
        <f t="shared" si="160"/>
        <v>16</v>
      </c>
    </row>
    <row r="2698" spans="1:13" x14ac:dyDescent="0.3">
      <c r="A2698" s="3">
        <v>45554</v>
      </c>
      <c r="B2698" s="11" t="s">
        <v>5811</v>
      </c>
      <c r="C2698" s="65" t="s">
        <v>5809</v>
      </c>
      <c r="E2698" s="90" t="s">
        <v>16</v>
      </c>
      <c r="I2698" s="88">
        <f t="shared" si="161"/>
        <v>37744.880000000005</v>
      </c>
      <c r="L2698" s="2">
        <f t="shared" si="157"/>
        <v>25</v>
      </c>
      <c r="M2698" s="2">
        <f t="shared" si="160"/>
        <v>0</v>
      </c>
    </row>
    <row r="2699" spans="1:13" x14ac:dyDescent="0.3">
      <c r="A2699" s="3">
        <v>45554</v>
      </c>
      <c r="B2699" s="11" t="s">
        <v>5815</v>
      </c>
      <c r="C2699" s="65" t="s">
        <v>5813</v>
      </c>
      <c r="E2699" s="90" t="s">
        <v>16</v>
      </c>
      <c r="I2699" s="88">
        <f t="shared" si="161"/>
        <v>37744.880000000005</v>
      </c>
      <c r="L2699" s="2">
        <f t="shared" si="157"/>
        <v>25</v>
      </c>
      <c r="M2699" s="2">
        <f t="shared" si="160"/>
        <v>0</v>
      </c>
    </row>
    <row r="2700" spans="1:13" x14ac:dyDescent="0.3">
      <c r="A2700" s="3">
        <v>45554</v>
      </c>
      <c r="B2700" s="11" t="s">
        <v>1250</v>
      </c>
      <c r="C2700" s="51" t="s">
        <v>3088</v>
      </c>
      <c r="D2700" s="7"/>
      <c r="H2700" s="2">
        <v>2500</v>
      </c>
      <c r="I2700" s="88">
        <f t="shared" si="161"/>
        <v>35244.880000000005</v>
      </c>
      <c r="L2700" s="2">
        <f t="shared" si="157"/>
        <v>10</v>
      </c>
      <c r="M2700" s="2">
        <f t="shared" si="160"/>
        <v>10</v>
      </c>
    </row>
    <row r="2701" spans="1:13" x14ac:dyDescent="0.3">
      <c r="A2701" s="3">
        <v>45555</v>
      </c>
      <c r="B2701" s="11" t="s">
        <v>1250</v>
      </c>
      <c r="C2701" s="51" t="s">
        <v>2865</v>
      </c>
      <c r="D2701" s="7"/>
      <c r="G2701" s="2">
        <v>1000</v>
      </c>
      <c r="I2701" s="88">
        <f t="shared" si="161"/>
        <v>36244.880000000005</v>
      </c>
      <c r="L2701" s="2">
        <f t="shared" si="157"/>
        <v>4</v>
      </c>
      <c r="M2701" s="2">
        <f t="shared" si="160"/>
        <v>4</v>
      </c>
    </row>
    <row r="2702" spans="1:13" x14ac:dyDescent="0.3">
      <c r="A2702" s="3">
        <v>45555</v>
      </c>
      <c r="B2702" s="11" t="s">
        <v>3148</v>
      </c>
      <c r="C2702" s="51"/>
      <c r="D2702" s="7"/>
      <c r="G2702" s="2">
        <v>1000</v>
      </c>
      <c r="I2702" s="88">
        <f t="shared" si="161"/>
        <v>37244.880000000005</v>
      </c>
      <c r="L2702" s="2">
        <f t="shared" si="157"/>
        <v>4</v>
      </c>
      <c r="M2702" s="2">
        <f t="shared" si="160"/>
        <v>4</v>
      </c>
    </row>
    <row r="2703" spans="1:13" x14ac:dyDescent="0.3">
      <c r="A2703" s="3">
        <v>45555</v>
      </c>
      <c r="B2703" s="11" t="s">
        <v>5820</v>
      </c>
      <c r="C2703" s="65" t="s">
        <v>5821</v>
      </c>
      <c r="E2703" s="90" t="s">
        <v>16</v>
      </c>
      <c r="H2703" s="2">
        <v>500</v>
      </c>
      <c r="I2703" s="88">
        <f t="shared" si="161"/>
        <v>36744.880000000005</v>
      </c>
      <c r="L2703" s="2">
        <f t="shared" si="157"/>
        <v>27</v>
      </c>
      <c r="M2703" s="2">
        <f t="shared" si="160"/>
        <v>2</v>
      </c>
    </row>
    <row r="2704" spans="1:13" x14ac:dyDescent="0.3">
      <c r="A2704" s="3">
        <v>45556</v>
      </c>
      <c r="B2704" s="11" t="s">
        <v>5825</v>
      </c>
      <c r="C2704" s="65" t="s">
        <v>5826</v>
      </c>
      <c r="E2704" s="90" t="s">
        <v>16</v>
      </c>
      <c r="H2704" s="2">
        <v>100</v>
      </c>
      <c r="I2704" s="88">
        <f t="shared" si="161"/>
        <v>36644.880000000005</v>
      </c>
      <c r="L2704" s="2">
        <f t="shared" si="157"/>
        <v>25.4</v>
      </c>
      <c r="M2704" s="2">
        <f t="shared" si="160"/>
        <v>0.4</v>
      </c>
    </row>
    <row r="2705" spans="1:13" x14ac:dyDescent="0.3">
      <c r="A2705" s="3">
        <v>45556</v>
      </c>
      <c r="B2705" s="11" t="s">
        <v>5830</v>
      </c>
      <c r="C2705" s="65" t="s">
        <v>1055</v>
      </c>
      <c r="E2705" s="90" t="s">
        <v>16</v>
      </c>
      <c r="H2705" s="2">
        <v>500</v>
      </c>
      <c r="I2705" s="88">
        <f t="shared" si="161"/>
        <v>36144.880000000005</v>
      </c>
      <c r="L2705" s="2">
        <f t="shared" si="157"/>
        <v>27</v>
      </c>
      <c r="M2705" s="2">
        <f t="shared" si="160"/>
        <v>2</v>
      </c>
    </row>
    <row r="2706" spans="1:13" x14ac:dyDescent="0.3">
      <c r="A2706" s="3">
        <v>45556</v>
      </c>
      <c r="B2706" s="11" t="s">
        <v>1160</v>
      </c>
      <c r="C2706" s="51" t="s">
        <v>5621</v>
      </c>
      <c r="D2706" s="7"/>
      <c r="G2706" s="2">
        <v>1300</v>
      </c>
      <c r="I2706" s="88">
        <f t="shared" si="161"/>
        <v>37444.880000000005</v>
      </c>
      <c r="J2706" s="62"/>
      <c r="L2706" s="2">
        <f t="shared" si="157"/>
        <v>5.2</v>
      </c>
      <c r="M2706" s="2">
        <f t="shared" si="160"/>
        <v>5.2</v>
      </c>
    </row>
    <row r="2707" spans="1:13" x14ac:dyDescent="0.3">
      <c r="A2707" s="3">
        <v>45556</v>
      </c>
      <c r="B2707" s="11" t="s">
        <v>5834</v>
      </c>
      <c r="C2707" s="65" t="s">
        <v>5835</v>
      </c>
      <c r="D2707" s="7"/>
      <c r="E2707" s="90" t="s">
        <v>16</v>
      </c>
      <c r="H2707" s="2">
        <v>200</v>
      </c>
      <c r="I2707" s="88">
        <f t="shared" si="161"/>
        <v>37244.880000000005</v>
      </c>
      <c r="L2707" s="2">
        <f t="shared" si="157"/>
        <v>25.8</v>
      </c>
      <c r="M2707" s="2">
        <f t="shared" si="160"/>
        <v>0.8</v>
      </c>
    </row>
    <row r="2708" spans="1:13" x14ac:dyDescent="0.3">
      <c r="A2708" s="3">
        <v>45556</v>
      </c>
      <c r="B2708" s="11" t="s">
        <v>5839</v>
      </c>
      <c r="C2708" s="51"/>
      <c r="D2708" s="7"/>
      <c r="E2708" s="90" t="s">
        <v>16</v>
      </c>
      <c r="H2708" s="2">
        <v>500</v>
      </c>
      <c r="I2708" s="88">
        <f t="shared" si="161"/>
        <v>36744.880000000005</v>
      </c>
      <c r="L2708" s="2">
        <f t="shared" si="157"/>
        <v>27</v>
      </c>
      <c r="M2708" s="2">
        <f t="shared" si="160"/>
        <v>2</v>
      </c>
    </row>
    <row r="2709" spans="1:13" x14ac:dyDescent="0.3">
      <c r="A2709" s="3">
        <v>45556</v>
      </c>
      <c r="B2709" s="11" t="s">
        <v>5845</v>
      </c>
      <c r="C2709" s="51" t="s">
        <v>5846</v>
      </c>
      <c r="D2709" s="7"/>
      <c r="E2709" s="90" t="s">
        <v>16</v>
      </c>
      <c r="H2709" s="2">
        <v>2000</v>
      </c>
      <c r="I2709" s="88">
        <f t="shared" si="161"/>
        <v>34744.880000000005</v>
      </c>
      <c r="L2709" s="2">
        <f t="shared" si="157"/>
        <v>33</v>
      </c>
      <c r="M2709" s="2">
        <f t="shared" si="160"/>
        <v>8</v>
      </c>
    </row>
    <row r="2710" spans="1:13" x14ac:dyDescent="0.3">
      <c r="A2710" s="3">
        <v>45556</v>
      </c>
      <c r="B2710" s="11" t="s">
        <v>3148</v>
      </c>
      <c r="C2710" s="51" t="s">
        <v>5844</v>
      </c>
      <c r="D2710" s="7"/>
      <c r="G2710" s="2">
        <v>2000</v>
      </c>
      <c r="I2710" s="88">
        <f t="shared" si="161"/>
        <v>36744.880000000005</v>
      </c>
      <c r="L2710" s="2">
        <f t="shared" si="157"/>
        <v>8</v>
      </c>
      <c r="M2710" s="2">
        <f t="shared" si="160"/>
        <v>8</v>
      </c>
    </row>
    <row r="2711" spans="1:13" x14ac:dyDescent="0.3">
      <c r="A2711" s="3">
        <v>45557</v>
      </c>
      <c r="B2711" s="11" t="s">
        <v>1250</v>
      </c>
      <c r="C2711" s="51" t="s">
        <v>5849</v>
      </c>
      <c r="D2711" s="7"/>
      <c r="G2711" s="2">
        <v>3050</v>
      </c>
      <c r="I2711" s="88">
        <f t="shared" si="161"/>
        <v>39794.880000000005</v>
      </c>
      <c r="L2711" s="2">
        <f t="shared" si="157"/>
        <v>12.200000000000001</v>
      </c>
      <c r="M2711" s="2">
        <f t="shared" si="160"/>
        <v>12.200000000000001</v>
      </c>
    </row>
    <row r="2712" spans="1:13" x14ac:dyDescent="0.3">
      <c r="A2712" s="3">
        <v>45557</v>
      </c>
      <c r="B2712" s="11" t="s">
        <v>2448</v>
      </c>
      <c r="C2712" s="51" t="s">
        <v>2289</v>
      </c>
      <c r="D2712" s="7"/>
      <c r="H2712" s="2">
        <v>7000</v>
      </c>
      <c r="I2712" s="88">
        <f t="shared" si="161"/>
        <v>32794.880000000005</v>
      </c>
      <c r="L2712" s="2">
        <f t="shared" si="157"/>
        <v>20</v>
      </c>
      <c r="M2712" s="2">
        <f t="shared" si="160"/>
        <v>20</v>
      </c>
    </row>
    <row r="2713" spans="1:13" x14ac:dyDescent="0.3">
      <c r="A2713" s="3">
        <v>45557</v>
      </c>
      <c r="B2713" s="11" t="s">
        <v>1250</v>
      </c>
      <c r="C2713" s="51" t="s">
        <v>4681</v>
      </c>
      <c r="D2713" s="7"/>
      <c r="G2713" s="2">
        <v>2000</v>
      </c>
      <c r="I2713" s="88">
        <f t="shared" si="161"/>
        <v>34794.880000000005</v>
      </c>
      <c r="L2713" s="2">
        <f t="shared" si="157"/>
        <v>8</v>
      </c>
      <c r="M2713" s="2">
        <f t="shared" si="160"/>
        <v>8</v>
      </c>
    </row>
    <row r="2714" spans="1:13" x14ac:dyDescent="0.3">
      <c r="A2714" s="3">
        <v>45558</v>
      </c>
      <c r="B2714" s="11" t="s">
        <v>2634</v>
      </c>
      <c r="C2714" s="51" t="s">
        <v>2635</v>
      </c>
      <c r="D2714" s="7"/>
      <c r="H2714" s="2">
        <v>1200</v>
      </c>
      <c r="I2714" s="88">
        <f t="shared" si="161"/>
        <v>33594.880000000005</v>
      </c>
      <c r="L2714" s="2">
        <f t="shared" si="157"/>
        <v>4.8</v>
      </c>
      <c r="M2714" s="2">
        <f t="shared" si="160"/>
        <v>4.8</v>
      </c>
    </row>
    <row r="2715" spans="1:13" x14ac:dyDescent="0.3">
      <c r="A2715" s="3">
        <v>45558</v>
      </c>
      <c r="B2715" s="11" t="s">
        <v>1250</v>
      </c>
      <c r="C2715" s="51" t="s">
        <v>3658</v>
      </c>
      <c r="D2715" s="7"/>
      <c r="G2715" s="2">
        <v>500</v>
      </c>
      <c r="I2715" s="88">
        <f t="shared" si="161"/>
        <v>34094.880000000005</v>
      </c>
      <c r="L2715" s="2">
        <f t="shared" si="157"/>
        <v>2</v>
      </c>
      <c r="M2715" s="2">
        <f t="shared" si="160"/>
        <v>2</v>
      </c>
    </row>
    <row r="2716" spans="1:13" x14ac:dyDescent="0.3">
      <c r="A2716" s="3">
        <v>45558</v>
      </c>
      <c r="B2716" s="11" t="s">
        <v>1250</v>
      </c>
      <c r="C2716" s="51" t="s">
        <v>2443</v>
      </c>
      <c r="D2716" s="7"/>
      <c r="G2716" s="2">
        <v>250</v>
      </c>
      <c r="I2716" s="88">
        <f t="shared" si="161"/>
        <v>34344.880000000005</v>
      </c>
      <c r="L2716" s="2">
        <f t="shared" si="157"/>
        <v>1</v>
      </c>
      <c r="M2716" s="2">
        <f t="shared" si="160"/>
        <v>1</v>
      </c>
    </row>
    <row r="2717" spans="1:13" x14ac:dyDescent="0.3">
      <c r="A2717" s="3">
        <v>45558</v>
      </c>
      <c r="B2717" s="11" t="s">
        <v>5238</v>
      </c>
      <c r="C2717" s="51" t="s">
        <v>5697</v>
      </c>
      <c r="D2717" s="7"/>
      <c r="G2717" s="2">
        <v>1000</v>
      </c>
      <c r="I2717" s="88">
        <f t="shared" si="161"/>
        <v>35344.880000000005</v>
      </c>
      <c r="L2717" s="2">
        <f t="shared" si="157"/>
        <v>4</v>
      </c>
      <c r="M2717" s="2">
        <f t="shared" si="160"/>
        <v>4</v>
      </c>
    </row>
    <row r="2718" spans="1:13" x14ac:dyDescent="0.3">
      <c r="A2718" s="3">
        <v>45558</v>
      </c>
      <c r="B2718" s="11" t="s">
        <v>5147</v>
      </c>
      <c r="C2718" s="51" t="s">
        <v>5148</v>
      </c>
      <c r="D2718" s="7"/>
      <c r="G2718" s="2">
        <v>1000</v>
      </c>
      <c r="I2718" s="88">
        <f t="shared" si="161"/>
        <v>36344.880000000005</v>
      </c>
      <c r="L2718" s="2">
        <f t="shared" si="157"/>
        <v>4</v>
      </c>
      <c r="M2718" s="2">
        <f t="shared" si="160"/>
        <v>4</v>
      </c>
    </row>
    <row r="2719" spans="1:13" x14ac:dyDescent="0.3">
      <c r="A2719" s="3">
        <v>45558</v>
      </c>
      <c r="B2719" s="11" t="s">
        <v>2351</v>
      </c>
      <c r="C2719" s="51" t="s">
        <v>5850</v>
      </c>
      <c r="D2719" s="7"/>
      <c r="G2719" s="2">
        <v>1000</v>
      </c>
      <c r="I2719" s="88">
        <f t="shared" si="161"/>
        <v>37344.880000000005</v>
      </c>
      <c r="L2719" s="2">
        <f t="shared" si="157"/>
        <v>4</v>
      </c>
      <c r="M2719" s="2">
        <f t="shared" si="160"/>
        <v>4</v>
      </c>
    </row>
    <row r="2720" spans="1:13" x14ac:dyDescent="0.3">
      <c r="A2720" s="3">
        <v>45558</v>
      </c>
      <c r="B2720" s="11" t="s">
        <v>5852</v>
      </c>
      <c r="C2720" s="51"/>
      <c r="D2720" s="7"/>
      <c r="E2720" s="90" t="s">
        <v>16</v>
      </c>
      <c r="H2720" s="2">
        <v>100</v>
      </c>
      <c r="I2720" s="88">
        <f t="shared" si="161"/>
        <v>37244.880000000005</v>
      </c>
      <c r="L2720" s="2">
        <f t="shared" si="157"/>
        <v>25.4</v>
      </c>
      <c r="M2720" s="2">
        <f t="shared" si="160"/>
        <v>0.4</v>
      </c>
    </row>
    <row r="2721" spans="1:13" x14ac:dyDescent="0.3">
      <c r="A2721" s="3">
        <v>45558</v>
      </c>
      <c r="B2721" s="11" t="s">
        <v>3148</v>
      </c>
      <c r="C2721" s="51"/>
      <c r="D2721" s="7"/>
      <c r="G2721" s="2">
        <v>1000</v>
      </c>
      <c r="I2721" s="88">
        <f t="shared" si="161"/>
        <v>38244.880000000005</v>
      </c>
      <c r="L2721" s="2">
        <f t="shared" si="157"/>
        <v>4</v>
      </c>
      <c r="M2721" s="2">
        <f t="shared" si="160"/>
        <v>4</v>
      </c>
    </row>
    <row r="2722" spans="1:13" x14ac:dyDescent="0.3">
      <c r="A2722" s="3">
        <v>45559</v>
      </c>
      <c r="B2722" s="11" t="s">
        <v>5860</v>
      </c>
      <c r="C2722" s="65" t="s">
        <v>5857</v>
      </c>
      <c r="D2722" s="7"/>
      <c r="E2722" s="90" t="s">
        <v>16</v>
      </c>
      <c r="H2722" s="2">
        <v>100</v>
      </c>
      <c r="I2722" s="88">
        <f t="shared" si="161"/>
        <v>38144.880000000005</v>
      </c>
      <c r="L2722" s="2">
        <f t="shared" si="157"/>
        <v>25.4</v>
      </c>
      <c r="M2722" s="2">
        <f t="shared" ref="M2722:M2753" si="162">IF((G2722+H2722)&lt;=5000,(G2722+H2722)*0.004,20)+IF(F2722="Y",25,0)</f>
        <v>0.4</v>
      </c>
    </row>
    <row r="2723" spans="1:13" x14ac:dyDescent="0.3">
      <c r="A2723" s="3">
        <v>45559</v>
      </c>
      <c r="B2723" s="11" t="s">
        <v>5862</v>
      </c>
      <c r="C2723" s="65" t="s">
        <v>5863</v>
      </c>
      <c r="E2723" s="90" t="s">
        <v>16</v>
      </c>
      <c r="H2723" s="2">
        <v>1000</v>
      </c>
      <c r="I2723" s="88">
        <f t="shared" si="161"/>
        <v>37144.880000000005</v>
      </c>
      <c r="L2723" s="2">
        <f t="shared" si="157"/>
        <v>29</v>
      </c>
      <c r="M2723" s="2">
        <f t="shared" si="162"/>
        <v>4</v>
      </c>
    </row>
    <row r="2724" spans="1:13" x14ac:dyDescent="0.3">
      <c r="A2724" s="3">
        <v>45559</v>
      </c>
      <c r="B2724" s="11" t="s">
        <v>5867</v>
      </c>
      <c r="C2724" s="65" t="s">
        <v>5868</v>
      </c>
      <c r="E2724" s="90" t="s">
        <v>16</v>
      </c>
      <c r="H2724" s="2">
        <v>500</v>
      </c>
      <c r="I2724" s="88">
        <f t="shared" si="161"/>
        <v>36644.880000000005</v>
      </c>
      <c r="L2724" s="2">
        <f t="shared" si="157"/>
        <v>27</v>
      </c>
      <c r="M2724" s="2">
        <f t="shared" si="162"/>
        <v>2</v>
      </c>
    </row>
    <row r="2725" spans="1:13" x14ac:dyDescent="0.3">
      <c r="A2725" s="3">
        <v>45559</v>
      </c>
      <c r="B2725" s="11" t="s">
        <v>5872</v>
      </c>
      <c r="C2725" s="65" t="s">
        <v>5873</v>
      </c>
      <c r="E2725" s="90" t="s">
        <v>16</v>
      </c>
      <c r="H2725" s="2">
        <v>500</v>
      </c>
      <c r="I2725" s="88">
        <f t="shared" si="161"/>
        <v>36144.880000000005</v>
      </c>
      <c r="L2725" s="2">
        <f t="shared" si="157"/>
        <v>27</v>
      </c>
      <c r="M2725" s="2">
        <f t="shared" si="162"/>
        <v>2</v>
      </c>
    </row>
    <row r="2726" spans="1:13" x14ac:dyDescent="0.3">
      <c r="A2726" s="3">
        <v>45559</v>
      </c>
      <c r="B2726" s="11" t="s">
        <v>3148</v>
      </c>
      <c r="C2726" s="51" t="s">
        <v>5875</v>
      </c>
      <c r="D2726" s="7"/>
      <c r="G2726" s="2">
        <v>1000</v>
      </c>
      <c r="I2726" s="88">
        <f t="shared" si="161"/>
        <v>37144.880000000005</v>
      </c>
      <c r="L2726" s="2">
        <f t="shared" si="157"/>
        <v>4</v>
      </c>
      <c r="M2726" s="2">
        <f t="shared" si="162"/>
        <v>4</v>
      </c>
    </row>
    <row r="2727" spans="1:13" x14ac:dyDescent="0.3">
      <c r="A2727" s="3">
        <v>45559</v>
      </c>
      <c r="B2727" s="11" t="s">
        <v>3148</v>
      </c>
      <c r="C2727" s="51" t="s">
        <v>5876</v>
      </c>
      <c r="D2727" s="7"/>
      <c r="G2727" s="2">
        <v>2000</v>
      </c>
      <c r="I2727" s="88">
        <f t="shared" si="161"/>
        <v>39144.880000000005</v>
      </c>
      <c r="L2727" s="2">
        <f t="shared" si="157"/>
        <v>8</v>
      </c>
      <c r="M2727" s="2">
        <f t="shared" si="162"/>
        <v>8</v>
      </c>
    </row>
    <row r="2728" spans="1:13" x14ac:dyDescent="0.3">
      <c r="A2728" s="3">
        <v>45559</v>
      </c>
      <c r="B2728" s="11" t="s">
        <v>5878</v>
      </c>
      <c r="C2728" s="65" t="s">
        <v>5879</v>
      </c>
      <c r="E2728" s="90" t="s">
        <v>16</v>
      </c>
      <c r="H2728" s="2">
        <v>500</v>
      </c>
      <c r="I2728" s="88">
        <f t="shared" si="161"/>
        <v>38644.880000000005</v>
      </c>
      <c r="L2728" s="2">
        <f t="shared" si="157"/>
        <v>27</v>
      </c>
      <c r="M2728" s="2">
        <f t="shared" si="162"/>
        <v>2</v>
      </c>
    </row>
    <row r="2729" spans="1:13" x14ac:dyDescent="0.3">
      <c r="A2729" s="3">
        <v>45559</v>
      </c>
      <c r="B2729" s="11" t="s">
        <v>3220</v>
      </c>
      <c r="C2729" s="51" t="s">
        <v>5881</v>
      </c>
      <c r="D2729" s="7"/>
      <c r="G2729" s="2">
        <v>1000</v>
      </c>
      <c r="I2729" s="88">
        <f t="shared" si="161"/>
        <v>39644.880000000005</v>
      </c>
      <c r="L2729" s="2">
        <f t="shared" si="157"/>
        <v>4</v>
      </c>
      <c r="M2729" s="2">
        <f t="shared" si="162"/>
        <v>4</v>
      </c>
    </row>
    <row r="2730" spans="1:13" x14ac:dyDescent="0.3">
      <c r="A2730" s="3">
        <v>45559</v>
      </c>
      <c r="B2730" s="11" t="s">
        <v>5883</v>
      </c>
      <c r="C2730" s="65" t="s">
        <v>5884</v>
      </c>
      <c r="E2730" s="90" t="s">
        <v>16</v>
      </c>
      <c r="H2730" s="2">
        <v>300</v>
      </c>
      <c r="I2730" s="88">
        <f t="shared" si="161"/>
        <v>39344.880000000005</v>
      </c>
      <c r="L2730" s="2">
        <f t="shared" si="157"/>
        <v>26.2</v>
      </c>
      <c r="M2730" s="2">
        <f t="shared" si="162"/>
        <v>1.2</v>
      </c>
    </row>
    <row r="2731" spans="1:13" x14ac:dyDescent="0.3">
      <c r="A2731" s="3">
        <v>45559</v>
      </c>
      <c r="B2731" s="11" t="s">
        <v>5888</v>
      </c>
      <c r="C2731" s="65" t="s">
        <v>5889</v>
      </c>
      <c r="D2731" s="7"/>
      <c r="E2731" s="90" t="s">
        <v>16</v>
      </c>
      <c r="H2731" s="2">
        <v>300</v>
      </c>
      <c r="I2731" s="88">
        <f t="shared" si="161"/>
        <v>39044.880000000005</v>
      </c>
      <c r="L2731" s="2">
        <f t="shared" si="157"/>
        <v>26.2</v>
      </c>
      <c r="M2731" s="2">
        <f t="shared" si="162"/>
        <v>1.2</v>
      </c>
    </row>
    <row r="2732" spans="1:13" x14ac:dyDescent="0.3">
      <c r="A2732" s="3">
        <v>45559</v>
      </c>
      <c r="B2732" s="11" t="s">
        <v>5904</v>
      </c>
      <c r="C2732" s="65" t="s">
        <v>5905</v>
      </c>
      <c r="E2732" s="90" t="s">
        <v>16</v>
      </c>
      <c r="H2732" s="2">
        <v>500</v>
      </c>
      <c r="I2732" s="88">
        <f t="shared" si="161"/>
        <v>38544.880000000005</v>
      </c>
      <c r="L2732" s="2">
        <f t="shared" si="157"/>
        <v>27</v>
      </c>
      <c r="M2732" s="2">
        <f t="shared" si="162"/>
        <v>2</v>
      </c>
    </row>
    <row r="2733" spans="1:13" x14ac:dyDescent="0.3">
      <c r="A2733" s="3">
        <v>45559</v>
      </c>
      <c r="B2733" s="11" t="s">
        <v>5312</v>
      </c>
      <c r="C2733" s="51" t="s">
        <v>5313</v>
      </c>
      <c r="D2733" s="7"/>
      <c r="H2733" s="2">
        <v>2000</v>
      </c>
      <c r="I2733" s="88">
        <f t="shared" si="161"/>
        <v>36544.880000000005</v>
      </c>
      <c r="L2733" s="2">
        <f t="shared" si="157"/>
        <v>8</v>
      </c>
      <c r="M2733" s="2">
        <f t="shared" si="162"/>
        <v>8</v>
      </c>
    </row>
    <row r="2734" spans="1:13" x14ac:dyDescent="0.3">
      <c r="A2734" s="3">
        <v>45559</v>
      </c>
      <c r="B2734" s="11" t="s">
        <v>5908</v>
      </c>
      <c r="C2734" s="51" t="s">
        <v>5909</v>
      </c>
      <c r="D2734" s="7"/>
      <c r="G2734" s="2">
        <v>300</v>
      </c>
      <c r="I2734" s="88">
        <f t="shared" si="161"/>
        <v>36844.880000000005</v>
      </c>
      <c r="L2734" s="2">
        <f t="shared" si="157"/>
        <v>1.2</v>
      </c>
      <c r="M2734" s="2">
        <f t="shared" si="162"/>
        <v>1.2</v>
      </c>
    </row>
    <row r="2735" spans="1:13" x14ac:dyDescent="0.3">
      <c r="A2735" s="3">
        <v>45559</v>
      </c>
      <c r="B2735" s="11" t="s">
        <v>5911</v>
      </c>
      <c r="C2735" s="65" t="s">
        <v>5912</v>
      </c>
      <c r="E2735" s="90" t="s">
        <v>16</v>
      </c>
      <c r="H2735" s="2">
        <v>200</v>
      </c>
      <c r="I2735" s="88">
        <f t="shared" si="161"/>
        <v>36644.880000000005</v>
      </c>
      <c r="L2735" s="2">
        <f t="shared" si="157"/>
        <v>25.8</v>
      </c>
      <c r="M2735" s="2">
        <f t="shared" si="162"/>
        <v>0.8</v>
      </c>
    </row>
    <row r="2736" spans="1:13" x14ac:dyDescent="0.3">
      <c r="A2736" s="3">
        <v>45560</v>
      </c>
      <c r="B2736" s="11" t="s">
        <v>1250</v>
      </c>
      <c r="C2736" s="51" t="s">
        <v>3393</v>
      </c>
      <c r="D2736" s="7"/>
      <c r="G2736" s="2">
        <v>400</v>
      </c>
      <c r="I2736" s="88">
        <f t="shared" si="161"/>
        <v>37044.880000000005</v>
      </c>
      <c r="L2736" s="2">
        <f t="shared" si="157"/>
        <v>1.6</v>
      </c>
      <c r="M2736" s="2">
        <f t="shared" si="162"/>
        <v>1.6</v>
      </c>
    </row>
    <row r="2737" spans="1:13" x14ac:dyDescent="0.3">
      <c r="A2737" s="3">
        <v>45560</v>
      </c>
      <c r="B2737" s="11" t="s">
        <v>3898</v>
      </c>
      <c r="C2737" s="51" t="s">
        <v>3077</v>
      </c>
      <c r="D2737" s="7"/>
      <c r="G2737" s="2">
        <v>400</v>
      </c>
      <c r="I2737" s="88">
        <f t="shared" si="161"/>
        <v>37444.880000000005</v>
      </c>
      <c r="L2737" s="2">
        <f t="shared" si="157"/>
        <v>1.6</v>
      </c>
      <c r="M2737" s="2">
        <f t="shared" si="162"/>
        <v>1.6</v>
      </c>
    </row>
    <row r="2738" spans="1:13" x14ac:dyDescent="0.3">
      <c r="A2738" s="3">
        <v>45560</v>
      </c>
      <c r="B2738" s="11" t="s">
        <v>2634</v>
      </c>
      <c r="C2738" s="51" t="s">
        <v>2635</v>
      </c>
      <c r="D2738" s="7"/>
      <c r="H2738" s="2">
        <v>2000</v>
      </c>
      <c r="I2738" s="88">
        <f t="shared" si="161"/>
        <v>35444.880000000005</v>
      </c>
      <c r="L2738" s="2">
        <f t="shared" si="157"/>
        <v>8</v>
      </c>
      <c r="M2738" s="2">
        <f t="shared" si="162"/>
        <v>8</v>
      </c>
    </row>
    <row r="2739" spans="1:13" x14ac:dyDescent="0.3">
      <c r="A2739" s="3">
        <v>45560</v>
      </c>
      <c r="B2739" s="11" t="s">
        <v>5917</v>
      </c>
      <c r="C2739" s="65" t="s">
        <v>836</v>
      </c>
      <c r="E2739" s="90" t="s">
        <v>16</v>
      </c>
      <c r="H2739" s="2">
        <v>100</v>
      </c>
      <c r="I2739" s="88">
        <f t="shared" si="161"/>
        <v>35344.880000000005</v>
      </c>
      <c r="L2739" s="2">
        <f t="shared" si="157"/>
        <v>25.4</v>
      </c>
      <c r="M2739" s="2">
        <f t="shared" si="162"/>
        <v>0.4</v>
      </c>
    </row>
    <row r="2740" spans="1:13" x14ac:dyDescent="0.3">
      <c r="A2740" s="3">
        <v>45560</v>
      </c>
      <c r="B2740" s="11" t="s">
        <v>5922</v>
      </c>
      <c r="C2740" s="65" t="s">
        <v>5920</v>
      </c>
      <c r="E2740" s="90" t="s">
        <v>16</v>
      </c>
      <c r="H2740" s="2">
        <v>100</v>
      </c>
      <c r="I2740" s="88">
        <f t="shared" si="161"/>
        <v>35244.880000000005</v>
      </c>
      <c r="L2740" s="2">
        <f t="shared" si="157"/>
        <v>25.4</v>
      </c>
      <c r="M2740" s="2">
        <f t="shared" si="162"/>
        <v>0.4</v>
      </c>
    </row>
    <row r="2741" spans="1:13" x14ac:dyDescent="0.3">
      <c r="A2741" s="3">
        <v>45560</v>
      </c>
      <c r="B2741" s="11" t="s">
        <v>1250</v>
      </c>
      <c r="C2741" s="51" t="s">
        <v>5084</v>
      </c>
      <c r="D2741" s="7"/>
      <c r="G2741" s="2">
        <v>200</v>
      </c>
      <c r="I2741" s="88">
        <f t="shared" si="161"/>
        <v>35444.880000000005</v>
      </c>
      <c r="L2741" s="2">
        <f t="shared" si="157"/>
        <v>0.8</v>
      </c>
      <c r="M2741" s="2">
        <f t="shared" si="162"/>
        <v>0.8</v>
      </c>
    </row>
    <row r="2742" spans="1:13" x14ac:dyDescent="0.3">
      <c r="A2742" s="3">
        <v>45560</v>
      </c>
      <c r="B2742" s="11" t="s">
        <v>1250</v>
      </c>
      <c r="C2742" s="51" t="s">
        <v>2626</v>
      </c>
      <c r="D2742" s="119"/>
      <c r="G2742" s="2">
        <v>800</v>
      </c>
      <c r="I2742" s="88">
        <f t="shared" si="161"/>
        <v>36244.880000000005</v>
      </c>
      <c r="L2742" s="2">
        <f t="shared" si="157"/>
        <v>3.2</v>
      </c>
      <c r="M2742" s="2">
        <f t="shared" si="162"/>
        <v>3.2</v>
      </c>
    </row>
    <row r="2743" spans="1:13" x14ac:dyDescent="0.3">
      <c r="A2743" s="3">
        <v>45561</v>
      </c>
      <c r="B2743" s="11" t="s">
        <v>1250</v>
      </c>
      <c r="C2743" s="51" t="s">
        <v>4207</v>
      </c>
      <c r="D2743" s="7"/>
      <c r="G2743" s="2">
        <v>3000</v>
      </c>
      <c r="I2743" s="88">
        <f t="shared" si="161"/>
        <v>39244.880000000005</v>
      </c>
      <c r="L2743" s="2">
        <f t="shared" ref="L2743:L2778" si="163">IF((G2743+H2743)&lt;=5000,(H2743+G2743)*0.004,20)+IF(E2743="Y",25,0)</f>
        <v>12</v>
      </c>
      <c r="M2743" s="2">
        <f t="shared" si="162"/>
        <v>12</v>
      </c>
    </row>
    <row r="2744" spans="1:13" x14ac:dyDescent="0.3">
      <c r="A2744" s="3">
        <v>45561</v>
      </c>
      <c r="B2744" s="11" t="s">
        <v>5926</v>
      </c>
      <c r="C2744" s="65" t="s">
        <v>5925</v>
      </c>
      <c r="E2744" s="90" t="s">
        <v>16</v>
      </c>
      <c r="H2744" s="2">
        <v>500</v>
      </c>
      <c r="I2744" s="88">
        <f t="shared" si="161"/>
        <v>38744.880000000005</v>
      </c>
      <c r="L2744" s="2">
        <f t="shared" si="163"/>
        <v>27</v>
      </c>
      <c r="M2744" s="2">
        <f t="shared" si="162"/>
        <v>2</v>
      </c>
    </row>
    <row r="2745" spans="1:13" x14ac:dyDescent="0.3">
      <c r="A2745" s="3">
        <v>45561</v>
      </c>
      <c r="B2745" s="11" t="s">
        <v>5935</v>
      </c>
      <c r="C2745" s="65" t="s">
        <v>115</v>
      </c>
      <c r="E2745" s="90" t="s">
        <v>16</v>
      </c>
      <c r="H2745" s="2">
        <v>100</v>
      </c>
      <c r="I2745" s="88">
        <f t="shared" si="161"/>
        <v>38644.880000000005</v>
      </c>
      <c r="L2745" s="2">
        <f t="shared" si="163"/>
        <v>25.4</v>
      </c>
      <c r="M2745" s="2">
        <f t="shared" si="162"/>
        <v>0.4</v>
      </c>
    </row>
    <row r="2746" spans="1:13" x14ac:dyDescent="0.3">
      <c r="A2746" s="3">
        <v>45561</v>
      </c>
      <c r="B2746" s="11" t="s">
        <v>5312</v>
      </c>
      <c r="C2746" s="51" t="s">
        <v>5313</v>
      </c>
      <c r="D2746" s="7"/>
      <c r="H2746" s="2">
        <v>10000</v>
      </c>
      <c r="I2746" s="88">
        <f t="shared" si="161"/>
        <v>28644.880000000005</v>
      </c>
      <c r="L2746" s="2">
        <f t="shared" si="163"/>
        <v>20</v>
      </c>
      <c r="M2746" s="2">
        <f t="shared" si="162"/>
        <v>20</v>
      </c>
    </row>
    <row r="2747" spans="1:13" x14ac:dyDescent="0.3">
      <c r="A2747" s="3">
        <v>45561</v>
      </c>
      <c r="B2747" s="11" t="s">
        <v>5937</v>
      </c>
      <c r="C2747" s="65" t="s">
        <v>5938</v>
      </c>
      <c r="E2747" s="90" t="s">
        <v>16</v>
      </c>
      <c r="H2747" s="2">
        <v>2000</v>
      </c>
      <c r="I2747" s="88">
        <f t="shared" si="161"/>
        <v>26644.880000000005</v>
      </c>
      <c r="L2747" s="2">
        <f t="shared" si="163"/>
        <v>33</v>
      </c>
      <c r="M2747" s="2">
        <f t="shared" si="162"/>
        <v>8</v>
      </c>
    </row>
    <row r="2748" spans="1:13" x14ac:dyDescent="0.3">
      <c r="A2748" s="3">
        <v>45561</v>
      </c>
      <c r="B2748" s="11" t="s">
        <v>1160</v>
      </c>
      <c r="C2748" s="51" t="s">
        <v>4343</v>
      </c>
      <c r="D2748" s="7"/>
      <c r="G2748" s="2">
        <v>2000</v>
      </c>
      <c r="I2748" s="88">
        <f t="shared" si="161"/>
        <v>28644.880000000005</v>
      </c>
      <c r="L2748" s="2">
        <f t="shared" si="163"/>
        <v>8</v>
      </c>
      <c r="M2748" s="2">
        <f t="shared" si="162"/>
        <v>8</v>
      </c>
    </row>
    <row r="2749" spans="1:13" x14ac:dyDescent="0.3">
      <c r="A2749" s="3">
        <v>45562</v>
      </c>
      <c r="B2749" s="11" t="s">
        <v>5942</v>
      </c>
      <c r="C2749" s="65" t="s">
        <v>5943</v>
      </c>
      <c r="E2749" s="90" t="s">
        <v>16</v>
      </c>
      <c r="H2749" s="2">
        <v>200</v>
      </c>
      <c r="I2749" s="88">
        <f t="shared" si="161"/>
        <v>28444.880000000005</v>
      </c>
      <c r="L2749" s="2">
        <f t="shared" si="163"/>
        <v>25.8</v>
      </c>
      <c r="M2749" s="2">
        <f t="shared" si="162"/>
        <v>0.8</v>
      </c>
    </row>
    <row r="2750" spans="1:13" x14ac:dyDescent="0.3">
      <c r="A2750" s="3">
        <v>45562</v>
      </c>
      <c r="B2750" s="11" t="s">
        <v>5946</v>
      </c>
      <c r="C2750" s="51" t="s">
        <v>5947</v>
      </c>
      <c r="D2750" s="7"/>
      <c r="G2750" s="2">
        <v>1000</v>
      </c>
      <c r="I2750" s="88">
        <f t="shared" si="161"/>
        <v>29444.880000000005</v>
      </c>
      <c r="L2750" s="2">
        <f t="shared" si="163"/>
        <v>4</v>
      </c>
      <c r="M2750" s="2">
        <f t="shared" si="162"/>
        <v>4</v>
      </c>
    </row>
    <row r="2751" spans="1:13" x14ac:dyDescent="0.3">
      <c r="A2751" s="3">
        <v>45562</v>
      </c>
      <c r="B2751" s="11" t="s">
        <v>5432</v>
      </c>
      <c r="C2751" s="51" t="s">
        <v>5435</v>
      </c>
      <c r="D2751" s="7"/>
      <c r="H2751" s="2">
        <v>200</v>
      </c>
      <c r="I2751" s="88">
        <f t="shared" si="161"/>
        <v>29244.880000000005</v>
      </c>
      <c r="L2751" s="2">
        <f t="shared" si="163"/>
        <v>0.8</v>
      </c>
      <c r="M2751" s="2">
        <f t="shared" si="162"/>
        <v>0.8</v>
      </c>
    </row>
    <row r="2752" spans="1:13" x14ac:dyDescent="0.3">
      <c r="A2752" s="3">
        <v>45562</v>
      </c>
      <c r="B2752" s="11" t="s">
        <v>1250</v>
      </c>
      <c r="C2752" s="51" t="s">
        <v>3416</v>
      </c>
      <c r="D2752" s="7"/>
      <c r="G2752" s="2">
        <v>10000</v>
      </c>
      <c r="I2752" s="88">
        <f t="shared" si="161"/>
        <v>39244.880000000005</v>
      </c>
      <c r="L2752" s="2">
        <f t="shared" si="163"/>
        <v>20</v>
      </c>
      <c r="M2752" s="2">
        <f t="shared" si="162"/>
        <v>20</v>
      </c>
    </row>
    <row r="2753" spans="1:13" x14ac:dyDescent="0.3">
      <c r="A2753" s="3">
        <v>45562</v>
      </c>
      <c r="B2753" s="11" t="s">
        <v>5949</v>
      </c>
      <c r="C2753" s="65" t="s">
        <v>5950</v>
      </c>
      <c r="E2753" s="90" t="s">
        <v>16</v>
      </c>
      <c r="H2753" s="2">
        <v>500</v>
      </c>
      <c r="I2753" s="88">
        <f t="shared" si="161"/>
        <v>38744.880000000005</v>
      </c>
      <c r="L2753" s="2">
        <f t="shared" si="163"/>
        <v>27</v>
      </c>
      <c r="M2753" s="2">
        <f t="shared" si="162"/>
        <v>2</v>
      </c>
    </row>
    <row r="2754" spans="1:13" x14ac:dyDescent="0.3">
      <c r="A2754" s="3">
        <v>45562</v>
      </c>
      <c r="B2754" s="11" t="s">
        <v>5955</v>
      </c>
      <c r="C2754" s="65" t="s">
        <v>5956</v>
      </c>
      <c r="E2754" s="90" t="s">
        <v>16</v>
      </c>
      <c r="H2754" s="2">
        <v>200</v>
      </c>
      <c r="I2754" s="88">
        <f t="shared" si="161"/>
        <v>38544.880000000005</v>
      </c>
      <c r="L2754" s="2">
        <f t="shared" si="163"/>
        <v>25.8</v>
      </c>
      <c r="M2754" s="2">
        <f t="shared" ref="M2754:M2781" si="164">IF((G2754+H2754)&lt;=5000,(G2754+H2754)*0.004,20)+IF(F2754="Y",25,0)</f>
        <v>0.8</v>
      </c>
    </row>
    <row r="2755" spans="1:13" x14ac:dyDescent="0.3">
      <c r="A2755" s="3">
        <v>45562</v>
      </c>
      <c r="B2755" s="11" t="s">
        <v>5961</v>
      </c>
      <c r="C2755" s="65" t="s">
        <v>3923</v>
      </c>
      <c r="E2755" s="90" t="s">
        <v>16</v>
      </c>
      <c r="H2755" s="2">
        <v>200</v>
      </c>
      <c r="I2755" s="88">
        <f t="shared" si="161"/>
        <v>38344.880000000005</v>
      </c>
      <c r="L2755" s="2">
        <f t="shared" si="163"/>
        <v>25.8</v>
      </c>
      <c r="M2755" s="2">
        <f t="shared" si="164"/>
        <v>0.8</v>
      </c>
    </row>
    <row r="2756" spans="1:13" x14ac:dyDescent="0.3">
      <c r="A2756" s="3">
        <v>45562</v>
      </c>
      <c r="B2756" s="11" t="s">
        <v>2743</v>
      </c>
      <c r="C2756" s="65" t="s">
        <v>5962</v>
      </c>
      <c r="D2756" s="50">
        <v>6299828697</v>
      </c>
      <c r="G2756" s="2">
        <v>3000</v>
      </c>
      <c r="I2756" s="88">
        <f t="shared" si="161"/>
        <v>41344.880000000005</v>
      </c>
      <c r="L2756" s="2">
        <f t="shared" si="163"/>
        <v>12</v>
      </c>
      <c r="M2756" s="2">
        <f t="shared" si="164"/>
        <v>12</v>
      </c>
    </row>
    <row r="2757" spans="1:13" x14ac:dyDescent="0.3">
      <c r="A2757" s="3">
        <v>45562</v>
      </c>
      <c r="B2757" s="11" t="s">
        <v>3148</v>
      </c>
      <c r="C2757" s="65" t="s">
        <v>5707</v>
      </c>
      <c r="H2757" s="2">
        <v>10000</v>
      </c>
      <c r="I2757" s="88">
        <f t="shared" si="161"/>
        <v>31344.880000000005</v>
      </c>
      <c r="L2757" s="2">
        <f t="shared" si="163"/>
        <v>20</v>
      </c>
      <c r="M2757" s="2">
        <f t="shared" si="164"/>
        <v>20</v>
      </c>
    </row>
    <row r="2758" spans="1:13" x14ac:dyDescent="0.3">
      <c r="A2758" s="3">
        <v>45563</v>
      </c>
      <c r="B2758" s="11" t="s">
        <v>2271</v>
      </c>
      <c r="C2758" s="65" t="s">
        <v>5963</v>
      </c>
      <c r="D2758" s="50">
        <v>6299431638</v>
      </c>
      <c r="G2758" s="2">
        <v>3050</v>
      </c>
      <c r="I2758" s="88">
        <f t="shared" si="161"/>
        <v>34394.880000000005</v>
      </c>
      <c r="L2758" s="2">
        <f t="shared" si="163"/>
        <v>12.200000000000001</v>
      </c>
      <c r="M2758" s="2">
        <f t="shared" si="164"/>
        <v>12.200000000000001</v>
      </c>
    </row>
    <row r="2759" spans="1:13" x14ac:dyDescent="0.3">
      <c r="A2759" s="3">
        <v>45563</v>
      </c>
      <c r="B2759" s="11" t="s">
        <v>5966</v>
      </c>
      <c r="C2759" s="65" t="s">
        <v>5967</v>
      </c>
      <c r="E2759" s="90" t="s">
        <v>16</v>
      </c>
      <c r="H2759" s="2">
        <v>500</v>
      </c>
      <c r="I2759" s="88">
        <f t="shared" si="161"/>
        <v>33894.880000000005</v>
      </c>
      <c r="L2759" s="2">
        <f t="shared" si="163"/>
        <v>27</v>
      </c>
      <c r="M2759" s="2">
        <f t="shared" si="164"/>
        <v>2</v>
      </c>
    </row>
    <row r="2760" spans="1:13" x14ac:dyDescent="0.3">
      <c r="A2760" s="3">
        <v>45563</v>
      </c>
      <c r="B2760" s="11" t="s">
        <v>1160</v>
      </c>
      <c r="C2760" s="65" t="s">
        <v>3513</v>
      </c>
      <c r="D2760" s="7"/>
      <c r="G2760" s="2">
        <v>3000</v>
      </c>
      <c r="I2760" s="88">
        <f t="shared" si="161"/>
        <v>36894.880000000005</v>
      </c>
      <c r="L2760" s="2">
        <f t="shared" si="163"/>
        <v>12</v>
      </c>
      <c r="M2760" s="2">
        <f t="shared" si="164"/>
        <v>12</v>
      </c>
    </row>
    <row r="2761" spans="1:13" x14ac:dyDescent="0.3">
      <c r="A2761" s="3">
        <v>45563</v>
      </c>
      <c r="B2761" s="11" t="s">
        <v>5971</v>
      </c>
      <c r="C2761" s="65" t="s">
        <v>5972</v>
      </c>
      <c r="E2761" s="90" t="s">
        <v>16</v>
      </c>
      <c r="H2761" s="2">
        <v>200</v>
      </c>
      <c r="I2761" s="88">
        <f t="shared" si="161"/>
        <v>36694.880000000005</v>
      </c>
      <c r="L2761" s="2">
        <f t="shared" si="163"/>
        <v>25.8</v>
      </c>
      <c r="M2761" s="2">
        <f t="shared" si="164"/>
        <v>0.8</v>
      </c>
    </row>
    <row r="2762" spans="1:13" x14ac:dyDescent="0.3">
      <c r="A2762" s="3">
        <v>45563</v>
      </c>
      <c r="B2762" s="11" t="s">
        <v>5976</v>
      </c>
      <c r="C2762" s="65" t="s">
        <v>5977</v>
      </c>
      <c r="E2762" s="90" t="s">
        <v>16</v>
      </c>
      <c r="H2762" s="2">
        <v>500</v>
      </c>
      <c r="I2762" s="88">
        <f t="shared" si="161"/>
        <v>36194.880000000005</v>
      </c>
      <c r="L2762" s="2">
        <f t="shared" si="163"/>
        <v>27</v>
      </c>
      <c r="M2762" s="2">
        <f t="shared" si="164"/>
        <v>2</v>
      </c>
    </row>
    <row r="2763" spans="1:13" x14ac:dyDescent="0.3">
      <c r="A2763" s="3">
        <v>45563</v>
      </c>
      <c r="B2763" s="11" t="s">
        <v>2241</v>
      </c>
      <c r="C2763" s="51" t="s">
        <v>5980</v>
      </c>
      <c r="D2763" s="7"/>
      <c r="G2763" s="2">
        <v>1000</v>
      </c>
      <c r="I2763" s="88">
        <f t="shared" si="161"/>
        <v>37194.880000000005</v>
      </c>
      <c r="L2763" s="2">
        <f t="shared" si="163"/>
        <v>4</v>
      </c>
      <c r="M2763" s="2">
        <f t="shared" si="164"/>
        <v>4</v>
      </c>
    </row>
    <row r="2764" spans="1:13" x14ac:dyDescent="0.3">
      <c r="A2764" s="3">
        <v>45563</v>
      </c>
      <c r="B2764" s="11" t="s">
        <v>1250</v>
      </c>
      <c r="C2764" s="51" t="s">
        <v>5981</v>
      </c>
      <c r="D2764" s="7"/>
      <c r="G2764" s="2">
        <v>1000</v>
      </c>
      <c r="I2764" s="88">
        <f t="shared" si="161"/>
        <v>38194.880000000005</v>
      </c>
      <c r="L2764" s="2">
        <f t="shared" si="163"/>
        <v>4</v>
      </c>
      <c r="M2764" s="2">
        <f t="shared" si="164"/>
        <v>4</v>
      </c>
    </row>
    <row r="2765" spans="1:13" x14ac:dyDescent="0.3">
      <c r="A2765" s="3">
        <v>45563</v>
      </c>
      <c r="B2765" s="11" t="s">
        <v>2672</v>
      </c>
      <c r="C2765" s="51" t="s">
        <v>5982</v>
      </c>
      <c r="D2765" s="7"/>
      <c r="G2765" s="2">
        <v>900</v>
      </c>
      <c r="I2765" s="88">
        <f t="shared" si="161"/>
        <v>39094.880000000005</v>
      </c>
      <c r="L2765" s="2">
        <f t="shared" si="163"/>
        <v>3.6</v>
      </c>
      <c r="M2765" s="2">
        <f t="shared" si="164"/>
        <v>3.6</v>
      </c>
    </row>
    <row r="2766" spans="1:13" x14ac:dyDescent="0.3">
      <c r="A2766" s="3">
        <v>45563</v>
      </c>
      <c r="B2766" s="11" t="s">
        <v>2241</v>
      </c>
      <c r="C2766" s="51" t="s">
        <v>5983</v>
      </c>
      <c r="D2766" s="7"/>
      <c r="G2766" s="2">
        <v>1000</v>
      </c>
      <c r="I2766" s="88">
        <f t="shared" si="161"/>
        <v>40094.880000000005</v>
      </c>
      <c r="L2766" s="2">
        <f t="shared" si="163"/>
        <v>4</v>
      </c>
      <c r="M2766" s="2">
        <f t="shared" si="164"/>
        <v>4</v>
      </c>
    </row>
    <row r="2767" spans="1:13" x14ac:dyDescent="0.3">
      <c r="A2767" s="3">
        <v>45563</v>
      </c>
      <c r="B2767" s="11" t="s">
        <v>1250</v>
      </c>
      <c r="C2767" s="51" t="s">
        <v>2443</v>
      </c>
      <c r="D2767" s="7"/>
      <c r="G2767" s="2">
        <v>2250</v>
      </c>
      <c r="I2767" s="88">
        <f t="shared" si="161"/>
        <v>42344.880000000005</v>
      </c>
      <c r="L2767" s="2">
        <f t="shared" si="163"/>
        <v>9</v>
      </c>
      <c r="M2767" s="2">
        <f t="shared" si="164"/>
        <v>9</v>
      </c>
    </row>
    <row r="2768" spans="1:13" x14ac:dyDescent="0.3">
      <c r="A2768" s="3">
        <v>45563</v>
      </c>
      <c r="B2768" s="11" t="s">
        <v>1160</v>
      </c>
      <c r="C2768" s="51" t="s">
        <v>5984</v>
      </c>
      <c r="D2768" s="7"/>
      <c r="G2768" s="2">
        <v>1000</v>
      </c>
      <c r="I2768" s="88">
        <f t="shared" si="161"/>
        <v>43344.880000000005</v>
      </c>
      <c r="L2768" s="2">
        <f t="shared" si="163"/>
        <v>4</v>
      </c>
      <c r="M2768" s="2">
        <f t="shared" si="164"/>
        <v>4</v>
      </c>
    </row>
    <row r="2769" spans="1:14" x14ac:dyDescent="0.3">
      <c r="A2769" s="3">
        <v>45564</v>
      </c>
      <c r="B2769" s="11" t="s">
        <v>3204</v>
      </c>
      <c r="C2769" s="51" t="s">
        <v>5987</v>
      </c>
      <c r="D2769" s="7"/>
      <c r="G2769" s="2">
        <v>2000</v>
      </c>
      <c r="I2769" s="88">
        <f t="shared" si="161"/>
        <v>45344.880000000005</v>
      </c>
      <c r="L2769" s="2">
        <f t="shared" si="163"/>
        <v>8</v>
      </c>
      <c r="M2769" s="2">
        <f t="shared" si="164"/>
        <v>8</v>
      </c>
    </row>
    <row r="2770" spans="1:14" x14ac:dyDescent="0.3">
      <c r="A2770" s="3">
        <v>45565</v>
      </c>
      <c r="B2770" s="11" t="s">
        <v>1250</v>
      </c>
      <c r="C2770" s="51" t="s">
        <v>5522</v>
      </c>
      <c r="D2770" s="7"/>
      <c r="H2770" s="2">
        <v>10000</v>
      </c>
      <c r="I2770" s="88">
        <f t="shared" si="161"/>
        <v>35344.880000000005</v>
      </c>
      <c r="L2770" s="2">
        <f t="shared" si="163"/>
        <v>20</v>
      </c>
      <c r="M2770" s="2">
        <f t="shared" si="164"/>
        <v>20</v>
      </c>
    </row>
    <row r="2771" spans="1:14" x14ac:dyDescent="0.3">
      <c r="A2771" s="3">
        <v>45565</v>
      </c>
      <c r="B2771" s="11" t="s">
        <v>2416</v>
      </c>
      <c r="C2771" s="51" t="s">
        <v>5988</v>
      </c>
      <c r="D2771" s="7"/>
      <c r="G2771" s="2">
        <v>10000</v>
      </c>
      <c r="I2771" s="88">
        <f t="shared" si="161"/>
        <v>45344.880000000005</v>
      </c>
      <c r="L2771" s="2">
        <f t="shared" si="163"/>
        <v>20</v>
      </c>
      <c r="M2771" s="2">
        <f t="shared" si="164"/>
        <v>20</v>
      </c>
    </row>
    <row r="2772" spans="1:14" x14ac:dyDescent="0.3">
      <c r="A2772" s="3">
        <v>45565</v>
      </c>
      <c r="B2772" s="11" t="s">
        <v>1250</v>
      </c>
      <c r="C2772" s="51" t="s">
        <v>5721</v>
      </c>
      <c r="D2772" s="7"/>
      <c r="G2772" s="2">
        <v>5500</v>
      </c>
      <c r="I2772" s="88">
        <f t="shared" si="161"/>
        <v>50844.880000000005</v>
      </c>
      <c r="L2772" s="2">
        <f t="shared" si="163"/>
        <v>20</v>
      </c>
      <c r="M2772" s="2">
        <f t="shared" si="164"/>
        <v>20</v>
      </c>
    </row>
    <row r="2773" spans="1:14" x14ac:dyDescent="0.3">
      <c r="A2773" s="3">
        <v>45565</v>
      </c>
      <c r="B2773" s="11" t="s">
        <v>2634</v>
      </c>
      <c r="C2773" s="51" t="s">
        <v>2635</v>
      </c>
      <c r="D2773" s="7"/>
      <c r="H2773" s="2">
        <v>1000</v>
      </c>
      <c r="I2773" s="88">
        <f t="shared" si="161"/>
        <v>49844.880000000005</v>
      </c>
      <c r="L2773" s="2">
        <f t="shared" si="163"/>
        <v>4</v>
      </c>
      <c r="M2773" s="2">
        <f t="shared" si="164"/>
        <v>4</v>
      </c>
    </row>
    <row r="2774" spans="1:14" x14ac:dyDescent="0.3">
      <c r="A2774" s="3">
        <v>45565</v>
      </c>
      <c r="B2774" s="11" t="s">
        <v>3871</v>
      </c>
      <c r="C2774" s="51" t="s">
        <v>5989</v>
      </c>
      <c r="D2774" s="7"/>
      <c r="H2774" s="2">
        <v>10000</v>
      </c>
      <c r="I2774" s="88">
        <f t="shared" ref="I2774:I2778" si="165">I2773+G2774-H2774</f>
        <v>39844.880000000005</v>
      </c>
      <c r="L2774" s="2">
        <f t="shared" si="163"/>
        <v>20</v>
      </c>
      <c r="M2774" s="2">
        <f t="shared" si="164"/>
        <v>20</v>
      </c>
    </row>
    <row r="2775" spans="1:14" x14ac:dyDescent="0.3">
      <c r="A2775" s="3">
        <v>45565</v>
      </c>
      <c r="B2775" s="11" t="s">
        <v>5990</v>
      </c>
      <c r="C2775" s="51" t="s">
        <v>5991</v>
      </c>
      <c r="D2775" s="7"/>
      <c r="H2775" s="2">
        <v>20000</v>
      </c>
      <c r="I2775" s="88">
        <f t="shared" si="165"/>
        <v>19844.880000000005</v>
      </c>
      <c r="L2775" s="2">
        <f t="shared" si="163"/>
        <v>20</v>
      </c>
      <c r="M2775" s="2">
        <f t="shared" si="164"/>
        <v>20</v>
      </c>
    </row>
    <row r="2776" spans="1:14" x14ac:dyDescent="0.3">
      <c r="A2776" s="3">
        <v>45565</v>
      </c>
      <c r="B2776" s="11" t="s">
        <v>5995</v>
      </c>
      <c r="C2776" s="65" t="s">
        <v>5993</v>
      </c>
      <c r="E2776" s="90" t="s">
        <v>16</v>
      </c>
      <c r="H2776" s="2">
        <v>100</v>
      </c>
      <c r="I2776" s="88">
        <f t="shared" si="165"/>
        <v>19744.880000000005</v>
      </c>
      <c r="L2776" s="2">
        <f t="shared" si="163"/>
        <v>25.4</v>
      </c>
      <c r="M2776" s="2">
        <f t="shared" si="164"/>
        <v>0.4</v>
      </c>
    </row>
    <row r="2777" spans="1:14" x14ac:dyDescent="0.3">
      <c r="A2777" s="3">
        <v>45565</v>
      </c>
      <c r="B2777" s="11" t="s">
        <v>4039</v>
      </c>
      <c r="C2777" s="51" t="s">
        <v>5997</v>
      </c>
      <c r="D2777" s="7"/>
      <c r="H2777" s="2">
        <v>5500</v>
      </c>
      <c r="I2777" s="88">
        <f t="shared" si="165"/>
        <v>14244.880000000005</v>
      </c>
      <c r="L2777" s="2">
        <f t="shared" si="163"/>
        <v>20</v>
      </c>
      <c r="M2777" s="2">
        <f t="shared" si="164"/>
        <v>20</v>
      </c>
    </row>
    <row r="2778" spans="1:14" x14ac:dyDescent="0.3">
      <c r="A2778" s="3">
        <v>45565</v>
      </c>
      <c r="B2778" s="11" t="s">
        <v>3148</v>
      </c>
      <c r="C2778" s="51" t="s">
        <v>2626</v>
      </c>
      <c r="D2778" s="7"/>
      <c r="G2778" s="2">
        <v>1500</v>
      </c>
      <c r="I2778" s="88">
        <f t="shared" si="165"/>
        <v>15744.880000000005</v>
      </c>
      <c r="L2778" s="2">
        <f t="shared" si="163"/>
        <v>6</v>
      </c>
      <c r="M2778" s="2">
        <f t="shared" si="164"/>
        <v>6</v>
      </c>
    </row>
    <row r="2779" spans="1:14" x14ac:dyDescent="0.3">
      <c r="A2779" s="3">
        <v>45565</v>
      </c>
      <c r="B2779" s="11" t="s">
        <v>5999</v>
      </c>
      <c r="C2779" s="65" t="s">
        <v>6000</v>
      </c>
      <c r="E2779" s="90" t="s">
        <v>16</v>
      </c>
      <c r="H2779" s="2">
        <v>100</v>
      </c>
      <c r="I2779" s="88">
        <f t="shared" ref="I2779:I2781" si="166">I2778+G2779-H2779</f>
        <v>15644.880000000005</v>
      </c>
      <c r="L2779" s="2">
        <f t="shared" ref="L2779:L2781" si="167">IF((G2779+H2779)&lt;=5000,(H2779+G2779)*0.004,20)+IF(E2779="Y",25,0)</f>
        <v>25.4</v>
      </c>
      <c r="M2779" s="2">
        <f t="shared" si="164"/>
        <v>0.4</v>
      </c>
    </row>
    <row r="2780" spans="1:14" x14ac:dyDescent="0.3">
      <c r="A2780" s="3">
        <v>45565</v>
      </c>
      <c r="B2780" s="11" t="s">
        <v>6004</v>
      </c>
      <c r="C2780" s="65" t="s">
        <v>6007</v>
      </c>
      <c r="E2780" s="90" t="s">
        <v>16</v>
      </c>
      <c r="H2780" s="2">
        <v>100</v>
      </c>
      <c r="I2780" s="88">
        <f t="shared" si="166"/>
        <v>15544.880000000005</v>
      </c>
      <c r="L2780" s="2">
        <f t="shared" si="167"/>
        <v>25.4</v>
      </c>
      <c r="M2780" s="2">
        <f t="shared" si="164"/>
        <v>0.4</v>
      </c>
    </row>
    <row r="2781" spans="1:14" x14ac:dyDescent="0.3">
      <c r="A2781" s="3"/>
      <c r="C2781" s="51"/>
      <c r="D2781" s="7"/>
      <c r="I2781" s="88">
        <f t="shared" si="166"/>
        <v>15544.880000000005</v>
      </c>
      <c r="L2781" s="2">
        <f t="shared" si="167"/>
        <v>0</v>
      </c>
      <c r="M2781" s="2">
        <f t="shared" si="164"/>
        <v>0</v>
      </c>
    </row>
    <row r="2782" spans="1:14" x14ac:dyDescent="0.3">
      <c r="A2782" s="77">
        <f>COUNT(A2625:A2781)</f>
        <v>156</v>
      </c>
      <c r="B2782" s="80"/>
      <c r="C2782" s="112"/>
      <c r="D2782" s="112"/>
      <c r="E2782" s="92">
        <f>COUNTIF(E2625:E2781,"Y")</f>
        <v>55</v>
      </c>
      <c r="F2782" s="80">
        <f>SUM(F2626:F2781)</f>
        <v>0</v>
      </c>
      <c r="G2782" s="80">
        <f>SUM(G2626:G2781)</f>
        <v>168500</v>
      </c>
      <c r="H2782" s="80">
        <f>SUM(H2626:H2781)</f>
        <v>174750</v>
      </c>
      <c r="I2782" s="80">
        <f>SUM(I2626:I2781)</f>
        <v>4690901.2799999872</v>
      </c>
      <c r="J2782" s="80"/>
      <c r="K2782" s="80"/>
      <c r="L2782" s="80">
        <f>SUM(L2626:L2781)</f>
        <v>2357.6000000000004</v>
      </c>
      <c r="M2782" s="80">
        <f>SUM(M2626:M2781)</f>
        <v>1008.1999999999996</v>
      </c>
      <c r="N2782">
        <v>1436</v>
      </c>
    </row>
    <row r="2784" spans="1:14" x14ac:dyDescent="0.3">
      <c r="A2784" s="3">
        <v>45566</v>
      </c>
      <c r="C2784" s="51" t="s">
        <v>2984</v>
      </c>
      <c r="D2784" s="7"/>
      <c r="G2784" s="88">
        <f>I2781</f>
        <v>15544.880000000005</v>
      </c>
      <c r="I2784" s="88">
        <f t="shared" ref="I2784:I2787" si="168">I2783+G2784-H2784</f>
        <v>15544.880000000005</v>
      </c>
    </row>
    <row r="2785" spans="1:12" x14ac:dyDescent="0.3">
      <c r="A2785" s="3">
        <v>45566</v>
      </c>
      <c r="B2785" s="11" t="s">
        <v>6009</v>
      </c>
      <c r="C2785" s="65" t="s">
        <v>6010</v>
      </c>
      <c r="E2785" s="90" t="s">
        <v>16</v>
      </c>
      <c r="H2785" s="2">
        <v>100</v>
      </c>
      <c r="I2785" s="88">
        <f t="shared" si="168"/>
        <v>15444.880000000005</v>
      </c>
      <c r="L2785" s="2">
        <f t="shared" ref="L2785:L2792" si="169">IF((G2785+H2785)&lt;=5000,(H2785+G2785)*0.004,20)+IF(E2785="Y",25,0)</f>
        <v>25.4</v>
      </c>
    </row>
    <row r="2786" spans="1:12" x14ac:dyDescent="0.3">
      <c r="A2786" s="3">
        <v>45566</v>
      </c>
      <c r="B2786" s="11" t="s">
        <v>6014</v>
      </c>
      <c r="C2786" s="65" t="s">
        <v>6015</v>
      </c>
      <c r="E2786" s="90" t="s">
        <v>16</v>
      </c>
      <c r="H2786" s="2">
        <v>2000</v>
      </c>
      <c r="I2786" s="88">
        <f t="shared" si="168"/>
        <v>13444.880000000005</v>
      </c>
      <c r="L2786" s="2">
        <f t="shared" si="169"/>
        <v>33</v>
      </c>
    </row>
    <row r="2787" spans="1:12" x14ac:dyDescent="0.3">
      <c r="A2787" s="3">
        <v>45566</v>
      </c>
      <c r="B2787" s="11" t="s">
        <v>2448</v>
      </c>
      <c r="C2787" s="65" t="s">
        <v>2274</v>
      </c>
      <c r="H2787" s="2">
        <v>8000</v>
      </c>
      <c r="I2787" s="88">
        <f t="shared" si="168"/>
        <v>5444.8800000000047</v>
      </c>
      <c r="L2787" s="2">
        <f t="shared" si="169"/>
        <v>20</v>
      </c>
    </row>
    <row r="2788" spans="1:12" x14ac:dyDescent="0.3">
      <c r="A2788" s="3">
        <v>45566</v>
      </c>
      <c r="B2788" s="11" t="s">
        <v>6018</v>
      </c>
      <c r="C2788" s="65" t="s">
        <v>6019</v>
      </c>
      <c r="D2788" s="50">
        <v>8272907225</v>
      </c>
      <c r="G2788" s="2">
        <v>8500</v>
      </c>
      <c r="I2788" s="88">
        <f t="shared" ref="I2788:I2792" si="170">I2787+G2788-H2788</f>
        <v>13944.880000000005</v>
      </c>
      <c r="L2788" s="2">
        <f t="shared" si="169"/>
        <v>20</v>
      </c>
    </row>
    <row r="2789" spans="1:12" x14ac:dyDescent="0.3">
      <c r="A2789" s="3">
        <v>45566</v>
      </c>
      <c r="B2789" s="11" t="s">
        <v>6021</v>
      </c>
      <c r="C2789" s="65" t="s">
        <v>6022</v>
      </c>
      <c r="E2789" s="90" t="s">
        <v>16</v>
      </c>
      <c r="H2789" s="2">
        <v>200</v>
      </c>
      <c r="I2789" s="88">
        <f t="shared" si="170"/>
        <v>13744.880000000005</v>
      </c>
      <c r="L2789" s="2">
        <f t="shared" si="169"/>
        <v>25.8</v>
      </c>
    </row>
    <row r="2790" spans="1:12" x14ac:dyDescent="0.3">
      <c r="A2790" s="3">
        <v>45566</v>
      </c>
      <c r="B2790" s="11" t="s">
        <v>6026</v>
      </c>
      <c r="C2790" s="65" t="s">
        <v>6027</v>
      </c>
      <c r="E2790" s="90" t="s">
        <v>16</v>
      </c>
      <c r="H2790" s="2">
        <v>200</v>
      </c>
      <c r="I2790" s="88">
        <f t="shared" si="170"/>
        <v>13544.880000000005</v>
      </c>
      <c r="L2790" s="2">
        <f t="shared" si="169"/>
        <v>25.8</v>
      </c>
    </row>
    <row r="2791" spans="1:12" x14ac:dyDescent="0.3">
      <c r="A2791" s="3">
        <v>45566</v>
      </c>
      <c r="B2791" s="11" t="s">
        <v>3148</v>
      </c>
      <c r="C2791" s="65" t="s">
        <v>6031</v>
      </c>
      <c r="G2791" s="2">
        <v>150</v>
      </c>
      <c r="I2791" s="88">
        <f t="shared" si="170"/>
        <v>13694.880000000005</v>
      </c>
      <c r="L2791" s="2">
        <f t="shared" si="169"/>
        <v>0.6</v>
      </c>
    </row>
    <row r="2792" spans="1:12" x14ac:dyDescent="0.3">
      <c r="A2792" s="3">
        <v>45566</v>
      </c>
      <c r="B2792" s="11" t="s">
        <v>2241</v>
      </c>
      <c r="C2792" s="65" t="s">
        <v>2492</v>
      </c>
      <c r="D2792" s="50">
        <v>7320859285</v>
      </c>
      <c r="G2792" s="2">
        <v>1000</v>
      </c>
      <c r="I2792" s="88">
        <f t="shared" si="170"/>
        <v>14694.880000000005</v>
      </c>
      <c r="L2792" s="2">
        <f t="shared" si="169"/>
        <v>4</v>
      </c>
    </row>
    <row r="2793" spans="1:12" x14ac:dyDescent="0.3">
      <c r="A2793" s="3">
        <v>45566</v>
      </c>
      <c r="B2793" s="11" t="s">
        <v>6035</v>
      </c>
      <c r="C2793" s="65" t="s">
        <v>6036</v>
      </c>
      <c r="E2793" s="90" t="s">
        <v>16</v>
      </c>
      <c r="H2793" s="2">
        <v>100</v>
      </c>
      <c r="I2793" s="88">
        <f t="shared" ref="I2793:I2919" si="171">I2792+G2793-H2793</f>
        <v>14594.880000000005</v>
      </c>
      <c r="L2793" s="2">
        <f t="shared" ref="L2793:L2978" si="172">IF((G2793+H2793)&lt;=5000,(H2793+G2793)*0.004,20)+IF(E2793="Y",25,0)</f>
        <v>25.4</v>
      </c>
    </row>
    <row r="2794" spans="1:12" x14ac:dyDescent="0.3">
      <c r="A2794" s="3">
        <v>45566</v>
      </c>
      <c r="B2794" s="11" t="s">
        <v>6040</v>
      </c>
      <c r="C2794" s="65" t="s">
        <v>6041</v>
      </c>
      <c r="E2794" s="90" t="s">
        <v>16</v>
      </c>
      <c r="H2794" s="2">
        <v>100</v>
      </c>
      <c r="I2794" s="88">
        <f t="shared" si="171"/>
        <v>14494.880000000005</v>
      </c>
      <c r="L2794" s="2">
        <f t="shared" si="172"/>
        <v>25.4</v>
      </c>
    </row>
    <row r="2795" spans="1:12" x14ac:dyDescent="0.3">
      <c r="A2795" s="3">
        <v>45566</v>
      </c>
      <c r="B2795" s="11" t="s">
        <v>6044</v>
      </c>
      <c r="C2795" s="65" t="s">
        <v>6043</v>
      </c>
      <c r="H2795" s="2">
        <v>5500</v>
      </c>
      <c r="I2795" s="88">
        <f t="shared" si="171"/>
        <v>8994.8800000000047</v>
      </c>
      <c r="L2795" s="2">
        <f t="shared" si="172"/>
        <v>20</v>
      </c>
    </row>
    <row r="2796" spans="1:12" x14ac:dyDescent="0.3">
      <c r="A2796" s="3">
        <v>45567</v>
      </c>
      <c r="B2796" s="11" t="s">
        <v>5355</v>
      </c>
      <c r="C2796" s="65" t="s">
        <v>313</v>
      </c>
      <c r="G2796" s="2">
        <v>2000</v>
      </c>
      <c r="I2796" s="88">
        <f t="shared" si="171"/>
        <v>10994.880000000005</v>
      </c>
      <c r="L2796" s="2">
        <f t="shared" si="172"/>
        <v>8</v>
      </c>
    </row>
    <row r="2797" spans="1:12" x14ac:dyDescent="0.3">
      <c r="A2797" s="3">
        <v>45567</v>
      </c>
      <c r="B2797" s="11" t="s">
        <v>3369</v>
      </c>
      <c r="C2797" s="65" t="s">
        <v>6047</v>
      </c>
      <c r="G2797" s="2">
        <v>2000</v>
      </c>
      <c r="I2797" s="88">
        <f t="shared" si="171"/>
        <v>12994.880000000005</v>
      </c>
      <c r="L2797" s="2">
        <f t="shared" si="172"/>
        <v>8</v>
      </c>
    </row>
    <row r="2798" spans="1:12" x14ac:dyDescent="0.3">
      <c r="A2798" s="3">
        <v>45567</v>
      </c>
      <c r="B2798" s="11" t="s">
        <v>5986</v>
      </c>
      <c r="C2798" s="65" t="s">
        <v>5985</v>
      </c>
      <c r="G2798" s="2">
        <v>200</v>
      </c>
      <c r="I2798" s="88">
        <f t="shared" si="171"/>
        <v>13194.880000000005</v>
      </c>
      <c r="L2798" s="2">
        <f t="shared" si="172"/>
        <v>0.8</v>
      </c>
    </row>
    <row r="2799" spans="1:12" x14ac:dyDescent="0.3">
      <c r="A2799" s="3">
        <v>45567</v>
      </c>
      <c r="B2799" s="11" t="s">
        <v>1250</v>
      </c>
      <c r="C2799" s="65" t="s">
        <v>2443</v>
      </c>
      <c r="G2799" s="2">
        <v>2300</v>
      </c>
      <c r="I2799" s="88">
        <f t="shared" si="171"/>
        <v>15494.880000000005</v>
      </c>
      <c r="L2799" s="2">
        <f t="shared" si="172"/>
        <v>9.2000000000000011</v>
      </c>
    </row>
    <row r="2800" spans="1:12" x14ac:dyDescent="0.3">
      <c r="A2800" s="3">
        <v>45567</v>
      </c>
      <c r="B2800" s="11" t="s">
        <v>4306</v>
      </c>
      <c r="C2800" s="65" t="s">
        <v>4951</v>
      </c>
      <c r="G2800" s="2">
        <v>500</v>
      </c>
      <c r="I2800" s="88">
        <f t="shared" si="171"/>
        <v>15994.880000000005</v>
      </c>
      <c r="L2800" s="2">
        <f t="shared" si="172"/>
        <v>2</v>
      </c>
    </row>
    <row r="2801" spans="1:12" x14ac:dyDescent="0.3">
      <c r="A2801" s="3">
        <v>45567</v>
      </c>
      <c r="B2801" s="11" t="s">
        <v>1160</v>
      </c>
      <c r="C2801" s="65" t="s">
        <v>3017</v>
      </c>
      <c r="D2801" s="50">
        <v>6299828697</v>
      </c>
      <c r="G2801" s="2">
        <v>10000</v>
      </c>
      <c r="I2801" s="88">
        <f t="shared" si="171"/>
        <v>25994.880000000005</v>
      </c>
      <c r="L2801" s="2">
        <f t="shared" si="172"/>
        <v>20</v>
      </c>
    </row>
    <row r="2802" spans="1:12" x14ac:dyDescent="0.3">
      <c r="A2802" s="3">
        <v>45568</v>
      </c>
      <c r="B2802" s="11" t="s">
        <v>6049</v>
      </c>
      <c r="C2802" s="65" t="s">
        <v>6050</v>
      </c>
      <c r="E2802" s="90" t="s">
        <v>16</v>
      </c>
      <c r="H2802" s="2">
        <v>100</v>
      </c>
      <c r="I2802" s="88">
        <f t="shared" si="171"/>
        <v>25894.880000000005</v>
      </c>
      <c r="L2802" s="2">
        <f t="shared" si="172"/>
        <v>25.4</v>
      </c>
    </row>
    <row r="2803" spans="1:12" x14ac:dyDescent="0.3">
      <c r="A2803" s="3">
        <v>45568</v>
      </c>
      <c r="B2803" s="11" t="s">
        <v>5368</v>
      </c>
      <c r="C2803" s="65" t="s">
        <v>5743</v>
      </c>
      <c r="H2803" s="2">
        <v>8000</v>
      </c>
      <c r="I2803" s="88">
        <f t="shared" si="171"/>
        <v>17894.880000000005</v>
      </c>
      <c r="L2803" s="2">
        <f t="shared" si="172"/>
        <v>20</v>
      </c>
    </row>
    <row r="2804" spans="1:12" x14ac:dyDescent="0.3">
      <c r="A2804" s="3">
        <v>45568</v>
      </c>
      <c r="B2804" s="11" t="s">
        <v>4680</v>
      </c>
      <c r="C2804" s="65" t="s">
        <v>4681</v>
      </c>
      <c r="H2804" s="2">
        <v>5000</v>
      </c>
      <c r="I2804" s="88">
        <f t="shared" si="171"/>
        <v>12894.880000000005</v>
      </c>
      <c r="L2804" s="2">
        <f t="shared" si="172"/>
        <v>20</v>
      </c>
    </row>
    <row r="2805" spans="1:12" x14ac:dyDescent="0.3">
      <c r="A2805" s="3">
        <v>45568</v>
      </c>
      <c r="B2805" s="11" t="s">
        <v>6052</v>
      </c>
      <c r="C2805" s="65" t="s">
        <v>6053</v>
      </c>
      <c r="E2805" s="90" t="s">
        <v>16</v>
      </c>
      <c r="H2805" s="2">
        <v>100</v>
      </c>
      <c r="I2805" s="88">
        <f t="shared" si="171"/>
        <v>12794.880000000005</v>
      </c>
      <c r="L2805" s="2">
        <f t="shared" si="172"/>
        <v>25.4</v>
      </c>
    </row>
    <row r="2806" spans="1:12" x14ac:dyDescent="0.3">
      <c r="A2806" s="3">
        <v>45568</v>
      </c>
      <c r="B2806" s="11" t="s">
        <v>6057</v>
      </c>
      <c r="D2806" s="7"/>
      <c r="E2806" s="90" t="s">
        <v>16</v>
      </c>
      <c r="H2806" s="2">
        <v>100</v>
      </c>
      <c r="I2806" s="88">
        <f t="shared" si="171"/>
        <v>12694.880000000005</v>
      </c>
      <c r="L2806" s="2">
        <f t="shared" si="172"/>
        <v>25.4</v>
      </c>
    </row>
    <row r="2807" spans="1:12" x14ac:dyDescent="0.3">
      <c r="A2807" s="3">
        <v>45568</v>
      </c>
      <c r="B2807" s="11" t="s">
        <v>1250</v>
      </c>
      <c r="C2807" s="51" t="s">
        <v>6058</v>
      </c>
      <c r="G2807" s="2">
        <v>10000</v>
      </c>
      <c r="I2807" s="88">
        <f t="shared" si="171"/>
        <v>22694.880000000005</v>
      </c>
      <c r="L2807" s="2">
        <f t="shared" si="172"/>
        <v>20</v>
      </c>
    </row>
    <row r="2808" spans="1:12" x14ac:dyDescent="0.3">
      <c r="A2808" s="3">
        <v>45568</v>
      </c>
      <c r="B2808" s="11" t="s">
        <v>2448</v>
      </c>
      <c r="C2808" s="65" t="s">
        <v>2274</v>
      </c>
      <c r="H2808" s="2">
        <v>7000</v>
      </c>
      <c r="I2808" s="88">
        <f t="shared" si="171"/>
        <v>15694.880000000005</v>
      </c>
      <c r="L2808" s="2">
        <f t="shared" si="172"/>
        <v>20</v>
      </c>
    </row>
    <row r="2809" spans="1:12" x14ac:dyDescent="0.3">
      <c r="A2809" s="3">
        <v>45568</v>
      </c>
      <c r="B2809" s="11" t="s">
        <v>6061</v>
      </c>
      <c r="C2809" s="65" t="s">
        <v>6062</v>
      </c>
      <c r="D2809" s="11"/>
      <c r="E2809" s="90" t="s">
        <v>16</v>
      </c>
      <c r="H2809" s="2">
        <v>100</v>
      </c>
      <c r="I2809" s="88">
        <f t="shared" si="171"/>
        <v>15594.880000000005</v>
      </c>
      <c r="L2809" s="2">
        <f t="shared" si="172"/>
        <v>25.4</v>
      </c>
    </row>
    <row r="2810" spans="1:12" x14ac:dyDescent="0.3">
      <c r="A2810" s="3">
        <v>45568</v>
      </c>
      <c r="B2810" s="11" t="s">
        <v>4184</v>
      </c>
      <c r="C2810" s="65" t="s">
        <v>4894</v>
      </c>
      <c r="G2810" s="2">
        <v>3000</v>
      </c>
      <c r="I2810" s="88">
        <f t="shared" si="171"/>
        <v>18594.880000000005</v>
      </c>
      <c r="L2810" s="2">
        <f t="shared" si="172"/>
        <v>12</v>
      </c>
    </row>
    <row r="2811" spans="1:12" x14ac:dyDescent="0.3">
      <c r="A2811" s="3">
        <v>45568</v>
      </c>
      <c r="B2811" s="11" t="s">
        <v>1250</v>
      </c>
      <c r="C2811" s="65" t="s">
        <v>3670</v>
      </c>
      <c r="G2811" s="2">
        <v>10000</v>
      </c>
      <c r="I2811" s="88">
        <f t="shared" si="171"/>
        <v>28594.880000000005</v>
      </c>
      <c r="L2811" s="2">
        <f t="shared" si="172"/>
        <v>20</v>
      </c>
    </row>
    <row r="2812" spans="1:12" x14ac:dyDescent="0.3">
      <c r="A2812" s="3">
        <v>45569</v>
      </c>
      <c r="B2812" s="11" t="s">
        <v>6066</v>
      </c>
      <c r="C2812" s="65" t="s">
        <v>6069</v>
      </c>
      <c r="E2812" s="90" t="s">
        <v>16</v>
      </c>
      <c r="H2812" s="2">
        <v>200</v>
      </c>
      <c r="I2812" s="88">
        <f t="shared" si="171"/>
        <v>28394.880000000005</v>
      </c>
      <c r="L2812" s="2">
        <f t="shared" si="172"/>
        <v>25.8</v>
      </c>
    </row>
    <row r="2813" spans="1:12" x14ac:dyDescent="0.3">
      <c r="A2813" s="3">
        <v>45569</v>
      </c>
      <c r="B2813" s="11" t="s">
        <v>6072</v>
      </c>
      <c r="C2813" s="51"/>
      <c r="D2813" s="7"/>
      <c r="E2813" s="90" t="s">
        <v>16</v>
      </c>
      <c r="H2813" s="2">
        <v>100</v>
      </c>
      <c r="I2813" s="88">
        <f t="shared" si="171"/>
        <v>28294.880000000005</v>
      </c>
      <c r="L2813" s="2">
        <f t="shared" si="172"/>
        <v>25.4</v>
      </c>
    </row>
    <row r="2814" spans="1:12" x14ac:dyDescent="0.3">
      <c r="A2814" s="3">
        <v>45569</v>
      </c>
      <c r="B2814" s="11" t="s">
        <v>1250</v>
      </c>
      <c r="C2814" s="65" t="s">
        <v>6073</v>
      </c>
      <c r="G2814" s="2">
        <v>500</v>
      </c>
      <c r="I2814" s="88">
        <f t="shared" si="171"/>
        <v>28794.880000000005</v>
      </c>
      <c r="L2814" s="2">
        <f t="shared" si="172"/>
        <v>2</v>
      </c>
    </row>
    <row r="2815" spans="1:12" x14ac:dyDescent="0.3">
      <c r="A2815" s="3">
        <v>45569</v>
      </c>
      <c r="B2815" s="11" t="s">
        <v>6075</v>
      </c>
      <c r="C2815" s="65" t="s">
        <v>6076</v>
      </c>
      <c r="E2815" s="90" t="s">
        <v>14</v>
      </c>
      <c r="H2815" s="2">
        <v>100</v>
      </c>
      <c r="I2815" s="88">
        <f t="shared" si="171"/>
        <v>28694.880000000005</v>
      </c>
      <c r="L2815" s="2">
        <f t="shared" si="172"/>
        <v>25.4</v>
      </c>
    </row>
    <row r="2816" spans="1:12" x14ac:dyDescent="0.3">
      <c r="A2816" s="3">
        <v>45570</v>
      </c>
      <c r="B2816" s="11" t="s">
        <v>1160</v>
      </c>
      <c r="C2816" s="65" t="s">
        <v>6080</v>
      </c>
      <c r="G2816" s="2">
        <v>1500</v>
      </c>
      <c r="I2816" s="88">
        <f t="shared" si="171"/>
        <v>30194.880000000005</v>
      </c>
      <c r="L2816" s="2">
        <f t="shared" si="172"/>
        <v>6</v>
      </c>
    </row>
    <row r="2817" spans="1:12" x14ac:dyDescent="0.3">
      <c r="A2817" s="3">
        <v>45570</v>
      </c>
      <c r="C2817" s="65" t="s">
        <v>3670</v>
      </c>
      <c r="G2817" s="2">
        <v>10000</v>
      </c>
      <c r="I2817" s="88">
        <f t="shared" si="171"/>
        <v>40194.880000000005</v>
      </c>
      <c r="L2817" s="2">
        <f t="shared" si="172"/>
        <v>20</v>
      </c>
    </row>
    <row r="2818" spans="1:12" x14ac:dyDescent="0.3">
      <c r="A2818" s="3">
        <v>45570</v>
      </c>
      <c r="B2818" s="11" t="s">
        <v>2351</v>
      </c>
      <c r="C2818" s="65" t="s">
        <v>6081</v>
      </c>
      <c r="G2818" s="2">
        <v>700</v>
      </c>
      <c r="I2818" s="88">
        <f t="shared" si="171"/>
        <v>40894.880000000005</v>
      </c>
      <c r="L2818" s="2">
        <f t="shared" si="172"/>
        <v>2.8000000000000003</v>
      </c>
    </row>
    <row r="2819" spans="1:12" x14ac:dyDescent="0.3">
      <c r="A2819" s="3">
        <v>45570</v>
      </c>
      <c r="B2819" s="11" t="s">
        <v>6083</v>
      </c>
      <c r="C2819" s="65" t="s">
        <v>6084</v>
      </c>
      <c r="E2819" s="90" t="s">
        <v>14</v>
      </c>
      <c r="H2819" s="2">
        <v>500</v>
      </c>
      <c r="I2819" s="88">
        <f t="shared" si="171"/>
        <v>40394.880000000005</v>
      </c>
      <c r="L2819" s="2">
        <f t="shared" si="172"/>
        <v>27</v>
      </c>
    </row>
    <row r="2820" spans="1:12" x14ac:dyDescent="0.3">
      <c r="A2820" s="3">
        <v>45570</v>
      </c>
      <c r="B2820" s="11" t="s">
        <v>6088</v>
      </c>
      <c r="C2820" s="65" t="s">
        <v>6089</v>
      </c>
      <c r="E2820" s="90" t="s">
        <v>14</v>
      </c>
      <c r="H2820" s="2">
        <v>100</v>
      </c>
      <c r="I2820" s="88">
        <f t="shared" si="171"/>
        <v>40294.880000000005</v>
      </c>
      <c r="L2820" s="2">
        <f t="shared" si="172"/>
        <v>25.4</v>
      </c>
    </row>
    <row r="2821" spans="1:12" x14ac:dyDescent="0.3">
      <c r="A2821" s="3">
        <v>45571</v>
      </c>
      <c r="B2821" s="11" t="s">
        <v>5115</v>
      </c>
      <c r="C2821" s="65" t="s">
        <v>6091</v>
      </c>
      <c r="G2821" s="2">
        <v>2000</v>
      </c>
      <c r="I2821" s="88">
        <f t="shared" si="171"/>
        <v>42294.880000000005</v>
      </c>
      <c r="L2821" s="2">
        <f t="shared" si="172"/>
        <v>8</v>
      </c>
    </row>
    <row r="2822" spans="1:12" x14ac:dyDescent="0.3">
      <c r="A2822" s="3">
        <v>45571</v>
      </c>
      <c r="B2822" s="11" t="s">
        <v>1160</v>
      </c>
      <c r="C2822" s="65" t="s">
        <v>6096</v>
      </c>
      <c r="G2822" s="2">
        <v>1800</v>
      </c>
      <c r="I2822" s="88">
        <f t="shared" si="171"/>
        <v>44094.880000000005</v>
      </c>
      <c r="J2822" s="62"/>
      <c r="L2822" s="2">
        <f t="shared" si="172"/>
        <v>7.2</v>
      </c>
    </row>
    <row r="2823" spans="1:12" x14ac:dyDescent="0.3">
      <c r="A2823" s="3">
        <v>45572</v>
      </c>
      <c r="B2823" s="11" t="s">
        <v>5686</v>
      </c>
      <c r="C2823" s="65" t="s">
        <v>6100</v>
      </c>
      <c r="G2823" s="2">
        <v>3100</v>
      </c>
      <c r="I2823" s="88">
        <f t="shared" si="171"/>
        <v>47194.880000000005</v>
      </c>
      <c r="L2823" s="2">
        <f t="shared" si="172"/>
        <v>12.4</v>
      </c>
    </row>
    <row r="2824" spans="1:12" x14ac:dyDescent="0.3">
      <c r="A2824" s="3">
        <v>45572</v>
      </c>
      <c r="B2824" s="11" t="s">
        <v>3871</v>
      </c>
      <c r="C2824" s="65" t="s">
        <v>2870</v>
      </c>
      <c r="H2824" s="2">
        <v>4800</v>
      </c>
      <c r="I2824" s="88">
        <f t="shared" si="171"/>
        <v>42394.880000000005</v>
      </c>
      <c r="L2824" s="2">
        <f t="shared" si="172"/>
        <v>19.2</v>
      </c>
    </row>
    <row r="2825" spans="1:12" x14ac:dyDescent="0.3">
      <c r="A2825" s="3">
        <v>45572</v>
      </c>
      <c r="B2825" s="11" t="s">
        <v>1388</v>
      </c>
      <c r="C2825" s="65" t="s">
        <v>2857</v>
      </c>
      <c r="H2825" s="2">
        <v>20000</v>
      </c>
      <c r="I2825" s="88">
        <f t="shared" si="171"/>
        <v>22394.880000000005</v>
      </c>
      <c r="L2825" s="2">
        <f t="shared" si="172"/>
        <v>20</v>
      </c>
    </row>
    <row r="2826" spans="1:12" x14ac:dyDescent="0.3">
      <c r="A2826" s="3">
        <v>45572</v>
      </c>
      <c r="B2826" s="11" t="s">
        <v>6102</v>
      </c>
      <c r="C2826" s="65" t="s">
        <v>6103</v>
      </c>
      <c r="H2826" s="2">
        <v>3000</v>
      </c>
      <c r="I2826" s="88">
        <f t="shared" si="171"/>
        <v>19394.880000000005</v>
      </c>
      <c r="L2826" s="2">
        <f t="shared" si="172"/>
        <v>12</v>
      </c>
    </row>
    <row r="2827" spans="1:12" x14ac:dyDescent="0.3">
      <c r="A2827" s="3">
        <v>45572</v>
      </c>
      <c r="B2827" s="11" t="s">
        <v>6121</v>
      </c>
      <c r="C2827" s="65" t="s">
        <v>6122</v>
      </c>
      <c r="E2827" s="90" t="s">
        <v>14</v>
      </c>
      <c r="H2827" s="2">
        <v>2000</v>
      </c>
      <c r="I2827" s="88">
        <f t="shared" si="171"/>
        <v>17394.880000000005</v>
      </c>
      <c r="L2827" s="2">
        <f t="shared" si="172"/>
        <v>33</v>
      </c>
    </row>
    <row r="2828" spans="1:12" x14ac:dyDescent="0.3">
      <c r="A2828" s="3">
        <v>45572</v>
      </c>
      <c r="B2828" s="11" t="s">
        <v>6105</v>
      </c>
      <c r="C2828" s="65" t="s">
        <v>6106</v>
      </c>
      <c r="E2828" s="90" t="s">
        <v>14</v>
      </c>
      <c r="H2828" s="2">
        <v>300</v>
      </c>
      <c r="I2828" s="88">
        <f t="shared" si="171"/>
        <v>17094.880000000005</v>
      </c>
      <c r="L2828" s="2">
        <f t="shared" si="172"/>
        <v>26.2</v>
      </c>
    </row>
    <row r="2829" spans="1:12" x14ac:dyDescent="0.3">
      <c r="A2829" s="3">
        <v>45572</v>
      </c>
      <c r="B2829" s="11" t="s">
        <v>6109</v>
      </c>
      <c r="C2829" s="65" t="s">
        <v>6124</v>
      </c>
      <c r="E2829" s="90" t="s">
        <v>14</v>
      </c>
      <c r="H2829" s="2">
        <v>100</v>
      </c>
      <c r="I2829" s="88">
        <f t="shared" si="171"/>
        <v>16994.880000000005</v>
      </c>
      <c r="L2829" s="2">
        <f t="shared" si="172"/>
        <v>25.4</v>
      </c>
    </row>
    <row r="2830" spans="1:12" x14ac:dyDescent="0.3">
      <c r="A2830" s="3">
        <v>45572</v>
      </c>
      <c r="B2830" s="11" t="s">
        <v>6112</v>
      </c>
      <c r="C2830" s="65" t="s">
        <v>4187</v>
      </c>
      <c r="E2830" s="90" t="s">
        <v>14</v>
      </c>
      <c r="H2830" s="2">
        <v>450</v>
      </c>
      <c r="I2830" s="88">
        <f t="shared" si="171"/>
        <v>16544.880000000005</v>
      </c>
      <c r="L2830" s="2">
        <f t="shared" si="172"/>
        <v>26.8</v>
      </c>
    </row>
    <row r="2831" spans="1:12" x14ac:dyDescent="0.3">
      <c r="A2831" s="3">
        <v>45572</v>
      </c>
      <c r="B2831" s="11" t="s">
        <v>6115</v>
      </c>
      <c r="C2831" s="65" t="s">
        <v>339</v>
      </c>
      <c r="E2831" s="90" t="s">
        <v>14</v>
      </c>
      <c r="H2831" s="2">
        <v>200</v>
      </c>
      <c r="I2831" s="88">
        <f t="shared" si="171"/>
        <v>16344.880000000005</v>
      </c>
      <c r="L2831" s="2">
        <f t="shared" si="172"/>
        <v>25.8</v>
      </c>
    </row>
    <row r="2832" spans="1:12" x14ac:dyDescent="0.3">
      <c r="A2832" s="3">
        <v>45572</v>
      </c>
      <c r="B2832" s="11" t="s">
        <v>6120</v>
      </c>
      <c r="C2832" s="65" t="s">
        <v>6118</v>
      </c>
      <c r="E2832" s="90" t="s">
        <v>14</v>
      </c>
      <c r="H2832" s="2">
        <v>200</v>
      </c>
      <c r="I2832" s="88">
        <f t="shared" si="171"/>
        <v>16144.880000000005</v>
      </c>
      <c r="K2832" s="62"/>
      <c r="L2832" s="2">
        <f t="shared" si="172"/>
        <v>25.8</v>
      </c>
    </row>
    <row r="2833" spans="1:12" x14ac:dyDescent="0.3">
      <c r="A2833" s="3">
        <v>45572</v>
      </c>
      <c r="B2833" s="11" t="s">
        <v>6131</v>
      </c>
      <c r="C2833" s="65" t="s">
        <v>6132</v>
      </c>
      <c r="H2833" s="2">
        <v>200</v>
      </c>
      <c r="I2833" s="88">
        <f t="shared" si="171"/>
        <v>15944.880000000005</v>
      </c>
      <c r="L2833" s="2">
        <f t="shared" si="172"/>
        <v>0.8</v>
      </c>
    </row>
    <row r="2834" spans="1:12" x14ac:dyDescent="0.3">
      <c r="A2834" s="3">
        <v>45572</v>
      </c>
      <c r="B2834" s="11" t="s">
        <v>3148</v>
      </c>
      <c r="C2834" s="65" t="s">
        <v>4551</v>
      </c>
      <c r="G2834" s="2">
        <v>8000</v>
      </c>
      <c r="I2834" s="88">
        <f t="shared" si="171"/>
        <v>23944.880000000005</v>
      </c>
      <c r="L2834" s="2">
        <f t="shared" si="172"/>
        <v>20</v>
      </c>
    </row>
    <row r="2835" spans="1:12" x14ac:dyDescent="0.3">
      <c r="A2835" s="3">
        <v>45573</v>
      </c>
      <c r="B2835" s="11" t="s">
        <v>1250</v>
      </c>
      <c r="C2835" s="65" t="s">
        <v>6136</v>
      </c>
      <c r="G2835" s="2">
        <v>2500</v>
      </c>
      <c r="I2835" s="88">
        <f t="shared" si="171"/>
        <v>26444.880000000005</v>
      </c>
      <c r="L2835" s="2">
        <f t="shared" si="172"/>
        <v>10</v>
      </c>
    </row>
    <row r="2836" spans="1:12" x14ac:dyDescent="0.3">
      <c r="A2836" s="3">
        <v>45573</v>
      </c>
      <c r="B2836" s="11" t="s">
        <v>1160</v>
      </c>
      <c r="C2836" s="65" t="s">
        <v>6137</v>
      </c>
      <c r="G2836" s="2">
        <v>500</v>
      </c>
      <c r="I2836" s="88">
        <f t="shared" si="171"/>
        <v>26944.880000000005</v>
      </c>
      <c r="L2836" s="2">
        <f t="shared" si="172"/>
        <v>2</v>
      </c>
    </row>
    <row r="2837" spans="1:12" x14ac:dyDescent="0.3">
      <c r="A2837" s="3">
        <v>45573</v>
      </c>
      <c r="B2837" s="11" t="s">
        <v>6142</v>
      </c>
      <c r="C2837" s="65" t="s">
        <v>6143</v>
      </c>
      <c r="E2837" s="90" t="s">
        <v>14</v>
      </c>
      <c r="H2837" s="2">
        <v>500</v>
      </c>
      <c r="I2837" s="88">
        <f t="shared" si="171"/>
        <v>26444.880000000005</v>
      </c>
      <c r="L2837" s="2">
        <f t="shared" si="172"/>
        <v>27</v>
      </c>
    </row>
    <row r="2838" spans="1:12" x14ac:dyDescent="0.3">
      <c r="A2838" s="3">
        <v>45573</v>
      </c>
      <c r="B2838" s="11" t="s">
        <v>1160</v>
      </c>
      <c r="C2838" s="65" t="s">
        <v>4034</v>
      </c>
      <c r="G2838" s="2">
        <v>7000</v>
      </c>
      <c r="I2838" s="88">
        <f t="shared" si="171"/>
        <v>33444.880000000005</v>
      </c>
      <c r="L2838" s="2">
        <f t="shared" si="172"/>
        <v>20</v>
      </c>
    </row>
    <row r="2839" spans="1:12" x14ac:dyDescent="0.3">
      <c r="A2839" s="3">
        <v>45573</v>
      </c>
      <c r="B2839" s="11" t="s">
        <v>1250</v>
      </c>
      <c r="C2839" s="65" t="s">
        <v>3844</v>
      </c>
      <c r="G2839" s="2">
        <v>6000</v>
      </c>
      <c r="I2839" s="88">
        <f t="shared" si="171"/>
        <v>39444.880000000005</v>
      </c>
      <c r="L2839" s="2">
        <f t="shared" si="172"/>
        <v>20</v>
      </c>
    </row>
    <row r="2840" spans="1:12" x14ac:dyDescent="0.3">
      <c r="A2840" s="3">
        <v>45573</v>
      </c>
      <c r="B2840" s="11" t="s">
        <v>1250</v>
      </c>
      <c r="C2840" s="65" t="s">
        <v>4799</v>
      </c>
      <c r="H2840" s="2">
        <v>6000</v>
      </c>
      <c r="I2840" s="88">
        <f t="shared" si="171"/>
        <v>33444.880000000005</v>
      </c>
      <c r="L2840" s="2">
        <f t="shared" si="172"/>
        <v>20</v>
      </c>
    </row>
    <row r="2841" spans="1:12" x14ac:dyDescent="0.3">
      <c r="A2841" s="3">
        <v>45573</v>
      </c>
      <c r="B2841" s="11" t="s">
        <v>1250</v>
      </c>
      <c r="C2841" s="65" t="s">
        <v>6146</v>
      </c>
      <c r="G2841" s="2">
        <v>2300</v>
      </c>
      <c r="I2841" s="88">
        <f t="shared" si="171"/>
        <v>35744.880000000005</v>
      </c>
      <c r="L2841" s="2">
        <f t="shared" si="172"/>
        <v>9.2000000000000011</v>
      </c>
    </row>
    <row r="2842" spans="1:12" x14ac:dyDescent="0.3">
      <c r="A2842" s="3">
        <v>45573</v>
      </c>
      <c r="B2842" s="11" t="s">
        <v>6148</v>
      </c>
      <c r="C2842" s="65" t="s">
        <v>6149</v>
      </c>
      <c r="E2842" s="90" t="s">
        <v>16</v>
      </c>
      <c r="H2842" s="2">
        <v>500</v>
      </c>
      <c r="I2842" s="88">
        <f t="shared" si="171"/>
        <v>35244.880000000005</v>
      </c>
      <c r="L2842" s="2">
        <f t="shared" si="172"/>
        <v>27</v>
      </c>
    </row>
    <row r="2843" spans="1:12" x14ac:dyDescent="0.3">
      <c r="A2843" s="3">
        <v>45573</v>
      </c>
      <c r="B2843" s="11" t="s">
        <v>3232</v>
      </c>
      <c r="C2843" s="65" t="s">
        <v>6152</v>
      </c>
      <c r="G2843" s="2">
        <v>2000</v>
      </c>
      <c r="I2843" s="88">
        <f t="shared" si="171"/>
        <v>37244.880000000005</v>
      </c>
      <c r="L2843" s="2">
        <f t="shared" si="172"/>
        <v>8</v>
      </c>
    </row>
    <row r="2844" spans="1:12" x14ac:dyDescent="0.3">
      <c r="A2844" s="3">
        <v>44113</v>
      </c>
      <c r="B2844" s="11" t="s">
        <v>5238</v>
      </c>
      <c r="C2844" s="65" t="s">
        <v>6153</v>
      </c>
      <c r="G2844" s="2">
        <v>600</v>
      </c>
      <c r="I2844" s="88">
        <f t="shared" si="171"/>
        <v>37844.880000000005</v>
      </c>
      <c r="L2844" s="2">
        <f t="shared" si="172"/>
        <v>2.4</v>
      </c>
    </row>
    <row r="2845" spans="1:12" x14ac:dyDescent="0.3">
      <c r="A2845" s="3">
        <v>44113</v>
      </c>
      <c r="B2845" s="11" t="s">
        <v>3915</v>
      </c>
      <c r="C2845" s="65" t="s">
        <v>4085</v>
      </c>
      <c r="G2845" s="2">
        <v>500</v>
      </c>
      <c r="I2845" s="88">
        <f t="shared" si="171"/>
        <v>38344.880000000005</v>
      </c>
      <c r="L2845" s="2">
        <f t="shared" si="172"/>
        <v>2</v>
      </c>
    </row>
    <row r="2846" spans="1:12" x14ac:dyDescent="0.3">
      <c r="A2846" s="3">
        <v>44113</v>
      </c>
      <c r="B2846" s="11" t="s">
        <v>6154</v>
      </c>
      <c r="C2846" s="65" t="s">
        <v>6155</v>
      </c>
      <c r="G2846" s="2">
        <v>1500</v>
      </c>
      <c r="I2846" s="88">
        <f t="shared" si="171"/>
        <v>39844.880000000005</v>
      </c>
      <c r="L2846" s="2">
        <f t="shared" si="172"/>
        <v>6</v>
      </c>
    </row>
    <row r="2847" spans="1:12" x14ac:dyDescent="0.3">
      <c r="A2847" s="3">
        <v>44113</v>
      </c>
      <c r="C2847" s="65" t="s">
        <v>6156</v>
      </c>
      <c r="H2847" s="2">
        <v>25000</v>
      </c>
      <c r="I2847" s="88">
        <f t="shared" si="171"/>
        <v>14844.880000000005</v>
      </c>
      <c r="L2847" s="2">
        <f t="shared" si="172"/>
        <v>20</v>
      </c>
    </row>
    <row r="2848" spans="1:12" x14ac:dyDescent="0.3">
      <c r="A2848" s="3">
        <v>44113</v>
      </c>
      <c r="B2848" s="11" t="s">
        <v>3220</v>
      </c>
      <c r="C2848" s="65"/>
      <c r="G2848" s="2">
        <v>1000</v>
      </c>
      <c r="I2848" s="88">
        <f t="shared" si="171"/>
        <v>15844.880000000005</v>
      </c>
      <c r="L2848" s="2">
        <f t="shared" si="172"/>
        <v>4</v>
      </c>
    </row>
    <row r="2849" spans="1:12" x14ac:dyDescent="0.3">
      <c r="A2849" s="3">
        <v>44113</v>
      </c>
      <c r="B2849" s="11" t="s">
        <v>6105</v>
      </c>
      <c r="C2849" s="65" t="s">
        <v>6106</v>
      </c>
      <c r="H2849" s="2">
        <v>1000</v>
      </c>
      <c r="I2849" s="88">
        <f t="shared" si="171"/>
        <v>14844.880000000005</v>
      </c>
      <c r="L2849" s="2">
        <f t="shared" si="172"/>
        <v>4</v>
      </c>
    </row>
    <row r="2850" spans="1:12" x14ac:dyDescent="0.3">
      <c r="A2850" s="3">
        <v>44113</v>
      </c>
      <c r="B2850" s="11" t="s">
        <v>5508</v>
      </c>
      <c r="C2850" s="65" t="s">
        <v>6157</v>
      </c>
      <c r="G2850" s="2">
        <v>1000</v>
      </c>
      <c r="I2850" s="88">
        <f t="shared" si="171"/>
        <v>15844.880000000005</v>
      </c>
      <c r="L2850" s="2">
        <f t="shared" si="172"/>
        <v>4</v>
      </c>
    </row>
    <row r="2851" spans="1:12" x14ac:dyDescent="0.3">
      <c r="A2851" s="3">
        <v>44113</v>
      </c>
      <c r="B2851" s="11" t="s">
        <v>6160</v>
      </c>
      <c r="C2851" s="65" t="s">
        <v>6161</v>
      </c>
      <c r="E2851" s="90" t="s">
        <v>14</v>
      </c>
      <c r="H2851" s="2">
        <v>500</v>
      </c>
      <c r="I2851" s="88">
        <f t="shared" si="171"/>
        <v>15344.880000000005</v>
      </c>
      <c r="L2851" s="2">
        <f t="shared" si="172"/>
        <v>27</v>
      </c>
    </row>
    <row r="2852" spans="1:12" x14ac:dyDescent="0.3">
      <c r="A2852" s="3">
        <v>44113</v>
      </c>
      <c r="B2852" s="11" t="s">
        <v>6164</v>
      </c>
      <c r="C2852" s="65" t="s">
        <v>6165</v>
      </c>
      <c r="E2852" s="90" t="s">
        <v>14</v>
      </c>
      <c r="H2852" s="2">
        <v>500</v>
      </c>
      <c r="I2852" s="88">
        <f t="shared" si="171"/>
        <v>14844.880000000005</v>
      </c>
      <c r="L2852" s="2">
        <f t="shared" si="172"/>
        <v>27</v>
      </c>
    </row>
    <row r="2853" spans="1:12" x14ac:dyDescent="0.3">
      <c r="A2853" s="3">
        <v>44113</v>
      </c>
      <c r="B2853" s="11" t="s">
        <v>1250</v>
      </c>
      <c r="C2853" s="65" t="s">
        <v>6167</v>
      </c>
      <c r="H2853" s="2">
        <v>6000</v>
      </c>
      <c r="I2853" s="88">
        <f t="shared" si="171"/>
        <v>8844.8800000000047</v>
      </c>
      <c r="L2853" s="2">
        <f t="shared" si="172"/>
        <v>20</v>
      </c>
    </row>
    <row r="2854" spans="1:12" x14ac:dyDescent="0.3">
      <c r="A2854" s="3">
        <v>44113</v>
      </c>
      <c r="B2854" s="11" t="s">
        <v>6169</v>
      </c>
      <c r="C2854" s="65" t="s">
        <v>6170</v>
      </c>
      <c r="E2854" s="90" t="s">
        <v>14</v>
      </c>
      <c r="H2854" s="2">
        <v>500</v>
      </c>
      <c r="I2854" s="88">
        <f t="shared" si="171"/>
        <v>8344.8800000000047</v>
      </c>
      <c r="L2854" s="2">
        <f t="shared" si="172"/>
        <v>27</v>
      </c>
    </row>
    <row r="2855" spans="1:12" x14ac:dyDescent="0.3">
      <c r="A2855" s="3">
        <v>44113</v>
      </c>
      <c r="B2855" s="11" t="s">
        <v>2702</v>
      </c>
      <c r="C2855" s="65" t="s">
        <v>6173</v>
      </c>
      <c r="H2855" s="2">
        <v>1500</v>
      </c>
      <c r="I2855" s="88">
        <f t="shared" si="171"/>
        <v>6844.8800000000047</v>
      </c>
      <c r="L2855" s="2">
        <f t="shared" si="172"/>
        <v>6</v>
      </c>
    </row>
    <row r="2856" spans="1:12" x14ac:dyDescent="0.3">
      <c r="A2856" s="3">
        <v>45575</v>
      </c>
      <c r="B2856" s="11" t="s">
        <v>1472</v>
      </c>
      <c r="C2856" s="65" t="s">
        <v>6174</v>
      </c>
      <c r="G2856" s="2">
        <v>1000</v>
      </c>
      <c r="I2856" s="88">
        <f t="shared" si="171"/>
        <v>7844.8800000000047</v>
      </c>
      <c r="L2856" s="2">
        <f t="shared" si="172"/>
        <v>4</v>
      </c>
    </row>
    <row r="2857" spans="1:12" x14ac:dyDescent="0.3">
      <c r="A2857" s="3">
        <v>45575</v>
      </c>
      <c r="B2857" s="11" t="s">
        <v>3915</v>
      </c>
      <c r="C2857" s="65" t="s">
        <v>220</v>
      </c>
      <c r="G2857" s="2">
        <v>2000</v>
      </c>
      <c r="I2857" s="88">
        <f t="shared" si="171"/>
        <v>9844.8800000000047</v>
      </c>
      <c r="L2857" s="2">
        <f t="shared" si="172"/>
        <v>8</v>
      </c>
    </row>
    <row r="2858" spans="1:12" x14ac:dyDescent="0.3">
      <c r="A2858" s="3">
        <v>45575</v>
      </c>
      <c r="B2858" s="11" t="s">
        <v>4091</v>
      </c>
      <c r="C2858" s="65" t="s">
        <v>259</v>
      </c>
      <c r="G2858" s="2">
        <v>2000</v>
      </c>
      <c r="I2858" s="88">
        <f t="shared" si="171"/>
        <v>11844.880000000005</v>
      </c>
      <c r="L2858" s="2">
        <f t="shared" si="172"/>
        <v>8</v>
      </c>
    </row>
    <row r="2859" spans="1:12" x14ac:dyDescent="0.3">
      <c r="A2859" s="3">
        <v>45575</v>
      </c>
      <c r="B2859" s="11" t="s">
        <v>2448</v>
      </c>
      <c r="C2859" s="65" t="s">
        <v>2274</v>
      </c>
      <c r="H2859" s="2">
        <v>10000</v>
      </c>
      <c r="I2859" s="88">
        <f t="shared" si="171"/>
        <v>1844.8800000000047</v>
      </c>
      <c r="L2859" s="2">
        <f t="shared" si="172"/>
        <v>20</v>
      </c>
    </row>
    <row r="2860" spans="1:12" x14ac:dyDescent="0.3">
      <c r="A2860" s="3">
        <v>45575</v>
      </c>
      <c r="B2860" s="11" t="s">
        <v>1250</v>
      </c>
      <c r="C2860" s="65" t="s">
        <v>5981</v>
      </c>
      <c r="G2860" s="2">
        <v>1000</v>
      </c>
      <c r="I2860" s="88">
        <f t="shared" si="171"/>
        <v>2844.8800000000047</v>
      </c>
      <c r="L2860" s="2">
        <f t="shared" si="172"/>
        <v>4</v>
      </c>
    </row>
    <row r="2861" spans="1:12" x14ac:dyDescent="0.3">
      <c r="A2861" s="3">
        <v>45575</v>
      </c>
      <c r="B2861" s="11" t="s">
        <v>2271</v>
      </c>
      <c r="C2861" s="65" t="s">
        <v>5963</v>
      </c>
      <c r="G2861" s="2">
        <v>4050</v>
      </c>
      <c r="I2861" s="88">
        <f t="shared" si="171"/>
        <v>6894.8800000000047</v>
      </c>
      <c r="L2861" s="2">
        <f t="shared" si="172"/>
        <v>16.2</v>
      </c>
    </row>
    <row r="2862" spans="1:12" x14ac:dyDescent="0.3">
      <c r="A2862" s="3">
        <v>45575</v>
      </c>
      <c r="B2862" s="11" t="s">
        <v>5042</v>
      </c>
      <c r="C2862" s="65" t="s">
        <v>6176</v>
      </c>
      <c r="G2862" s="2">
        <v>1500</v>
      </c>
      <c r="I2862" s="88">
        <f t="shared" si="171"/>
        <v>8394.8800000000047</v>
      </c>
      <c r="L2862" s="2">
        <f t="shared" si="172"/>
        <v>6</v>
      </c>
    </row>
    <row r="2863" spans="1:12" x14ac:dyDescent="0.3">
      <c r="A2863" s="3">
        <v>45575</v>
      </c>
      <c r="B2863" s="11" t="s">
        <v>5147</v>
      </c>
      <c r="C2863" s="65" t="s">
        <v>5148</v>
      </c>
      <c r="G2863" s="2">
        <v>1000</v>
      </c>
      <c r="I2863" s="88">
        <f t="shared" si="171"/>
        <v>9394.8800000000047</v>
      </c>
      <c r="L2863" s="2">
        <f t="shared" si="172"/>
        <v>4</v>
      </c>
    </row>
    <row r="2864" spans="1:12" x14ac:dyDescent="0.3">
      <c r="A2864" s="3">
        <v>45575</v>
      </c>
      <c r="B2864" s="11" t="s">
        <v>6177</v>
      </c>
      <c r="C2864" s="65" t="s">
        <v>6178</v>
      </c>
      <c r="D2864" s="50">
        <v>6299730717</v>
      </c>
      <c r="G2864" s="2">
        <v>10000</v>
      </c>
      <c r="I2864" s="88">
        <f t="shared" si="171"/>
        <v>19394.880000000005</v>
      </c>
      <c r="L2864" s="2">
        <f t="shared" si="172"/>
        <v>20</v>
      </c>
    </row>
    <row r="2865" spans="1:12" x14ac:dyDescent="0.3">
      <c r="A2865" s="3">
        <v>45575</v>
      </c>
      <c r="B2865" s="11" t="s">
        <v>2351</v>
      </c>
      <c r="C2865" s="65" t="s">
        <v>5850</v>
      </c>
      <c r="G2865" s="2">
        <v>1000</v>
      </c>
      <c r="I2865" s="88">
        <f t="shared" si="171"/>
        <v>20394.880000000005</v>
      </c>
      <c r="L2865" s="2">
        <f t="shared" si="172"/>
        <v>4</v>
      </c>
    </row>
    <row r="2866" spans="1:12" x14ac:dyDescent="0.3">
      <c r="A2866" s="3">
        <v>45578</v>
      </c>
      <c r="B2866" s="11" t="s">
        <v>2448</v>
      </c>
      <c r="C2866" s="65" t="s">
        <v>2274</v>
      </c>
      <c r="H2866" s="2">
        <v>5000</v>
      </c>
      <c r="I2866" s="88">
        <f t="shared" si="171"/>
        <v>15394.880000000005</v>
      </c>
      <c r="L2866" s="2">
        <f t="shared" si="172"/>
        <v>20</v>
      </c>
    </row>
    <row r="2867" spans="1:12" x14ac:dyDescent="0.3">
      <c r="A2867" s="3">
        <v>45578</v>
      </c>
      <c r="B2867" s="11" t="s">
        <v>3871</v>
      </c>
      <c r="C2867" s="65" t="s">
        <v>2870</v>
      </c>
      <c r="H2867" s="2">
        <v>1000</v>
      </c>
      <c r="I2867" s="88">
        <f t="shared" si="171"/>
        <v>14394.880000000005</v>
      </c>
      <c r="L2867" s="2">
        <f t="shared" si="172"/>
        <v>4</v>
      </c>
    </row>
    <row r="2868" spans="1:12" x14ac:dyDescent="0.3">
      <c r="A2868" s="3">
        <v>45579</v>
      </c>
      <c r="B2868" s="11" t="s">
        <v>6180</v>
      </c>
      <c r="C2868" s="65" t="s">
        <v>6181</v>
      </c>
      <c r="E2868" s="90" t="s">
        <v>14</v>
      </c>
      <c r="H2868" s="2">
        <v>200</v>
      </c>
      <c r="I2868" s="88">
        <f t="shared" si="171"/>
        <v>14194.880000000005</v>
      </c>
      <c r="L2868" s="2">
        <f t="shared" si="172"/>
        <v>25.8</v>
      </c>
    </row>
    <row r="2869" spans="1:12" x14ac:dyDescent="0.3">
      <c r="A2869" s="3">
        <v>45579</v>
      </c>
      <c r="B2869" s="11" t="s">
        <v>6185</v>
      </c>
      <c r="C2869" s="65" t="s">
        <v>4725</v>
      </c>
      <c r="E2869" s="90" t="s">
        <v>14</v>
      </c>
      <c r="H2869" s="2">
        <v>200</v>
      </c>
      <c r="I2869" s="88">
        <f t="shared" si="171"/>
        <v>13994.880000000005</v>
      </c>
      <c r="L2869" s="2">
        <f t="shared" si="172"/>
        <v>25.8</v>
      </c>
    </row>
    <row r="2870" spans="1:12" x14ac:dyDescent="0.3">
      <c r="A2870" s="3">
        <v>45579</v>
      </c>
      <c r="B2870" s="11" t="s">
        <v>6196</v>
      </c>
      <c r="C2870" s="65" t="s">
        <v>6190</v>
      </c>
      <c r="E2870" s="90" t="s">
        <v>14</v>
      </c>
      <c r="H2870" s="2">
        <v>2000</v>
      </c>
      <c r="I2870" s="88">
        <f t="shared" si="171"/>
        <v>11994.880000000005</v>
      </c>
      <c r="L2870" s="2">
        <f t="shared" si="172"/>
        <v>33</v>
      </c>
    </row>
    <row r="2871" spans="1:12" x14ac:dyDescent="0.3">
      <c r="A2871" s="3">
        <v>45579</v>
      </c>
      <c r="B2871" s="11" t="s">
        <v>2241</v>
      </c>
      <c r="C2871" s="65" t="s">
        <v>5983</v>
      </c>
      <c r="G2871" s="2">
        <v>1000</v>
      </c>
      <c r="I2871" s="88">
        <f t="shared" si="171"/>
        <v>12994.880000000005</v>
      </c>
      <c r="L2871" s="2">
        <f t="shared" si="172"/>
        <v>4</v>
      </c>
    </row>
    <row r="2872" spans="1:12" x14ac:dyDescent="0.3">
      <c r="A2872" s="3">
        <v>45579</v>
      </c>
      <c r="B2872" s="11" t="s">
        <v>6194</v>
      </c>
      <c r="C2872" s="65" t="s">
        <v>6015</v>
      </c>
      <c r="G2872" s="2">
        <v>1000</v>
      </c>
      <c r="I2872" s="88">
        <f t="shared" si="171"/>
        <v>13994.880000000005</v>
      </c>
      <c r="L2872" s="2">
        <f t="shared" si="172"/>
        <v>4</v>
      </c>
    </row>
    <row r="2873" spans="1:12" x14ac:dyDescent="0.3">
      <c r="A2873" s="3">
        <v>45579</v>
      </c>
      <c r="B2873" s="11" t="s">
        <v>4091</v>
      </c>
      <c r="C2873" s="65" t="s">
        <v>259</v>
      </c>
      <c r="G2873" s="2">
        <v>1000</v>
      </c>
      <c r="I2873" s="88">
        <f t="shared" si="171"/>
        <v>14994.880000000005</v>
      </c>
      <c r="L2873" s="2">
        <f t="shared" si="172"/>
        <v>4</v>
      </c>
    </row>
    <row r="2874" spans="1:12" x14ac:dyDescent="0.3">
      <c r="A2874" s="3">
        <v>45579</v>
      </c>
      <c r="B2874" s="11" t="s">
        <v>6198</v>
      </c>
      <c r="C2874" s="65" t="s">
        <v>784</v>
      </c>
      <c r="E2874" s="90" t="s">
        <v>16</v>
      </c>
      <c r="H2874" s="2">
        <v>500</v>
      </c>
      <c r="I2874" s="88">
        <f t="shared" si="171"/>
        <v>14494.880000000005</v>
      </c>
      <c r="L2874" s="2">
        <f t="shared" si="172"/>
        <v>27</v>
      </c>
    </row>
    <row r="2875" spans="1:12" x14ac:dyDescent="0.3">
      <c r="A2875" s="3">
        <v>45579</v>
      </c>
      <c r="B2875" s="11" t="s">
        <v>1160</v>
      </c>
      <c r="C2875" s="65"/>
      <c r="G2875" s="2">
        <v>500</v>
      </c>
      <c r="I2875" s="88">
        <f t="shared" si="171"/>
        <v>14994.880000000005</v>
      </c>
      <c r="L2875" s="2">
        <f t="shared" si="172"/>
        <v>2</v>
      </c>
    </row>
    <row r="2876" spans="1:12" x14ac:dyDescent="0.3">
      <c r="A2876" s="3">
        <v>45579</v>
      </c>
      <c r="B2876" s="11" t="s">
        <v>1250</v>
      </c>
      <c r="C2876" s="65" t="s">
        <v>6199</v>
      </c>
      <c r="G2876" s="2">
        <v>1300</v>
      </c>
      <c r="I2876" s="88">
        <f t="shared" si="171"/>
        <v>16294.880000000005</v>
      </c>
      <c r="L2876" s="2">
        <f t="shared" si="172"/>
        <v>5.2</v>
      </c>
    </row>
    <row r="2877" spans="1:12" x14ac:dyDescent="0.3">
      <c r="A2877" s="3">
        <v>45579</v>
      </c>
      <c r="B2877" s="11" t="s">
        <v>5378</v>
      </c>
      <c r="C2877" s="65" t="s">
        <v>6200</v>
      </c>
      <c r="G2877" s="2">
        <v>1000</v>
      </c>
      <c r="I2877" s="88">
        <f t="shared" si="171"/>
        <v>17294.880000000005</v>
      </c>
      <c r="L2877" s="2">
        <f t="shared" si="172"/>
        <v>4</v>
      </c>
    </row>
    <row r="2878" spans="1:12" x14ac:dyDescent="0.3">
      <c r="A2878" s="3">
        <v>45580</v>
      </c>
      <c r="B2878" s="11" t="s">
        <v>6205</v>
      </c>
      <c r="C2878" s="65" t="s">
        <v>6206</v>
      </c>
      <c r="E2878" s="90" t="s">
        <v>14</v>
      </c>
      <c r="H2878" s="2">
        <v>100</v>
      </c>
      <c r="I2878" s="88">
        <f t="shared" si="171"/>
        <v>17194.880000000005</v>
      </c>
      <c r="L2878" s="2">
        <f t="shared" si="172"/>
        <v>25.4</v>
      </c>
    </row>
    <row r="2879" spans="1:12" x14ac:dyDescent="0.3">
      <c r="A2879" s="3">
        <v>45580</v>
      </c>
      <c r="B2879" s="11" t="s">
        <v>6210</v>
      </c>
      <c r="C2879" s="65" t="s">
        <v>6211</v>
      </c>
      <c r="E2879" s="90" t="s">
        <v>14</v>
      </c>
      <c r="H2879" s="2">
        <v>200</v>
      </c>
      <c r="I2879" s="88">
        <f t="shared" si="171"/>
        <v>16994.880000000005</v>
      </c>
      <c r="L2879" s="2">
        <f t="shared" si="172"/>
        <v>25.8</v>
      </c>
    </row>
    <row r="2880" spans="1:12" x14ac:dyDescent="0.3">
      <c r="A2880" s="3">
        <v>45580</v>
      </c>
      <c r="B2880" s="11" t="s">
        <v>6215</v>
      </c>
      <c r="C2880" s="65" t="s">
        <v>6216</v>
      </c>
      <c r="E2880" s="90" t="s">
        <v>14</v>
      </c>
      <c r="H2880" s="2">
        <v>300</v>
      </c>
      <c r="I2880" s="88">
        <f t="shared" si="171"/>
        <v>16694.880000000005</v>
      </c>
      <c r="L2880" s="2">
        <f t="shared" si="172"/>
        <v>26.2</v>
      </c>
    </row>
    <row r="2881" spans="1:12" x14ac:dyDescent="0.3">
      <c r="A2881" s="3">
        <v>45580</v>
      </c>
      <c r="B2881" s="11" t="s">
        <v>4184</v>
      </c>
      <c r="C2881" s="65" t="s">
        <v>6219</v>
      </c>
      <c r="G2881" s="2">
        <v>600</v>
      </c>
      <c r="I2881" s="88">
        <f t="shared" si="171"/>
        <v>17294.880000000005</v>
      </c>
      <c r="L2881" s="2">
        <f t="shared" si="172"/>
        <v>2.4</v>
      </c>
    </row>
    <row r="2882" spans="1:12" x14ac:dyDescent="0.3">
      <c r="A2882" s="3">
        <v>45580</v>
      </c>
      <c r="B2882" s="11" t="s">
        <v>6221</v>
      </c>
      <c r="C2882" s="65" t="s">
        <v>6222</v>
      </c>
      <c r="E2882" s="90" t="s">
        <v>16</v>
      </c>
      <c r="H2882" s="2">
        <v>1000</v>
      </c>
      <c r="I2882" s="88">
        <f t="shared" si="171"/>
        <v>16294.880000000005</v>
      </c>
      <c r="L2882" s="2">
        <f t="shared" si="172"/>
        <v>29</v>
      </c>
    </row>
    <row r="2883" spans="1:12" x14ac:dyDescent="0.3">
      <c r="A2883" s="3">
        <v>45581</v>
      </c>
      <c r="B2883" s="11" t="s">
        <v>3849</v>
      </c>
      <c r="C2883" s="65" t="s">
        <v>6224</v>
      </c>
      <c r="H2883" s="2">
        <v>2000</v>
      </c>
      <c r="I2883" s="88">
        <f t="shared" si="171"/>
        <v>14294.880000000005</v>
      </c>
      <c r="L2883" s="2">
        <f t="shared" si="172"/>
        <v>8</v>
      </c>
    </row>
    <row r="2884" spans="1:12" x14ac:dyDescent="0.3">
      <c r="A2884" s="3">
        <v>45581</v>
      </c>
      <c r="B2884" s="11" t="s">
        <v>4061</v>
      </c>
      <c r="C2884" s="65" t="s">
        <v>2443</v>
      </c>
      <c r="G2884" s="2">
        <v>1550</v>
      </c>
      <c r="I2884" s="88">
        <f t="shared" si="171"/>
        <v>15844.880000000005</v>
      </c>
      <c r="L2884" s="2">
        <f t="shared" si="172"/>
        <v>6.2</v>
      </c>
    </row>
    <row r="2885" spans="1:12" x14ac:dyDescent="0.3">
      <c r="A2885" s="3">
        <v>45581</v>
      </c>
      <c r="B2885" s="11" t="s">
        <v>3541</v>
      </c>
      <c r="C2885" s="65" t="s">
        <v>3673</v>
      </c>
      <c r="G2885" s="2">
        <v>1000</v>
      </c>
      <c r="I2885" s="88">
        <f t="shared" si="171"/>
        <v>16844.880000000005</v>
      </c>
      <c r="L2885" s="2">
        <f t="shared" si="172"/>
        <v>4</v>
      </c>
    </row>
    <row r="2886" spans="1:12" x14ac:dyDescent="0.3">
      <c r="A2886" s="3">
        <v>45581</v>
      </c>
      <c r="B2886" s="11" t="s">
        <v>3148</v>
      </c>
      <c r="C2886" s="65" t="s">
        <v>5707</v>
      </c>
      <c r="H2886" s="2">
        <v>10000</v>
      </c>
      <c r="I2886" s="88">
        <f t="shared" si="171"/>
        <v>6844.8800000000047</v>
      </c>
      <c r="L2886" s="2">
        <f t="shared" si="172"/>
        <v>20</v>
      </c>
    </row>
    <row r="2887" spans="1:12" x14ac:dyDescent="0.3">
      <c r="A2887" s="3">
        <v>45581</v>
      </c>
      <c r="B2887" s="11" t="s">
        <v>3524</v>
      </c>
      <c r="C2887" s="65" t="s">
        <v>5724</v>
      </c>
      <c r="H2887" s="2">
        <v>5000</v>
      </c>
      <c r="I2887" s="88">
        <f t="shared" si="171"/>
        <v>1844.8800000000047</v>
      </c>
      <c r="L2887" s="2">
        <f t="shared" si="172"/>
        <v>20</v>
      </c>
    </row>
    <row r="2888" spans="1:12" x14ac:dyDescent="0.3">
      <c r="A2888" s="3">
        <v>45581</v>
      </c>
      <c r="B2888" s="11" t="s">
        <v>6227</v>
      </c>
      <c r="C2888" s="65" t="s">
        <v>6228</v>
      </c>
      <c r="E2888" s="90" t="s">
        <v>14</v>
      </c>
      <c r="H2888" s="2">
        <v>500</v>
      </c>
      <c r="I2888" s="88">
        <f t="shared" si="171"/>
        <v>1344.8800000000047</v>
      </c>
      <c r="L2888" s="2">
        <f t="shared" si="172"/>
        <v>27</v>
      </c>
    </row>
    <row r="2889" spans="1:12" x14ac:dyDescent="0.3">
      <c r="A2889" s="3">
        <v>45582</v>
      </c>
      <c r="B2889" s="11" t="s">
        <v>6231</v>
      </c>
      <c r="G2889" s="2">
        <v>1000</v>
      </c>
      <c r="I2889" s="88">
        <f t="shared" si="171"/>
        <v>2344.8800000000047</v>
      </c>
      <c r="L2889" s="2">
        <f t="shared" si="172"/>
        <v>4</v>
      </c>
    </row>
    <row r="2890" spans="1:12" x14ac:dyDescent="0.3">
      <c r="A2890" s="3">
        <v>45582</v>
      </c>
      <c r="B2890" s="11" t="s">
        <v>1160</v>
      </c>
      <c r="C2890" s="65" t="s">
        <v>5621</v>
      </c>
      <c r="G2890" s="2">
        <v>1000</v>
      </c>
      <c r="I2890" s="88">
        <f t="shared" si="171"/>
        <v>3344.8800000000047</v>
      </c>
      <c r="L2890" s="2">
        <f t="shared" si="172"/>
        <v>4</v>
      </c>
    </row>
    <row r="2891" spans="1:12" x14ac:dyDescent="0.3">
      <c r="A2891" s="3">
        <v>45582</v>
      </c>
      <c r="B2891" s="11" t="s">
        <v>6237</v>
      </c>
      <c r="C2891" s="65" t="s">
        <v>6238</v>
      </c>
      <c r="E2891" s="90" t="s">
        <v>14</v>
      </c>
      <c r="H2891" s="2">
        <v>500</v>
      </c>
      <c r="I2891" s="88">
        <f t="shared" si="171"/>
        <v>2844.8800000000047</v>
      </c>
      <c r="L2891" s="2">
        <f t="shared" si="172"/>
        <v>27</v>
      </c>
    </row>
    <row r="2892" spans="1:12" x14ac:dyDescent="0.3">
      <c r="A2892" s="3">
        <v>45582</v>
      </c>
      <c r="B2892" s="11" t="s">
        <v>3232</v>
      </c>
      <c r="C2892" s="65" t="s">
        <v>6241</v>
      </c>
      <c r="G2892" s="2">
        <v>2000</v>
      </c>
      <c r="I2892" s="88">
        <f t="shared" si="171"/>
        <v>4844.8800000000047</v>
      </c>
      <c r="L2892" s="2">
        <f t="shared" si="172"/>
        <v>8</v>
      </c>
    </row>
    <row r="2893" spans="1:12" x14ac:dyDescent="0.3">
      <c r="A2893" s="3">
        <v>45582</v>
      </c>
      <c r="B2893" s="11" t="s">
        <v>3232</v>
      </c>
      <c r="C2893" s="65" t="s">
        <v>6242</v>
      </c>
      <c r="G2893" s="2">
        <v>5000</v>
      </c>
      <c r="I2893" s="88">
        <f t="shared" si="171"/>
        <v>9844.8800000000047</v>
      </c>
      <c r="L2893" s="2">
        <f t="shared" si="172"/>
        <v>20</v>
      </c>
    </row>
    <row r="2894" spans="1:12" x14ac:dyDescent="0.3">
      <c r="A2894" s="3">
        <v>45582</v>
      </c>
      <c r="B2894" s="11" t="s">
        <v>2448</v>
      </c>
      <c r="C2894" s="65" t="s">
        <v>3605</v>
      </c>
      <c r="H2894" s="2">
        <v>7000</v>
      </c>
      <c r="I2894" s="88">
        <f t="shared" si="171"/>
        <v>2844.8800000000047</v>
      </c>
      <c r="L2894" s="2">
        <f t="shared" si="172"/>
        <v>20</v>
      </c>
    </row>
    <row r="2895" spans="1:12" x14ac:dyDescent="0.3">
      <c r="A2895" s="3">
        <v>45582</v>
      </c>
      <c r="B2895" s="11" t="s">
        <v>2416</v>
      </c>
      <c r="C2895" s="65" t="s">
        <v>6243</v>
      </c>
      <c r="D2895" s="50">
        <v>9798059221</v>
      </c>
      <c r="G2895" s="2">
        <v>5000</v>
      </c>
      <c r="I2895" s="88">
        <f t="shared" si="171"/>
        <v>7844.8800000000047</v>
      </c>
      <c r="L2895" s="2">
        <f t="shared" si="172"/>
        <v>20</v>
      </c>
    </row>
    <row r="2896" spans="1:12" x14ac:dyDescent="0.3">
      <c r="A2896" s="3">
        <v>45582</v>
      </c>
      <c r="B2896" s="11" t="s">
        <v>1160</v>
      </c>
      <c r="C2896" s="65" t="s">
        <v>6244</v>
      </c>
      <c r="D2896" s="50">
        <v>7061312520</v>
      </c>
      <c r="G2896" s="2">
        <v>5000</v>
      </c>
      <c r="I2896" s="88">
        <f t="shared" si="171"/>
        <v>12844.880000000005</v>
      </c>
      <c r="L2896" s="2">
        <f t="shared" si="172"/>
        <v>20</v>
      </c>
    </row>
    <row r="2897" spans="1:12" x14ac:dyDescent="0.3">
      <c r="A2897" s="3">
        <v>45583</v>
      </c>
      <c r="B2897" s="11" t="s">
        <v>2528</v>
      </c>
      <c r="C2897" s="65" t="s">
        <v>4207</v>
      </c>
      <c r="G2897" s="2">
        <v>5000</v>
      </c>
      <c r="I2897" s="88">
        <f t="shared" si="171"/>
        <v>17844.880000000005</v>
      </c>
      <c r="L2897" s="2">
        <f t="shared" si="172"/>
        <v>20</v>
      </c>
    </row>
    <row r="2898" spans="1:12" x14ac:dyDescent="0.3">
      <c r="A2898" s="3">
        <v>45583</v>
      </c>
      <c r="B2898" s="11" t="s">
        <v>3415</v>
      </c>
      <c r="C2898" s="65" t="s">
        <v>6246</v>
      </c>
      <c r="H2898" s="2">
        <v>10000</v>
      </c>
      <c r="I2898" s="88">
        <f t="shared" si="171"/>
        <v>7844.8800000000047</v>
      </c>
      <c r="L2898" s="2">
        <f t="shared" si="172"/>
        <v>20</v>
      </c>
    </row>
    <row r="2899" spans="1:12" x14ac:dyDescent="0.3">
      <c r="A2899" s="3">
        <v>45583</v>
      </c>
      <c r="B2899" s="11" t="s">
        <v>1472</v>
      </c>
      <c r="C2899" s="65" t="s">
        <v>6247</v>
      </c>
      <c r="D2899" s="50">
        <v>9771553978</v>
      </c>
      <c r="G2899" s="2">
        <v>10000</v>
      </c>
      <c r="I2899" s="88">
        <f t="shared" si="171"/>
        <v>17844.880000000005</v>
      </c>
      <c r="L2899" s="2">
        <f t="shared" si="172"/>
        <v>20</v>
      </c>
    </row>
    <row r="2900" spans="1:12" x14ac:dyDescent="0.3">
      <c r="A2900" s="3">
        <v>45583</v>
      </c>
      <c r="B2900" s="11" t="s">
        <v>6249</v>
      </c>
      <c r="C2900" s="65" t="s">
        <v>508</v>
      </c>
      <c r="E2900" s="90" t="s">
        <v>16</v>
      </c>
      <c r="H2900" s="2">
        <v>500</v>
      </c>
      <c r="I2900" s="88">
        <f t="shared" si="171"/>
        <v>17344.880000000005</v>
      </c>
      <c r="L2900" s="2">
        <f t="shared" si="172"/>
        <v>27</v>
      </c>
    </row>
    <row r="2901" spans="1:12" x14ac:dyDescent="0.3">
      <c r="A2901" s="3">
        <v>45583</v>
      </c>
      <c r="B2901" s="11" t="s">
        <v>6253</v>
      </c>
      <c r="C2901" s="65" t="s">
        <v>6254</v>
      </c>
      <c r="E2901" s="90" t="s">
        <v>16</v>
      </c>
      <c r="H2901" s="2">
        <v>100</v>
      </c>
      <c r="I2901" s="88">
        <f t="shared" si="171"/>
        <v>17244.880000000005</v>
      </c>
      <c r="L2901" s="2">
        <f t="shared" si="172"/>
        <v>25.4</v>
      </c>
    </row>
    <row r="2902" spans="1:12" x14ac:dyDescent="0.3">
      <c r="A2902" s="3">
        <v>45583</v>
      </c>
      <c r="B2902" s="11" t="s">
        <v>4297</v>
      </c>
      <c r="C2902" s="65" t="s">
        <v>2779</v>
      </c>
      <c r="H2902" s="2">
        <v>4000</v>
      </c>
      <c r="I2902" s="88">
        <f t="shared" si="171"/>
        <v>13244.880000000005</v>
      </c>
      <c r="L2902" s="2">
        <f t="shared" si="172"/>
        <v>16</v>
      </c>
    </row>
    <row r="2903" spans="1:12" x14ac:dyDescent="0.3">
      <c r="A2903" s="3">
        <v>45583</v>
      </c>
      <c r="B2903" s="11" t="s">
        <v>6260</v>
      </c>
      <c r="C2903" s="65" t="s">
        <v>6259</v>
      </c>
      <c r="H2903" s="2">
        <v>10000</v>
      </c>
      <c r="I2903" s="88">
        <f t="shared" si="171"/>
        <v>3244.8800000000047</v>
      </c>
      <c r="L2903" s="2">
        <f t="shared" si="172"/>
        <v>20</v>
      </c>
    </row>
    <row r="2904" spans="1:12" x14ac:dyDescent="0.3">
      <c r="A2904" s="3">
        <v>45583</v>
      </c>
      <c r="B2904" s="11" t="s">
        <v>6257</v>
      </c>
      <c r="C2904" s="65" t="s">
        <v>6258</v>
      </c>
      <c r="G2904" s="2">
        <v>1900</v>
      </c>
      <c r="I2904" s="88">
        <f t="shared" si="171"/>
        <v>5144.8800000000047</v>
      </c>
      <c r="L2904" s="2">
        <f t="shared" si="172"/>
        <v>7.6000000000000005</v>
      </c>
    </row>
    <row r="2905" spans="1:12" x14ac:dyDescent="0.3">
      <c r="A2905" s="3">
        <v>45583</v>
      </c>
      <c r="B2905" s="11" t="s">
        <v>1250</v>
      </c>
      <c r="C2905" s="65" t="s">
        <v>2248</v>
      </c>
      <c r="G2905" s="2">
        <v>1200</v>
      </c>
      <c r="I2905" s="88">
        <f t="shared" si="171"/>
        <v>6344.8800000000047</v>
      </c>
      <c r="L2905" s="2">
        <f t="shared" si="172"/>
        <v>4.8</v>
      </c>
    </row>
    <row r="2906" spans="1:12" x14ac:dyDescent="0.3">
      <c r="A2906" s="3">
        <v>45583</v>
      </c>
      <c r="B2906" s="11" t="s">
        <v>2338</v>
      </c>
      <c r="C2906" s="65" t="s">
        <v>1279</v>
      </c>
      <c r="H2906" s="2">
        <v>5000</v>
      </c>
      <c r="I2906" s="88">
        <f t="shared" si="171"/>
        <v>1344.8800000000047</v>
      </c>
      <c r="J2906">
        <v>944.88</v>
      </c>
      <c r="K2906" s="62"/>
      <c r="L2906" s="2">
        <f t="shared" si="172"/>
        <v>20</v>
      </c>
    </row>
    <row r="2907" spans="1:12" x14ac:dyDescent="0.3">
      <c r="A2907" s="3">
        <v>45583</v>
      </c>
      <c r="B2907" s="11" t="s">
        <v>6264</v>
      </c>
      <c r="C2907" s="65"/>
      <c r="G2907" s="2">
        <v>2000</v>
      </c>
      <c r="I2907" s="88">
        <f t="shared" si="171"/>
        <v>3344.8800000000047</v>
      </c>
      <c r="L2907" s="2">
        <f t="shared" si="172"/>
        <v>8</v>
      </c>
    </row>
    <row r="2908" spans="1:12" x14ac:dyDescent="0.3">
      <c r="A2908" s="3">
        <v>45586</v>
      </c>
      <c r="B2908" s="11" t="s">
        <v>1472</v>
      </c>
      <c r="C2908" s="65" t="s">
        <v>6266</v>
      </c>
      <c r="G2908" s="2">
        <v>3000</v>
      </c>
      <c r="I2908" s="88">
        <f t="shared" si="171"/>
        <v>6344.8800000000047</v>
      </c>
      <c r="L2908" s="2">
        <f t="shared" si="172"/>
        <v>12</v>
      </c>
    </row>
    <row r="2909" spans="1:12" x14ac:dyDescent="0.3">
      <c r="A2909" s="3">
        <v>45586</v>
      </c>
      <c r="B2909" s="11" t="s">
        <v>4081</v>
      </c>
      <c r="C2909" s="65" t="s">
        <v>6267</v>
      </c>
      <c r="H2909" s="2">
        <v>2000</v>
      </c>
      <c r="I2909" s="88">
        <f t="shared" si="171"/>
        <v>4344.8800000000047</v>
      </c>
      <c r="L2909" s="2">
        <f t="shared" si="172"/>
        <v>8</v>
      </c>
    </row>
    <row r="2910" spans="1:12" x14ac:dyDescent="0.3">
      <c r="A2910" s="3">
        <v>45586</v>
      </c>
      <c r="B2910" s="11" t="s">
        <v>6269</v>
      </c>
      <c r="C2910" s="65" t="s">
        <v>311</v>
      </c>
      <c r="E2910" s="90" t="s">
        <v>16</v>
      </c>
      <c r="H2910" s="2">
        <v>500</v>
      </c>
      <c r="I2910" s="88">
        <f t="shared" si="171"/>
        <v>3844.8800000000047</v>
      </c>
      <c r="L2910" s="2">
        <f t="shared" si="172"/>
        <v>27</v>
      </c>
    </row>
    <row r="2911" spans="1:12" x14ac:dyDescent="0.3">
      <c r="A2911" s="3">
        <v>45586</v>
      </c>
      <c r="B2911" s="11" t="s">
        <v>1250</v>
      </c>
      <c r="C2911" s="65" t="s">
        <v>3844</v>
      </c>
      <c r="G2911" s="2">
        <v>6000</v>
      </c>
      <c r="I2911" s="88">
        <f t="shared" si="171"/>
        <v>9844.8800000000047</v>
      </c>
      <c r="L2911" s="2">
        <f t="shared" si="172"/>
        <v>20</v>
      </c>
    </row>
    <row r="2912" spans="1:12" x14ac:dyDescent="0.3">
      <c r="A2912" s="3">
        <v>45586</v>
      </c>
      <c r="B2912" s="11" t="s">
        <v>4161</v>
      </c>
      <c r="C2912" s="65" t="s">
        <v>6272</v>
      </c>
      <c r="H2912" s="2">
        <v>6000</v>
      </c>
      <c r="I2912" s="88">
        <f t="shared" si="171"/>
        <v>3844.8800000000047</v>
      </c>
      <c r="L2912" s="2">
        <f t="shared" si="172"/>
        <v>20</v>
      </c>
    </row>
    <row r="2913" spans="1:12" x14ac:dyDescent="0.3">
      <c r="A2913" s="3">
        <v>45586</v>
      </c>
      <c r="B2913" s="11" t="s">
        <v>6264</v>
      </c>
      <c r="C2913" s="65" t="s">
        <v>6274</v>
      </c>
      <c r="G2913" s="2">
        <v>2500</v>
      </c>
      <c r="I2913" s="88">
        <f t="shared" si="171"/>
        <v>6344.8800000000047</v>
      </c>
      <c r="L2913" s="2">
        <f t="shared" si="172"/>
        <v>10</v>
      </c>
    </row>
    <row r="2914" spans="1:12" x14ac:dyDescent="0.3">
      <c r="A2914" s="3">
        <v>45586</v>
      </c>
      <c r="B2914" s="11" t="s">
        <v>5908</v>
      </c>
      <c r="C2914" s="65" t="s">
        <v>5909</v>
      </c>
      <c r="G2914" s="2">
        <v>2000</v>
      </c>
      <c r="I2914" s="88">
        <f t="shared" si="171"/>
        <v>8344.8800000000047</v>
      </c>
      <c r="L2914" s="2">
        <f t="shared" si="172"/>
        <v>8</v>
      </c>
    </row>
    <row r="2915" spans="1:12" x14ac:dyDescent="0.3">
      <c r="A2915" s="3">
        <v>45586</v>
      </c>
      <c r="B2915" s="11" t="s">
        <v>1250</v>
      </c>
      <c r="C2915" s="65" t="s">
        <v>6275</v>
      </c>
      <c r="G2915" s="2">
        <v>1600</v>
      </c>
      <c r="I2915" s="88">
        <f t="shared" si="171"/>
        <v>9944.8800000000047</v>
      </c>
      <c r="L2915" s="2">
        <f t="shared" si="172"/>
        <v>6.4</v>
      </c>
    </row>
    <row r="2916" spans="1:12" x14ac:dyDescent="0.3">
      <c r="A2916" s="3">
        <v>45587</v>
      </c>
      <c r="B2916" s="11" t="s">
        <v>6277</v>
      </c>
      <c r="C2916" s="65" t="s">
        <v>6278</v>
      </c>
      <c r="E2916" s="90" t="s">
        <v>16</v>
      </c>
      <c r="H2916" s="2">
        <v>200</v>
      </c>
      <c r="I2916" s="88">
        <f t="shared" si="171"/>
        <v>9744.8800000000047</v>
      </c>
      <c r="L2916" s="2">
        <f t="shared" si="172"/>
        <v>25.8</v>
      </c>
    </row>
    <row r="2917" spans="1:12" x14ac:dyDescent="0.3">
      <c r="A2917" s="3">
        <v>45587</v>
      </c>
      <c r="B2917" s="11" t="s">
        <v>6282</v>
      </c>
      <c r="C2917" s="65" t="s">
        <v>6283</v>
      </c>
      <c r="E2917" s="90" t="s">
        <v>16</v>
      </c>
      <c r="H2917" s="2">
        <v>500</v>
      </c>
      <c r="I2917" s="88">
        <f t="shared" si="171"/>
        <v>9244.8800000000047</v>
      </c>
      <c r="L2917" s="2">
        <f t="shared" si="172"/>
        <v>27</v>
      </c>
    </row>
    <row r="2918" spans="1:12" x14ac:dyDescent="0.3">
      <c r="A2918" s="3">
        <v>45587</v>
      </c>
      <c r="B2918" s="11" t="s">
        <v>6285</v>
      </c>
      <c r="C2918" s="51" t="s">
        <v>6286</v>
      </c>
      <c r="D2918" s="7"/>
      <c r="H2918" s="2">
        <v>2000</v>
      </c>
      <c r="I2918" s="88">
        <f t="shared" si="171"/>
        <v>7244.8800000000047</v>
      </c>
      <c r="L2918" s="2">
        <f t="shared" si="172"/>
        <v>8</v>
      </c>
    </row>
    <row r="2919" spans="1:12" x14ac:dyDescent="0.3">
      <c r="A2919" s="3">
        <v>45587</v>
      </c>
      <c r="B2919" s="11" t="s">
        <v>6287</v>
      </c>
      <c r="C2919" s="51" t="s">
        <v>6146</v>
      </c>
      <c r="D2919" s="7"/>
      <c r="G2919" s="2">
        <v>1000</v>
      </c>
      <c r="I2919" s="88">
        <f t="shared" si="171"/>
        <v>8244.8800000000047</v>
      </c>
      <c r="L2919" s="2">
        <f t="shared" si="172"/>
        <v>4</v>
      </c>
    </row>
    <row r="2920" spans="1:12" x14ac:dyDescent="0.3">
      <c r="A2920" s="3">
        <v>45587</v>
      </c>
      <c r="B2920" s="11" t="s">
        <v>6289</v>
      </c>
      <c r="C2920" s="51" t="s">
        <v>6288</v>
      </c>
      <c r="D2920" s="7"/>
      <c r="G2920" s="2">
        <v>1000</v>
      </c>
      <c r="I2920" s="88">
        <f t="shared" ref="I2920:I2978" si="173">I2919+G2920-H2920</f>
        <v>9244.8800000000047</v>
      </c>
      <c r="L2920" s="2">
        <f t="shared" si="172"/>
        <v>4</v>
      </c>
    </row>
    <row r="2921" spans="1:12" x14ac:dyDescent="0.3">
      <c r="A2921" s="3">
        <v>45587</v>
      </c>
      <c r="B2921" s="11" t="s">
        <v>2351</v>
      </c>
      <c r="C2921" s="65" t="s">
        <v>3514</v>
      </c>
      <c r="G2921" s="2">
        <v>400</v>
      </c>
      <c r="I2921" s="88">
        <f t="shared" si="173"/>
        <v>9644.8800000000047</v>
      </c>
      <c r="L2921" s="2">
        <f t="shared" si="172"/>
        <v>1.6</v>
      </c>
    </row>
    <row r="2922" spans="1:12" x14ac:dyDescent="0.3">
      <c r="A2922" s="3">
        <v>45588</v>
      </c>
      <c r="B2922" s="11" t="s">
        <v>5908</v>
      </c>
      <c r="C2922" s="51" t="s">
        <v>5909</v>
      </c>
      <c r="G2922" s="2">
        <v>1200</v>
      </c>
      <c r="I2922" s="88">
        <f t="shared" si="173"/>
        <v>10844.880000000005</v>
      </c>
      <c r="L2922" s="2">
        <f t="shared" si="172"/>
        <v>4.8</v>
      </c>
    </row>
    <row r="2923" spans="1:12" x14ac:dyDescent="0.3">
      <c r="A2923" s="3">
        <v>45588</v>
      </c>
      <c r="B2923" s="11" t="s">
        <v>6292</v>
      </c>
      <c r="C2923" s="65" t="s">
        <v>6295</v>
      </c>
      <c r="E2923" s="90" t="s">
        <v>16</v>
      </c>
      <c r="H2923" s="2">
        <v>500</v>
      </c>
      <c r="I2923" s="88">
        <f t="shared" si="173"/>
        <v>10344.880000000005</v>
      </c>
      <c r="L2923" s="2">
        <f t="shared" si="172"/>
        <v>27</v>
      </c>
    </row>
    <row r="2924" spans="1:12" x14ac:dyDescent="0.3">
      <c r="A2924" s="3">
        <v>45588</v>
      </c>
      <c r="B2924" s="11" t="s">
        <v>6298</v>
      </c>
      <c r="C2924" s="65" t="s">
        <v>6300</v>
      </c>
      <c r="E2924" s="90" t="s">
        <v>16</v>
      </c>
      <c r="H2924" s="2">
        <v>1000</v>
      </c>
      <c r="I2924" s="88">
        <f t="shared" si="173"/>
        <v>9344.8800000000047</v>
      </c>
      <c r="L2924" s="2">
        <f t="shared" si="172"/>
        <v>29</v>
      </c>
    </row>
    <row r="2925" spans="1:12" x14ac:dyDescent="0.3">
      <c r="A2925" s="3">
        <v>45588</v>
      </c>
      <c r="B2925" s="11" t="s">
        <v>6299</v>
      </c>
      <c r="C2925" s="65" t="s">
        <v>6305</v>
      </c>
      <c r="E2925" s="90" t="s">
        <v>16</v>
      </c>
      <c r="H2925" s="2">
        <v>100</v>
      </c>
      <c r="I2925" s="88">
        <f t="shared" si="173"/>
        <v>9244.8800000000047</v>
      </c>
      <c r="L2925" s="2">
        <f t="shared" si="172"/>
        <v>25.4</v>
      </c>
    </row>
    <row r="2926" spans="1:12" x14ac:dyDescent="0.3">
      <c r="A2926" s="3">
        <v>45588</v>
      </c>
      <c r="B2926" s="11" t="s">
        <v>3541</v>
      </c>
      <c r="C2926" s="65" t="s">
        <v>3673</v>
      </c>
      <c r="G2926" s="2">
        <v>1600</v>
      </c>
      <c r="I2926" s="88">
        <f t="shared" si="173"/>
        <v>10844.880000000005</v>
      </c>
      <c r="L2926" s="2">
        <f t="shared" si="172"/>
        <v>6.4</v>
      </c>
    </row>
    <row r="2927" spans="1:12" x14ac:dyDescent="0.3">
      <c r="A2927" s="3">
        <v>45588</v>
      </c>
      <c r="B2927" s="123" t="s">
        <v>6307</v>
      </c>
      <c r="C2927" s="65" t="s">
        <v>6308</v>
      </c>
      <c r="H2927" s="2">
        <v>2000</v>
      </c>
      <c r="I2927" s="88">
        <f t="shared" si="173"/>
        <v>8844.8800000000047</v>
      </c>
      <c r="L2927" s="2">
        <f t="shared" si="172"/>
        <v>8</v>
      </c>
    </row>
    <row r="2928" spans="1:12" x14ac:dyDescent="0.3">
      <c r="A2928" s="3">
        <v>45588</v>
      </c>
      <c r="B2928" s="11" t="s">
        <v>5716</v>
      </c>
      <c r="C2928" s="65" t="s">
        <v>3519</v>
      </c>
      <c r="G2928" s="2">
        <v>5000</v>
      </c>
      <c r="I2928" s="88">
        <f t="shared" si="173"/>
        <v>13844.880000000005</v>
      </c>
      <c r="L2928" s="2">
        <f t="shared" si="172"/>
        <v>20</v>
      </c>
    </row>
    <row r="2929" spans="1:12" x14ac:dyDescent="0.3">
      <c r="A2929" s="3">
        <v>45589</v>
      </c>
      <c r="B2929" s="11" t="s">
        <v>1250</v>
      </c>
      <c r="C2929" s="65" t="s">
        <v>1164</v>
      </c>
      <c r="H2929" s="2">
        <v>9500</v>
      </c>
      <c r="I2929" s="88">
        <f t="shared" si="173"/>
        <v>4344.8800000000047</v>
      </c>
      <c r="L2929" s="2">
        <f t="shared" si="172"/>
        <v>20</v>
      </c>
    </row>
    <row r="2930" spans="1:12" x14ac:dyDescent="0.3">
      <c r="A2930" s="3">
        <v>45589</v>
      </c>
      <c r="B2930" s="11" t="s">
        <v>3415</v>
      </c>
      <c r="C2930" s="65" t="s">
        <v>6310</v>
      </c>
      <c r="H2930" s="2">
        <v>1200</v>
      </c>
      <c r="I2930" s="88">
        <f t="shared" si="173"/>
        <v>3144.8800000000047</v>
      </c>
      <c r="L2930" s="2">
        <f t="shared" si="172"/>
        <v>4.8</v>
      </c>
    </row>
    <row r="2931" spans="1:12" x14ac:dyDescent="0.3">
      <c r="A2931" s="3">
        <v>45589</v>
      </c>
      <c r="B2931" s="11" t="s">
        <v>6313</v>
      </c>
      <c r="C2931" s="65" t="s">
        <v>6314</v>
      </c>
      <c r="E2931" s="90" t="s">
        <v>16</v>
      </c>
      <c r="H2931" s="4">
        <v>100</v>
      </c>
      <c r="I2931" s="88">
        <f t="shared" si="173"/>
        <v>3044.8800000000047</v>
      </c>
      <c r="L2931" s="2">
        <f t="shared" si="172"/>
        <v>25.4</v>
      </c>
    </row>
    <row r="2932" spans="1:12" x14ac:dyDescent="0.3">
      <c r="A2932" s="3">
        <v>45589</v>
      </c>
      <c r="B2932" s="11" t="s">
        <v>6317</v>
      </c>
      <c r="C2932" s="65" t="s">
        <v>6318</v>
      </c>
      <c r="E2932" s="90" t="s">
        <v>16</v>
      </c>
      <c r="H2932" s="4">
        <v>100</v>
      </c>
      <c r="I2932" s="88">
        <f t="shared" si="173"/>
        <v>2944.8800000000047</v>
      </c>
      <c r="L2932" s="2">
        <f t="shared" si="172"/>
        <v>25.4</v>
      </c>
    </row>
    <row r="2933" spans="1:12" x14ac:dyDescent="0.3">
      <c r="A2933" s="3">
        <v>45589</v>
      </c>
      <c r="B2933" s="123" t="s">
        <v>6321</v>
      </c>
      <c r="C2933" s="65" t="s">
        <v>6322</v>
      </c>
      <c r="E2933" s="90" t="s">
        <v>16</v>
      </c>
      <c r="H2933" s="4">
        <v>2000</v>
      </c>
      <c r="I2933" s="88">
        <f t="shared" si="173"/>
        <v>944.88000000000466</v>
      </c>
      <c r="L2933" s="2">
        <f t="shared" si="172"/>
        <v>33</v>
      </c>
    </row>
    <row r="2934" spans="1:12" x14ac:dyDescent="0.3">
      <c r="A2934" s="3">
        <v>45590</v>
      </c>
      <c r="B2934" s="11" t="s">
        <v>6324</v>
      </c>
      <c r="C2934" s="50" t="s">
        <v>6325</v>
      </c>
      <c r="G2934" s="2">
        <v>5000</v>
      </c>
      <c r="I2934" s="88">
        <f t="shared" si="173"/>
        <v>5944.8800000000047</v>
      </c>
      <c r="L2934" s="2">
        <f t="shared" si="172"/>
        <v>20</v>
      </c>
    </row>
    <row r="2935" spans="1:12" x14ac:dyDescent="0.3">
      <c r="A2935" s="3">
        <v>45590</v>
      </c>
      <c r="B2935" s="11" t="s">
        <v>1160</v>
      </c>
      <c r="C2935" s="50" t="s">
        <v>6326</v>
      </c>
      <c r="D2935" s="50" t="s">
        <v>6327</v>
      </c>
      <c r="G2935" s="2">
        <v>3000</v>
      </c>
      <c r="I2935" s="88">
        <f t="shared" si="173"/>
        <v>8944.8800000000047</v>
      </c>
      <c r="L2935" s="2">
        <f t="shared" si="172"/>
        <v>12</v>
      </c>
    </row>
    <row r="2936" spans="1:12" x14ac:dyDescent="0.3">
      <c r="A2936" s="3">
        <v>45590</v>
      </c>
      <c r="B2936" s="11" t="s">
        <v>3871</v>
      </c>
      <c r="C2936" s="65" t="s">
        <v>6261</v>
      </c>
      <c r="H2936" s="2">
        <v>1700</v>
      </c>
      <c r="I2936" s="88">
        <f t="shared" si="173"/>
        <v>7244.8800000000047</v>
      </c>
      <c r="L2936" s="2">
        <f t="shared" si="172"/>
        <v>6.8</v>
      </c>
    </row>
    <row r="2937" spans="1:12" x14ac:dyDescent="0.3">
      <c r="A2937" s="3">
        <v>45590</v>
      </c>
      <c r="B2937" s="11" t="s">
        <v>1472</v>
      </c>
      <c r="G2937" s="2">
        <v>5000</v>
      </c>
      <c r="I2937" s="88">
        <f t="shared" si="173"/>
        <v>12244.880000000005</v>
      </c>
      <c r="L2937" s="2">
        <f t="shared" si="172"/>
        <v>20</v>
      </c>
    </row>
    <row r="2938" spans="1:12" x14ac:dyDescent="0.3">
      <c r="A2938" s="3">
        <v>45590</v>
      </c>
      <c r="B2938" s="11" t="s">
        <v>6105</v>
      </c>
      <c r="C2938" s="65" t="s">
        <v>6328</v>
      </c>
      <c r="G2938" s="2">
        <v>1100</v>
      </c>
      <c r="I2938" s="88">
        <f t="shared" si="173"/>
        <v>13344.880000000005</v>
      </c>
      <c r="L2938" s="2">
        <f t="shared" si="172"/>
        <v>4.4000000000000004</v>
      </c>
    </row>
    <row r="2939" spans="1:12" x14ac:dyDescent="0.3">
      <c r="A2939" s="3">
        <v>45590</v>
      </c>
      <c r="B2939" s="11" t="s">
        <v>6260</v>
      </c>
      <c r="C2939" s="50" t="s">
        <v>6259</v>
      </c>
      <c r="H2939" s="2">
        <v>7500</v>
      </c>
      <c r="I2939" s="88">
        <f t="shared" si="173"/>
        <v>5844.8800000000047</v>
      </c>
      <c r="L2939" s="2">
        <f t="shared" si="172"/>
        <v>20</v>
      </c>
    </row>
    <row r="2940" spans="1:12" x14ac:dyDescent="0.3">
      <c r="A2940" s="3">
        <v>45590</v>
      </c>
      <c r="B2940" s="11" t="s">
        <v>6331</v>
      </c>
      <c r="C2940" s="65" t="s">
        <v>6334</v>
      </c>
      <c r="E2940" s="90" t="s">
        <v>16</v>
      </c>
      <c r="H2940" s="2">
        <v>100</v>
      </c>
      <c r="I2940" s="88">
        <f t="shared" si="173"/>
        <v>5744.8800000000047</v>
      </c>
      <c r="L2940" s="2">
        <f t="shared" si="172"/>
        <v>25.4</v>
      </c>
    </row>
    <row r="2941" spans="1:12" x14ac:dyDescent="0.3">
      <c r="A2941" s="3">
        <v>45590</v>
      </c>
      <c r="B2941" s="11" t="s">
        <v>6332</v>
      </c>
      <c r="C2941" s="65" t="s">
        <v>6333</v>
      </c>
      <c r="E2941" s="90" t="s">
        <v>16</v>
      </c>
      <c r="H2941" s="2">
        <v>100</v>
      </c>
      <c r="I2941" s="88">
        <f t="shared" si="173"/>
        <v>5644.8800000000047</v>
      </c>
      <c r="L2941" s="2">
        <f t="shared" si="172"/>
        <v>25.4</v>
      </c>
    </row>
    <row r="2942" spans="1:12" x14ac:dyDescent="0.3">
      <c r="A2942" s="3">
        <v>45590</v>
      </c>
      <c r="B2942" s="11" t="s">
        <v>6340</v>
      </c>
      <c r="C2942" s="65" t="s">
        <v>4366</v>
      </c>
      <c r="G2942" s="2">
        <v>2000</v>
      </c>
      <c r="I2942" s="88">
        <f t="shared" si="173"/>
        <v>7644.8800000000047</v>
      </c>
      <c r="L2942" s="2">
        <f t="shared" si="172"/>
        <v>8</v>
      </c>
    </row>
    <row r="2943" spans="1:12" x14ac:dyDescent="0.3">
      <c r="A2943" s="3">
        <v>45590</v>
      </c>
      <c r="B2943" s="11" t="s">
        <v>5115</v>
      </c>
      <c r="C2943" s="65" t="s">
        <v>6091</v>
      </c>
      <c r="H2943" s="2">
        <v>1800</v>
      </c>
      <c r="I2943" s="88">
        <f t="shared" si="173"/>
        <v>5844.8800000000047</v>
      </c>
      <c r="L2943" s="2">
        <f t="shared" si="172"/>
        <v>7.2</v>
      </c>
    </row>
    <row r="2944" spans="1:12" x14ac:dyDescent="0.3">
      <c r="A2944" s="3">
        <v>45591</v>
      </c>
      <c r="B2944" s="11" t="s">
        <v>2448</v>
      </c>
      <c r="C2944" s="65" t="s">
        <v>2274</v>
      </c>
      <c r="H2944" s="2">
        <v>5000</v>
      </c>
      <c r="I2944" s="88">
        <f t="shared" si="173"/>
        <v>844.88000000000466</v>
      </c>
      <c r="L2944" s="2">
        <f t="shared" si="172"/>
        <v>20</v>
      </c>
    </row>
    <row r="2945" spans="1:12" x14ac:dyDescent="0.3">
      <c r="A2945" s="3">
        <v>45592</v>
      </c>
      <c r="B2945" s="11" t="s">
        <v>6343</v>
      </c>
      <c r="C2945" s="65" t="s">
        <v>6344</v>
      </c>
      <c r="G2945" s="2">
        <v>10000</v>
      </c>
      <c r="I2945" s="88">
        <f t="shared" si="173"/>
        <v>10844.880000000005</v>
      </c>
      <c r="L2945" s="2">
        <f t="shared" si="172"/>
        <v>20</v>
      </c>
    </row>
    <row r="2946" spans="1:12" x14ac:dyDescent="0.3">
      <c r="A2946" s="3">
        <v>45592</v>
      </c>
      <c r="B2946" s="11" t="s">
        <v>2448</v>
      </c>
      <c r="C2946" s="65" t="s">
        <v>6342</v>
      </c>
      <c r="H2946" s="2">
        <v>6500</v>
      </c>
      <c r="I2946" s="88">
        <f t="shared" si="173"/>
        <v>4344.8800000000047</v>
      </c>
      <c r="L2946" s="2">
        <f t="shared" si="172"/>
        <v>20</v>
      </c>
    </row>
    <row r="2947" spans="1:12" x14ac:dyDescent="0.3">
      <c r="A2947" s="3">
        <v>45592</v>
      </c>
      <c r="B2947" s="11" t="s">
        <v>5355</v>
      </c>
      <c r="C2947" s="65" t="s">
        <v>5357</v>
      </c>
      <c r="G2947" s="2">
        <v>1000</v>
      </c>
      <c r="I2947" s="88">
        <f t="shared" si="173"/>
        <v>5344.8800000000047</v>
      </c>
      <c r="L2947" s="2">
        <f t="shared" si="172"/>
        <v>4</v>
      </c>
    </row>
    <row r="2948" spans="1:12" x14ac:dyDescent="0.3">
      <c r="A2948" s="3">
        <v>45592</v>
      </c>
      <c r="B2948" s="11" t="s">
        <v>4561</v>
      </c>
      <c r="C2948" s="65" t="s">
        <v>1647</v>
      </c>
      <c r="G2948" s="2">
        <v>2500</v>
      </c>
      <c r="I2948" s="88">
        <f t="shared" si="173"/>
        <v>7844.8800000000047</v>
      </c>
      <c r="L2948" s="2">
        <f t="shared" si="172"/>
        <v>10</v>
      </c>
    </row>
    <row r="2949" spans="1:12" x14ac:dyDescent="0.3">
      <c r="A2949" s="3">
        <v>45592</v>
      </c>
      <c r="B2949" s="11" t="s">
        <v>5415</v>
      </c>
      <c r="C2949" s="65" t="s">
        <v>6345</v>
      </c>
      <c r="G2949" s="2">
        <v>2000</v>
      </c>
      <c r="I2949" s="88">
        <f t="shared" si="173"/>
        <v>9844.8800000000047</v>
      </c>
      <c r="L2949" s="2">
        <f t="shared" si="172"/>
        <v>8</v>
      </c>
    </row>
    <row r="2950" spans="1:12" x14ac:dyDescent="0.3">
      <c r="A2950" s="3">
        <v>45592</v>
      </c>
      <c r="B2950" s="11" t="s">
        <v>5306</v>
      </c>
      <c r="C2950" s="65" t="s">
        <v>6346</v>
      </c>
      <c r="G2950" s="2">
        <v>1000</v>
      </c>
      <c r="I2950" s="88">
        <f t="shared" si="173"/>
        <v>10844.880000000005</v>
      </c>
      <c r="L2950" s="2">
        <f t="shared" si="172"/>
        <v>4</v>
      </c>
    </row>
    <row r="2951" spans="1:12" x14ac:dyDescent="0.3">
      <c r="A2951" s="3">
        <v>45593</v>
      </c>
      <c r="B2951" s="11" t="s">
        <v>6260</v>
      </c>
      <c r="C2951" s="65" t="s">
        <v>6259</v>
      </c>
      <c r="H2951" s="2">
        <v>7500</v>
      </c>
      <c r="I2951" s="88">
        <f t="shared" si="173"/>
        <v>3344.8800000000047</v>
      </c>
      <c r="L2951" s="2">
        <f t="shared" si="172"/>
        <v>20</v>
      </c>
    </row>
    <row r="2952" spans="1:12" x14ac:dyDescent="0.3">
      <c r="A2952" s="3">
        <v>45593</v>
      </c>
      <c r="B2952" s="11" t="s">
        <v>2241</v>
      </c>
      <c r="C2952" s="65" t="s">
        <v>6347</v>
      </c>
      <c r="G2952" s="2">
        <v>2000</v>
      </c>
      <c r="I2952" s="88">
        <f t="shared" si="173"/>
        <v>5344.8800000000047</v>
      </c>
      <c r="L2952" s="2">
        <f t="shared" si="172"/>
        <v>8</v>
      </c>
    </row>
    <row r="2953" spans="1:12" x14ac:dyDescent="0.3">
      <c r="A2953" s="3">
        <v>45593</v>
      </c>
      <c r="B2953" s="11" t="s">
        <v>6351</v>
      </c>
      <c r="C2953" s="65" t="s">
        <v>1250</v>
      </c>
      <c r="H2953" s="2">
        <v>5000</v>
      </c>
      <c r="I2953" s="88">
        <f t="shared" si="173"/>
        <v>344.88000000000466</v>
      </c>
      <c r="L2953" s="2">
        <f t="shared" si="172"/>
        <v>20</v>
      </c>
    </row>
    <row r="2954" spans="1:12" x14ac:dyDescent="0.3">
      <c r="A2954" s="3">
        <v>45593</v>
      </c>
      <c r="B2954" s="11" t="s">
        <v>1160</v>
      </c>
      <c r="C2954" s="65" t="s">
        <v>4343</v>
      </c>
      <c r="G2954" s="2">
        <v>2000</v>
      </c>
      <c r="I2954" s="88">
        <f t="shared" si="173"/>
        <v>2344.8800000000047</v>
      </c>
      <c r="L2954" s="2">
        <f t="shared" si="172"/>
        <v>8</v>
      </c>
    </row>
    <row r="2955" spans="1:12" x14ac:dyDescent="0.3">
      <c r="A2955" s="3">
        <v>45593</v>
      </c>
      <c r="B2955" s="11" t="s">
        <v>6343</v>
      </c>
      <c r="C2955" s="65" t="s">
        <v>6344</v>
      </c>
      <c r="G2955" s="2">
        <v>7000</v>
      </c>
      <c r="I2955" s="88">
        <f t="shared" si="173"/>
        <v>9344.8800000000047</v>
      </c>
      <c r="L2955" s="2">
        <f t="shared" si="172"/>
        <v>20</v>
      </c>
    </row>
    <row r="2956" spans="1:12" x14ac:dyDescent="0.3">
      <c r="A2956" s="3">
        <v>45593</v>
      </c>
      <c r="B2956" s="11" t="s">
        <v>4754</v>
      </c>
      <c r="C2956" s="65" t="s">
        <v>193</v>
      </c>
      <c r="G2956" s="2">
        <v>5000</v>
      </c>
      <c r="I2956" s="88">
        <f t="shared" si="173"/>
        <v>14344.880000000005</v>
      </c>
      <c r="L2956" s="2">
        <f t="shared" si="172"/>
        <v>20</v>
      </c>
    </row>
    <row r="2957" spans="1:12" x14ac:dyDescent="0.3">
      <c r="A2957" s="3">
        <v>45594</v>
      </c>
      <c r="B2957" s="11" t="s">
        <v>6353</v>
      </c>
      <c r="C2957" s="65" t="s">
        <v>405</v>
      </c>
      <c r="H2957" s="2">
        <v>6000</v>
      </c>
      <c r="I2957" s="88">
        <f t="shared" si="173"/>
        <v>8344.8800000000047</v>
      </c>
      <c r="L2957" s="2">
        <f t="shared" si="172"/>
        <v>20</v>
      </c>
    </row>
    <row r="2958" spans="1:12" x14ac:dyDescent="0.3">
      <c r="A2958" s="3">
        <v>45594</v>
      </c>
      <c r="B2958" s="11" t="s">
        <v>1250</v>
      </c>
      <c r="C2958" s="65" t="s">
        <v>6153</v>
      </c>
      <c r="G2958" s="2">
        <v>500</v>
      </c>
      <c r="I2958" s="88">
        <f t="shared" si="173"/>
        <v>8844.8800000000047</v>
      </c>
      <c r="L2958" s="2">
        <f t="shared" si="172"/>
        <v>2</v>
      </c>
    </row>
    <row r="2959" spans="1:12" x14ac:dyDescent="0.3">
      <c r="A2959" s="3">
        <v>45594</v>
      </c>
      <c r="B2959" s="11" t="s">
        <v>1250</v>
      </c>
      <c r="C2959" s="65" t="s">
        <v>6325</v>
      </c>
      <c r="G2959" s="2">
        <v>1000</v>
      </c>
      <c r="I2959" s="88">
        <f t="shared" si="173"/>
        <v>9844.8800000000047</v>
      </c>
      <c r="L2959" s="2">
        <f t="shared" si="172"/>
        <v>4</v>
      </c>
    </row>
    <row r="2960" spans="1:12" x14ac:dyDescent="0.3">
      <c r="A2960" s="3">
        <v>45594</v>
      </c>
      <c r="B2960" s="11" t="s">
        <v>1160</v>
      </c>
      <c r="C2960" s="65" t="s">
        <v>3513</v>
      </c>
      <c r="G2960" s="2">
        <v>600</v>
      </c>
      <c r="I2960" s="88">
        <f t="shared" si="173"/>
        <v>10444.880000000005</v>
      </c>
      <c r="L2960" s="2">
        <f t="shared" si="172"/>
        <v>2.4</v>
      </c>
    </row>
    <row r="2961" spans="1:12" x14ac:dyDescent="0.3">
      <c r="A2961" s="3">
        <v>45594</v>
      </c>
      <c r="B2961" s="11" t="s">
        <v>1250</v>
      </c>
      <c r="C2961" s="65" t="s">
        <v>3401</v>
      </c>
      <c r="G2961" s="2">
        <v>2000</v>
      </c>
      <c r="I2961" s="88">
        <f t="shared" si="173"/>
        <v>12444.880000000005</v>
      </c>
      <c r="L2961" s="2">
        <f t="shared" si="172"/>
        <v>8</v>
      </c>
    </row>
    <row r="2962" spans="1:12" x14ac:dyDescent="0.3">
      <c r="A2962" s="3">
        <v>45594</v>
      </c>
      <c r="B2962" s="11" t="s">
        <v>4752</v>
      </c>
      <c r="C2962" s="65" t="s">
        <v>6354</v>
      </c>
      <c r="G2962" s="2">
        <v>500</v>
      </c>
      <c r="I2962" s="88">
        <f t="shared" si="173"/>
        <v>12944.880000000005</v>
      </c>
      <c r="L2962" s="2">
        <f t="shared" si="172"/>
        <v>2</v>
      </c>
    </row>
    <row r="2963" spans="1:12" x14ac:dyDescent="0.3">
      <c r="A2963" s="3">
        <v>45594</v>
      </c>
      <c r="B2963" s="11" t="s">
        <v>6355</v>
      </c>
      <c r="C2963" s="65" t="s">
        <v>220</v>
      </c>
      <c r="G2963" s="2">
        <v>2000</v>
      </c>
      <c r="I2963" s="88">
        <f t="shared" si="173"/>
        <v>14944.880000000005</v>
      </c>
      <c r="L2963" s="2">
        <f t="shared" si="172"/>
        <v>8</v>
      </c>
    </row>
    <row r="2964" spans="1:12" x14ac:dyDescent="0.3">
      <c r="A2964" s="3">
        <v>45594</v>
      </c>
      <c r="B2964" s="11" t="s">
        <v>2351</v>
      </c>
      <c r="C2964" s="65" t="s">
        <v>6356</v>
      </c>
      <c r="G2964" s="2">
        <v>2000</v>
      </c>
      <c r="I2964" s="88">
        <f t="shared" si="173"/>
        <v>16944.880000000005</v>
      </c>
      <c r="L2964" s="2">
        <f t="shared" si="172"/>
        <v>8</v>
      </c>
    </row>
    <row r="2965" spans="1:12" x14ac:dyDescent="0.3">
      <c r="A2965" s="3">
        <v>45595</v>
      </c>
      <c r="B2965" s="11" t="s">
        <v>6359</v>
      </c>
      <c r="C2965" s="65" t="s">
        <v>6360</v>
      </c>
      <c r="E2965" s="90" t="s">
        <v>16</v>
      </c>
      <c r="H2965" s="2">
        <v>200</v>
      </c>
      <c r="I2965" s="88">
        <f t="shared" si="173"/>
        <v>16744.880000000005</v>
      </c>
      <c r="L2965" s="2">
        <f t="shared" si="172"/>
        <v>25.8</v>
      </c>
    </row>
    <row r="2966" spans="1:12" x14ac:dyDescent="0.3">
      <c r="A2966" s="3">
        <v>45595</v>
      </c>
      <c r="B2966" s="11" t="s">
        <v>6353</v>
      </c>
      <c r="C2966" s="65" t="s">
        <v>405</v>
      </c>
      <c r="H2966" s="2">
        <v>6000</v>
      </c>
      <c r="I2966" s="88">
        <f t="shared" si="173"/>
        <v>10744.880000000005</v>
      </c>
      <c r="L2966" s="2">
        <f t="shared" si="172"/>
        <v>20</v>
      </c>
    </row>
    <row r="2967" spans="1:12" x14ac:dyDescent="0.3">
      <c r="A2967" s="3">
        <v>45595</v>
      </c>
      <c r="C2967" s="65" t="s">
        <v>6366</v>
      </c>
      <c r="E2967" s="90" t="s">
        <v>14</v>
      </c>
      <c r="H2967" s="2">
        <v>2000</v>
      </c>
      <c r="I2967" s="88">
        <f t="shared" si="173"/>
        <v>8744.8800000000047</v>
      </c>
      <c r="L2967" s="2">
        <f t="shared" si="172"/>
        <v>33</v>
      </c>
    </row>
    <row r="2968" spans="1:12" x14ac:dyDescent="0.3">
      <c r="A2968" s="3">
        <v>45595</v>
      </c>
      <c r="B2968" s="11" t="s">
        <v>2634</v>
      </c>
      <c r="C2968" s="65" t="s">
        <v>6364</v>
      </c>
      <c r="H2968" s="2">
        <v>2000</v>
      </c>
      <c r="I2968" s="88">
        <f t="shared" si="173"/>
        <v>6744.8800000000047</v>
      </c>
      <c r="L2968" s="2">
        <f t="shared" si="172"/>
        <v>8</v>
      </c>
    </row>
    <row r="2969" spans="1:12" x14ac:dyDescent="0.3">
      <c r="A2969" s="3">
        <v>45595</v>
      </c>
      <c r="B2969" s="123" t="s">
        <v>4680</v>
      </c>
      <c r="C2969" s="65" t="s">
        <v>4681</v>
      </c>
      <c r="G2969" s="2">
        <v>1000</v>
      </c>
      <c r="I2969" s="88">
        <f t="shared" si="173"/>
        <v>7744.8800000000047</v>
      </c>
      <c r="L2969" s="2">
        <f t="shared" si="172"/>
        <v>4</v>
      </c>
    </row>
    <row r="2970" spans="1:12" x14ac:dyDescent="0.3">
      <c r="A2970" s="3">
        <v>45595</v>
      </c>
      <c r="C2970" s="65" t="s">
        <v>2443</v>
      </c>
      <c r="G2970" s="2">
        <v>300</v>
      </c>
      <c r="I2970" s="88">
        <f t="shared" si="173"/>
        <v>8044.8800000000047</v>
      </c>
      <c r="L2970" s="2">
        <f t="shared" si="172"/>
        <v>1.2</v>
      </c>
    </row>
    <row r="2971" spans="1:12" x14ac:dyDescent="0.3">
      <c r="A2971" s="3">
        <v>45595</v>
      </c>
      <c r="B2971" s="11" t="s">
        <v>4754</v>
      </c>
      <c r="C2971" s="65" t="s">
        <v>6367</v>
      </c>
      <c r="G2971" s="2">
        <v>9500</v>
      </c>
      <c r="I2971" s="88">
        <f t="shared" si="173"/>
        <v>17544.880000000005</v>
      </c>
      <c r="L2971" s="2">
        <f t="shared" si="172"/>
        <v>20</v>
      </c>
    </row>
    <row r="2972" spans="1:12" x14ac:dyDescent="0.3">
      <c r="A2972" s="3">
        <v>45595</v>
      </c>
      <c r="B2972" s="11" t="s">
        <v>5908</v>
      </c>
      <c r="C2972" s="65" t="s">
        <v>5909</v>
      </c>
      <c r="G2972" s="2">
        <v>2200</v>
      </c>
      <c r="I2972" s="88">
        <f t="shared" si="173"/>
        <v>19744.880000000005</v>
      </c>
      <c r="L2972" s="2">
        <f t="shared" si="172"/>
        <v>8.8000000000000007</v>
      </c>
    </row>
    <row r="2973" spans="1:12" x14ac:dyDescent="0.3">
      <c r="A2973" s="3">
        <v>45595</v>
      </c>
      <c r="B2973" s="11" t="s">
        <v>6369</v>
      </c>
      <c r="C2973" s="65" t="s">
        <v>6370</v>
      </c>
      <c r="E2973" s="90" t="s">
        <v>16</v>
      </c>
      <c r="H2973" s="2">
        <v>200</v>
      </c>
      <c r="I2973" s="88">
        <f t="shared" si="173"/>
        <v>19544.880000000005</v>
      </c>
      <c r="L2973" s="2">
        <f t="shared" si="172"/>
        <v>25.8</v>
      </c>
    </row>
    <row r="2974" spans="1:12" x14ac:dyDescent="0.3">
      <c r="A2974" s="3">
        <v>45595</v>
      </c>
      <c r="B2974" s="11" t="s">
        <v>6374</v>
      </c>
      <c r="C2974" s="65" t="s">
        <v>6376</v>
      </c>
      <c r="E2974" s="90" t="s">
        <v>16</v>
      </c>
      <c r="H2974" s="2">
        <v>1000</v>
      </c>
      <c r="I2974" s="88">
        <f t="shared" si="173"/>
        <v>18544.880000000005</v>
      </c>
      <c r="L2974" s="2">
        <f t="shared" si="172"/>
        <v>29</v>
      </c>
    </row>
    <row r="2975" spans="1:12" x14ac:dyDescent="0.3">
      <c r="A2975" s="3">
        <v>45596</v>
      </c>
      <c r="B2975" s="11" t="s">
        <v>6260</v>
      </c>
      <c r="C2975" s="65" t="s">
        <v>6259</v>
      </c>
      <c r="H2975" s="2">
        <v>4500</v>
      </c>
      <c r="I2975" s="88">
        <f t="shared" si="173"/>
        <v>14044.880000000005</v>
      </c>
      <c r="L2975" s="2">
        <f t="shared" si="172"/>
        <v>18</v>
      </c>
    </row>
    <row r="2976" spans="1:12" x14ac:dyDescent="0.3">
      <c r="A2976" s="3">
        <v>45596</v>
      </c>
      <c r="B2976" s="11" t="s">
        <v>1250</v>
      </c>
      <c r="C2976" s="65" t="s">
        <v>2443</v>
      </c>
      <c r="G2976" s="2">
        <v>1000</v>
      </c>
      <c r="I2976" s="88">
        <f t="shared" si="173"/>
        <v>15044.880000000005</v>
      </c>
      <c r="L2976" s="2">
        <f t="shared" si="172"/>
        <v>4</v>
      </c>
    </row>
    <row r="2977" spans="1:12" x14ac:dyDescent="0.3">
      <c r="A2977" s="3">
        <v>45596</v>
      </c>
      <c r="B2977" s="11" t="s">
        <v>2271</v>
      </c>
      <c r="C2977" s="65" t="s">
        <v>5963</v>
      </c>
      <c r="G2977" s="2">
        <v>700</v>
      </c>
      <c r="I2977" s="88">
        <f t="shared" si="173"/>
        <v>15744.880000000005</v>
      </c>
      <c r="L2977" s="2">
        <f t="shared" si="172"/>
        <v>2.8000000000000003</v>
      </c>
    </row>
    <row r="2978" spans="1:12" x14ac:dyDescent="0.3">
      <c r="A2978" s="3">
        <v>45596</v>
      </c>
      <c r="B2978" s="11" t="s">
        <v>1250</v>
      </c>
      <c r="C2978" s="65" t="s">
        <v>5721</v>
      </c>
      <c r="G2978" s="2">
        <v>4000</v>
      </c>
      <c r="I2978" s="88">
        <f t="shared" si="173"/>
        <v>19744.880000000005</v>
      </c>
      <c r="L2978" s="2">
        <f t="shared" si="172"/>
        <v>16</v>
      </c>
    </row>
    <row r="2979" spans="1:12" x14ac:dyDescent="0.3">
      <c r="A2979" s="77">
        <f>COUNT(A2784:A2978)</f>
        <v>195</v>
      </c>
      <c r="B2979" s="80"/>
      <c r="C2979" s="112"/>
      <c r="D2979" s="112"/>
      <c r="E2979" s="92">
        <f>COUNTIF(E2784:E2978,"Y")</f>
        <v>53</v>
      </c>
      <c r="F2979" s="80">
        <f>SUM(F2632:F2978)</f>
        <v>0</v>
      </c>
      <c r="G2979" s="121">
        <f>SUM(G2784:G2978)</f>
        <v>290494.88</v>
      </c>
      <c r="H2979" s="121">
        <f>SUM(H2784:H2978)</f>
        <v>270750</v>
      </c>
      <c r="I2979" s="122">
        <f>G2979+H2979</f>
        <v>561244.88</v>
      </c>
      <c r="J2979" s="121">
        <f>SUM(J2784:J2978)</f>
        <v>944.88</v>
      </c>
      <c r="K2979" s="121">
        <f>SUM(K2784:K2978)</f>
        <v>0</v>
      </c>
      <c r="L2979" s="121">
        <f>SUM(L2785:L2978)</f>
        <v>2973.800000000002</v>
      </c>
    </row>
    <row r="2981" spans="1:12" x14ac:dyDescent="0.3">
      <c r="A2981" s="3">
        <v>45597</v>
      </c>
      <c r="C2981" s="65" t="s">
        <v>2832</v>
      </c>
      <c r="G2981" s="88">
        <f>I2978</f>
        <v>19744.880000000005</v>
      </c>
      <c r="I2981" s="88">
        <f t="shared" ref="I2981:I3087" si="174">I2980+G2981-H2981</f>
        <v>19744.880000000005</v>
      </c>
    </row>
    <row r="2982" spans="1:12" x14ac:dyDescent="0.3">
      <c r="A2982" s="3">
        <v>45597</v>
      </c>
      <c r="B2982" s="11" t="s">
        <v>2271</v>
      </c>
      <c r="C2982" s="65" t="s">
        <v>6378</v>
      </c>
      <c r="G2982" s="88">
        <v>500</v>
      </c>
      <c r="H2982" s="88"/>
      <c r="I2982" s="88">
        <f t="shared" si="174"/>
        <v>20244.880000000005</v>
      </c>
      <c r="L2982" s="2">
        <f t="shared" ref="L2982:L3241" si="175">IF((G2982+H2982)&lt;=5000,(H2982+G2982)*0.004,20)+IF(E2982="Y",25,0)</f>
        <v>2</v>
      </c>
    </row>
    <row r="2983" spans="1:12" x14ac:dyDescent="0.3">
      <c r="A2983" s="3">
        <v>45597</v>
      </c>
      <c r="B2983" s="11" t="s">
        <v>4005</v>
      </c>
      <c r="C2983" s="65" t="s">
        <v>4006</v>
      </c>
      <c r="G2983" s="88">
        <v>2000</v>
      </c>
      <c r="H2983" s="88"/>
      <c r="I2983" s="88">
        <f t="shared" si="174"/>
        <v>22244.880000000005</v>
      </c>
      <c r="L2983" s="2">
        <f t="shared" si="175"/>
        <v>8</v>
      </c>
    </row>
    <row r="2984" spans="1:12" x14ac:dyDescent="0.3">
      <c r="A2984" s="3">
        <v>45597</v>
      </c>
      <c r="B2984" s="11" t="s">
        <v>5042</v>
      </c>
      <c r="C2984" s="65" t="s">
        <v>6379</v>
      </c>
      <c r="G2984" s="88">
        <v>800</v>
      </c>
      <c r="H2984" s="88"/>
      <c r="I2984" s="88">
        <f t="shared" si="174"/>
        <v>23044.880000000005</v>
      </c>
      <c r="L2984" s="2">
        <f t="shared" si="175"/>
        <v>3.2</v>
      </c>
    </row>
    <row r="2985" spans="1:12" x14ac:dyDescent="0.3">
      <c r="A2985" s="3">
        <v>45597</v>
      </c>
      <c r="B2985" s="11" t="s">
        <v>1250</v>
      </c>
      <c r="C2985" s="65" t="s">
        <v>3658</v>
      </c>
      <c r="G2985" s="88">
        <v>2000</v>
      </c>
      <c r="H2985" s="88"/>
      <c r="I2985" s="88">
        <f t="shared" si="174"/>
        <v>25044.880000000005</v>
      </c>
      <c r="L2985" s="2">
        <f t="shared" si="175"/>
        <v>8</v>
      </c>
    </row>
    <row r="2986" spans="1:12" x14ac:dyDescent="0.3">
      <c r="A2986" s="3">
        <v>45597</v>
      </c>
      <c r="B2986" s="11" t="s">
        <v>6380</v>
      </c>
      <c r="C2986" s="65" t="s">
        <v>6381</v>
      </c>
      <c r="G2986" s="88"/>
      <c r="H2986" s="88">
        <v>7000</v>
      </c>
      <c r="I2986" s="88">
        <f t="shared" si="174"/>
        <v>18044.880000000005</v>
      </c>
      <c r="L2986" s="2">
        <f t="shared" si="175"/>
        <v>20</v>
      </c>
    </row>
    <row r="2987" spans="1:12" x14ac:dyDescent="0.3">
      <c r="A2987" s="3">
        <v>45597</v>
      </c>
      <c r="B2987" s="11" t="s">
        <v>6382</v>
      </c>
      <c r="C2987" s="65" t="s">
        <v>6383</v>
      </c>
      <c r="G2987" s="88"/>
      <c r="H2987" s="88">
        <v>8000</v>
      </c>
      <c r="I2987" s="88">
        <f t="shared" si="174"/>
        <v>10044.880000000005</v>
      </c>
      <c r="L2987" s="2">
        <f t="shared" si="175"/>
        <v>20</v>
      </c>
    </row>
    <row r="2988" spans="1:12" x14ac:dyDescent="0.3">
      <c r="A2988" s="3">
        <v>45597</v>
      </c>
      <c r="B2988" s="11" t="s">
        <v>6384</v>
      </c>
      <c r="C2988" s="65" t="s">
        <v>6385</v>
      </c>
      <c r="G2988" s="88"/>
      <c r="H2988" s="88">
        <v>5600</v>
      </c>
      <c r="I2988" s="88">
        <f t="shared" si="174"/>
        <v>4444.8800000000047</v>
      </c>
      <c r="L2988" s="2">
        <f t="shared" si="175"/>
        <v>20</v>
      </c>
    </row>
    <row r="2989" spans="1:12" x14ac:dyDescent="0.3">
      <c r="A2989" s="3">
        <v>45597</v>
      </c>
      <c r="B2989" s="11" t="s">
        <v>3541</v>
      </c>
      <c r="C2989" s="65" t="s">
        <v>3673</v>
      </c>
      <c r="G2989" s="88">
        <v>1450</v>
      </c>
      <c r="H2989" s="88"/>
      <c r="I2989" s="88">
        <f t="shared" si="174"/>
        <v>5894.8800000000047</v>
      </c>
      <c r="L2989" s="2">
        <f t="shared" si="175"/>
        <v>5.8</v>
      </c>
    </row>
    <row r="2990" spans="1:12" x14ac:dyDescent="0.3">
      <c r="A2990" s="3">
        <v>45598</v>
      </c>
      <c r="B2990" s="11" t="s">
        <v>1160</v>
      </c>
      <c r="C2990" s="65" t="s">
        <v>3701</v>
      </c>
      <c r="G2990" s="88">
        <v>100</v>
      </c>
      <c r="H2990" s="88"/>
      <c r="I2990" s="88">
        <f t="shared" si="174"/>
        <v>5994.8800000000047</v>
      </c>
      <c r="L2990" s="2">
        <f t="shared" si="175"/>
        <v>0.4</v>
      </c>
    </row>
    <row r="2991" spans="1:12" x14ac:dyDescent="0.3">
      <c r="A2991" s="3">
        <v>45598</v>
      </c>
      <c r="B2991" s="11" t="s">
        <v>4072</v>
      </c>
      <c r="C2991" s="65" t="s">
        <v>3370</v>
      </c>
      <c r="G2991" s="88">
        <v>6500</v>
      </c>
      <c r="H2991" s="88"/>
      <c r="I2991" s="88">
        <f t="shared" si="174"/>
        <v>12494.880000000005</v>
      </c>
      <c r="L2991" s="2">
        <f t="shared" si="175"/>
        <v>20</v>
      </c>
    </row>
    <row r="2992" spans="1:12" x14ac:dyDescent="0.3">
      <c r="A2992" s="3">
        <v>45598</v>
      </c>
      <c r="B2992" s="11" t="s">
        <v>6260</v>
      </c>
      <c r="C2992" s="65" t="s">
        <v>6259</v>
      </c>
      <c r="G2992" s="88"/>
      <c r="H2992" s="88">
        <v>7500</v>
      </c>
      <c r="I2992" s="88">
        <f t="shared" si="174"/>
        <v>4994.8800000000047</v>
      </c>
      <c r="J2992">
        <v>5144</v>
      </c>
      <c r="K2992" s="62">
        <f>I2992-J2992</f>
        <v>-149.11999999999534</v>
      </c>
      <c r="L2992" s="2">
        <f t="shared" si="175"/>
        <v>20</v>
      </c>
    </row>
    <row r="2993" spans="1:12" x14ac:dyDescent="0.3">
      <c r="A2993" s="3">
        <v>45599</v>
      </c>
      <c r="B2993" s="11" t="s">
        <v>6388</v>
      </c>
      <c r="C2993" s="65" t="s">
        <v>6389</v>
      </c>
      <c r="E2993" s="90" t="s">
        <v>16</v>
      </c>
      <c r="G2993" s="88"/>
      <c r="H2993" s="88">
        <v>500</v>
      </c>
      <c r="I2993" s="88">
        <f t="shared" si="174"/>
        <v>4494.8800000000047</v>
      </c>
      <c r="L2993" s="2">
        <f t="shared" si="175"/>
        <v>27</v>
      </c>
    </row>
    <row r="2994" spans="1:12" s="7" customFormat="1" x14ac:dyDescent="0.3">
      <c r="A2994" s="124">
        <v>45599</v>
      </c>
      <c r="B2994" s="123" t="s">
        <v>6393</v>
      </c>
      <c r="C2994" s="65" t="s">
        <v>6392</v>
      </c>
      <c r="D2994" s="65"/>
      <c r="E2994" s="101" t="s">
        <v>16</v>
      </c>
      <c r="F2994" s="9"/>
      <c r="G2994" s="125"/>
      <c r="H2994" s="125">
        <v>2500</v>
      </c>
      <c r="I2994" s="88">
        <f t="shared" si="174"/>
        <v>1994.8800000000047</v>
      </c>
      <c r="L2994" s="54">
        <f t="shared" si="175"/>
        <v>35</v>
      </c>
    </row>
    <row r="2995" spans="1:12" x14ac:dyDescent="0.3">
      <c r="A2995" s="3">
        <v>45599</v>
      </c>
      <c r="B2995" s="11" t="s">
        <v>1250</v>
      </c>
      <c r="C2995" s="65" t="s">
        <v>2443</v>
      </c>
      <c r="G2995" s="88">
        <v>1750</v>
      </c>
      <c r="H2995" s="88"/>
      <c r="I2995" s="88">
        <f t="shared" si="174"/>
        <v>3744.8800000000047</v>
      </c>
      <c r="L2995" s="2">
        <f t="shared" si="175"/>
        <v>7</v>
      </c>
    </row>
    <row r="2996" spans="1:12" x14ac:dyDescent="0.3">
      <c r="A2996" s="3">
        <v>45599</v>
      </c>
      <c r="B2996" s="11" t="s">
        <v>1250</v>
      </c>
      <c r="C2996" s="65" t="s">
        <v>3658</v>
      </c>
      <c r="G2996" s="88">
        <v>3000</v>
      </c>
      <c r="H2996" s="88"/>
      <c r="I2996" s="88">
        <f t="shared" si="174"/>
        <v>6744.8800000000047</v>
      </c>
      <c r="L2996" s="2">
        <f t="shared" si="175"/>
        <v>12</v>
      </c>
    </row>
    <row r="2997" spans="1:12" x14ac:dyDescent="0.3">
      <c r="A2997" s="3">
        <v>45599</v>
      </c>
      <c r="B2997" s="11" t="s">
        <v>1160</v>
      </c>
      <c r="C2997" s="65" t="s">
        <v>6396</v>
      </c>
      <c r="G2997" s="2">
        <v>500</v>
      </c>
      <c r="I2997" s="88">
        <f t="shared" si="174"/>
        <v>7244.8800000000047</v>
      </c>
      <c r="L2997" s="2">
        <f t="shared" si="175"/>
        <v>2</v>
      </c>
    </row>
    <row r="2998" spans="1:12" x14ac:dyDescent="0.3">
      <c r="A2998" s="3">
        <v>45599</v>
      </c>
      <c r="B2998" s="11" t="s">
        <v>6397</v>
      </c>
      <c r="C2998" s="65" t="s">
        <v>6259</v>
      </c>
      <c r="H2998" s="2">
        <v>5000</v>
      </c>
      <c r="I2998" s="88">
        <f t="shared" si="174"/>
        <v>2244.8800000000047</v>
      </c>
      <c r="L2998" s="2">
        <f t="shared" si="175"/>
        <v>20</v>
      </c>
    </row>
    <row r="2999" spans="1:12" x14ac:dyDescent="0.3">
      <c r="A2999" s="3">
        <v>45600</v>
      </c>
      <c r="B2999" s="11" t="s">
        <v>6398</v>
      </c>
      <c r="C2999" s="65" t="s">
        <v>6399</v>
      </c>
      <c r="E2999" s="90" t="s">
        <v>14</v>
      </c>
      <c r="H2999" s="2">
        <v>100</v>
      </c>
      <c r="I2999" s="88">
        <f t="shared" si="174"/>
        <v>2144.8800000000047</v>
      </c>
      <c r="L2999" s="2">
        <f t="shared" si="175"/>
        <v>25.4</v>
      </c>
    </row>
    <row r="3000" spans="1:12" x14ac:dyDescent="0.3">
      <c r="A3000" s="3">
        <v>45600</v>
      </c>
      <c r="B3000" s="11" t="s">
        <v>1472</v>
      </c>
      <c r="C3000" s="65" t="s">
        <v>6402</v>
      </c>
      <c r="G3000" s="2">
        <v>200</v>
      </c>
      <c r="I3000" s="88">
        <f t="shared" si="174"/>
        <v>2344.8800000000047</v>
      </c>
      <c r="L3000" s="2">
        <f t="shared" si="175"/>
        <v>0.8</v>
      </c>
    </row>
    <row r="3001" spans="1:12" x14ac:dyDescent="0.3">
      <c r="A3001" s="3">
        <v>45600</v>
      </c>
      <c r="B3001" s="11" t="s">
        <v>2761</v>
      </c>
      <c r="C3001" s="65" t="s">
        <v>5717</v>
      </c>
      <c r="G3001" s="2">
        <v>2000</v>
      </c>
      <c r="I3001" s="88">
        <f t="shared" si="174"/>
        <v>4344.8800000000047</v>
      </c>
      <c r="L3001" s="2">
        <f t="shared" si="175"/>
        <v>8</v>
      </c>
    </row>
    <row r="3002" spans="1:12" x14ac:dyDescent="0.3">
      <c r="A3002" s="3">
        <v>45600</v>
      </c>
      <c r="B3002" s="11" t="s">
        <v>1250</v>
      </c>
      <c r="C3002" s="65" t="s">
        <v>2443</v>
      </c>
      <c r="G3002" s="2">
        <v>2300</v>
      </c>
      <c r="I3002" s="88">
        <f t="shared" si="174"/>
        <v>6644.8800000000047</v>
      </c>
      <c r="L3002" s="2">
        <f t="shared" si="175"/>
        <v>9.2000000000000011</v>
      </c>
    </row>
    <row r="3003" spans="1:12" x14ac:dyDescent="0.3">
      <c r="A3003" s="3">
        <v>45601</v>
      </c>
      <c r="B3003" s="11" t="s">
        <v>6397</v>
      </c>
      <c r="C3003" s="65" t="s">
        <v>6259</v>
      </c>
      <c r="H3003" s="2">
        <v>6000</v>
      </c>
      <c r="I3003" s="88">
        <f t="shared" si="174"/>
        <v>644.88000000000466</v>
      </c>
      <c r="L3003" s="2">
        <f t="shared" si="175"/>
        <v>20</v>
      </c>
    </row>
    <row r="3004" spans="1:12" x14ac:dyDescent="0.3">
      <c r="A3004" s="3">
        <v>45601</v>
      </c>
      <c r="B3004" s="11" t="s">
        <v>5686</v>
      </c>
      <c r="C3004" s="65" t="s">
        <v>6404</v>
      </c>
      <c r="G3004" s="2">
        <v>3100</v>
      </c>
      <c r="I3004" s="88">
        <f t="shared" si="174"/>
        <v>3744.8800000000047</v>
      </c>
      <c r="L3004" s="2">
        <f t="shared" si="175"/>
        <v>12.4</v>
      </c>
    </row>
    <row r="3005" spans="1:12" x14ac:dyDescent="0.3">
      <c r="A3005" s="3">
        <v>45601</v>
      </c>
      <c r="B3005" s="11" t="s">
        <v>3148</v>
      </c>
      <c r="C3005" s="65" t="s">
        <v>6405</v>
      </c>
      <c r="G3005" s="2">
        <v>4000</v>
      </c>
      <c r="I3005" s="88">
        <f t="shared" si="174"/>
        <v>7744.8800000000047</v>
      </c>
      <c r="L3005" s="2">
        <f t="shared" si="175"/>
        <v>16</v>
      </c>
    </row>
    <row r="3006" spans="1:12" x14ac:dyDescent="0.3">
      <c r="A3006" s="3">
        <v>45601</v>
      </c>
      <c r="B3006" s="11" t="s">
        <v>3915</v>
      </c>
      <c r="C3006" s="65" t="s">
        <v>4085</v>
      </c>
      <c r="G3006" s="2">
        <v>2000</v>
      </c>
      <c r="I3006" s="88">
        <f t="shared" si="174"/>
        <v>9744.8800000000047</v>
      </c>
      <c r="L3006" s="2">
        <f t="shared" si="175"/>
        <v>8</v>
      </c>
    </row>
    <row r="3007" spans="1:12" x14ac:dyDescent="0.3">
      <c r="A3007" s="3">
        <v>45601</v>
      </c>
      <c r="B3007" s="11" t="s">
        <v>2448</v>
      </c>
      <c r="C3007" s="65" t="s">
        <v>2274</v>
      </c>
      <c r="H3007" s="2">
        <v>5000</v>
      </c>
      <c r="I3007" s="88">
        <f t="shared" si="174"/>
        <v>4744.8800000000047</v>
      </c>
      <c r="L3007" s="2">
        <f t="shared" si="175"/>
        <v>20</v>
      </c>
    </row>
    <row r="3008" spans="1:12" x14ac:dyDescent="0.3">
      <c r="A3008" s="3">
        <v>45601</v>
      </c>
      <c r="B3008" s="11" t="s">
        <v>2351</v>
      </c>
      <c r="C3008" s="65" t="s">
        <v>6407</v>
      </c>
      <c r="G3008" s="2">
        <v>5800</v>
      </c>
      <c r="I3008" s="88">
        <f t="shared" si="174"/>
        <v>10544.880000000005</v>
      </c>
      <c r="L3008" s="2">
        <f t="shared" si="175"/>
        <v>20</v>
      </c>
    </row>
    <row r="3009" spans="1:12" x14ac:dyDescent="0.3">
      <c r="A3009" s="3">
        <v>45602</v>
      </c>
      <c r="B3009" s="11" t="s">
        <v>1160</v>
      </c>
      <c r="C3009" s="65" t="s">
        <v>6326</v>
      </c>
      <c r="G3009" s="2">
        <v>5000</v>
      </c>
      <c r="I3009" s="88">
        <f t="shared" si="174"/>
        <v>15544.880000000005</v>
      </c>
      <c r="L3009" s="2">
        <f t="shared" si="175"/>
        <v>20</v>
      </c>
    </row>
    <row r="3010" spans="1:12" x14ac:dyDescent="0.3">
      <c r="A3010" s="3">
        <v>45602</v>
      </c>
      <c r="B3010" s="11" t="s">
        <v>6409</v>
      </c>
      <c r="C3010" s="65" t="s">
        <v>6410</v>
      </c>
      <c r="E3010" s="90" t="s">
        <v>16</v>
      </c>
      <c r="H3010" s="2">
        <v>200</v>
      </c>
      <c r="I3010" s="88">
        <f t="shared" si="174"/>
        <v>15344.880000000005</v>
      </c>
      <c r="L3010" s="2">
        <f t="shared" si="175"/>
        <v>25.8</v>
      </c>
    </row>
    <row r="3011" spans="1:12" x14ac:dyDescent="0.3">
      <c r="A3011" s="3">
        <v>45602</v>
      </c>
      <c r="B3011" s="11" t="s">
        <v>6414</v>
      </c>
      <c r="C3011" s="65" t="s">
        <v>5873</v>
      </c>
      <c r="E3011" s="90" t="s">
        <v>14</v>
      </c>
      <c r="H3011" s="2">
        <v>500</v>
      </c>
      <c r="I3011" s="88">
        <f t="shared" si="174"/>
        <v>14844.880000000005</v>
      </c>
      <c r="L3011" s="2">
        <f t="shared" si="175"/>
        <v>27</v>
      </c>
    </row>
    <row r="3012" spans="1:12" x14ac:dyDescent="0.3">
      <c r="A3012" s="3">
        <v>45602</v>
      </c>
      <c r="B3012" s="11" t="s">
        <v>2448</v>
      </c>
      <c r="C3012" s="65" t="s">
        <v>2274</v>
      </c>
      <c r="H3012" s="2">
        <v>5000</v>
      </c>
      <c r="I3012" s="88">
        <f t="shared" si="174"/>
        <v>9844.8800000000047</v>
      </c>
      <c r="L3012" s="2">
        <f t="shared" si="175"/>
        <v>20</v>
      </c>
    </row>
    <row r="3013" spans="1:12" x14ac:dyDescent="0.3">
      <c r="A3013" s="3">
        <v>45602</v>
      </c>
      <c r="B3013" s="11" t="s">
        <v>1250</v>
      </c>
      <c r="C3013" s="65" t="s">
        <v>6417</v>
      </c>
      <c r="H3013" s="2">
        <v>1000</v>
      </c>
      <c r="I3013" s="88">
        <f t="shared" si="174"/>
        <v>8844.8800000000047</v>
      </c>
      <c r="L3013" s="2">
        <f t="shared" si="175"/>
        <v>4</v>
      </c>
    </row>
    <row r="3014" spans="1:12" x14ac:dyDescent="0.3">
      <c r="A3014" s="3">
        <v>45602</v>
      </c>
      <c r="B3014" s="11" t="s">
        <v>1250</v>
      </c>
      <c r="C3014" s="65" t="s">
        <v>6419</v>
      </c>
      <c r="H3014" s="2">
        <v>7000</v>
      </c>
      <c r="I3014" s="88">
        <f t="shared" si="174"/>
        <v>1844.8800000000047</v>
      </c>
      <c r="L3014" s="2">
        <f t="shared" si="175"/>
        <v>20</v>
      </c>
    </row>
    <row r="3015" spans="1:12" x14ac:dyDescent="0.3">
      <c r="A3015" s="3">
        <v>45602</v>
      </c>
      <c r="B3015" s="11" t="s">
        <v>1160</v>
      </c>
      <c r="C3015" s="65" t="s">
        <v>6418</v>
      </c>
      <c r="G3015" s="2">
        <v>1200</v>
      </c>
      <c r="I3015" s="88">
        <f t="shared" si="174"/>
        <v>3044.8800000000047</v>
      </c>
      <c r="L3015" s="2">
        <f t="shared" si="175"/>
        <v>4.8</v>
      </c>
    </row>
    <row r="3016" spans="1:12" x14ac:dyDescent="0.3">
      <c r="A3016" s="3">
        <v>45602</v>
      </c>
      <c r="B3016" s="11" t="s">
        <v>1160</v>
      </c>
      <c r="C3016" s="65" t="s">
        <v>6420</v>
      </c>
      <c r="D3016" s="50">
        <v>7004201136</v>
      </c>
      <c r="G3016" s="2">
        <v>6000</v>
      </c>
      <c r="I3016" s="88">
        <f t="shared" si="174"/>
        <v>9044.8800000000047</v>
      </c>
      <c r="L3016" s="2">
        <f t="shared" si="175"/>
        <v>20</v>
      </c>
    </row>
    <row r="3017" spans="1:12" x14ac:dyDescent="0.3">
      <c r="A3017" s="3">
        <v>45602</v>
      </c>
      <c r="B3017" s="11" t="s">
        <v>6260</v>
      </c>
      <c r="C3017" s="65" t="s">
        <v>6259</v>
      </c>
      <c r="H3017" s="2">
        <v>5500</v>
      </c>
      <c r="I3017" s="88">
        <f t="shared" si="174"/>
        <v>3544.8800000000047</v>
      </c>
      <c r="L3017" s="2">
        <f t="shared" si="175"/>
        <v>20</v>
      </c>
    </row>
    <row r="3018" spans="1:12" x14ac:dyDescent="0.3">
      <c r="A3018" s="3">
        <v>45602</v>
      </c>
      <c r="B3018" s="11" t="s">
        <v>6422</v>
      </c>
      <c r="C3018" s="65" t="s">
        <v>6423</v>
      </c>
      <c r="G3018" s="2">
        <v>2050</v>
      </c>
      <c r="I3018" s="88">
        <f t="shared" si="174"/>
        <v>5594.8800000000047</v>
      </c>
      <c r="L3018" s="2">
        <f t="shared" si="175"/>
        <v>8.1999999999999993</v>
      </c>
    </row>
    <row r="3019" spans="1:12" x14ac:dyDescent="0.3">
      <c r="A3019" s="3">
        <v>45603</v>
      </c>
      <c r="B3019" s="11" t="s">
        <v>1250</v>
      </c>
      <c r="C3019" s="65" t="s">
        <v>6405</v>
      </c>
      <c r="G3019" s="2">
        <v>10000</v>
      </c>
      <c r="I3019" s="88">
        <f t="shared" si="174"/>
        <v>15594.880000000005</v>
      </c>
      <c r="L3019" s="2">
        <f t="shared" si="175"/>
        <v>20</v>
      </c>
    </row>
    <row r="3020" spans="1:12" x14ac:dyDescent="0.3">
      <c r="A3020" s="3">
        <v>45603</v>
      </c>
      <c r="B3020" s="11" t="s">
        <v>1250</v>
      </c>
      <c r="C3020" s="65" t="s">
        <v>4852</v>
      </c>
      <c r="G3020" s="2">
        <v>1000</v>
      </c>
      <c r="I3020" s="88">
        <f t="shared" si="174"/>
        <v>16594.880000000005</v>
      </c>
      <c r="L3020" s="2">
        <f t="shared" si="175"/>
        <v>4</v>
      </c>
    </row>
    <row r="3021" spans="1:12" x14ac:dyDescent="0.3">
      <c r="A3021" s="3">
        <v>45603</v>
      </c>
      <c r="B3021" s="11" t="s">
        <v>1160</v>
      </c>
      <c r="C3021" s="65" t="s">
        <v>6424</v>
      </c>
      <c r="G3021" s="2">
        <v>2000</v>
      </c>
      <c r="I3021" s="88">
        <f t="shared" si="174"/>
        <v>18594.880000000005</v>
      </c>
      <c r="L3021" s="2">
        <f t="shared" si="175"/>
        <v>8</v>
      </c>
    </row>
    <row r="3022" spans="1:12" x14ac:dyDescent="0.3">
      <c r="A3022" s="3">
        <v>45603</v>
      </c>
      <c r="B3022" s="11" t="s">
        <v>3148</v>
      </c>
      <c r="C3022" s="65" t="s">
        <v>2443</v>
      </c>
      <c r="G3022" s="2">
        <v>1150</v>
      </c>
      <c r="I3022" s="88">
        <f t="shared" si="174"/>
        <v>19744.880000000005</v>
      </c>
      <c r="L3022" s="2">
        <f t="shared" si="175"/>
        <v>4.6000000000000005</v>
      </c>
    </row>
    <row r="3023" spans="1:12" x14ac:dyDescent="0.3">
      <c r="A3023" s="3">
        <v>45604</v>
      </c>
      <c r="B3023" s="11" t="s">
        <v>4576</v>
      </c>
      <c r="C3023" s="65" t="s">
        <v>6425</v>
      </c>
      <c r="G3023" s="2">
        <v>500</v>
      </c>
      <c r="I3023" s="88">
        <f t="shared" si="174"/>
        <v>20244.880000000005</v>
      </c>
      <c r="L3023" s="2">
        <f t="shared" si="175"/>
        <v>2</v>
      </c>
    </row>
    <row r="3024" spans="1:12" x14ac:dyDescent="0.3">
      <c r="A3024" s="3">
        <v>45604</v>
      </c>
      <c r="B3024" s="11" t="s">
        <v>1250</v>
      </c>
      <c r="C3024" s="65" t="s">
        <v>3844</v>
      </c>
      <c r="G3024" s="2">
        <v>6000</v>
      </c>
      <c r="I3024" s="88">
        <f t="shared" si="174"/>
        <v>26244.880000000005</v>
      </c>
      <c r="L3024" s="2">
        <f t="shared" si="175"/>
        <v>20</v>
      </c>
    </row>
    <row r="3025" spans="1:12" x14ac:dyDescent="0.3">
      <c r="A3025" s="3">
        <v>45604</v>
      </c>
      <c r="B3025" s="11" t="s">
        <v>1250</v>
      </c>
      <c r="C3025" s="65" t="s">
        <v>6426</v>
      </c>
      <c r="H3025" s="2">
        <v>6000</v>
      </c>
      <c r="I3025" s="88">
        <f t="shared" si="174"/>
        <v>20244.880000000005</v>
      </c>
      <c r="L3025" s="2">
        <f t="shared" si="175"/>
        <v>20</v>
      </c>
    </row>
    <row r="3026" spans="1:12" x14ac:dyDescent="0.3">
      <c r="A3026" s="3">
        <v>45604</v>
      </c>
      <c r="B3026" s="11" t="s">
        <v>2448</v>
      </c>
      <c r="C3026" s="65" t="s">
        <v>2274</v>
      </c>
      <c r="H3026" s="2">
        <v>7500</v>
      </c>
      <c r="I3026" s="88">
        <f t="shared" si="174"/>
        <v>12744.880000000005</v>
      </c>
      <c r="L3026" s="2">
        <f t="shared" si="175"/>
        <v>20</v>
      </c>
    </row>
    <row r="3027" spans="1:12" x14ac:dyDescent="0.3">
      <c r="A3027" s="3">
        <v>45604</v>
      </c>
      <c r="B3027" s="11" t="s">
        <v>6428</v>
      </c>
      <c r="C3027" s="65" t="s">
        <v>6429</v>
      </c>
      <c r="E3027" s="90" t="s">
        <v>14</v>
      </c>
      <c r="H3027" s="2">
        <v>100</v>
      </c>
      <c r="I3027" s="88">
        <f t="shared" si="174"/>
        <v>12644.880000000005</v>
      </c>
      <c r="L3027" s="2">
        <f t="shared" si="175"/>
        <v>25.4</v>
      </c>
    </row>
    <row r="3028" spans="1:12" x14ac:dyDescent="0.3">
      <c r="A3028" s="3">
        <v>45604</v>
      </c>
      <c r="C3028" s="65"/>
      <c r="H3028" s="2">
        <v>1000</v>
      </c>
      <c r="I3028" s="88">
        <f t="shared" si="174"/>
        <v>11644.880000000005</v>
      </c>
    </row>
    <row r="3029" spans="1:12" x14ac:dyDescent="0.3">
      <c r="A3029" s="3">
        <v>45604</v>
      </c>
      <c r="B3029" s="11" t="s">
        <v>5123</v>
      </c>
      <c r="C3029" s="65" t="s">
        <v>5124</v>
      </c>
      <c r="G3029" s="2">
        <v>3750</v>
      </c>
      <c r="I3029" s="88">
        <f t="shared" si="174"/>
        <v>15394.880000000005</v>
      </c>
      <c r="L3029" s="2">
        <f t="shared" si="175"/>
        <v>15</v>
      </c>
    </row>
    <row r="3030" spans="1:12" x14ac:dyDescent="0.3">
      <c r="A3030" s="3">
        <v>45604</v>
      </c>
      <c r="B3030" s="11" t="s">
        <v>1250</v>
      </c>
      <c r="C3030" s="65" t="s">
        <v>6423</v>
      </c>
      <c r="G3030" s="2">
        <v>900</v>
      </c>
      <c r="I3030" s="88">
        <f t="shared" si="174"/>
        <v>16294.880000000005</v>
      </c>
      <c r="L3030" s="2">
        <f t="shared" si="175"/>
        <v>3.6</v>
      </c>
    </row>
    <row r="3031" spans="1:12" x14ac:dyDescent="0.3">
      <c r="A3031" s="3">
        <v>45604</v>
      </c>
      <c r="B3031" s="11" t="s">
        <v>1250</v>
      </c>
      <c r="C3031" s="65" t="s">
        <v>2443</v>
      </c>
      <c r="G3031" s="2">
        <v>3250</v>
      </c>
      <c r="I3031" s="88">
        <f t="shared" si="174"/>
        <v>19544.880000000005</v>
      </c>
      <c r="L3031" s="2">
        <f t="shared" si="175"/>
        <v>13</v>
      </c>
    </row>
    <row r="3032" spans="1:12" x14ac:dyDescent="0.3">
      <c r="A3032" s="3">
        <v>45604</v>
      </c>
      <c r="B3032" s="11" t="s">
        <v>1250</v>
      </c>
      <c r="C3032" s="65" t="s">
        <v>5522</v>
      </c>
      <c r="H3032" s="2">
        <v>5000</v>
      </c>
      <c r="I3032" s="88">
        <f t="shared" si="174"/>
        <v>14544.880000000005</v>
      </c>
      <c r="L3032" s="2">
        <f t="shared" si="175"/>
        <v>20</v>
      </c>
    </row>
    <row r="3033" spans="1:12" x14ac:dyDescent="0.3">
      <c r="A3033" s="3">
        <v>45604</v>
      </c>
      <c r="B3033" s="11" t="s">
        <v>6434</v>
      </c>
      <c r="C3033" s="65" t="s">
        <v>6259</v>
      </c>
      <c r="H3033" s="2">
        <v>4000</v>
      </c>
      <c r="I3033" s="88">
        <f t="shared" si="174"/>
        <v>10544.880000000005</v>
      </c>
      <c r="L3033" s="2">
        <f t="shared" si="175"/>
        <v>16</v>
      </c>
    </row>
    <row r="3034" spans="1:12" x14ac:dyDescent="0.3">
      <c r="A3034" s="3">
        <v>45607</v>
      </c>
      <c r="B3034" s="11" t="s">
        <v>6434</v>
      </c>
      <c r="C3034" s="65" t="s">
        <v>6259</v>
      </c>
      <c r="H3034" s="2">
        <v>6000</v>
      </c>
      <c r="I3034" s="88">
        <f t="shared" si="174"/>
        <v>4544.8800000000047</v>
      </c>
      <c r="L3034" s="2">
        <f t="shared" si="175"/>
        <v>20</v>
      </c>
    </row>
    <row r="3035" spans="1:12" x14ac:dyDescent="0.3">
      <c r="A3035" s="3">
        <v>45607</v>
      </c>
      <c r="B3035" s="11" t="s">
        <v>5042</v>
      </c>
      <c r="C3035" s="65" t="s">
        <v>5040</v>
      </c>
      <c r="G3035" s="2">
        <v>1500</v>
      </c>
      <c r="I3035" s="88">
        <f t="shared" si="174"/>
        <v>6044.8800000000047</v>
      </c>
      <c r="L3035" s="2">
        <f t="shared" si="175"/>
        <v>6</v>
      </c>
    </row>
    <row r="3036" spans="1:12" x14ac:dyDescent="0.3">
      <c r="A3036" s="3">
        <v>45607</v>
      </c>
      <c r="B3036" s="11" t="s">
        <v>1250</v>
      </c>
      <c r="C3036" s="65" t="s">
        <v>3077</v>
      </c>
      <c r="G3036" s="2">
        <v>400</v>
      </c>
      <c r="I3036" s="88">
        <f t="shared" si="174"/>
        <v>6444.8800000000047</v>
      </c>
      <c r="L3036" s="2">
        <f t="shared" si="175"/>
        <v>1.6</v>
      </c>
    </row>
    <row r="3037" spans="1:12" x14ac:dyDescent="0.3">
      <c r="A3037" s="3">
        <v>45607</v>
      </c>
      <c r="B3037" s="11" t="s">
        <v>1250</v>
      </c>
      <c r="C3037" s="65" t="s">
        <v>6435</v>
      </c>
      <c r="G3037" s="2">
        <v>400</v>
      </c>
      <c r="I3037" s="88">
        <f t="shared" si="174"/>
        <v>6844.8800000000047</v>
      </c>
      <c r="L3037" s="2">
        <f t="shared" si="175"/>
        <v>1.6</v>
      </c>
    </row>
    <row r="3038" spans="1:12" x14ac:dyDescent="0.3">
      <c r="A3038" s="3">
        <v>45607</v>
      </c>
      <c r="B3038" s="11" t="s">
        <v>1250</v>
      </c>
      <c r="C3038" s="65" t="s">
        <v>2348</v>
      </c>
      <c r="G3038" s="2">
        <v>4000</v>
      </c>
      <c r="I3038" s="88">
        <f t="shared" si="174"/>
        <v>10844.880000000005</v>
      </c>
      <c r="L3038" s="2">
        <f t="shared" si="175"/>
        <v>16</v>
      </c>
    </row>
    <row r="3039" spans="1:12" x14ac:dyDescent="0.3">
      <c r="A3039" s="3">
        <v>45607</v>
      </c>
      <c r="B3039" s="11" t="s">
        <v>2528</v>
      </c>
      <c r="C3039" s="65" t="s">
        <v>6436</v>
      </c>
      <c r="G3039" s="2">
        <v>4000</v>
      </c>
      <c r="I3039" s="88">
        <f t="shared" si="174"/>
        <v>14844.880000000005</v>
      </c>
      <c r="L3039" s="2">
        <f t="shared" si="175"/>
        <v>16</v>
      </c>
    </row>
    <row r="3040" spans="1:12" x14ac:dyDescent="0.3">
      <c r="A3040" s="3">
        <v>45607</v>
      </c>
      <c r="B3040" s="11" t="s">
        <v>6438</v>
      </c>
      <c r="C3040" s="65" t="s">
        <v>6439</v>
      </c>
      <c r="E3040" s="90" t="s">
        <v>16</v>
      </c>
      <c r="H3040" s="2">
        <v>100</v>
      </c>
      <c r="I3040" s="88">
        <f t="shared" si="174"/>
        <v>14744.880000000005</v>
      </c>
      <c r="L3040" s="2">
        <f t="shared" si="175"/>
        <v>25.4</v>
      </c>
    </row>
    <row r="3041" spans="1:12" x14ac:dyDescent="0.3">
      <c r="A3041" s="3">
        <v>45607</v>
      </c>
      <c r="C3041" s="65" t="s">
        <v>2443</v>
      </c>
      <c r="G3041" s="2">
        <v>3700</v>
      </c>
      <c r="I3041" s="88">
        <f t="shared" si="174"/>
        <v>18444.880000000005</v>
      </c>
      <c r="L3041" s="2">
        <f t="shared" si="175"/>
        <v>14.8</v>
      </c>
    </row>
    <row r="3042" spans="1:12" s="7" customFormat="1" x14ac:dyDescent="0.3">
      <c r="A3042" s="124">
        <v>45607</v>
      </c>
      <c r="B3042" s="129" t="s">
        <v>6441</v>
      </c>
      <c r="C3042" s="159" t="s">
        <v>6451</v>
      </c>
      <c r="D3042" s="65"/>
      <c r="E3042" s="101" t="s">
        <v>14</v>
      </c>
      <c r="F3042" s="9"/>
      <c r="G3042" s="54"/>
      <c r="H3042" s="54">
        <v>2000</v>
      </c>
      <c r="I3042" s="88">
        <f t="shared" si="174"/>
        <v>16444.880000000005</v>
      </c>
      <c r="L3042" s="54">
        <f t="shared" si="175"/>
        <v>33</v>
      </c>
    </row>
    <row r="3043" spans="1:12" x14ac:dyDescent="0.3">
      <c r="A3043" s="3">
        <v>45607</v>
      </c>
      <c r="B3043" s="11" t="s">
        <v>6444</v>
      </c>
      <c r="C3043" s="65" t="s">
        <v>6445</v>
      </c>
      <c r="E3043" s="90" t="s">
        <v>14</v>
      </c>
      <c r="H3043" s="2">
        <v>200</v>
      </c>
      <c r="I3043" s="88">
        <f t="shared" si="174"/>
        <v>16244.880000000005</v>
      </c>
      <c r="L3043" s="2">
        <f t="shared" si="175"/>
        <v>25.8</v>
      </c>
    </row>
    <row r="3044" spans="1:12" s="7" customFormat="1" x14ac:dyDescent="0.3">
      <c r="A3044" s="124">
        <v>45607</v>
      </c>
      <c r="B3044" s="129" t="s">
        <v>6447</v>
      </c>
      <c r="C3044" s="159" t="s">
        <v>6449</v>
      </c>
      <c r="D3044" s="65"/>
      <c r="E3044" s="101" t="s">
        <v>16</v>
      </c>
      <c r="F3044" s="9"/>
      <c r="G3044" s="54"/>
      <c r="H3044" s="54">
        <v>2000</v>
      </c>
      <c r="I3044" s="88">
        <f t="shared" si="174"/>
        <v>14244.880000000005</v>
      </c>
      <c r="L3044" s="54">
        <f t="shared" si="175"/>
        <v>33</v>
      </c>
    </row>
    <row r="3045" spans="1:12" x14ac:dyDescent="0.3">
      <c r="A3045" s="3">
        <v>45607</v>
      </c>
      <c r="B3045" s="11" t="s">
        <v>6422</v>
      </c>
      <c r="C3045" s="65" t="s">
        <v>6423</v>
      </c>
      <c r="G3045" s="2">
        <v>1550</v>
      </c>
      <c r="I3045" s="88">
        <f t="shared" si="174"/>
        <v>15794.880000000005</v>
      </c>
      <c r="L3045" s="2">
        <f t="shared" si="175"/>
        <v>6.2</v>
      </c>
    </row>
    <row r="3046" spans="1:12" x14ac:dyDescent="0.3">
      <c r="A3046" s="3">
        <v>45607</v>
      </c>
      <c r="B3046" s="11" t="s">
        <v>3871</v>
      </c>
      <c r="C3046" s="65" t="s">
        <v>2870</v>
      </c>
      <c r="H3046" s="2">
        <v>5500</v>
      </c>
      <c r="I3046" s="88">
        <f t="shared" si="174"/>
        <v>10294.880000000005</v>
      </c>
      <c r="L3046" s="2">
        <f t="shared" si="175"/>
        <v>20</v>
      </c>
    </row>
    <row r="3047" spans="1:12" x14ac:dyDescent="0.3">
      <c r="A3047" s="3">
        <v>45607</v>
      </c>
      <c r="B3047" s="11" t="s">
        <v>5042</v>
      </c>
      <c r="C3047" s="65" t="s">
        <v>6379</v>
      </c>
      <c r="G3047" s="2">
        <v>5000</v>
      </c>
      <c r="I3047" s="88">
        <f t="shared" si="174"/>
        <v>15294.880000000005</v>
      </c>
      <c r="L3047" s="2">
        <f t="shared" si="175"/>
        <v>20</v>
      </c>
    </row>
    <row r="3048" spans="1:12" x14ac:dyDescent="0.3">
      <c r="A3048" s="3">
        <v>45607</v>
      </c>
      <c r="B3048" s="11" t="s">
        <v>6455</v>
      </c>
      <c r="C3048" s="65" t="s">
        <v>6456</v>
      </c>
      <c r="E3048" s="90" t="s">
        <v>16</v>
      </c>
      <c r="H3048" s="2">
        <v>200</v>
      </c>
      <c r="I3048" s="88">
        <f t="shared" si="174"/>
        <v>15094.880000000005</v>
      </c>
      <c r="L3048" s="2">
        <f t="shared" si="175"/>
        <v>25.8</v>
      </c>
    </row>
    <row r="3049" spans="1:12" x14ac:dyDescent="0.3">
      <c r="A3049" s="3">
        <v>45608</v>
      </c>
      <c r="B3049" s="11" t="s">
        <v>6434</v>
      </c>
      <c r="C3049" s="65" t="s">
        <v>6259</v>
      </c>
      <c r="H3049" s="2">
        <v>3000</v>
      </c>
      <c r="I3049" s="88">
        <f t="shared" si="174"/>
        <v>12094.880000000005</v>
      </c>
      <c r="L3049" s="2">
        <f t="shared" si="175"/>
        <v>12</v>
      </c>
    </row>
    <row r="3050" spans="1:12" x14ac:dyDescent="0.3">
      <c r="A3050" s="3">
        <v>45608</v>
      </c>
      <c r="B3050" s="11" t="s">
        <v>5908</v>
      </c>
      <c r="C3050" s="65" t="s">
        <v>5909</v>
      </c>
      <c r="G3050" s="2">
        <v>500</v>
      </c>
      <c r="I3050" s="88">
        <f t="shared" si="174"/>
        <v>12594.880000000005</v>
      </c>
      <c r="L3050" s="2">
        <f t="shared" si="175"/>
        <v>2</v>
      </c>
    </row>
    <row r="3051" spans="1:12" x14ac:dyDescent="0.3">
      <c r="A3051" s="3">
        <v>45608</v>
      </c>
      <c r="B3051" s="11" t="s">
        <v>1250</v>
      </c>
      <c r="C3051" s="65" t="s">
        <v>2443</v>
      </c>
      <c r="G3051" s="2">
        <v>1500</v>
      </c>
      <c r="I3051" s="88">
        <f t="shared" si="174"/>
        <v>14094.880000000005</v>
      </c>
      <c r="L3051" s="2">
        <f t="shared" si="175"/>
        <v>6</v>
      </c>
    </row>
    <row r="3052" spans="1:12" x14ac:dyDescent="0.3">
      <c r="A3052" s="3">
        <v>45608</v>
      </c>
      <c r="B3052" s="11" t="s">
        <v>3524</v>
      </c>
      <c r="C3052" s="65" t="s">
        <v>2679</v>
      </c>
      <c r="H3052" s="2">
        <v>2000</v>
      </c>
      <c r="I3052" s="88">
        <f t="shared" si="174"/>
        <v>12094.880000000005</v>
      </c>
      <c r="L3052" s="2">
        <f t="shared" si="175"/>
        <v>8</v>
      </c>
    </row>
    <row r="3053" spans="1:12" x14ac:dyDescent="0.3">
      <c r="A3053" s="3">
        <v>45608</v>
      </c>
      <c r="B3053" s="11" t="s">
        <v>6459</v>
      </c>
      <c r="C3053" s="65" t="s">
        <v>1554</v>
      </c>
      <c r="H3053" s="2">
        <v>10000</v>
      </c>
      <c r="I3053" s="88">
        <f t="shared" si="174"/>
        <v>2094.8800000000047</v>
      </c>
      <c r="J3053" s="62"/>
      <c r="L3053" s="2">
        <f t="shared" si="175"/>
        <v>20</v>
      </c>
    </row>
    <row r="3054" spans="1:12" x14ac:dyDescent="0.3">
      <c r="A3054" s="3">
        <v>45608</v>
      </c>
      <c r="C3054" s="65" t="s">
        <v>4215</v>
      </c>
      <c r="H3054" s="64">
        <v>850.24</v>
      </c>
      <c r="I3054" s="88">
        <f t="shared" si="174"/>
        <v>1244.6400000000046</v>
      </c>
      <c r="J3054" s="62"/>
    </row>
    <row r="3055" spans="1:12" x14ac:dyDescent="0.3">
      <c r="A3055" s="3">
        <v>45608</v>
      </c>
      <c r="B3055" s="11" t="s">
        <v>1160</v>
      </c>
      <c r="C3055" s="65" t="s">
        <v>5153</v>
      </c>
      <c r="G3055" s="2">
        <v>450</v>
      </c>
      <c r="I3055" s="88">
        <f t="shared" si="174"/>
        <v>1694.6400000000046</v>
      </c>
      <c r="K3055" s="62"/>
      <c r="L3055" s="2">
        <f t="shared" si="175"/>
        <v>1.8</v>
      </c>
    </row>
    <row r="3056" spans="1:12" x14ac:dyDescent="0.3">
      <c r="A3056" s="3">
        <v>45608</v>
      </c>
      <c r="B3056" s="11" t="s">
        <v>2351</v>
      </c>
      <c r="C3056" s="65" t="s">
        <v>2463</v>
      </c>
      <c r="G3056" s="2">
        <v>4000</v>
      </c>
      <c r="I3056" s="88">
        <f t="shared" si="174"/>
        <v>5694.6400000000049</v>
      </c>
      <c r="K3056" s="62"/>
      <c r="L3056" s="2">
        <f t="shared" si="175"/>
        <v>16</v>
      </c>
    </row>
    <row r="3057" spans="1:12" x14ac:dyDescent="0.3">
      <c r="A3057" s="3">
        <v>45609</v>
      </c>
      <c r="C3057" s="65" t="s">
        <v>6594</v>
      </c>
      <c r="H3057" s="2">
        <v>0.47</v>
      </c>
      <c r="I3057" s="88">
        <f t="shared" si="174"/>
        <v>5694.1700000000046</v>
      </c>
      <c r="K3057" s="62"/>
    </row>
    <row r="3058" spans="1:12" x14ac:dyDescent="0.3">
      <c r="A3058" s="3">
        <v>45609</v>
      </c>
      <c r="B3058" s="11" t="s">
        <v>3871</v>
      </c>
      <c r="C3058" s="65" t="s">
        <v>2870</v>
      </c>
      <c r="G3058" s="2">
        <v>2000</v>
      </c>
      <c r="I3058" s="88">
        <f t="shared" si="174"/>
        <v>7694.1700000000046</v>
      </c>
      <c r="K3058" s="62"/>
      <c r="L3058" s="2">
        <f t="shared" si="175"/>
        <v>8</v>
      </c>
    </row>
    <row r="3059" spans="1:12" x14ac:dyDescent="0.3">
      <c r="A3059" s="3">
        <v>45609</v>
      </c>
      <c r="B3059" s="11" t="s">
        <v>2634</v>
      </c>
      <c r="C3059" s="65" t="s">
        <v>6460</v>
      </c>
      <c r="H3059" s="2">
        <v>8000</v>
      </c>
      <c r="I3059" s="88">
        <f t="shared" si="174"/>
        <v>-305.82999999999538</v>
      </c>
      <c r="L3059" s="2">
        <f t="shared" si="175"/>
        <v>20</v>
      </c>
    </row>
    <row r="3060" spans="1:12" x14ac:dyDescent="0.3">
      <c r="A3060" s="3">
        <v>45609</v>
      </c>
      <c r="B3060" s="11" t="s">
        <v>1250</v>
      </c>
      <c r="C3060" s="65" t="s">
        <v>5721</v>
      </c>
      <c r="G3060" s="2">
        <v>800</v>
      </c>
      <c r="I3060" s="88">
        <f t="shared" si="174"/>
        <v>494.17000000000462</v>
      </c>
      <c r="L3060" s="2">
        <f t="shared" si="175"/>
        <v>3.2</v>
      </c>
    </row>
    <row r="3061" spans="1:12" x14ac:dyDescent="0.3">
      <c r="A3061" s="3">
        <v>45609</v>
      </c>
      <c r="B3061" s="11" t="s">
        <v>2386</v>
      </c>
      <c r="C3061" s="65" t="s">
        <v>2443</v>
      </c>
      <c r="G3061" s="2">
        <v>1900</v>
      </c>
      <c r="I3061" s="88">
        <f t="shared" si="174"/>
        <v>2394.1700000000046</v>
      </c>
      <c r="L3061" s="2">
        <f t="shared" si="175"/>
        <v>7.6000000000000005</v>
      </c>
    </row>
    <row r="3062" spans="1:12" x14ac:dyDescent="0.3">
      <c r="A3062" s="3">
        <v>45609</v>
      </c>
      <c r="B3062" s="11" t="s">
        <v>6462</v>
      </c>
      <c r="C3062" s="65" t="s">
        <v>6463</v>
      </c>
      <c r="E3062" s="90" t="s">
        <v>16</v>
      </c>
      <c r="H3062" s="2">
        <v>200</v>
      </c>
      <c r="I3062" s="88">
        <f t="shared" si="174"/>
        <v>2194.1700000000046</v>
      </c>
      <c r="L3062" s="2">
        <f t="shared" si="175"/>
        <v>25.8</v>
      </c>
    </row>
    <row r="3063" spans="1:12" x14ac:dyDescent="0.3">
      <c r="A3063" s="3">
        <v>45609</v>
      </c>
      <c r="B3063" s="11" t="s">
        <v>6466</v>
      </c>
      <c r="C3063" s="65" t="s">
        <v>1072</v>
      </c>
      <c r="G3063" s="2">
        <v>2000</v>
      </c>
      <c r="I3063" s="88">
        <f t="shared" si="174"/>
        <v>4194.1700000000046</v>
      </c>
      <c r="L3063" s="2">
        <f t="shared" si="175"/>
        <v>8</v>
      </c>
    </row>
    <row r="3064" spans="1:12" x14ac:dyDescent="0.3">
      <c r="A3064" s="3">
        <v>45609</v>
      </c>
      <c r="B3064" s="11" t="s">
        <v>2448</v>
      </c>
      <c r="C3064" s="65" t="s">
        <v>2289</v>
      </c>
      <c r="H3064" s="2">
        <v>4000</v>
      </c>
      <c r="I3064" s="88">
        <f t="shared" si="174"/>
        <v>194.17000000000462</v>
      </c>
      <c r="L3064" s="2">
        <f t="shared" si="175"/>
        <v>16</v>
      </c>
    </row>
    <row r="3065" spans="1:12" x14ac:dyDescent="0.3">
      <c r="A3065" s="3">
        <v>45609</v>
      </c>
      <c r="B3065" s="11" t="s">
        <v>6467</v>
      </c>
      <c r="C3065" s="50" t="s">
        <v>6468</v>
      </c>
      <c r="G3065" s="2">
        <v>1500</v>
      </c>
      <c r="I3065" s="88">
        <f t="shared" si="174"/>
        <v>1694.1700000000046</v>
      </c>
      <c r="L3065" s="2">
        <f t="shared" si="175"/>
        <v>6</v>
      </c>
    </row>
    <row r="3066" spans="1:12" x14ac:dyDescent="0.3">
      <c r="A3066" s="3">
        <v>45609</v>
      </c>
      <c r="B3066" s="11" t="s">
        <v>1250</v>
      </c>
      <c r="C3066" s="65" t="s">
        <v>2890</v>
      </c>
      <c r="G3066" s="2">
        <v>1000</v>
      </c>
      <c r="I3066" s="88">
        <f t="shared" si="174"/>
        <v>2694.1700000000046</v>
      </c>
      <c r="L3066" s="2">
        <f t="shared" si="175"/>
        <v>4</v>
      </c>
    </row>
    <row r="3067" spans="1:12" x14ac:dyDescent="0.3">
      <c r="A3067" s="3">
        <v>45610</v>
      </c>
      <c r="B3067" s="11" t="s">
        <v>6470</v>
      </c>
      <c r="C3067" s="65" t="s">
        <v>6471</v>
      </c>
      <c r="E3067" s="90" t="s">
        <v>14</v>
      </c>
      <c r="H3067" s="2">
        <v>100</v>
      </c>
      <c r="I3067" s="88">
        <f t="shared" si="174"/>
        <v>2594.1700000000046</v>
      </c>
      <c r="L3067" s="2">
        <f t="shared" si="175"/>
        <v>25.4</v>
      </c>
    </row>
    <row r="3068" spans="1:12" x14ac:dyDescent="0.3">
      <c r="A3068" s="3">
        <v>45610</v>
      </c>
      <c r="B3068" s="11" t="s">
        <v>3148</v>
      </c>
      <c r="C3068" s="65" t="s">
        <v>6474</v>
      </c>
      <c r="G3068" s="2">
        <v>1000</v>
      </c>
      <c r="I3068" s="88">
        <f t="shared" si="174"/>
        <v>3594.1700000000046</v>
      </c>
      <c r="L3068" s="2">
        <f t="shared" si="175"/>
        <v>4</v>
      </c>
    </row>
    <row r="3069" spans="1:12" x14ac:dyDescent="0.3">
      <c r="A3069" s="3">
        <v>45610</v>
      </c>
      <c r="B3069" s="11" t="s">
        <v>3148</v>
      </c>
      <c r="C3069" s="65" t="s">
        <v>401</v>
      </c>
      <c r="G3069" s="2">
        <v>500</v>
      </c>
      <c r="I3069" s="88">
        <f t="shared" si="174"/>
        <v>4094.1700000000046</v>
      </c>
      <c r="L3069" s="2">
        <f t="shared" si="175"/>
        <v>2</v>
      </c>
    </row>
    <row r="3070" spans="1:12" x14ac:dyDescent="0.3">
      <c r="A3070" s="3">
        <v>45610</v>
      </c>
      <c r="B3070" s="11" t="s">
        <v>4334</v>
      </c>
      <c r="C3070" s="65" t="s">
        <v>6475</v>
      </c>
      <c r="H3070" s="2">
        <v>4500</v>
      </c>
      <c r="I3070" s="88">
        <f t="shared" si="174"/>
        <v>-405.82999999999538</v>
      </c>
      <c r="L3070" s="2">
        <f t="shared" si="175"/>
        <v>18</v>
      </c>
    </row>
    <row r="3071" spans="1:12" x14ac:dyDescent="0.3">
      <c r="A3071" s="3">
        <v>45610</v>
      </c>
      <c r="B3071" s="11" t="s">
        <v>6476</v>
      </c>
      <c r="C3071" s="65" t="s">
        <v>6477</v>
      </c>
      <c r="G3071" s="2">
        <v>4000</v>
      </c>
      <c r="I3071" s="88">
        <f t="shared" si="174"/>
        <v>3594.1700000000046</v>
      </c>
      <c r="L3071" s="2">
        <f t="shared" si="175"/>
        <v>16</v>
      </c>
    </row>
    <row r="3072" spans="1:12" x14ac:dyDescent="0.3">
      <c r="A3072" s="3">
        <v>45610</v>
      </c>
      <c r="B3072" s="11" t="s">
        <v>3987</v>
      </c>
      <c r="C3072" s="65" t="s">
        <v>3139</v>
      </c>
      <c r="G3072" s="2">
        <v>10000</v>
      </c>
      <c r="I3072" s="88">
        <f t="shared" si="174"/>
        <v>13594.170000000006</v>
      </c>
      <c r="L3072" s="2">
        <f t="shared" si="175"/>
        <v>20</v>
      </c>
    </row>
    <row r="3073" spans="1:12" x14ac:dyDescent="0.3">
      <c r="A3073" s="3">
        <v>45610</v>
      </c>
      <c r="B3073" s="11" t="s">
        <v>1250</v>
      </c>
      <c r="C3073" s="65" t="s">
        <v>2443</v>
      </c>
      <c r="G3073" s="2">
        <v>2050</v>
      </c>
      <c r="I3073" s="88">
        <f t="shared" si="174"/>
        <v>15644.170000000006</v>
      </c>
      <c r="L3073" s="2">
        <f t="shared" si="175"/>
        <v>8.1999999999999993</v>
      </c>
    </row>
    <row r="3074" spans="1:12" x14ac:dyDescent="0.3">
      <c r="A3074" s="3">
        <v>45610</v>
      </c>
      <c r="B3074" s="11" t="s">
        <v>1250</v>
      </c>
      <c r="C3074" s="65" t="s">
        <v>6478</v>
      </c>
      <c r="H3074" s="2">
        <v>1100</v>
      </c>
      <c r="I3074" s="88">
        <f t="shared" si="174"/>
        <v>14544.170000000006</v>
      </c>
      <c r="L3074" s="2">
        <f t="shared" si="175"/>
        <v>4.4000000000000004</v>
      </c>
    </row>
    <row r="3075" spans="1:12" x14ac:dyDescent="0.3">
      <c r="A3075" s="3">
        <v>45610</v>
      </c>
      <c r="B3075" s="11" t="s">
        <v>6353</v>
      </c>
      <c r="C3075" s="65" t="s">
        <v>6479</v>
      </c>
      <c r="H3075" s="2">
        <v>6000</v>
      </c>
      <c r="I3075" s="88">
        <f t="shared" si="174"/>
        <v>8544.1700000000055</v>
      </c>
      <c r="L3075" s="2">
        <f t="shared" si="175"/>
        <v>20</v>
      </c>
    </row>
    <row r="3076" spans="1:12" x14ac:dyDescent="0.3">
      <c r="A3076" s="3">
        <v>45610</v>
      </c>
      <c r="B3076" s="11" t="s">
        <v>1160</v>
      </c>
      <c r="C3076" s="65" t="s">
        <v>6480</v>
      </c>
      <c r="G3076" s="2">
        <v>500</v>
      </c>
      <c r="I3076" s="88">
        <f t="shared" si="174"/>
        <v>9044.1700000000055</v>
      </c>
      <c r="L3076" s="2">
        <f t="shared" si="175"/>
        <v>2</v>
      </c>
    </row>
    <row r="3077" spans="1:12" x14ac:dyDescent="0.3">
      <c r="A3077" s="3">
        <v>45610</v>
      </c>
      <c r="B3077" s="11" t="s">
        <v>1160</v>
      </c>
      <c r="C3077" s="65" t="s">
        <v>6481</v>
      </c>
      <c r="G3077" s="2">
        <v>3000</v>
      </c>
      <c r="I3077" s="88">
        <f t="shared" si="174"/>
        <v>12044.170000000006</v>
      </c>
      <c r="L3077" s="2">
        <f t="shared" si="175"/>
        <v>12</v>
      </c>
    </row>
    <row r="3078" spans="1:12" x14ac:dyDescent="0.3">
      <c r="A3078" s="3">
        <v>45610</v>
      </c>
      <c r="B3078" s="11" t="s">
        <v>1250</v>
      </c>
      <c r="C3078" s="65" t="s">
        <v>6482</v>
      </c>
      <c r="G3078" s="2">
        <v>1500</v>
      </c>
      <c r="I3078" s="88">
        <f t="shared" si="174"/>
        <v>13544.170000000006</v>
      </c>
      <c r="L3078" s="2">
        <f t="shared" si="175"/>
        <v>6</v>
      </c>
    </row>
    <row r="3079" spans="1:12" x14ac:dyDescent="0.3">
      <c r="A3079" s="3">
        <v>45610</v>
      </c>
      <c r="B3079" s="11" t="s">
        <v>6422</v>
      </c>
      <c r="C3079" s="65" t="s">
        <v>6423</v>
      </c>
      <c r="G3079" s="2">
        <v>1350</v>
      </c>
      <c r="I3079" s="88">
        <f t="shared" si="174"/>
        <v>14894.170000000006</v>
      </c>
      <c r="L3079" s="2">
        <f t="shared" si="175"/>
        <v>5.4</v>
      </c>
    </row>
    <row r="3080" spans="1:12" x14ac:dyDescent="0.3">
      <c r="A3080" s="3">
        <v>45611</v>
      </c>
      <c r="B3080" s="11" t="s">
        <v>6353</v>
      </c>
      <c r="C3080" s="65" t="s">
        <v>6479</v>
      </c>
      <c r="H3080" s="2">
        <v>10000</v>
      </c>
      <c r="I3080" s="88">
        <f t="shared" si="174"/>
        <v>4894.1700000000055</v>
      </c>
      <c r="L3080" s="2">
        <f t="shared" si="175"/>
        <v>20</v>
      </c>
    </row>
    <row r="3081" spans="1:12" x14ac:dyDescent="0.3">
      <c r="A3081" s="3">
        <v>45611</v>
      </c>
      <c r="C3081" s="65" t="s">
        <v>6595</v>
      </c>
      <c r="G3081" s="2">
        <v>100</v>
      </c>
      <c r="I3081" s="88">
        <f t="shared" si="174"/>
        <v>4994.1700000000055</v>
      </c>
    </row>
    <row r="3082" spans="1:12" x14ac:dyDescent="0.3">
      <c r="A3082" s="3">
        <v>45611</v>
      </c>
      <c r="B3082" s="11" t="s">
        <v>1250</v>
      </c>
      <c r="C3082" s="65" t="s">
        <v>2443</v>
      </c>
      <c r="G3082" s="2">
        <v>1200</v>
      </c>
      <c r="I3082" s="88">
        <f t="shared" si="174"/>
        <v>6194.1700000000055</v>
      </c>
      <c r="L3082" s="2">
        <f t="shared" si="175"/>
        <v>4.8</v>
      </c>
    </row>
    <row r="3083" spans="1:12" x14ac:dyDescent="0.3">
      <c r="A3083" s="3">
        <v>45611</v>
      </c>
      <c r="B3083" s="11" t="s">
        <v>2743</v>
      </c>
      <c r="C3083" s="65" t="s">
        <v>6483</v>
      </c>
      <c r="G3083" s="2">
        <v>3050</v>
      </c>
      <c r="I3083" s="88">
        <f t="shared" si="174"/>
        <v>9244.1700000000055</v>
      </c>
      <c r="L3083" s="2">
        <f t="shared" si="175"/>
        <v>12.200000000000001</v>
      </c>
    </row>
    <row r="3084" spans="1:12" x14ac:dyDescent="0.3">
      <c r="A3084" s="3">
        <v>45611</v>
      </c>
      <c r="B3084" s="11" t="s">
        <v>6484</v>
      </c>
      <c r="C3084" s="65" t="s">
        <v>6485</v>
      </c>
      <c r="G3084" s="2">
        <v>5000</v>
      </c>
      <c r="I3084" s="88">
        <f t="shared" si="174"/>
        <v>14244.170000000006</v>
      </c>
      <c r="L3084" s="2">
        <f t="shared" si="175"/>
        <v>20</v>
      </c>
    </row>
    <row r="3085" spans="1:12" x14ac:dyDescent="0.3">
      <c r="A3085" s="3">
        <v>45611</v>
      </c>
      <c r="B3085" s="11" t="s">
        <v>2448</v>
      </c>
      <c r="C3085" s="65" t="s">
        <v>2289</v>
      </c>
      <c r="H3085" s="2">
        <v>5000</v>
      </c>
      <c r="I3085" s="88">
        <f t="shared" si="174"/>
        <v>9244.1700000000055</v>
      </c>
      <c r="L3085" s="2">
        <f t="shared" si="175"/>
        <v>20</v>
      </c>
    </row>
    <row r="3086" spans="1:12" x14ac:dyDescent="0.3">
      <c r="A3086" s="3">
        <v>45611</v>
      </c>
      <c r="B3086" s="11" t="s">
        <v>5378</v>
      </c>
      <c r="C3086" s="65" t="s">
        <v>6200</v>
      </c>
      <c r="G3086" s="2">
        <v>1000</v>
      </c>
      <c r="I3086" s="88">
        <f t="shared" si="174"/>
        <v>10244.170000000006</v>
      </c>
      <c r="L3086" s="2">
        <f t="shared" si="175"/>
        <v>4</v>
      </c>
    </row>
    <row r="3087" spans="1:12" x14ac:dyDescent="0.3">
      <c r="A3087" s="3">
        <v>45611</v>
      </c>
      <c r="B3087" s="11" t="s">
        <v>4754</v>
      </c>
      <c r="C3087" s="65" t="s">
        <v>6367</v>
      </c>
      <c r="G3087" s="2">
        <v>3800</v>
      </c>
      <c r="I3087" s="88">
        <f t="shared" si="174"/>
        <v>14044.170000000006</v>
      </c>
      <c r="L3087" s="2">
        <f t="shared" si="175"/>
        <v>15.200000000000001</v>
      </c>
    </row>
    <row r="3088" spans="1:12" x14ac:dyDescent="0.3">
      <c r="A3088" s="3">
        <v>45611</v>
      </c>
      <c r="B3088" s="11" t="s">
        <v>6486</v>
      </c>
      <c r="C3088" s="65" t="s">
        <v>6487</v>
      </c>
      <c r="G3088" s="2">
        <v>1000</v>
      </c>
      <c r="I3088" s="88">
        <f t="shared" ref="I3088:I3151" si="176">I3087+G3088-H3088</f>
        <v>15044.170000000006</v>
      </c>
      <c r="L3088" s="2">
        <f t="shared" si="175"/>
        <v>4</v>
      </c>
    </row>
    <row r="3089" spans="1:12" x14ac:dyDescent="0.3">
      <c r="A3089" s="3">
        <v>45611</v>
      </c>
      <c r="B3089" s="11" t="s">
        <v>6489</v>
      </c>
      <c r="C3089" s="65" t="s">
        <v>1087</v>
      </c>
      <c r="E3089" s="90" t="s">
        <v>16</v>
      </c>
      <c r="H3089" s="2">
        <v>200</v>
      </c>
      <c r="I3089" s="88">
        <f t="shared" si="176"/>
        <v>14844.170000000006</v>
      </c>
      <c r="L3089" s="2">
        <f t="shared" si="175"/>
        <v>25.8</v>
      </c>
    </row>
    <row r="3090" spans="1:12" x14ac:dyDescent="0.3">
      <c r="A3090" s="3">
        <v>45611</v>
      </c>
      <c r="B3090" s="11" t="s">
        <v>6494</v>
      </c>
      <c r="C3090" s="65" t="s">
        <v>6495</v>
      </c>
      <c r="E3090" s="90" t="s">
        <v>16</v>
      </c>
      <c r="F3090" s="4">
        <v>100</v>
      </c>
      <c r="H3090" s="64">
        <v>0</v>
      </c>
      <c r="I3090" s="88">
        <f t="shared" si="176"/>
        <v>14844.170000000006</v>
      </c>
      <c r="L3090" s="2">
        <f t="shared" si="175"/>
        <v>25</v>
      </c>
    </row>
    <row r="3091" spans="1:12" x14ac:dyDescent="0.3">
      <c r="A3091" s="3">
        <v>45611</v>
      </c>
      <c r="B3091" s="11" t="s">
        <v>3541</v>
      </c>
      <c r="C3091" s="65" t="s">
        <v>3673</v>
      </c>
      <c r="G3091" s="2">
        <v>1300</v>
      </c>
      <c r="I3091" s="88">
        <f t="shared" si="176"/>
        <v>16144.170000000006</v>
      </c>
      <c r="L3091" s="2">
        <f t="shared" si="175"/>
        <v>5.2</v>
      </c>
    </row>
    <row r="3092" spans="1:12" x14ac:dyDescent="0.3">
      <c r="A3092" s="3">
        <v>45611</v>
      </c>
      <c r="B3092" s="11" t="s">
        <v>4409</v>
      </c>
      <c r="C3092" s="65" t="s">
        <v>6497</v>
      </c>
      <c r="H3092" s="2">
        <v>4600</v>
      </c>
      <c r="I3092" s="88">
        <f t="shared" si="176"/>
        <v>11544.170000000006</v>
      </c>
      <c r="L3092" s="2">
        <f t="shared" si="175"/>
        <v>18.400000000000002</v>
      </c>
    </row>
    <row r="3093" spans="1:12" x14ac:dyDescent="0.3">
      <c r="A3093" s="3">
        <v>45611</v>
      </c>
      <c r="B3093" s="11" t="s">
        <v>1250</v>
      </c>
      <c r="C3093" s="65" t="s">
        <v>5697</v>
      </c>
      <c r="G3093" s="2">
        <v>1000</v>
      </c>
      <c r="I3093" s="88">
        <f t="shared" si="176"/>
        <v>12544.170000000006</v>
      </c>
      <c r="L3093" s="2">
        <f t="shared" si="175"/>
        <v>4</v>
      </c>
    </row>
    <row r="3094" spans="1:12" x14ac:dyDescent="0.3">
      <c r="A3094" s="3">
        <v>45611</v>
      </c>
      <c r="B3094" s="11" t="s">
        <v>3148</v>
      </c>
      <c r="C3094" s="65" t="s">
        <v>3139</v>
      </c>
      <c r="D3094" s="50">
        <v>6206344407</v>
      </c>
      <c r="G3094" s="2">
        <v>10000</v>
      </c>
      <c r="I3094" s="88">
        <f t="shared" si="176"/>
        <v>22544.170000000006</v>
      </c>
      <c r="L3094" s="2">
        <f t="shared" si="175"/>
        <v>20</v>
      </c>
    </row>
    <row r="3095" spans="1:12" x14ac:dyDescent="0.3">
      <c r="A3095" s="3">
        <v>45612</v>
      </c>
      <c r="B3095" s="11" t="s">
        <v>6499</v>
      </c>
      <c r="C3095" s="65" t="s">
        <v>6500</v>
      </c>
      <c r="E3095" s="90" t="s">
        <v>14</v>
      </c>
      <c r="H3095" s="2">
        <v>100</v>
      </c>
      <c r="I3095" s="88">
        <f t="shared" si="176"/>
        <v>22444.170000000006</v>
      </c>
      <c r="L3095" s="2">
        <f t="shared" si="175"/>
        <v>25.4</v>
      </c>
    </row>
    <row r="3096" spans="1:12" x14ac:dyDescent="0.3">
      <c r="A3096" s="3">
        <v>45612</v>
      </c>
      <c r="B3096" s="11" t="s">
        <v>6503</v>
      </c>
      <c r="C3096" s="65" t="s">
        <v>6504</v>
      </c>
      <c r="E3096" s="90" t="s">
        <v>16</v>
      </c>
      <c r="H3096" s="64">
        <v>0</v>
      </c>
      <c r="I3096" s="88">
        <f t="shared" si="176"/>
        <v>22444.170000000006</v>
      </c>
    </row>
    <row r="3097" spans="1:12" x14ac:dyDescent="0.3">
      <c r="A3097" s="3">
        <v>45612</v>
      </c>
      <c r="B3097" s="11" t="s">
        <v>5312</v>
      </c>
      <c r="C3097" s="65" t="s">
        <v>5313</v>
      </c>
      <c r="H3097" s="2">
        <v>1000</v>
      </c>
      <c r="I3097" s="88">
        <f t="shared" si="176"/>
        <v>21444.170000000006</v>
      </c>
      <c r="L3097" s="2">
        <f t="shared" si="175"/>
        <v>4</v>
      </c>
    </row>
    <row r="3098" spans="1:12" x14ac:dyDescent="0.3">
      <c r="A3098" s="3">
        <v>45612</v>
      </c>
      <c r="B3098" s="11" t="s">
        <v>2949</v>
      </c>
      <c r="C3098" s="65" t="s">
        <v>6507</v>
      </c>
      <c r="G3098" s="2">
        <v>1000</v>
      </c>
      <c r="I3098" s="88">
        <f t="shared" si="176"/>
        <v>22444.170000000006</v>
      </c>
      <c r="L3098" s="2">
        <f t="shared" si="175"/>
        <v>4</v>
      </c>
    </row>
    <row r="3099" spans="1:12" x14ac:dyDescent="0.3">
      <c r="A3099" s="3">
        <v>45612</v>
      </c>
      <c r="B3099" s="11" t="s">
        <v>5042</v>
      </c>
      <c r="C3099" s="65" t="s">
        <v>6176</v>
      </c>
      <c r="G3099" s="2">
        <v>3000</v>
      </c>
      <c r="I3099" s="88">
        <f t="shared" si="176"/>
        <v>25444.170000000006</v>
      </c>
      <c r="L3099" s="2">
        <f t="shared" si="175"/>
        <v>12</v>
      </c>
    </row>
    <row r="3100" spans="1:12" x14ac:dyDescent="0.3">
      <c r="A3100" s="3">
        <v>45612</v>
      </c>
      <c r="B3100" s="11" t="s">
        <v>1250</v>
      </c>
      <c r="C3100" s="65" t="s">
        <v>6405</v>
      </c>
      <c r="G3100" s="2">
        <v>4500</v>
      </c>
      <c r="I3100" s="88">
        <f t="shared" si="176"/>
        <v>29944.170000000006</v>
      </c>
      <c r="L3100" s="2">
        <f t="shared" si="175"/>
        <v>18</v>
      </c>
    </row>
    <row r="3101" spans="1:12" x14ac:dyDescent="0.3">
      <c r="A3101" s="3">
        <v>45612</v>
      </c>
      <c r="B3101" s="11" t="s">
        <v>3871</v>
      </c>
      <c r="C3101" s="65" t="s">
        <v>2870</v>
      </c>
      <c r="H3101" s="2">
        <v>2000</v>
      </c>
      <c r="I3101" s="88">
        <f t="shared" si="176"/>
        <v>27944.170000000006</v>
      </c>
      <c r="L3101" s="2">
        <f t="shared" si="175"/>
        <v>8</v>
      </c>
    </row>
    <row r="3102" spans="1:12" x14ac:dyDescent="0.3">
      <c r="A3102" s="3">
        <v>45613</v>
      </c>
      <c r="B3102" s="11" t="s">
        <v>1160</v>
      </c>
      <c r="C3102" s="65" t="s">
        <v>6508</v>
      </c>
      <c r="G3102" s="2">
        <v>1000</v>
      </c>
      <c r="I3102" s="88">
        <f t="shared" si="176"/>
        <v>28944.170000000006</v>
      </c>
      <c r="L3102" s="2">
        <f t="shared" si="175"/>
        <v>4</v>
      </c>
    </row>
    <row r="3103" spans="1:12" x14ac:dyDescent="0.3">
      <c r="A3103" s="3">
        <v>45613</v>
      </c>
      <c r="B3103" s="11" t="s">
        <v>6260</v>
      </c>
      <c r="C3103" s="65" t="s">
        <v>6259</v>
      </c>
      <c r="H3103" s="2">
        <v>5500</v>
      </c>
      <c r="I3103" s="88">
        <f t="shared" si="176"/>
        <v>23444.170000000006</v>
      </c>
      <c r="L3103" s="2">
        <f t="shared" si="175"/>
        <v>20</v>
      </c>
    </row>
    <row r="3104" spans="1:12" x14ac:dyDescent="0.3">
      <c r="A3104" s="3">
        <v>45613</v>
      </c>
      <c r="B3104" s="11" t="s">
        <v>3871</v>
      </c>
      <c r="C3104" s="65" t="s">
        <v>5989</v>
      </c>
      <c r="H3104" s="2">
        <v>10000</v>
      </c>
      <c r="I3104" s="88">
        <f t="shared" si="176"/>
        <v>13444.170000000006</v>
      </c>
      <c r="L3104" s="2">
        <f t="shared" si="175"/>
        <v>20</v>
      </c>
    </row>
    <row r="3105" spans="1:19" x14ac:dyDescent="0.3">
      <c r="A3105" s="3">
        <v>45613</v>
      </c>
      <c r="B3105" s="11" t="s">
        <v>2538</v>
      </c>
      <c r="C3105" s="65" t="s">
        <v>6460</v>
      </c>
      <c r="H3105" s="2">
        <v>1000</v>
      </c>
      <c r="I3105" s="88">
        <f t="shared" si="176"/>
        <v>12444.170000000006</v>
      </c>
      <c r="L3105" s="2">
        <f t="shared" si="175"/>
        <v>4</v>
      </c>
    </row>
    <row r="3106" spans="1:19" x14ac:dyDescent="0.3">
      <c r="A3106" s="3">
        <v>45613</v>
      </c>
      <c r="B3106" s="11" t="s">
        <v>1388</v>
      </c>
      <c r="C3106" s="65" t="s">
        <v>4689</v>
      </c>
      <c r="H3106" s="2">
        <v>3000</v>
      </c>
      <c r="I3106" s="88">
        <f t="shared" si="176"/>
        <v>9444.1700000000055</v>
      </c>
      <c r="L3106" s="2">
        <f t="shared" si="175"/>
        <v>12</v>
      </c>
    </row>
    <row r="3107" spans="1:19" x14ac:dyDescent="0.3">
      <c r="A3107" s="3">
        <v>45613</v>
      </c>
      <c r="B3107" s="11" t="s">
        <v>1160</v>
      </c>
      <c r="C3107" s="65" t="s">
        <v>6509</v>
      </c>
      <c r="G3107" s="2">
        <v>2000</v>
      </c>
      <c r="I3107" s="88">
        <f t="shared" si="176"/>
        <v>11444.170000000006</v>
      </c>
      <c r="K3107" s="62"/>
      <c r="L3107" s="2">
        <f t="shared" si="175"/>
        <v>8</v>
      </c>
    </row>
    <row r="3108" spans="1:19" x14ac:dyDescent="0.3">
      <c r="A3108" s="3">
        <v>45613</v>
      </c>
      <c r="C3108" s="70" t="s">
        <v>4215</v>
      </c>
      <c r="D3108" s="114"/>
      <c r="E3108" s="97"/>
      <c r="F3108" s="10"/>
      <c r="G3108" s="64"/>
      <c r="I3108" s="88">
        <f t="shared" si="176"/>
        <v>11444.170000000006</v>
      </c>
      <c r="K3108" s="62"/>
      <c r="L3108" s="2">
        <f t="shared" si="175"/>
        <v>0</v>
      </c>
    </row>
    <row r="3109" spans="1:19" x14ac:dyDescent="0.3">
      <c r="A3109" s="3">
        <v>45613</v>
      </c>
      <c r="B3109" s="11" t="s">
        <v>1160</v>
      </c>
      <c r="C3109" s="65" t="s">
        <v>5963</v>
      </c>
      <c r="G3109" s="2">
        <v>550</v>
      </c>
      <c r="I3109" s="88">
        <f t="shared" si="176"/>
        <v>11994.170000000006</v>
      </c>
      <c r="L3109" s="2">
        <f t="shared" si="175"/>
        <v>2.2000000000000002</v>
      </c>
      <c r="O3109">
        <v>4040</v>
      </c>
      <c r="Q3109">
        <v>3800</v>
      </c>
    </row>
    <row r="3110" spans="1:19" x14ac:dyDescent="0.3">
      <c r="A3110" s="3">
        <v>45614</v>
      </c>
      <c r="B3110" s="11" t="s">
        <v>6260</v>
      </c>
      <c r="C3110" s="65" t="s">
        <v>6259</v>
      </c>
      <c r="H3110" s="2">
        <f>500+3500</f>
        <v>4000</v>
      </c>
      <c r="I3110" s="88">
        <f t="shared" si="176"/>
        <v>7994.1700000000055</v>
      </c>
      <c r="L3110" s="2">
        <f t="shared" si="175"/>
        <v>16</v>
      </c>
      <c r="O3110">
        <v>3912</v>
      </c>
      <c r="Q3110">
        <v>3800</v>
      </c>
    </row>
    <row r="3111" spans="1:19" x14ac:dyDescent="0.3">
      <c r="A3111" s="3">
        <v>45614</v>
      </c>
      <c r="B3111" s="11" t="s">
        <v>1250</v>
      </c>
      <c r="C3111" s="65" t="s">
        <v>6510</v>
      </c>
      <c r="G3111" s="2">
        <v>500</v>
      </c>
      <c r="I3111" s="88">
        <f t="shared" si="176"/>
        <v>8494.1700000000055</v>
      </c>
      <c r="L3111" s="2">
        <f t="shared" si="175"/>
        <v>2</v>
      </c>
    </row>
    <row r="3112" spans="1:19" x14ac:dyDescent="0.3">
      <c r="A3112" s="3">
        <v>45614</v>
      </c>
      <c r="B3112" s="11" t="s">
        <v>1250</v>
      </c>
      <c r="C3112" s="65" t="s">
        <v>5124</v>
      </c>
      <c r="G3112" s="2">
        <v>700</v>
      </c>
      <c r="I3112" s="88">
        <f t="shared" si="176"/>
        <v>9194.1700000000055</v>
      </c>
      <c r="L3112" s="2">
        <f t="shared" si="175"/>
        <v>2.8000000000000003</v>
      </c>
    </row>
    <row r="3113" spans="1:19" x14ac:dyDescent="0.3">
      <c r="A3113" s="3">
        <v>45614</v>
      </c>
      <c r="B3113" s="11" t="s">
        <v>1388</v>
      </c>
      <c r="C3113" s="65" t="s">
        <v>2143</v>
      </c>
      <c r="H3113" s="2">
        <v>5000</v>
      </c>
      <c r="I3113" s="88">
        <f t="shared" si="176"/>
        <v>4194.1700000000055</v>
      </c>
      <c r="L3113" s="2">
        <f t="shared" si="175"/>
        <v>20</v>
      </c>
    </row>
    <row r="3114" spans="1:19" x14ac:dyDescent="0.3">
      <c r="A3114" s="3">
        <v>45614</v>
      </c>
      <c r="B3114" s="11" t="s">
        <v>4652</v>
      </c>
      <c r="C3114" s="65" t="s">
        <v>4790</v>
      </c>
      <c r="H3114" s="2">
        <v>4500</v>
      </c>
      <c r="I3114" s="88">
        <f t="shared" si="176"/>
        <v>-305.82999999999447</v>
      </c>
      <c r="L3114" s="2">
        <f t="shared" si="175"/>
        <v>18</v>
      </c>
      <c r="Q3114">
        <v>1024</v>
      </c>
      <c r="R3114">
        <f>O3109-Q3109</f>
        <v>240</v>
      </c>
      <c r="S3114">
        <f>Q3114-R3114</f>
        <v>784</v>
      </c>
    </row>
    <row r="3115" spans="1:19" x14ac:dyDescent="0.3">
      <c r="A3115" s="3">
        <v>45614</v>
      </c>
      <c r="B3115" s="11" t="s">
        <v>5071</v>
      </c>
      <c r="C3115" s="65" t="s">
        <v>5072</v>
      </c>
      <c r="G3115" s="2">
        <v>1000</v>
      </c>
      <c r="I3115" s="88">
        <f t="shared" si="176"/>
        <v>694.17000000000553</v>
      </c>
      <c r="L3115" s="2">
        <f t="shared" si="175"/>
        <v>4</v>
      </c>
      <c r="Q3115">
        <f>3316*0.3</f>
        <v>994.8</v>
      </c>
      <c r="R3115">
        <f>O3110-Q3110</f>
        <v>112</v>
      </c>
      <c r="S3115">
        <f>Q3115-R3115</f>
        <v>882.8</v>
      </c>
    </row>
    <row r="3116" spans="1:19" x14ac:dyDescent="0.3">
      <c r="A3116" s="3">
        <v>45614</v>
      </c>
      <c r="B3116" s="11" t="s">
        <v>6515</v>
      </c>
      <c r="C3116" s="65" t="s">
        <v>6512</v>
      </c>
      <c r="E3116" s="90" t="s">
        <v>16</v>
      </c>
      <c r="H3116" s="2">
        <v>500</v>
      </c>
      <c r="I3116" s="88">
        <f t="shared" si="176"/>
        <v>194.17000000000553</v>
      </c>
      <c r="L3116" s="2">
        <f t="shared" si="175"/>
        <v>27</v>
      </c>
    </row>
    <row r="3117" spans="1:19" x14ac:dyDescent="0.3">
      <c r="A3117" s="3">
        <v>45614</v>
      </c>
      <c r="B3117" s="11" t="s">
        <v>1160</v>
      </c>
      <c r="C3117" s="65" t="s">
        <v>6517</v>
      </c>
      <c r="G3117" s="2">
        <v>4000</v>
      </c>
      <c r="I3117" s="88">
        <f t="shared" si="176"/>
        <v>4194.1700000000055</v>
      </c>
      <c r="L3117" s="2">
        <f t="shared" si="175"/>
        <v>16</v>
      </c>
    </row>
    <row r="3118" spans="1:19" x14ac:dyDescent="0.3">
      <c r="A3118" s="3">
        <v>45614</v>
      </c>
      <c r="B3118" s="11" t="s">
        <v>6522</v>
      </c>
      <c r="C3118" s="65" t="s">
        <v>6523</v>
      </c>
      <c r="G3118" s="2">
        <v>4000</v>
      </c>
      <c r="I3118" s="88">
        <f t="shared" si="176"/>
        <v>8194.1700000000055</v>
      </c>
      <c r="L3118" s="2">
        <f t="shared" si="175"/>
        <v>16</v>
      </c>
    </row>
    <row r="3119" spans="1:19" x14ac:dyDescent="0.3">
      <c r="A3119" s="3">
        <v>45614</v>
      </c>
      <c r="B3119" s="11" t="s">
        <v>6522</v>
      </c>
      <c r="C3119" s="65" t="s">
        <v>6524</v>
      </c>
      <c r="G3119" s="2">
        <v>600</v>
      </c>
      <c r="I3119" s="88">
        <f t="shared" si="176"/>
        <v>8794.1700000000055</v>
      </c>
      <c r="L3119" s="2">
        <f t="shared" si="175"/>
        <v>2.4</v>
      </c>
    </row>
    <row r="3120" spans="1:19" x14ac:dyDescent="0.3">
      <c r="A3120" s="3">
        <v>45614</v>
      </c>
      <c r="B3120" s="11" t="s">
        <v>6519</v>
      </c>
      <c r="C3120" s="65" t="s">
        <v>6520</v>
      </c>
      <c r="E3120" s="90" t="s">
        <v>16</v>
      </c>
      <c r="H3120" s="2">
        <v>500</v>
      </c>
      <c r="I3120" s="88">
        <f t="shared" si="176"/>
        <v>8294.1700000000055</v>
      </c>
    </row>
    <row r="3121" spans="1:12" x14ac:dyDescent="0.3">
      <c r="A3121" s="3">
        <v>45614</v>
      </c>
      <c r="B3121" s="11" t="s">
        <v>6526</v>
      </c>
      <c r="C3121" s="65" t="s">
        <v>6527</v>
      </c>
      <c r="E3121" s="90" t="s">
        <v>16</v>
      </c>
      <c r="H3121" s="2">
        <v>100</v>
      </c>
      <c r="I3121" s="88">
        <f t="shared" si="176"/>
        <v>8194.1700000000055</v>
      </c>
      <c r="L3121" s="2">
        <f t="shared" si="175"/>
        <v>25.4</v>
      </c>
    </row>
    <row r="3122" spans="1:12" x14ac:dyDescent="0.3">
      <c r="A3122" s="3">
        <v>45614</v>
      </c>
      <c r="B3122" s="11" t="s">
        <v>6531</v>
      </c>
      <c r="C3122" s="65" t="s">
        <v>6532</v>
      </c>
      <c r="E3122" s="90" t="s">
        <v>16</v>
      </c>
      <c r="H3122" s="2">
        <v>100</v>
      </c>
      <c r="I3122" s="88">
        <f t="shared" si="176"/>
        <v>8094.1700000000055</v>
      </c>
      <c r="L3122" s="2">
        <f t="shared" si="175"/>
        <v>25.4</v>
      </c>
    </row>
    <row r="3123" spans="1:12" x14ac:dyDescent="0.3">
      <c r="A3123" s="3">
        <v>45614</v>
      </c>
      <c r="B3123" s="11" t="s">
        <v>1250</v>
      </c>
      <c r="C3123" s="65" t="s">
        <v>2443</v>
      </c>
      <c r="G3123" s="2">
        <v>3400</v>
      </c>
      <c r="I3123" s="88">
        <f t="shared" si="176"/>
        <v>11494.170000000006</v>
      </c>
      <c r="L3123" s="2">
        <f t="shared" si="175"/>
        <v>13.6</v>
      </c>
    </row>
    <row r="3124" spans="1:12" x14ac:dyDescent="0.3">
      <c r="A3124" s="3">
        <v>45614</v>
      </c>
      <c r="B3124" s="11" t="s">
        <v>5360</v>
      </c>
      <c r="C3124" s="65" t="s">
        <v>6542</v>
      </c>
      <c r="G3124" s="2">
        <v>500</v>
      </c>
      <c r="I3124" s="88">
        <f t="shared" si="176"/>
        <v>11994.170000000006</v>
      </c>
      <c r="L3124" s="2">
        <f t="shared" si="175"/>
        <v>2</v>
      </c>
    </row>
    <row r="3125" spans="1:12" x14ac:dyDescent="0.3">
      <c r="A3125" s="3">
        <v>45614</v>
      </c>
      <c r="B3125" s="11" t="s">
        <v>6535</v>
      </c>
      <c r="C3125" s="65" t="s">
        <v>6536</v>
      </c>
      <c r="E3125" s="90" t="s">
        <v>16</v>
      </c>
      <c r="H3125" s="2">
        <v>200</v>
      </c>
      <c r="I3125" s="88">
        <f t="shared" si="176"/>
        <v>11794.170000000006</v>
      </c>
      <c r="L3125" s="2">
        <f t="shared" si="175"/>
        <v>25.8</v>
      </c>
    </row>
    <row r="3126" spans="1:12" x14ac:dyDescent="0.3">
      <c r="A3126" s="3">
        <v>45614</v>
      </c>
      <c r="B3126" s="11" t="s">
        <v>6540</v>
      </c>
      <c r="C3126" s="65" t="s">
        <v>6541</v>
      </c>
      <c r="E3126" s="90" t="s">
        <v>16</v>
      </c>
      <c r="H3126" s="2">
        <v>1000</v>
      </c>
      <c r="I3126" s="88">
        <f t="shared" si="176"/>
        <v>10794.170000000006</v>
      </c>
      <c r="L3126" s="2">
        <f t="shared" si="175"/>
        <v>29</v>
      </c>
    </row>
    <row r="3127" spans="1:12" x14ac:dyDescent="0.3">
      <c r="A3127" s="3">
        <v>45614</v>
      </c>
      <c r="B3127" s="11" t="s">
        <v>6544</v>
      </c>
      <c r="C3127" s="65" t="s">
        <v>6545</v>
      </c>
      <c r="E3127" s="90" t="s">
        <v>16</v>
      </c>
      <c r="H3127" s="2">
        <v>200</v>
      </c>
      <c r="I3127" s="88">
        <f t="shared" si="176"/>
        <v>10594.170000000006</v>
      </c>
      <c r="L3127" s="2">
        <f t="shared" si="175"/>
        <v>25.8</v>
      </c>
    </row>
    <row r="3128" spans="1:12" x14ac:dyDescent="0.3">
      <c r="A3128" s="3">
        <v>45614</v>
      </c>
      <c r="B3128" s="11" t="s">
        <v>2219</v>
      </c>
      <c r="C3128" s="65" t="s">
        <v>6460</v>
      </c>
      <c r="G3128" s="2">
        <v>900</v>
      </c>
      <c r="I3128" s="88">
        <f t="shared" si="176"/>
        <v>11494.170000000006</v>
      </c>
      <c r="L3128" s="2">
        <f t="shared" si="175"/>
        <v>3.6</v>
      </c>
    </row>
    <row r="3129" spans="1:12" x14ac:dyDescent="0.3">
      <c r="A3129" s="3">
        <v>45614</v>
      </c>
      <c r="B3129" s="11" t="s">
        <v>6549</v>
      </c>
      <c r="C3129" s="65" t="s">
        <v>5439</v>
      </c>
      <c r="E3129" s="90" t="s">
        <v>16</v>
      </c>
      <c r="H3129" s="2">
        <v>100</v>
      </c>
      <c r="I3129" s="88">
        <f t="shared" si="176"/>
        <v>11394.170000000006</v>
      </c>
      <c r="L3129" s="2">
        <f t="shared" si="175"/>
        <v>25.4</v>
      </c>
    </row>
    <row r="3130" spans="1:12" s="7" customFormat="1" x14ac:dyDescent="0.3">
      <c r="A3130" s="124">
        <v>45614</v>
      </c>
      <c r="B3130" s="129" t="s">
        <v>6555</v>
      </c>
      <c r="C3130" s="159" t="s">
        <v>6552</v>
      </c>
      <c r="D3130" s="65"/>
      <c r="E3130" s="101" t="s">
        <v>16</v>
      </c>
      <c r="F3130" s="9"/>
      <c r="G3130" s="54"/>
      <c r="H3130" s="54">
        <v>2000</v>
      </c>
      <c r="I3130" s="88">
        <f t="shared" si="176"/>
        <v>9394.1700000000055</v>
      </c>
      <c r="L3130" s="2">
        <f t="shared" si="175"/>
        <v>33</v>
      </c>
    </row>
    <row r="3131" spans="1:12" x14ac:dyDescent="0.3">
      <c r="A3131" s="3">
        <v>45614</v>
      </c>
      <c r="B3131" s="11" t="s">
        <v>6557</v>
      </c>
      <c r="C3131" s="65" t="s">
        <v>6560</v>
      </c>
      <c r="E3131" s="90" t="s">
        <v>16</v>
      </c>
      <c r="H3131" s="2">
        <v>300</v>
      </c>
      <c r="I3131" s="88">
        <f t="shared" si="176"/>
        <v>9094.1700000000055</v>
      </c>
      <c r="L3131" s="2">
        <f t="shared" si="175"/>
        <v>26.2</v>
      </c>
    </row>
    <row r="3132" spans="1:12" x14ac:dyDescent="0.3">
      <c r="A3132" s="3">
        <v>45614</v>
      </c>
      <c r="B3132" s="11" t="s">
        <v>1170</v>
      </c>
      <c r="C3132" s="65" t="s">
        <v>6561</v>
      </c>
      <c r="G3132" s="2">
        <v>800</v>
      </c>
      <c r="I3132" s="88">
        <f t="shared" si="176"/>
        <v>9894.1700000000055</v>
      </c>
      <c r="L3132" s="2">
        <f t="shared" si="175"/>
        <v>3.2</v>
      </c>
    </row>
    <row r="3133" spans="1:12" x14ac:dyDescent="0.3">
      <c r="A3133" s="3">
        <v>45614</v>
      </c>
      <c r="B3133" s="11" t="s">
        <v>1250</v>
      </c>
      <c r="C3133" s="65"/>
      <c r="G3133" s="2">
        <v>200</v>
      </c>
      <c r="I3133" s="88">
        <f t="shared" si="176"/>
        <v>10094.170000000006</v>
      </c>
      <c r="L3133" s="2">
        <f t="shared" si="175"/>
        <v>0.8</v>
      </c>
    </row>
    <row r="3134" spans="1:12" x14ac:dyDescent="0.3">
      <c r="A3134" s="3">
        <v>45615</v>
      </c>
      <c r="B3134" s="11" t="s">
        <v>1250</v>
      </c>
      <c r="C3134" s="65" t="s">
        <v>3844</v>
      </c>
      <c r="G3134" s="2">
        <v>2000</v>
      </c>
      <c r="I3134" s="88">
        <f t="shared" si="176"/>
        <v>12094.170000000006</v>
      </c>
      <c r="L3134" s="2">
        <f t="shared" si="175"/>
        <v>8</v>
      </c>
    </row>
    <row r="3135" spans="1:12" x14ac:dyDescent="0.3">
      <c r="A3135" s="3">
        <v>45615</v>
      </c>
      <c r="B3135" s="11" t="s">
        <v>4161</v>
      </c>
      <c r="C3135" s="65" t="s">
        <v>6426</v>
      </c>
      <c r="H3135" s="2">
        <v>2000</v>
      </c>
      <c r="I3135" s="88">
        <f t="shared" si="176"/>
        <v>10094.170000000006</v>
      </c>
      <c r="L3135" s="2">
        <f t="shared" si="175"/>
        <v>8</v>
      </c>
    </row>
    <row r="3136" spans="1:12" x14ac:dyDescent="0.3">
      <c r="A3136" s="3">
        <v>45615</v>
      </c>
      <c r="B3136" s="11" t="s">
        <v>3148</v>
      </c>
      <c r="C3136" s="65" t="s">
        <v>6563</v>
      </c>
      <c r="G3136" s="2">
        <v>1500</v>
      </c>
      <c r="I3136" s="88">
        <f t="shared" si="176"/>
        <v>11594.170000000006</v>
      </c>
      <c r="L3136" s="2">
        <f t="shared" si="175"/>
        <v>6</v>
      </c>
    </row>
    <row r="3137" spans="1:12" x14ac:dyDescent="0.3">
      <c r="A3137" s="3">
        <v>45615</v>
      </c>
      <c r="B3137" s="11" t="s">
        <v>1250</v>
      </c>
      <c r="C3137" s="65" t="s">
        <v>6576</v>
      </c>
      <c r="G3137" s="2">
        <v>10000</v>
      </c>
      <c r="I3137" s="88">
        <f t="shared" si="176"/>
        <v>21594.170000000006</v>
      </c>
      <c r="L3137" s="2">
        <f t="shared" si="175"/>
        <v>20</v>
      </c>
    </row>
    <row r="3138" spans="1:12" x14ac:dyDescent="0.3">
      <c r="A3138" s="3">
        <v>45615</v>
      </c>
      <c r="B3138" s="11" t="s">
        <v>2490</v>
      </c>
      <c r="C3138" s="65" t="s">
        <v>2362</v>
      </c>
      <c r="H3138" s="2">
        <v>15000</v>
      </c>
      <c r="I3138" s="88">
        <f t="shared" si="176"/>
        <v>6594.1700000000055</v>
      </c>
      <c r="L3138" s="2">
        <f t="shared" si="175"/>
        <v>20</v>
      </c>
    </row>
    <row r="3139" spans="1:12" x14ac:dyDescent="0.3">
      <c r="A3139" s="3">
        <v>45615</v>
      </c>
      <c r="B3139" s="11" t="s">
        <v>1250</v>
      </c>
      <c r="C3139" s="65" t="s">
        <v>4437</v>
      </c>
      <c r="G3139" s="2">
        <v>2700</v>
      </c>
      <c r="I3139" s="88">
        <f t="shared" si="176"/>
        <v>9294.1700000000055</v>
      </c>
      <c r="L3139" s="2">
        <f t="shared" si="175"/>
        <v>10.8</v>
      </c>
    </row>
    <row r="3140" spans="1:12" x14ac:dyDescent="0.3">
      <c r="A3140" s="3">
        <v>45615</v>
      </c>
      <c r="B3140" s="11" t="s">
        <v>1250</v>
      </c>
      <c r="C3140" s="65" t="s">
        <v>6564</v>
      </c>
      <c r="G3140" s="2">
        <v>900</v>
      </c>
      <c r="I3140" s="88">
        <f t="shared" si="176"/>
        <v>10194.170000000006</v>
      </c>
      <c r="L3140" s="2">
        <f t="shared" si="175"/>
        <v>3.6</v>
      </c>
    </row>
    <row r="3141" spans="1:12" x14ac:dyDescent="0.3">
      <c r="A3141" s="3">
        <v>45615</v>
      </c>
      <c r="B3141" s="11" t="s">
        <v>6567</v>
      </c>
      <c r="C3141" s="65" t="s">
        <v>6568</v>
      </c>
      <c r="E3141" s="90" t="s">
        <v>16</v>
      </c>
      <c r="H3141" s="2">
        <v>300</v>
      </c>
      <c r="I3141" s="88">
        <f t="shared" si="176"/>
        <v>9894.1700000000055</v>
      </c>
      <c r="L3141" s="2">
        <f t="shared" si="175"/>
        <v>26.2</v>
      </c>
    </row>
    <row r="3142" spans="1:12" x14ac:dyDescent="0.3">
      <c r="A3142" s="3">
        <v>45616</v>
      </c>
      <c r="B3142" s="11" t="s">
        <v>1250</v>
      </c>
      <c r="C3142" s="51" t="s">
        <v>6570</v>
      </c>
      <c r="D3142" s="7"/>
      <c r="G3142" s="2">
        <v>4500</v>
      </c>
      <c r="I3142" s="88">
        <f t="shared" si="176"/>
        <v>14394.170000000006</v>
      </c>
      <c r="L3142" s="2">
        <f t="shared" si="175"/>
        <v>18</v>
      </c>
    </row>
    <row r="3143" spans="1:12" x14ac:dyDescent="0.3">
      <c r="A3143" s="3">
        <v>45616</v>
      </c>
      <c r="B3143" s="11" t="s">
        <v>1250</v>
      </c>
      <c r="C3143" s="51" t="s">
        <v>5985</v>
      </c>
      <c r="D3143" s="7"/>
      <c r="G3143" s="2">
        <v>500</v>
      </c>
      <c r="I3143" s="88">
        <f t="shared" si="176"/>
        <v>14894.170000000006</v>
      </c>
      <c r="L3143" s="2">
        <f t="shared" si="175"/>
        <v>2</v>
      </c>
    </row>
    <row r="3144" spans="1:12" x14ac:dyDescent="0.3">
      <c r="A3144" s="3">
        <v>45616</v>
      </c>
      <c r="B3144" s="11" t="s">
        <v>6503</v>
      </c>
      <c r="C3144" s="51" t="s">
        <v>6504</v>
      </c>
      <c r="D3144" s="7"/>
      <c r="H3144" s="2">
        <v>100</v>
      </c>
      <c r="I3144" s="88">
        <f t="shared" si="176"/>
        <v>14794.170000000006</v>
      </c>
      <c r="L3144" s="2">
        <f t="shared" si="175"/>
        <v>0.4</v>
      </c>
    </row>
    <row r="3145" spans="1:12" x14ac:dyDescent="0.3">
      <c r="A3145" s="3">
        <v>45616</v>
      </c>
      <c r="B3145" s="129" t="s">
        <v>6573</v>
      </c>
      <c r="C3145" s="158" t="s">
        <v>6577</v>
      </c>
      <c r="D3145" s="7"/>
      <c r="E3145" s="90" t="s">
        <v>16</v>
      </c>
      <c r="H3145" s="2">
        <v>2000</v>
      </c>
      <c r="I3145" s="88">
        <f t="shared" si="176"/>
        <v>12794.170000000006</v>
      </c>
      <c r="L3145" s="2">
        <f t="shared" si="175"/>
        <v>33</v>
      </c>
    </row>
    <row r="3146" spans="1:12" x14ac:dyDescent="0.3">
      <c r="A3146" s="3">
        <v>45616</v>
      </c>
      <c r="B3146" s="11" t="s">
        <v>4762</v>
      </c>
      <c r="C3146" s="51" t="s">
        <v>6578</v>
      </c>
      <c r="D3146" s="7"/>
      <c r="G3146" s="2">
        <v>4900</v>
      </c>
      <c r="I3146" s="88">
        <f t="shared" si="176"/>
        <v>17694.170000000006</v>
      </c>
      <c r="L3146" s="2">
        <f t="shared" si="175"/>
        <v>19.600000000000001</v>
      </c>
    </row>
    <row r="3147" spans="1:12" x14ac:dyDescent="0.3">
      <c r="A3147" s="3">
        <v>45616</v>
      </c>
      <c r="B3147" s="11" t="s">
        <v>1250</v>
      </c>
      <c r="C3147" s="51" t="s">
        <v>6579</v>
      </c>
      <c r="D3147" s="7"/>
      <c r="G3147" s="2">
        <v>10000</v>
      </c>
      <c r="I3147" s="88">
        <f t="shared" si="176"/>
        <v>27694.170000000006</v>
      </c>
      <c r="L3147" s="2">
        <f t="shared" si="175"/>
        <v>20</v>
      </c>
    </row>
    <row r="3148" spans="1:12" x14ac:dyDescent="0.3">
      <c r="A3148" s="3">
        <v>45616</v>
      </c>
      <c r="B3148" s="11" t="s">
        <v>5312</v>
      </c>
      <c r="C3148" s="51" t="s">
        <v>6580</v>
      </c>
      <c r="D3148" s="7"/>
      <c r="G3148" s="2">
        <v>10000</v>
      </c>
      <c r="I3148" s="88">
        <f t="shared" si="176"/>
        <v>37694.170000000006</v>
      </c>
      <c r="L3148" s="2">
        <f t="shared" si="175"/>
        <v>20</v>
      </c>
    </row>
    <row r="3149" spans="1:12" x14ac:dyDescent="0.3">
      <c r="A3149" s="3">
        <v>45616</v>
      </c>
      <c r="B3149" s="11" t="s">
        <v>5542</v>
      </c>
      <c r="C3149" s="51" t="s">
        <v>6581</v>
      </c>
      <c r="D3149" s="7">
        <v>6203537599</v>
      </c>
      <c r="G3149" s="2">
        <v>10000</v>
      </c>
      <c r="I3149" s="88">
        <f t="shared" si="176"/>
        <v>47694.170000000006</v>
      </c>
      <c r="L3149" s="2">
        <f t="shared" si="175"/>
        <v>20</v>
      </c>
    </row>
    <row r="3150" spans="1:12" x14ac:dyDescent="0.3">
      <c r="A3150" s="3">
        <v>45616</v>
      </c>
      <c r="B3150" s="11" t="s">
        <v>2490</v>
      </c>
      <c r="C3150" s="51" t="s">
        <v>1388</v>
      </c>
      <c r="D3150" s="7"/>
      <c r="H3150" s="2">
        <v>40000</v>
      </c>
      <c r="I3150" s="88">
        <f t="shared" si="176"/>
        <v>7694.1700000000055</v>
      </c>
      <c r="L3150" s="2">
        <f t="shared" si="175"/>
        <v>20</v>
      </c>
    </row>
    <row r="3151" spans="1:12" x14ac:dyDescent="0.3">
      <c r="A3151" s="3">
        <v>45616</v>
      </c>
      <c r="B3151" s="11" t="s">
        <v>6582</v>
      </c>
      <c r="C3151" s="51" t="s">
        <v>6583</v>
      </c>
      <c r="D3151" s="7"/>
      <c r="G3151" s="2">
        <v>3500</v>
      </c>
      <c r="I3151" s="88">
        <f t="shared" si="176"/>
        <v>11194.170000000006</v>
      </c>
      <c r="L3151" s="2">
        <f t="shared" si="175"/>
        <v>14</v>
      </c>
    </row>
    <row r="3152" spans="1:12" x14ac:dyDescent="0.3">
      <c r="A3152" s="3">
        <v>45616</v>
      </c>
      <c r="B3152" s="11" t="s">
        <v>6584</v>
      </c>
      <c r="C3152" s="51" t="s">
        <v>1677</v>
      </c>
      <c r="D3152" s="7"/>
      <c r="G3152" s="2">
        <v>6500</v>
      </c>
      <c r="I3152" s="88">
        <f t="shared" ref="I3152:I3180" si="177">I3151+G3152-H3152</f>
        <v>17694.170000000006</v>
      </c>
      <c r="L3152" s="2">
        <f t="shared" si="175"/>
        <v>20</v>
      </c>
    </row>
    <row r="3153" spans="1:12" x14ac:dyDescent="0.3">
      <c r="A3153" s="3">
        <v>45617</v>
      </c>
      <c r="B3153" s="11" t="s">
        <v>6260</v>
      </c>
      <c r="C3153" s="51" t="s">
        <v>6259</v>
      </c>
      <c r="D3153" s="7"/>
      <c r="H3153" s="2">
        <v>7500</v>
      </c>
      <c r="I3153" s="88">
        <f t="shared" si="177"/>
        <v>10194.170000000006</v>
      </c>
      <c r="L3153" s="2">
        <f t="shared" si="175"/>
        <v>20</v>
      </c>
    </row>
    <row r="3154" spans="1:12" x14ac:dyDescent="0.3">
      <c r="A3154" s="3">
        <v>45617</v>
      </c>
      <c r="B3154" s="11" t="s">
        <v>6589</v>
      </c>
      <c r="C3154" s="51" t="s">
        <v>6590</v>
      </c>
      <c r="D3154" s="7"/>
      <c r="G3154" s="2">
        <v>10000</v>
      </c>
      <c r="I3154" s="88">
        <f t="shared" si="177"/>
        <v>20194.170000000006</v>
      </c>
      <c r="L3154" s="2">
        <f t="shared" si="175"/>
        <v>20</v>
      </c>
    </row>
    <row r="3155" spans="1:12" x14ac:dyDescent="0.3">
      <c r="A3155" s="3">
        <v>45617</v>
      </c>
      <c r="B3155" s="11" t="s">
        <v>6591</v>
      </c>
      <c r="C3155" s="51" t="s">
        <v>6592</v>
      </c>
      <c r="D3155" s="7"/>
      <c r="G3155" s="2">
        <v>4000</v>
      </c>
      <c r="I3155" s="88">
        <f t="shared" si="177"/>
        <v>24194.170000000006</v>
      </c>
      <c r="L3155" s="2">
        <f t="shared" si="175"/>
        <v>16</v>
      </c>
    </row>
    <row r="3156" spans="1:12" x14ac:dyDescent="0.3">
      <c r="A3156" s="3">
        <v>45617</v>
      </c>
      <c r="B3156" s="11" t="s">
        <v>1388</v>
      </c>
      <c r="C3156" s="51" t="s">
        <v>6593</v>
      </c>
      <c r="D3156" s="7"/>
      <c r="H3156" s="2">
        <v>20000</v>
      </c>
      <c r="I3156" s="88">
        <f t="shared" si="177"/>
        <v>4194.1700000000055</v>
      </c>
      <c r="L3156" s="2">
        <f t="shared" si="175"/>
        <v>20</v>
      </c>
    </row>
    <row r="3157" spans="1:12" x14ac:dyDescent="0.3">
      <c r="A3157" s="3">
        <v>45617</v>
      </c>
      <c r="B3157" s="11" t="s">
        <v>1250</v>
      </c>
      <c r="C3157" s="51" t="s">
        <v>5124</v>
      </c>
      <c r="D3157" s="7"/>
      <c r="G3157" s="2">
        <v>150</v>
      </c>
      <c r="I3157" s="88">
        <f t="shared" si="177"/>
        <v>4344.1700000000055</v>
      </c>
      <c r="L3157" s="2">
        <f t="shared" si="175"/>
        <v>0.6</v>
      </c>
    </row>
    <row r="3158" spans="1:12" x14ac:dyDescent="0.3">
      <c r="A3158" s="3">
        <v>45617</v>
      </c>
      <c r="B3158" s="11" t="s">
        <v>1250</v>
      </c>
      <c r="C3158" s="51" t="s">
        <v>2616</v>
      </c>
      <c r="D3158" s="7"/>
      <c r="G3158" s="2">
        <v>3000</v>
      </c>
      <c r="I3158" s="88">
        <f t="shared" si="177"/>
        <v>7344.1700000000055</v>
      </c>
      <c r="L3158" s="2">
        <f t="shared" si="175"/>
        <v>12</v>
      </c>
    </row>
    <row r="3159" spans="1:12" x14ac:dyDescent="0.3">
      <c r="A3159" s="3">
        <v>45617</v>
      </c>
      <c r="B3159" s="11" t="s">
        <v>1250</v>
      </c>
      <c r="C3159" s="107" t="s">
        <v>4215</v>
      </c>
      <c r="D3159" s="8"/>
      <c r="E3159" s="97"/>
      <c r="F3159" s="10"/>
      <c r="G3159" s="64">
        <v>1000</v>
      </c>
      <c r="I3159" s="88">
        <f t="shared" si="177"/>
        <v>8344.1700000000055</v>
      </c>
      <c r="L3159" s="2">
        <f t="shared" si="175"/>
        <v>4</v>
      </c>
    </row>
    <row r="3160" spans="1:12" x14ac:dyDescent="0.3">
      <c r="A3160" s="3">
        <v>45617</v>
      </c>
      <c r="B3160" s="11" t="s">
        <v>5383</v>
      </c>
      <c r="C3160" s="160" t="s">
        <v>6176</v>
      </c>
      <c r="D3160" s="126"/>
      <c r="E3160" s="127"/>
      <c r="F3160" s="128"/>
      <c r="G3160" s="74">
        <v>1500</v>
      </c>
      <c r="I3160" s="88">
        <f t="shared" si="177"/>
        <v>9844.1700000000055</v>
      </c>
      <c r="L3160" s="2">
        <f t="shared" si="175"/>
        <v>6</v>
      </c>
    </row>
    <row r="3161" spans="1:12" x14ac:dyDescent="0.3">
      <c r="A3161" s="3">
        <v>45617</v>
      </c>
      <c r="B3161" s="11">
        <v>4071</v>
      </c>
      <c r="C3161" s="51" t="s">
        <v>6596</v>
      </c>
      <c r="D3161" s="2"/>
      <c r="E3161" s="4"/>
      <c r="F3161" s="2"/>
      <c r="G3161" s="2">
        <v>1100</v>
      </c>
      <c r="I3161" s="88">
        <f t="shared" si="177"/>
        <v>10944.170000000006</v>
      </c>
      <c r="L3161" s="2">
        <f t="shared" si="175"/>
        <v>4.4000000000000004</v>
      </c>
    </row>
    <row r="3162" spans="1:12" x14ac:dyDescent="0.3">
      <c r="A3162" s="3">
        <v>45617</v>
      </c>
      <c r="B3162" s="11" t="s">
        <v>1388</v>
      </c>
      <c r="C3162" s="51" t="s">
        <v>6597</v>
      </c>
      <c r="D3162" s="2"/>
      <c r="E3162" s="4"/>
      <c r="F3162" s="2"/>
      <c r="H3162" s="2">
        <v>3000</v>
      </c>
      <c r="I3162" s="88">
        <f t="shared" si="177"/>
        <v>7944.1700000000055</v>
      </c>
      <c r="L3162" s="2">
        <f t="shared" si="175"/>
        <v>12</v>
      </c>
    </row>
    <row r="3163" spans="1:12" x14ac:dyDescent="0.3">
      <c r="A3163" s="109">
        <v>45618</v>
      </c>
      <c r="C3163" s="51" t="s">
        <v>6598</v>
      </c>
      <c r="D3163" s="2"/>
      <c r="E3163" s="4"/>
      <c r="F3163" s="2"/>
      <c r="G3163" s="2">
        <v>10000</v>
      </c>
      <c r="I3163" s="88">
        <f t="shared" si="177"/>
        <v>17944.170000000006</v>
      </c>
      <c r="L3163" s="2">
        <f t="shared" si="175"/>
        <v>20</v>
      </c>
    </row>
    <row r="3164" spans="1:12" x14ac:dyDescent="0.3">
      <c r="A3164" s="109">
        <v>45618</v>
      </c>
      <c r="B3164" s="11" t="s">
        <v>6260</v>
      </c>
      <c r="C3164" s="51" t="s">
        <v>6259</v>
      </c>
      <c r="D3164" s="2"/>
      <c r="E3164" s="4"/>
      <c r="F3164" s="2"/>
      <c r="H3164" s="2">
        <v>9000</v>
      </c>
      <c r="I3164" s="88">
        <f t="shared" si="177"/>
        <v>8944.1700000000055</v>
      </c>
      <c r="L3164" s="2">
        <f t="shared" si="175"/>
        <v>20</v>
      </c>
    </row>
    <row r="3165" spans="1:12" x14ac:dyDescent="0.3">
      <c r="A3165" s="109">
        <v>45618</v>
      </c>
      <c r="B3165" s="11">
        <v>5454</v>
      </c>
      <c r="C3165" s="50" t="s">
        <v>4684</v>
      </c>
      <c r="D3165" s="2"/>
      <c r="E3165" s="4"/>
      <c r="F3165" s="2"/>
      <c r="G3165" s="2">
        <v>1000</v>
      </c>
      <c r="I3165" s="88">
        <f t="shared" si="177"/>
        <v>9944.1700000000055</v>
      </c>
      <c r="L3165" s="2">
        <f t="shared" si="175"/>
        <v>4</v>
      </c>
    </row>
    <row r="3166" spans="1:12" x14ac:dyDescent="0.3">
      <c r="A3166" s="109">
        <v>45618</v>
      </c>
      <c r="B3166" s="11">
        <v>2028</v>
      </c>
      <c r="C3166" s="50" t="s">
        <v>3673</v>
      </c>
      <c r="D3166" s="2"/>
      <c r="E3166" s="4"/>
      <c r="F3166" s="2"/>
      <c r="G3166" s="2">
        <v>3000</v>
      </c>
      <c r="I3166" s="88">
        <f t="shared" si="177"/>
        <v>12944.170000000006</v>
      </c>
      <c r="L3166" s="2">
        <f t="shared" si="175"/>
        <v>12</v>
      </c>
    </row>
    <row r="3167" spans="1:12" x14ac:dyDescent="0.3">
      <c r="A3167" s="109">
        <v>45618</v>
      </c>
      <c r="B3167" s="11">
        <v>2432</v>
      </c>
      <c r="C3167" s="51" t="s">
        <v>6246</v>
      </c>
      <c r="D3167" s="2"/>
      <c r="E3167" s="4"/>
      <c r="F3167" s="2"/>
      <c r="G3167" s="2">
        <v>2000</v>
      </c>
      <c r="I3167" s="88">
        <f t="shared" si="177"/>
        <v>14944.170000000006</v>
      </c>
      <c r="L3167" s="2">
        <f t="shared" si="175"/>
        <v>8</v>
      </c>
    </row>
    <row r="3168" spans="1:12" x14ac:dyDescent="0.3">
      <c r="A3168" s="109">
        <v>45618</v>
      </c>
      <c r="B3168" s="11">
        <v>8638</v>
      </c>
      <c r="C3168" s="51" t="s">
        <v>6600</v>
      </c>
      <c r="D3168" s="2"/>
      <c r="E3168" s="4"/>
      <c r="F3168" s="2"/>
      <c r="G3168" s="2">
        <v>1000</v>
      </c>
      <c r="I3168" s="88">
        <f t="shared" si="177"/>
        <v>15944.170000000006</v>
      </c>
      <c r="L3168" s="2">
        <f t="shared" si="175"/>
        <v>4</v>
      </c>
    </row>
    <row r="3169" spans="1:14" x14ac:dyDescent="0.3">
      <c r="A3169" s="109">
        <v>45618</v>
      </c>
      <c r="B3169" s="11" t="s">
        <v>3915</v>
      </c>
      <c r="C3169" s="51" t="s">
        <v>4085</v>
      </c>
      <c r="D3169" s="2"/>
      <c r="E3169" s="4"/>
      <c r="F3169" s="2"/>
      <c r="G3169" s="2">
        <v>5000</v>
      </c>
      <c r="I3169" s="88">
        <f t="shared" si="177"/>
        <v>20944.170000000006</v>
      </c>
      <c r="L3169" s="2">
        <f t="shared" si="175"/>
        <v>20</v>
      </c>
    </row>
    <row r="3170" spans="1:14" x14ac:dyDescent="0.3">
      <c r="A3170" s="109">
        <v>45618</v>
      </c>
      <c r="B3170" s="11" t="s">
        <v>6355</v>
      </c>
      <c r="C3170" s="51" t="s">
        <v>6610</v>
      </c>
      <c r="D3170" s="2"/>
      <c r="E3170" s="4"/>
      <c r="F3170" s="2"/>
      <c r="G3170" s="2">
        <v>10000</v>
      </c>
      <c r="I3170" s="88">
        <f t="shared" si="177"/>
        <v>30944.170000000006</v>
      </c>
      <c r="L3170" s="2">
        <f t="shared" si="175"/>
        <v>20</v>
      </c>
    </row>
    <row r="3171" spans="1:14" x14ac:dyDescent="0.3">
      <c r="A3171" s="109">
        <v>45618</v>
      </c>
      <c r="B3171" s="11">
        <v>5792</v>
      </c>
      <c r="C3171" s="51" t="s">
        <v>6608</v>
      </c>
      <c r="D3171" s="2"/>
      <c r="E3171" s="4" t="s">
        <v>14</v>
      </c>
      <c r="F3171" s="2"/>
      <c r="H3171" s="2">
        <v>500</v>
      </c>
      <c r="I3171" s="88">
        <f t="shared" si="177"/>
        <v>30444.170000000006</v>
      </c>
      <c r="L3171" s="2">
        <f t="shared" si="175"/>
        <v>27</v>
      </c>
    </row>
    <row r="3172" spans="1:14" x14ac:dyDescent="0.3">
      <c r="A3172" s="109">
        <v>45618</v>
      </c>
      <c r="B3172" s="11" t="s">
        <v>5706</v>
      </c>
      <c r="C3172" s="103" t="s">
        <v>5707</v>
      </c>
      <c r="D3172" s="2"/>
      <c r="E3172" s="4"/>
      <c r="F3172" s="2"/>
      <c r="H3172" s="2">
        <v>10000</v>
      </c>
      <c r="I3172" s="88">
        <f t="shared" si="177"/>
        <v>20444.170000000006</v>
      </c>
      <c r="L3172" s="2">
        <f t="shared" si="175"/>
        <v>20</v>
      </c>
    </row>
    <row r="3173" spans="1:14" x14ac:dyDescent="0.3">
      <c r="A3173" s="109">
        <v>45618</v>
      </c>
      <c r="B3173" s="11" t="s">
        <v>5706</v>
      </c>
      <c r="C3173" s="51" t="s">
        <v>6611</v>
      </c>
      <c r="D3173" s="2"/>
      <c r="E3173" s="4"/>
      <c r="F3173" s="2"/>
      <c r="H3173" s="2">
        <v>15000</v>
      </c>
      <c r="I3173" s="88">
        <f t="shared" si="177"/>
        <v>5444.1700000000055</v>
      </c>
      <c r="L3173" s="2">
        <f t="shared" si="175"/>
        <v>20</v>
      </c>
    </row>
    <row r="3174" spans="1:14" x14ac:dyDescent="0.3">
      <c r="A3174" s="109">
        <v>45618</v>
      </c>
      <c r="B3174" s="11">
        <v>2613</v>
      </c>
      <c r="C3174" s="51" t="s">
        <v>262</v>
      </c>
      <c r="D3174" s="2"/>
      <c r="E3174" s="4"/>
      <c r="F3174" s="2"/>
      <c r="G3174" s="2">
        <v>2000</v>
      </c>
      <c r="I3174" s="88">
        <f t="shared" si="177"/>
        <v>7444.1700000000055</v>
      </c>
      <c r="L3174" s="2">
        <f t="shared" si="175"/>
        <v>8</v>
      </c>
    </row>
    <row r="3175" spans="1:14" x14ac:dyDescent="0.3">
      <c r="A3175" s="109">
        <v>45618</v>
      </c>
      <c r="B3175" s="11">
        <v>4492</v>
      </c>
      <c r="C3175" s="51" t="s">
        <v>6612</v>
      </c>
      <c r="D3175" s="2"/>
      <c r="E3175" s="4"/>
      <c r="F3175" s="2"/>
      <c r="G3175" s="2">
        <v>3000</v>
      </c>
      <c r="I3175" s="88">
        <f t="shared" si="177"/>
        <v>10444.170000000006</v>
      </c>
      <c r="L3175" s="2">
        <f t="shared" si="175"/>
        <v>12</v>
      </c>
    </row>
    <row r="3176" spans="1:14" x14ac:dyDescent="0.3">
      <c r="A3176" s="109">
        <v>45619</v>
      </c>
      <c r="B3176" s="11" t="s">
        <v>2351</v>
      </c>
      <c r="C3176" s="51" t="s">
        <v>6613</v>
      </c>
      <c r="D3176" s="2">
        <v>9200425383</v>
      </c>
      <c r="E3176" s="4"/>
      <c r="F3176" s="2"/>
      <c r="G3176" s="2">
        <v>7000</v>
      </c>
      <c r="I3176" s="88">
        <f t="shared" si="177"/>
        <v>17444.170000000006</v>
      </c>
      <c r="L3176" s="2">
        <f t="shared" si="175"/>
        <v>20</v>
      </c>
    </row>
    <row r="3177" spans="1:14" x14ac:dyDescent="0.3">
      <c r="A3177" s="109">
        <v>45619</v>
      </c>
      <c r="B3177" s="11" t="s">
        <v>1250</v>
      </c>
      <c r="C3177" s="51" t="s">
        <v>6614</v>
      </c>
      <c r="D3177" s="2"/>
      <c r="E3177" s="4"/>
      <c r="F3177" s="2"/>
      <c r="G3177" s="2">
        <v>10000</v>
      </c>
      <c r="I3177" s="88">
        <f t="shared" si="177"/>
        <v>27444.170000000006</v>
      </c>
      <c r="L3177" s="2">
        <f t="shared" si="175"/>
        <v>20</v>
      </c>
    </row>
    <row r="3178" spans="1:14" x14ac:dyDescent="0.3">
      <c r="A3178" s="109">
        <v>45619</v>
      </c>
      <c r="B3178" s="11">
        <v>6469</v>
      </c>
      <c r="C3178" s="51" t="s">
        <v>6577</v>
      </c>
      <c r="D3178" s="2"/>
      <c r="E3178" s="4"/>
      <c r="F3178" s="2"/>
      <c r="H3178" s="2">
        <v>10000</v>
      </c>
      <c r="I3178" s="88">
        <f t="shared" si="177"/>
        <v>17444.170000000006</v>
      </c>
      <c r="L3178" s="2">
        <f t="shared" si="175"/>
        <v>20</v>
      </c>
    </row>
    <row r="3179" spans="1:14" x14ac:dyDescent="0.3">
      <c r="A3179" s="109">
        <v>45619</v>
      </c>
      <c r="B3179" s="11" t="s">
        <v>6260</v>
      </c>
      <c r="C3179" s="51" t="s">
        <v>6259</v>
      </c>
      <c r="D3179" s="2"/>
      <c r="E3179" s="4"/>
      <c r="F3179" s="2"/>
      <c r="H3179" s="2">
        <v>5000</v>
      </c>
      <c r="I3179" s="88">
        <f t="shared" si="177"/>
        <v>12444.170000000006</v>
      </c>
      <c r="L3179" s="2">
        <f t="shared" si="175"/>
        <v>20</v>
      </c>
    </row>
    <row r="3180" spans="1:14" x14ac:dyDescent="0.3">
      <c r="A3180" s="109">
        <v>45619</v>
      </c>
      <c r="B3180" s="11" t="s">
        <v>2241</v>
      </c>
      <c r="C3180" s="51" t="s">
        <v>3975</v>
      </c>
      <c r="D3180" s="2"/>
      <c r="E3180" s="4"/>
      <c r="F3180" s="2"/>
      <c r="G3180" s="2">
        <v>3000</v>
      </c>
      <c r="I3180" s="88">
        <f t="shared" si="177"/>
        <v>15444.170000000006</v>
      </c>
      <c r="L3180" s="2">
        <f t="shared" si="175"/>
        <v>12</v>
      </c>
    </row>
    <row r="3181" spans="1:14" x14ac:dyDescent="0.3">
      <c r="A3181" s="109">
        <v>45619</v>
      </c>
      <c r="B3181" s="11" t="s">
        <v>1250</v>
      </c>
      <c r="C3181" s="51" t="s">
        <v>5806</v>
      </c>
      <c r="D3181" s="2"/>
      <c r="E3181" s="4"/>
      <c r="F3181" s="2"/>
      <c r="G3181" s="2">
        <v>500</v>
      </c>
      <c r="I3181" s="88">
        <f>I3180+G3181-H3181</f>
        <v>15944.170000000006</v>
      </c>
      <c r="L3181" s="2">
        <f t="shared" si="175"/>
        <v>2</v>
      </c>
    </row>
    <row r="3182" spans="1:14" x14ac:dyDescent="0.3">
      <c r="A3182" s="109">
        <v>45619</v>
      </c>
      <c r="B3182" s="11" t="s">
        <v>6616</v>
      </c>
      <c r="C3182" s="65" t="s">
        <v>4115</v>
      </c>
      <c r="E3182" s="9" t="s">
        <v>14</v>
      </c>
      <c r="F3182" s="7"/>
      <c r="G3182" s="7"/>
      <c r="H3182" s="7">
        <v>100</v>
      </c>
      <c r="I3182" s="88">
        <f>I3181+G3182-H3182</f>
        <v>15844.170000000006</v>
      </c>
      <c r="J3182" s="7"/>
      <c r="K3182" s="7"/>
      <c r="L3182" s="2">
        <f t="shared" si="175"/>
        <v>25.4</v>
      </c>
      <c r="M3182" s="7"/>
      <c r="N3182" s="7"/>
    </row>
    <row r="3183" spans="1:14" x14ac:dyDescent="0.3">
      <c r="A3183" s="109">
        <v>45620</v>
      </c>
      <c r="B3183" s="11" t="s">
        <v>6260</v>
      </c>
      <c r="C3183" s="51" t="s">
        <v>6259</v>
      </c>
      <c r="D3183" s="2"/>
      <c r="E3183" s="4"/>
      <c r="F3183" s="2"/>
      <c r="H3183" s="2">
        <v>5000</v>
      </c>
      <c r="I3183" s="88">
        <f t="shared" ref="I3183:I3272" si="178">I3182+G3183-H3183</f>
        <v>10844.170000000006</v>
      </c>
      <c r="L3183" s="2">
        <f t="shared" si="175"/>
        <v>20</v>
      </c>
    </row>
    <row r="3184" spans="1:14" x14ac:dyDescent="0.3">
      <c r="A3184" s="109">
        <v>45620</v>
      </c>
      <c r="B3184" s="11">
        <v>4654</v>
      </c>
      <c r="C3184" s="51" t="s">
        <v>252</v>
      </c>
      <c r="D3184" s="2"/>
      <c r="E3184" s="4"/>
      <c r="F3184" s="2"/>
      <c r="H3184" s="2">
        <v>5000</v>
      </c>
      <c r="I3184" s="88">
        <f t="shared" si="178"/>
        <v>5844.1700000000055</v>
      </c>
      <c r="L3184" s="2">
        <f t="shared" si="175"/>
        <v>20</v>
      </c>
    </row>
    <row r="3185" spans="1:12" x14ac:dyDescent="0.3">
      <c r="A3185" s="109">
        <v>45620</v>
      </c>
      <c r="B3185" s="11">
        <v>5763</v>
      </c>
      <c r="C3185" s="51" t="s">
        <v>6439</v>
      </c>
      <c r="D3185" s="2"/>
      <c r="E3185" s="4"/>
      <c r="F3185" s="2"/>
      <c r="G3185" s="2">
        <v>2700</v>
      </c>
      <c r="I3185" s="88">
        <f t="shared" si="178"/>
        <v>8544.1700000000055</v>
      </c>
      <c r="L3185" s="2">
        <f t="shared" si="175"/>
        <v>10.8</v>
      </c>
    </row>
    <row r="3186" spans="1:12" x14ac:dyDescent="0.3">
      <c r="A3186" s="109">
        <v>45620</v>
      </c>
      <c r="B3186" s="11">
        <v>5665</v>
      </c>
      <c r="C3186" s="51" t="s">
        <v>6619</v>
      </c>
      <c r="D3186" s="2"/>
      <c r="E3186" s="4"/>
      <c r="F3186" s="2"/>
      <c r="G3186" s="2">
        <v>1000</v>
      </c>
      <c r="I3186" s="88">
        <f t="shared" si="178"/>
        <v>9544.1700000000055</v>
      </c>
      <c r="L3186" s="2">
        <f t="shared" si="175"/>
        <v>4</v>
      </c>
    </row>
    <row r="3187" spans="1:12" x14ac:dyDescent="0.3">
      <c r="A3187" s="109">
        <v>45620</v>
      </c>
      <c r="B3187" s="11" t="s">
        <v>6621</v>
      </c>
      <c r="C3187" s="65" t="s">
        <v>6622</v>
      </c>
      <c r="E3187" s="4" t="s">
        <v>16</v>
      </c>
      <c r="F3187" s="2"/>
      <c r="H3187" s="2">
        <v>100</v>
      </c>
      <c r="I3187" s="88">
        <f t="shared" si="178"/>
        <v>9444.1700000000055</v>
      </c>
      <c r="L3187" s="2">
        <f t="shared" si="175"/>
        <v>25.4</v>
      </c>
    </row>
    <row r="3188" spans="1:12" x14ac:dyDescent="0.3">
      <c r="A3188" s="109">
        <v>45620</v>
      </c>
      <c r="B3188" s="11">
        <v>4388</v>
      </c>
      <c r="C3188" s="51" t="s">
        <v>2784</v>
      </c>
      <c r="D3188" s="2"/>
      <c r="E3188" s="4"/>
      <c r="F3188" s="2"/>
      <c r="H3188" s="2">
        <v>500</v>
      </c>
      <c r="I3188" s="88">
        <f t="shared" si="178"/>
        <v>8944.1700000000055</v>
      </c>
      <c r="L3188" s="2">
        <f t="shared" si="175"/>
        <v>2</v>
      </c>
    </row>
    <row r="3189" spans="1:12" x14ac:dyDescent="0.3">
      <c r="A3189" s="109">
        <v>45620</v>
      </c>
      <c r="B3189" s="11">
        <v>4164</v>
      </c>
      <c r="C3189" s="51" t="s">
        <v>2274</v>
      </c>
      <c r="D3189" s="2"/>
      <c r="E3189" s="4"/>
      <c r="F3189" s="2"/>
      <c r="H3189" s="2">
        <v>5000</v>
      </c>
      <c r="I3189" s="88">
        <f t="shared" si="178"/>
        <v>3944.1700000000055</v>
      </c>
      <c r="L3189" s="2">
        <f t="shared" si="175"/>
        <v>20</v>
      </c>
    </row>
    <row r="3190" spans="1:12" x14ac:dyDescent="0.3">
      <c r="A3190" s="109">
        <v>45620</v>
      </c>
      <c r="B3190" s="11" t="s">
        <v>6627</v>
      </c>
      <c r="C3190" s="65" t="s">
        <v>6628</v>
      </c>
      <c r="E3190" s="4"/>
      <c r="F3190" s="2"/>
      <c r="H3190" s="2">
        <v>100</v>
      </c>
      <c r="I3190" s="88">
        <f t="shared" si="178"/>
        <v>3844.1700000000055</v>
      </c>
      <c r="L3190" s="2">
        <f t="shared" si="175"/>
        <v>0.4</v>
      </c>
    </row>
    <row r="3191" spans="1:12" x14ac:dyDescent="0.3">
      <c r="A3191" s="109">
        <v>45620</v>
      </c>
      <c r="B3191" s="11" t="s">
        <v>6632</v>
      </c>
      <c r="C3191" s="65" t="s">
        <v>6633</v>
      </c>
      <c r="E3191" s="4" t="s">
        <v>16</v>
      </c>
      <c r="F3191" s="2"/>
      <c r="H3191" s="2">
        <v>200</v>
      </c>
      <c r="I3191" s="88">
        <f t="shared" si="178"/>
        <v>3644.1700000000055</v>
      </c>
      <c r="L3191" s="2">
        <f t="shared" si="175"/>
        <v>25.8</v>
      </c>
    </row>
    <row r="3192" spans="1:12" x14ac:dyDescent="0.3">
      <c r="A3192" s="109">
        <v>45620</v>
      </c>
      <c r="B3192" s="123" t="s">
        <v>4849</v>
      </c>
      <c r="C3192" s="65" t="s">
        <v>6475</v>
      </c>
      <c r="D3192" s="2"/>
      <c r="E3192" s="4"/>
      <c r="F3192" s="2"/>
      <c r="H3192" s="2">
        <v>3600</v>
      </c>
      <c r="I3192" s="88">
        <f t="shared" si="178"/>
        <v>44.17000000000553</v>
      </c>
      <c r="L3192" s="2">
        <f t="shared" si="175"/>
        <v>14.4</v>
      </c>
    </row>
    <row r="3193" spans="1:12" x14ac:dyDescent="0.3">
      <c r="A3193" s="109">
        <v>45620</v>
      </c>
      <c r="B3193" s="11" t="s">
        <v>1160</v>
      </c>
      <c r="C3193" s="65" t="s">
        <v>6636</v>
      </c>
      <c r="D3193" s="2"/>
      <c r="E3193" s="4"/>
      <c r="F3193" s="2"/>
      <c r="G3193" s="2">
        <v>1000</v>
      </c>
      <c r="I3193" s="88">
        <f t="shared" si="178"/>
        <v>1044.1700000000055</v>
      </c>
      <c r="L3193" s="2">
        <f t="shared" si="175"/>
        <v>4</v>
      </c>
    </row>
    <row r="3194" spans="1:12" x14ac:dyDescent="0.3">
      <c r="A3194" s="3">
        <v>45621</v>
      </c>
      <c r="B3194" s="11" t="s">
        <v>6639</v>
      </c>
      <c r="C3194" s="65" t="s">
        <v>6640</v>
      </c>
      <c r="E3194" s="4" t="s">
        <v>16</v>
      </c>
      <c r="F3194" s="2"/>
      <c r="H3194" s="2">
        <v>200</v>
      </c>
      <c r="I3194" s="88">
        <f t="shared" si="178"/>
        <v>844.17000000000553</v>
      </c>
      <c r="L3194" s="2">
        <f t="shared" si="175"/>
        <v>25.8</v>
      </c>
    </row>
    <row r="3195" spans="1:12" x14ac:dyDescent="0.3">
      <c r="A3195" s="3">
        <v>45621</v>
      </c>
      <c r="B3195" s="11" t="s">
        <v>3474</v>
      </c>
      <c r="C3195" s="65" t="s">
        <v>6643</v>
      </c>
      <c r="D3195" s="2"/>
      <c r="E3195" s="4"/>
      <c r="F3195" s="2"/>
      <c r="G3195" s="2">
        <v>600</v>
      </c>
      <c r="I3195" s="88">
        <f t="shared" si="178"/>
        <v>1444.1700000000055</v>
      </c>
      <c r="L3195" s="2">
        <f t="shared" si="175"/>
        <v>2.4</v>
      </c>
    </row>
    <row r="3196" spans="1:12" x14ac:dyDescent="0.3">
      <c r="A3196" s="3">
        <v>45621</v>
      </c>
      <c r="B3196" s="11">
        <v>5044</v>
      </c>
      <c r="C3196" s="65" t="s">
        <v>6644</v>
      </c>
      <c r="D3196" s="2"/>
      <c r="E3196" s="4"/>
      <c r="F3196" s="2"/>
      <c r="G3196" s="2">
        <v>3000</v>
      </c>
      <c r="I3196" s="88">
        <f t="shared" si="178"/>
        <v>4444.1700000000055</v>
      </c>
      <c r="L3196" s="2">
        <f t="shared" si="175"/>
        <v>12</v>
      </c>
    </row>
    <row r="3197" spans="1:12" x14ac:dyDescent="0.3">
      <c r="A3197" s="3">
        <v>45621</v>
      </c>
      <c r="B3197" s="11" t="s">
        <v>1160</v>
      </c>
      <c r="C3197" s="65" t="s">
        <v>6646</v>
      </c>
      <c r="D3197" s="2"/>
      <c r="E3197" s="4"/>
      <c r="F3197" s="2"/>
      <c r="G3197" s="2">
        <v>5000</v>
      </c>
      <c r="I3197" s="88">
        <f t="shared" si="178"/>
        <v>9444.1700000000055</v>
      </c>
      <c r="L3197" s="2">
        <f t="shared" si="175"/>
        <v>20</v>
      </c>
    </row>
    <row r="3198" spans="1:12" x14ac:dyDescent="0.3">
      <c r="A3198" s="3">
        <v>45621</v>
      </c>
      <c r="B3198" s="11" t="s">
        <v>3474</v>
      </c>
      <c r="C3198" s="65" t="s">
        <v>6563</v>
      </c>
      <c r="D3198" s="2"/>
      <c r="E3198" s="4"/>
      <c r="F3198" s="2"/>
      <c r="G3198" s="2">
        <v>3500</v>
      </c>
      <c r="I3198" s="88">
        <f t="shared" si="178"/>
        <v>12944.170000000006</v>
      </c>
      <c r="L3198" s="2">
        <f t="shared" si="175"/>
        <v>14</v>
      </c>
    </row>
    <row r="3199" spans="1:12" x14ac:dyDescent="0.3">
      <c r="A3199" s="3">
        <v>45621</v>
      </c>
      <c r="B3199" s="11">
        <v>5555</v>
      </c>
      <c r="C3199" s="65" t="s">
        <v>6647</v>
      </c>
      <c r="D3199" s="2"/>
      <c r="E3199" s="4"/>
      <c r="F3199" s="2"/>
      <c r="G3199" s="2">
        <v>1500</v>
      </c>
      <c r="I3199" s="88">
        <f t="shared" si="178"/>
        <v>14444.170000000006</v>
      </c>
      <c r="L3199" s="2">
        <f t="shared" si="175"/>
        <v>6</v>
      </c>
    </row>
    <row r="3200" spans="1:12" x14ac:dyDescent="0.3">
      <c r="A3200" s="3">
        <v>45621</v>
      </c>
      <c r="B3200" s="11" t="s">
        <v>6649</v>
      </c>
      <c r="C3200" s="65" t="s">
        <v>6650</v>
      </c>
      <c r="E3200" s="4" t="s">
        <v>16</v>
      </c>
      <c r="F3200" s="2"/>
      <c r="H3200" s="2">
        <v>200</v>
      </c>
      <c r="I3200" s="88">
        <f t="shared" si="178"/>
        <v>14244.170000000006</v>
      </c>
      <c r="L3200" s="2">
        <f t="shared" si="175"/>
        <v>25.8</v>
      </c>
    </row>
    <row r="3201" spans="1:12" x14ac:dyDescent="0.3">
      <c r="A3201" s="3">
        <v>45621</v>
      </c>
      <c r="B3201" s="11">
        <v>4143</v>
      </c>
      <c r="C3201" s="65" t="s">
        <v>6651</v>
      </c>
      <c r="D3201" s="2"/>
      <c r="E3201" s="4"/>
      <c r="F3201" s="2"/>
      <c r="G3201" s="2">
        <v>1500</v>
      </c>
      <c r="I3201" s="88">
        <f t="shared" si="178"/>
        <v>15744.170000000006</v>
      </c>
      <c r="L3201" s="2">
        <f t="shared" si="175"/>
        <v>6</v>
      </c>
    </row>
    <row r="3202" spans="1:12" x14ac:dyDescent="0.3">
      <c r="A3202" s="3">
        <v>45621</v>
      </c>
      <c r="B3202" s="11" t="s">
        <v>6654</v>
      </c>
      <c r="C3202" s="65" t="s">
        <v>6655</v>
      </c>
      <c r="E3202" s="4" t="s">
        <v>14</v>
      </c>
      <c r="F3202" s="2"/>
      <c r="H3202" s="2">
        <v>100</v>
      </c>
      <c r="I3202" s="88">
        <f t="shared" si="178"/>
        <v>15644.170000000006</v>
      </c>
      <c r="L3202" s="2">
        <f t="shared" si="175"/>
        <v>25.4</v>
      </c>
    </row>
    <row r="3203" spans="1:12" x14ac:dyDescent="0.3">
      <c r="A3203" s="3">
        <v>45621</v>
      </c>
      <c r="B3203" s="11" t="s">
        <v>1250</v>
      </c>
      <c r="C3203" s="65" t="s">
        <v>6658</v>
      </c>
      <c r="D3203" s="2"/>
      <c r="E3203" s="4"/>
      <c r="F3203" s="2"/>
      <c r="G3203" s="2">
        <v>3000</v>
      </c>
      <c r="I3203" s="88">
        <f t="shared" si="178"/>
        <v>18644.170000000006</v>
      </c>
      <c r="L3203" s="2">
        <f t="shared" si="175"/>
        <v>12</v>
      </c>
    </row>
    <row r="3204" spans="1:12" x14ac:dyDescent="0.3">
      <c r="A3204" s="3">
        <v>45621</v>
      </c>
      <c r="B3204" s="11" t="s">
        <v>6660</v>
      </c>
      <c r="C3204" s="65" t="s">
        <v>6661</v>
      </c>
      <c r="E3204" s="4" t="s">
        <v>14</v>
      </c>
      <c r="F3204" s="2"/>
      <c r="H3204" s="2">
        <v>100</v>
      </c>
      <c r="I3204" s="88">
        <f t="shared" si="178"/>
        <v>18544.170000000006</v>
      </c>
      <c r="L3204" s="2">
        <f t="shared" si="175"/>
        <v>25.4</v>
      </c>
    </row>
    <row r="3205" spans="1:12" x14ac:dyDescent="0.3">
      <c r="A3205" s="3">
        <v>45621</v>
      </c>
      <c r="B3205" s="11" t="s">
        <v>6665</v>
      </c>
      <c r="C3205" s="65" t="s">
        <v>6664</v>
      </c>
      <c r="D3205" s="2"/>
      <c r="E3205" s="4"/>
      <c r="F3205" s="2"/>
      <c r="H3205" s="2">
        <v>12500</v>
      </c>
      <c r="I3205" s="88">
        <f t="shared" si="178"/>
        <v>6044.1700000000055</v>
      </c>
      <c r="L3205" s="2">
        <f t="shared" si="175"/>
        <v>20</v>
      </c>
    </row>
    <row r="3206" spans="1:12" x14ac:dyDescent="0.3">
      <c r="A3206" s="3">
        <v>45621</v>
      </c>
      <c r="B3206" s="11">
        <v>4164</v>
      </c>
      <c r="C3206" s="65" t="s">
        <v>2289</v>
      </c>
      <c r="D3206" s="2"/>
      <c r="E3206" s="4"/>
      <c r="F3206" s="2"/>
      <c r="H3206" s="2">
        <v>4000</v>
      </c>
      <c r="I3206" s="88">
        <f t="shared" si="178"/>
        <v>2044.1700000000055</v>
      </c>
      <c r="L3206" s="2">
        <f t="shared" si="175"/>
        <v>16</v>
      </c>
    </row>
    <row r="3207" spans="1:12" x14ac:dyDescent="0.3">
      <c r="A3207" s="3">
        <v>45621</v>
      </c>
      <c r="B3207" s="11" t="s">
        <v>6666</v>
      </c>
      <c r="C3207" s="65" t="s">
        <v>6667</v>
      </c>
      <c r="D3207" s="2"/>
      <c r="E3207" s="4"/>
      <c r="F3207" s="2"/>
      <c r="G3207" s="2">
        <v>7000</v>
      </c>
      <c r="I3207" s="88">
        <f t="shared" si="178"/>
        <v>9044.1700000000055</v>
      </c>
      <c r="L3207" s="2">
        <f t="shared" si="175"/>
        <v>20</v>
      </c>
    </row>
    <row r="3208" spans="1:12" x14ac:dyDescent="0.3">
      <c r="A3208" s="3">
        <v>45621</v>
      </c>
      <c r="B3208" s="11">
        <v>1972</v>
      </c>
      <c r="C3208" s="65" t="s">
        <v>6668</v>
      </c>
      <c r="D3208" s="2"/>
      <c r="E3208" s="4"/>
      <c r="F3208" s="2"/>
      <c r="G3208" s="2">
        <v>5000</v>
      </c>
      <c r="I3208" s="88">
        <f t="shared" si="178"/>
        <v>14044.170000000006</v>
      </c>
      <c r="L3208" s="2">
        <f t="shared" si="175"/>
        <v>20</v>
      </c>
    </row>
    <row r="3209" spans="1:12" x14ac:dyDescent="0.3">
      <c r="A3209" s="3">
        <v>45621</v>
      </c>
      <c r="B3209" s="11" t="s">
        <v>6671</v>
      </c>
      <c r="C3209" s="65" t="s">
        <v>6670</v>
      </c>
      <c r="E3209" s="4" t="s">
        <v>16</v>
      </c>
      <c r="F3209" s="2"/>
      <c r="H3209" s="2">
        <v>100</v>
      </c>
      <c r="I3209" s="88">
        <f t="shared" si="178"/>
        <v>13944.170000000006</v>
      </c>
      <c r="L3209" s="2">
        <f t="shared" si="175"/>
        <v>25.4</v>
      </c>
    </row>
    <row r="3210" spans="1:12" x14ac:dyDescent="0.3">
      <c r="A3210" s="3">
        <v>45621</v>
      </c>
      <c r="B3210" s="11" t="s">
        <v>6676</v>
      </c>
      <c r="C3210" s="65" t="s">
        <v>6677</v>
      </c>
      <c r="E3210" s="4" t="s">
        <v>16</v>
      </c>
      <c r="F3210" s="2"/>
      <c r="H3210" s="2">
        <v>2000</v>
      </c>
      <c r="I3210" s="88">
        <f t="shared" si="178"/>
        <v>11944.170000000006</v>
      </c>
      <c r="L3210" s="2">
        <f>IF((G3210+H3210)&lt;=5000,(H3210+G3210)*0.004,20)+IF(C3211="Y",25,0)</f>
        <v>8</v>
      </c>
    </row>
    <row r="3211" spans="1:12" x14ac:dyDescent="0.3">
      <c r="A3211" s="3">
        <v>45621</v>
      </c>
      <c r="B3211" s="129" t="s">
        <v>6678</v>
      </c>
      <c r="C3211" s="159" t="s">
        <v>6679</v>
      </c>
      <c r="D3211" s="2"/>
      <c r="E3211" s="4" t="s">
        <v>16</v>
      </c>
      <c r="F3211" s="2"/>
      <c r="H3211" s="2">
        <v>2000</v>
      </c>
      <c r="I3211" s="88">
        <f t="shared" si="178"/>
        <v>9944.1700000000055</v>
      </c>
      <c r="L3211" s="2">
        <f t="shared" si="175"/>
        <v>33</v>
      </c>
    </row>
    <row r="3212" spans="1:12" x14ac:dyDescent="0.3">
      <c r="A3212" s="3">
        <v>45621</v>
      </c>
      <c r="B3212" s="129" t="s">
        <v>6683</v>
      </c>
      <c r="C3212" s="159" t="s">
        <v>1488</v>
      </c>
      <c r="D3212" s="2"/>
      <c r="E3212" s="4" t="s">
        <v>14</v>
      </c>
      <c r="F3212" s="2"/>
      <c r="H3212" s="2">
        <v>2000</v>
      </c>
      <c r="I3212" s="88">
        <f t="shared" si="178"/>
        <v>7944.1700000000055</v>
      </c>
      <c r="L3212" s="2">
        <f t="shared" si="175"/>
        <v>33</v>
      </c>
    </row>
    <row r="3213" spans="1:12" x14ac:dyDescent="0.3">
      <c r="A3213" s="3">
        <v>45621</v>
      </c>
      <c r="B3213" s="11" t="s">
        <v>4081</v>
      </c>
      <c r="C3213" s="65" t="s">
        <v>4224</v>
      </c>
      <c r="D3213" s="2"/>
      <c r="E3213" s="4"/>
      <c r="F3213" s="2"/>
      <c r="G3213" s="2">
        <v>5000</v>
      </c>
      <c r="I3213" s="88">
        <f t="shared" si="178"/>
        <v>12944.170000000006</v>
      </c>
      <c r="L3213" s="2">
        <f t="shared" si="175"/>
        <v>20</v>
      </c>
    </row>
    <row r="3214" spans="1:12" x14ac:dyDescent="0.3">
      <c r="A3214" s="3">
        <v>45621</v>
      </c>
      <c r="B3214" s="11" t="s">
        <v>6684</v>
      </c>
      <c r="C3214" s="65" t="s">
        <v>6685</v>
      </c>
      <c r="D3214" s="2"/>
      <c r="E3214" s="4"/>
      <c r="F3214" s="2"/>
      <c r="G3214" s="2">
        <v>3000</v>
      </c>
      <c r="I3214" s="88">
        <f t="shared" si="178"/>
        <v>15944.170000000006</v>
      </c>
      <c r="L3214" s="2">
        <f t="shared" si="175"/>
        <v>12</v>
      </c>
    </row>
    <row r="3215" spans="1:12" x14ac:dyDescent="0.3">
      <c r="A3215" s="3">
        <v>45622</v>
      </c>
      <c r="B3215" s="129" t="s">
        <v>6694</v>
      </c>
      <c r="C3215" s="159" t="s">
        <v>6695</v>
      </c>
      <c r="E3215" s="4" t="s">
        <v>16</v>
      </c>
      <c r="F3215" s="2"/>
      <c r="H3215" s="2">
        <v>2000</v>
      </c>
      <c r="I3215" s="88">
        <f t="shared" si="178"/>
        <v>13944.170000000006</v>
      </c>
    </row>
    <row r="3216" spans="1:12" x14ac:dyDescent="0.3">
      <c r="A3216" s="3">
        <v>45622</v>
      </c>
      <c r="B3216" s="123" t="s">
        <v>6698</v>
      </c>
      <c r="C3216" s="65" t="s">
        <v>6699</v>
      </c>
      <c r="D3216" s="2"/>
      <c r="E3216" s="4"/>
      <c r="F3216" s="2"/>
      <c r="G3216" s="2">
        <v>1000</v>
      </c>
      <c r="I3216" s="88">
        <f t="shared" si="178"/>
        <v>14944.170000000006</v>
      </c>
      <c r="L3216" s="2">
        <f t="shared" si="175"/>
        <v>4</v>
      </c>
    </row>
    <row r="3217" spans="1:12" x14ac:dyDescent="0.3">
      <c r="A3217" s="3">
        <v>45622</v>
      </c>
      <c r="B3217" s="123" t="s">
        <v>3232</v>
      </c>
      <c r="C3217" s="65" t="s">
        <v>6425</v>
      </c>
      <c r="D3217" s="2"/>
      <c r="E3217" s="4"/>
      <c r="F3217" s="2"/>
      <c r="G3217" s="2">
        <v>1500</v>
      </c>
      <c r="I3217" s="88">
        <f t="shared" si="178"/>
        <v>16444.170000000006</v>
      </c>
      <c r="L3217" s="2">
        <f t="shared" si="175"/>
        <v>6</v>
      </c>
    </row>
    <row r="3218" spans="1:12" x14ac:dyDescent="0.3">
      <c r="A3218" s="3">
        <v>45622</v>
      </c>
      <c r="B3218" s="123" t="s">
        <v>6700</v>
      </c>
      <c r="C3218" s="65" t="s">
        <v>6259</v>
      </c>
      <c r="D3218" s="2"/>
      <c r="E3218" s="4"/>
      <c r="F3218" s="2"/>
      <c r="H3218" s="2">
        <v>5000</v>
      </c>
      <c r="I3218" s="88">
        <f t="shared" si="178"/>
        <v>11444.170000000006</v>
      </c>
      <c r="L3218" s="2">
        <f t="shared" si="175"/>
        <v>20</v>
      </c>
    </row>
    <row r="3219" spans="1:12" x14ac:dyDescent="0.3">
      <c r="A3219" s="3">
        <v>45622</v>
      </c>
      <c r="B3219" s="123" t="s">
        <v>6701</v>
      </c>
      <c r="C3219" s="65" t="s">
        <v>6702</v>
      </c>
      <c r="D3219" s="2"/>
      <c r="E3219" s="4"/>
      <c r="F3219" s="2"/>
      <c r="G3219" s="2">
        <v>2000</v>
      </c>
      <c r="I3219" s="88">
        <f t="shared" si="178"/>
        <v>13444.170000000006</v>
      </c>
      <c r="L3219" s="2">
        <f t="shared" si="175"/>
        <v>8</v>
      </c>
    </row>
    <row r="3220" spans="1:12" x14ac:dyDescent="0.3">
      <c r="A3220" s="3">
        <v>45622</v>
      </c>
      <c r="B3220" s="123" t="s">
        <v>5115</v>
      </c>
      <c r="C3220" s="65" t="s">
        <v>6704</v>
      </c>
      <c r="D3220" s="2"/>
      <c r="E3220" s="4"/>
      <c r="F3220" s="2"/>
      <c r="H3220" s="2">
        <v>2000</v>
      </c>
      <c r="I3220" s="88">
        <f t="shared" si="178"/>
        <v>11444.170000000006</v>
      </c>
      <c r="L3220" s="2">
        <f t="shared" si="175"/>
        <v>8</v>
      </c>
    </row>
    <row r="3221" spans="1:12" x14ac:dyDescent="0.3">
      <c r="A3221" s="3">
        <v>45622</v>
      </c>
      <c r="B3221" s="11" t="s">
        <v>6706</v>
      </c>
      <c r="C3221" s="65" t="s">
        <v>6707</v>
      </c>
      <c r="E3221" s="4" t="s">
        <v>16</v>
      </c>
      <c r="F3221" s="2"/>
      <c r="H3221" s="2">
        <v>100</v>
      </c>
      <c r="I3221" s="88">
        <f t="shared" si="178"/>
        <v>11344.170000000006</v>
      </c>
      <c r="L3221" s="2">
        <f t="shared" si="175"/>
        <v>25.4</v>
      </c>
    </row>
    <row r="3222" spans="1:12" x14ac:dyDescent="0.3">
      <c r="A3222" s="3">
        <v>45622</v>
      </c>
      <c r="B3222" s="123" t="s">
        <v>1250</v>
      </c>
      <c r="C3222" s="65" t="s">
        <v>3920</v>
      </c>
      <c r="D3222" s="2"/>
      <c r="E3222" s="4"/>
      <c r="F3222" s="2"/>
      <c r="G3222" s="2">
        <v>2050</v>
      </c>
      <c r="I3222" s="88">
        <f t="shared" si="178"/>
        <v>13394.170000000006</v>
      </c>
      <c r="L3222" s="2">
        <f t="shared" si="175"/>
        <v>8.1999999999999993</v>
      </c>
    </row>
    <row r="3223" spans="1:12" x14ac:dyDescent="0.3">
      <c r="A3223" s="3">
        <v>45622</v>
      </c>
      <c r="B3223" s="11" t="s">
        <v>6714</v>
      </c>
      <c r="C3223" s="65" t="s">
        <v>6711</v>
      </c>
      <c r="E3223" s="4" t="s">
        <v>16</v>
      </c>
      <c r="F3223" s="2"/>
      <c r="H3223" s="2">
        <v>500</v>
      </c>
      <c r="I3223" s="88">
        <f t="shared" si="178"/>
        <v>12894.170000000006</v>
      </c>
      <c r="L3223" s="2">
        <f t="shared" si="175"/>
        <v>27</v>
      </c>
    </row>
    <row r="3224" spans="1:12" x14ac:dyDescent="0.3">
      <c r="A3224" s="3">
        <v>45622</v>
      </c>
      <c r="B3224" s="123" t="s">
        <v>3148</v>
      </c>
      <c r="C3224" s="65" t="s">
        <v>6715</v>
      </c>
      <c r="D3224" s="2"/>
      <c r="E3224" s="4"/>
      <c r="F3224" s="2"/>
      <c r="G3224" s="2">
        <v>1000</v>
      </c>
      <c r="I3224" s="88">
        <f t="shared" si="178"/>
        <v>13894.170000000006</v>
      </c>
      <c r="L3224" s="2">
        <f t="shared" si="175"/>
        <v>4</v>
      </c>
    </row>
    <row r="3225" spans="1:12" x14ac:dyDescent="0.3">
      <c r="A3225" s="3">
        <v>45622</v>
      </c>
      <c r="B3225" s="123" t="s">
        <v>3148</v>
      </c>
      <c r="C3225" s="65" t="s">
        <v>6716</v>
      </c>
      <c r="D3225" s="2"/>
      <c r="E3225" s="4"/>
      <c r="F3225" s="2"/>
      <c r="G3225" s="2">
        <v>1000</v>
      </c>
      <c r="I3225" s="88">
        <f t="shared" si="178"/>
        <v>14894.170000000006</v>
      </c>
      <c r="L3225" s="2">
        <f t="shared" si="175"/>
        <v>4</v>
      </c>
    </row>
    <row r="3226" spans="1:12" x14ac:dyDescent="0.3">
      <c r="A3226" s="3">
        <v>45622</v>
      </c>
      <c r="B3226" s="11" t="s">
        <v>2761</v>
      </c>
      <c r="C3226" s="65" t="s">
        <v>5717</v>
      </c>
      <c r="D3226" s="2"/>
      <c r="E3226" s="4"/>
      <c r="F3226" s="2"/>
      <c r="G3226" s="2">
        <v>1500</v>
      </c>
      <c r="I3226" s="88">
        <f t="shared" si="178"/>
        <v>16394.170000000006</v>
      </c>
      <c r="J3226" s="62"/>
      <c r="L3226" s="2">
        <f t="shared" si="175"/>
        <v>6</v>
      </c>
    </row>
    <row r="3227" spans="1:12" x14ac:dyDescent="0.3">
      <c r="A3227" s="3">
        <v>45622</v>
      </c>
      <c r="B3227" s="11" t="s">
        <v>6721</v>
      </c>
      <c r="C3227" s="65" t="s">
        <v>6722</v>
      </c>
      <c r="D3227" s="64"/>
      <c r="E3227" s="4" t="s">
        <v>16</v>
      </c>
      <c r="F3227" s="64"/>
      <c r="G3227" s="64"/>
      <c r="H3227" s="74">
        <v>500</v>
      </c>
      <c r="I3227" s="88">
        <f t="shared" si="178"/>
        <v>15894.170000000006</v>
      </c>
      <c r="L3227" s="2">
        <f t="shared" si="175"/>
        <v>27</v>
      </c>
    </row>
    <row r="3228" spans="1:12" x14ac:dyDescent="0.3">
      <c r="A3228" s="3">
        <v>45622</v>
      </c>
      <c r="B3228" s="11" t="s">
        <v>1250</v>
      </c>
      <c r="C3228" s="65" t="s">
        <v>6717</v>
      </c>
      <c r="D3228" s="2"/>
      <c r="E3228" s="4"/>
      <c r="F3228" s="2"/>
      <c r="G3228" s="2">
        <v>1500</v>
      </c>
      <c r="I3228" s="88">
        <f t="shared" si="178"/>
        <v>17394.170000000006</v>
      </c>
      <c r="L3228" s="2">
        <f t="shared" si="175"/>
        <v>6</v>
      </c>
    </row>
    <row r="3229" spans="1:12" x14ac:dyDescent="0.3">
      <c r="A3229" s="3">
        <v>45622</v>
      </c>
      <c r="B3229" s="11" t="s">
        <v>6718</v>
      </c>
      <c r="C3229" s="65" t="s">
        <v>1273</v>
      </c>
      <c r="D3229" s="2"/>
      <c r="E3229" s="4"/>
      <c r="F3229" s="2"/>
      <c r="G3229" s="2">
        <v>3000</v>
      </c>
      <c r="I3229" s="88">
        <f t="shared" si="178"/>
        <v>20394.170000000006</v>
      </c>
      <c r="L3229" s="2">
        <f t="shared" si="175"/>
        <v>12</v>
      </c>
    </row>
    <row r="3230" spans="1:12" x14ac:dyDescent="0.3">
      <c r="A3230" s="3">
        <v>45622</v>
      </c>
      <c r="B3230" s="11" t="s">
        <v>1250</v>
      </c>
      <c r="C3230" s="65" t="s">
        <v>6725</v>
      </c>
      <c r="D3230" s="2"/>
      <c r="E3230" s="4"/>
      <c r="F3230" s="2"/>
      <c r="G3230" s="2">
        <v>2000</v>
      </c>
      <c r="I3230" s="88">
        <f t="shared" si="178"/>
        <v>22394.170000000006</v>
      </c>
      <c r="L3230" s="2">
        <f t="shared" si="175"/>
        <v>8</v>
      </c>
    </row>
    <row r="3231" spans="1:12" x14ac:dyDescent="0.3">
      <c r="A3231" s="3">
        <v>45622</v>
      </c>
      <c r="B3231" s="11" t="s">
        <v>6726</v>
      </c>
      <c r="C3231" s="65" t="s">
        <v>6727</v>
      </c>
      <c r="D3231" s="2"/>
      <c r="E3231" s="4"/>
      <c r="F3231" s="2"/>
      <c r="G3231" s="2">
        <v>1100</v>
      </c>
      <c r="I3231" s="88">
        <f t="shared" si="178"/>
        <v>23494.170000000006</v>
      </c>
      <c r="L3231" s="2">
        <f t="shared" si="175"/>
        <v>4.4000000000000004</v>
      </c>
    </row>
    <row r="3232" spans="1:12" x14ac:dyDescent="0.3">
      <c r="A3232" s="3">
        <v>45622</v>
      </c>
      <c r="B3232" s="11" t="s">
        <v>6728</v>
      </c>
      <c r="C3232" s="65" t="s">
        <v>268</v>
      </c>
      <c r="D3232" s="2"/>
      <c r="E3232" s="4"/>
      <c r="F3232" s="2"/>
      <c r="G3232" s="2">
        <v>1000</v>
      </c>
      <c r="I3232" s="88">
        <f t="shared" si="178"/>
        <v>24494.170000000006</v>
      </c>
      <c r="L3232" s="2">
        <f t="shared" si="175"/>
        <v>4</v>
      </c>
    </row>
    <row r="3233" spans="1:12" x14ac:dyDescent="0.3">
      <c r="A3233" s="3">
        <v>45622</v>
      </c>
      <c r="B3233" s="11" t="s">
        <v>6733</v>
      </c>
      <c r="C3233" s="65" t="s">
        <v>6732</v>
      </c>
      <c r="E3233" s="4" t="s">
        <v>16</v>
      </c>
      <c r="F3233" s="2"/>
      <c r="H3233" s="2">
        <v>500</v>
      </c>
      <c r="I3233" s="88">
        <f t="shared" si="178"/>
        <v>23994.170000000006</v>
      </c>
      <c r="L3233" s="2">
        <f t="shared" si="175"/>
        <v>27</v>
      </c>
    </row>
    <row r="3234" spans="1:12" x14ac:dyDescent="0.3">
      <c r="A3234" s="3">
        <v>45623</v>
      </c>
      <c r="B3234" s="11" t="s">
        <v>5783</v>
      </c>
      <c r="C3234" s="65" t="s">
        <v>6734</v>
      </c>
      <c r="E3234" s="4"/>
      <c r="F3234" s="2"/>
      <c r="G3234" s="2">
        <v>500</v>
      </c>
      <c r="I3234" s="88">
        <f t="shared" si="178"/>
        <v>24494.170000000006</v>
      </c>
      <c r="L3234" s="2">
        <f t="shared" si="175"/>
        <v>2</v>
      </c>
    </row>
    <row r="3235" spans="1:12" x14ac:dyDescent="0.3">
      <c r="A3235" s="3">
        <v>45623</v>
      </c>
      <c r="B3235" s="11" t="s">
        <v>1250</v>
      </c>
      <c r="C3235" s="65" t="s">
        <v>6577</v>
      </c>
      <c r="E3235" s="4"/>
      <c r="F3235" s="2"/>
      <c r="G3235" s="2">
        <v>3000</v>
      </c>
      <c r="I3235" s="88">
        <f t="shared" si="178"/>
        <v>27494.170000000006</v>
      </c>
      <c r="L3235" s="2">
        <f t="shared" si="175"/>
        <v>12</v>
      </c>
    </row>
    <row r="3236" spans="1:12" x14ac:dyDescent="0.3">
      <c r="A3236" s="3">
        <v>45623</v>
      </c>
      <c r="B3236" s="11" t="s">
        <v>6736</v>
      </c>
      <c r="C3236" s="65"/>
      <c r="E3236" s="4" t="s">
        <v>16</v>
      </c>
      <c r="F3236" s="2"/>
      <c r="H3236" s="2">
        <v>200</v>
      </c>
      <c r="I3236" s="88">
        <f t="shared" si="178"/>
        <v>27294.170000000006</v>
      </c>
      <c r="L3236" s="2">
        <f t="shared" si="175"/>
        <v>25.8</v>
      </c>
    </row>
    <row r="3237" spans="1:12" x14ac:dyDescent="0.3">
      <c r="A3237" s="3">
        <v>45623</v>
      </c>
      <c r="B3237" s="11" t="s">
        <v>1250</v>
      </c>
      <c r="C3237" s="65" t="s">
        <v>5985</v>
      </c>
      <c r="E3237" s="4"/>
      <c r="F3237" s="2"/>
      <c r="G3237" s="2">
        <v>500</v>
      </c>
      <c r="I3237" s="88">
        <f t="shared" si="178"/>
        <v>27794.170000000006</v>
      </c>
      <c r="L3237" s="2">
        <f t="shared" si="175"/>
        <v>2</v>
      </c>
    </row>
    <row r="3238" spans="1:12" x14ac:dyDescent="0.3">
      <c r="A3238" s="3">
        <v>45623</v>
      </c>
      <c r="C3238" s="65" t="s">
        <v>2857</v>
      </c>
      <c r="E3238" s="4"/>
      <c r="F3238" s="2"/>
      <c r="H3238" s="2">
        <v>20000</v>
      </c>
      <c r="I3238" s="88">
        <f t="shared" si="178"/>
        <v>7794.1700000000055</v>
      </c>
    </row>
    <row r="3239" spans="1:12" x14ac:dyDescent="0.3">
      <c r="A3239" s="3">
        <v>45623</v>
      </c>
      <c r="B3239" s="11" t="s">
        <v>6739</v>
      </c>
      <c r="C3239" s="65" t="s">
        <v>339</v>
      </c>
      <c r="E3239" s="4" t="s">
        <v>14</v>
      </c>
      <c r="F3239" s="2"/>
      <c r="H3239" s="2">
        <v>500</v>
      </c>
      <c r="I3239" s="88">
        <f t="shared" si="178"/>
        <v>7294.1700000000055</v>
      </c>
      <c r="L3239" s="2">
        <f t="shared" si="175"/>
        <v>27</v>
      </c>
    </row>
    <row r="3240" spans="1:12" x14ac:dyDescent="0.3">
      <c r="A3240" s="3">
        <v>45623</v>
      </c>
      <c r="B3240" s="11" t="s">
        <v>6743</v>
      </c>
      <c r="C3240" s="65" t="s">
        <v>6744</v>
      </c>
      <c r="E3240" s="4"/>
      <c r="F3240" s="2"/>
      <c r="G3240" s="2">
        <v>2000</v>
      </c>
      <c r="I3240" s="88">
        <f t="shared" si="178"/>
        <v>9294.1700000000055</v>
      </c>
      <c r="L3240" s="2">
        <f t="shared" si="175"/>
        <v>8</v>
      </c>
    </row>
    <row r="3241" spans="1:12" x14ac:dyDescent="0.3">
      <c r="A3241" s="3">
        <v>45623</v>
      </c>
      <c r="B3241" s="11" t="s">
        <v>6746</v>
      </c>
      <c r="C3241" s="65" t="s">
        <v>6747</v>
      </c>
      <c r="E3241" s="4" t="s">
        <v>16</v>
      </c>
      <c r="F3241" s="2"/>
      <c r="H3241" s="2">
        <v>100</v>
      </c>
      <c r="I3241" s="88">
        <f t="shared" si="178"/>
        <v>9194.1700000000055</v>
      </c>
      <c r="L3241" s="2">
        <f t="shared" si="175"/>
        <v>25.4</v>
      </c>
    </row>
    <row r="3242" spans="1:12" x14ac:dyDescent="0.3">
      <c r="A3242" s="3">
        <v>45623</v>
      </c>
      <c r="B3242" s="11" t="s">
        <v>6750</v>
      </c>
      <c r="C3242" s="65" t="s">
        <v>6751</v>
      </c>
      <c r="E3242" s="4" t="s">
        <v>16</v>
      </c>
      <c r="F3242" s="2"/>
      <c r="H3242" s="2">
        <v>200</v>
      </c>
      <c r="I3242" s="88">
        <f t="shared" si="178"/>
        <v>8994.1700000000055</v>
      </c>
      <c r="L3242" s="2">
        <f t="shared" ref="L3242:L3277" si="179">IF((G3242+H3242)&lt;=5000,(H3242+G3242)*0.004,20)+IF(E3242="Y",25,0)</f>
        <v>25.8</v>
      </c>
    </row>
    <row r="3243" spans="1:12" x14ac:dyDescent="0.3">
      <c r="A3243" s="3">
        <v>45623</v>
      </c>
      <c r="B3243" s="11" t="s">
        <v>2241</v>
      </c>
      <c r="C3243" s="65" t="s">
        <v>6755</v>
      </c>
      <c r="E3243" s="4"/>
      <c r="F3243" s="2"/>
      <c r="G3243" s="2">
        <v>1500</v>
      </c>
      <c r="I3243" s="88">
        <f t="shared" si="178"/>
        <v>10494.170000000006</v>
      </c>
      <c r="L3243" s="2">
        <f t="shared" si="179"/>
        <v>6</v>
      </c>
    </row>
    <row r="3244" spans="1:12" x14ac:dyDescent="0.3">
      <c r="A3244" s="3">
        <v>45623</v>
      </c>
      <c r="B3244" s="11" t="s">
        <v>3849</v>
      </c>
      <c r="C3244" s="65" t="s">
        <v>6756</v>
      </c>
      <c r="E3244" s="4"/>
      <c r="F3244" s="2"/>
      <c r="H3244" s="2">
        <v>5000</v>
      </c>
      <c r="I3244" s="88">
        <f t="shared" si="178"/>
        <v>5494.1700000000055</v>
      </c>
      <c r="J3244">
        <v>5244.17</v>
      </c>
      <c r="L3244" s="2">
        <f t="shared" si="179"/>
        <v>20</v>
      </c>
    </row>
    <row r="3245" spans="1:12" x14ac:dyDescent="0.3">
      <c r="A3245" s="3">
        <v>45623</v>
      </c>
      <c r="B3245" s="11" t="s">
        <v>6757</v>
      </c>
      <c r="C3245" s="65" t="s">
        <v>6759</v>
      </c>
      <c r="E3245" s="4" t="s">
        <v>14</v>
      </c>
      <c r="F3245" s="2"/>
      <c r="H3245" s="2">
        <v>500</v>
      </c>
      <c r="I3245" s="88">
        <f t="shared" si="178"/>
        <v>4994.1700000000055</v>
      </c>
      <c r="L3245" s="2">
        <f t="shared" si="179"/>
        <v>27</v>
      </c>
    </row>
    <row r="3246" spans="1:12" x14ac:dyDescent="0.3">
      <c r="A3246" s="3">
        <v>45623</v>
      </c>
      <c r="B3246" s="11" t="s">
        <v>5542</v>
      </c>
      <c r="C3246" s="65" t="s">
        <v>5543</v>
      </c>
      <c r="E3246" s="4"/>
      <c r="F3246" s="2"/>
      <c r="G3246" s="2">
        <v>10000</v>
      </c>
      <c r="I3246" s="88">
        <f t="shared" si="178"/>
        <v>14994.170000000006</v>
      </c>
      <c r="L3246" s="2">
        <f t="shared" si="179"/>
        <v>20</v>
      </c>
    </row>
    <row r="3247" spans="1:12" x14ac:dyDescent="0.3">
      <c r="A3247" s="3">
        <v>45623</v>
      </c>
      <c r="B3247" s="11" t="s">
        <v>5230</v>
      </c>
      <c r="C3247" s="65" t="s">
        <v>6762</v>
      </c>
      <c r="E3247" s="4"/>
      <c r="F3247" s="2"/>
      <c r="H3247" s="2">
        <v>7500</v>
      </c>
      <c r="I3247" s="88">
        <f t="shared" si="178"/>
        <v>7494.1700000000055</v>
      </c>
      <c r="L3247" s="2">
        <f t="shared" si="179"/>
        <v>20</v>
      </c>
    </row>
    <row r="3248" spans="1:12" x14ac:dyDescent="0.3">
      <c r="A3248" s="3">
        <v>45623</v>
      </c>
      <c r="B3248" s="123" t="s">
        <v>6763</v>
      </c>
      <c r="C3248" s="65" t="s">
        <v>6764</v>
      </c>
      <c r="D3248" s="2"/>
      <c r="E3248" s="4"/>
      <c r="F3248" s="2"/>
      <c r="G3248" s="2">
        <v>500</v>
      </c>
      <c r="I3248" s="88">
        <f t="shared" si="178"/>
        <v>7994.1700000000055</v>
      </c>
      <c r="L3248" s="2">
        <f t="shared" si="179"/>
        <v>2</v>
      </c>
    </row>
    <row r="3249" spans="1:12" x14ac:dyDescent="0.3">
      <c r="A3249" s="3">
        <v>45624</v>
      </c>
      <c r="B3249" s="123" t="s">
        <v>5872</v>
      </c>
      <c r="C3249" s="65" t="s">
        <v>5873</v>
      </c>
      <c r="D3249" s="2"/>
      <c r="E3249" s="4"/>
      <c r="F3249" s="2"/>
      <c r="G3249" s="2">
        <v>1000</v>
      </c>
      <c r="I3249" s="88">
        <f t="shared" si="178"/>
        <v>8994.1700000000055</v>
      </c>
      <c r="L3249" s="2">
        <f t="shared" si="179"/>
        <v>4</v>
      </c>
    </row>
    <row r="3250" spans="1:12" x14ac:dyDescent="0.3">
      <c r="A3250" s="3">
        <v>45624</v>
      </c>
      <c r="B3250" s="123" t="s">
        <v>6766</v>
      </c>
      <c r="C3250" s="65" t="s">
        <v>6767</v>
      </c>
      <c r="D3250" s="2"/>
      <c r="E3250" s="4"/>
      <c r="F3250" s="2"/>
      <c r="G3250" s="2">
        <v>1000</v>
      </c>
      <c r="I3250" s="88">
        <f t="shared" si="178"/>
        <v>9994.1700000000055</v>
      </c>
      <c r="L3250" s="2">
        <f t="shared" si="179"/>
        <v>4</v>
      </c>
    </row>
    <row r="3251" spans="1:12" x14ac:dyDescent="0.3">
      <c r="A3251" s="3">
        <v>45624</v>
      </c>
      <c r="B3251" s="11" t="s">
        <v>6769</v>
      </c>
      <c r="C3251" s="65" t="s">
        <v>1452</v>
      </c>
      <c r="E3251" s="4" t="s">
        <v>16</v>
      </c>
      <c r="F3251" s="2"/>
      <c r="H3251" s="2">
        <v>500</v>
      </c>
      <c r="I3251" s="88">
        <f t="shared" si="178"/>
        <v>9494.1700000000055</v>
      </c>
      <c r="L3251" s="2">
        <f t="shared" si="179"/>
        <v>27</v>
      </c>
    </row>
    <row r="3252" spans="1:12" x14ac:dyDescent="0.3">
      <c r="A3252" s="3">
        <v>45624</v>
      </c>
      <c r="B3252" s="123" t="s">
        <v>1250</v>
      </c>
      <c r="C3252" s="65" t="s">
        <v>2348</v>
      </c>
      <c r="D3252" s="2"/>
      <c r="E3252" s="4"/>
      <c r="F3252" s="2"/>
      <c r="G3252" s="2">
        <v>2000</v>
      </c>
      <c r="I3252" s="88">
        <f t="shared" si="178"/>
        <v>11494.170000000006</v>
      </c>
      <c r="L3252" s="2">
        <f t="shared" si="179"/>
        <v>8</v>
      </c>
    </row>
    <row r="3253" spans="1:12" x14ac:dyDescent="0.3">
      <c r="A3253" s="3">
        <v>45624</v>
      </c>
      <c r="B3253" s="123" t="s">
        <v>1250</v>
      </c>
      <c r="C3253" s="65" t="s">
        <v>5721</v>
      </c>
      <c r="D3253" s="2"/>
      <c r="E3253" s="4"/>
      <c r="F3253" s="2"/>
      <c r="G3253" s="2">
        <v>7800</v>
      </c>
      <c r="I3253" s="88">
        <f t="shared" si="178"/>
        <v>19294.170000000006</v>
      </c>
      <c r="L3253" s="2">
        <f t="shared" si="179"/>
        <v>20</v>
      </c>
    </row>
    <row r="3254" spans="1:12" x14ac:dyDescent="0.3">
      <c r="A3254" s="3">
        <v>45624</v>
      </c>
      <c r="B3254" s="11" t="s">
        <v>6773</v>
      </c>
      <c r="C3254" s="65" t="s">
        <v>6774</v>
      </c>
      <c r="E3254" s="4" t="s">
        <v>16</v>
      </c>
      <c r="F3254" s="2"/>
      <c r="H3254" s="2">
        <v>500</v>
      </c>
      <c r="I3254" s="88">
        <f t="shared" si="178"/>
        <v>18794.170000000006</v>
      </c>
      <c r="L3254" s="2">
        <f t="shared" si="179"/>
        <v>27</v>
      </c>
    </row>
    <row r="3255" spans="1:12" x14ac:dyDescent="0.3">
      <c r="A3255" s="3">
        <v>45624</v>
      </c>
      <c r="B3255" s="11" t="s">
        <v>6778</v>
      </c>
      <c r="C3255" s="65" t="s">
        <v>6779</v>
      </c>
      <c r="E3255" s="4" t="s">
        <v>16</v>
      </c>
      <c r="F3255" s="2"/>
      <c r="H3255" s="2">
        <v>500</v>
      </c>
      <c r="I3255" s="88">
        <f t="shared" si="178"/>
        <v>18294.170000000006</v>
      </c>
      <c r="L3255" s="2">
        <f t="shared" si="179"/>
        <v>27</v>
      </c>
    </row>
    <row r="3256" spans="1:12" x14ac:dyDescent="0.3">
      <c r="A3256" s="3">
        <v>45624</v>
      </c>
      <c r="B3256" s="123"/>
      <c r="C3256" s="65" t="s">
        <v>6783</v>
      </c>
      <c r="D3256" s="2"/>
      <c r="E3256" s="4"/>
      <c r="F3256" s="2"/>
      <c r="H3256" s="2">
        <v>10000</v>
      </c>
      <c r="I3256" s="88">
        <f t="shared" si="178"/>
        <v>8294.1700000000055</v>
      </c>
    </row>
    <row r="3257" spans="1:12" x14ac:dyDescent="0.3">
      <c r="A3257" s="3">
        <v>45624</v>
      </c>
      <c r="B3257" s="123" t="s">
        <v>6700</v>
      </c>
      <c r="C3257" s="65" t="s">
        <v>6259</v>
      </c>
      <c r="D3257" s="2"/>
      <c r="E3257" s="4"/>
      <c r="F3257" s="2"/>
      <c r="H3257" s="2">
        <v>4000</v>
      </c>
      <c r="I3257" s="88">
        <f t="shared" si="178"/>
        <v>4294.1700000000055</v>
      </c>
      <c r="K3257" s="62"/>
      <c r="L3257" s="2">
        <f t="shared" si="179"/>
        <v>16</v>
      </c>
    </row>
    <row r="3258" spans="1:12" x14ac:dyDescent="0.3">
      <c r="A3258" s="3">
        <v>45624</v>
      </c>
      <c r="B3258" s="11" t="s">
        <v>6785</v>
      </c>
      <c r="C3258" s="65" t="s">
        <v>6786</v>
      </c>
      <c r="E3258" s="4" t="s">
        <v>16</v>
      </c>
      <c r="F3258" s="2"/>
      <c r="H3258" s="2">
        <v>500</v>
      </c>
      <c r="I3258" s="88">
        <f t="shared" si="178"/>
        <v>3794.1700000000055</v>
      </c>
      <c r="J3258">
        <v>3444.17</v>
      </c>
      <c r="K3258" s="62">
        <f>I3258-J3258</f>
        <v>350.00000000000546</v>
      </c>
      <c r="L3258" s="2">
        <f t="shared" si="179"/>
        <v>27</v>
      </c>
    </row>
    <row r="3259" spans="1:12" x14ac:dyDescent="0.3">
      <c r="A3259" s="3">
        <v>45625</v>
      </c>
      <c r="B3259" s="123" t="s">
        <v>2743</v>
      </c>
      <c r="C3259" s="65" t="s">
        <v>6790</v>
      </c>
      <c r="D3259" s="2"/>
      <c r="E3259" s="4"/>
      <c r="F3259" s="2"/>
      <c r="G3259" s="2">
        <v>6000</v>
      </c>
      <c r="I3259" s="88">
        <f t="shared" si="178"/>
        <v>9794.1700000000055</v>
      </c>
      <c r="L3259" s="2">
        <f t="shared" si="179"/>
        <v>20</v>
      </c>
    </row>
    <row r="3260" spans="1:12" x14ac:dyDescent="0.3">
      <c r="A3260" s="3">
        <v>45625</v>
      </c>
      <c r="B3260" s="11" t="s">
        <v>6793</v>
      </c>
      <c r="C3260" s="65" t="s">
        <v>6794</v>
      </c>
      <c r="E3260" s="4" t="s">
        <v>16</v>
      </c>
      <c r="F3260" s="2"/>
      <c r="H3260" s="2">
        <v>500</v>
      </c>
      <c r="I3260" s="88">
        <f t="shared" si="178"/>
        <v>9294.1700000000055</v>
      </c>
      <c r="L3260" s="2">
        <f t="shared" si="179"/>
        <v>27</v>
      </c>
    </row>
    <row r="3261" spans="1:12" x14ac:dyDescent="0.3">
      <c r="A3261" s="3">
        <v>45625</v>
      </c>
      <c r="B3261" s="11" t="s">
        <v>6797</v>
      </c>
      <c r="C3261" s="65" t="s">
        <v>6798</v>
      </c>
      <c r="D3261" s="2"/>
      <c r="E3261" s="4"/>
      <c r="F3261" s="2"/>
      <c r="G3261" s="2">
        <v>3000</v>
      </c>
      <c r="I3261" s="88">
        <f t="shared" si="178"/>
        <v>12294.170000000006</v>
      </c>
      <c r="L3261" s="2">
        <f t="shared" si="179"/>
        <v>12</v>
      </c>
    </row>
    <row r="3262" spans="1:12" x14ac:dyDescent="0.3">
      <c r="A3262" s="3">
        <v>45625</v>
      </c>
      <c r="B3262" s="11" t="s">
        <v>6799</v>
      </c>
      <c r="C3262" s="65" t="s">
        <v>6800</v>
      </c>
      <c r="D3262" s="2"/>
      <c r="E3262" s="4" t="s">
        <v>16</v>
      </c>
      <c r="F3262" s="2"/>
      <c r="H3262" s="2">
        <v>500</v>
      </c>
      <c r="I3262" s="88">
        <f t="shared" si="178"/>
        <v>11794.170000000006</v>
      </c>
      <c r="L3262" s="2">
        <f t="shared" si="179"/>
        <v>27</v>
      </c>
    </row>
    <row r="3263" spans="1:12" x14ac:dyDescent="0.3">
      <c r="A3263" s="3">
        <v>45625</v>
      </c>
      <c r="B3263" s="11" t="s">
        <v>6805</v>
      </c>
      <c r="C3263" s="65" t="s">
        <v>6806</v>
      </c>
      <c r="D3263" s="2"/>
      <c r="E3263" s="4"/>
      <c r="F3263" s="2"/>
      <c r="G3263" s="2">
        <v>1000</v>
      </c>
      <c r="I3263" s="88">
        <f t="shared" si="178"/>
        <v>12794.170000000006</v>
      </c>
      <c r="L3263" s="2">
        <f t="shared" si="179"/>
        <v>4</v>
      </c>
    </row>
    <row r="3264" spans="1:12" x14ac:dyDescent="0.3">
      <c r="A3264" s="3">
        <v>45625</v>
      </c>
      <c r="B3264" s="11" t="s">
        <v>5574</v>
      </c>
      <c r="C3264" s="65" t="s">
        <v>6809</v>
      </c>
      <c r="D3264" s="2"/>
      <c r="E3264" s="4"/>
      <c r="F3264" s="2"/>
      <c r="G3264" s="2">
        <v>2000</v>
      </c>
      <c r="I3264" s="88">
        <f t="shared" si="178"/>
        <v>14794.170000000006</v>
      </c>
      <c r="L3264" s="2">
        <f t="shared" si="179"/>
        <v>8</v>
      </c>
    </row>
    <row r="3265" spans="1:18" x14ac:dyDescent="0.3">
      <c r="A3265" s="3">
        <v>45625</v>
      </c>
      <c r="B3265" s="11" t="s">
        <v>3915</v>
      </c>
      <c r="C3265" s="65" t="s">
        <v>4067</v>
      </c>
      <c r="D3265" s="2"/>
      <c r="E3265" s="4"/>
      <c r="F3265" s="2"/>
      <c r="G3265" s="2">
        <v>10000</v>
      </c>
      <c r="I3265" s="88">
        <f t="shared" si="178"/>
        <v>24794.170000000006</v>
      </c>
      <c r="L3265" s="2">
        <f t="shared" si="179"/>
        <v>20</v>
      </c>
    </row>
    <row r="3266" spans="1:18" x14ac:dyDescent="0.3">
      <c r="A3266" s="3">
        <v>45625</v>
      </c>
      <c r="B3266" s="11" t="s">
        <v>6814</v>
      </c>
      <c r="C3266" s="65" t="s">
        <v>6821</v>
      </c>
      <c r="D3266" s="2"/>
      <c r="E3266" s="4" t="s">
        <v>16</v>
      </c>
      <c r="F3266" s="2"/>
      <c r="H3266" s="2">
        <v>500</v>
      </c>
      <c r="I3266" s="88">
        <f t="shared" si="178"/>
        <v>24294.170000000006</v>
      </c>
      <c r="L3266" s="2">
        <f t="shared" si="179"/>
        <v>27</v>
      </c>
    </row>
    <row r="3267" spans="1:18" x14ac:dyDescent="0.3">
      <c r="A3267" s="3">
        <v>45625</v>
      </c>
      <c r="B3267" s="11">
        <v>5583</v>
      </c>
      <c r="C3267" s="65" t="s">
        <v>6157</v>
      </c>
      <c r="D3267" s="2"/>
      <c r="E3267" s="4"/>
      <c r="F3267" s="2"/>
      <c r="G3267" s="2">
        <v>1000</v>
      </c>
      <c r="I3267" s="88">
        <f t="shared" si="178"/>
        <v>25294.170000000006</v>
      </c>
      <c r="L3267" s="2">
        <f t="shared" si="179"/>
        <v>4</v>
      </c>
    </row>
    <row r="3268" spans="1:18" x14ac:dyDescent="0.3">
      <c r="A3268" s="3">
        <v>45625</v>
      </c>
      <c r="B3268" s="11" t="s">
        <v>6811</v>
      </c>
      <c r="C3268" s="65" t="s">
        <v>3807</v>
      </c>
      <c r="D3268" s="2"/>
      <c r="E3268" s="4" t="s">
        <v>16</v>
      </c>
      <c r="F3268" s="2"/>
      <c r="H3268" s="2">
        <v>500</v>
      </c>
      <c r="I3268" s="88">
        <f t="shared" si="178"/>
        <v>24794.170000000006</v>
      </c>
      <c r="L3268" s="2">
        <f t="shared" si="179"/>
        <v>27</v>
      </c>
    </row>
    <row r="3269" spans="1:18" x14ac:dyDescent="0.3">
      <c r="A3269" s="3">
        <v>45625</v>
      </c>
      <c r="B3269" s="129" t="s">
        <v>6819</v>
      </c>
      <c r="C3269" s="159" t="s">
        <v>6820</v>
      </c>
      <c r="E3269" s="4" t="s">
        <v>16</v>
      </c>
      <c r="F3269" s="2"/>
      <c r="H3269" s="2">
        <v>2000</v>
      </c>
      <c r="I3269" s="88">
        <f t="shared" si="178"/>
        <v>22794.170000000006</v>
      </c>
      <c r="L3269" s="2">
        <f t="shared" si="179"/>
        <v>33</v>
      </c>
    </row>
    <row r="3270" spans="1:18" x14ac:dyDescent="0.3">
      <c r="A3270" s="3">
        <v>45626</v>
      </c>
      <c r="B3270" s="11" t="s">
        <v>6102</v>
      </c>
      <c r="C3270" s="65" t="s">
        <v>2892</v>
      </c>
      <c r="D3270" s="2"/>
      <c r="E3270" s="4"/>
      <c r="F3270" s="2"/>
      <c r="H3270" s="2">
        <v>5000</v>
      </c>
      <c r="I3270" s="88">
        <f t="shared" si="178"/>
        <v>17794.170000000006</v>
      </c>
      <c r="L3270" s="2">
        <f t="shared" si="179"/>
        <v>20</v>
      </c>
    </row>
    <row r="3271" spans="1:18" x14ac:dyDescent="0.3">
      <c r="A3271" s="3">
        <v>45626</v>
      </c>
      <c r="B3271" s="11" t="s">
        <v>3097</v>
      </c>
      <c r="C3271" s="65" t="s">
        <v>6824</v>
      </c>
      <c r="D3271" s="2"/>
      <c r="E3271" s="4"/>
      <c r="F3271" s="2"/>
      <c r="G3271" s="2">
        <v>7000</v>
      </c>
      <c r="I3271" s="88">
        <f t="shared" si="178"/>
        <v>24794.170000000006</v>
      </c>
      <c r="L3271" s="2">
        <f t="shared" si="179"/>
        <v>20</v>
      </c>
    </row>
    <row r="3272" spans="1:18" x14ac:dyDescent="0.3">
      <c r="A3272" s="3">
        <v>45626</v>
      </c>
      <c r="B3272" s="11" t="s">
        <v>1160</v>
      </c>
      <c r="C3272" s="65" t="s">
        <v>4331</v>
      </c>
      <c r="D3272" s="2"/>
      <c r="E3272" s="4"/>
      <c r="F3272" s="2"/>
      <c r="G3272" s="2">
        <v>500</v>
      </c>
      <c r="I3272" s="88">
        <f t="shared" si="178"/>
        <v>25294.170000000006</v>
      </c>
      <c r="L3272" s="2">
        <f t="shared" si="179"/>
        <v>2</v>
      </c>
    </row>
    <row r="3273" spans="1:18" x14ac:dyDescent="0.3">
      <c r="A3273" s="3">
        <v>45626</v>
      </c>
      <c r="B3273" s="11" t="s">
        <v>6826</v>
      </c>
      <c r="C3273" s="65" t="s">
        <v>6827</v>
      </c>
      <c r="E3273" s="4" t="s">
        <v>16</v>
      </c>
      <c r="F3273" s="2"/>
      <c r="H3273" s="2">
        <v>500</v>
      </c>
      <c r="I3273" s="88">
        <f t="shared" ref="I3273:I3277" si="180">I3272+G3273-H3273</f>
        <v>24794.170000000006</v>
      </c>
      <c r="L3273" s="2">
        <f t="shared" si="179"/>
        <v>27</v>
      </c>
    </row>
    <row r="3274" spans="1:18" x14ac:dyDescent="0.3">
      <c r="A3274" s="3">
        <v>45626</v>
      </c>
      <c r="B3274" s="11" t="s">
        <v>2413</v>
      </c>
      <c r="C3274" s="65" t="s">
        <v>6830</v>
      </c>
      <c r="D3274" s="2"/>
      <c r="E3274" s="4"/>
      <c r="F3274" s="2"/>
      <c r="H3274" s="2">
        <v>4000</v>
      </c>
      <c r="I3274" s="88">
        <f t="shared" si="180"/>
        <v>20794.170000000006</v>
      </c>
      <c r="L3274" s="2">
        <f t="shared" si="179"/>
        <v>16</v>
      </c>
    </row>
    <row r="3275" spans="1:18" x14ac:dyDescent="0.3">
      <c r="A3275" s="3">
        <v>45626</v>
      </c>
      <c r="B3275" s="11" t="s">
        <v>1250</v>
      </c>
      <c r="C3275" s="65" t="s">
        <v>6405</v>
      </c>
      <c r="D3275" s="2"/>
      <c r="E3275" s="4"/>
      <c r="F3275" s="2"/>
      <c r="G3275" s="2">
        <v>600</v>
      </c>
      <c r="I3275" s="88">
        <f t="shared" si="180"/>
        <v>21394.170000000006</v>
      </c>
      <c r="L3275" s="2">
        <f t="shared" si="179"/>
        <v>2.4</v>
      </c>
    </row>
    <row r="3276" spans="1:18" x14ac:dyDescent="0.3">
      <c r="A3276" s="3"/>
      <c r="C3276" s="65"/>
      <c r="D3276" s="2"/>
      <c r="E3276" s="4"/>
      <c r="F3276" s="2"/>
      <c r="I3276" s="88">
        <f t="shared" si="180"/>
        <v>21394.170000000006</v>
      </c>
      <c r="L3276" s="2">
        <f t="shared" si="179"/>
        <v>0</v>
      </c>
    </row>
    <row r="3277" spans="1:18" x14ac:dyDescent="0.3">
      <c r="A3277" s="3"/>
      <c r="I3277" s="88">
        <f t="shared" si="180"/>
        <v>21394.170000000006</v>
      </c>
      <c r="L3277" s="2">
        <f t="shared" si="179"/>
        <v>0</v>
      </c>
    </row>
    <row r="3278" spans="1:18" x14ac:dyDescent="0.3">
      <c r="A3278" s="77">
        <f>COUNT(A2982:A3277)</f>
        <v>294</v>
      </c>
      <c r="B3278" s="80"/>
      <c r="C3278" s="112"/>
      <c r="D3278" s="112"/>
      <c r="E3278" s="92">
        <f>COUNTIF(E2982:E3277,"Y")</f>
        <v>61</v>
      </c>
      <c r="F3278" s="80">
        <f>SUM(F2638:F3277)</f>
        <v>100</v>
      </c>
      <c r="G3278" s="121">
        <f>SUM(G2982:G3277)</f>
        <v>464600</v>
      </c>
      <c r="H3278" s="121">
        <f>SUM(H2982:H3277)</f>
        <v>462950.71</v>
      </c>
      <c r="I3278" s="122">
        <f>G3278+H3278</f>
        <v>927550.71</v>
      </c>
      <c r="J3278" s="122"/>
      <c r="K3278" s="122"/>
      <c r="L3278" s="121">
        <f>SUM(L2982:L3277)</f>
        <v>4144.6000000000022</v>
      </c>
      <c r="M3278" s="121">
        <f>SUM(M2982:M3277)</f>
        <v>0</v>
      </c>
      <c r="R3278">
        <f>18*24</f>
        <v>432</v>
      </c>
    </row>
    <row r="3280" spans="1:18" x14ac:dyDescent="0.3">
      <c r="A3280" s="3">
        <v>45627</v>
      </c>
      <c r="B3280" s="11" t="s">
        <v>6831</v>
      </c>
      <c r="G3280" s="2">
        <v>21044.17</v>
      </c>
      <c r="I3280" s="88">
        <f t="shared" ref="I3280:I3349" si="181">I3279+G3280-H3280</f>
        <v>21044.17</v>
      </c>
      <c r="L3280" s="2">
        <f t="shared" ref="L3280:L3374" si="182">IF((G3280+H3280)&lt;=5000,(H3280+G3280)*0.004,20)+IF(E3280="Y",25,0)</f>
        <v>20</v>
      </c>
    </row>
    <row r="3281" spans="1:12" x14ac:dyDescent="0.3">
      <c r="A3281" s="3">
        <v>45627</v>
      </c>
      <c r="B3281" s="11" t="s">
        <v>6260</v>
      </c>
      <c r="C3281" s="50" t="s">
        <v>6833</v>
      </c>
      <c r="H3281" s="2">
        <v>5000</v>
      </c>
      <c r="I3281" s="88">
        <f t="shared" si="181"/>
        <v>16044.169999999998</v>
      </c>
      <c r="L3281" s="2">
        <f t="shared" si="182"/>
        <v>20</v>
      </c>
    </row>
    <row r="3282" spans="1:12" x14ac:dyDescent="0.3">
      <c r="A3282" s="3">
        <v>45627</v>
      </c>
      <c r="B3282" s="11" t="s">
        <v>6834</v>
      </c>
      <c r="C3282" s="50" t="s">
        <v>164</v>
      </c>
      <c r="H3282" s="2">
        <v>2200</v>
      </c>
      <c r="I3282" s="88">
        <f t="shared" si="181"/>
        <v>13844.169999999998</v>
      </c>
      <c r="L3282" s="2">
        <f t="shared" si="182"/>
        <v>8.8000000000000007</v>
      </c>
    </row>
    <row r="3283" spans="1:12" x14ac:dyDescent="0.3">
      <c r="A3283" s="3">
        <v>45627</v>
      </c>
      <c r="B3283" s="11" t="s">
        <v>6835</v>
      </c>
      <c r="C3283" s="50" t="s">
        <v>6836</v>
      </c>
      <c r="H3283" s="2">
        <v>4600</v>
      </c>
      <c r="I3283" s="88">
        <f t="shared" si="181"/>
        <v>9244.1699999999983</v>
      </c>
      <c r="L3283" s="2">
        <f t="shared" si="182"/>
        <v>18.400000000000002</v>
      </c>
    </row>
    <row r="3284" spans="1:12" x14ac:dyDescent="0.3">
      <c r="A3284" s="3">
        <v>45627</v>
      </c>
      <c r="B3284" s="11" t="s">
        <v>6355</v>
      </c>
      <c r="C3284" s="50" t="s">
        <v>6837</v>
      </c>
      <c r="G3284" s="2">
        <v>2500</v>
      </c>
      <c r="I3284" s="88">
        <f t="shared" si="181"/>
        <v>11744.169999999998</v>
      </c>
      <c r="L3284" s="2">
        <f t="shared" si="182"/>
        <v>10</v>
      </c>
    </row>
    <row r="3285" spans="1:12" x14ac:dyDescent="0.3">
      <c r="A3285" s="3">
        <v>45627</v>
      </c>
      <c r="B3285" s="11" t="s">
        <v>2448</v>
      </c>
      <c r="C3285" s="50" t="s">
        <v>3605</v>
      </c>
      <c r="H3285" s="2">
        <v>7000</v>
      </c>
      <c r="I3285" s="88">
        <f t="shared" si="181"/>
        <v>4744.1699999999983</v>
      </c>
      <c r="L3285" s="2">
        <f t="shared" si="182"/>
        <v>20</v>
      </c>
    </row>
    <row r="3286" spans="1:12" x14ac:dyDescent="0.3">
      <c r="A3286" s="3">
        <v>45627</v>
      </c>
      <c r="B3286" s="11" t="s">
        <v>6835</v>
      </c>
      <c r="C3286" s="50" t="s">
        <v>3670</v>
      </c>
      <c r="G3286" s="2">
        <v>10000</v>
      </c>
      <c r="I3286" s="88">
        <f t="shared" si="181"/>
        <v>14744.169999999998</v>
      </c>
      <c r="L3286" s="2">
        <f t="shared" si="182"/>
        <v>20</v>
      </c>
    </row>
    <row r="3287" spans="1:12" x14ac:dyDescent="0.3">
      <c r="A3287" s="3">
        <v>45627</v>
      </c>
      <c r="B3287" s="11" t="s">
        <v>3524</v>
      </c>
      <c r="C3287" s="50" t="s">
        <v>6838</v>
      </c>
      <c r="H3287" s="2">
        <v>10000</v>
      </c>
      <c r="I3287" s="88">
        <f t="shared" si="181"/>
        <v>4744.1699999999983</v>
      </c>
      <c r="L3287" s="2">
        <f t="shared" si="182"/>
        <v>20</v>
      </c>
    </row>
    <row r="3288" spans="1:12" x14ac:dyDescent="0.3">
      <c r="A3288" s="3">
        <v>45628</v>
      </c>
      <c r="B3288" s="11" t="s">
        <v>6260</v>
      </c>
      <c r="C3288" s="50" t="s">
        <v>6833</v>
      </c>
      <c r="H3288" s="2">
        <v>4000</v>
      </c>
      <c r="I3288" s="88">
        <f t="shared" si="181"/>
        <v>744.16999999999825</v>
      </c>
      <c r="L3288" s="2">
        <f t="shared" si="182"/>
        <v>16</v>
      </c>
    </row>
    <row r="3289" spans="1:12" x14ac:dyDescent="0.3">
      <c r="A3289" s="3">
        <v>45628</v>
      </c>
      <c r="B3289" s="11" t="s">
        <v>6835</v>
      </c>
      <c r="C3289" s="50" t="s">
        <v>2443</v>
      </c>
      <c r="G3289" s="2">
        <v>4200</v>
      </c>
      <c r="I3289" s="88">
        <f t="shared" si="181"/>
        <v>4944.1699999999983</v>
      </c>
      <c r="L3289" s="2">
        <f t="shared" si="182"/>
        <v>16.8</v>
      </c>
    </row>
    <row r="3290" spans="1:12" x14ac:dyDescent="0.3">
      <c r="A3290" s="3">
        <v>45628</v>
      </c>
      <c r="B3290" s="11" t="s">
        <v>6840</v>
      </c>
      <c r="C3290" s="50" t="s">
        <v>6841</v>
      </c>
      <c r="G3290" s="2">
        <v>5000</v>
      </c>
      <c r="I3290" s="88">
        <f t="shared" si="181"/>
        <v>9944.1699999999983</v>
      </c>
      <c r="L3290" s="2">
        <f t="shared" si="182"/>
        <v>20</v>
      </c>
    </row>
    <row r="3291" spans="1:12" x14ac:dyDescent="0.3">
      <c r="A3291" s="3">
        <v>45628</v>
      </c>
      <c r="B3291" s="11" t="s">
        <v>6701</v>
      </c>
      <c r="C3291" s="50" t="s">
        <v>839</v>
      </c>
      <c r="G3291" s="2">
        <v>1000</v>
      </c>
      <c r="I3291" s="88">
        <f t="shared" si="181"/>
        <v>10944.169999999998</v>
      </c>
      <c r="L3291" s="2">
        <f t="shared" si="182"/>
        <v>4</v>
      </c>
    </row>
    <row r="3292" spans="1:12" x14ac:dyDescent="0.3">
      <c r="A3292" s="3">
        <v>45628</v>
      </c>
      <c r="B3292" s="11" t="s">
        <v>6842</v>
      </c>
      <c r="C3292" s="50" t="s">
        <v>6843</v>
      </c>
      <c r="G3292" s="2">
        <v>1500</v>
      </c>
      <c r="I3292" s="88">
        <f t="shared" si="181"/>
        <v>12444.169999999998</v>
      </c>
      <c r="L3292" s="2">
        <f t="shared" si="182"/>
        <v>6</v>
      </c>
    </row>
    <row r="3293" spans="1:12" x14ac:dyDescent="0.3">
      <c r="A3293" s="3">
        <v>45628</v>
      </c>
      <c r="B3293" s="11" t="s">
        <v>6844</v>
      </c>
      <c r="C3293" s="50" t="s">
        <v>6845</v>
      </c>
      <c r="H3293" s="2">
        <v>4700</v>
      </c>
      <c r="I3293" s="88">
        <f t="shared" si="181"/>
        <v>7744.1699999999983</v>
      </c>
      <c r="L3293" s="2">
        <f t="shared" si="182"/>
        <v>18.8</v>
      </c>
    </row>
    <row r="3294" spans="1:12" x14ac:dyDescent="0.3">
      <c r="A3294" s="3">
        <v>45628</v>
      </c>
      <c r="B3294" s="11" t="s">
        <v>6851</v>
      </c>
      <c r="C3294" s="50" t="s">
        <v>6852</v>
      </c>
      <c r="H3294" s="2">
        <v>4000</v>
      </c>
      <c r="I3294" s="88">
        <f t="shared" si="181"/>
        <v>3744.1699999999983</v>
      </c>
      <c r="L3294" s="2">
        <f t="shared" si="182"/>
        <v>16</v>
      </c>
    </row>
    <row r="3295" spans="1:12" x14ac:dyDescent="0.3">
      <c r="A3295" s="3">
        <v>45628</v>
      </c>
      <c r="B3295" s="11" t="s">
        <v>6847</v>
      </c>
      <c r="C3295" s="65" t="s">
        <v>6848</v>
      </c>
      <c r="E3295" s="90" t="s">
        <v>16</v>
      </c>
      <c r="H3295" s="2">
        <v>500</v>
      </c>
      <c r="I3295" s="88">
        <f t="shared" si="181"/>
        <v>3244.1699999999983</v>
      </c>
      <c r="L3295" s="2">
        <f t="shared" si="182"/>
        <v>27</v>
      </c>
    </row>
    <row r="3296" spans="1:12" x14ac:dyDescent="0.3">
      <c r="A3296" s="3">
        <v>45628</v>
      </c>
      <c r="B3296" s="11" t="s">
        <v>6854</v>
      </c>
      <c r="C3296" s="65" t="s">
        <v>6858</v>
      </c>
      <c r="E3296" s="90" t="s">
        <v>16</v>
      </c>
      <c r="H3296" s="2">
        <v>500</v>
      </c>
      <c r="I3296" s="88">
        <f t="shared" si="181"/>
        <v>2744.1699999999983</v>
      </c>
      <c r="L3296" s="2">
        <f t="shared" si="182"/>
        <v>27</v>
      </c>
    </row>
    <row r="3297" spans="1:12" x14ac:dyDescent="0.3">
      <c r="A3297" s="3">
        <v>45628</v>
      </c>
      <c r="B3297" s="11" t="s">
        <v>6855</v>
      </c>
      <c r="C3297" s="65" t="s">
        <v>6861</v>
      </c>
      <c r="E3297" s="90" t="s">
        <v>16</v>
      </c>
      <c r="H3297" s="2">
        <v>500</v>
      </c>
      <c r="I3297" s="88">
        <f t="shared" si="181"/>
        <v>2244.1699999999983</v>
      </c>
      <c r="J3297">
        <v>2144.17</v>
      </c>
      <c r="L3297" s="2">
        <f t="shared" si="182"/>
        <v>27</v>
      </c>
    </row>
    <row r="3298" spans="1:12" x14ac:dyDescent="0.3">
      <c r="A3298" s="3">
        <v>45628</v>
      </c>
      <c r="B3298" s="11" t="s">
        <v>6862</v>
      </c>
      <c r="C3298" s="65" t="s">
        <v>4951</v>
      </c>
      <c r="G3298" s="2">
        <v>2300</v>
      </c>
      <c r="I3298" s="88">
        <f t="shared" si="181"/>
        <v>4544.1699999999983</v>
      </c>
      <c r="L3298" s="2">
        <f t="shared" si="182"/>
        <v>9.2000000000000011</v>
      </c>
    </row>
    <row r="3299" spans="1:12" x14ac:dyDescent="0.3">
      <c r="A3299" s="3">
        <v>45628</v>
      </c>
      <c r="B3299" s="11" t="s">
        <v>4678</v>
      </c>
      <c r="C3299" s="65" t="s">
        <v>585</v>
      </c>
      <c r="H3299" s="2">
        <v>2000</v>
      </c>
      <c r="I3299" s="88">
        <f t="shared" si="181"/>
        <v>2544.1699999999983</v>
      </c>
      <c r="L3299" s="2">
        <f t="shared" si="182"/>
        <v>8</v>
      </c>
    </row>
    <row r="3300" spans="1:12" x14ac:dyDescent="0.3">
      <c r="A3300" s="3">
        <v>45628</v>
      </c>
      <c r="B3300" s="11" t="s">
        <v>6864</v>
      </c>
      <c r="C3300" s="65" t="s">
        <v>6863</v>
      </c>
      <c r="G3300" s="2">
        <v>1000</v>
      </c>
      <c r="I3300" s="88">
        <f t="shared" si="181"/>
        <v>3544.1699999999983</v>
      </c>
      <c r="L3300" s="2">
        <f t="shared" si="182"/>
        <v>4</v>
      </c>
    </row>
    <row r="3301" spans="1:12" x14ac:dyDescent="0.3">
      <c r="A3301" s="3">
        <v>45629</v>
      </c>
      <c r="B3301" s="11" t="s">
        <v>6573</v>
      </c>
      <c r="C3301" s="65" t="s">
        <v>6574</v>
      </c>
      <c r="G3301" s="2">
        <v>4000</v>
      </c>
      <c r="I3301" s="88">
        <f t="shared" si="181"/>
        <v>7544.1699999999983</v>
      </c>
      <c r="L3301" s="2">
        <f t="shared" si="182"/>
        <v>16</v>
      </c>
    </row>
    <row r="3302" spans="1:12" x14ac:dyDescent="0.3">
      <c r="A3302" s="3">
        <v>45629</v>
      </c>
      <c r="B3302" s="11" t="s">
        <v>2743</v>
      </c>
      <c r="C3302" s="65" t="s">
        <v>6865</v>
      </c>
      <c r="D3302" s="50">
        <v>6200338412</v>
      </c>
      <c r="G3302" s="2">
        <v>10000</v>
      </c>
      <c r="I3302" s="88">
        <f t="shared" si="181"/>
        <v>17544.169999999998</v>
      </c>
      <c r="L3302" s="2">
        <f t="shared" si="182"/>
        <v>20</v>
      </c>
    </row>
    <row r="3303" spans="1:12" x14ac:dyDescent="0.3">
      <c r="A3303" s="3">
        <v>45629</v>
      </c>
      <c r="B3303" s="11" t="s">
        <v>2581</v>
      </c>
      <c r="C3303" s="65" t="s">
        <v>6866</v>
      </c>
      <c r="G3303" s="2">
        <v>2000</v>
      </c>
      <c r="I3303" s="88">
        <f t="shared" si="181"/>
        <v>19544.169999999998</v>
      </c>
      <c r="L3303" s="2">
        <f t="shared" si="182"/>
        <v>8</v>
      </c>
    </row>
    <row r="3304" spans="1:12" x14ac:dyDescent="0.3">
      <c r="A3304" s="3">
        <v>45629</v>
      </c>
      <c r="B3304" s="11" t="s">
        <v>6867</v>
      </c>
      <c r="C3304" s="65" t="s">
        <v>761</v>
      </c>
      <c r="G3304" s="2">
        <v>1200</v>
      </c>
      <c r="I3304" s="88">
        <f t="shared" si="181"/>
        <v>20744.169999999998</v>
      </c>
      <c r="L3304" s="2">
        <f t="shared" si="182"/>
        <v>4.8</v>
      </c>
    </row>
    <row r="3305" spans="1:12" x14ac:dyDescent="0.3">
      <c r="A3305" s="3">
        <v>45629</v>
      </c>
      <c r="B3305" s="11" t="s">
        <v>6869</v>
      </c>
      <c r="C3305" s="65" t="s">
        <v>6870</v>
      </c>
      <c r="G3305" s="2">
        <v>2000</v>
      </c>
      <c r="I3305" s="88">
        <f t="shared" si="181"/>
        <v>22744.17</v>
      </c>
      <c r="L3305" s="2">
        <f t="shared" si="182"/>
        <v>8</v>
      </c>
    </row>
    <row r="3306" spans="1:12" x14ac:dyDescent="0.3">
      <c r="A3306" s="3">
        <v>45629</v>
      </c>
      <c r="B3306" s="11" t="s">
        <v>6872</v>
      </c>
      <c r="C3306" s="65" t="s">
        <v>6884</v>
      </c>
      <c r="E3306" s="90" t="s">
        <v>16</v>
      </c>
      <c r="H3306" s="2">
        <v>500</v>
      </c>
      <c r="I3306" s="88">
        <f t="shared" si="181"/>
        <v>22244.17</v>
      </c>
      <c r="L3306" s="2">
        <f t="shared" si="182"/>
        <v>27</v>
      </c>
    </row>
    <row r="3307" spans="1:12" x14ac:dyDescent="0.3">
      <c r="A3307" s="3">
        <v>45629</v>
      </c>
      <c r="B3307" s="11" t="s">
        <v>6874</v>
      </c>
      <c r="C3307" s="65" t="s">
        <v>6877</v>
      </c>
      <c r="E3307" s="90" t="s">
        <v>16</v>
      </c>
      <c r="H3307" s="2">
        <v>500</v>
      </c>
      <c r="I3307" s="88">
        <f t="shared" si="181"/>
        <v>21744.17</v>
      </c>
      <c r="L3307" s="2">
        <f t="shared" si="182"/>
        <v>27</v>
      </c>
    </row>
    <row r="3308" spans="1:12" x14ac:dyDescent="0.3">
      <c r="A3308" s="3">
        <v>45629</v>
      </c>
      <c r="B3308" s="11" t="s">
        <v>6879</v>
      </c>
      <c r="C3308" s="65" t="s">
        <v>6880</v>
      </c>
      <c r="E3308" s="90" t="s">
        <v>16</v>
      </c>
      <c r="H3308" s="2">
        <v>500</v>
      </c>
      <c r="I3308" s="88">
        <f t="shared" si="181"/>
        <v>21244.17</v>
      </c>
      <c r="L3308" s="2">
        <f t="shared" si="182"/>
        <v>27</v>
      </c>
    </row>
    <row r="3309" spans="1:12" x14ac:dyDescent="0.3">
      <c r="A3309" s="3">
        <v>45629</v>
      </c>
      <c r="C3309" s="65" t="s">
        <v>2857</v>
      </c>
      <c r="E3309" s="90" t="s">
        <v>4721</v>
      </c>
      <c r="H3309" s="81">
        <v>15000</v>
      </c>
      <c r="I3309" s="88">
        <f t="shared" si="181"/>
        <v>6244.1699999999983</v>
      </c>
      <c r="L3309" s="2">
        <v>0</v>
      </c>
    </row>
    <row r="3310" spans="1:12" x14ac:dyDescent="0.3">
      <c r="A3310" s="3">
        <v>45629</v>
      </c>
      <c r="B3310" s="11" t="s">
        <v>6890</v>
      </c>
      <c r="C3310" s="65" t="s">
        <v>6891</v>
      </c>
      <c r="H3310" s="2">
        <v>4000</v>
      </c>
      <c r="I3310" s="88">
        <f t="shared" si="181"/>
        <v>2244.1699999999983</v>
      </c>
      <c r="L3310" s="2">
        <f t="shared" si="182"/>
        <v>16</v>
      </c>
    </row>
    <row r="3311" spans="1:12" x14ac:dyDescent="0.3">
      <c r="A3311" s="3">
        <v>45629</v>
      </c>
      <c r="B3311" s="11" t="s">
        <v>6892</v>
      </c>
      <c r="C3311" s="65" t="s">
        <v>509</v>
      </c>
      <c r="G3311" s="2">
        <v>3000</v>
      </c>
      <c r="I3311" s="88">
        <f t="shared" si="181"/>
        <v>5244.1699999999983</v>
      </c>
      <c r="L3311" s="2">
        <f t="shared" si="182"/>
        <v>12</v>
      </c>
    </row>
    <row r="3312" spans="1:12" x14ac:dyDescent="0.3">
      <c r="A3312" s="3">
        <v>45629</v>
      </c>
      <c r="B3312" s="11" t="s">
        <v>6893</v>
      </c>
      <c r="C3312" s="65" t="s">
        <v>6894</v>
      </c>
      <c r="G3312" s="2">
        <v>1000</v>
      </c>
      <c r="I3312" s="88">
        <f t="shared" si="181"/>
        <v>6244.1699999999983</v>
      </c>
      <c r="L3312" s="2">
        <f t="shared" si="182"/>
        <v>4</v>
      </c>
    </row>
    <row r="3313" spans="1:12" x14ac:dyDescent="0.3">
      <c r="A3313" s="3">
        <v>45629</v>
      </c>
      <c r="B3313" s="11" t="s">
        <v>6896</v>
      </c>
      <c r="C3313" s="65" t="s">
        <v>235</v>
      </c>
      <c r="E3313" s="90" t="s">
        <v>16</v>
      </c>
      <c r="H3313" s="2">
        <v>500</v>
      </c>
      <c r="I3313" s="88">
        <f t="shared" si="181"/>
        <v>5744.1699999999983</v>
      </c>
      <c r="L3313" s="2">
        <f t="shared" si="182"/>
        <v>27</v>
      </c>
    </row>
    <row r="3314" spans="1:12" x14ac:dyDescent="0.3">
      <c r="A3314" s="3">
        <v>45629</v>
      </c>
      <c r="B3314" s="11" t="s">
        <v>1160</v>
      </c>
      <c r="C3314" s="65" t="s">
        <v>6899</v>
      </c>
      <c r="G3314" s="2">
        <v>2000</v>
      </c>
      <c r="I3314" s="88">
        <f t="shared" si="181"/>
        <v>7744.1699999999983</v>
      </c>
      <c r="L3314" s="2">
        <f t="shared" si="182"/>
        <v>8</v>
      </c>
    </row>
    <row r="3315" spans="1:12" x14ac:dyDescent="0.3">
      <c r="A3315" s="3">
        <v>45629</v>
      </c>
      <c r="B3315" s="11" t="s">
        <v>1250</v>
      </c>
      <c r="C3315" s="65" t="s">
        <v>6900</v>
      </c>
      <c r="G3315" s="2">
        <v>2500</v>
      </c>
      <c r="I3315" s="88">
        <f t="shared" si="181"/>
        <v>10244.169999999998</v>
      </c>
      <c r="L3315" s="2">
        <f t="shared" si="182"/>
        <v>10</v>
      </c>
    </row>
    <row r="3316" spans="1:12" x14ac:dyDescent="0.3">
      <c r="A3316" s="3">
        <v>45629</v>
      </c>
      <c r="B3316" s="11" t="s">
        <v>6902</v>
      </c>
      <c r="C3316" s="65" t="s">
        <v>6903</v>
      </c>
      <c r="E3316" s="90" t="s">
        <v>16</v>
      </c>
      <c r="H3316" s="2">
        <v>500</v>
      </c>
      <c r="I3316" s="88">
        <f t="shared" si="181"/>
        <v>9744.1699999999983</v>
      </c>
      <c r="L3316" s="2">
        <f t="shared" si="182"/>
        <v>27</v>
      </c>
    </row>
    <row r="3317" spans="1:12" x14ac:dyDescent="0.3">
      <c r="A3317" s="3">
        <v>45630</v>
      </c>
      <c r="B3317" s="11" t="s">
        <v>1250</v>
      </c>
      <c r="C3317" s="65" t="s">
        <v>2443</v>
      </c>
      <c r="G3317" s="2">
        <v>2000</v>
      </c>
      <c r="I3317" s="88">
        <f t="shared" si="181"/>
        <v>11744.169999999998</v>
      </c>
      <c r="L3317" s="2">
        <f t="shared" si="182"/>
        <v>8</v>
      </c>
    </row>
    <row r="3318" spans="1:12" x14ac:dyDescent="0.3">
      <c r="A3318" s="3">
        <v>45630</v>
      </c>
      <c r="B3318" s="11" t="s">
        <v>6905</v>
      </c>
      <c r="C3318" s="65" t="s">
        <v>6833</v>
      </c>
      <c r="H3318" s="2">
        <v>5000</v>
      </c>
      <c r="I3318" s="88">
        <f t="shared" si="181"/>
        <v>6744.1699999999983</v>
      </c>
      <c r="L3318" s="2">
        <f t="shared" si="182"/>
        <v>20</v>
      </c>
    </row>
    <row r="3319" spans="1:12" x14ac:dyDescent="0.3">
      <c r="A3319" s="3">
        <v>45630</v>
      </c>
      <c r="B3319" s="11" t="s">
        <v>5312</v>
      </c>
      <c r="C3319" s="65" t="s">
        <v>6580</v>
      </c>
      <c r="H3319" s="2">
        <v>5500</v>
      </c>
      <c r="I3319" s="88">
        <f t="shared" si="181"/>
        <v>1244.1699999999983</v>
      </c>
      <c r="L3319" s="2">
        <f t="shared" si="182"/>
        <v>20</v>
      </c>
    </row>
    <row r="3320" spans="1:12" x14ac:dyDescent="0.3">
      <c r="A3320" s="3">
        <v>45630</v>
      </c>
      <c r="B3320" s="11" t="s">
        <v>6906</v>
      </c>
      <c r="C3320" s="65"/>
      <c r="G3320" s="2">
        <v>2000</v>
      </c>
      <c r="I3320" s="88">
        <f t="shared" si="181"/>
        <v>3244.1699999999983</v>
      </c>
      <c r="L3320" s="2">
        <f t="shared" si="182"/>
        <v>8</v>
      </c>
    </row>
    <row r="3321" spans="1:12" x14ac:dyDescent="0.3">
      <c r="A3321" s="3">
        <v>45630</v>
      </c>
      <c r="B3321" s="11" t="s">
        <v>4447</v>
      </c>
      <c r="C3321" s="65" t="s">
        <v>4445</v>
      </c>
      <c r="G3321" s="2">
        <v>6000</v>
      </c>
      <c r="I3321" s="88">
        <f t="shared" si="181"/>
        <v>9244.1699999999983</v>
      </c>
      <c r="L3321" s="2">
        <f t="shared" si="182"/>
        <v>20</v>
      </c>
    </row>
    <row r="3322" spans="1:12" x14ac:dyDescent="0.3">
      <c r="A3322" s="3">
        <v>45630</v>
      </c>
      <c r="B3322" s="11" t="s">
        <v>3849</v>
      </c>
      <c r="C3322" s="65" t="s">
        <v>6907</v>
      </c>
      <c r="H3322" s="2">
        <v>5000</v>
      </c>
      <c r="I3322" s="88">
        <f t="shared" si="181"/>
        <v>4244.1699999999983</v>
      </c>
      <c r="L3322" s="2">
        <f t="shared" si="182"/>
        <v>20</v>
      </c>
    </row>
    <row r="3323" spans="1:12" x14ac:dyDescent="0.3">
      <c r="A3323" s="3">
        <v>45630</v>
      </c>
      <c r="B3323" s="123" t="s">
        <v>6909</v>
      </c>
      <c r="C3323" s="65" t="s">
        <v>6910</v>
      </c>
      <c r="E3323" s="90" t="s">
        <v>16</v>
      </c>
      <c r="H3323" s="2">
        <v>2000</v>
      </c>
      <c r="I3323" s="88">
        <f t="shared" si="181"/>
        <v>2244.1699999999983</v>
      </c>
      <c r="L3323" s="2">
        <f t="shared" si="182"/>
        <v>33</v>
      </c>
    </row>
    <row r="3324" spans="1:12" x14ac:dyDescent="0.3">
      <c r="A3324" s="3">
        <v>45630</v>
      </c>
      <c r="B3324" s="11" t="s">
        <v>1472</v>
      </c>
      <c r="C3324" s="65" t="s">
        <v>6912</v>
      </c>
      <c r="G3324" s="2">
        <v>5000</v>
      </c>
      <c r="I3324" s="88">
        <f t="shared" si="181"/>
        <v>7244.1699999999983</v>
      </c>
      <c r="L3324" s="2">
        <f t="shared" si="182"/>
        <v>20</v>
      </c>
    </row>
    <row r="3325" spans="1:12" x14ac:dyDescent="0.3">
      <c r="A3325" s="3">
        <v>45630</v>
      </c>
      <c r="B3325" s="11" t="s">
        <v>3541</v>
      </c>
      <c r="C3325" s="65" t="s">
        <v>3673</v>
      </c>
      <c r="G3325" s="2">
        <v>3000</v>
      </c>
      <c r="I3325" s="88">
        <f t="shared" si="181"/>
        <v>10244.169999999998</v>
      </c>
      <c r="L3325" s="2">
        <f t="shared" si="182"/>
        <v>12</v>
      </c>
    </row>
    <row r="3326" spans="1:12" x14ac:dyDescent="0.3">
      <c r="A3326" s="3">
        <v>45630</v>
      </c>
      <c r="B3326" s="11" t="s">
        <v>6914</v>
      </c>
      <c r="C3326" s="65" t="s">
        <v>6915</v>
      </c>
      <c r="E3326" s="90" t="s">
        <v>16</v>
      </c>
      <c r="H3326" s="2">
        <v>500</v>
      </c>
      <c r="I3326" s="88">
        <f t="shared" si="181"/>
        <v>9744.1699999999983</v>
      </c>
      <c r="L3326" s="2">
        <f t="shared" si="182"/>
        <v>27</v>
      </c>
    </row>
    <row r="3327" spans="1:12" x14ac:dyDescent="0.3">
      <c r="A3327" s="3">
        <v>45630</v>
      </c>
      <c r="B3327" s="11" t="s">
        <v>3541</v>
      </c>
      <c r="C3327" s="65" t="s">
        <v>3673</v>
      </c>
      <c r="G3327" s="2">
        <v>1000</v>
      </c>
      <c r="I3327" s="88">
        <f t="shared" si="181"/>
        <v>10744.169999999998</v>
      </c>
      <c r="L3327" s="2">
        <f t="shared" si="182"/>
        <v>4</v>
      </c>
    </row>
    <row r="3328" spans="1:12" x14ac:dyDescent="0.3">
      <c r="A3328" s="3">
        <v>45630</v>
      </c>
      <c r="B3328" s="11" t="s">
        <v>4678</v>
      </c>
      <c r="C3328" s="65" t="s">
        <v>585</v>
      </c>
      <c r="H3328" s="2">
        <v>1000</v>
      </c>
      <c r="I3328" s="88">
        <f t="shared" si="181"/>
        <v>9744.1699999999983</v>
      </c>
      <c r="L3328" s="2">
        <f t="shared" si="182"/>
        <v>4</v>
      </c>
    </row>
    <row r="3329" spans="1:12" x14ac:dyDescent="0.3">
      <c r="A3329" s="3">
        <v>45630</v>
      </c>
      <c r="B3329" s="11" t="s">
        <v>6919</v>
      </c>
      <c r="C3329" s="65" t="s">
        <v>6920</v>
      </c>
      <c r="E3329" s="90" t="s">
        <v>16</v>
      </c>
      <c r="H3329" s="2">
        <v>500</v>
      </c>
      <c r="I3329" s="88">
        <f t="shared" si="181"/>
        <v>9244.1699999999983</v>
      </c>
      <c r="L3329" s="2">
        <f t="shared" si="182"/>
        <v>27</v>
      </c>
    </row>
    <row r="3330" spans="1:12" x14ac:dyDescent="0.3">
      <c r="A3330" s="3">
        <v>45630</v>
      </c>
      <c r="B3330" s="11" t="s">
        <v>2500</v>
      </c>
      <c r="C3330" s="65" t="s">
        <v>2498</v>
      </c>
      <c r="G3330" s="2">
        <v>5000</v>
      </c>
      <c r="I3330" s="88">
        <f t="shared" si="181"/>
        <v>14244.169999999998</v>
      </c>
      <c r="L3330" s="2">
        <f t="shared" si="182"/>
        <v>20</v>
      </c>
    </row>
    <row r="3331" spans="1:12" x14ac:dyDescent="0.3">
      <c r="A3331" s="3">
        <v>45630</v>
      </c>
      <c r="B3331" s="11" t="s">
        <v>6922</v>
      </c>
      <c r="C3331" s="65" t="s">
        <v>1600</v>
      </c>
      <c r="E3331" s="90" t="s">
        <v>16</v>
      </c>
      <c r="H3331" s="2">
        <v>500</v>
      </c>
      <c r="I3331" s="88">
        <f t="shared" si="181"/>
        <v>13744.169999999998</v>
      </c>
      <c r="L3331" s="2">
        <f t="shared" si="182"/>
        <v>27</v>
      </c>
    </row>
    <row r="3332" spans="1:12" x14ac:dyDescent="0.3">
      <c r="A3332" s="3">
        <v>45631</v>
      </c>
      <c r="B3332" s="11" t="s">
        <v>6927</v>
      </c>
      <c r="C3332" s="65" t="s">
        <v>6833</v>
      </c>
      <c r="H3332" s="2">
        <v>5000</v>
      </c>
      <c r="I3332" s="88">
        <f t="shared" si="181"/>
        <v>8744.1699999999983</v>
      </c>
      <c r="L3332" s="2">
        <f t="shared" si="182"/>
        <v>20</v>
      </c>
    </row>
    <row r="3333" spans="1:12" x14ac:dyDescent="0.3">
      <c r="A3333" s="130">
        <v>45631</v>
      </c>
      <c r="B3333" s="37"/>
      <c r="C3333" s="70" t="s">
        <v>6928</v>
      </c>
      <c r="D3333" s="114"/>
      <c r="E3333" s="97"/>
      <c r="F3333" s="10"/>
      <c r="G3333" s="64"/>
      <c r="H3333" s="64">
        <v>100</v>
      </c>
      <c r="I3333" s="88">
        <f t="shared" si="181"/>
        <v>8644.1699999999983</v>
      </c>
      <c r="L3333" s="2">
        <f t="shared" si="182"/>
        <v>0.4</v>
      </c>
    </row>
    <row r="3334" spans="1:12" x14ac:dyDescent="0.3">
      <c r="A3334" s="3">
        <v>45631</v>
      </c>
      <c r="B3334" s="11" t="s">
        <v>1250</v>
      </c>
      <c r="C3334" s="65" t="s">
        <v>2443</v>
      </c>
      <c r="G3334" s="2">
        <v>1800</v>
      </c>
      <c r="I3334" s="88">
        <f t="shared" si="181"/>
        <v>10444.169999999998</v>
      </c>
      <c r="L3334" s="2">
        <f t="shared" si="182"/>
        <v>7.2</v>
      </c>
    </row>
    <row r="3335" spans="1:12" x14ac:dyDescent="0.3">
      <c r="A3335" s="3">
        <v>45631</v>
      </c>
      <c r="B3335" s="11" t="s">
        <v>2797</v>
      </c>
      <c r="C3335" s="65" t="s">
        <v>2794</v>
      </c>
      <c r="H3335" s="2">
        <v>1000</v>
      </c>
      <c r="I3335" s="88">
        <f t="shared" si="181"/>
        <v>9444.1699999999983</v>
      </c>
      <c r="L3335" s="2">
        <f t="shared" si="182"/>
        <v>4</v>
      </c>
    </row>
    <row r="3336" spans="1:12" x14ac:dyDescent="0.3">
      <c r="A3336" s="3">
        <v>45631</v>
      </c>
      <c r="B3336" s="11" t="s">
        <v>5579</v>
      </c>
      <c r="C3336" s="65" t="s">
        <v>5580</v>
      </c>
      <c r="G3336" s="2">
        <v>1000</v>
      </c>
      <c r="I3336" s="88">
        <f t="shared" si="181"/>
        <v>10444.169999999998</v>
      </c>
      <c r="L3336" s="2">
        <f t="shared" si="182"/>
        <v>4</v>
      </c>
    </row>
    <row r="3337" spans="1:12" x14ac:dyDescent="0.3">
      <c r="A3337" s="3">
        <v>45631</v>
      </c>
      <c r="B3337" s="11" t="s">
        <v>6929</v>
      </c>
      <c r="C3337" s="65" t="s">
        <v>251</v>
      </c>
      <c r="G3337" s="2">
        <v>3000</v>
      </c>
      <c r="I3337" s="88">
        <f t="shared" si="181"/>
        <v>13444.169999999998</v>
      </c>
      <c r="L3337" s="2">
        <f t="shared" si="182"/>
        <v>12</v>
      </c>
    </row>
    <row r="3338" spans="1:12" x14ac:dyDescent="0.3">
      <c r="A3338" s="3">
        <v>45631</v>
      </c>
      <c r="B3338" s="11" t="s">
        <v>6840</v>
      </c>
      <c r="C3338" s="65" t="s">
        <v>6841</v>
      </c>
      <c r="G3338" s="2">
        <v>5000</v>
      </c>
      <c r="I3338" s="88">
        <f t="shared" si="181"/>
        <v>18444.169999999998</v>
      </c>
      <c r="L3338" s="2">
        <f t="shared" si="182"/>
        <v>20</v>
      </c>
    </row>
    <row r="3339" spans="1:12" x14ac:dyDescent="0.3">
      <c r="A3339" s="3">
        <v>45631</v>
      </c>
      <c r="B3339" s="11" t="s">
        <v>5495</v>
      </c>
      <c r="C3339" s="65" t="s">
        <v>6930</v>
      </c>
      <c r="G3339" s="2">
        <v>1000</v>
      </c>
      <c r="I3339" s="88">
        <f t="shared" si="181"/>
        <v>19444.169999999998</v>
      </c>
      <c r="L3339" s="2">
        <f t="shared" si="182"/>
        <v>4</v>
      </c>
    </row>
    <row r="3340" spans="1:12" x14ac:dyDescent="0.3">
      <c r="A3340" s="3">
        <v>45631</v>
      </c>
      <c r="B3340" s="11" t="s">
        <v>2351</v>
      </c>
      <c r="C3340" s="65" t="s">
        <v>6935</v>
      </c>
      <c r="G3340" s="2">
        <v>3500</v>
      </c>
      <c r="I3340" s="88">
        <f t="shared" si="181"/>
        <v>22944.17</v>
      </c>
      <c r="L3340" s="2">
        <f t="shared" si="182"/>
        <v>14</v>
      </c>
    </row>
    <row r="3341" spans="1:12" x14ac:dyDescent="0.3">
      <c r="A3341" s="3">
        <v>45631</v>
      </c>
      <c r="B3341" s="11" t="s">
        <v>6932</v>
      </c>
      <c r="C3341" s="65" t="s">
        <v>6933</v>
      </c>
      <c r="E3341" s="90" t="s">
        <v>16</v>
      </c>
      <c r="H3341" s="2">
        <v>500</v>
      </c>
      <c r="I3341" s="88">
        <f t="shared" si="181"/>
        <v>22444.17</v>
      </c>
      <c r="L3341" s="2">
        <f t="shared" si="182"/>
        <v>27</v>
      </c>
    </row>
    <row r="3342" spans="1:12" x14ac:dyDescent="0.3">
      <c r="A3342" s="3">
        <v>45631</v>
      </c>
      <c r="B3342" s="11" t="s">
        <v>6522</v>
      </c>
      <c r="C3342" s="65" t="s">
        <v>4366</v>
      </c>
      <c r="G3342" s="2">
        <v>1000</v>
      </c>
      <c r="I3342" s="88">
        <f t="shared" si="181"/>
        <v>23444.17</v>
      </c>
      <c r="L3342" s="2">
        <f t="shared" si="182"/>
        <v>4</v>
      </c>
    </row>
    <row r="3343" spans="1:12" x14ac:dyDescent="0.3">
      <c r="A3343" s="3">
        <v>45631</v>
      </c>
      <c r="B3343" s="11" t="s">
        <v>2448</v>
      </c>
      <c r="C3343" s="65" t="s">
        <v>3605</v>
      </c>
      <c r="H3343" s="2">
        <v>6000</v>
      </c>
      <c r="I3343" s="88">
        <f t="shared" si="181"/>
        <v>17444.169999999998</v>
      </c>
      <c r="L3343" s="2">
        <f t="shared" si="182"/>
        <v>20</v>
      </c>
    </row>
    <row r="3344" spans="1:12" x14ac:dyDescent="0.3">
      <c r="A3344" s="3">
        <v>45631</v>
      </c>
      <c r="B3344" s="11" t="s">
        <v>6660</v>
      </c>
      <c r="C3344" s="65" t="s">
        <v>6936</v>
      </c>
      <c r="G3344" s="2">
        <v>5000</v>
      </c>
      <c r="I3344" s="88">
        <f t="shared" si="181"/>
        <v>22444.17</v>
      </c>
      <c r="L3344" s="2">
        <f t="shared" si="182"/>
        <v>20</v>
      </c>
    </row>
    <row r="3345" spans="1:12" x14ac:dyDescent="0.3">
      <c r="A3345" s="3">
        <v>45632</v>
      </c>
      <c r="B3345" s="11" t="s">
        <v>3232</v>
      </c>
      <c r="C3345" s="65" t="s">
        <v>6937</v>
      </c>
      <c r="G3345" s="2">
        <v>1400</v>
      </c>
      <c r="I3345" s="88">
        <f t="shared" si="181"/>
        <v>23844.17</v>
      </c>
      <c r="L3345" s="2">
        <f t="shared" si="182"/>
        <v>5.6000000000000005</v>
      </c>
    </row>
    <row r="3346" spans="1:12" x14ac:dyDescent="0.3">
      <c r="A3346" s="3">
        <v>45632</v>
      </c>
      <c r="B3346" s="11" t="s">
        <v>6940</v>
      </c>
      <c r="C3346" s="65" t="s">
        <v>3225</v>
      </c>
      <c r="E3346" s="90" t="s">
        <v>16</v>
      </c>
      <c r="H3346" s="2">
        <v>500</v>
      </c>
      <c r="I3346" s="88">
        <f t="shared" si="181"/>
        <v>23344.17</v>
      </c>
      <c r="L3346" s="2">
        <f t="shared" si="182"/>
        <v>27</v>
      </c>
    </row>
    <row r="3347" spans="1:12" x14ac:dyDescent="0.3">
      <c r="A3347" s="3">
        <v>45632</v>
      </c>
      <c r="B3347" s="11" t="s">
        <v>6943</v>
      </c>
      <c r="C3347" s="65" t="s">
        <v>6944</v>
      </c>
      <c r="E3347" s="90" t="s">
        <v>16</v>
      </c>
      <c r="H3347" s="2">
        <v>500</v>
      </c>
      <c r="I3347" s="88">
        <f t="shared" si="181"/>
        <v>22844.17</v>
      </c>
      <c r="L3347" s="2">
        <f t="shared" si="182"/>
        <v>27</v>
      </c>
    </row>
    <row r="3348" spans="1:12" x14ac:dyDescent="0.3">
      <c r="A3348" s="3">
        <v>45632</v>
      </c>
      <c r="B3348" s="11" t="s">
        <v>6947</v>
      </c>
      <c r="C3348" s="65" t="s">
        <v>6948</v>
      </c>
      <c r="G3348" s="2">
        <v>1000</v>
      </c>
      <c r="I3348" s="88">
        <f t="shared" si="181"/>
        <v>23844.17</v>
      </c>
      <c r="L3348" s="2">
        <f t="shared" si="182"/>
        <v>4</v>
      </c>
    </row>
    <row r="3349" spans="1:12" x14ac:dyDescent="0.3">
      <c r="A3349" s="3">
        <v>45632</v>
      </c>
      <c r="B3349" s="11" t="s">
        <v>6950</v>
      </c>
      <c r="C3349" s="65" t="s">
        <v>6951</v>
      </c>
      <c r="E3349" s="90" t="s">
        <v>16</v>
      </c>
      <c r="H3349" s="2">
        <v>500</v>
      </c>
      <c r="I3349" s="88">
        <f t="shared" si="181"/>
        <v>23344.17</v>
      </c>
      <c r="L3349" s="2">
        <f t="shared" si="182"/>
        <v>27</v>
      </c>
    </row>
    <row r="3350" spans="1:12" x14ac:dyDescent="0.3">
      <c r="A3350" s="3">
        <v>45632</v>
      </c>
      <c r="C3350" s="65" t="s">
        <v>2857</v>
      </c>
      <c r="E3350" s="90" t="s">
        <v>4721</v>
      </c>
      <c r="H3350" s="81">
        <v>15000</v>
      </c>
      <c r="I3350" s="88">
        <f t="shared" ref="I3350" si="183">I3349+G3350-H3350</f>
        <v>8344.1699999999983</v>
      </c>
      <c r="L3350" s="2">
        <v>0</v>
      </c>
    </row>
    <row r="3351" spans="1:12" x14ac:dyDescent="0.3">
      <c r="A3351" s="3">
        <v>45632</v>
      </c>
      <c r="B3351" s="11" t="s">
        <v>6953</v>
      </c>
      <c r="C3351" s="65" t="s">
        <v>6954</v>
      </c>
      <c r="E3351" s="90" t="s">
        <v>16</v>
      </c>
      <c r="H3351" s="2">
        <v>500</v>
      </c>
      <c r="I3351" s="88">
        <f t="shared" ref="I3351:I3365" si="184">I3350+G3351-H3351</f>
        <v>7844.1699999999983</v>
      </c>
      <c r="L3351" s="2">
        <f t="shared" si="182"/>
        <v>27</v>
      </c>
    </row>
    <row r="3352" spans="1:12" x14ac:dyDescent="0.3">
      <c r="A3352" s="3">
        <v>45632</v>
      </c>
      <c r="B3352" s="11" t="s">
        <v>4061</v>
      </c>
      <c r="C3352" s="65" t="s">
        <v>2443</v>
      </c>
      <c r="G3352" s="2">
        <v>2000</v>
      </c>
      <c r="I3352" s="88">
        <f t="shared" si="184"/>
        <v>9844.1699999999983</v>
      </c>
      <c r="L3352" s="2">
        <f t="shared" si="182"/>
        <v>8</v>
      </c>
    </row>
    <row r="3353" spans="1:12" x14ac:dyDescent="0.3">
      <c r="A3353" s="3">
        <v>45632</v>
      </c>
      <c r="B3353" s="11" t="s">
        <v>2338</v>
      </c>
      <c r="C3353" s="65" t="s">
        <v>1279</v>
      </c>
      <c r="H3353" s="2">
        <v>5000</v>
      </c>
      <c r="I3353" s="88">
        <f t="shared" si="184"/>
        <v>4844.1699999999983</v>
      </c>
      <c r="L3353" s="2">
        <f t="shared" si="182"/>
        <v>20</v>
      </c>
    </row>
    <row r="3354" spans="1:12" x14ac:dyDescent="0.3">
      <c r="A3354" s="3">
        <v>45632</v>
      </c>
      <c r="B3354" s="11" t="s">
        <v>6660</v>
      </c>
      <c r="C3354" s="65" t="s">
        <v>6936</v>
      </c>
      <c r="G3354" s="2">
        <v>10000</v>
      </c>
      <c r="I3354" s="88">
        <f t="shared" si="184"/>
        <v>14844.169999999998</v>
      </c>
      <c r="L3354" s="2">
        <f t="shared" si="182"/>
        <v>20</v>
      </c>
    </row>
    <row r="3355" spans="1:12" x14ac:dyDescent="0.3">
      <c r="A3355" s="3">
        <v>45632</v>
      </c>
      <c r="B3355" s="11" t="s">
        <v>3543</v>
      </c>
      <c r="C3355" s="65" t="s">
        <v>3670</v>
      </c>
      <c r="G3355" s="2">
        <v>4000</v>
      </c>
      <c r="I3355" s="88">
        <f t="shared" si="184"/>
        <v>18844.169999999998</v>
      </c>
      <c r="L3355" s="2">
        <f t="shared" si="182"/>
        <v>16</v>
      </c>
    </row>
    <row r="3356" spans="1:12" x14ac:dyDescent="0.3">
      <c r="A3356" s="3">
        <v>45632</v>
      </c>
      <c r="B3356" s="11" t="s">
        <v>3871</v>
      </c>
      <c r="C3356" s="65" t="s">
        <v>2347</v>
      </c>
      <c r="H3356" s="2">
        <v>5500</v>
      </c>
      <c r="I3356" s="88">
        <f t="shared" si="184"/>
        <v>13344.169999999998</v>
      </c>
      <c r="L3356" s="2">
        <f t="shared" si="182"/>
        <v>20</v>
      </c>
    </row>
    <row r="3357" spans="1:12" x14ac:dyDescent="0.3">
      <c r="A3357" s="3">
        <v>45632</v>
      </c>
      <c r="B3357" s="11" t="s">
        <v>3524</v>
      </c>
      <c r="C3357" s="65" t="s">
        <v>3088</v>
      </c>
      <c r="H3357" s="2">
        <v>10000</v>
      </c>
      <c r="I3357" s="88">
        <f t="shared" si="184"/>
        <v>3344.1699999999983</v>
      </c>
      <c r="L3357" s="2">
        <f t="shared" si="182"/>
        <v>20</v>
      </c>
    </row>
    <row r="3358" spans="1:12" x14ac:dyDescent="0.3">
      <c r="A3358" s="3">
        <v>45633</v>
      </c>
      <c r="B3358" s="11" t="s">
        <v>6422</v>
      </c>
      <c r="C3358" s="65" t="s">
        <v>6963</v>
      </c>
      <c r="G3358" s="2">
        <v>4050</v>
      </c>
      <c r="I3358" s="88">
        <f t="shared" si="184"/>
        <v>7394.1699999999983</v>
      </c>
      <c r="L3358" s="2">
        <f t="shared" si="182"/>
        <v>16.2</v>
      </c>
    </row>
    <row r="3359" spans="1:12" x14ac:dyDescent="0.3">
      <c r="A3359" s="3">
        <v>45633</v>
      </c>
      <c r="B3359" s="11" t="s">
        <v>6961</v>
      </c>
      <c r="C3359" s="65" t="s">
        <v>6962</v>
      </c>
      <c r="E3359" s="90" t="s">
        <v>16</v>
      </c>
      <c r="H3359" s="2">
        <v>500</v>
      </c>
      <c r="I3359" s="88">
        <f t="shared" si="184"/>
        <v>6894.1699999999983</v>
      </c>
      <c r="L3359" s="2">
        <f t="shared" si="182"/>
        <v>27</v>
      </c>
    </row>
    <row r="3360" spans="1:12" x14ac:dyDescent="0.3">
      <c r="A3360" s="3">
        <v>45633</v>
      </c>
      <c r="B3360" s="11" t="s">
        <v>4061</v>
      </c>
      <c r="C3360" s="65" t="s">
        <v>2443</v>
      </c>
      <c r="G3360" s="2">
        <v>1550</v>
      </c>
      <c r="I3360" s="88">
        <f t="shared" si="184"/>
        <v>8444.1699999999983</v>
      </c>
      <c r="L3360" s="2">
        <f t="shared" si="182"/>
        <v>6.2</v>
      </c>
    </row>
    <row r="3361" spans="1:18" x14ac:dyDescent="0.3">
      <c r="A3361" s="3">
        <v>45633</v>
      </c>
      <c r="B3361" s="11" t="s">
        <v>6844</v>
      </c>
      <c r="C3361" s="65" t="s">
        <v>6845</v>
      </c>
      <c r="H3361" s="2">
        <v>4400</v>
      </c>
      <c r="I3361" s="88">
        <f t="shared" si="184"/>
        <v>4044.1699999999983</v>
      </c>
      <c r="L3361" s="2">
        <f t="shared" si="182"/>
        <v>17.600000000000001</v>
      </c>
    </row>
    <row r="3362" spans="1:18" x14ac:dyDescent="0.3">
      <c r="A3362" s="3">
        <v>45633</v>
      </c>
      <c r="B3362" s="11" t="s">
        <v>1250</v>
      </c>
      <c r="C3362" s="65" t="s">
        <v>3844</v>
      </c>
      <c r="G3362" s="2">
        <v>6500</v>
      </c>
      <c r="I3362" s="88">
        <f t="shared" si="184"/>
        <v>10544.169999999998</v>
      </c>
      <c r="L3362" s="2">
        <f t="shared" si="182"/>
        <v>20</v>
      </c>
    </row>
    <row r="3363" spans="1:18" x14ac:dyDescent="0.3">
      <c r="A3363" s="3">
        <v>45633</v>
      </c>
      <c r="B3363" s="11" t="s">
        <v>1250</v>
      </c>
      <c r="C3363" s="65" t="s">
        <v>3896</v>
      </c>
      <c r="H3363" s="2">
        <v>6500</v>
      </c>
      <c r="I3363" s="88">
        <f t="shared" si="184"/>
        <v>4044.1699999999983</v>
      </c>
      <c r="L3363" s="2">
        <f t="shared" si="182"/>
        <v>20</v>
      </c>
    </row>
    <row r="3364" spans="1:18" x14ac:dyDescent="0.3">
      <c r="A3364" s="3">
        <v>45633</v>
      </c>
      <c r="B3364" s="11" t="s">
        <v>1250</v>
      </c>
      <c r="C3364" s="65" t="s">
        <v>6966</v>
      </c>
      <c r="G3364" s="2">
        <v>1000</v>
      </c>
      <c r="I3364" s="88">
        <f t="shared" si="184"/>
        <v>5044.1699999999983</v>
      </c>
      <c r="L3364" s="2">
        <f t="shared" si="182"/>
        <v>4</v>
      </c>
    </row>
    <row r="3365" spans="1:18" x14ac:dyDescent="0.3">
      <c r="A3365" s="3">
        <v>45633</v>
      </c>
      <c r="B3365" s="11" t="s">
        <v>6965</v>
      </c>
      <c r="C3365" s="65" t="s">
        <v>6969</v>
      </c>
      <c r="E3365" s="90" t="s">
        <v>16</v>
      </c>
      <c r="H3365" s="2">
        <v>500</v>
      </c>
      <c r="I3365" s="88">
        <f t="shared" si="184"/>
        <v>4544.1699999999983</v>
      </c>
      <c r="L3365" s="2">
        <f t="shared" si="182"/>
        <v>27</v>
      </c>
    </row>
    <row r="3366" spans="1:18" x14ac:dyDescent="0.3">
      <c r="A3366" s="3">
        <v>45633</v>
      </c>
      <c r="B3366" s="11" t="s">
        <v>6971</v>
      </c>
      <c r="C3366" s="65" t="s">
        <v>6972</v>
      </c>
      <c r="E3366" s="90" t="s">
        <v>16</v>
      </c>
      <c r="H3366" s="2">
        <v>500</v>
      </c>
      <c r="I3366" s="88">
        <f t="shared" ref="I3366:I3444" si="185">I3365+G3366-H3366</f>
        <v>4044.1699999999983</v>
      </c>
      <c r="L3366" s="2">
        <f t="shared" si="182"/>
        <v>27</v>
      </c>
    </row>
    <row r="3367" spans="1:18" x14ac:dyDescent="0.3">
      <c r="A3367" s="3">
        <v>45633</v>
      </c>
      <c r="B3367" s="11" t="s">
        <v>4678</v>
      </c>
      <c r="C3367" s="65" t="s">
        <v>585</v>
      </c>
      <c r="E3367" s="90" t="s">
        <v>16</v>
      </c>
      <c r="H3367" s="2">
        <v>2000</v>
      </c>
      <c r="I3367" s="88">
        <f t="shared" si="185"/>
        <v>2044.1699999999983</v>
      </c>
      <c r="L3367" s="2">
        <f t="shared" si="182"/>
        <v>33</v>
      </c>
      <c r="R3367">
        <f>9000+10000</f>
        <v>19000</v>
      </c>
    </row>
    <row r="3368" spans="1:18" x14ac:dyDescent="0.3">
      <c r="A3368" s="3">
        <v>45633</v>
      </c>
      <c r="B3368" s="11" t="s">
        <v>6976</v>
      </c>
      <c r="C3368" s="65" t="s">
        <v>6977</v>
      </c>
      <c r="E3368" s="90" t="s">
        <v>16</v>
      </c>
      <c r="H3368" s="2">
        <v>500</v>
      </c>
      <c r="I3368" s="88">
        <f t="shared" si="185"/>
        <v>1544.1699999999983</v>
      </c>
      <c r="L3368" s="2">
        <f t="shared" si="182"/>
        <v>27</v>
      </c>
    </row>
    <row r="3369" spans="1:18" x14ac:dyDescent="0.3">
      <c r="A3369" s="3">
        <v>45635</v>
      </c>
      <c r="B3369" s="11" t="s">
        <v>1160</v>
      </c>
      <c r="C3369" s="65" t="s">
        <v>6981</v>
      </c>
      <c r="G3369" s="2">
        <v>4000</v>
      </c>
      <c r="I3369" s="88">
        <f t="shared" si="185"/>
        <v>5544.1699999999983</v>
      </c>
      <c r="L3369" s="2">
        <f t="shared" si="182"/>
        <v>16</v>
      </c>
    </row>
    <row r="3370" spans="1:18" x14ac:dyDescent="0.3">
      <c r="A3370" s="3">
        <v>45635</v>
      </c>
      <c r="C3370" s="65" t="s">
        <v>6574</v>
      </c>
      <c r="G3370" s="2">
        <v>2000</v>
      </c>
      <c r="I3370" s="88">
        <f t="shared" si="185"/>
        <v>7544.1699999999983</v>
      </c>
      <c r="L3370" s="2">
        <f t="shared" si="182"/>
        <v>8</v>
      </c>
    </row>
    <row r="3371" spans="1:18" x14ac:dyDescent="0.3">
      <c r="A3371" s="3">
        <v>45635</v>
      </c>
      <c r="B3371" s="11" t="s">
        <v>6260</v>
      </c>
      <c r="C3371" s="65" t="s">
        <v>6833</v>
      </c>
      <c r="H3371" s="2">
        <v>5000</v>
      </c>
      <c r="I3371" s="88">
        <f t="shared" si="185"/>
        <v>2544.1699999999983</v>
      </c>
      <c r="L3371" s="2">
        <f t="shared" si="182"/>
        <v>20</v>
      </c>
    </row>
    <row r="3372" spans="1:18" x14ac:dyDescent="0.3">
      <c r="A3372" s="3">
        <v>45635</v>
      </c>
      <c r="B3372" s="11" t="s">
        <v>6982</v>
      </c>
      <c r="C3372" s="65" t="s">
        <v>6983</v>
      </c>
      <c r="G3372" s="2">
        <v>2000</v>
      </c>
      <c r="I3372" s="88">
        <f t="shared" si="185"/>
        <v>4544.1699999999983</v>
      </c>
      <c r="L3372" s="2">
        <f t="shared" si="182"/>
        <v>8</v>
      </c>
    </row>
    <row r="3373" spans="1:18" x14ac:dyDescent="0.3">
      <c r="A3373" s="3">
        <v>45635</v>
      </c>
      <c r="B3373" s="11" t="s">
        <v>6982</v>
      </c>
      <c r="C3373" s="65" t="s">
        <v>6984</v>
      </c>
      <c r="G3373" s="2">
        <v>6000</v>
      </c>
      <c r="I3373" s="88">
        <f t="shared" si="185"/>
        <v>10544.169999999998</v>
      </c>
      <c r="L3373" s="2">
        <f t="shared" si="182"/>
        <v>20</v>
      </c>
    </row>
    <row r="3374" spans="1:18" x14ac:dyDescent="0.3">
      <c r="A3374" s="3">
        <v>45635</v>
      </c>
      <c r="B3374" s="11" t="s">
        <v>1250</v>
      </c>
      <c r="C3374" s="65" t="s">
        <v>6985</v>
      </c>
      <c r="G3374" s="2">
        <v>10000</v>
      </c>
      <c r="I3374" s="88">
        <f t="shared" si="185"/>
        <v>20544.169999999998</v>
      </c>
      <c r="L3374" s="2">
        <f t="shared" si="182"/>
        <v>20</v>
      </c>
    </row>
    <row r="3375" spans="1:18" x14ac:dyDescent="0.3">
      <c r="A3375" s="3">
        <v>45635</v>
      </c>
      <c r="B3375" s="11" t="s">
        <v>2143</v>
      </c>
      <c r="C3375" s="65" t="s">
        <v>6986</v>
      </c>
      <c r="H3375" s="2">
        <v>10000</v>
      </c>
      <c r="I3375" s="88">
        <f t="shared" si="185"/>
        <v>10544.169999999998</v>
      </c>
      <c r="L3375" s="2">
        <f>IF((G3375+H3375)&lt;=5000,(H3375+G3375)*0.004,20)+IF(E3375="Y",25,0)</f>
        <v>20</v>
      </c>
    </row>
    <row r="3376" spans="1:18" x14ac:dyDescent="0.3">
      <c r="A3376" s="3">
        <v>45635</v>
      </c>
      <c r="B3376" s="11" t="s">
        <v>6987</v>
      </c>
      <c r="C3376" s="65" t="s">
        <v>6988</v>
      </c>
      <c r="E3376" s="90" t="s">
        <v>16</v>
      </c>
      <c r="H3376" s="2">
        <v>1000</v>
      </c>
      <c r="I3376" s="88">
        <f t="shared" si="185"/>
        <v>9544.1699999999983</v>
      </c>
      <c r="L3376" s="2">
        <f t="shared" ref="L3376:L3443" si="186">IF((G3376+H3376)&lt;=5000,(H3376+G3376)*0.004,20)+IF(E3376="Y",25,0)</f>
        <v>29</v>
      </c>
    </row>
    <row r="3377" spans="1:12" x14ac:dyDescent="0.3">
      <c r="A3377" s="3">
        <v>45635</v>
      </c>
      <c r="B3377" s="11" t="s">
        <v>2952</v>
      </c>
      <c r="C3377" s="51" t="s">
        <v>6993</v>
      </c>
      <c r="G3377" s="2">
        <v>5000</v>
      </c>
      <c r="I3377" s="88">
        <f t="shared" si="185"/>
        <v>14544.169999999998</v>
      </c>
      <c r="L3377" s="2">
        <f t="shared" si="186"/>
        <v>20</v>
      </c>
    </row>
    <row r="3378" spans="1:12" x14ac:dyDescent="0.3">
      <c r="A3378" s="3">
        <v>45635</v>
      </c>
      <c r="B3378" s="11" t="s">
        <v>1388</v>
      </c>
      <c r="C3378" s="51" t="s">
        <v>2857</v>
      </c>
      <c r="H3378" s="2">
        <v>10000</v>
      </c>
      <c r="I3378" s="88">
        <f t="shared" si="185"/>
        <v>4544.1699999999983</v>
      </c>
      <c r="L3378" s="2">
        <f t="shared" si="186"/>
        <v>20</v>
      </c>
    </row>
    <row r="3379" spans="1:12" x14ac:dyDescent="0.3">
      <c r="A3379" s="3">
        <v>45635</v>
      </c>
      <c r="B3379" s="11" t="s">
        <v>1250</v>
      </c>
      <c r="C3379" s="51" t="s">
        <v>5040</v>
      </c>
      <c r="G3379" s="2">
        <v>6000</v>
      </c>
      <c r="I3379" s="88">
        <f t="shared" si="185"/>
        <v>10544.169999999998</v>
      </c>
      <c r="L3379" s="2">
        <f t="shared" si="186"/>
        <v>20</v>
      </c>
    </row>
    <row r="3380" spans="1:12" x14ac:dyDescent="0.3">
      <c r="A3380" s="3">
        <v>45635</v>
      </c>
      <c r="B3380" s="11" t="s">
        <v>2448</v>
      </c>
      <c r="C3380" s="51" t="s">
        <v>3605</v>
      </c>
      <c r="H3380" s="2">
        <v>5000</v>
      </c>
      <c r="I3380" s="88">
        <f t="shared" si="185"/>
        <v>5544.1699999999983</v>
      </c>
      <c r="L3380" s="2">
        <f t="shared" si="186"/>
        <v>20</v>
      </c>
    </row>
    <row r="3381" spans="1:12" x14ac:dyDescent="0.3">
      <c r="A3381" s="3">
        <v>45635</v>
      </c>
      <c r="B3381" s="11" t="s">
        <v>4234</v>
      </c>
      <c r="C3381" s="51" t="s">
        <v>6367</v>
      </c>
      <c r="G3381" s="2">
        <v>1000</v>
      </c>
      <c r="I3381" s="88">
        <f t="shared" si="185"/>
        <v>6544.1699999999983</v>
      </c>
      <c r="L3381" s="2">
        <f t="shared" si="186"/>
        <v>4</v>
      </c>
    </row>
    <row r="3382" spans="1:12" x14ac:dyDescent="0.3">
      <c r="A3382" s="3">
        <v>45635</v>
      </c>
      <c r="B3382" s="11" t="s">
        <v>1250</v>
      </c>
      <c r="C3382" s="51" t="s">
        <v>6995</v>
      </c>
      <c r="G3382" s="2">
        <v>1000</v>
      </c>
      <c r="I3382" s="88">
        <f t="shared" si="185"/>
        <v>7544.1699999999983</v>
      </c>
      <c r="L3382" s="2">
        <f t="shared" si="186"/>
        <v>4</v>
      </c>
    </row>
    <row r="3383" spans="1:12" x14ac:dyDescent="0.3">
      <c r="A3383" s="3">
        <v>45635</v>
      </c>
      <c r="B3383" s="11" t="s">
        <v>1160</v>
      </c>
      <c r="C3383" s="50" t="s">
        <v>4982</v>
      </c>
      <c r="G3383" s="2">
        <v>7000</v>
      </c>
      <c r="I3383" s="88">
        <f t="shared" si="185"/>
        <v>14544.169999999998</v>
      </c>
      <c r="L3383" s="2">
        <f t="shared" si="186"/>
        <v>20</v>
      </c>
    </row>
    <row r="3384" spans="1:12" x14ac:dyDescent="0.3">
      <c r="A3384" s="3">
        <v>45635</v>
      </c>
      <c r="B3384" s="11" t="s">
        <v>6660</v>
      </c>
      <c r="C3384" s="51" t="s">
        <v>6936</v>
      </c>
      <c r="G3384" s="2">
        <v>10000</v>
      </c>
      <c r="I3384" s="88">
        <f t="shared" si="185"/>
        <v>24544.17</v>
      </c>
      <c r="L3384" s="2">
        <f t="shared" si="186"/>
        <v>20</v>
      </c>
    </row>
    <row r="3385" spans="1:12" x14ac:dyDescent="0.3">
      <c r="A3385" s="3">
        <v>45635</v>
      </c>
      <c r="B3385" s="11" t="s">
        <v>6260</v>
      </c>
      <c r="C3385" s="51" t="s">
        <v>6833</v>
      </c>
      <c r="H3385" s="2">
        <v>3500</v>
      </c>
      <c r="I3385" s="88">
        <f t="shared" si="185"/>
        <v>21044.17</v>
      </c>
      <c r="L3385" s="2">
        <f t="shared" si="186"/>
        <v>14</v>
      </c>
    </row>
    <row r="3386" spans="1:12" x14ac:dyDescent="0.3">
      <c r="A3386" s="3">
        <v>45636</v>
      </c>
      <c r="C3386" s="51"/>
      <c r="H3386" s="2">
        <v>20000</v>
      </c>
      <c r="I3386" s="88">
        <f t="shared" si="185"/>
        <v>1044.1699999999983</v>
      </c>
      <c r="L3386" s="2">
        <f t="shared" si="186"/>
        <v>20</v>
      </c>
    </row>
    <row r="3387" spans="1:12" x14ac:dyDescent="0.3">
      <c r="A3387" s="3">
        <v>45636</v>
      </c>
      <c r="B3387" s="11" t="s">
        <v>6998</v>
      </c>
      <c r="C3387" s="51" t="s">
        <v>6985</v>
      </c>
      <c r="G3387" s="2">
        <v>1300</v>
      </c>
      <c r="I3387" s="88">
        <f t="shared" si="185"/>
        <v>2344.1699999999983</v>
      </c>
      <c r="L3387" s="2">
        <f t="shared" si="186"/>
        <v>5.2</v>
      </c>
    </row>
    <row r="3388" spans="1:12" x14ac:dyDescent="0.3">
      <c r="A3388" s="3">
        <v>45636</v>
      </c>
      <c r="B3388" s="11" t="s">
        <v>7000</v>
      </c>
      <c r="C3388" s="65" t="s">
        <v>7001</v>
      </c>
      <c r="E3388" s="90" t="s">
        <v>14</v>
      </c>
      <c r="H3388" s="2">
        <v>500</v>
      </c>
      <c r="I3388" s="88">
        <f t="shared" si="185"/>
        <v>1844.1699999999983</v>
      </c>
      <c r="L3388" s="2">
        <f t="shared" si="186"/>
        <v>27</v>
      </c>
    </row>
    <row r="3389" spans="1:12" x14ac:dyDescent="0.3">
      <c r="A3389" s="3">
        <v>45636</v>
      </c>
      <c r="B3389" s="11" t="s">
        <v>7005</v>
      </c>
      <c r="C3389" s="65" t="s">
        <v>7004</v>
      </c>
      <c r="G3389" s="2">
        <v>3500</v>
      </c>
      <c r="I3389" s="88">
        <f t="shared" si="185"/>
        <v>5344.1699999999983</v>
      </c>
      <c r="L3389" s="2">
        <f t="shared" si="186"/>
        <v>14</v>
      </c>
    </row>
    <row r="3390" spans="1:12" x14ac:dyDescent="0.3">
      <c r="A3390" s="3">
        <v>45636</v>
      </c>
      <c r="B3390" s="11" t="s">
        <v>1250</v>
      </c>
      <c r="C3390" s="65" t="s">
        <v>7006</v>
      </c>
      <c r="G3390" s="2">
        <v>1500</v>
      </c>
      <c r="I3390" s="88">
        <f t="shared" si="185"/>
        <v>6844.1699999999983</v>
      </c>
      <c r="L3390" s="2">
        <f t="shared" si="186"/>
        <v>6</v>
      </c>
    </row>
    <row r="3391" spans="1:12" x14ac:dyDescent="0.3">
      <c r="A3391" s="3">
        <v>45636</v>
      </c>
      <c r="B3391" s="11" t="s">
        <v>7000</v>
      </c>
      <c r="C3391" s="65" t="s">
        <v>7001</v>
      </c>
      <c r="E3391" s="90" t="s">
        <v>14</v>
      </c>
      <c r="H3391" s="2">
        <v>500</v>
      </c>
      <c r="I3391" s="88">
        <f t="shared" si="185"/>
        <v>6344.1699999999983</v>
      </c>
      <c r="L3391" s="2">
        <f t="shared" si="186"/>
        <v>27</v>
      </c>
    </row>
    <row r="3392" spans="1:12" x14ac:dyDescent="0.3">
      <c r="A3392" s="3">
        <v>45636</v>
      </c>
      <c r="B3392" s="11" t="s">
        <v>7009</v>
      </c>
      <c r="C3392" s="65" t="s">
        <v>7010</v>
      </c>
      <c r="E3392" s="90" t="s">
        <v>14</v>
      </c>
      <c r="H3392" s="2">
        <v>500</v>
      </c>
      <c r="I3392" s="88">
        <f t="shared" si="185"/>
        <v>5844.1699999999983</v>
      </c>
      <c r="L3392" s="2">
        <f t="shared" si="186"/>
        <v>27</v>
      </c>
    </row>
    <row r="3393" spans="1:12" x14ac:dyDescent="0.3">
      <c r="A3393" s="3">
        <v>45636</v>
      </c>
      <c r="B3393" s="11" t="s">
        <v>1250</v>
      </c>
      <c r="C3393" s="65" t="s">
        <v>7011</v>
      </c>
      <c r="G3393" s="2">
        <v>1500</v>
      </c>
      <c r="I3393" s="88">
        <f t="shared" si="185"/>
        <v>7344.1699999999983</v>
      </c>
      <c r="L3393" s="2">
        <f t="shared" si="186"/>
        <v>6</v>
      </c>
    </row>
    <row r="3394" spans="1:12" x14ac:dyDescent="0.3">
      <c r="A3394" s="3">
        <v>45636</v>
      </c>
      <c r="B3394" s="11" t="s">
        <v>4150</v>
      </c>
      <c r="C3394" s="65" t="s">
        <v>610</v>
      </c>
      <c r="H3394" s="2">
        <v>3000</v>
      </c>
      <c r="I3394" s="88">
        <f t="shared" si="185"/>
        <v>4344.1699999999983</v>
      </c>
      <c r="L3394" s="2">
        <f t="shared" si="186"/>
        <v>12</v>
      </c>
    </row>
    <row r="3395" spans="1:12" x14ac:dyDescent="0.3">
      <c r="A3395" s="3">
        <v>45636</v>
      </c>
      <c r="B3395" s="11" t="s">
        <v>7013</v>
      </c>
      <c r="C3395" s="65" t="s">
        <v>7014</v>
      </c>
      <c r="E3395" s="90" t="s">
        <v>16</v>
      </c>
      <c r="H3395" s="2">
        <v>500</v>
      </c>
      <c r="I3395" s="88">
        <f t="shared" si="185"/>
        <v>3844.1699999999983</v>
      </c>
      <c r="L3395" s="2">
        <f t="shared" si="186"/>
        <v>27</v>
      </c>
    </row>
    <row r="3396" spans="1:12" x14ac:dyDescent="0.3">
      <c r="A3396" s="3">
        <v>45636</v>
      </c>
      <c r="B3396" s="11" t="s">
        <v>6102</v>
      </c>
      <c r="C3396" s="65" t="s">
        <v>7017</v>
      </c>
      <c r="H3396" s="2">
        <v>3000</v>
      </c>
      <c r="I3396" s="88">
        <f t="shared" si="185"/>
        <v>844.16999999999825</v>
      </c>
      <c r="L3396" s="2">
        <f t="shared" si="186"/>
        <v>12</v>
      </c>
    </row>
    <row r="3397" spans="1:12" x14ac:dyDescent="0.3">
      <c r="A3397" s="3">
        <v>45636</v>
      </c>
      <c r="B3397" s="11" t="s">
        <v>1250</v>
      </c>
      <c r="C3397" s="65" t="s">
        <v>2443</v>
      </c>
      <c r="G3397" s="2">
        <v>1500</v>
      </c>
      <c r="I3397" s="88">
        <f t="shared" si="185"/>
        <v>2344.1699999999983</v>
      </c>
      <c r="J3397">
        <v>20</v>
      </c>
      <c r="L3397" s="2">
        <f t="shared" si="186"/>
        <v>6</v>
      </c>
    </row>
    <row r="3398" spans="1:12" x14ac:dyDescent="0.3">
      <c r="A3398" s="3">
        <v>45636</v>
      </c>
      <c r="B3398" s="11" t="s">
        <v>1160</v>
      </c>
      <c r="C3398" s="65" t="s">
        <v>7019</v>
      </c>
      <c r="G3398" s="2">
        <v>500</v>
      </c>
      <c r="I3398" s="88">
        <f t="shared" si="185"/>
        <v>2844.1699999999983</v>
      </c>
      <c r="L3398" s="2">
        <f t="shared" si="186"/>
        <v>2</v>
      </c>
    </row>
    <row r="3399" spans="1:12" x14ac:dyDescent="0.3">
      <c r="A3399" s="3">
        <v>45636</v>
      </c>
      <c r="B3399" s="11" t="s">
        <v>1250</v>
      </c>
      <c r="C3399" s="65" t="s">
        <v>4852</v>
      </c>
      <c r="G3399" s="2">
        <v>1000</v>
      </c>
      <c r="I3399" s="88">
        <f t="shared" si="185"/>
        <v>3844.1699999999983</v>
      </c>
      <c r="L3399" s="2">
        <f t="shared" si="186"/>
        <v>4</v>
      </c>
    </row>
    <row r="3400" spans="1:12" x14ac:dyDescent="0.3">
      <c r="A3400" s="3">
        <v>45636</v>
      </c>
      <c r="B3400" s="11" t="s">
        <v>1250</v>
      </c>
      <c r="C3400" s="65" t="s">
        <v>7020</v>
      </c>
      <c r="G3400" s="2">
        <v>1350</v>
      </c>
      <c r="I3400" s="88">
        <f t="shared" si="185"/>
        <v>5194.1699999999983</v>
      </c>
      <c r="L3400" s="2">
        <f t="shared" si="186"/>
        <v>5.4</v>
      </c>
    </row>
    <row r="3401" spans="1:12" x14ac:dyDescent="0.3">
      <c r="A3401" s="3">
        <v>45636</v>
      </c>
      <c r="B3401" s="11" t="s">
        <v>3915</v>
      </c>
      <c r="C3401" s="65" t="s">
        <v>5166</v>
      </c>
      <c r="G3401" s="2">
        <v>5000</v>
      </c>
      <c r="I3401" s="88">
        <f t="shared" si="185"/>
        <v>10194.169999999998</v>
      </c>
      <c r="L3401" s="2">
        <f t="shared" si="186"/>
        <v>20</v>
      </c>
    </row>
    <row r="3402" spans="1:12" x14ac:dyDescent="0.3">
      <c r="A3402" s="3">
        <v>45636</v>
      </c>
      <c r="B3402" s="11" t="s">
        <v>3849</v>
      </c>
      <c r="C3402" s="65" t="s">
        <v>2551</v>
      </c>
      <c r="H3402" s="2">
        <v>3000</v>
      </c>
      <c r="I3402" s="88">
        <f t="shared" si="185"/>
        <v>7194.1699999999983</v>
      </c>
      <c r="L3402" s="2">
        <f t="shared" si="186"/>
        <v>12</v>
      </c>
    </row>
    <row r="3403" spans="1:12" x14ac:dyDescent="0.3">
      <c r="A3403" s="3">
        <v>45637</v>
      </c>
      <c r="B3403" s="11" t="s">
        <v>6260</v>
      </c>
      <c r="C3403" s="65" t="s">
        <v>6833</v>
      </c>
      <c r="H3403" s="2">
        <v>7000</v>
      </c>
      <c r="I3403" s="88">
        <f t="shared" si="185"/>
        <v>194.16999999999825</v>
      </c>
      <c r="L3403" s="2">
        <f t="shared" si="186"/>
        <v>20</v>
      </c>
    </row>
    <row r="3404" spans="1:12" x14ac:dyDescent="0.3">
      <c r="A3404" s="3">
        <v>45637</v>
      </c>
      <c r="B3404" s="11" t="s">
        <v>1250</v>
      </c>
      <c r="C3404" s="65" t="s">
        <v>3670</v>
      </c>
      <c r="G3404" s="2">
        <v>3500</v>
      </c>
      <c r="I3404" s="88">
        <f t="shared" si="185"/>
        <v>3694.1699999999983</v>
      </c>
      <c r="L3404" s="2">
        <f t="shared" si="186"/>
        <v>14</v>
      </c>
    </row>
    <row r="3405" spans="1:12" x14ac:dyDescent="0.3">
      <c r="A3405" s="3">
        <v>45637</v>
      </c>
      <c r="B3405" s="11" t="s">
        <v>5986</v>
      </c>
      <c r="C3405" s="65" t="s">
        <v>6510</v>
      </c>
      <c r="G3405" s="2">
        <v>600</v>
      </c>
      <c r="I3405" s="88">
        <f t="shared" si="185"/>
        <v>4294.1699999999983</v>
      </c>
      <c r="L3405" s="2">
        <f t="shared" si="186"/>
        <v>2.4</v>
      </c>
    </row>
    <row r="3406" spans="1:12" x14ac:dyDescent="0.3">
      <c r="A3406" s="3">
        <v>45637</v>
      </c>
      <c r="B3406" s="11" t="s">
        <v>7024</v>
      </c>
      <c r="C3406" s="65" t="s">
        <v>1077</v>
      </c>
      <c r="G3406" s="2">
        <v>3000</v>
      </c>
      <c r="I3406" s="88">
        <f t="shared" si="185"/>
        <v>7294.1699999999983</v>
      </c>
      <c r="L3406" s="2">
        <f t="shared" si="186"/>
        <v>12</v>
      </c>
    </row>
    <row r="3407" spans="1:12" x14ac:dyDescent="0.3">
      <c r="A3407" s="3">
        <v>45637</v>
      </c>
      <c r="B3407" s="11" t="s">
        <v>7026</v>
      </c>
      <c r="C3407" s="65" t="s">
        <v>377</v>
      </c>
      <c r="G3407" s="2">
        <v>1000</v>
      </c>
      <c r="I3407" s="88">
        <f t="shared" si="185"/>
        <v>8294.1699999999983</v>
      </c>
      <c r="L3407" s="2">
        <f t="shared" si="186"/>
        <v>4</v>
      </c>
    </row>
    <row r="3408" spans="1:12" x14ac:dyDescent="0.3">
      <c r="A3408" s="3">
        <v>45637</v>
      </c>
      <c r="B3408" s="11" t="s">
        <v>7030</v>
      </c>
      <c r="C3408" s="65" t="s">
        <v>7031</v>
      </c>
      <c r="E3408" s="90" t="s">
        <v>16</v>
      </c>
      <c r="H3408" s="2">
        <v>500</v>
      </c>
      <c r="I3408" s="88">
        <f t="shared" si="185"/>
        <v>7794.1699999999983</v>
      </c>
      <c r="L3408" s="2">
        <f t="shared" si="186"/>
        <v>27</v>
      </c>
    </row>
    <row r="3409" spans="1:12" x14ac:dyDescent="0.3">
      <c r="A3409" s="3">
        <v>45637</v>
      </c>
      <c r="B3409" s="11" t="s">
        <v>6844</v>
      </c>
      <c r="C3409" s="65" t="s">
        <v>7029</v>
      </c>
      <c r="H3409" s="2">
        <v>4000</v>
      </c>
      <c r="I3409" s="88">
        <f t="shared" si="185"/>
        <v>3794.1699999999983</v>
      </c>
      <c r="L3409" s="2">
        <f t="shared" si="186"/>
        <v>16</v>
      </c>
    </row>
    <row r="3410" spans="1:12" x14ac:dyDescent="0.3">
      <c r="A3410" s="3">
        <v>45637</v>
      </c>
      <c r="B3410" s="11" t="s">
        <v>7035</v>
      </c>
      <c r="C3410" s="65" t="s">
        <v>191</v>
      </c>
      <c r="G3410" s="2">
        <v>1500</v>
      </c>
      <c r="I3410" s="88">
        <f t="shared" si="185"/>
        <v>5294.1699999999983</v>
      </c>
      <c r="L3410" s="2">
        <f t="shared" si="186"/>
        <v>6</v>
      </c>
    </row>
    <row r="3411" spans="1:12" x14ac:dyDescent="0.3">
      <c r="A3411" s="3">
        <v>45637</v>
      </c>
      <c r="B3411" s="11" t="s">
        <v>1250</v>
      </c>
      <c r="C3411" s="65" t="s">
        <v>7036</v>
      </c>
      <c r="G3411" s="2">
        <v>10000</v>
      </c>
      <c r="I3411" s="88">
        <f t="shared" si="185"/>
        <v>15294.169999999998</v>
      </c>
      <c r="L3411" s="2">
        <f t="shared" si="186"/>
        <v>20</v>
      </c>
    </row>
    <row r="3412" spans="1:12" x14ac:dyDescent="0.3">
      <c r="A3412" s="3">
        <v>45637</v>
      </c>
      <c r="B3412" s="11" t="s">
        <v>6324</v>
      </c>
      <c r="C3412" s="65" t="s">
        <v>7037</v>
      </c>
      <c r="G3412" s="2">
        <v>1000</v>
      </c>
      <c r="I3412" s="88">
        <f t="shared" si="185"/>
        <v>16294.169999999998</v>
      </c>
      <c r="L3412" s="2">
        <f t="shared" si="186"/>
        <v>4</v>
      </c>
    </row>
    <row r="3413" spans="1:12" x14ac:dyDescent="0.3">
      <c r="A3413" s="3">
        <v>45637</v>
      </c>
      <c r="C3413" s="70" t="s">
        <v>4215</v>
      </c>
      <c r="D3413" s="114"/>
      <c r="E3413" s="97"/>
      <c r="F3413" s="10"/>
      <c r="G3413" s="64">
        <v>500</v>
      </c>
      <c r="H3413" s="64"/>
      <c r="I3413" s="88">
        <f t="shared" si="185"/>
        <v>16794.169999999998</v>
      </c>
      <c r="L3413" s="2">
        <f t="shared" si="186"/>
        <v>2</v>
      </c>
    </row>
    <row r="3414" spans="1:12" x14ac:dyDescent="0.3">
      <c r="A3414" s="3">
        <v>45637</v>
      </c>
      <c r="B3414" s="11" t="s">
        <v>7038</v>
      </c>
      <c r="C3414" s="65" t="s">
        <v>7039</v>
      </c>
      <c r="H3414" s="2">
        <v>1000</v>
      </c>
      <c r="I3414" s="88">
        <f t="shared" si="185"/>
        <v>15794.169999999998</v>
      </c>
      <c r="L3414" s="2">
        <f t="shared" si="186"/>
        <v>4</v>
      </c>
    </row>
    <row r="3415" spans="1:12" x14ac:dyDescent="0.3">
      <c r="A3415" s="3">
        <v>45637</v>
      </c>
      <c r="B3415" s="11" t="s">
        <v>3541</v>
      </c>
      <c r="C3415" s="65" t="s">
        <v>3673</v>
      </c>
      <c r="G3415" s="2">
        <v>1200</v>
      </c>
      <c r="I3415" s="88">
        <f t="shared" si="185"/>
        <v>16994.169999999998</v>
      </c>
      <c r="L3415" s="2">
        <f t="shared" si="186"/>
        <v>4.8</v>
      </c>
    </row>
    <row r="3416" spans="1:12" x14ac:dyDescent="0.3">
      <c r="A3416" s="3">
        <v>45637</v>
      </c>
      <c r="B3416" s="11" t="s">
        <v>1250</v>
      </c>
      <c r="C3416" s="65" t="s">
        <v>2443</v>
      </c>
      <c r="G3416" s="2">
        <v>1000</v>
      </c>
      <c r="I3416" s="88">
        <f t="shared" si="185"/>
        <v>17994.169999999998</v>
      </c>
      <c r="J3416">
        <v>10</v>
      </c>
      <c r="L3416" s="2">
        <f t="shared" si="186"/>
        <v>4</v>
      </c>
    </row>
    <row r="3417" spans="1:12" x14ac:dyDescent="0.3">
      <c r="A3417" s="3">
        <v>45637</v>
      </c>
      <c r="B3417" s="11" t="s">
        <v>1250</v>
      </c>
      <c r="C3417" s="65" t="s">
        <v>7040</v>
      </c>
      <c r="G3417" s="2">
        <v>3500</v>
      </c>
      <c r="I3417" s="88">
        <f t="shared" si="185"/>
        <v>21494.17</v>
      </c>
      <c r="K3417" s="62"/>
      <c r="L3417" s="2">
        <f t="shared" si="186"/>
        <v>14</v>
      </c>
    </row>
    <row r="3418" spans="1:12" x14ac:dyDescent="0.3">
      <c r="A3418" s="3">
        <v>45638</v>
      </c>
      <c r="B3418" s="11" t="s">
        <v>6260</v>
      </c>
      <c r="C3418" s="65" t="s">
        <v>7041</v>
      </c>
      <c r="H3418" s="2">
        <v>6000</v>
      </c>
      <c r="I3418" s="88">
        <f t="shared" si="185"/>
        <v>15494.169999999998</v>
      </c>
      <c r="L3418" s="2">
        <f t="shared" si="186"/>
        <v>20</v>
      </c>
    </row>
    <row r="3419" spans="1:12" x14ac:dyDescent="0.3">
      <c r="A3419" s="3">
        <v>45638</v>
      </c>
      <c r="C3419" s="65" t="s">
        <v>7042</v>
      </c>
      <c r="E3419" s="90" t="s">
        <v>4721</v>
      </c>
      <c r="H3419" s="81">
        <v>15000</v>
      </c>
      <c r="I3419" s="88">
        <f t="shared" si="185"/>
        <v>494.16999999999825</v>
      </c>
      <c r="L3419" s="2">
        <v>0</v>
      </c>
    </row>
    <row r="3420" spans="1:12" x14ac:dyDescent="0.3">
      <c r="A3420" s="3">
        <v>45638</v>
      </c>
      <c r="B3420" s="11" t="s">
        <v>7045</v>
      </c>
      <c r="C3420" s="65" t="s">
        <v>7044</v>
      </c>
      <c r="G3420" s="2">
        <v>1800</v>
      </c>
      <c r="I3420" s="88">
        <f t="shared" si="185"/>
        <v>2294.1699999999983</v>
      </c>
      <c r="L3420" s="2">
        <f t="shared" si="186"/>
        <v>7.2</v>
      </c>
    </row>
    <row r="3421" spans="1:12" x14ac:dyDescent="0.3">
      <c r="A3421" s="3">
        <v>45638</v>
      </c>
      <c r="B3421" s="11" t="s">
        <v>6844</v>
      </c>
      <c r="C3421" s="65" t="s">
        <v>7046</v>
      </c>
      <c r="H3421" s="2">
        <v>1000</v>
      </c>
      <c r="I3421" s="88">
        <f t="shared" si="185"/>
        <v>1294.1699999999983</v>
      </c>
      <c r="L3421" s="2">
        <f t="shared" si="186"/>
        <v>4</v>
      </c>
    </row>
    <row r="3422" spans="1:12" x14ac:dyDescent="0.3">
      <c r="A3422" s="3">
        <v>45638</v>
      </c>
      <c r="B3422" s="11" t="s">
        <v>3097</v>
      </c>
      <c r="C3422" s="65" t="s">
        <v>7047</v>
      </c>
      <c r="G3422" s="2">
        <v>3000</v>
      </c>
      <c r="I3422" s="88">
        <f t="shared" si="185"/>
        <v>4294.1699999999983</v>
      </c>
      <c r="L3422" s="2">
        <f t="shared" si="186"/>
        <v>12</v>
      </c>
    </row>
    <row r="3423" spans="1:12" x14ac:dyDescent="0.3">
      <c r="A3423" s="3">
        <v>45638</v>
      </c>
      <c r="B3423" s="11" t="s">
        <v>6718</v>
      </c>
      <c r="C3423" s="65" t="s">
        <v>7048</v>
      </c>
      <c r="G3423" s="2">
        <v>3000</v>
      </c>
      <c r="I3423" s="88">
        <f t="shared" si="185"/>
        <v>7294.1699999999983</v>
      </c>
      <c r="L3423" s="2">
        <f t="shared" si="186"/>
        <v>12</v>
      </c>
    </row>
    <row r="3424" spans="1:12" x14ac:dyDescent="0.3">
      <c r="A3424" s="3">
        <v>45638</v>
      </c>
      <c r="B3424" s="11" t="s">
        <v>7051</v>
      </c>
      <c r="C3424" s="65" t="s">
        <v>7049</v>
      </c>
      <c r="G3424" s="2">
        <v>3000</v>
      </c>
      <c r="I3424" s="88">
        <f t="shared" si="185"/>
        <v>10294.169999999998</v>
      </c>
      <c r="L3424" s="2">
        <f t="shared" si="186"/>
        <v>12</v>
      </c>
    </row>
    <row r="3425" spans="1:12" x14ac:dyDescent="0.3">
      <c r="A3425" s="3">
        <v>45638</v>
      </c>
      <c r="B3425" s="11" t="s">
        <v>7053</v>
      </c>
      <c r="C3425" s="65" t="s">
        <v>4036</v>
      </c>
      <c r="G3425" s="2">
        <v>1500</v>
      </c>
      <c r="I3425" s="88">
        <f t="shared" si="185"/>
        <v>11794.169999999998</v>
      </c>
      <c r="L3425" s="2">
        <f t="shared" si="186"/>
        <v>6</v>
      </c>
    </row>
    <row r="3426" spans="1:12" x14ac:dyDescent="0.3">
      <c r="A3426" s="3">
        <v>45638</v>
      </c>
      <c r="B3426" s="11" t="s">
        <v>7056</v>
      </c>
      <c r="C3426" s="65" t="s">
        <v>7054</v>
      </c>
      <c r="D3426" s="50">
        <v>8877190214</v>
      </c>
      <c r="H3426" s="2">
        <v>10000</v>
      </c>
      <c r="I3426" s="88">
        <f t="shared" si="185"/>
        <v>1794.1699999999983</v>
      </c>
      <c r="L3426" s="2">
        <f t="shared" si="186"/>
        <v>20</v>
      </c>
    </row>
    <row r="3427" spans="1:12" x14ac:dyDescent="0.3">
      <c r="A3427" s="3">
        <v>45638</v>
      </c>
      <c r="B3427" s="11" t="s">
        <v>1160</v>
      </c>
      <c r="C3427" s="65" t="s">
        <v>5984</v>
      </c>
      <c r="G3427" s="2">
        <v>2000</v>
      </c>
      <c r="I3427" s="88">
        <f t="shared" si="185"/>
        <v>3794.1699999999983</v>
      </c>
      <c r="L3427" s="2">
        <f t="shared" si="186"/>
        <v>8</v>
      </c>
    </row>
    <row r="3428" spans="1:12" x14ac:dyDescent="0.3">
      <c r="A3428" s="3">
        <v>45638</v>
      </c>
      <c r="B3428" s="11" t="s">
        <v>2271</v>
      </c>
      <c r="C3428" s="50" t="s">
        <v>7055</v>
      </c>
      <c r="G3428" s="2">
        <v>4500</v>
      </c>
      <c r="I3428" s="88">
        <f t="shared" si="185"/>
        <v>8294.1699999999983</v>
      </c>
      <c r="L3428" s="2">
        <f t="shared" si="186"/>
        <v>18</v>
      </c>
    </row>
    <row r="3429" spans="1:12" x14ac:dyDescent="0.3">
      <c r="A3429" s="3">
        <v>45639</v>
      </c>
      <c r="B3429" s="11" t="s">
        <v>7060</v>
      </c>
      <c r="C3429" s="50" t="s">
        <v>7061</v>
      </c>
      <c r="G3429" s="2">
        <v>2000</v>
      </c>
      <c r="I3429" s="88">
        <f t="shared" si="185"/>
        <v>10294.169999999998</v>
      </c>
      <c r="L3429" s="2">
        <f t="shared" si="186"/>
        <v>8</v>
      </c>
    </row>
    <row r="3430" spans="1:12" x14ac:dyDescent="0.3">
      <c r="A3430" s="3">
        <v>45639</v>
      </c>
      <c r="B3430" s="11" t="s">
        <v>7057</v>
      </c>
      <c r="C3430" s="65" t="s">
        <v>7115</v>
      </c>
      <c r="D3430" s="50">
        <v>8877190214</v>
      </c>
      <c r="H3430" s="2">
        <v>4000</v>
      </c>
      <c r="I3430" s="88">
        <f t="shared" si="185"/>
        <v>6294.1699999999983</v>
      </c>
      <c r="L3430" s="2">
        <f t="shared" si="186"/>
        <v>16</v>
      </c>
    </row>
    <row r="3431" spans="1:12" x14ac:dyDescent="0.3">
      <c r="A3431" s="3">
        <v>45639</v>
      </c>
      <c r="B3431" s="11" t="s">
        <v>7063</v>
      </c>
      <c r="C3431" s="65" t="s">
        <v>7064</v>
      </c>
      <c r="E3431" s="90" t="s">
        <v>16</v>
      </c>
      <c r="H3431" s="2">
        <v>500</v>
      </c>
      <c r="I3431" s="88">
        <f t="shared" si="185"/>
        <v>5794.1699999999983</v>
      </c>
      <c r="L3431" s="2">
        <f t="shared" si="186"/>
        <v>27</v>
      </c>
    </row>
    <row r="3432" spans="1:12" x14ac:dyDescent="0.3">
      <c r="A3432" s="3">
        <v>45639</v>
      </c>
      <c r="B3432" s="11" t="s">
        <v>1250</v>
      </c>
      <c r="C3432" s="50" t="s">
        <v>2874</v>
      </c>
      <c r="G3432" s="2">
        <v>500</v>
      </c>
      <c r="I3432" s="88">
        <f t="shared" si="185"/>
        <v>6294.1699999999983</v>
      </c>
      <c r="L3432" s="2">
        <f t="shared" si="186"/>
        <v>2</v>
      </c>
    </row>
    <row r="3433" spans="1:12" x14ac:dyDescent="0.3">
      <c r="A3433" s="3">
        <v>45639</v>
      </c>
      <c r="B3433" s="11" t="s">
        <v>7068</v>
      </c>
      <c r="C3433" s="65" t="s">
        <v>7069</v>
      </c>
      <c r="E3433" s="90" t="s">
        <v>16</v>
      </c>
      <c r="H3433" s="2">
        <v>500</v>
      </c>
      <c r="I3433" s="88">
        <f t="shared" si="185"/>
        <v>5794.1699999999983</v>
      </c>
      <c r="L3433" s="2">
        <f t="shared" si="186"/>
        <v>27</v>
      </c>
    </row>
    <row r="3434" spans="1:12" x14ac:dyDescent="0.3">
      <c r="A3434" s="3">
        <v>45640</v>
      </c>
      <c r="B3434" s="11" t="s">
        <v>3987</v>
      </c>
      <c r="C3434" s="50" t="s">
        <v>2295</v>
      </c>
      <c r="D3434" s="50">
        <v>893708640079</v>
      </c>
      <c r="G3434" s="2">
        <v>7000</v>
      </c>
      <c r="I3434" s="88">
        <f t="shared" si="185"/>
        <v>12794.169999999998</v>
      </c>
      <c r="L3434" s="2">
        <f t="shared" si="186"/>
        <v>20</v>
      </c>
    </row>
    <row r="3435" spans="1:12" x14ac:dyDescent="0.3">
      <c r="A3435" s="3">
        <v>45640</v>
      </c>
      <c r="B3435" s="11" t="s">
        <v>7074</v>
      </c>
      <c r="C3435" s="65" t="s">
        <v>7075</v>
      </c>
      <c r="E3435" s="90" t="s">
        <v>16</v>
      </c>
      <c r="H3435" s="2">
        <v>500</v>
      </c>
      <c r="I3435" s="88">
        <f t="shared" si="185"/>
        <v>12294.169999999998</v>
      </c>
      <c r="L3435" s="2">
        <f t="shared" si="186"/>
        <v>27</v>
      </c>
    </row>
    <row r="3436" spans="1:12" x14ac:dyDescent="0.3">
      <c r="A3436" s="3">
        <v>45640</v>
      </c>
      <c r="B3436" s="11" t="s">
        <v>1160</v>
      </c>
      <c r="C3436" s="50" t="s">
        <v>3701</v>
      </c>
      <c r="G3436" s="2">
        <v>2000</v>
      </c>
      <c r="I3436" s="88">
        <f t="shared" si="185"/>
        <v>14294.169999999998</v>
      </c>
      <c r="L3436" s="2">
        <f t="shared" si="186"/>
        <v>8</v>
      </c>
    </row>
    <row r="3437" spans="1:12" x14ac:dyDescent="0.3">
      <c r="A3437" s="3">
        <v>45640</v>
      </c>
      <c r="B3437" s="11" t="s">
        <v>7080</v>
      </c>
      <c r="C3437" s="50" t="s">
        <v>164</v>
      </c>
      <c r="H3437" s="2">
        <v>5500</v>
      </c>
      <c r="I3437" s="88">
        <f t="shared" si="185"/>
        <v>8794.1699999999983</v>
      </c>
      <c r="L3437" s="2">
        <f t="shared" si="186"/>
        <v>20</v>
      </c>
    </row>
    <row r="3438" spans="1:12" x14ac:dyDescent="0.3">
      <c r="A3438" s="3">
        <v>45640</v>
      </c>
      <c r="B3438" s="11" t="s">
        <v>7051</v>
      </c>
      <c r="C3438" s="50" t="s">
        <v>7049</v>
      </c>
      <c r="G3438" s="2">
        <v>4000</v>
      </c>
      <c r="I3438" s="88">
        <f t="shared" si="185"/>
        <v>12794.169999999998</v>
      </c>
      <c r="L3438" s="2">
        <f t="shared" si="186"/>
        <v>16</v>
      </c>
    </row>
    <row r="3439" spans="1:12" x14ac:dyDescent="0.3">
      <c r="A3439" s="3">
        <v>45640</v>
      </c>
      <c r="B3439" s="11" t="s">
        <v>7081</v>
      </c>
      <c r="C3439" s="65" t="s">
        <v>7082</v>
      </c>
      <c r="E3439" s="90" t="s">
        <v>16</v>
      </c>
      <c r="H3439" s="2">
        <v>500</v>
      </c>
      <c r="I3439" s="88">
        <f t="shared" si="185"/>
        <v>12294.169999999998</v>
      </c>
      <c r="L3439" s="2">
        <f t="shared" si="186"/>
        <v>27</v>
      </c>
    </row>
    <row r="3440" spans="1:12" x14ac:dyDescent="0.3">
      <c r="A3440" s="3">
        <v>45640</v>
      </c>
      <c r="B3440" s="11" t="s">
        <v>6422</v>
      </c>
      <c r="C3440" s="50" t="s">
        <v>7020</v>
      </c>
      <c r="G3440" s="2">
        <v>1200</v>
      </c>
      <c r="I3440" s="88">
        <f t="shared" si="185"/>
        <v>13494.169999999998</v>
      </c>
      <c r="L3440" s="2">
        <f t="shared" si="186"/>
        <v>4.8</v>
      </c>
    </row>
    <row r="3441" spans="1:12" x14ac:dyDescent="0.3">
      <c r="A3441" s="3">
        <v>45640</v>
      </c>
      <c r="B3441" s="11" t="s">
        <v>7085</v>
      </c>
      <c r="C3441" s="65" t="s">
        <v>7084</v>
      </c>
      <c r="E3441" s="90" t="s">
        <v>14</v>
      </c>
      <c r="H3441" s="2">
        <v>1000</v>
      </c>
      <c r="I3441" s="88">
        <f t="shared" si="185"/>
        <v>12494.169999999998</v>
      </c>
      <c r="L3441" s="2">
        <f t="shared" si="186"/>
        <v>29</v>
      </c>
    </row>
    <row r="3442" spans="1:12" x14ac:dyDescent="0.3">
      <c r="A3442" s="3">
        <v>45641</v>
      </c>
      <c r="B3442" s="11" t="s">
        <v>2241</v>
      </c>
      <c r="C3442" s="50" t="s">
        <v>7089</v>
      </c>
      <c r="G3442" s="2">
        <v>1000</v>
      </c>
      <c r="I3442" s="88">
        <f t="shared" si="185"/>
        <v>13494.169999999998</v>
      </c>
      <c r="L3442" s="2">
        <f t="shared" si="186"/>
        <v>4</v>
      </c>
    </row>
    <row r="3443" spans="1:12" x14ac:dyDescent="0.3">
      <c r="A3443" s="3">
        <v>45642</v>
      </c>
      <c r="B3443" s="11" t="s">
        <v>7090</v>
      </c>
      <c r="C3443" s="65" t="s">
        <v>7091</v>
      </c>
      <c r="G3443" s="2">
        <v>1000</v>
      </c>
      <c r="I3443" s="88">
        <f t="shared" si="185"/>
        <v>14494.169999999998</v>
      </c>
      <c r="L3443" s="2">
        <f t="shared" si="186"/>
        <v>4</v>
      </c>
    </row>
    <row r="3444" spans="1:12" x14ac:dyDescent="0.3">
      <c r="A3444" s="3">
        <v>45642</v>
      </c>
      <c r="B3444" s="11" t="s">
        <v>1388</v>
      </c>
      <c r="C3444" s="50" t="s">
        <v>2362</v>
      </c>
      <c r="E3444" s="90" t="s">
        <v>4721</v>
      </c>
      <c r="H3444" s="81">
        <v>14000</v>
      </c>
      <c r="I3444" s="88">
        <f t="shared" si="185"/>
        <v>494.16999999999825</v>
      </c>
    </row>
    <row r="3445" spans="1:12" x14ac:dyDescent="0.3">
      <c r="A3445" s="3">
        <v>45642</v>
      </c>
      <c r="B3445" s="11" t="s">
        <v>6840</v>
      </c>
      <c r="C3445" s="50" t="s">
        <v>6841</v>
      </c>
      <c r="G3445" s="2">
        <v>10000</v>
      </c>
      <c r="I3445" s="88">
        <f t="shared" ref="I3445:I3453" si="187">I3444+G3445-H3445</f>
        <v>10494.169999999998</v>
      </c>
      <c r="L3445" s="2">
        <f t="shared" ref="L3445:L3453" si="188">IF((G3445+H3445)&lt;=5000,(H3445+G3445)*0.004,20)+IF(E3445="Y",25,0)</f>
        <v>20</v>
      </c>
    </row>
    <row r="3446" spans="1:12" x14ac:dyDescent="0.3">
      <c r="A3446" s="3">
        <v>45642</v>
      </c>
      <c r="B3446" s="11" t="s">
        <v>7093</v>
      </c>
      <c r="C3446" s="65" t="s">
        <v>7094</v>
      </c>
      <c r="E3446" s="90" t="s">
        <v>16</v>
      </c>
      <c r="H3446" s="2">
        <v>500</v>
      </c>
      <c r="I3446" s="88">
        <f t="shared" si="187"/>
        <v>9994.1699999999983</v>
      </c>
      <c r="L3446" s="2">
        <f t="shared" si="188"/>
        <v>27</v>
      </c>
    </row>
    <row r="3447" spans="1:12" x14ac:dyDescent="0.3">
      <c r="A3447" s="3">
        <v>45642</v>
      </c>
      <c r="B3447" s="11" t="s">
        <v>6892</v>
      </c>
      <c r="C3447" s="50" t="s">
        <v>509</v>
      </c>
      <c r="G3447" s="2">
        <v>600</v>
      </c>
      <c r="I3447" s="88">
        <f t="shared" si="187"/>
        <v>10594.169999999998</v>
      </c>
      <c r="L3447" s="2">
        <f t="shared" si="188"/>
        <v>2.4</v>
      </c>
    </row>
    <row r="3448" spans="1:12" x14ac:dyDescent="0.3">
      <c r="A3448" s="3">
        <v>45642</v>
      </c>
      <c r="B3448" s="11" t="s">
        <v>3987</v>
      </c>
      <c r="C3448" s="50" t="s">
        <v>7036</v>
      </c>
      <c r="G3448" s="2">
        <v>8000</v>
      </c>
      <c r="I3448" s="88">
        <f t="shared" si="187"/>
        <v>18594.169999999998</v>
      </c>
      <c r="J3448">
        <v>-8000</v>
      </c>
      <c r="L3448" s="2">
        <f t="shared" si="188"/>
        <v>20</v>
      </c>
    </row>
    <row r="3449" spans="1:12" x14ac:dyDescent="0.3">
      <c r="A3449" s="3">
        <v>45642</v>
      </c>
      <c r="B3449" s="11" t="s">
        <v>5438</v>
      </c>
      <c r="C3449" s="50" t="s">
        <v>5439</v>
      </c>
      <c r="G3449" s="2">
        <v>4000</v>
      </c>
      <c r="I3449" s="88">
        <f t="shared" si="187"/>
        <v>22594.17</v>
      </c>
      <c r="L3449" s="2">
        <f t="shared" si="188"/>
        <v>16</v>
      </c>
    </row>
    <row r="3450" spans="1:12" x14ac:dyDescent="0.3">
      <c r="A3450" s="3">
        <v>45642</v>
      </c>
      <c r="B3450" s="11" t="s">
        <v>6434</v>
      </c>
      <c r="C3450" s="50" t="s">
        <v>6259</v>
      </c>
      <c r="H3450" s="2">
        <v>7500</v>
      </c>
      <c r="I3450" s="88">
        <f t="shared" si="187"/>
        <v>15094.169999999998</v>
      </c>
      <c r="L3450" s="2">
        <f t="shared" si="188"/>
        <v>20</v>
      </c>
    </row>
    <row r="3451" spans="1:12" x14ac:dyDescent="0.3">
      <c r="A3451" s="3">
        <v>45642</v>
      </c>
      <c r="B3451" s="11" t="s">
        <v>1388</v>
      </c>
      <c r="C3451" s="50" t="s">
        <v>2362</v>
      </c>
      <c r="E3451" s="90" t="s">
        <v>4721</v>
      </c>
      <c r="H3451" s="81">
        <v>14000</v>
      </c>
      <c r="I3451" s="88">
        <f t="shared" si="187"/>
        <v>1094.1699999999983</v>
      </c>
      <c r="L3451" s="2">
        <v>0</v>
      </c>
    </row>
    <row r="3452" spans="1:12" x14ac:dyDescent="0.3">
      <c r="A3452" s="3">
        <v>45642</v>
      </c>
      <c r="B3452" s="11" t="s">
        <v>5123</v>
      </c>
      <c r="C3452" s="50" t="s">
        <v>6984</v>
      </c>
      <c r="G3452" s="2">
        <v>2000</v>
      </c>
      <c r="I3452" s="88">
        <f t="shared" si="187"/>
        <v>3094.1699999999983</v>
      </c>
      <c r="L3452" s="2">
        <f t="shared" si="188"/>
        <v>8</v>
      </c>
    </row>
    <row r="3453" spans="1:12" x14ac:dyDescent="0.3">
      <c r="A3453" s="3">
        <v>45643</v>
      </c>
      <c r="B3453" s="11" t="s">
        <v>6422</v>
      </c>
      <c r="C3453" s="50" t="s">
        <v>7020</v>
      </c>
      <c r="G3453" s="2">
        <v>650</v>
      </c>
      <c r="I3453" s="88">
        <f t="shared" si="187"/>
        <v>3744.1699999999983</v>
      </c>
      <c r="L3453" s="2">
        <f t="shared" si="188"/>
        <v>2.6</v>
      </c>
    </row>
    <row r="3454" spans="1:12" x14ac:dyDescent="0.3">
      <c r="A3454" s="3">
        <v>45643</v>
      </c>
      <c r="B3454" s="11" t="s">
        <v>3871</v>
      </c>
      <c r="C3454" s="50" t="s">
        <v>2347</v>
      </c>
      <c r="G3454" s="2">
        <v>500</v>
      </c>
      <c r="I3454" s="88">
        <f t="shared" ref="I3454:I3467" si="189">I3453+G3454-H3454</f>
        <v>4244.1699999999983</v>
      </c>
      <c r="L3454" s="2">
        <f t="shared" ref="L3454:L3467" si="190">IF((G3454+H3454)&lt;=5000,(H3454+G3454)*0.004,20)+IF(E3454="Y",25,0)</f>
        <v>2</v>
      </c>
    </row>
    <row r="3455" spans="1:12" x14ac:dyDescent="0.3">
      <c r="A3455" s="3">
        <v>45643</v>
      </c>
      <c r="B3455" s="11" t="s">
        <v>4061</v>
      </c>
      <c r="C3455" s="50" t="s">
        <v>2443</v>
      </c>
      <c r="G3455" s="2">
        <v>6800</v>
      </c>
      <c r="I3455" s="88">
        <f t="shared" si="189"/>
        <v>11044.169999999998</v>
      </c>
      <c r="L3455" s="2">
        <f t="shared" si="190"/>
        <v>20</v>
      </c>
    </row>
    <row r="3456" spans="1:12" x14ac:dyDescent="0.3">
      <c r="A3456" s="3">
        <v>45643</v>
      </c>
      <c r="B3456" s="11" t="s">
        <v>7103</v>
      </c>
      <c r="C3456" s="65" t="s">
        <v>7104</v>
      </c>
      <c r="E3456" s="90" t="s">
        <v>16</v>
      </c>
      <c r="H3456" s="2">
        <v>500</v>
      </c>
      <c r="I3456" s="88">
        <f t="shared" si="189"/>
        <v>10544.169999999998</v>
      </c>
      <c r="L3456" s="2">
        <f t="shared" si="190"/>
        <v>27</v>
      </c>
    </row>
    <row r="3457" spans="1:12" x14ac:dyDescent="0.3">
      <c r="A3457" s="3">
        <v>45643</v>
      </c>
      <c r="B3457" s="11" t="s">
        <v>7107</v>
      </c>
      <c r="C3457" s="50" t="s">
        <v>6577</v>
      </c>
      <c r="D3457" s="50">
        <v>8797065348</v>
      </c>
      <c r="H3457" s="2">
        <v>10000</v>
      </c>
      <c r="I3457" s="88">
        <f t="shared" si="189"/>
        <v>544.16999999999825</v>
      </c>
      <c r="L3457" s="2">
        <f t="shared" si="190"/>
        <v>20</v>
      </c>
    </row>
    <row r="3458" spans="1:12" x14ac:dyDescent="0.3">
      <c r="A3458" s="3">
        <v>45643</v>
      </c>
      <c r="B3458" s="11" t="s">
        <v>3232</v>
      </c>
      <c r="C3458" s="50" t="s">
        <v>2414</v>
      </c>
      <c r="G3458" s="2">
        <v>2000</v>
      </c>
      <c r="I3458" s="88">
        <f t="shared" si="189"/>
        <v>2544.1699999999983</v>
      </c>
      <c r="J3458">
        <v>20</v>
      </c>
      <c r="L3458" s="2">
        <f t="shared" si="190"/>
        <v>8</v>
      </c>
    </row>
    <row r="3459" spans="1:12" x14ac:dyDescent="0.3">
      <c r="A3459" s="3">
        <v>45643</v>
      </c>
      <c r="B3459" s="11" t="s">
        <v>3849</v>
      </c>
      <c r="C3459" s="50" t="s">
        <v>2551</v>
      </c>
      <c r="H3459" s="2">
        <v>2500</v>
      </c>
      <c r="I3459" s="88">
        <f t="shared" si="189"/>
        <v>44.169999999998254</v>
      </c>
      <c r="L3459" s="2">
        <f t="shared" si="190"/>
        <v>10</v>
      </c>
    </row>
    <row r="3460" spans="1:12" x14ac:dyDescent="0.3">
      <c r="A3460" s="3">
        <v>45643</v>
      </c>
      <c r="B3460" s="11" t="s">
        <v>1250</v>
      </c>
      <c r="C3460" s="50" t="s">
        <v>6328</v>
      </c>
      <c r="G3460" s="2">
        <v>3500</v>
      </c>
      <c r="I3460" s="88">
        <f t="shared" si="189"/>
        <v>3544.1699999999983</v>
      </c>
      <c r="L3460" s="2">
        <f t="shared" si="190"/>
        <v>14</v>
      </c>
    </row>
    <row r="3461" spans="1:12" x14ac:dyDescent="0.3">
      <c r="A3461" s="3">
        <v>45643</v>
      </c>
      <c r="B3461" s="11" t="s">
        <v>7108</v>
      </c>
      <c r="C3461" s="50" t="s">
        <v>7109</v>
      </c>
      <c r="G3461" s="2">
        <v>5000</v>
      </c>
      <c r="I3461" s="88">
        <f t="shared" si="189"/>
        <v>8544.1699999999983</v>
      </c>
      <c r="L3461" s="2">
        <f t="shared" si="190"/>
        <v>20</v>
      </c>
    </row>
    <row r="3462" spans="1:12" x14ac:dyDescent="0.3">
      <c r="A3462" s="3">
        <v>45643</v>
      </c>
      <c r="B3462" s="11" t="s">
        <v>3788</v>
      </c>
      <c r="C3462" s="50" t="s">
        <v>3787</v>
      </c>
      <c r="H3462" s="2">
        <v>2000</v>
      </c>
      <c r="I3462" s="88">
        <f t="shared" si="189"/>
        <v>6544.1699999999983</v>
      </c>
      <c r="L3462" s="2">
        <f t="shared" si="190"/>
        <v>8</v>
      </c>
    </row>
    <row r="3463" spans="1:12" x14ac:dyDescent="0.3">
      <c r="A3463" s="3">
        <v>45643</v>
      </c>
      <c r="B3463" s="11" t="s">
        <v>3849</v>
      </c>
      <c r="C3463" s="50" t="s">
        <v>2551</v>
      </c>
      <c r="H3463" s="2">
        <v>100</v>
      </c>
      <c r="I3463" s="88">
        <f t="shared" si="189"/>
        <v>6444.1699999999983</v>
      </c>
      <c r="L3463" s="2">
        <f t="shared" si="190"/>
        <v>0.4</v>
      </c>
    </row>
    <row r="3464" spans="1:12" x14ac:dyDescent="0.3">
      <c r="A3464" s="3">
        <v>45644</v>
      </c>
      <c r="B3464" s="11" t="s">
        <v>2448</v>
      </c>
      <c r="C3464" s="50" t="s">
        <v>7110</v>
      </c>
      <c r="H3464" s="2">
        <v>5000</v>
      </c>
      <c r="I3464" s="88">
        <f t="shared" si="189"/>
        <v>1444.1699999999983</v>
      </c>
      <c r="L3464" s="2">
        <f t="shared" si="190"/>
        <v>20</v>
      </c>
    </row>
    <row r="3465" spans="1:12" x14ac:dyDescent="0.3">
      <c r="A3465" s="3">
        <v>45644</v>
      </c>
      <c r="B3465" s="11" t="s">
        <v>7107</v>
      </c>
      <c r="C3465" s="50" t="s">
        <v>6577</v>
      </c>
      <c r="D3465" s="50">
        <v>8797065348</v>
      </c>
      <c r="H3465" s="2">
        <v>500</v>
      </c>
      <c r="I3465" s="88">
        <f t="shared" si="189"/>
        <v>944.16999999999825</v>
      </c>
      <c r="L3465" s="2">
        <f t="shared" si="190"/>
        <v>2</v>
      </c>
    </row>
    <row r="3466" spans="1:12" x14ac:dyDescent="0.3">
      <c r="A3466" s="3">
        <v>45644</v>
      </c>
      <c r="B3466" s="11" t="s">
        <v>1160</v>
      </c>
      <c r="C3466" s="50" t="s">
        <v>4090</v>
      </c>
      <c r="G3466" s="2">
        <v>1000</v>
      </c>
      <c r="I3466" s="88">
        <f t="shared" si="189"/>
        <v>1944.1699999999983</v>
      </c>
      <c r="L3466" s="2">
        <f t="shared" si="190"/>
        <v>4</v>
      </c>
    </row>
    <row r="3467" spans="1:12" x14ac:dyDescent="0.3">
      <c r="A3467" s="3">
        <v>45644</v>
      </c>
      <c r="B3467" s="11" t="s">
        <v>6515</v>
      </c>
      <c r="C3467" s="50" t="s">
        <v>7111</v>
      </c>
      <c r="G3467" s="2">
        <v>1000</v>
      </c>
      <c r="I3467" s="88">
        <f t="shared" si="189"/>
        <v>2944.1699999999983</v>
      </c>
      <c r="L3467" s="2">
        <f t="shared" si="190"/>
        <v>4</v>
      </c>
    </row>
    <row r="3468" spans="1:12" x14ac:dyDescent="0.3">
      <c r="A3468" s="3">
        <v>45644</v>
      </c>
      <c r="B3468" s="11" t="s">
        <v>2490</v>
      </c>
      <c r="C3468" s="50" t="s">
        <v>7114</v>
      </c>
      <c r="G3468" s="2">
        <v>15000</v>
      </c>
      <c r="I3468" s="88">
        <f t="shared" ref="I3468:I3476" si="191">I3467+G3468-H3468</f>
        <v>17944.169999999998</v>
      </c>
      <c r="L3468" s="2">
        <v>0</v>
      </c>
    </row>
    <row r="3469" spans="1:12" x14ac:dyDescent="0.3">
      <c r="A3469" s="3">
        <v>45644</v>
      </c>
      <c r="B3469" s="11" t="s">
        <v>7057</v>
      </c>
      <c r="C3469" s="65" t="s">
        <v>7115</v>
      </c>
      <c r="H3469" s="2">
        <v>15000</v>
      </c>
      <c r="I3469" s="88">
        <f t="shared" si="191"/>
        <v>2944.1699999999983</v>
      </c>
      <c r="L3469" s="2">
        <f t="shared" ref="L3469:L3476" si="192">IF((G3469+H3469)&lt;=5000,(H3469+G3469)*0.004,20)+IF(E3469="Y",25,0)</f>
        <v>20</v>
      </c>
    </row>
    <row r="3470" spans="1:12" x14ac:dyDescent="0.3">
      <c r="A3470" s="3">
        <v>45644</v>
      </c>
      <c r="B3470" s="11" t="s">
        <v>2490</v>
      </c>
      <c r="C3470" s="50" t="s">
        <v>7114</v>
      </c>
      <c r="G3470" s="2">
        <v>13000</v>
      </c>
      <c r="I3470" s="88">
        <f t="shared" si="191"/>
        <v>15944.169999999998</v>
      </c>
      <c r="L3470" s="2">
        <v>0</v>
      </c>
    </row>
    <row r="3471" spans="1:12" x14ac:dyDescent="0.3">
      <c r="A3471" s="3">
        <v>45644</v>
      </c>
      <c r="B3471" s="11" t="s">
        <v>1160</v>
      </c>
      <c r="C3471" s="50" t="s">
        <v>7116</v>
      </c>
      <c r="G3471" s="2">
        <v>4500</v>
      </c>
      <c r="I3471" s="88">
        <f t="shared" si="191"/>
        <v>20444.169999999998</v>
      </c>
      <c r="L3471" s="2">
        <f t="shared" si="192"/>
        <v>18</v>
      </c>
    </row>
    <row r="3472" spans="1:12" x14ac:dyDescent="0.3">
      <c r="A3472" s="3">
        <v>45644</v>
      </c>
      <c r="B3472" s="11" t="s">
        <v>6434</v>
      </c>
      <c r="C3472" s="50" t="s">
        <v>7113</v>
      </c>
      <c r="H3472" s="2">
        <v>10000</v>
      </c>
      <c r="I3472" s="88">
        <f t="shared" si="191"/>
        <v>10444.169999999998</v>
      </c>
      <c r="L3472" s="2">
        <f t="shared" si="192"/>
        <v>20</v>
      </c>
    </row>
    <row r="3473" spans="1:12" x14ac:dyDescent="0.3">
      <c r="A3473" s="3">
        <v>45645</v>
      </c>
      <c r="B3473" s="11" t="s">
        <v>1250</v>
      </c>
      <c r="C3473" s="50" t="s">
        <v>3611</v>
      </c>
      <c r="G3473" s="2">
        <v>5000</v>
      </c>
      <c r="I3473" s="88">
        <f t="shared" si="191"/>
        <v>15444.169999999998</v>
      </c>
      <c r="L3473" s="2">
        <f t="shared" si="192"/>
        <v>20</v>
      </c>
    </row>
    <row r="3474" spans="1:12" x14ac:dyDescent="0.3">
      <c r="A3474" s="3">
        <v>45645</v>
      </c>
      <c r="B3474" s="11" t="s">
        <v>1250</v>
      </c>
      <c r="C3474" s="50" t="s">
        <v>2443</v>
      </c>
      <c r="G3474" s="2">
        <v>3600</v>
      </c>
      <c r="I3474" s="88">
        <f t="shared" si="191"/>
        <v>19044.169999999998</v>
      </c>
      <c r="L3474" s="2">
        <f t="shared" si="192"/>
        <v>14.4</v>
      </c>
    </row>
    <row r="3475" spans="1:12" x14ac:dyDescent="0.3">
      <c r="A3475" s="3">
        <v>45645</v>
      </c>
      <c r="B3475" s="11" t="s">
        <v>3541</v>
      </c>
      <c r="C3475" s="50" t="s">
        <v>3673</v>
      </c>
      <c r="G3475" s="2">
        <v>3500</v>
      </c>
      <c r="I3475" s="88">
        <f t="shared" si="191"/>
        <v>22544.17</v>
      </c>
      <c r="L3475" s="2">
        <f t="shared" si="192"/>
        <v>14</v>
      </c>
    </row>
    <row r="3476" spans="1:12" x14ac:dyDescent="0.3">
      <c r="A3476" s="3">
        <v>45645</v>
      </c>
      <c r="B3476" s="11" t="s">
        <v>6927</v>
      </c>
      <c r="C3476" s="50" t="s">
        <v>7117</v>
      </c>
      <c r="H3476" s="2">
        <v>6000</v>
      </c>
      <c r="I3476" s="88">
        <f t="shared" si="191"/>
        <v>16544.169999999998</v>
      </c>
      <c r="L3476" s="2">
        <f t="shared" si="192"/>
        <v>20</v>
      </c>
    </row>
    <row r="3477" spans="1:12" x14ac:dyDescent="0.3">
      <c r="A3477" s="3">
        <v>45645</v>
      </c>
      <c r="B3477" s="11" t="s">
        <v>1170</v>
      </c>
      <c r="C3477" s="50" t="s">
        <v>7118</v>
      </c>
      <c r="D3477" s="50">
        <v>6296221659</v>
      </c>
      <c r="G3477" s="2">
        <v>2000</v>
      </c>
      <c r="I3477" s="88">
        <f t="shared" ref="I3477:I3490" si="193">I3476+G3477-H3477</f>
        <v>18544.169999999998</v>
      </c>
      <c r="L3477" s="2">
        <f t="shared" ref="L3477:L3486" si="194">IF((G3477+H3477)&lt;=5000,(H3477+G3477)*0.004,20)+IF(E3477="Y",25,0)</f>
        <v>8</v>
      </c>
    </row>
    <row r="3478" spans="1:12" x14ac:dyDescent="0.3">
      <c r="A3478" s="3">
        <v>45645</v>
      </c>
      <c r="B3478" s="11" t="s">
        <v>2490</v>
      </c>
      <c r="C3478" s="50" t="s">
        <v>2362</v>
      </c>
      <c r="E3478" s="90" t="s">
        <v>4721</v>
      </c>
      <c r="H3478" s="81">
        <v>17200</v>
      </c>
      <c r="I3478" s="88">
        <f t="shared" si="193"/>
        <v>1344.1699999999983</v>
      </c>
      <c r="L3478" s="2">
        <v>0</v>
      </c>
    </row>
    <row r="3479" spans="1:12" x14ac:dyDescent="0.3">
      <c r="A3479" s="3">
        <v>45645</v>
      </c>
      <c r="B3479" s="11" t="s">
        <v>1250</v>
      </c>
      <c r="C3479" s="50" t="s">
        <v>5040</v>
      </c>
      <c r="G3479" s="2">
        <v>2000</v>
      </c>
      <c r="I3479" s="88">
        <f t="shared" si="193"/>
        <v>3344.1699999999983</v>
      </c>
      <c r="L3479" s="2">
        <f t="shared" si="194"/>
        <v>8</v>
      </c>
    </row>
    <row r="3480" spans="1:12" x14ac:dyDescent="0.3">
      <c r="A3480" s="3">
        <v>45645</v>
      </c>
      <c r="B3480" s="11" t="s">
        <v>1160</v>
      </c>
      <c r="C3480" s="50" t="s">
        <v>6424</v>
      </c>
      <c r="G3480" s="2">
        <v>4000</v>
      </c>
      <c r="I3480" s="88">
        <f t="shared" si="193"/>
        <v>7344.1699999999983</v>
      </c>
      <c r="L3480" s="2">
        <f t="shared" si="194"/>
        <v>16</v>
      </c>
    </row>
    <row r="3481" spans="1:12" x14ac:dyDescent="0.3">
      <c r="A3481" s="3">
        <v>45645</v>
      </c>
      <c r="B3481" s="11" t="s">
        <v>3871</v>
      </c>
      <c r="C3481" s="50" t="s">
        <v>7119</v>
      </c>
      <c r="H3481" s="2">
        <v>500</v>
      </c>
      <c r="I3481" s="88">
        <f t="shared" si="193"/>
        <v>6844.1699999999983</v>
      </c>
      <c r="L3481" s="2">
        <f t="shared" si="194"/>
        <v>2</v>
      </c>
    </row>
    <row r="3482" spans="1:12" x14ac:dyDescent="0.3">
      <c r="A3482" s="3">
        <v>45645</v>
      </c>
      <c r="B3482" s="11" t="s">
        <v>3958</v>
      </c>
      <c r="C3482" s="50" t="s">
        <v>7121</v>
      </c>
      <c r="H3482" s="2">
        <v>500</v>
      </c>
      <c r="I3482" s="88">
        <f t="shared" si="193"/>
        <v>6344.1699999999983</v>
      </c>
      <c r="L3482" s="2">
        <f t="shared" si="194"/>
        <v>2</v>
      </c>
    </row>
    <row r="3483" spans="1:12" x14ac:dyDescent="0.3">
      <c r="A3483" s="3">
        <v>45645</v>
      </c>
      <c r="B3483" s="11" t="s">
        <v>6919</v>
      </c>
      <c r="C3483" s="50" t="s">
        <v>6920</v>
      </c>
      <c r="G3483" s="2">
        <v>2500</v>
      </c>
      <c r="I3483" s="88">
        <f t="shared" si="193"/>
        <v>8844.1699999999983</v>
      </c>
      <c r="L3483" s="2">
        <f t="shared" si="194"/>
        <v>10</v>
      </c>
    </row>
    <row r="3484" spans="1:12" x14ac:dyDescent="0.3">
      <c r="A3484" s="3">
        <v>45645</v>
      </c>
      <c r="B3484" s="11" t="s">
        <v>3915</v>
      </c>
      <c r="C3484" s="50" t="s">
        <v>5166</v>
      </c>
      <c r="G3484" s="2">
        <v>10000</v>
      </c>
      <c r="I3484" s="88">
        <f t="shared" si="193"/>
        <v>18844.169999999998</v>
      </c>
      <c r="L3484" s="2">
        <f t="shared" si="194"/>
        <v>20</v>
      </c>
    </row>
    <row r="3485" spans="1:12" x14ac:dyDescent="0.3">
      <c r="A3485" s="3">
        <v>46741</v>
      </c>
      <c r="B3485" s="11" t="s">
        <v>5458</v>
      </c>
      <c r="C3485" s="50" t="s">
        <v>7122</v>
      </c>
      <c r="G3485" s="2">
        <v>1000</v>
      </c>
      <c r="I3485" s="88">
        <f t="shared" si="193"/>
        <v>19844.169999999998</v>
      </c>
      <c r="L3485" s="2">
        <f t="shared" si="194"/>
        <v>4</v>
      </c>
    </row>
    <row r="3486" spans="1:12" x14ac:dyDescent="0.3">
      <c r="A3486" s="3">
        <v>46741</v>
      </c>
      <c r="B3486" s="11" t="s">
        <v>6840</v>
      </c>
      <c r="C3486" s="50" t="s">
        <v>6841</v>
      </c>
      <c r="G3486" s="2">
        <v>10000</v>
      </c>
      <c r="I3486" s="88">
        <f t="shared" si="193"/>
        <v>29844.17</v>
      </c>
      <c r="L3486" s="2">
        <f t="shared" si="194"/>
        <v>20</v>
      </c>
    </row>
    <row r="3487" spans="1:12" x14ac:dyDescent="0.3">
      <c r="A3487" s="3">
        <v>46741</v>
      </c>
      <c r="B3487" s="11" t="s">
        <v>6355</v>
      </c>
      <c r="C3487" s="50" t="s">
        <v>7123</v>
      </c>
      <c r="G3487" s="2">
        <v>10000</v>
      </c>
      <c r="I3487" s="88">
        <f t="shared" si="193"/>
        <v>39844.17</v>
      </c>
      <c r="K3487" s="62"/>
      <c r="L3487" s="2">
        <f t="shared" ref="L3487:L3513" si="195">IF((G3487+H3487)&lt;=5000,(H3487+G3487)*0.004,20)+IF(E3487="Y",25,0)</f>
        <v>20</v>
      </c>
    </row>
    <row r="3488" spans="1:12" x14ac:dyDescent="0.3">
      <c r="A3488" s="3">
        <v>46741</v>
      </c>
      <c r="B3488" s="11" t="s">
        <v>1250</v>
      </c>
      <c r="C3488" s="50" t="s">
        <v>7124</v>
      </c>
      <c r="H3488" s="2">
        <v>1500</v>
      </c>
      <c r="I3488" s="88">
        <f t="shared" si="193"/>
        <v>38344.17</v>
      </c>
      <c r="L3488" s="2">
        <f t="shared" si="195"/>
        <v>6</v>
      </c>
    </row>
    <row r="3489" spans="1:12" ht="17.399999999999999" x14ac:dyDescent="0.3">
      <c r="A3489" s="3">
        <v>46741</v>
      </c>
      <c r="B3489" s="11" t="s">
        <v>4061</v>
      </c>
      <c r="C3489" s="50" t="s">
        <v>2443</v>
      </c>
      <c r="G3489" s="2">
        <v>1000</v>
      </c>
      <c r="I3489" s="88">
        <f t="shared" si="193"/>
        <v>39344.17</v>
      </c>
      <c r="J3489" s="134"/>
      <c r="K3489" s="62"/>
      <c r="L3489" s="2">
        <f t="shared" si="195"/>
        <v>4</v>
      </c>
    </row>
    <row r="3490" spans="1:12" x14ac:dyDescent="0.3">
      <c r="A3490" s="3">
        <v>45646</v>
      </c>
      <c r="B3490" s="11" t="s">
        <v>7129</v>
      </c>
      <c r="C3490" s="50" t="s">
        <v>7128</v>
      </c>
      <c r="E3490" s="90" t="s">
        <v>16</v>
      </c>
      <c r="H3490" s="2">
        <v>500</v>
      </c>
      <c r="I3490" s="88">
        <f t="shared" si="193"/>
        <v>38844.17</v>
      </c>
      <c r="L3490" s="2">
        <f t="shared" si="195"/>
        <v>27</v>
      </c>
    </row>
    <row r="3491" spans="1:12" x14ac:dyDescent="0.3">
      <c r="A3491" s="3">
        <v>45647</v>
      </c>
      <c r="B3491" s="11" t="s">
        <v>1472</v>
      </c>
      <c r="C3491" s="50" t="s">
        <v>7130</v>
      </c>
      <c r="G3491" s="2">
        <v>1000</v>
      </c>
      <c r="I3491" s="88">
        <f t="shared" ref="I3491:I3513" si="196">I3490+G3491-H3491</f>
        <v>39844.17</v>
      </c>
      <c r="L3491" s="2">
        <f t="shared" si="195"/>
        <v>4</v>
      </c>
    </row>
    <row r="3492" spans="1:12" x14ac:dyDescent="0.3">
      <c r="A3492" s="3">
        <v>45647</v>
      </c>
      <c r="B3492" s="11" t="s">
        <v>1250</v>
      </c>
      <c r="C3492" s="50" t="s">
        <v>7131</v>
      </c>
      <c r="G3492" s="2">
        <v>2000</v>
      </c>
      <c r="I3492" s="88">
        <f t="shared" si="196"/>
        <v>41844.17</v>
      </c>
      <c r="L3492" s="2">
        <f t="shared" si="195"/>
        <v>8</v>
      </c>
    </row>
    <row r="3493" spans="1:12" x14ac:dyDescent="0.3">
      <c r="A3493" s="3">
        <v>45647</v>
      </c>
      <c r="B3493" s="11" t="s">
        <v>6700</v>
      </c>
      <c r="C3493" s="50" t="s">
        <v>7117</v>
      </c>
      <c r="H3493" s="2">
        <v>10000</v>
      </c>
      <c r="I3493" s="88">
        <f t="shared" si="196"/>
        <v>31844.17</v>
      </c>
      <c r="L3493" s="2">
        <f t="shared" si="195"/>
        <v>20</v>
      </c>
    </row>
    <row r="3494" spans="1:12" x14ac:dyDescent="0.3">
      <c r="A3494" s="3">
        <v>45647</v>
      </c>
      <c r="B3494" s="11" t="s">
        <v>1160</v>
      </c>
      <c r="C3494" s="50" t="s">
        <v>7132</v>
      </c>
      <c r="G3494" s="2">
        <v>6000</v>
      </c>
      <c r="I3494" s="88">
        <f t="shared" si="196"/>
        <v>37844.17</v>
      </c>
      <c r="L3494" s="2">
        <f t="shared" si="195"/>
        <v>20</v>
      </c>
    </row>
    <row r="3495" spans="1:12" x14ac:dyDescent="0.3">
      <c r="A3495" s="3">
        <v>45647</v>
      </c>
      <c r="B3495" s="11" t="s">
        <v>6660</v>
      </c>
      <c r="C3495" s="50" t="s">
        <v>7133</v>
      </c>
      <c r="G3495" s="2">
        <v>3500</v>
      </c>
      <c r="I3495" s="88">
        <f t="shared" si="196"/>
        <v>41344.17</v>
      </c>
      <c r="L3495" s="2">
        <f t="shared" si="195"/>
        <v>14</v>
      </c>
    </row>
    <row r="3496" spans="1:12" x14ac:dyDescent="0.3">
      <c r="A3496" s="3">
        <v>45647</v>
      </c>
      <c r="B3496" s="11" t="s">
        <v>7134</v>
      </c>
      <c r="C3496" s="50" t="s">
        <v>5083</v>
      </c>
      <c r="H3496" s="2">
        <v>900</v>
      </c>
      <c r="I3496" s="88">
        <f t="shared" si="196"/>
        <v>40444.17</v>
      </c>
      <c r="L3496" s="2">
        <f t="shared" si="195"/>
        <v>3.6</v>
      </c>
    </row>
    <row r="3497" spans="1:12" x14ac:dyDescent="0.3">
      <c r="A3497" s="3">
        <v>45647</v>
      </c>
      <c r="B3497" s="11" t="s">
        <v>1250</v>
      </c>
      <c r="C3497" s="50" t="s">
        <v>6091</v>
      </c>
      <c r="H3497" s="2">
        <v>3000</v>
      </c>
      <c r="I3497" s="88">
        <f t="shared" si="196"/>
        <v>37444.17</v>
      </c>
      <c r="L3497" s="2">
        <f t="shared" si="195"/>
        <v>12</v>
      </c>
    </row>
    <row r="3498" spans="1:12" x14ac:dyDescent="0.3">
      <c r="A3498" s="3">
        <v>45647</v>
      </c>
      <c r="B3498" s="11" t="s">
        <v>7135</v>
      </c>
      <c r="C3498" s="50" t="s">
        <v>7136</v>
      </c>
      <c r="H3498" s="2">
        <v>3500</v>
      </c>
      <c r="I3498" s="88">
        <f t="shared" si="196"/>
        <v>33944.17</v>
      </c>
      <c r="L3498" s="2">
        <f t="shared" si="195"/>
        <v>14</v>
      </c>
    </row>
    <row r="3499" spans="1:12" x14ac:dyDescent="0.3">
      <c r="A3499" s="3">
        <v>45647</v>
      </c>
      <c r="B3499" s="11" t="s">
        <v>5364</v>
      </c>
      <c r="C3499" s="50" t="s">
        <v>7137</v>
      </c>
      <c r="G3499" s="2">
        <v>1500</v>
      </c>
      <c r="I3499" s="88">
        <f t="shared" si="196"/>
        <v>35444.17</v>
      </c>
      <c r="L3499" s="2">
        <f t="shared" si="195"/>
        <v>6</v>
      </c>
    </row>
    <row r="3500" spans="1:12" x14ac:dyDescent="0.3">
      <c r="A3500" s="3">
        <v>45647</v>
      </c>
      <c r="B3500" s="11" t="s">
        <v>2207</v>
      </c>
      <c r="C3500" s="50" t="s">
        <v>7138</v>
      </c>
      <c r="G3500" s="2">
        <v>10000</v>
      </c>
      <c r="I3500" s="88">
        <f t="shared" si="196"/>
        <v>45444.17</v>
      </c>
      <c r="L3500" s="2">
        <f t="shared" si="195"/>
        <v>20</v>
      </c>
    </row>
    <row r="3501" spans="1:12" x14ac:dyDescent="0.3">
      <c r="A3501" s="3">
        <v>45647</v>
      </c>
      <c r="B3501" s="11" t="s">
        <v>7108</v>
      </c>
      <c r="C3501" s="50" t="s">
        <v>7109</v>
      </c>
      <c r="G3501" s="2">
        <v>10000</v>
      </c>
      <c r="I3501" s="88">
        <f t="shared" si="196"/>
        <v>55444.17</v>
      </c>
      <c r="L3501" s="2">
        <f t="shared" si="195"/>
        <v>20</v>
      </c>
    </row>
    <row r="3502" spans="1:12" x14ac:dyDescent="0.3">
      <c r="A3502" s="3">
        <v>45649</v>
      </c>
      <c r="B3502" s="11" t="s">
        <v>6700</v>
      </c>
      <c r="C3502" s="50" t="s">
        <v>7117</v>
      </c>
      <c r="H3502" s="2">
        <v>9500</v>
      </c>
      <c r="I3502" s="88">
        <f t="shared" si="196"/>
        <v>45944.17</v>
      </c>
      <c r="L3502" s="2">
        <f t="shared" si="195"/>
        <v>20</v>
      </c>
    </row>
    <row r="3503" spans="1:12" x14ac:dyDescent="0.3">
      <c r="A3503" s="3">
        <v>45649</v>
      </c>
      <c r="B3503" s="11" t="s">
        <v>7139</v>
      </c>
      <c r="C3503" s="50" t="s">
        <v>1305</v>
      </c>
      <c r="G3503" s="2">
        <v>500</v>
      </c>
      <c r="I3503" s="88">
        <f t="shared" si="196"/>
        <v>46444.17</v>
      </c>
      <c r="L3503" s="2">
        <f t="shared" si="195"/>
        <v>2</v>
      </c>
    </row>
    <row r="3504" spans="1:12" x14ac:dyDescent="0.3">
      <c r="A3504" s="3">
        <v>45649</v>
      </c>
      <c r="B3504" s="11" t="s">
        <v>1250</v>
      </c>
      <c r="C3504" s="50" t="s">
        <v>6354</v>
      </c>
      <c r="G3504" s="2">
        <v>1000</v>
      </c>
      <c r="I3504" s="88">
        <f t="shared" si="196"/>
        <v>47444.17</v>
      </c>
      <c r="L3504" s="2">
        <f t="shared" si="195"/>
        <v>4</v>
      </c>
    </row>
    <row r="3505" spans="1:12" x14ac:dyDescent="0.3">
      <c r="A3505" s="3">
        <v>45650</v>
      </c>
      <c r="B3505" s="11" t="s">
        <v>3915</v>
      </c>
      <c r="C3505" s="50" t="s">
        <v>7140</v>
      </c>
      <c r="G3505" s="2">
        <v>5000</v>
      </c>
      <c r="I3505" s="88">
        <f t="shared" si="196"/>
        <v>52444.17</v>
      </c>
      <c r="L3505" s="2">
        <f t="shared" si="195"/>
        <v>20</v>
      </c>
    </row>
    <row r="3506" spans="1:12" x14ac:dyDescent="0.3">
      <c r="A3506" s="3">
        <v>45650</v>
      </c>
      <c r="B3506" s="11" t="s">
        <v>7141</v>
      </c>
      <c r="C3506" s="50" t="s">
        <v>120</v>
      </c>
      <c r="H3506" s="2">
        <v>2000</v>
      </c>
      <c r="I3506" s="88">
        <f t="shared" si="196"/>
        <v>50444.17</v>
      </c>
      <c r="L3506" s="2">
        <f t="shared" si="195"/>
        <v>8</v>
      </c>
    </row>
    <row r="3507" spans="1:12" x14ac:dyDescent="0.3">
      <c r="A3507" s="3">
        <v>45650</v>
      </c>
      <c r="B3507" s="11" t="s">
        <v>3097</v>
      </c>
      <c r="C3507" s="50" t="s">
        <v>7047</v>
      </c>
      <c r="G3507" s="2">
        <v>2000</v>
      </c>
      <c r="I3507" s="88">
        <f t="shared" si="196"/>
        <v>52444.17</v>
      </c>
      <c r="L3507" s="2">
        <f t="shared" si="195"/>
        <v>8</v>
      </c>
    </row>
    <row r="3508" spans="1:12" x14ac:dyDescent="0.3">
      <c r="A3508" s="3">
        <v>45650</v>
      </c>
      <c r="B3508" s="11" t="s">
        <v>2165</v>
      </c>
      <c r="C3508" s="50" t="s">
        <v>2874</v>
      </c>
      <c r="G3508" s="2">
        <v>2000</v>
      </c>
      <c r="I3508" s="88">
        <f t="shared" si="196"/>
        <v>54444.17</v>
      </c>
      <c r="L3508" s="2">
        <f t="shared" si="195"/>
        <v>8</v>
      </c>
    </row>
    <row r="3509" spans="1:12" x14ac:dyDescent="0.3">
      <c r="A3509" s="3">
        <v>45650</v>
      </c>
      <c r="B3509" s="11" t="s">
        <v>7142</v>
      </c>
      <c r="C3509" s="50" t="s">
        <v>7143</v>
      </c>
      <c r="G3509" s="2">
        <v>500</v>
      </c>
      <c r="I3509" s="88">
        <f t="shared" si="196"/>
        <v>54944.17</v>
      </c>
      <c r="L3509" s="2">
        <f t="shared" si="195"/>
        <v>2</v>
      </c>
    </row>
    <row r="3510" spans="1:12" x14ac:dyDescent="0.3">
      <c r="A3510" s="3">
        <v>45650</v>
      </c>
      <c r="B3510" s="11" t="s">
        <v>7145</v>
      </c>
      <c r="C3510" s="65" t="s">
        <v>7146</v>
      </c>
      <c r="E3510" s="90" t="s">
        <v>16</v>
      </c>
      <c r="H3510" s="2">
        <v>500</v>
      </c>
      <c r="I3510" s="88">
        <f t="shared" si="196"/>
        <v>54444.17</v>
      </c>
      <c r="L3510" s="2">
        <f t="shared" si="195"/>
        <v>27</v>
      </c>
    </row>
    <row r="3511" spans="1:12" x14ac:dyDescent="0.3">
      <c r="A3511" s="3">
        <v>45650</v>
      </c>
      <c r="B3511" s="11" t="s">
        <v>1250</v>
      </c>
      <c r="C3511" s="50" t="s">
        <v>7149</v>
      </c>
      <c r="G3511" s="2">
        <v>1000</v>
      </c>
      <c r="I3511" s="88">
        <f t="shared" si="196"/>
        <v>55444.17</v>
      </c>
      <c r="L3511" s="2">
        <f t="shared" si="195"/>
        <v>4</v>
      </c>
    </row>
    <row r="3512" spans="1:12" x14ac:dyDescent="0.3">
      <c r="A3512" s="3">
        <v>45650</v>
      </c>
      <c r="B3512" s="11" t="s">
        <v>1250</v>
      </c>
      <c r="C3512" s="50" t="s">
        <v>6985</v>
      </c>
      <c r="G3512" s="2">
        <v>1000</v>
      </c>
      <c r="I3512" s="88">
        <f t="shared" si="196"/>
        <v>56444.17</v>
      </c>
      <c r="L3512" s="2">
        <f t="shared" si="195"/>
        <v>4</v>
      </c>
    </row>
    <row r="3513" spans="1:12" x14ac:dyDescent="0.3">
      <c r="A3513" s="3">
        <v>45650</v>
      </c>
      <c r="B3513" s="11" t="s">
        <v>7150</v>
      </c>
      <c r="C3513" s="50" t="s">
        <v>7151</v>
      </c>
      <c r="H3513" s="2">
        <v>6000</v>
      </c>
      <c r="I3513" s="88">
        <f t="shared" si="196"/>
        <v>50444.17</v>
      </c>
      <c r="L3513" s="2">
        <f t="shared" si="195"/>
        <v>20</v>
      </c>
    </row>
    <row r="3514" spans="1:12" x14ac:dyDescent="0.3">
      <c r="A3514" s="3">
        <v>45650</v>
      </c>
      <c r="B3514" s="11" t="s">
        <v>7108</v>
      </c>
      <c r="C3514" s="50" t="s">
        <v>7109</v>
      </c>
      <c r="G3514" s="2">
        <v>10000</v>
      </c>
      <c r="I3514" s="88">
        <f t="shared" ref="I3514:I3519" si="197">I3513+G3514-H3514</f>
        <v>60444.17</v>
      </c>
      <c r="L3514" s="2">
        <f t="shared" ref="L3514:L3519" si="198">IF((G3514+H3514)&lt;=5000,(H3514+G3514)*0.004,20)+IF(E3514="Y",25,0)</f>
        <v>20</v>
      </c>
    </row>
    <row r="3515" spans="1:12" x14ac:dyDescent="0.3">
      <c r="A3515" s="3">
        <v>45650</v>
      </c>
      <c r="B3515" s="11" t="s">
        <v>3524</v>
      </c>
      <c r="C3515" s="50" t="s">
        <v>3169</v>
      </c>
      <c r="H3515" s="2">
        <v>10000</v>
      </c>
      <c r="I3515" s="88">
        <f t="shared" si="197"/>
        <v>50444.17</v>
      </c>
      <c r="L3515" s="2">
        <f t="shared" si="198"/>
        <v>20</v>
      </c>
    </row>
    <row r="3516" spans="1:12" x14ac:dyDescent="0.3">
      <c r="A3516" s="3">
        <v>45651</v>
      </c>
      <c r="B3516" s="11" t="s">
        <v>6718</v>
      </c>
      <c r="C3516" s="50" t="s">
        <v>7048</v>
      </c>
      <c r="G3516" s="2">
        <v>4000</v>
      </c>
      <c r="I3516" s="88">
        <f t="shared" si="197"/>
        <v>54444.17</v>
      </c>
      <c r="L3516" s="2">
        <f t="shared" si="198"/>
        <v>16</v>
      </c>
    </row>
    <row r="3517" spans="1:12" x14ac:dyDescent="0.3">
      <c r="A3517" s="3">
        <v>45651</v>
      </c>
      <c r="B3517" s="11" t="s">
        <v>5716</v>
      </c>
      <c r="C3517" s="50" t="s">
        <v>3519</v>
      </c>
      <c r="D3517" s="50" t="s">
        <v>7153</v>
      </c>
      <c r="G3517" s="2">
        <v>5000</v>
      </c>
      <c r="I3517" s="88">
        <f t="shared" si="197"/>
        <v>59444.17</v>
      </c>
      <c r="L3517" s="2">
        <f t="shared" si="198"/>
        <v>20</v>
      </c>
    </row>
    <row r="3518" spans="1:12" x14ac:dyDescent="0.3">
      <c r="A3518" s="3">
        <v>45651</v>
      </c>
      <c r="B3518" s="11" t="s">
        <v>1250</v>
      </c>
      <c r="C3518" s="50" t="s">
        <v>6424</v>
      </c>
      <c r="G3518" s="2">
        <v>600</v>
      </c>
      <c r="I3518" s="88">
        <f t="shared" si="197"/>
        <v>60044.17</v>
      </c>
      <c r="L3518" s="2">
        <f t="shared" si="198"/>
        <v>2.4</v>
      </c>
    </row>
    <row r="3519" spans="1:12" x14ac:dyDescent="0.3">
      <c r="A3519" s="3">
        <v>45652</v>
      </c>
      <c r="B3519" s="11" t="s">
        <v>6260</v>
      </c>
      <c r="C3519" s="50" t="s">
        <v>6259</v>
      </c>
      <c r="H3519" s="2">
        <v>6500</v>
      </c>
      <c r="I3519" s="88">
        <f t="shared" si="197"/>
        <v>53544.17</v>
      </c>
      <c r="L3519" s="2">
        <f t="shared" si="198"/>
        <v>20</v>
      </c>
    </row>
    <row r="3520" spans="1:12" x14ac:dyDescent="0.3">
      <c r="A3520" s="3">
        <v>45652</v>
      </c>
      <c r="B3520" s="11" t="s">
        <v>1250</v>
      </c>
      <c r="C3520" s="50" t="s">
        <v>7149</v>
      </c>
      <c r="G3520" s="2">
        <v>1000</v>
      </c>
      <c r="I3520" s="88">
        <f t="shared" ref="I3520:I3526" si="199">I3519+G3520-H3520</f>
        <v>54544.17</v>
      </c>
      <c r="L3520" s="2">
        <f t="shared" ref="L3520:L3526" si="200">IF((G3520+H3520)&lt;=5000,(H3520+G3520)*0.004,20)+IF(E3520="Y",25,0)</f>
        <v>4</v>
      </c>
    </row>
    <row r="3521" spans="1:12" x14ac:dyDescent="0.3">
      <c r="A3521" s="3">
        <v>45652</v>
      </c>
      <c r="B3521" s="11" t="s">
        <v>1472</v>
      </c>
      <c r="C3521" s="50" t="s">
        <v>7154</v>
      </c>
      <c r="G3521" s="2">
        <v>3000</v>
      </c>
      <c r="I3521" s="88">
        <f t="shared" si="199"/>
        <v>57544.17</v>
      </c>
      <c r="L3521" s="2">
        <f t="shared" si="200"/>
        <v>12</v>
      </c>
    </row>
    <row r="3522" spans="1:12" x14ac:dyDescent="0.3">
      <c r="A3522" s="3">
        <v>45652</v>
      </c>
      <c r="B3522" s="11" t="s">
        <v>5587</v>
      </c>
      <c r="C3522" s="50" t="s">
        <v>7155</v>
      </c>
      <c r="G3522" s="2">
        <v>1000</v>
      </c>
      <c r="I3522" s="88">
        <f t="shared" si="199"/>
        <v>58544.17</v>
      </c>
      <c r="L3522" s="2">
        <f t="shared" si="200"/>
        <v>4</v>
      </c>
    </row>
    <row r="3523" spans="1:12" x14ac:dyDescent="0.3">
      <c r="A3523" s="3">
        <v>45652</v>
      </c>
      <c r="B3523" s="11" t="s">
        <v>1250</v>
      </c>
      <c r="C3523" s="50" t="s">
        <v>6176</v>
      </c>
      <c r="G3523" s="2">
        <v>300</v>
      </c>
      <c r="I3523" s="88">
        <f t="shared" si="199"/>
        <v>58844.17</v>
      </c>
      <c r="L3523" s="2">
        <f t="shared" si="200"/>
        <v>1.2</v>
      </c>
    </row>
    <row r="3524" spans="1:12" x14ac:dyDescent="0.3">
      <c r="A3524" s="3">
        <v>45652</v>
      </c>
      <c r="B3524" s="11" t="s">
        <v>2743</v>
      </c>
      <c r="C3524" s="50" t="s">
        <v>7156</v>
      </c>
      <c r="G3524" s="2">
        <v>1000</v>
      </c>
      <c r="I3524" s="88">
        <f t="shared" si="199"/>
        <v>59844.17</v>
      </c>
      <c r="L3524" s="2">
        <f t="shared" si="200"/>
        <v>4</v>
      </c>
    </row>
    <row r="3525" spans="1:12" x14ac:dyDescent="0.3">
      <c r="A3525" s="3">
        <v>45652</v>
      </c>
      <c r="B3525" s="11" t="s">
        <v>7158</v>
      </c>
      <c r="C3525" s="50" t="s">
        <v>7159</v>
      </c>
      <c r="E3525" s="90" t="s">
        <v>16</v>
      </c>
      <c r="G3525" s="2">
        <v>500</v>
      </c>
      <c r="I3525" s="88">
        <f t="shared" si="199"/>
        <v>60344.17</v>
      </c>
      <c r="L3525" s="2">
        <f t="shared" si="200"/>
        <v>27</v>
      </c>
    </row>
    <row r="3526" spans="1:12" x14ac:dyDescent="0.3">
      <c r="A3526" s="3">
        <v>45652</v>
      </c>
      <c r="C3526" s="50" t="s">
        <v>5991</v>
      </c>
      <c r="E3526" s="90" t="s">
        <v>4721</v>
      </c>
      <c r="H3526" s="2">
        <v>40000</v>
      </c>
      <c r="I3526" s="88">
        <f t="shared" si="199"/>
        <v>20344.169999999998</v>
      </c>
      <c r="L3526" s="2">
        <f t="shared" si="200"/>
        <v>20</v>
      </c>
    </row>
    <row r="3527" spans="1:12" x14ac:dyDescent="0.3">
      <c r="A3527" s="3">
        <v>45652</v>
      </c>
      <c r="B3527" s="11" t="s">
        <v>1160</v>
      </c>
      <c r="C3527" s="50" t="s">
        <v>7162</v>
      </c>
      <c r="G3527" s="2">
        <v>2000</v>
      </c>
      <c r="I3527" s="88">
        <f t="shared" ref="I3527:I3542" si="201">I3526+G3527-H3527</f>
        <v>22344.17</v>
      </c>
      <c r="L3527" s="2">
        <v>0</v>
      </c>
    </row>
    <row r="3528" spans="1:12" x14ac:dyDescent="0.3">
      <c r="A3528" s="3">
        <v>45652</v>
      </c>
      <c r="B3528" s="11" t="s">
        <v>1250</v>
      </c>
      <c r="C3528" s="50" t="s">
        <v>7163</v>
      </c>
      <c r="G3528" s="2">
        <v>600</v>
      </c>
      <c r="I3528" s="88">
        <f t="shared" si="201"/>
        <v>22944.17</v>
      </c>
      <c r="L3528" s="2">
        <f t="shared" ref="L3528:L3533" si="202">IF((G3528+H3528)&lt;=5000,(H3528+G3528)*0.004,20)+IF(E3528="Y",25,0)</f>
        <v>2.4</v>
      </c>
    </row>
    <row r="3529" spans="1:12" x14ac:dyDescent="0.3">
      <c r="A3529" s="3">
        <v>45652</v>
      </c>
      <c r="B3529" s="11" t="s">
        <v>6890</v>
      </c>
      <c r="C3529" s="50" t="s">
        <v>6891</v>
      </c>
      <c r="H3529" s="2">
        <v>10000</v>
      </c>
      <c r="I3529" s="88">
        <f t="shared" si="201"/>
        <v>12944.169999999998</v>
      </c>
      <c r="L3529" s="2">
        <f t="shared" si="202"/>
        <v>20</v>
      </c>
    </row>
    <row r="3530" spans="1:12" x14ac:dyDescent="0.3">
      <c r="A3530" s="3">
        <v>45652</v>
      </c>
      <c r="B3530" s="11" t="s">
        <v>7166</v>
      </c>
      <c r="C3530" s="50" t="s">
        <v>99</v>
      </c>
      <c r="E3530" s="90" t="s">
        <v>16</v>
      </c>
      <c r="H3530" s="2">
        <v>500</v>
      </c>
      <c r="I3530" s="88">
        <f t="shared" si="201"/>
        <v>12444.169999999998</v>
      </c>
      <c r="L3530" s="2">
        <f t="shared" si="202"/>
        <v>27</v>
      </c>
    </row>
    <row r="3531" spans="1:12" x14ac:dyDescent="0.3">
      <c r="A3531" s="3">
        <v>45652</v>
      </c>
      <c r="B3531" s="11" t="s">
        <v>7167</v>
      </c>
      <c r="C3531" s="65" t="s">
        <v>620</v>
      </c>
      <c r="E3531" s="90" t="s">
        <v>16</v>
      </c>
      <c r="H3531" s="2">
        <v>500</v>
      </c>
      <c r="I3531" s="88">
        <f t="shared" si="201"/>
        <v>11944.169999999998</v>
      </c>
      <c r="L3531" s="2">
        <f t="shared" si="202"/>
        <v>27</v>
      </c>
    </row>
    <row r="3532" spans="1:12" x14ac:dyDescent="0.3">
      <c r="A3532" s="3">
        <v>45652</v>
      </c>
      <c r="B3532" s="11" t="s">
        <v>7170</v>
      </c>
      <c r="C3532" s="65" t="s">
        <v>7171</v>
      </c>
      <c r="E3532" s="90" t="s">
        <v>16</v>
      </c>
      <c r="H3532" s="2">
        <v>500</v>
      </c>
      <c r="I3532" s="88">
        <f t="shared" si="201"/>
        <v>11444.169999999998</v>
      </c>
      <c r="L3532" s="2">
        <f t="shared" si="202"/>
        <v>27</v>
      </c>
    </row>
    <row r="3533" spans="1:12" x14ac:dyDescent="0.3">
      <c r="A3533" s="3">
        <v>45653</v>
      </c>
      <c r="B3533" s="11" t="s">
        <v>7174</v>
      </c>
      <c r="C3533" s="50" t="s">
        <v>7175</v>
      </c>
      <c r="G3533" s="2">
        <v>7000</v>
      </c>
      <c r="I3533" s="88">
        <f t="shared" si="201"/>
        <v>18444.169999999998</v>
      </c>
      <c r="L3533" s="2">
        <f t="shared" si="202"/>
        <v>20</v>
      </c>
    </row>
    <row r="3534" spans="1:12" x14ac:dyDescent="0.3">
      <c r="A3534" s="3">
        <v>45653</v>
      </c>
      <c r="B3534" s="11" t="s">
        <v>7178</v>
      </c>
      <c r="C3534" s="65" t="s">
        <v>7179</v>
      </c>
      <c r="E3534" s="90" t="s">
        <v>16</v>
      </c>
      <c r="H3534" s="2">
        <v>500</v>
      </c>
      <c r="I3534" s="88">
        <f t="shared" si="201"/>
        <v>17944.169999999998</v>
      </c>
    </row>
    <row r="3535" spans="1:12" x14ac:dyDescent="0.3">
      <c r="A3535" s="3">
        <v>45653</v>
      </c>
      <c r="B3535" s="11" t="s">
        <v>6428</v>
      </c>
      <c r="C3535" s="50" t="s">
        <v>7176</v>
      </c>
      <c r="G3535" s="2">
        <v>250</v>
      </c>
      <c r="I3535" s="88">
        <f t="shared" si="201"/>
        <v>18194.169999999998</v>
      </c>
      <c r="L3535" s="2">
        <f t="shared" ref="L3535:L3539" si="203">IF((G3535+H3535)&lt;=5000,(H3535+G3535)*0.004,20)+IF(E3535="Y",25,0)</f>
        <v>1</v>
      </c>
    </row>
    <row r="3536" spans="1:12" x14ac:dyDescent="0.3">
      <c r="A3536" s="3">
        <v>45653</v>
      </c>
      <c r="B3536" s="11" t="s">
        <v>7186</v>
      </c>
      <c r="C3536" s="65" t="s">
        <v>7187</v>
      </c>
      <c r="E3536" s="90" t="s">
        <v>16</v>
      </c>
      <c r="H3536" s="2">
        <v>1000</v>
      </c>
      <c r="I3536" s="88">
        <f t="shared" si="201"/>
        <v>17194.169999999998</v>
      </c>
      <c r="L3536" s="2">
        <f t="shared" si="203"/>
        <v>29</v>
      </c>
    </row>
    <row r="3537" spans="1:12" x14ac:dyDescent="0.3">
      <c r="A3537" s="3">
        <v>45653</v>
      </c>
      <c r="B3537" s="11" t="s">
        <v>3915</v>
      </c>
      <c r="C3537" s="50" t="s">
        <v>7190</v>
      </c>
      <c r="D3537" s="50">
        <v>597874266301</v>
      </c>
      <c r="G3537" s="2">
        <v>7000</v>
      </c>
      <c r="I3537" s="88">
        <f t="shared" si="201"/>
        <v>24194.17</v>
      </c>
      <c r="L3537" s="2">
        <f t="shared" si="203"/>
        <v>20</v>
      </c>
    </row>
    <row r="3538" spans="1:12" x14ac:dyDescent="0.3">
      <c r="A3538" s="3">
        <v>45653</v>
      </c>
      <c r="B3538" s="11" t="s">
        <v>1250</v>
      </c>
      <c r="C3538" s="50" t="s">
        <v>6424</v>
      </c>
      <c r="G3538" s="2">
        <v>1000</v>
      </c>
      <c r="I3538" s="88">
        <f t="shared" si="201"/>
        <v>25194.17</v>
      </c>
      <c r="L3538" s="2">
        <f t="shared" si="203"/>
        <v>4</v>
      </c>
    </row>
    <row r="3539" spans="1:12" x14ac:dyDescent="0.3">
      <c r="A3539" s="3">
        <v>45653</v>
      </c>
      <c r="B3539" s="11" t="s">
        <v>1250</v>
      </c>
      <c r="C3539" s="50" t="s">
        <v>7143</v>
      </c>
      <c r="G3539" s="2">
        <v>500</v>
      </c>
      <c r="I3539" s="88">
        <f t="shared" si="201"/>
        <v>25694.17</v>
      </c>
      <c r="L3539" s="2">
        <f t="shared" si="203"/>
        <v>2</v>
      </c>
    </row>
    <row r="3540" spans="1:12" x14ac:dyDescent="0.3">
      <c r="A3540" s="3">
        <v>45653</v>
      </c>
      <c r="B3540" s="11" t="s">
        <v>1250</v>
      </c>
      <c r="C3540" s="50" t="s">
        <v>2295</v>
      </c>
      <c r="G3540" s="2">
        <v>900</v>
      </c>
      <c r="I3540" s="88">
        <f t="shared" si="201"/>
        <v>26594.17</v>
      </c>
      <c r="L3540" s="2">
        <f t="shared" ref="L3540:L3546" si="204">IF((G3540+H3540)&lt;=5000,(H3540+G3540)*0.004,20)+IF(E3540="Y",25,0)</f>
        <v>3.6</v>
      </c>
    </row>
    <row r="3541" spans="1:12" x14ac:dyDescent="0.3">
      <c r="A3541" s="3">
        <v>45653</v>
      </c>
      <c r="B3541" s="11" t="s">
        <v>1250</v>
      </c>
      <c r="C3541" s="50" t="s">
        <v>4852</v>
      </c>
      <c r="G3541" s="2">
        <v>1500</v>
      </c>
      <c r="H3541" s="55">
        <v>1000</v>
      </c>
      <c r="I3541" s="88">
        <f t="shared" si="201"/>
        <v>27094.17</v>
      </c>
      <c r="J3541">
        <v>27092</v>
      </c>
      <c r="K3541" s="62"/>
      <c r="L3541" s="2">
        <f t="shared" si="204"/>
        <v>10</v>
      </c>
    </row>
    <row r="3542" spans="1:12" x14ac:dyDescent="0.3">
      <c r="A3542" s="3">
        <v>45657</v>
      </c>
      <c r="B3542" s="11" t="s">
        <v>3812</v>
      </c>
      <c r="C3542" s="50" t="s">
        <v>7195</v>
      </c>
      <c r="G3542" s="2">
        <v>10000</v>
      </c>
      <c r="I3542" s="88">
        <f t="shared" si="201"/>
        <v>37094.17</v>
      </c>
      <c r="L3542" s="2">
        <f t="shared" ref="L3542:L3545" si="205">IF((G3542+H3542)&lt;=5000,(H3542+G3542)*0.004,20)+IF(E3542="Y",25,0)</f>
        <v>20</v>
      </c>
    </row>
    <row r="3543" spans="1:12" x14ac:dyDescent="0.3">
      <c r="A3543" s="3">
        <v>45657</v>
      </c>
      <c r="B3543" s="11" t="s">
        <v>3812</v>
      </c>
      <c r="C3543" s="50" t="s">
        <v>6435</v>
      </c>
      <c r="G3543" s="2">
        <v>400</v>
      </c>
      <c r="I3543" s="88">
        <f t="shared" ref="I3543:I3545" si="206">I3542+G3543-H3543</f>
        <v>37494.17</v>
      </c>
      <c r="L3543" s="2">
        <f t="shared" si="205"/>
        <v>1.6</v>
      </c>
    </row>
    <row r="3544" spans="1:12" x14ac:dyDescent="0.3">
      <c r="A3544" s="3">
        <v>45657</v>
      </c>
      <c r="B3544" s="11" t="s">
        <v>7196</v>
      </c>
      <c r="C3544" s="50" t="s">
        <v>6836</v>
      </c>
      <c r="H3544" s="2">
        <v>3000</v>
      </c>
      <c r="I3544" s="88">
        <f t="shared" si="206"/>
        <v>34494.17</v>
      </c>
      <c r="L3544" s="2">
        <f t="shared" si="205"/>
        <v>12</v>
      </c>
    </row>
    <row r="3545" spans="1:12" x14ac:dyDescent="0.3">
      <c r="A3545" s="3">
        <v>45657</v>
      </c>
      <c r="B3545" s="11" t="s">
        <v>6739</v>
      </c>
      <c r="C3545" s="50" t="s">
        <v>7197</v>
      </c>
      <c r="G3545" s="2">
        <v>400</v>
      </c>
      <c r="I3545" s="88">
        <f t="shared" si="206"/>
        <v>34894.17</v>
      </c>
      <c r="L3545" s="2">
        <f t="shared" si="205"/>
        <v>1.6</v>
      </c>
    </row>
    <row r="3546" spans="1:12" x14ac:dyDescent="0.3">
      <c r="A3546" s="3">
        <v>45657</v>
      </c>
      <c r="B3546" s="11" t="s">
        <v>1250</v>
      </c>
      <c r="C3546" s="50" t="s">
        <v>7198</v>
      </c>
      <c r="G3546" s="2">
        <v>5000</v>
      </c>
      <c r="I3546" s="88">
        <f t="shared" ref="I3546" si="207">I3545+G3546-H3546</f>
        <v>39894.17</v>
      </c>
      <c r="L3546" s="2">
        <f t="shared" si="204"/>
        <v>20</v>
      </c>
    </row>
    <row r="3547" spans="1:12" x14ac:dyDescent="0.3">
      <c r="A3547" s="3">
        <v>45657</v>
      </c>
      <c r="B3547" s="11" t="s">
        <v>1250</v>
      </c>
      <c r="C3547" s="51" t="s">
        <v>5806</v>
      </c>
      <c r="G3547" s="2">
        <v>1000</v>
      </c>
      <c r="I3547" s="88">
        <f t="shared" ref="I3547:I3548" si="208">I3546+G3547-H3547</f>
        <v>40894.17</v>
      </c>
      <c r="L3547" s="2">
        <f t="shared" ref="L3547:L3548" si="209">IF((G3547+H3547)&lt;=5000,(H3547+G3547)*0.004,20)+IF(E3547="Y",25,0)</f>
        <v>4</v>
      </c>
    </row>
    <row r="3548" spans="1:12" x14ac:dyDescent="0.3">
      <c r="A3548" s="3">
        <v>45657</v>
      </c>
      <c r="B3548" s="11" t="s">
        <v>7051</v>
      </c>
      <c r="C3548" s="50" t="s">
        <v>7049</v>
      </c>
      <c r="G3548" s="2">
        <v>4000</v>
      </c>
      <c r="I3548" s="88">
        <f t="shared" si="208"/>
        <v>44894.17</v>
      </c>
      <c r="L3548" s="2">
        <f t="shared" si="209"/>
        <v>16</v>
      </c>
    </row>
    <row r="3549" spans="1:12" x14ac:dyDescent="0.3">
      <c r="A3549" s="3">
        <v>45657</v>
      </c>
      <c r="B3549" s="11" t="s">
        <v>2241</v>
      </c>
      <c r="C3549" s="50" t="s">
        <v>3471</v>
      </c>
      <c r="G3549" s="2">
        <v>1000</v>
      </c>
      <c r="I3549" s="88">
        <f t="shared" ref="I3549:I3553" si="210">I3548+G3549-H3549</f>
        <v>45894.17</v>
      </c>
      <c r="L3549" s="2">
        <f t="shared" ref="L3549:L3553" si="211">IF((G3549+H3549)&lt;=5000,(H3549+G3549)*0.004,20)+IF(E3549="Y",25,0)</f>
        <v>4</v>
      </c>
    </row>
    <row r="3550" spans="1:12" x14ac:dyDescent="0.3">
      <c r="A3550" s="3">
        <v>45657</v>
      </c>
      <c r="B3550" s="11" t="s">
        <v>5312</v>
      </c>
      <c r="C3550" s="50" t="s">
        <v>6580</v>
      </c>
      <c r="G3550" s="2">
        <v>2000</v>
      </c>
      <c r="I3550" s="88">
        <f t="shared" si="210"/>
        <v>47894.17</v>
      </c>
      <c r="L3550" s="2">
        <f t="shared" si="211"/>
        <v>8</v>
      </c>
    </row>
    <row r="3551" spans="1:12" x14ac:dyDescent="0.3">
      <c r="A3551" s="3">
        <v>45657</v>
      </c>
      <c r="B3551" s="11" t="s">
        <v>6805</v>
      </c>
      <c r="C3551" s="50" t="s">
        <v>6806</v>
      </c>
      <c r="H3551" s="2">
        <v>5500</v>
      </c>
      <c r="I3551" s="88">
        <f t="shared" si="210"/>
        <v>42394.17</v>
      </c>
      <c r="L3551" s="2">
        <f t="shared" si="211"/>
        <v>20</v>
      </c>
    </row>
    <row r="3552" spans="1:12" x14ac:dyDescent="0.3">
      <c r="A3552" s="3">
        <v>45657</v>
      </c>
      <c r="B3552" s="11" t="s">
        <v>3958</v>
      </c>
      <c r="C3552" s="50" t="s">
        <v>7200</v>
      </c>
      <c r="H3552" s="2">
        <v>1600</v>
      </c>
      <c r="I3552" s="88">
        <f t="shared" si="210"/>
        <v>40794.17</v>
      </c>
      <c r="L3552" s="2">
        <f t="shared" si="211"/>
        <v>6.4</v>
      </c>
    </row>
    <row r="3553" spans="1:13" x14ac:dyDescent="0.3">
      <c r="A3553" s="3">
        <v>45657</v>
      </c>
      <c r="B3553" s="11" t="s">
        <v>1160</v>
      </c>
      <c r="C3553" s="50" t="s">
        <v>7199</v>
      </c>
      <c r="G3553" s="2">
        <v>1050</v>
      </c>
      <c r="I3553" s="88">
        <f t="shared" si="210"/>
        <v>41844.17</v>
      </c>
      <c r="L3553" s="2">
        <f t="shared" si="211"/>
        <v>4.2</v>
      </c>
    </row>
    <row r="3554" spans="1:13" x14ac:dyDescent="0.3">
      <c r="A3554" s="77">
        <f>COUNT(A3281:A3553)</f>
        <v>273</v>
      </c>
      <c r="B3554" s="80" t="s">
        <v>7120</v>
      </c>
      <c r="C3554" s="112">
        <f>SUMIF(E3281:E3553,"S",H3281:H3553)</f>
        <v>130200</v>
      </c>
      <c r="D3554" s="112"/>
      <c r="E3554" s="92">
        <f>COUNTIF(E3281:E3553,"Y")</f>
        <v>43</v>
      </c>
      <c r="F3554" s="80">
        <f>SUM(F2657:F3553)</f>
        <v>200</v>
      </c>
      <c r="G3554" s="121">
        <f>SUM(G3281:G3553)-28000</f>
        <v>490600</v>
      </c>
      <c r="H3554" s="121">
        <f>SUM(H3281:H3553)-C3554</f>
        <v>367600</v>
      </c>
      <c r="I3554" s="121">
        <f>SUM(G3554:H3554)</f>
        <v>858200</v>
      </c>
      <c r="J3554" s="122"/>
      <c r="K3554" s="122"/>
      <c r="L3554" s="121">
        <f>SUM(L3281:L3553)</f>
        <v>3759.6</v>
      </c>
      <c r="M3554" s="121">
        <f>SUM(M3001:M3553)</f>
        <v>0</v>
      </c>
    </row>
    <row r="3556" spans="1:13" x14ac:dyDescent="0.3">
      <c r="A3556" s="3">
        <v>45658</v>
      </c>
      <c r="B3556" s="11" t="s">
        <v>2832</v>
      </c>
      <c r="G3556" s="88">
        <f>I3553+1000</f>
        <v>42844.17</v>
      </c>
      <c r="I3556" s="88">
        <f t="shared" ref="I3556:I3563" si="212">I3555+G3556-H3556</f>
        <v>42844.17</v>
      </c>
    </row>
    <row r="3557" spans="1:13" x14ac:dyDescent="0.3">
      <c r="A3557" s="3">
        <v>45658</v>
      </c>
      <c r="B3557" s="11" t="s">
        <v>3415</v>
      </c>
      <c r="C3557" s="50" t="s">
        <v>164</v>
      </c>
      <c r="G3557" s="88"/>
      <c r="H3557" s="88">
        <v>1000</v>
      </c>
      <c r="I3557" s="88">
        <f t="shared" si="212"/>
        <v>41844.17</v>
      </c>
      <c r="L3557" s="2">
        <f t="shared" ref="L3557:L3563" si="213">IF((G3557+H3557)&lt;=5000,(H3557+G3557)*0.004,20)+IF(E3557="Y",25,0)</f>
        <v>4</v>
      </c>
    </row>
    <row r="3558" spans="1:13" x14ac:dyDescent="0.3">
      <c r="A3558" s="3">
        <v>45661</v>
      </c>
      <c r="B3558" s="11" t="s">
        <v>2338</v>
      </c>
      <c r="C3558" s="50" t="s">
        <v>1279</v>
      </c>
      <c r="G3558" s="88"/>
      <c r="H3558" s="88">
        <v>5000</v>
      </c>
      <c r="I3558" s="88">
        <f t="shared" si="212"/>
        <v>36844.17</v>
      </c>
      <c r="L3558" s="2">
        <f t="shared" si="213"/>
        <v>20</v>
      </c>
    </row>
    <row r="3559" spans="1:13" x14ac:dyDescent="0.3">
      <c r="A3559" s="3">
        <v>45661</v>
      </c>
      <c r="B3559" s="11" t="s">
        <v>5230</v>
      </c>
      <c r="C3559" s="50" t="s">
        <v>6762</v>
      </c>
      <c r="G3559" s="88"/>
      <c r="H3559" s="88">
        <v>2000</v>
      </c>
      <c r="I3559" s="88">
        <f t="shared" si="212"/>
        <v>34844.17</v>
      </c>
      <c r="L3559" s="2">
        <f t="shared" si="213"/>
        <v>8</v>
      </c>
    </row>
    <row r="3560" spans="1:13" x14ac:dyDescent="0.3">
      <c r="A3560" s="3">
        <v>45661</v>
      </c>
      <c r="B3560" s="11" t="s">
        <v>6844</v>
      </c>
      <c r="C3560" s="50" t="s">
        <v>7201</v>
      </c>
      <c r="G3560" s="88"/>
      <c r="H3560" s="88">
        <v>1000</v>
      </c>
      <c r="I3560" s="88">
        <f t="shared" si="212"/>
        <v>33844.17</v>
      </c>
      <c r="L3560" s="2">
        <f t="shared" si="213"/>
        <v>4</v>
      </c>
    </row>
    <row r="3561" spans="1:13" x14ac:dyDescent="0.3">
      <c r="A3561" s="3">
        <v>45661</v>
      </c>
      <c r="B3561" s="11" t="s">
        <v>3915</v>
      </c>
      <c r="C3561" s="50" t="s">
        <v>7202</v>
      </c>
      <c r="G3561" s="88">
        <v>10000</v>
      </c>
      <c r="H3561" s="88"/>
      <c r="I3561" s="88">
        <f t="shared" si="212"/>
        <v>43844.17</v>
      </c>
      <c r="L3561" s="2">
        <f t="shared" si="213"/>
        <v>20</v>
      </c>
    </row>
    <row r="3562" spans="1:13" x14ac:dyDescent="0.3">
      <c r="A3562" s="3">
        <v>45661</v>
      </c>
      <c r="B3562" s="11" t="s">
        <v>7204</v>
      </c>
      <c r="C3562" s="50" t="s">
        <v>7208</v>
      </c>
      <c r="E3562" s="90" t="s">
        <v>16</v>
      </c>
      <c r="G3562" s="88"/>
      <c r="H3562" s="88">
        <v>500</v>
      </c>
      <c r="I3562" s="88">
        <f t="shared" si="212"/>
        <v>43344.17</v>
      </c>
      <c r="L3562" s="2">
        <f t="shared" si="213"/>
        <v>27</v>
      </c>
    </row>
    <row r="3563" spans="1:13" x14ac:dyDescent="0.3">
      <c r="A3563" s="3">
        <v>45661</v>
      </c>
      <c r="B3563" s="11" t="s">
        <v>5186</v>
      </c>
      <c r="C3563" s="50" t="s">
        <v>5189</v>
      </c>
      <c r="G3563" s="88">
        <v>5000</v>
      </c>
      <c r="H3563" s="88"/>
      <c r="I3563" s="88">
        <f t="shared" si="212"/>
        <v>48344.17</v>
      </c>
      <c r="L3563" s="2">
        <f t="shared" si="213"/>
        <v>20</v>
      </c>
    </row>
    <row r="3564" spans="1:13" x14ac:dyDescent="0.3">
      <c r="A3564" s="3">
        <v>45661</v>
      </c>
      <c r="B3564" s="11" t="s">
        <v>6260</v>
      </c>
      <c r="C3564" s="50" t="s">
        <v>7117</v>
      </c>
      <c r="G3564" s="88"/>
      <c r="H3564" s="88">
        <v>7000</v>
      </c>
      <c r="I3564" s="88">
        <f t="shared" ref="I3564:I3570" si="214">I3563+G3564-H3564</f>
        <v>41344.17</v>
      </c>
      <c r="L3564" s="2">
        <f t="shared" ref="L3564:L3570" si="215">IF((G3564+H3564)&lt;=5000,(H3564+G3564)*0.004,20)+IF(E3564="Y",25,0)</f>
        <v>20</v>
      </c>
    </row>
    <row r="3565" spans="1:13" x14ac:dyDescent="0.3">
      <c r="A3565" s="3">
        <v>45661</v>
      </c>
      <c r="B3565" s="11" t="s">
        <v>1250</v>
      </c>
      <c r="C3565" s="50" t="s">
        <v>2734</v>
      </c>
      <c r="G3565" s="88">
        <v>300</v>
      </c>
      <c r="H3565" s="88"/>
      <c r="I3565" s="88">
        <f t="shared" si="214"/>
        <v>41644.17</v>
      </c>
      <c r="L3565" s="2">
        <f t="shared" si="215"/>
        <v>1.2</v>
      </c>
    </row>
    <row r="3566" spans="1:13" x14ac:dyDescent="0.3">
      <c r="A3566" s="3">
        <v>45661</v>
      </c>
      <c r="B3566" s="11" t="s">
        <v>1250</v>
      </c>
      <c r="C3566" s="50" t="s">
        <v>2626</v>
      </c>
      <c r="G3566" s="88">
        <v>6500</v>
      </c>
      <c r="H3566" s="88"/>
      <c r="I3566" s="88">
        <f t="shared" si="214"/>
        <v>48144.17</v>
      </c>
      <c r="L3566" s="2">
        <f t="shared" si="215"/>
        <v>20</v>
      </c>
    </row>
    <row r="3567" spans="1:13" x14ac:dyDescent="0.3">
      <c r="A3567" s="3">
        <v>45662</v>
      </c>
      <c r="B3567" s="11" t="s">
        <v>1250</v>
      </c>
      <c r="C3567" s="50" t="s">
        <v>7211</v>
      </c>
      <c r="G3567" s="88">
        <v>750</v>
      </c>
      <c r="H3567" s="88"/>
      <c r="I3567" s="88">
        <f t="shared" si="214"/>
        <v>48894.17</v>
      </c>
      <c r="L3567" s="2">
        <f t="shared" si="215"/>
        <v>3</v>
      </c>
    </row>
    <row r="3568" spans="1:13" x14ac:dyDescent="0.3">
      <c r="A3568" s="3">
        <v>45662</v>
      </c>
      <c r="B3568" s="11" t="s">
        <v>6260</v>
      </c>
      <c r="C3568" s="50" t="s">
        <v>7117</v>
      </c>
      <c r="G3568" s="88"/>
      <c r="H3568" s="88">
        <v>10000</v>
      </c>
      <c r="I3568" s="88">
        <f t="shared" si="214"/>
        <v>38894.17</v>
      </c>
      <c r="L3568" s="2">
        <f t="shared" si="215"/>
        <v>20</v>
      </c>
    </row>
    <row r="3569" spans="1:12" x14ac:dyDescent="0.3">
      <c r="A3569" s="3">
        <v>45662</v>
      </c>
      <c r="B3569" s="11" t="s">
        <v>1250</v>
      </c>
      <c r="C3569" s="50" t="s">
        <v>7212</v>
      </c>
      <c r="G3569" s="88">
        <v>800</v>
      </c>
      <c r="H3569" s="88"/>
      <c r="I3569" s="88">
        <f t="shared" si="214"/>
        <v>39694.17</v>
      </c>
      <c r="L3569" s="2">
        <f t="shared" si="215"/>
        <v>3.2</v>
      </c>
    </row>
    <row r="3570" spans="1:12" x14ac:dyDescent="0.3">
      <c r="A3570" s="3">
        <v>45663</v>
      </c>
      <c r="B3570" s="11" t="s">
        <v>6260</v>
      </c>
      <c r="C3570" s="50" t="s">
        <v>7117</v>
      </c>
      <c r="G3570" s="88"/>
      <c r="H3570" s="88">
        <v>9000</v>
      </c>
      <c r="I3570" s="88">
        <f t="shared" si="214"/>
        <v>30694.17</v>
      </c>
      <c r="L3570" s="2">
        <f t="shared" si="215"/>
        <v>20</v>
      </c>
    </row>
    <row r="3571" spans="1:12" x14ac:dyDescent="0.3">
      <c r="A3571" s="3">
        <v>45663</v>
      </c>
      <c r="B3571" s="11" t="s">
        <v>1250</v>
      </c>
      <c r="C3571" s="50" t="s">
        <v>6435</v>
      </c>
      <c r="G3571" s="88">
        <v>400</v>
      </c>
      <c r="H3571" s="88"/>
      <c r="I3571" s="88">
        <f t="shared" ref="I3571:I3582" si="216">I3570+G3571-H3571</f>
        <v>31094.17</v>
      </c>
      <c r="L3571" s="2">
        <f t="shared" ref="L3571:L3582" si="217">IF((G3571+H3571)&lt;=5000,(H3571+G3571)*0.004,20)+IF(E3571="Y",25,0)</f>
        <v>1.6</v>
      </c>
    </row>
    <row r="3572" spans="1:12" x14ac:dyDescent="0.3">
      <c r="A3572" s="3">
        <v>45663</v>
      </c>
      <c r="B3572" s="11" t="s">
        <v>1250</v>
      </c>
      <c r="C3572" s="50" t="s">
        <v>3077</v>
      </c>
      <c r="G3572" s="88">
        <v>400</v>
      </c>
      <c r="H3572" s="88"/>
      <c r="I3572" s="88">
        <f t="shared" si="216"/>
        <v>31494.17</v>
      </c>
      <c r="L3572" s="2">
        <f t="shared" si="217"/>
        <v>1.6</v>
      </c>
    </row>
    <row r="3573" spans="1:12" x14ac:dyDescent="0.3">
      <c r="A3573" s="3">
        <v>45663</v>
      </c>
      <c r="B3573" s="11" t="s">
        <v>7214</v>
      </c>
      <c r="E3573" s="90" t="s">
        <v>16</v>
      </c>
      <c r="G3573" s="88"/>
      <c r="H3573" s="88">
        <v>500</v>
      </c>
      <c r="I3573" s="88">
        <f t="shared" si="216"/>
        <v>30994.17</v>
      </c>
      <c r="L3573" s="2">
        <f t="shared" si="217"/>
        <v>27</v>
      </c>
    </row>
    <row r="3574" spans="1:12" x14ac:dyDescent="0.3">
      <c r="A3574" s="3">
        <v>45663</v>
      </c>
      <c r="B3574" s="11" t="s">
        <v>7215</v>
      </c>
      <c r="C3574" s="50" t="s">
        <v>7216</v>
      </c>
      <c r="G3574" s="88"/>
      <c r="H3574" s="88">
        <v>4700</v>
      </c>
      <c r="I3574" s="88">
        <f t="shared" si="216"/>
        <v>26294.17</v>
      </c>
      <c r="L3574" s="2">
        <f t="shared" si="217"/>
        <v>18.8</v>
      </c>
    </row>
    <row r="3575" spans="1:12" x14ac:dyDescent="0.3">
      <c r="A3575" s="3">
        <v>45663</v>
      </c>
      <c r="B3575" s="11" t="s">
        <v>7218</v>
      </c>
      <c r="E3575" s="90" t="s">
        <v>16</v>
      </c>
      <c r="G3575" s="88"/>
      <c r="H3575" s="88">
        <v>500</v>
      </c>
      <c r="I3575" s="88">
        <f t="shared" si="216"/>
        <v>25794.17</v>
      </c>
      <c r="L3575" s="2">
        <f t="shared" si="217"/>
        <v>27</v>
      </c>
    </row>
    <row r="3576" spans="1:12" x14ac:dyDescent="0.3">
      <c r="A3576" s="3">
        <v>45663</v>
      </c>
      <c r="B3576" s="11" t="s">
        <v>5294</v>
      </c>
      <c r="C3576" s="50" t="s">
        <v>7220</v>
      </c>
      <c r="G3576" s="88"/>
      <c r="H3576" s="88">
        <v>2000</v>
      </c>
      <c r="I3576" s="88">
        <f t="shared" si="216"/>
        <v>23794.17</v>
      </c>
      <c r="L3576" s="2">
        <f t="shared" si="217"/>
        <v>8</v>
      </c>
    </row>
    <row r="3577" spans="1:12" x14ac:dyDescent="0.3">
      <c r="A3577" s="3">
        <v>45663</v>
      </c>
      <c r="B3577" s="11" t="s">
        <v>1250</v>
      </c>
      <c r="C3577" s="50" t="s">
        <v>2626</v>
      </c>
      <c r="G3577" s="88">
        <v>10000</v>
      </c>
      <c r="H3577" s="88"/>
      <c r="I3577" s="88">
        <f t="shared" si="216"/>
        <v>33794.17</v>
      </c>
      <c r="L3577" s="2">
        <f t="shared" si="217"/>
        <v>20</v>
      </c>
    </row>
    <row r="3578" spans="1:12" x14ac:dyDescent="0.3">
      <c r="A3578" s="3">
        <v>45663</v>
      </c>
      <c r="B3578" s="11" t="s">
        <v>6890</v>
      </c>
      <c r="C3578" s="50" t="s">
        <v>7221</v>
      </c>
      <c r="G3578" s="88"/>
      <c r="H3578" s="88">
        <v>6000</v>
      </c>
      <c r="I3578" s="88">
        <f t="shared" si="216"/>
        <v>27794.17</v>
      </c>
      <c r="L3578" s="2">
        <f t="shared" si="217"/>
        <v>20</v>
      </c>
    </row>
    <row r="3579" spans="1:12" x14ac:dyDescent="0.3">
      <c r="A3579" s="3">
        <v>45663</v>
      </c>
      <c r="B3579" s="11" t="s">
        <v>7223</v>
      </c>
      <c r="E3579" s="90" t="s">
        <v>16</v>
      </c>
      <c r="G3579" s="88"/>
      <c r="H3579" s="88">
        <v>500</v>
      </c>
      <c r="I3579" s="88">
        <f t="shared" si="216"/>
        <v>27294.17</v>
      </c>
      <c r="L3579" s="2">
        <f t="shared" si="217"/>
        <v>27</v>
      </c>
    </row>
    <row r="3580" spans="1:12" x14ac:dyDescent="0.3">
      <c r="A3580" s="3">
        <v>45298</v>
      </c>
      <c r="B3580" s="11" t="s">
        <v>1250</v>
      </c>
      <c r="C3580" s="50" t="s">
        <v>7211</v>
      </c>
      <c r="G3580" s="88">
        <v>1500</v>
      </c>
      <c r="H3580" s="88"/>
      <c r="I3580" s="88">
        <f t="shared" si="216"/>
        <v>28794.17</v>
      </c>
      <c r="L3580" s="2">
        <f t="shared" si="217"/>
        <v>6</v>
      </c>
    </row>
    <row r="3581" spans="1:12" x14ac:dyDescent="0.3">
      <c r="A3581" s="3">
        <v>45298</v>
      </c>
      <c r="B3581" s="11" t="s">
        <v>7229</v>
      </c>
      <c r="C3581" s="50" t="s">
        <v>7230</v>
      </c>
      <c r="G3581" s="88"/>
      <c r="H3581" s="88">
        <v>1000</v>
      </c>
      <c r="I3581" s="88">
        <f t="shared" si="216"/>
        <v>27794.17</v>
      </c>
      <c r="L3581" s="2">
        <f t="shared" si="217"/>
        <v>4</v>
      </c>
    </row>
    <row r="3582" spans="1:12" x14ac:dyDescent="0.3">
      <c r="A3582" s="3">
        <v>45298</v>
      </c>
      <c r="B3582" s="11" t="s">
        <v>1250</v>
      </c>
      <c r="C3582" s="50" t="s">
        <v>7231</v>
      </c>
      <c r="G3582" s="88">
        <v>10000</v>
      </c>
      <c r="H3582" s="88"/>
      <c r="I3582" s="88">
        <f t="shared" si="216"/>
        <v>37794.17</v>
      </c>
      <c r="L3582" s="2">
        <f t="shared" si="217"/>
        <v>20</v>
      </c>
    </row>
    <row r="3583" spans="1:12" x14ac:dyDescent="0.3">
      <c r="A3583" s="3">
        <v>45298</v>
      </c>
      <c r="B3583" s="11" t="s">
        <v>1250</v>
      </c>
      <c r="C3583" s="50" t="s">
        <v>6985</v>
      </c>
      <c r="G3583" s="88">
        <v>5000</v>
      </c>
      <c r="H3583" s="88"/>
      <c r="I3583" s="88">
        <f t="shared" ref="I3583:I3600" si="218">I3582+G3583-H3583</f>
        <v>42794.17</v>
      </c>
      <c r="L3583" s="2">
        <f t="shared" ref="L3583:L3620" si="219">IF((G3583+H3583)&lt;=5000,(H3583+G3583)*0.004,20)+IF(E3583="Y",25,0)</f>
        <v>20</v>
      </c>
    </row>
    <row r="3584" spans="1:12" x14ac:dyDescent="0.3">
      <c r="A3584" s="3">
        <v>45298</v>
      </c>
      <c r="B3584" s="11" t="s">
        <v>1250</v>
      </c>
      <c r="C3584" s="50" t="s">
        <v>7235</v>
      </c>
      <c r="G3584" s="88">
        <v>8000</v>
      </c>
      <c r="H3584" s="88"/>
      <c r="I3584" s="88">
        <f t="shared" si="218"/>
        <v>50794.17</v>
      </c>
      <c r="L3584" s="2">
        <f t="shared" si="219"/>
        <v>20</v>
      </c>
    </row>
    <row r="3585" spans="1:12" x14ac:dyDescent="0.3">
      <c r="A3585" s="3">
        <v>45298</v>
      </c>
      <c r="B3585" s="11" t="s">
        <v>7051</v>
      </c>
      <c r="C3585" s="50" t="s">
        <v>7236</v>
      </c>
      <c r="G3585" s="88">
        <v>2000</v>
      </c>
      <c r="H3585" s="88"/>
      <c r="I3585" s="88">
        <f t="shared" si="218"/>
        <v>52794.17</v>
      </c>
      <c r="L3585" s="2">
        <f t="shared" si="219"/>
        <v>8</v>
      </c>
    </row>
    <row r="3586" spans="1:12" x14ac:dyDescent="0.3">
      <c r="A3586" s="3">
        <v>45298</v>
      </c>
      <c r="B3586" s="11" t="s">
        <v>7237</v>
      </c>
      <c r="C3586" s="50" t="s">
        <v>7238</v>
      </c>
      <c r="G3586" s="88">
        <v>5000</v>
      </c>
      <c r="H3586" s="88"/>
      <c r="I3586" s="88">
        <f t="shared" si="218"/>
        <v>57794.17</v>
      </c>
      <c r="L3586" s="2">
        <f t="shared" si="219"/>
        <v>20</v>
      </c>
    </row>
    <row r="3587" spans="1:12" x14ac:dyDescent="0.3">
      <c r="A3587" s="3">
        <v>45299</v>
      </c>
      <c r="B3587" s="11" t="s">
        <v>7081</v>
      </c>
      <c r="C3587" s="50" t="s">
        <v>7240</v>
      </c>
      <c r="G3587" s="88">
        <v>2500</v>
      </c>
      <c r="H3587" s="88"/>
      <c r="I3587" s="88">
        <f t="shared" si="218"/>
        <v>60294.17</v>
      </c>
      <c r="L3587" s="2">
        <f t="shared" si="219"/>
        <v>10</v>
      </c>
    </row>
    <row r="3588" spans="1:12" x14ac:dyDescent="0.3">
      <c r="A3588" s="3">
        <v>45299</v>
      </c>
      <c r="B3588" s="11" t="s">
        <v>6778</v>
      </c>
      <c r="C3588" s="50" t="s">
        <v>6779</v>
      </c>
      <c r="G3588" s="88">
        <v>2000</v>
      </c>
      <c r="H3588" s="88"/>
      <c r="I3588" s="88">
        <f t="shared" si="218"/>
        <v>62294.17</v>
      </c>
      <c r="L3588" s="2">
        <f t="shared" si="219"/>
        <v>8</v>
      </c>
    </row>
    <row r="3589" spans="1:12" x14ac:dyDescent="0.3">
      <c r="A3589" s="3">
        <v>45299</v>
      </c>
      <c r="B3589" s="11" t="s">
        <v>5463</v>
      </c>
      <c r="C3589" s="50" t="s">
        <v>7241</v>
      </c>
      <c r="G3589" s="88">
        <v>2500</v>
      </c>
      <c r="H3589" s="88"/>
      <c r="I3589" s="88">
        <f t="shared" si="218"/>
        <v>64794.17</v>
      </c>
      <c r="L3589" s="2">
        <f t="shared" si="219"/>
        <v>10</v>
      </c>
    </row>
    <row r="3590" spans="1:12" x14ac:dyDescent="0.3">
      <c r="A3590" s="3">
        <v>45299</v>
      </c>
      <c r="B3590" s="11" t="s">
        <v>2143</v>
      </c>
      <c r="C3590" s="50" t="s">
        <v>2612</v>
      </c>
      <c r="G3590" s="88"/>
      <c r="H3590" s="88">
        <v>10000</v>
      </c>
      <c r="I3590" s="88">
        <f t="shared" si="218"/>
        <v>54794.17</v>
      </c>
      <c r="L3590" s="2">
        <f t="shared" si="219"/>
        <v>20</v>
      </c>
    </row>
    <row r="3591" spans="1:12" x14ac:dyDescent="0.3">
      <c r="A3591" s="3">
        <v>45299</v>
      </c>
      <c r="B3591" s="11" t="s">
        <v>6260</v>
      </c>
      <c r="C3591" s="50" t="s">
        <v>7117</v>
      </c>
      <c r="G3591" s="88"/>
      <c r="H3591" s="88">
        <v>5000</v>
      </c>
      <c r="I3591" s="88">
        <f t="shared" si="218"/>
        <v>49794.17</v>
      </c>
      <c r="L3591" s="2">
        <f t="shared" si="219"/>
        <v>20</v>
      </c>
    </row>
    <row r="3592" spans="1:12" x14ac:dyDescent="0.3">
      <c r="A3592" s="3">
        <v>45299</v>
      </c>
      <c r="B3592" s="11" t="s">
        <v>2581</v>
      </c>
      <c r="C3592" s="50" t="s">
        <v>6866</v>
      </c>
      <c r="G3592" s="88">
        <v>2000</v>
      </c>
      <c r="H3592" s="88"/>
      <c r="I3592" s="88">
        <f t="shared" si="218"/>
        <v>51794.17</v>
      </c>
      <c r="L3592" s="2">
        <f t="shared" si="219"/>
        <v>8</v>
      </c>
    </row>
    <row r="3593" spans="1:12" x14ac:dyDescent="0.3">
      <c r="A3593" s="3">
        <v>45299</v>
      </c>
      <c r="C3593" s="50" t="s">
        <v>7245</v>
      </c>
      <c r="E3593" s="90" t="s">
        <v>4721</v>
      </c>
      <c r="G3593" s="88"/>
      <c r="H3593" s="88">
        <v>50000</v>
      </c>
      <c r="I3593" s="88">
        <f t="shared" si="218"/>
        <v>1794.1699999999983</v>
      </c>
    </row>
    <row r="3594" spans="1:12" x14ac:dyDescent="0.3">
      <c r="A3594" s="3">
        <v>45299</v>
      </c>
      <c r="B3594" s="11" t="s">
        <v>3865</v>
      </c>
      <c r="C3594" s="50" t="s">
        <v>7242</v>
      </c>
      <c r="G3594" s="88">
        <v>2500</v>
      </c>
      <c r="H3594" s="88"/>
      <c r="I3594" s="88">
        <f t="shared" si="218"/>
        <v>4294.1699999999983</v>
      </c>
      <c r="L3594" s="2">
        <f t="shared" si="219"/>
        <v>10</v>
      </c>
    </row>
    <row r="3595" spans="1:12" x14ac:dyDescent="0.3">
      <c r="A3595" s="3">
        <v>45299</v>
      </c>
      <c r="B3595" s="11" t="s">
        <v>7243</v>
      </c>
      <c r="C3595" s="50" t="s">
        <v>7244</v>
      </c>
      <c r="G3595" s="88">
        <v>2500</v>
      </c>
      <c r="H3595" s="88"/>
      <c r="I3595" s="88">
        <f t="shared" si="218"/>
        <v>6794.1699999999983</v>
      </c>
      <c r="L3595" s="2">
        <f t="shared" si="219"/>
        <v>10</v>
      </c>
    </row>
    <row r="3596" spans="1:12" x14ac:dyDescent="0.3">
      <c r="A3596" s="3">
        <v>45299</v>
      </c>
      <c r="B3596" s="11" t="s">
        <v>1250</v>
      </c>
      <c r="C3596" s="50" t="s">
        <v>7246</v>
      </c>
      <c r="G3596" s="88">
        <v>2500</v>
      </c>
      <c r="H3596" s="88"/>
      <c r="I3596" s="88">
        <f t="shared" si="218"/>
        <v>9294.1699999999983</v>
      </c>
      <c r="L3596" s="2">
        <f t="shared" si="219"/>
        <v>10</v>
      </c>
    </row>
    <row r="3597" spans="1:12" x14ac:dyDescent="0.3">
      <c r="A3597" s="3">
        <v>45299</v>
      </c>
      <c r="B3597" s="11" t="s">
        <v>3415</v>
      </c>
      <c r="C3597" s="50" t="s">
        <v>164</v>
      </c>
      <c r="G3597" s="88">
        <v>2000</v>
      </c>
      <c r="H3597" s="88"/>
      <c r="I3597" s="88">
        <f t="shared" si="218"/>
        <v>11294.169999999998</v>
      </c>
      <c r="L3597" s="2">
        <f t="shared" si="219"/>
        <v>8</v>
      </c>
    </row>
    <row r="3598" spans="1:12" x14ac:dyDescent="0.3">
      <c r="A3598" s="3">
        <v>45299</v>
      </c>
      <c r="B3598" s="11" t="s">
        <v>5071</v>
      </c>
      <c r="C3598" s="50" t="s">
        <v>7247</v>
      </c>
      <c r="G3598" s="88">
        <v>2500</v>
      </c>
      <c r="H3598" s="88"/>
      <c r="I3598" s="88">
        <f t="shared" si="218"/>
        <v>13794.169999999998</v>
      </c>
      <c r="L3598" s="2">
        <f t="shared" si="219"/>
        <v>10</v>
      </c>
    </row>
    <row r="3599" spans="1:12" x14ac:dyDescent="0.3">
      <c r="A3599" s="3">
        <v>45299</v>
      </c>
      <c r="B3599" s="11" t="s">
        <v>3612</v>
      </c>
      <c r="C3599" s="50" t="s">
        <v>5721</v>
      </c>
      <c r="G3599" s="88">
        <v>9000</v>
      </c>
      <c r="H3599" s="88"/>
      <c r="I3599" s="88">
        <f t="shared" si="218"/>
        <v>22794.17</v>
      </c>
      <c r="L3599" s="2">
        <f t="shared" si="219"/>
        <v>20</v>
      </c>
    </row>
    <row r="3600" spans="1:12" x14ac:dyDescent="0.3">
      <c r="A3600" s="3">
        <v>45299</v>
      </c>
      <c r="B3600" s="11" t="s">
        <v>6892</v>
      </c>
      <c r="C3600" s="50" t="s">
        <v>7248</v>
      </c>
      <c r="G3600" s="88">
        <v>2500</v>
      </c>
      <c r="H3600" s="88"/>
      <c r="I3600" s="88">
        <f t="shared" si="218"/>
        <v>25294.17</v>
      </c>
      <c r="L3600" s="2">
        <f t="shared" si="219"/>
        <v>10</v>
      </c>
    </row>
    <row r="3601" spans="1:12" x14ac:dyDescent="0.3">
      <c r="A3601" s="3">
        <v>45299</v>
      </c>
      <c r="B3601" s="11" t="s">
        <v>3220</v>
      </c>
      <c r="C3601" s="50" t="s">
        <v>7249</v>
      </c>
      <c r="G3601" s="88">
        <v>2500</v>
      </c>
      <c r="H3601" s="88"/>
      <c r="I3601" s="88">
        <f t="shared" ref="I3601:I3604" si="220">I3600+G3601-H3601</f>
        <v>27794.17</v>
      </c>
      <c r="L3601" s="2">
        <f t="shared" si="219"/>
        <v>10</v>
      </c>
    </row>
    <row r="3602" spans="1:12" x14ac:dyDescent="0.3">
      <c r="A3602" s="3">
        <v>45299</v>
      </c>
      <c r="B3602" s="11" t="s">
        <v>7250</v>
      </c>
      <c r="C3602" s="50" t="s">
        <v>7251</v>
      </c>
      <c r="G3602" s="88">
        <v>2500</v>
      </c>
      <c r="H3602" s="88"/>
      <c r="I3602" s="88">
        <f t="shared" si="220"/>
        <v>30294.17</v>
      </c>
      <c r="L3602" s="2">
        <f t="shared" si="219"/>
        <v>10</v>
      </c>
    </row>
    <row r="3603" spans="1:12" x14ac:dyDescent="0.3">
      <c r="A3603" s="3">
        <v>45299</v>
      </c>
      <c r="B3603" s="11" t="s">
        <v>5115</v>
      </c>
      <c r="C3603" s="50" t="s">
        <v>7252</v>
      </c>
      <c r="G3603" s="88">
        <v>6000</v>
      </c>
      <c r="H3603" s="88"/>
      <c r="I3603" s="88">
        <f t="shared" si="220"/>
        <v>36294.17</v>
      </c>
      <c r="L3603" s="2">
        <f t="shared" si="219"/>
        <v>20</v>
      </c>
    </row>
    <row r="3604" spans="1:12" x14ac:dyDescent="0.3">
      <c r="A3604" s="3">
        <v>45299</v>
      </c>
      <c r="B3604" s="11" t="s">
        <v>6844</v>
      </c>
      <c r="C3604" s="50" t="s">
        <v>7201</v>
      </c>
      <c r="G3604" s="88"/>
      <c r="H3604" s="88">
        <v>4500</v>
      </c>
      <c r="I3604" s="88">
        <f t="shared" si="220"/>
        <v>31794.17</v>
      </c>
      <c r="L3604" s="2">
        <f t="shared" si="219"/>
        <v>18</v>
      </c>
    </row>
    <row r="3605" spans="1:12" x14ac:dyDescent="0.3">
      <c r="A3605" s="3">
        <v>45299</v>
      </c>
      <c r="B3605" s="11" t="s">
        <v>7253</v>
      </c>
      <c r="C3605" s="50" t="s">
        <v>7254</v>
      </c>
      <c r="G3605" s="88">
        <v>5000</v>
      </c>
      <c r="H3605" s="88"/>
      <c r="I3605" s="88">
        <f t="shared" ref="I3605:I3613" si="221">I3604+G3605-H3605</f>
        <v>36794.17</v>
      </c>
      <c r="L3605" s="2">
        <f t="shared" si="219"/>
        <v>20</v>
      </c>
    </row>
    <row r="3606" spans="1:12" x14ac:dyDescent="0.3">
      <c r="A3606" s="3">
        <v>45299</v>
      </c>
      <c r="B3606" s="11" t="s">
        <v>1250</v>
      </c>
      <c r="C3606" s="50" t="s">
        <v>5697</v>
      </c>
      <c r="G3606" s="88">
        <v>2000</v>
      </c>
      <c r="H3606" s="88"/>
      <c r="I3606" s="88">
        <f t="shared" si="221"/>
        <v>38794.17</v>
      </c>
      <c r="L3606" s="2">
        <f t="shared" si="219"/>
        <v>8</v>
      </c>
    </row>
    <row r="3607" spans="1:12" x14ac:dyDescent="0.3">
      <c r="A3607" s="3">
        <v>45299</v>
      </c>
      <c r="B3607" s="11" t="s">
        <v>7255</v>
      </c>
      <c r="C3607" s="50" t="s">
        <v>2492</v>
      </c>
      <c r="G3607" s="88">
        <v>2500</v>
      </c>
      <c r="H3607" s="88"/>
      <c r="I3607" s="88">
        <f t="shared" si="221"/>
        <v>41294.17</v>
      </c>
      <c r="L3607" s="2">
        <f t="shared" si="219"/>
        <v>10</v>
      </c>
    </row>
    <row r="3608" spans="1:12" x14ac:dyDescent="0.3">
      <c r="A3608" s="3">
        <v>45299</v>
      </c>
      <c r="B3608" s="11" t="s">
        <v>1160</v>
      </c>
      <c r="C3608" s="50" t="s">
        <v>5621</v>
      </c>
      <c r="G3608" s="88">
        <v>1500</v>
      </c>
      <c r="H3608" s="88"/>
      <c r="I3608" s="88">
        <f t="shared" si="221"/>
        <v>42794.17</v>
      </c>
      <c r="L3608" s="2">
        <f t="shared" si="219"/>
        <v>6</v>
      </c>
    </row>
    <row r="3609" spans="1:12" x14ac:dyDescent="0.3">
      <c r="A3609" s="3">
        <v>45299</v>
      </c>
      <c r="B3609" s="11" t="s">
        <v>3148</v>
      </c>
      <c r="C3609" s="50" t="s">
        <v>7211</v>
      </c>
      <c r="G3609" s="88">
        <v>1450</v>
      </c>
      <c r="H3609" s="88"/>
      <c r="I3609" s="88">
        <f t="shared" si="221"/>
        <v>44244.17</v>
      </c>
      <c r="L3609" s="2">
        <f t="shared" si="219"/>
        <v>5.8</v>
      </c>
    </row>
    <row r="3610" spans="1:12" x14ac:dyDescent="0.3">
      <c r="A3610" s="3">
        <v>45299</v>
      </c>
      <c r="B3610" s="11" t="s">
        <v>1160</v>
      </c>
      <c r="C3610" s="50" t="s">
        <v>7256</v>
      </c>
      <c r="G3610" s="88">
        <v>5300</v>
      </c>
      <c r="H3610" s="88"/>
      <c r="I3610" s="88">
        <f t="shared" si="221"/>
        <v>49544.17</v>
      </c>
      <c r="L3610" s="2">
        <f t="shared" si="219"/>
        <v>20</v>
      </c>
    </row>
    <row r="3611" spans="1:12" x14ac:dyDescent="0.3">
      <c r="A3611" s="3">
        <v>45299</v>
      </c>
      <c r="B3611" s="11" t="s">
        <v>1250</v>
      </c>
      <c r="C3611" s="50" t="s">
        <v>7257</v>
      </c>
      <c r="G3611" s="88">
        <v>2000</v>
      </c>
      <c r="H3611" s="88"/>
      <c r="I3611" s="88">
        <f t="shared" si="221"/>
        <v>51544.17</v>
      </c>
      <c r="L3611" s="2">
        <f t="shared" si="219"/>
        <v>8</v>
      </c>
    </row>
    <row r="3612" spans="1:12" x14ac:dyDescent="0.3">
      <c r="A3612" s="3">
        <v>45299</v>
      </c>
      <c r="B3612" s="11" t="s">
        <v>1250</v>
      </c>
      <c r="C3612" s="50" t="s">
        <v>4335</v>
      </c>
      <c r="G3612" s="88">
        <v>8000</v>
      </c>
      <c r="H3612" s="88"/>
      <c r="I3612" s="88">
        <f t="shared" si="221"/>
        <v>59544.17</v>
      </c>
      <c r="L3612" s="2">
        <f t="shared" si="219"/>
        <v>20</v>
      </c>
    </row>
    <row r="3613" spans="1:12" x14ac:dyDescent="0.3">
      <c r="A3613" s="3">
        <v>45299</v>
      </c>
      <c r="B3613" s="11" t="s">
        <v>6369</v>
      </c>
      <c r="G3613" s="88"/>
      <c r="H3613" s="88">
        <v>10000</v>
      </c>
      <c r="I3613" s="88">
        <f t="shared" si="221"/>
        <v>49544.17</v>
      </c>
      <c r="L3613" s="2">
        <f t="shared" si="219"/>
        <v>20</v>
      </c>
    </row>
    <row r="3614" spans="1:12" x14ac:dyDescent="0.3">
      <c r="A3614" s="3">
        <v>45299</v>
      </c>
      <c r="B3614" s="11" t="s">
        <v>1250</v>
      </c>
      <c r="C3614" s="50" t="s">
        <v>7257</v>
      </c>
      <c r="G3614" s="88">
        <v>1900</v>
      </c>
      <c r="H3614" s="88"/>
      <c r="I3614" s="88">
        <f t="shared" ref="I3614:I3620" si="222">I3613+G3614-H3614</f>
        <v>51444.17</v>
      </c>
      <c r="L3614" s="2">
        <f t="shared" si="219"/>
        <v>7.6000000000000005</v>
      </c>
    </row>
    <row r="3615" spans="1:12" x14ac:dyDescent="0.3">
      <c r="A3615" s="3">
        <v>45299</v>
      </c>
      <c r="B3615" s="11" t="s">
        <v>6582</v>
      </c>
      <c r="C3615" s="50" t="s">
        <v>1128</v>
      </c>
      <c r="G3615" s="88">
        <v>2500</v>
      </c>
      <c r="H3615" s="88"/>
      <c r="I3615" s="88">
        <f t="shared" si="222"/>
        <v>53944.17</v>
      </c>
      <c r="L3615" s="2">
        <f t="shared" si="219"/>
        <v>10</v>
      </c>
    </row>
    <row r="3616" spans="1:12" x14ac:dyDescent="0.3">
      <c r="A3616" s="3">
        <v>45299</v>
      </c>
      <c r="B3616" s="11" t="s">
        <v>3148</v>
      </c>
      <c r="C3616" s="50" t="s">
        <v>7258</v>
      </c>
      <c r="G3616" s="88">
        <v>5000</v>
      </c>
      <c r="H3616" s="88"/>
      <c r="I3616" s="88">
        <f t="shared" si="222"/>
        <v>58944.17</v>
      </c>
      <c r="L3616" s="2">
        <f t="shared" si="219"/>
        <v>20</v>
      </c>
    </row>
    <row r="3617" spans="1:12" x14ac:dyDescent="0.3">
      <c r="A3617" s="3">
        <v>45299</v>
      </c>
      <c r="B3617" s="11" t="s">
        <v>6231</v>
      </c>
      <c r="C3617" s="50" t="s">
        <v>6468</v>
      </c>
      <c r="G3617" s="88">
        <v>1500</v>
      </c>
      <c r="H3617" s="88"/>
      <c r="I3617" s="88">
        <f t="shared" si="222"/>
        <v>60444.17</v>
      </c>
      <c r="L3617" s="2">
        <f t="shared" si="219"/>
        <v>6</v>
      </c>
    </row>
    <row r="3618" spans="1:12" x14ac:dyDescent="0.3">
      <c r="A3618" s="3">
        <v>45299</v>
      </c>
      <c r="B3618" s="11" t="s">
        <v>7259</v>
      </c>
      <c r="C3618" s="50" t="s">
        <v>2892</v>
      </c>
      <c r="G3618" s="88">
        <v>2500</v>
      </c>
      <c r="H3618" s="88"/>
      <c r="I3618" s="88">
        <f t="shared" si="222"/>
        <v>62944.17</v>
      </c>
      <c r="L3618" s="2">
        <f t="shared" si="219"/>
        <v>10</v>
      </c>
    </row>
    <row r="3619" spans="1:12" x14ac:dyDescent="0.3">
      <c r="A3619" s="3">
        <v>45299</v>
      </c>
      <c r="B3619" s="11" t="s">
        <v>7260</v>
      </c>
      <c r="G3619" s="88">
        <v>2000</v>
      </c>
      <c r="H3619" s="88"/>
      <c r="I3619" s="88">
        <f t="shared" si="222"/>
        <v>64944.17</v>
      </c>
      <c r="L3619" s="2">
        <f t="shared" si="219"/>
        <v>8</v>
      </c>
    </row>
    <row r="3620" spans="1:12" x14ac:dyDescent="0.3">
      <c r="A3620" s="3">
        <v>45299</v>
      </c>
      <c r="B3620" s="11" t="s">
        <v>6893</v>
      </c>
      <c r="C3620" s="50" t="s">
        <v>7261</v>
      </c>
      <c r="G3620" s="88">
        <v>1000</v>
      </c>
      <c r="H3620" s="88"/>
      <c r="I3620" s="88">
        <f t="shared" si="222"/>
        <v>65944.17</v>
      </c>
      <c r="L3620" s="2">
        <f t="shared" si="219"/>
        <v>4</v>
      </c>
    </row>
    <row r="3621" spans="1:12" x14ac:dyDescent="0.3">
      <c r="A3621" s="3">
        <v>45666</v>
      </c>
      <c r="C3621" s="50" t="s">
        <v>7245</v>
      </c>
      <c r="E3621" s="90" t="s">
        <v>4721</v>
      </c>
      <c r="G3621" s="88"/>
      <c r="H3621" s="88">
        <v>65000</v>
      </c>
      <c r="I3621" s="88">
        <f t="shared" ref="I3621:I3627" si="223">I3620+G3621-H3621</f>
        <v>944.16999999999825</v>
      </c>
      <c r="L3621" s="2">
        <f t="shared" ref="L3621:L3627" si="224">IF((G3621+H3621)&lt;=5000,(H3621+G3621)*0.004,20)+IF(E3621="Y",25,0)</f>
        <v>20</v>
      </c>
    </row>
    <row r="3622" spans="1:12" x14ac:dyDescent="0.3">
      <c r="A3622" s="3">
        <v>45666</v>
      </c>
      <c r="B3622" s="11" t="s">
        <v>7262</v>
      </c>
      <c r="C3622" s="50" t="s">
        <v>7263</v>
      </c>
      <c r="G3622" s="88">
        <v>3000</v>
      </c>
      <c r="H3622" s="88"/>
      <c r="I3622" s="88">
        <f t="shared" si="223"/>
        <v>3944.1699999999983</v>
      </c>
      <c r="L3622" s="2">
        <f t="shared" si="224"/>
        <v>12</v>
      </c>
    </row>
    <row r="3623" spans="1:12" x14ac:dyDescent="0.3">
      <c r="A3623" s="3">
        <v>45666</v>
      </c>
      <c r="B3623" s="11" t="s">
        <v>7264</v>
      </c>
      <c r="C3623" s="50" t="s">
        <v>7265</v>
      </c>
      <c r="G3623" s="88">
        <v>5000</v>
      </c>
      <c r="H3623" s="88"/>
      <c r="I3623" s="88">
        <f t="shared" si="223"/>
        <v>8944.1699999999983</v>
      </c>
      <c r="L3623" s="2">
        <f t="shared" si="224"/>
        <v>20</v>
      </c>
    </row>
    <row r="3624" spans="1:12" x14ac:dyDescent="0.3">
      <c r="A3624" s="3">
        <v>45666</v>
      </c>
      <c r="B3624" s="11" t="s">
        <v>7266</v>
      </c>
      <c r="C3624" s="50" t="s">
        <v>7267</v>
      </c>
      <c r="G3624" s="88">
        <v>2500</v>
      </c>
      <c r="H3624" s="88"/>
      <c r="I3624" s="88">
        <f t="shared" si="223"/>
        <v>11444.169999999998</v>
      </c>
      <c r="L3624" s="2">
        <f t="shared" si="224"/>
        <v>10</v>
      </c>
    </row>
    <row r="3625" spans="1:12" x14ac:dyDescent="0.3">
      <c r="A3625" s="3">
        <v>45666</v>
      </c>
      <c r="B3625" s="11" t="s">
        <v>1160</v>
      </c>
      <c r="C3625" s="50" t="s">
        <v>7268</v>
      </c>
      <c r="G3625" s="88">
        <v>8000</v>
      </c>
      <c r="H3625" s="88"/>
      <c r="I3625" s="88">
        <f t="shared" si="223"/>
        <v>19444.169999999998</v>
      </c>
      <c r="L3625" s="2">
        <f t="shared" si="224"/>
        <v>20</v>
      </c>
    </row>
    <row r="3626" spans="1:12" x14ac:dyDescent="0.3">
      <c r="A3626" s="3">
        <v>45666</v>
      </c>
      <c r="B3626" s="11" t="s">
        <v>7269</v>
      </c>
      <c r="C3626" s="50" t="s">
        <v>7270</v>
      </c>
      <c r="G3626" s="88">
        <v>2500</v>
      </c>
      <c r="H3626" s="88"/>
      <c r="I3626" s="88">
        <f t="shared" si="223"/>
        <v>21944.17</v>
      </c>
      <c r="L3626" s="2">
        <f t="shared" si="224"/>
        <v>10</v>
      </c>
    </row>
    <row r="3627" spans="1:12" x14ac:dyDescent="0.3">
      <c r="A3627" s="3">
        <v>45666</v>
      </c>
      <c r="B3627" s="11" t="s">
        <v>5669</v>
      </c>
      <c r="C3627" s="50" t="s">
        <v>7271</v>
      </c>
      <c r="G3627" s="88">
        <v>2500</v>
      </c>
      <c r="H3627" s="88"/>
      <c r="I3627" s="88">
        <f t="shared" si="223"/>
        <v>24444.17</v>
      </c>
      <c r="L3627" s="2">
        <f t="shared" si="224"/>
        <v>10</v>
      </c>
    </row>
    <row r="3628" spans="1:12" x14ac:dyDescent="0.3">
      <c r="A3628" s="3">
        <v>45666</v>
      </c>
      <c r="B3628" s="11" t="s">
        <v>7272</v>
      </c>
      <c r="C3628" s="50" t="s">
        <v>7273</v>
      </c>
      <c r="G3628" s="88">
        <v>4500</v>
      </c>
      <c r="H3628" s="88"/>
      <c r="I3628" s="88">
        <f t="shared" ref="I3628:I3635" si="225">I3627+G3628-H3628</f>
        <v>28944.17</v>
      </c>
      <c r="L3628" s="2">
        <f t="shared" ref="L3628:L3635" si="226">IF((G3628+H3628)&lt;=5000,(H3628+G3628)*0.004,20)+IF(E3628="Y",25,0)</f>
        <v>18</v>
      </c>
    </row>
    <row r="3629" spans="1:12" x14ac:dyDescent="0.3">
      <c r="A3629" s="3">
        <v>45666</v>
      </c>
      <c r="B3629" s="11" t="s">
        <v>6105</v>
      </c>
      <c r="C3629" s="50" t="s">
        <v>7274</v>
      </c>
      <c r="G3629" s="88"/>
      <c r="H3629" s="88">
        <v>1500</v>
      </c>
      <c r="I3629" s="88">
        <f t="shared" si="225"/>
        <v>27444.17</v>
      </c>
      <c r="L3629" s="2">
        <f t="shared" si="226"/>
        <v>6</v>
      </c>
    </row>
    <row r="3630" spans="1:12" x14ac:dyDescent="0.3">
      <c r="A3630" s="3">
        <v>45666</v>
      </c>
      <c r="B3630" s="11" t="s">
        <v>7275</v>
      </c>
      <c r="C3630" s="50" t="s">
        <v>7276</v>
      </c>
      <c r="G3630" s="88">
        <v>2600</v>
      </c>
      <c r="H3630" s="88"/>
      <c r="I3630" s="88">
        <f t="shared" si="225"/>
        <v>30044.17</v>
      </c>
      <c r="L3630" s="2">
        <f t="shared" si="226"/>
        <v>10.4</v>
      </c>
    </row>
    <row r="3631" spans="1:12" x14ac:dyDescent="0.3">
      <c r="A3631" s="3">
        <v>45666</v>
      </c>
      <c r="B3631" s="11" t="s">
        <v>5495</v>
      </c>
      <c r="C3631" s="50" t="s">
        <v>7277</v>
      </c>
      <c r="G3631" s="88">
        <v>2500</v>
      </c>
      <c r="H3631" s="88"/>
      <c r="I3631" s="88">
        <f t="shared" si="225"/>
        <v>32544.17</v>
      </c>
      <c r="L3631" s="2">
        <f t="shared" si="226"/>
        <v>10</v>
      </c>
    </row>
    <row r="3632" spans="1:12" x14ac:dyDescent="0.3">
      <c r="A3632" s="3">
        <v>45666</v>
      </c>
      <c r="B3632" s="11" t="s">
        <v>5508</v>
      </c>
      <c r="C3632" s="50" t="s">
        <v>7278</v>
      </c>
      <c r="G3632" s="88">
        <v>2000</v>
      </c>
      <c r="H3632" s="88"/>
      <c r="I3632" s="88">
        <f t="shared" si="225"/>
        <v>34544.17</v>
      </c>
      <c r="L3632" s="2">
        <f t="shared" si="226"/>
        <v>8</v>
      </c>
    </row>
    <row r="3633" spans="1:12" x14ac:dyDescent="0.3">
      <c r="A3633" s="3">
        <v>45666</v>
      </c>
      <c r="B3633" s="11" t="s">
        <v>7279</v>
      </c>
      <c r="C3633" s="50" t="s">
        <v>7280</v>
      </c>
      <c r="G3633" s="88">
        <v>2500</v>
      </c>
      <c r="H3633" s="88"/>
      <c r="I3633" s="88">
        <f t="shared" si="225"/>
        <v>37044.17</v>
      </c>
      <c r="L3633" s="2">
        <f t="shared" si="226"/>
        <v>10</v>
      </c>
    </row>
    <row r="3634" spans="1:12" x14ac:dyDescent="0.3">
      <c r="A3634" s="3">
        <v>45666</v>
      </c>
      <c r="B3634" s="11" t="s">
        <v>3915</v>
      </c>
      <c r="C3634" s="50" t="s">
        <v>7281</v>
      </c>
      <c r="G3634" s="88">
        <v>7900</v>
      </c>
      <c r="H3634" s="88"/>
      <c r="I3634" s="88">
        <f t="shared" si="225"/>
        <v>44944.17</v>
      </c>
      <c r="L3634" s="2">
        <f t="shared" si="226"/>
        <v>20</v>
      </c>
    </row>
    <row r="3635" spans="1:12" x14ac:dyDescent="0.3">
      <c r="A3635" s="3">
        <v>45666</v>
      </c>
      <c r="B3635" s="11" t="s">
        <v>1250</v>
      </c>
      <c r="C3635" s="50" t="s">
        <v>7282</v>
      </c>
      <c r="G3635" s="88">
        <v>2500</v>
      </c>
      <c r="H3635" s="88"/>
      <c r="I3635" s="88">
        <f t="shared" si="225"/>
        <v>47444.17</v>
      </c>
      <c r="L3635" s="2">
        <f t="shared" si="226"/>
        <v>10</v>
      </c>
    </row>
    <row r="3636" spans="1:12" x14ac:dyDescent="0.3">
      <c r="A3636" s="3">
        <v>45666</v>
      </c>
      <c r="B3636" s="11" t="s">
        <v>1250</v>
      </c>
      <c r="C3636" s="50" t="s">
        <v>7283</v>
      </c>
      <c r="G3636" s="88">
        <v>2500</v>
      </c>
      <c r="H3636" s="88"/>
      <c r="I3636" s="88">
        <f t="shared" ref="I3636:I3643" si="227">I3635+G3636-H3636</f>
        <v>49944.17</v>
      </c>
      <c r="L3636" s="2">
        <f t="shared" ref="L3636:L3649" si="228">IF((G3636+H3636)&lt;=5000,(H3636+G3636)*0.004,20)+IF(E3636="Y",25,0)</f>
        <v>10</v>
      </c>
    </row>
    <row r="3637" spans="1:12" x14ac:dyDescent="0.3">
      <c r="A3637" s="3">
        <v>45666</v>
      </c>
      <c r="B3637" s="11" t="s">
        <v>1250</v>
      </c>
      <c r="C3637" s="50" t="s">
        <v>7211</v>
      </c>
      <c r="G3637" s="88">
        <v>2050</v>
      </c>
      <c r="H3637" s="88"/>
      <c r="I3637" s="88">
        <f t="shared" si="227"/>
        <v>51994.17</v>
      </c>
      <c r="L3637" s="2">
        <f t="shared" si="228"/>
        <v>8.1999999999999993</v>
      </c>
    </row>
    <row r="3638" spans="1:12" x14ac:dyDescent="0.3">
      <c r="A3638" s="3">
        <v>45666</v>
      </c>
      <c r="B3638" s="11" t="s">
        <v>1250</v>
      </c>
      <c r="C3638" s="50" t="s">
        <v>7284</v>
      </c>
      <c r="G3638" s="88">
        <v>2000</v>
      </c>
      <c r="H3638" s="88"/>
      <c r="I3638" s="88">
        <f t="shared" si="227"/>
        <v>53994.17</v>
      </c>
      <c r="L3638" s="2">
        <f t="shared" si="228"/>
        <v>8</v>
      </c>
    </row>
    <row r="3639" spans="1:12" x14ac:dyDescent="0.3">
      <c r="A3639" s="3">
        <v>45666</v>
      </c>
      <c r="B3639" s="11" t="s">
        <v>6718</v>
      </c>
      <c r="C3639" s="50" t="s">
        <v>7048</v>
      </c>
      <c r="G3639" s="88">
        <v>8000</v>
      </c>
      <c r="H3639" s="88"/>
      <c r="I3639" s="88">
        <f t="shared" si="227"/>
        <v>61994.17</v>
      </c>
      <c r="K3639" s="62">
        <f>SUM(G3622:G3641)</f>
        <v>65550</v>
      </c>
      <c r="L3639" s="2">
        <f t="shared" si="228"/>
        <v>20</v>
      </c>
    </row>
    <row r="3640" spans="1:12" x14ac:dyDescent="0.3">
      <c r="A3640" s="3">
        <v>45666</v>
      </c>
      <c r="B3640" s="11" t="s">
        <v>7286</v>
      </c>
      <c r="C3640" s="65" t="s">
        <v>7287</v>
      </c>
      <c r="G3640" s="88"/>
      <c r="H3640" s="88">
        <v>500</v>
      </c>
      <c r="I3640" s="88">
        <f t="shared" si="227"/>
        <v>61494.17</v>
      </c>
      <c r="L3640" s="2">
        <f t="shared" si="228"/>
        <v>2</v>
      </c>
    </row>
    <row r="3641" spans="1:12" x14ac:dyDescent="0.3">
      <c r="A3641" s="3">
        <v>45666</v>
      </c>
      <c r="B3641" s="11" t="s">
        <v>7289</v>
      </c>
      <c r="C3641" s="50" t="s">
        <v>7290</v>
      </c>
      <c r="G3641" s="88">
        <v>3000</v>
      </c>
      <c r="H3641" s="88"/>
      <c r="I3641" s="88">
        <f t="shared" si="227"/>
        <v>64494.17</v>
      </c>
      <c r="L3641" s="2">
        <f t="shared" si="228"/>
        <v>12</v>
      </c>
    </row>
    <row r="3642" spans="1:12" x14ac:dyDescent="0.3">
      <c r="A3642" s="3">
        <v>45666</v>
      </c>
      <c r="B3642" s="11" t="s">
        <v>3524</v>
      </c>
      <c r="C3642" s="50" t="s">
        <v>7291</v>
      </c>
      <c r="G3642" s="88"/>
      <c r="H3642" s="88">
        <v>10000</v>
      </c>
      <c r="I3642" s="88">
        <f t="shared" si="227"/>
        <v>54494.17</v>
      </c>
      <c r="L3642" s="2">
        <f t="shared" si="228"/>
        <v>20</v>
      </c>
    </row>
    <row r="3643" spans="1:12" x14ac:dyDescent="0.3">
      <c r="A3643" s="3">
        <v>45666</v>
      </c>
      <c r="C3643" s="50" t="s">
        <v>7245</v>
      </c>
      <c r="E3643" s="90" t="s">
        <v>4721</v>
      </c>
      <c r="G3643" s="88"/>
      <c r="H3643" s="88">
        <v>50000</v>
      </c>
      <c r="I3643" s="88">
        <f t="shared" si="227"/>
        <v>4494.1699999999983</v>
      </c>
      <c r="L3643" s="2">
        <f t="shared" si="228"/>
        <v>20</v>
      </c>
    </row>
    <row r="3644" spans="1:12" x14ac:dyDescent="0.3">
      <c r="A3644" s="3">
        <v>45666</v>
      </c>
      <c r="B3644" s="11" t="s">
        <v>5825</v>
      </c>
      <c r="C3644" s="50" t="s">
        <v>6619</v>
      </c>
      <c r="G3644" s="88">
        <v>2500</v>
      </c>
      <c r="H3644" s="88"/>
      <c r="I3644" s="88">
        <f>I3643+G3644-H3644</f>
        <v>6994.1699999999983</v>
      </c>
      <c r="L3644" s="2">
        <f t="shared" si="228"/>
        <v>10</v>
      </c>
    </row>
    <row r="3645" spans="1:12" x14ac:dyDescent="0.3">
      <c r="A3645" s="3">
        <v>45666</v>
      </c>
      <c r="B3645" s="11" t="s">
        <v>3541</v>
      </c>
      <c r="C3645" s="50" t="s">
        <v>7292</v>
      </c>
      <c r="G3645" s="88">
        <v>1000</v>
      </c>
      <c r="H3645" s="88"/>
      <c r="I3645" s="88">
        <f t="shared" ref="I3645:I3649" si="229">I3644+G3645-H3645</f>
        <v>7994.1699999999983</v>
      </c>
      <c r="L3645" s="2">
        <f t="shared" si="228"/>
        <v>4</v>
      </c>
    </row>
    <row r="3646" spans="1:12" x14ac:dyDescent="0.3">
      <c r="A3646" s="3">
        <v>45666</v>
      </c>
      <c r="B3646" s="11" t="s">
        <v>6233</v>
      </c>
      <c r="C3646" s="50" t="s">
        <v>7293</v>
      </c>
      <c r="G3646" s="88">
        <v>2000</v>
      </c>
      <c r="H3646" s="88"/>
      <c r="I3646" s="88">
        <f t="shared" si="229"/>
        <v>9994.1699999999983</v>
      </c>
      <c r="L3646" s="2">
        <f t="shared" si="228"/>
        <v>8</v>
      </c>
    </row>
    <row r="3647" spans="1:12" x14ac:dyDescent="0.3">
      <c r="A3647" s="3">
        <v>45666</v>
      </c>
      <c r="B3647" s="11" t="s">
        <v>6549</v>
      </c>
      <c r="C3647" s="50" t="s">
        <v>7294</v>
      </c>
      <c r="G3647" s="88">
        <v>2000</v>
      </c>
      <c r="H3647" s="88"/>
      <c r="I3647" s="88">
        <f t="shared" si="229"/>
        <v>11994.169999999998</v>
      </c>
      <c r="L3647" s="2">
        <f t="shared" si="228"/>
        <v>8</v>
      </c>
    </row>
    <row r="3648" spans="1:12" x14ac:dyDescent="0.3">
      <c r="A3648" s="3">
        <v>45666</v>
      </c>
      <c r="B3648" s="11" t="s">
        <v>7295</v>
      </c>
      <c r="C3648" s="50" t="s">
        <v>7296</v>
      </c>
      <c r="G3648" s="88">
        <v>2500</v>
      </c>
      <c r="H3648" s="88"/>
      <c r="I3648" s="88">
        <f t="shared" si="229"/>
        <v>14494.169999999998</v>
      </c>
      <c r="L3648" s="2">
        <f t="shared" si="228"/>
        <v>10</v>
      </c>
    </row>
    <row r="3649" spans="1:12" x14ac:dyDescent="0.3">
      <c r="A3649" s="3">
        <v>45666</v>
      </c>
      <c r="B3649" s="11" t="s">
        <v>7297</v>
      </c>
      <c r="C3649" s="50" t="s">
        <v>7298</v>
      </c>
      <c r="G3649" s="88">
        <v>5500</v>
      </c>
      <c r="H3649" s="88"/>
      <c r="I3649" s="88">
        <f t="shared" si="229"/>
        <v>19994.169999999998</v>
      </c>
      <c r="L3649" s="2">
        <f t="shared" si="228"/>
        <v>20</v>
      </c>
    </row>
    <row r="3650" spans="1:12" x14ac:dyDescent="0.3">
      <c r="A3650" s="3">
        <v>45666</v>
      </c>
      <c r="B3650" s="11" t="s">
        <v>7299</v>
      </c>
      <c r="C3650" s="50" t="s">
        <v>7300</v>
      </c>
      <c r="G3650" s="88">
        <v>2500</v>
      </c>
      <c r="H3650" s="88"/>
      <c r="I3650" s="88">
        <f t="shared" ref="I3650:I3657" si="230">I3649+G3650-H3650</f>
        <v>22494.17</v>
      </c>
      <c r="L3650" s="2">
        <f t="shared" ref="L3650:L3657" si="231">IF((G3650+H3650)&lt;=5000,(H3650+G3650)*0.004,20)+IF(E3650="Y",25,0)</f>
        <v>10</v>
      </c>
    </row>
    <row r="3651" spans="1:12" x14ac:dyDescent="0.3">
      <c r="A3651" s="3">
        <v>45666</v>
      </c>
      <c r="B3651" s="11" t="s">
        <v>2761</v>
      </c>
      <c r="C3651" s="50" t="s">
        <v>5717</v>
      </c>
      <c r="G3651" s="88">
        <v>2500</v>
      </c>
      <c r="H3651" s="88"/>
      <c r="I3651" s="88">
        <f t="shared" si="230"/>
        <v>24994.17</v>
      </c>
      <c r="L3651" s="2">
        <f t="shared" si="231"/>
        <v>10</v>
      </c>
    </row>
    <row r="3652" spans="1:12" x14ac:dyDescent="0.3">
      <c r="A3652" s="3">
        <v>45666</v>
      </c>
      <c r="B3652" s="11" t="s">
        <v>7302</v>
      </c>
      <c r="C3652" s="50" t="s">
        <v>7303</v>
      </c>
      <c r="D3652" s="11"/>
      <c r="E3652" s="90" t="s">
        <v>16</v>
      </c>
      <c r="G3652" s="88"/>
      <c r="H3652" s="88">
        <v>500</v>
      </c>
      <c r="I3652" s="88">
        <f t="shared" si="230"/>
        <v>24494.17</v>
      </c>
      <c r="L3652" s="2">
        <f>IF((G3652+H3652)&lt;=5000,(H3652+G3652)*0.004,20)+IF(C3652="Y",25,0)</f>
        <v>2</v>
      </c>
    </row>
    <row r="3653" spans="1:12" x14ac:dyDescent="0.3">
      <c r="A3653" s="3">
        <v>45301</v>
      </c>
      <c r="B3653" s="11" t="s">
        <v>6700</v>
      </c>
      <c r="C3653" s="50" t="s">
        <v>7117</v>
      </c>
      <c r="G3653" s="88"/>
      <c r="H3653" s="88">
        <v>10000</v>
      </c>
      <c r="I3653" s="88">
        <f t="shared" si="230"/>
        <v>14494.169999999998</v>
      </c>
      <c r="L3653" s="2">
        <f t="shared" si="231"/>
        <v>20</v>
      </c>
    </row>
    <row r="3654" spans="1:12" x14ac:dyDescent="0.3">
      <c r="A3654" s="3">
        <v>45301</v>
      </c>
      <c r="B3654" s="11" t="s">
        <v>7305</v>
      </c>
      <c r="C3654" s="65" t="s">
        <v>7308</v>
      </c>
      <c r="E3654" s="90" t="s">
        <v>16</v>
      </c>
      <c r="G3654" s="88"/>
      <c r="H3654" s="88">
        <v>500</v>
      </c>
      <c r="I3654" s="88">
        <f t="shared" si="230"/>
        <v>13994.169999999998</v>
      </c>
      <c r="L3654" s="2">
        <f t="shared" si="231"/>
        <v>27</v>
      </c>
    </row>
    <row r="3655" spans="1:12" x14ac:dyDescent="0.3">
      <c r="A3655" s="3">
        <v>45301</v>
      </c>
      <c r="B3655" s="11">
        <v>5897</v>
      </c>
      <c r="C3655" s="51" t="s">
        <v>7311</v>
      </c>
      <c r="E3655" s="90" t="s">
        <v>16</v>
      </c>
      <c r="G3655" s="88"/>
      <c r="H3655" s="88">
        <v>500</v>
      </c>
      <c r="I3655" s="88">
        <f t="shared" si="230"/>
        <v>13494.169999999998</v>
      </c>
      <c r="L3655" s="2">
        <f t="shared" si="231"/>
        <v>27</v>
      </c>
    </row>
    <row r="3656" spans="1:12" x14ac:dyDescent="0.3">
      <c r="A3656" s="3">
        <v>45301</v>
      </c>
      <c r="B3656" s="11" t="s">
        <v>7312</v>
      </c>
      <c r="C3656" s="50" t="s">
        <v>7313</v>
      </c>
      <c r="G3656" s="88">
        <v>2500</v>
      </c>
      <c r="H3656" s="88"/>
      <c r="I3656" s="88">
        <f t="shared" si="230"/>
        <v>15994.169999999998</v>
      </c>
      <c r="L3656" s="2">
        <f t="shared" si="231"/>
        <v>10</v>
      </c>
    </row>
    <row r="3657" spans="1:12" x14ac:dyDescent="0.3">
      <c r="A3657" s="3">
        <v>45301</v>
      </c>
      <c r="B3657" s="11" t="s">
        <v>6947</v>
      </c>
      <c r="C3657" s="50" t="s">
        <v>7314</v>
      </c>
      <c r="G3657" s="88">
        <v>2500</v>
      </c>
      <c r="H3657" s="88"/>
      <c r="I3657" s="88">
        <f t="shared" si="230"/>
        <v>18494.169999999998</v>
      </c>
      <c r="L3657" s="2">
        <f t="shared" si="231"/>
        <v>10</v>
      </c>
    </row>
    <row r="3658" spans="1:12" x14ac:dyDescent="0.3">
      <c r="A3658" s="3">
        <v>45301</v>
      </c>
      <c r="B3658" s="11" t="s">
        <v>5064</v>
      </c>
      <c r="C3658" s="50" t="s">
        <v>4684</v>
      </c>
      <c r="G3658" s="88">
        <v>2500</v>
      </c>
      <c r="H3658" s="88"/>
      <c r="I3658" s="88">
        <f t="shared" ref="I3658:I3678" si="232">I3657+G3658-H3658</f>
        <v>20994.17</v>
      </c>
      <c r="L3658" s="2">
        <f t="shared" ref="L3658:L3675" si="233">IF((G3658+H3658)&lt;=5000,(H3658+G3658)*0.004,20)+IF(E3658="Y",25,0)</f>
        <v>10</v>
      </c>
    </row>
    <row r="3659" spans="1:12" x14ac:dyDescent="0.3">
      <c r="A3659" s="3">
        <v>45301</v>
      </c>
      <c r="B3659" s="11" t="s">
        <v>6285</v>
      </c>
      <c r="C3659" s="50" t="s">
        <v>7315</v>
      </c>
      <c r="G3659" s="88">
        <v>2000</v>
      </c>
      <c r="H3659" s="88"/>
      <c r="I3659" s="88">
        <f t="shared" si="232"/>
        <v>22994.17</v>
      </c>
      <c r="L3659" s="2">
        <f t="shared" si="233"/>
        <v>8</v>
      </c>
    </row>
    <row r="3660" spans="1:12" x14ac:dyDescent="0.3">
      <c r="A3660" s="3">
        <v>45301</v>
      </c>
      <c r="B3660" s="11" t="s">
        <v>7005</v>
      </c>
      <c r="C3660" s="50" t="s">
        <v>7316</v>
      </c>
      <c r="G3660" s="88">
        <v>2500</v>
      </c>
      <c r="H3660" s="88"/>
      <c r="I3660" s="88">
        <f t="shared" si="232"/>
        <v>25494.17</v>
      </c>
      <c r="L3660" s="2">
        <f t="shared" si="233"/>
        <v>10</v>
      </c>
    </row>
    <row r="3661" spans="1:12" x14ac:dyDescent="0.3">
      <c r="A3661" s="3">
        <v>45301</v>
      </c>
      <c r="B3661" s="11" t="s">
        <v>5415</v>
      </c>
      <c r="C3661" s="50" t="s">
        <v>6647</v>
      </c>
      <c r="G3661" s="88">
        <v>1000</v>
      </c>
      <c r="H3661" s="88"/>
      <c r="I3661" s="88">
        <f t="shared" si="232"/>
        <v>26494.17</v>
      </c>
      <c r="L3661" s="2">
        <f t="shared" si="233"/>
        <v>4</v>
      </c>
    </row>
    <row r="3662" spans="1:12" x14ac:dyDescent="0.3">
      <c r="A3662" s="3">
        <v>45301</v>
      </c>
      <c r="B3662" s="11" t="s">
        <v>6867</v>
      </c>
      <c r="C3662" s="50" t="s">
        <v>7317</v>
      </c>
      <c r="G3662" s="88">
        <v>2500</v>
      </c>
      <c r="H3662" s="88"/>
      <c r="I3662" s="88">
        <f t="shared" si="232"/>
        <v>28994.17</v>
      </c>
      <c r="L3662" s="2">
        <f t="shared" si="233"/>
        <v>10</v>
      </c>
    </row>
    <row r="3663" spans="1:12" x14ac:dyDescent="0.3">
      <c r="A3663" s="3">
        <v>45301</v>
      </c>
      <c r="B3663" s="11" t="s">
        <v>2207</v>
      </c>
      <c r="C3663" s="50" t="s">
        <v>7138</v>
      </c>
      <c r="G3663" s="88">
        <v>10000</v>
      </c>
      <c r="H3663" s="88"/>
      <c r="I3663" s="88">
        <f t="shared" si="232"/>
        <v>38994.17</v>
      </c>
      <c r="L3663" s="2">
        <f t="shared" si="233"/>
        <v>20</v>
      </c>
    </row>
    <row r="3664" spans="1:12" x14ac:dyDescent="0.3">
      <c r="A3664" s="3">
        <v>45301</v>
      </c>
      <c r="B3664" s="11" t="s">
        <v>5444</v>
      </c>
      <c r="C3664" s="50" t="s">
        <v>5445</v>
      </c>
      <c r="G3664" s="88">
        <v>1000</v>
      </c>
      <c r="H3664" s="88"/>
      <c r="I3664" s="88">
        <f t="shared" si="232"/>
        <v>39994.17</v>
      </c>
      <c r="L3664" s="2">
        <f t="shared" si="233"/>
        <v>4</v>
      </c>
    </row>
    <row r="3665" spans="1:13" x14ac:dyDescent="0.3">
      <c r="A3665" s="3">
        <v>45301</v>
      </c>
      <c r="B3665" s="11" t="s">
        <v>6726</v>
      </c>
      <c r="C3665" s="50" t="s">
        <v>267</v>
      </c>
      <c r="G3665" s="88">
        <v>2400</v>
      </c>
      <c r="H3665" s="88"/>
      <c r="I3665" s="88">
        <f t="shared" si="232"/>
        <v>42394.17</v>
      </c>
      <c r="L3665" s="2">
        <f t="shared" si="233"/>
        <v>9.6</v>
      </c>
    </row>
    <row r="3666" spans="1:13" x14ac:dyDescent="0.3">
      <c r="A3666" s="3">
        <v>45301</v>
      </c>
      <c r="B3666" s="11" t="s">
        <v>6728</v>
      </c>
      <c r="G3666" s="88">
        <v>2300</v>
      </c>
      <c r="H3666" s="88"/>
      <c r="I3666" s="88">
        <f t="shared" si="232"/>
        <v>44694.17</v>
      </c>
      <c r="L3666" s="2">
        <f t="shared" si="233"/>
        <v>9.2000000000000011</v>
      </c>
    </row>
    <row r="3667" spans="1:13" x14ac:dyDescent="0.3">
      <c r="A3667" s="3">
        <v>45301</v>
      </c>
      <c r="B3667" s="11" t="s">
        <v>5267</v>
      </c>
      <c r="C3667" s="50" t="s">
        <v>7319</v>
      </c>
      <c r="G3667" s="88">
        <v>3500</v>
      </c>
      <c r="H3667" s="88"/>
      <c r="I3667" s="88">
        <f t="shared" si="232"/>
        <v>48194.17</v>
      </c>
      <c r="L3667" s="2">
        <f t="shared" si="233"/>
        <v>14</v>
      </c>
    </row>
    <row r="3668" spans="1:13" x14ac:dyDescent="0.3">
      <c r="A3668" s="3">
        <v>45301</v>
      </c>
      <c r="B3668" s="11" t="s">
        <v>5267</v>
      </c>
      <c r="C3668" s="50" t="s">
        <v>7319</v>
      </c>
      <c r="G3668" s="88"/>
      <c r="H3668" s="88">
        <v>1000</v>
      </c>
      <c r="I3668" s="88">
        <f t="shared" si="232"/>
        <v>47194.17</v>
      </c>
      <c r="L3668" s="2">
        <f t="shared" si="233"/>
        <v>4</v>
      </c>
    </row>
    <row r="3669" spans="1:13" x14ac:dyDescent="0.3">
      <c r="A3669" s="3">
        <v>45301</v>
      </c>
      <c r="B3669" s="176"/>
      <c r="C3669" s="135" t="s">
        <v>7245</v>
      </c>
      <c r="D3669" s="135"/>
      <c r="E3669" s="135" t="s">
        <v>4721</v>
      </c>
      <c r="F3669" s="135"/>
      <c r="G3669" s="135"/>
      <c r="H3669" s="88">
        <v>47000</v>
      </c>
      <c r="I3669" s="88">
        <f t="shared" si="232"/>
        <v>194.16999999999825</v>
      </c>
      <c r="J3669" s="135"/>
      <c r="K3669" s="135"/>
      <c r="L3669" s="135"/>
      <c r="M3669" s="135"/>
    </row>
    <row r="3670" spans="1:13" x14ac:dyDescent="0.3">
      <c r="A3670" s="3">
        <v>45301</v>
      </c>
      <c r="B3670" s="11" t="s">
        <v>6914</v>
      </c>
      <c r="C3670" s="50" t="s">
        <v>6915</v>
      </c>
      <c r="G3670" s="88">
        <v>2500</v>
      </c>
      <c r="H3670" s="88"/>
      <c r="I3670" s="88">
        <f t="shared" si="232"/>
        <v>2694.1699999999983</v>
      </c>
      <c r="L3670" s="2">
        <f t="shared" si="233"/>
        <v>10</v>
      </c>
    </row>
    <row r="3671" spans="1:13" x14ac:dyDescent="0.3">
      <c r="A3671" s="3">
        <v>45301</v>
      </c>
      <c r="B3671" s="11" t="s">
        <v>7323</v>
      </c>
      <c r="C3671" s="50" t="s">
        <v>7324</v>
      </c>
      <c r="G3671" s="88"/>
      <c r="H3671" s="88">
        <v>1000</v>
      </c>
      <c r="I3671" s="88">
        <f t="shared" si="232"/>
        <v>1694.1699999999983</v>
      </c>
      <c r="L3671" s="2">
        <f t="shared" si="233"/>
        <v>4</v>
      </c>
    </row>
    <row r="3672" spans="1:13" x14ac:dyDescent="0.3">
      <c r="A3672" s="3">
        <v>45301</v>
      </c>
      <c r="B3672" s="11" t="s">
        <v>1250</v>
      </c>
      <c r="C3672" s="50" t="s">
        <v>3895</v>
      </c>
      <c r="G3672" s="88">
        <v>10000</v>
      </c>
      <c r="H3672" s="88"/>
      <c r="I3672" s="88">
        <f t="shared" si="232"/>
        <v>11694.169999999998</v>
      </c>
      <c r="L3672" s="2">
        <f t="shared" si="233"/>
        <v>20</v>
      </c>
    </row>
    <row r="3673" spans="1:13" x14ac:dyDescent="0.3">
      <c r="A3673" s="3">
        <v>45301</v>
      </c>
      <c r="B3673" s="11" t="s">
        <v>4342</v>
      </c>
      <c r="C3673" s="50" t="s">
        <v>3896</v>
      </c>
      <c r="G3673" s="88"/>
      <c r="H3673" s="88">
        <v>9000</v>
      </c>
      <c r="I3673" s="88">
        <f t="shared" si="232"/>
        <v>2694.1699999999983</v>
      </c>
      <c r="L3673" s="2">
        <f t="shared" si="233"/>
        <v>20</v>
      </c>
    </row>
    <row r="3674" spans="1:13" x14ac:dyDescent="0.3">
      <c r="A3674" s="3">
        <v>45301</v>
      </c>
      <c r="B3674" s="11" t="s">
        <v>6428</v>
      </c>
      <c r="C3674" s="50" t="s">
        <v>7325</v>
      </c>
      <c r="G3674" s="88">
        <v>4500</v>
      </c>
      <c r="H3674" s="88"/>
      <c r="I3674" s="88">
        <f t="shared" si="232"/>
        <v>7194.1699999999983</v>
      </c>
      <c r="L3674" s="2">
        <f t="shared" si="233"/>
        <v>18</v>
      </c>
    </row>
    <row r="3675" spans="1:13" x14ac:dyDescent="0.3">
      <c r="A3675" s="3">
        <v>45301</v>
      </c>
      <c r="B3675" s="11" t="s">
        <v>1250</v>
      </c>
      <c r="C3675" s="50" t="s">
        <v>7326</v>
      </c>
      <c r="G3675" s="88">
        <v>3000</v>
      </c>
      <c r="H3675" s="88"/>
      <c r="I3675" s="88">
        <f t="shared" si="232"/>
        <v>10194.169999999998</v>
      </c>
      <c r="L3675" s="2">
        <f t="shared" si="233"/>
        <v>12</v>
      </c>
    </row>
    <row r="3676" spans="1:13" x14ac:dyDescent="0.3">
      <c r="A3676" s="3">
        <v>45301</v>
      </c>
      <c r="B3676" s="11" t="s">
        <v>1250</v>
      </c>
      <c r="C3676" s="50" t="s">
        <v>6146</v>
      </c>
      <c r="G3676" s="88">
        <v>2500</v>
      </c>
      <c r="H3676" s="88"/>
      <c r="I3676" s="88">
        <f t="shared" si="232"/>
        <v>12694.169999999998</v>
      </c>
      <c r="L3676" s="2">
        <f t="shared" ref="L3676:L3678" si="234">IF((G3676+H3676)&lt;=5000,(H3676+G3676)*0.004,20)+IF(E3676="Y",25,0)</f>
        <v>10</v>
      </c>
    </row>
    <row r="3677" spans="1:13" x14ac:dyDescent="0.3">
      <c r="A3677" s="3">
        <v>45301</v>
      </c>
      <c r="B3677" s="11" t="s">
        <v>7327</v>
      </c>
      <c r="C3677" s="50" t="s">
        <v>7328</v>
      </c>
      <c r="G3677" s="88">
        <v>3000</v>
      </c>
      <c r="H3677" s="88"/>
      <c r="I3677" s="88">
        <f t="shared" si="232"/>
        <v>15694.169999999998</v>
      </c>
      <c r="L3677" s="2">
        <f t="shared" si="234"/>
        <v>12</v>
      </c>
    </row>
    <row r="3678" spans="1:13" x14ac:dyDescent="0.3">
      <c r="A3678" s="3">
        <v>45301</v>
      </c>
      <c r="B3678" s="11" t="s">
        <v>7329</v>
      </c>
      <c r="C3678" s="50" t="s">
        <v>7330</v>
      </c>
      <c r="G3678" s="88">
        <v>2500</v>
      </c>
      <c r="H3678" s="88"/>
      <c r="I3678" s="88">
        <f t="shared" si="232"/>
        <v>18194.169999999998</v>
      </c>
      <c r="L3678" s="2">
        <f t="shared" si="234"/>
        <v>10</v>
      </c>
    </row>
    <row r="3679" spans="1:13" x14ac:dyDescent="0.3">
      <c r="A3679" s="3">
        <v>45302</v>
      </c>
      <c r="B3679" s="11" t="s">
        <v>6260</v>
      </c>
      <c r="C3679" s="50" t="s">
        <v>7117</v>
      </c>
      <c r="G3679" s="88"/>
      <c r="H3679" s="88">
        <v>5000</v>
      </c>
      <c r="I3679" s="88">
        <f t="shared" ref="I3679:I3693" si="235">I3678+G3679-H3679</f>
        <v>13194.169999999998</v>
      </c>
      <c r="L3679" s="2">
        <f t="shared" ref="L3679:L3693" si="236">IF((G3679+H3679)&lt;=5000,(H3679+G3679)*0.004,20)+IF(E3679="Y",25,0)</f>
        <v>20</v>
      </c>
    </row>
    <row r="3680" spans="1:13" x14ac:dyDescent="0.3">
      <c r="A3680" s="3">
        <v>45302</v>
      </c>
      <c r="B3680" s="11">
        <v>1767</v>
      </c>
      <c r="C3680" s="50" t="s">
        <v>401</v>
      </c>
      <c r="G3680" s="88">
        <v>2700</v>
      </c>
      <c r="H3680" s="88"/>
      <c r="I3680" s="88">
        <f t="shared" si="235"/>
        <v>15894.169999999998</v>
      </c>
      <c r="L3680" s="2">
        <f t="shared" si="236"/>
        <v>10.8</v>
      </c>
    </row>
    <row r="3681" spans="1:12" x14ac:dyDescent="0.3">
      <c r="A3681" s="3">
        <v>45302</v>
      </c>
      <c r="B3681" s="11" t="s">
        <v>5579</v>
      </c>
      <c r="C3681" s="50" t="s">
        <v>7332</v>
      </c>
      <c r="G3681" s="88">
        <v>2500</v>
      </c>
      <c r="H3681" s="88"/>
      <c r="I3681" s="88">
        <f t="shared" si="235"/>
        <v>18394.169999999998</v>
      </c>
      <c r="L3681" s="2">
        <f t="shared" si="236"/>
        <v>10</v>
      </c>
    </row>
    <row r="3682" spans="1:12" x14ac:dyDescent="0.3">
      <c r="A3682" s="3">
        <v>45302</v>
      </c>
      <c r="B3682" s="11" t="s">
        <v>7333</v>
      </c>
      <c r="C3682" s="50" t="s">
        <v>1593</v>
      </c>
      <c r="G3682" s="88">
        <v>2500</v>
      </c>
      <c r="H3682" s="88"/>
      <c r="I3682" s="88">
        <f t="shared" si="235"/>
        <v>20894.169999999998</v>
      </c>
      <c r="L3682" s="2">
        <f t="shared" si="236"/>
        <v>10</v>
      </c>
    </row>
    <row r="3683" spans="1:12" x14ac:dyDescent="0.3">
      <c r="A3683" s="3">
        <v>45302</v>
      </c>
      <c r="B3683" s="11" t="s">
        <v>3148</v>
      </c>
      <c r="C3683" s="50" t="s">
        <v>7334</v>
      </c>
      <c r="G3683" s="88">
        <v>2000</v>
      </c>
      <c r="H3683" s="88"/>
      <c r="I3683" s="88">
        <f t="shared" si="235"/>
        <v>22894.17</v>
      </c>
      <c r="L3683" s="2">
        <f t="shared" si="236"/>
        <v>8</v>
      </c>
    </row>
    <row r="3684" spans="1:12" x14ac:dyDescent="0.3">
      <c r="A3684" s="3">
        <v>45302</v>
      </c>
      <c r="B3684" s="11" t="s">
        <v>2165</v>
      </c>
      <c r="C3684" s="50" t="s">
        <v>7340</v>
      </c>
      <c r="G3684" s="88">
        <v>2500</v>
      </c>
      <c r="H3684" s="88"/>
      <c r="I3684" s="88">
        <f t="shared" si="235"/>
        <v>25394.17</v>
      </c>
      <c r="L3684" s="2">
        <f t="shared" si="236"/>
        <v>10</v>
      </c>
    </row>
    <row r="3685" spans="1:12" x14ac:dyDescent="0.3">
      <c r="A3685" s="3">
        <v>45302</v>
      </c>
      <c r="B3685" s="11" t="s">
        <v>5592</v>
      </c>
      <c r="C3685" s="50" t="s">
        <v>7341</v>
      </c>
      <c r="G3685" s="88">
        <v>2000</v>
      </c>
      <c r="H3685" s="88"/>
      <c r="I3685" s="88">
        <f>I3684+G3685-H3685</f>
        <v>27394.17</v>
      </c>
      <c r="L3685" s="2">
        <f t="shared" si="236"/>
        <v>8</v>
      </c>
    </row>
    <row r="3686" spans="1:12" x14ac:dyDescent="0.3">
      <c r="A3686" s="3">
        <v>45302</v>
      </c>
      <c r="B3686" s="11" t="s">
        <v>3871</v>
      </c>
      <c r="C3686" s="50" t="s">
        <v>2870</v>
      </c>
      <c r="G3686" s="88"/>
      <c r="H3686" s="88">
        <v>5500</v>
      </c>
      <c r="I3686" s="88">
        <f t="shared" si="235"/>
        <v>21894.17</v>
      </c>
      <c r="L3686" s="2">
        <f t="shared" si="236"/>
        <v>20</v>
      </c>
    </row>
    <row r="3687" spans="1:12" x14ac:dyDescent="0.3">
      <c r="A3687" s="3">
        <v>45302</v>
      </c>
      <c r="B3687" s="11" t="s">
        <v>1250</v>
      </c>
      <c r="C3687" s="50" t="s">
        <v>7211</v>
      </c>
      <c r="G3687" s="88">
        <v>1600</v>
      </c>
      <c r="H3687" s="88"/>
      <c r="I3687" s="88">
        <f t="shared" si="235"/>
        <v>23494.17</v>
      </c>
      <c r="L3687" s="2">
        <f t="shared" si="236"/>
        <v>6.4</v>
      </c>
    </row>
    <row r="3688" spans="1:12" x14ac:dyDescent="0.3">
      <c r="A3688" s="3">
        <v>45302</v>
      </c>
      <c r="B3688" s="11" t="s">
        <v>1250</v>
      </c>
      <c r="C3688" s="50" t="s">
        <v>4280</v>
      </c>
      <c r="G3688" s="88">
        <v>6050</v>
      </c>
      <c r="H3688" s="88"/>
      <c r="I3688" s="88">
        <f t="shared" si="235"/>
        <v>29544.17</v>
      </c>
      <c r="L3688" s="2">
        <f t="shared" si="236"/>
        <v>20</v>
      </c>
    </row>
    <row r="3689" spans="1:12" x14ac:dyDescent="0.3">
      <c r="A3689" s="3">
        <v>45302</v>
      </c>
      <c r="B3689" s="11" t="s">
        <v>7342</v>
      </c>
      <c r="C3689" s="50" t="s">
        <v>1071</v>
      </c>
      <c r="G3689" s="88">
        <v>2500</v>
      </c>
      <c r="H3689" s="88"/>
      <c r="I3689" s="88">
        <f t="shared" si="235"/>
        <v>32044.17</v>
      </c>
      <c r="L3689" s="2">
        <f t="shared" si="236"/>
        <v>10</v>
      </c>
    </row>
    <row r="3690" spans="1:12" x14ac:dyDescent="0.3">
      <c r="A3690" s="3">
        <v>45302</v>
      </c>
      <c r="B3690" s="11" t="s">
        <v>1250</v>
      </c>
      <c r="G3690" s="88">
        <v>10000</v>
      </c>
      <c r="H3690" s="88"/>
      <c r="I3690" s="88">
        <f t="shared" si="235"/>
        <v>42044.17</v>
      </c>
      <c r="L3690" s="2">
        <f t="shared" si="236"/>
        <v>20</v>
      </c>
    </row>
    <row r="3691" spans="1:12" x14ac:dyDescent="0.3">
      <c r="A3691" s="3">
        <v>45303</v>
      </c>
      <c r="B3691" s="11" t="s">
        <v>7343</v>
      </c>
      <c r="C3691" s="50" t="s">
        <v>7344</v>
      </c>
      <c r="G3691" s="88">
        <v>6000</v>
      </c>
      <c r="H3691" s="88"/>
      <c r="I3691" s="88">
        <f t="shared" si="235"/>
        <v>48044.17</v>
      </c>
      <c r="L3691" s="2">
        <f t="shared" si="236"/>
        <v>20</v>
      </c>
    </row>
    <row r="3692" spans="1:12" x14ac:dyDescent="0.3">
      <c r="A3692" s="3">
        <v>45303</v>
      </c>
      <c r="B3692" s="11" t="s">
        <v>6260</v>
      </c>
      <c r="C3692" s="50" t="s">
        <v>7117</v>
      </c>
      <c r="G3692" s="88"/>
      <c r="H3692" s="88">
        <v>4000</v>
      </c>
      <c r="I3692" s="88">
        <f t="shared" si="235"/>
        <v>44044.17</v>
      </c>
      <c r="L3692" s="2">
        <f t="shared" si="236"/>
        <v>16</v>
      </c>
    </row>
    <row r="3693" spans="1:12" x14ac:dyDescent="0.3">
      <c r="A3693" s="3">
        <v>45303</v>
      </c>
      <c r="B3693" s="11" t="s">
        <v>1250</v>
      </c>
      <c r="C3693" s="50" t="s">
        <v>7345</v>
      </c>
      <c r="G3693" s="88">
        <v>1500</v>
      </c>
      <c r="H3693" s="88"/>
      <c r="I3693" s="88">
        <f t="shared" si="235"/>
        <v>45544.17</v>
      </c>
      <c r="L3693" s="2">
        <f t="shared" si="236"/>
        <v>6</v>
      </c>
    </row>
    <row r="3694" spans="1:12" x14ac:dyDescent="0.3">
      <c r="A3694" s="3">
        <v>45303</v>
      </c>
      <c r="B3694" s="11" t="s">
        <v>3849</v>
      </c>
      <c r="C3694" s="50" t="s">
        <v>2551</v>
      </c>
      <c r="G3694" s="88"/>
      <c r="H3694" s="88">
        <v>1500</v>
      </c>
      <c r="I3694" s="88">
        <f t="shared" ref="I3694:I3713" si="237">I3693+G3694-H3694</f>
        <v>44044.17</v>
      </c>
      <c r="L3694" s="2">
        <f t="shared" ref="L3694:L3713" si="238">IF((G3694+H3694)&lt;=5000,(H3694+G3694)*0.004,20)+IF(E3694="Y",25,0)</f>
        <v>6</v>
      </c>
    </row>
    <row r="3695" spans="1:12" x14ac:dyDescent="0.3">
      <c r="A3695" s="3">
        <v>45304</v>
      </c>
      <c r="B3695" s="11" t="s">
        <v>6260</v>
      </c>
      <c r="C3695" s="50" t="s">
        <v>7117</v>
      </c>
      <c r="G3695" s="88"/>
      <c r="H3695" s="88">
        <v>2000</v>
      </c>
      <c r="I3695" s="88">
        <f t="shared" si="237"/>
        <v>42044.17</v>
      </c>
      <c r="L3695" s="2">
        <f t="shared" si="238"/>
        <v>8</v>
      </c>
    </row>
    <row r="3696" spans="1:12" x14ac:dyDescent="0.3">
      <c r="A3696" s="3">
        <v>45304</v>
      </c>
      <c r="B3696" s="11" t="s">
        <v>6769</v>
      </c>
      <c r="C3696" s="50" t="s">
        <v>1452</v>
      </c>
      <c r="G3696" s="88">
        <v>500</v>
      </c>
      <c r="H3696" s="88"/>
      <c r="I3696" s="88">
        <f t="shared" si="237"/>
        <v>42544.17</v>
      </c>
      <c r="L3696" s="2">
        <f t="shared" si="238"/>
        <v>2</v>
      </c>
    </row>
    <row r="3697" spans="1:12" x14ac:dyDescent="0.3">
      <c r="A3697" s="3">
        <v>45304</v>
      </c>
      <c r="B3697" s="11" t="s">
        <v>6486</v>
      </c>
      <c r="C3697" s="50" t="s">
        <v>7346</v>
      </c>
      <c r="G3697" s="88">
        <v>2500</v>
      </c>
      <c r="H3697" s="88"/>
      <c r="I3697" s="88">
        <f t="shared" si="237"/>
        <v>45044.17</v>
      </c>
      <c r="L3697" s="2">
        <f t="shared" si="238"/>
        <v>10</v>
      </c>
    </row>
    <row r="3698" spans="1:12" x14ac:dyDescent="0.3">
      <c r="A3698" s="3">
        <v>45304</v>
      </c>
      <c r="B3698" s="11" t="s">
        <v>6998</v>
      </c>
      <c r="C3698" s="50" t="s">
        <v>7347</v>
      </c>
      <c r="G3698" s="88">
        <v>2500</v>
      </c>
      <c r="H3698" s="88"/>
      <c r="I3698" s="88">
        <f t="shared" si="237"/>
        <v>47544.17</v>
      </c>
      <c r="L3698" s="2">
        <f t="shared" si="238"/>
        <v>10</v>
      </c>
    </row>
    <row r="3699" spans="1:12" x14ac:dyDescent="0.3">
      <c r="A3699" s="3">
        <v>45304</v>
      </c>
      <c r="B3699" s="11" t="s">
        <v>7348</v>
      </c>
      <c r="C3699" s="50" t="s">
        <v>476</v>
      </c>
      <c r="G3699" s="88">
        <v>2500</v>
      </c>
      <c r="H3699" s="88"/>
      <c r="I3699" s="88">
        <f t="shared" si="237"/>
        <v>50044.17</v>
      </c>
      <c r="L3699" s="2">
        <f t="shared" si="238"/>
        <v>10</v>
      </c>
    </row>
    <row r="3700" spans="1:12" x14ac:dyDescent="0.3">
      <c r="A3700" s="3">
        <v>45304</v>
      </c>
      <c r="B3700" s="11" t="s">
        <v>2351</v>
      </c>
      <c r="C3700" s="50" t="s">
        <v>7349</v>
      </c>
      <c r="G3700" s="88">
        <v>100</v>
      </c>
      <c r="H3700" s="88"/>
      <c r="I3700" s="88">
        <f t="shared" si="237"/>
        <v>50144.17</v>
      </c>
      <c r="L3700" s="2">
        <f t="shared" si="238"/>
        <v>0.4</v>
      </c>
    </row>
    <row r="3701" spans="1:12" x14ac:dyDescent="0.3">
      <c r="A3701" s="3">
        <v>45304</v>
      </c>
      <c r="C3701" s="50" t="s">
        <v>7245</v>
      </c>
      <c r="E3701" s="90" t="s">
        <v>4721</v>
      </c>
      <c r="G3701" s="88"/>
      <c r="H3701" s="88">
        <v>50000</v>
      </c>
      <c r="I3701" s="88">
        <f t="shared" si="237"/>
        <v>144.16999999999825</v>
      </c>
    </row>
    <row r="3702" spans="1:12" x14ac:dyDescent="0.3">
      <c r="A3702" s="3">
        <v>45304</v>
      </c>
      <c r="B3702" s="11" t="s">
        <v>6840</v>
      </c>
      <c r="C3702" s="50" t="s">
        <v>7350</v>
      </c>
      <c r="G3702" s="88">
        <v>7000</v>
      </c>
      <c r="H3702" s="88"/>
      <c r="I3702" s="88">
        <f t="shared" si="237"/>
        <v>7144.1699999999983</v>
      </c>
      <c r="L3702" s="2">
        <f t="shared" si="238"/>
        <v>20</v>
      </c>
    </row>
    <row r="3703" spans="1:12" x14ac:dyDescent="0.3">
      <c r="A3703" s="3">
        <v>45304</v>
      </c>
      <c r="B3703" s="11" t="s">
        <v>1250</v>
      </c>
      <c r="C3703" s="50" t="s">
        <v>6288</v>
      </c>
      <c r="G3703" s="88">
        <v>500</v>
      </c>
      <c r="H3703" s="88"/>
      <c r="I3703" s="88">
        <f t="shared" si="237"/>
        <v>7644.1699999999983</v>
      </c>
      <c r="K3703" s="62"/>
      <c r="L3703" s="2">
        <f t="shared" si="238"/>
        <v>2</v>
      </c>
    </row>
    <row r="3704" spans="1:12" x14ac:dyDescent="0.3">
      <c r="A3704" s="3">
        <v>45304</v>
      </c>
      <c r="B3704" s="11" t="s">
        <v>7336</v>
      </c>
      <c r="C3704" s="50" t="s">
        <v>7337</v>
      </c>
      <c r="E3704" s="90" t="s">
        <v>16</v>
      </c>
      <c r="G3704" s="88"/>
      <c r="H3704" s="88">
        <v>500</v>
      </c>
      <c r="I3704" s="88">
        <f t="shared" si="237"/>
        <v>7144.1699999999983</v>
      </c>
      <c r="L3704" s="2">
        <f t="shared" si="238"/>
        <v>27</v>
      </c>
    </row>
    <row r="3705" spans="1:12" x14ac:dyDescent="0.3">
      <c r="A3705" s="3">
        <v>45304</v>
      </c>
      <c r="B3705" s="11" t="s">
        <v>3541</v>
      </c>
      <c r="C3705" s="50" t="s">
        <v>7351</v>
      </c>
      <c r="G3705" s="88">
        <v>6000</v>
      </c>
      <c r="H3705" s="88"/>
      <c r="I3705" s="88">
        <f t="shared" si="237"/>
        <v>13144.169999999998</v>
      </c>
      <c r="L3705" s="2">
        <f t="shared" si="238"/>
        <v>20</v>
      </c>
    </row>
    <row r="3706" spans="1:12" x14ac:dyDescent="0.3">
      <c r="A3706" s="3">
        <v>45304</v>
      </c>
      <c r="B3706" s="11" t="s">
        <v>7352</v>
      </c>
      <c r="C3706" s="50" t="s">
        <v>7353</v>
      </c>
      <c r="G3706" s="88">
        <v>2500</v>
      </c>
      <c r="H3706" s="88"/>
      <c r="I3706" s="88">
        <f t="shared" si="237"/>
        <v>15644.169999999998</v>
      </c>
      <c r="L3706" s="2">
        <f t="shared" si="238"/>
        <v>10</v>
      </c>
    </row>
    <row r="3707" spans="1:12" x14ac:dyDescent="0.3">
      <c r="A3707" s="3">
        <v>45304</v>
      </c>
      <c r="B3707" s="11" t="s">
        <v>5872</v>
      </c>
      <c r="C3707" s="50" t="s">
        <v>5873</v>
      </c>
      <c r="G3707" s="88">
        <v>2500</v>
      </c>
      <c r="H3707" s="88"/>
      <c r="I3707" s="88">
        <f t="shared" si="237"/>
        <v>18144.169999999998</v>
      </c>
      <c r="L3707" s="2">
        <f t="shared" si="238"/>
        <v>10</v>
      </c>
    </row>
    <row r="3708" spans="1:12" x14ac:dyDescent="0.3">
      <c r="A3708" s="3">
        <v>45304</v>
      </c>
      <c r="B3708" s="11" t="s">
        <v>1250</v>
      </c>
      <c r="C3708" s="50" t="s">
        <v>7354</v>
      </c>
      <c r="G3708" s="88"/>
      <c r="H3708" s="88">
        <v>10000</v>
      </c>
      <c r="I3708" s="88">
        <f t="shared" si="237"/>
        <v>8144.1699999999983</v>
      </c>
      <c r="L3708" s="2">
        <f t="shared" si="238"/>
        <v>20</v>
      </c>
    </row>
    <row r="3709" spans="1:12" x14ac:dyDescent="0.3">
      <c r="A3709" s="3">
        <v>45304</v>
      </c>
      <c r="B3709" s="11" t="s">
        <v>3415</v>
      </c>
      <c r="C3709" s="50" t="s">
        <v>164</v>
      </c>
      <c r="G3709" s="88">
        <v>4000</v>
      </c>
      <c r="H3709" s="88"/>
      <c r="I3709" s="88">
        <f t="shared" si="237"/>
        <v>12144.169999999998</v>
      </c>
      <c r="L3709" s="2">
        <f t="shared" si="238"/>
        <v>16</v>
      </c>
    </row>
    <row r="3710" spans="1:12" x14ac:dyDescent="0.3">
      <c r="A3710" s="3">
        <v>45304</v>
      </c>
      <c r="B3710" s="11" t="s">
        <v>7355</v>
      </c>
      <c r="C3710" s="50" t="s">
        <v>7356</v>
      </c>
      <c r="G3710" s="88">
        <v>2500</v>
      </c>
      <c r="H3710" s="88"/>
      <c r="I3710" s="88">
        <f t="shared" si="237"/>
        <v>14644.169999999998</v>
      </c>
      <c r="L3710" s="2">
        <f t="shared" si="238"/>
        <v>10</v>
      </c>
    </row>
    <row r="3711" spans="1:12" x14ac:dyDescent="0.3">
      <c r="A3711" s="3">
        <v>45304</v>
      </c>
      <c r="B3711" s="11" t="s">
        <v>1160</v>
      </c>
      <c r="C3711" s="50" t="s">
        <v>7357</v>
      </c>
      <c r="G3711" s="88">
        <v>3000</v>
      </c>
      <c r="H3711" s="88"/>
      <c r="I3711" s="88">
        <f t="shared" si="237"/>
        <v>17644.169999999998</v>
      </c>
      <c r="L3711" s="2">
        <f t="shared" si="238"/>
        <v>12</v>
      </c>
    </row>
    <row r="3712" spans="1:12" x14ac:dyDescent="0.3">
      <c r="A3712" s="3">
        <v>45304</v>
      </c>
      <c r="B3712" s="11" t="s">
        <v>1250</v>
      </c>
      <c r="C3712" s="50" t="s">
        <v>6985</v>
      </c>
      <c r="G3712" s="88">
        <v>2000</v>
      </c>
      <c r="H3712" s="88"/>
      <c r="I3712" s="88">
        <f t="shared" si="237"/>
        <v>19644.169999999998</v>
      </c>
      <c r="L3712" s="2">
        <f t="shared" si="238"/>
        <v>8</v>
      </c>
    </row>
    <row r="3713" spans="1:12" x14ac:dyDescent="0.3">
      <c r="A3713" s="3">
        <v>45304</v>
      </c>
      <c r="B3713" s="11" t="s">
        <v>4438</v>
      </c>
      <c r="C3713" s="50" t="s">
        <v>7358</v>
      </c>
      <c r="G3713" s="88">
        <v>2000</v>
      </c>
      <c r="H3713" s="88"/>
      <c r="I3713" s="88">
        <f t="shared" si="237"/>
        <v>21644.17</v>
      </c>
      <c r="L3713" s="2">
        <f t="shared" si="238"/>
        <v>8</v>
      </c>
    </row>
    <row r="3714" spans="1:12" x14ac:dyDescent="0.3">
      <c r="A3714" s="3">
        <v>45304</v>
      </c>
      <c r="B3714" s="11" t="s">
        <v>5306</v>
      </c>
      <c r="C3714" s="50" t="s">
        <v>7359</v>
      </c>
      <c r="G3714" s="88">
        <v>5000</v>
      </c>
      <c r="H3714" s="88"/>
      <c r="I3714" s="88">
        <f t="shared" ref="I3714:I3739" si="239">I3713+G3714-H3714</f>
        <v>26644.17</v>
      </c>
      <c r="L3714" s="2">
        <f t="shared" ref="L3714:L3739" si="240">IF((G3714+H3714)&lt;=5000,(H3714+G3714)*0.004,20)+IF(E3714="Y",25,0)</f>
        <v>20</v>
      </c>
    </row>
    <row r="3715" spans="1:12" x14ac:dyDescent="0.3">
      <c r="A3715" s="3">
        <v>45304</v>
      </c>
      <c r="B3715" s="11" t="s">
        <v>1250</v>
      </c>
      <c r="C3715" s="50" t="s">
        <v>7360</v>
      </c>
      <c r="G3715" s="88">
        <v>2100</v>
      </c>
      <c r="H3715" s="88"/>
      <c r="I3715" s="88">
        <f t="shared" si="239"/>
        <v>28744.17</v>
      </c>
      <c r="L3715" s="2">
        <f t="shared" si="240"/>
        <v>8.4</v>
      </c>
    </row>
    <row r="3716" spans="1:12" x14ac:dyDescent="0.3">
      <c r="A3716" s="3">
        <v>45304</v>
      </c>
      <c r="B3716" s="11" t="s">
        <v>5042</v>
      </c>
      <c r="C3716" s="50" t="s">
        <v>7258</v>
      </c>
      <c r="G3716" s="88">
        <v>1200</v>
      </c>
      <c r="H3716" s="88"/>
      <c r="I3716" s="88">
        <f t="shared" si="239"/>
        <v>29944.17</v>
      </c>
      <c r="L3716" s="2">
        <f t="shared" si="240"/>
        <v>4.8</v>
      </c>
    </row>
    <row r="3717" spans="1:12" x14ac:dyDescent="0.3">
      <c r="A3717" s="3">
        <v>45304</v>
      </c>
      <c r="B3717" s="11" t="s">
        <v>6842</v>
      </c>
      <c r="C3717" s="50" t="s">
        <v>7361</v>
      </c>
      <c r="G3717" s="88">
        <v>2500</v>
      </c>
      <c r="H3717" s="88"/>
      <c r="I3717" s="88">
        <f t="shared" si="239"/>
        <v>32444.17</v>
      </c>
      <c r="L3717" s="2">
        <f t="shared" si="240"/>
        <v>10</v>
      </c>
    </row>
    <row r="3718" spans="1:12" x14ac:dyDescent="0.3">
      <c r="A3718" s="3">
        <v>45304</v>
      </c>
      <c r="B3718" s="11" t="s">
        <v>6890</v>
      </c>
      <c r="C3718" s="50" t="s">
        <v>6891</v>
      </c>
      <c r="G3718" s="88"/>
      <c r="H3718" s="88">
        <v>5000</v>
      </c>
      <c r="I3718" s="88">
        <f t="shared" si="239"/>
        <v>27444.17</v>
      </c>
      <c r="L3718" s="2">
        <f t="shared" si="240"/>
        <v>20</v>
      </c>
    </row>
    <row r="3719" spans="1:12" x14ac:dyDescent="0.3">
      <c r="A3719" s="3">
        <v>45304</v>
      </c>
      <c r="B3719" s="11" t="s">
        <v>6733</v>
      </c>
      <c r="C3719" s="50" t="s">
        <v>7362</v>
      </c>
      <c r="G3719" s="88">
        <v>2500</v>
      </c>
      <c r="H3719" s="88"/>
      <c r="I3719" s="88">
        <f t="shared" si="239"/>
        <v>29944.17</v>
      </c>
      <c r="L3719" s="2">
        <f t="shared" si="240"/>
        <v>10</v>
      </c>
    </row>
    <row r="3720" spans="1:12" x14ac:dyDescent="0.3">
      <c r="A3720" s="3">
        <v>45305</v>
      </c>
      <c r="B3720" s="11" t="s">
        <v>6260</v>
      </c>
      <c r="C3720" s="50" t="s">
        <v>7117</v>
      </c>
      <c r="G3720" s="88"/>
      <c r="H3720" s="88">
        <v>10000</v>
      </c>
      <c r="I3720" s="88">
        <f t="shared" si="239"/>
        <v>19944.169999999998</v>
      </c>
      <c r="K3720" s="62"/>
      <c r="L3720" s="2">
        <f t="shared" si="240"/>
        <v>20</v>
      </c>
    </row>
    <row r="3721" spans="1:12" x14ac:dyDescent="0.3">
      <c r="A3721" s="3">
        <v>45671</v>
      </c>
      <c r="B3721" s="11" t="s">
        <v>7364</v>
      </c>
      <c r="C3721" s="65" t="s">
        <v>7365</v>
      </c>
      <c r="E3721" s="90" t="s">
        <v>16</v>
      </c>
      <c r="G3721" s="88"/>
      <c r="H3721" s="88">
        <v>500</v>
      </c>
      <c r="I3721" s="88">
        <f t="shared" si="239"/>
        <v>19444.169999999998</v>
      </c>
      <c r="L3721" s="2">
        <f t="shared" si="240"/>
        <v>27</v>
      </c>
    </row>
    <row r="3722" spans="1:12" x14ac:dyDescent="0.3">
      <c r="A3722" s="3">
        <v>45671</v>
      </c>
      <c r="B3722" s="11" t="s">
        <v>7370</v>
      </c>
      <c r="C3722" s="50" t="s">
        <v>7371</v>
      </c>
      <c r="E3722" s="90" t="s">
        <v>16</v>
      </c>
      <c r="G3722" s="88"/>
      <c r="H3722" s="88">
        <v>500</v>
      </c>
      <c r="I3722" s="88">
        <f t="shared" si="239"/>
        <v>18944.169999999998</v>
      </c>
      <c r="L3722" s="2">
        <f t="shared" si="240"/>
        <v>27</v>
      </c>
    </row>
    <row r="3723" spans="1:12" x14ac:dyDescent="0.3">
      <c r="A3723" s="3">
        <v>45671</v>
      </c>
      <c r="B3723" s="11" t="s">
        <v>1250</v>
      </c>
      <c r="C3723" s="50" t="s">
        <v>7372</v>
      </c>
      <c r="G3723" s="88">
        <v>1000</v>
      </c>
      <c r="H3723" s="88"/>
      <c r="I3723" s="88">
        <f t="shared" si="239"/>
        <v>19944.169999999998</v>
      </c>
      <c r="L3723" s="2">
        <f t="shared" si="240"/>
        <v>4</v>
      </c>
    </row>
    <row r="3724" spans="1:12" x14ac:dyDescent="0.3">
      <c r="A3724" s="3">
        <v>45671</v>
      </c>
      <c r="B3724" s="11" t="s">
        <v>1250</v>
      </c>
      <c r="C3724" s="50" t="s">
        <v>7373</v>
      </c>
      <c r="G3724" s="88">
        <v>2500</v>
      </c>
      <c r="H3724" s="88"/>
      <c r="I3724" s="88">
        <f t="shared" si="239"/>
        <v>22444.17</v>
      </c>
      <c r="L3724" s="2">
        <f t="shared" si="240"/>
        <v>10</v>
      </c>
    </row>
    <row r="3725" spans="1:12" x14ac:dyDescent="0.3">
      <c r="A3725" s="3">
        <v>45671</v>
      </c>
      <c r="B3725" s="11" t="s">
        <v>7374</v>
      </c>
      <c r="C3725" s="50" t="s">
        <v>7375</v>
      </c>
      <c r="G3725" s="88">
        <v>3000</v>
      </c>
      <c r="H3725" s="88"/>
      <c r="I3725" s="88">
        <f t="shared" si="239"/>
        <v>25444.17</v>
      </c>
      <c r="L3725" s="2">
        <f t="shared" si="240"/>
        <v>12</v>
      </c>
    </row>
    <row r="3726" spans="1:12" x14ac:dyDescent="0.3">
      <c r="A3726" s="3">
        <v>45671</v>
      </c>
      <c r="B3726" s="11" t="s">
        <v>7378</v>
      </c>
      <c r="C3726" s="50" t="s">
        <v>7379</v>
      </c>
      <c r="E3726" s="90" t="s">
        <v>16</v>
      </c>
      <c r="G3726" s="88"/>
      <c r="H3726" s="88">
        <v>500</v>
      </c>
      <c r="I3726" s="88">
        <f t="shared" ref="I3726:I3738" si="241">I3725+G3726-H3726</f>
        <v>24944.17</v>
      </c>
      <c r="L3726" s="2">
        <f t="shared" ref="L3726:L3738" si="242">IF((G3726+H3726)&lt;=5000,(H3726+G3726)*0.004,20)+IF(E3726="Y",25,0)</f>
        <v>27</v>
      </c>
    </row>
    <row r="3727" spans="1:12" x14ac:dyDescent="0.3">
      <c r="A3727" s="3">
        <v>45671</v>
      </c>
      <c r="B3727" s="11" t="s">
        <v>1472</v>
      </c>
      <c r="C3727" s="50" t="s">
        <v>7382</v>
      </c>
      <c r="G3727" s="88">
        <v>10000</v>
      </c>
      <c r="H3727" s="88"/>
      <c r="I3727" s="88">
        <f t="shared" si="241"/>
        <v>34944.17</v>
      </c>
      <c r="L3727" s="2">
        <f t="shared" si="242"/>
        <v>20</v>
      </c>
    </row>
    <row r="3728" spans="1:12" x14ac:dyDescent="0.3">
      <c r="A3728" s="3">
        <v>45672</v>
      </c>
      <c r="B3728" s="11" t="s">
        <v>1250</v>
      </c>
      <c r="G3728" s="88">
        <v>2000</v>
      </c>
      <c r="H3728" s="88"/>
      <c r="I3728" s="88">
        <f t="shared" si="241"/>
        <v>36944.17</v>
      </c>
      <c r="J3728">
        <v>36900</v>
      </c>
      <c r="L3728" s="2">
        <f t="shared" si="242"/>
        <v>8</v>
      </c>
    </row>
    <row r="3729" spans="1:12" x14ac:dyDescent="0.3">
      <c r="A3729" s="3">
        <v>45672</v>
      </c>
      <c r="B3729" s="11" t="s">
        <v>1160</v>
      </c>
      <c r="C3729" s="50" t="s">
        <v>4885</v>
      </c>
      <c r="G3729" s="88">
        <v>1050</v>
      </c>
      <c r="H3729" s="88"/>
      <c r="I3729" s="88">
        <f t="shared" si="241"/>
        <v>37994.17</v>
      </c>
      <c r="L3729" s="2">
        <f t="shared" si="242"/>
        <v>4.2</v>
      </c>
    </row>
    <row r="3730" spans="1:12" x14ac:dyDescent="0.3">
      <c r="A3730" s="3">
        <v>45672</v>
      </c>
      <c r="B3730" s="11" t="s">
        <v>1472</v>
      </c>
      <c r="C3730" s="50" t="s">
        <v>7383</v>
      </c>
      <c r="G3730" s="88">
        <v>500</v>
      </c>
      <c r="H3730" s="88"/>
      <c r="I3730" s="88">
        <f t="shared" si="241"/>
        <v>38494.17</v>
      </c>
      <c r="L3730" s="2">
        <f t="shared" si="242"/>
        <v>2</v>
      </c>
    </row>
    <row r="3731" spans="1:12" x14ac:dyDescent="0.3">
      <c r="A3731" s="3">
        <v>45672</v>
      </c>
      <c r="C3731" s="50" t="s">
        <v>7245</v>
      </c>
      <c r="E3731" s="90" t="s">
        <v>4721</v>
      </c>
      <c r="G3731" s="88"/>
      <c r="H3731" s="88">
        <v>30000</v>
      </c>
      <c r="I3731" s="88">
        <f t="shared" si="241"/>
        <v>8494.1699999999983</v>
      </c>
      <c r="L3731" s="2">
        <f t="shared" si="242"/>
        <v>20</v>
      </c>
    </row>
    <row r="3732" spans="1:12" x14ac:dyDescent="0.3">
      <c r="A3732" s="3">
        <v>45672</v>
      </c>
      <c r="B3732" s="11" t="s">
        <v>7385</v>
      </c>
      <c r="C3732" s="65" t="s">
        <v>7386</v>
      </c>
      <c r="E3732" s="90" t="s">
        <v>14</v>
      </c>
      <c r="G3732" s="88"/>
      <c r="H3732" s="88">
        <v>500</v>
      </c>
      <c r="I3732" s="88">
        <f t="shared" si="241"/>
        <v>7994.1699999999983</v>
      </c>
      <c r="L3732" s="2">
        <f t="shared" si="242"/>
        <v>27</v>
      </c>
    </row>
    <row r="3733" spans="1:12" x14ac:dyDescent="0.3">
      <c r="A3733" s="3">
        <v>45672</v>
      </c>
      <c r="B3733" s="11" t="s">
        <v>6701</v>
      </c>
      <c r="C3733" s="50" t="s">
        <v>6702</v>
      </c>
      <c r="G3733" s="88">
        <v>1500</v>
      </c>
      <c r="H3733" s="88"/>
      <c r="I3733" s="88">
        <f t="shared" si="241"/>
        <v>9494.1699999999983</v>
      </c>
      <c r="L3733" s="2">
        <f t="shared" si="242"/>
        <v>6</v>
      </c>
    </row>
    <row r="3734" spans="1:12" x14ac:dyDescent="0.3">
      <c r="A3734" s="3">
        <v>45672</v>
      </c>
      <c r="B3734" s="11" t="s">
        <v>1250</v>
      </c>
      <c r="C3734" s="50" t="s">
        <v>2295</v>
      </c>
      <c r="G3734" s="88">
        <v>10000</v>
      </c>
      <c r="H3734" s="88"/>
      <c r="I3734" s="88">
        <f t="shared" si="241"/>
        <v>19494.169999999998</v>
      </c>
      <c r="L3734" s="2">
        <f t="shared" si="242"/>
        <v>20</v>
      </c>
    </row>
    <row r="3735" spans="1:12" x14ac:dyDescent="0.3">
      <c r="A3735" s="3">
        <v>45672</v>
      </c>
      <c r="B3735" s="11" t="s">
        <v>3232</v>
      </c>
      <c r="C3735" s="50" t="s">
        <v>7391</v>
      </c>
      <c r="D3735" s="50">
        <v>7050062720</v>
      </c>
      <c r="G3735" s="88">
        <v>10000</v>
      </c>
      <c r="H3735" s="88"/>
      <c r="I3735" s="88">
        <f t="shared" si="241"/>
        <v>29494.17</v>
      </c>
      <c r="L3735" s="2">
        <f t="shared" si="242"/>
        <v>20</v>
      </c>
    </row>
    <row r="3736" spans="1:12" x14ac:dyDescent="0.3">
      <c r="A3736" s="3">
        <v>45673</v>
      </c>
      <c r="B3736" s="11" t="s">
        <v>6940</v>
      </c>
      <c r="C3736" s="50" t="s">
        <v>7392</v>
      </c>
      <c r="G3736" s="88">
        <v>2000</v>
      </c>
      <c r="H3736" s="88"/>
      <c r="I3736" s="88">
        <f t="shared" si="241"/>
        <v>31494.17</v>
      </c>
      <c r="L3736" s="2">
        <f t="shared" si="242"/>
        <v>8</v>
      </c>
    </row>
    <row r="3737" spans="1:12" x14ac:dyDescent="0.3">
      <c r="A3737" s="3">
        <v>45673</v>
      </c>
      <c r="B3737" s="11" t="s">
        <v>1250</v>
      </c>
      <c r="C3737" s="50" t="s">
        <v>6436</v>
      </c>
      <c r="G3737" s="88">
        <v>4000</v>
      </c>
      <c r="H3737" s="88"/>
      <c r="I3737" s="88">
        <f t="shared" si="241"/>
        <v>35494.17</v>
      </c>
      <c r="L3737" s="2">
        <f t="shared" si="242"/>
        <v>16</v>
      </c>
    </row>
    <row r="3738" spans="1:12" x14ac:dyDescent="0.3">
      <c r="A3738" s="3">
        <v>45673</v>
      </c>
      <c r="B3738" s="11" t="s">
        <v>3865</v>
      </c>
      <c r="C3738" s="50" t="s">
        <v>7242</v>
      </c>
      <c r="G3738" s="88">
        <v>10000</v>
      </c>
      <c r="H3738" s="88"/>
      <c r="I3738" s="88">
        <f t="shared" si="241"/>
        <v>45494.17</v>
      </c>
      <c r="K3738" t="s">
        <v>7393</v>
      </c>
      <c r="L3738" s="2">
        <f t="shared" si="242"/>
        <v>20</v>
      </c>
    </row>
    <row r="3739" spans="1:12" x14ac:dyDescent="0.3">
      <c r="A3739" s="3">
        <v>45673</v>
      </c>
      <c r="B3739" s="11" t="s">
        <v>7394</v>
      </c>
      <c r="C3739" s="50" t="s">
        <v>7395</v>
      </c>
      <c r="G3739" s="88">
        <v>2500</v>
      </c>
      <c r="H3739" s="88"/>
      <c r="I3739" s="88">
        <f t="shared" si="239"/>
        <v>47994.17</v>
      </c>
      <c r="L3739" s="2">
        <f t="shared" si="240"/>
        <v>10</v>
      </c>
    </row>
    <row r="3740" spans="1:12" x14ac:dyDescent="0.3">
      <c r="A3740" s="3">
        <v>45673</v>
      </c>
      <c r="B3740" s="11" t="s">
        <v>7396</v>
      </c>
      <c r="C3740" s="50" t="s">
        <v>7397</v>
      </c>
      <c r="G3740" s="88">
        <v>1000</v>
      </c>
      <c r="H3740" s="88"/>
      <c r="I3740" s="88">
        <f t="shared" ref="I3740:I3767" si="243">I3739+G3740-H3740</f>
        <v>48994.17</v>
      </c>
      <c r="L3740" s="2">
        <f t="shared" ref="L3740:L3767" si="244">IF((G3740+H3740)&lt;=5000,(H3740+G3740)*0.004,20)+IF(E3740="Y",25,0)</f>
        <v>4</v>
      </c>
    </row>
    <row r="3741" spans="1:12" x14ac:dyDescent="0.3">
      <c r="A3741" s="3">
        <v>45673</v>
      </c>
      <c r="B3741" s="11" t="s">
        <v>7398</v>
      </c>
      <c r="C3741" s="50" t="s">
        <v>779</v>
      </c>
      <c r="G3741" s="136">
        <v>2200</v>
      </c>
      <c r="H3741" s="88"/>
      <c r="I3741" s="88">
        <f t="shared" si="243"/>
        <v>51194.17</v>
      </c>
      <c r="L3741" s="2">
        <f t="shared" si="244"/>
        <v>8.8000000000000007</v>
      </c>
    </row>
    <row r="3742" spans="1:12" x14ac:dyDescent="0.3">
      <c r="A3742" s="3">
        <v>45673</v>
      </c>
      <c r="B3742" s="11" t="s">
        <v>4005</v>
      </c>
      <c r="C3742" s="50" t="s">
        <v>7399</v>
      </c>
      <c r="G3742" s="136">
        <v>2500</v>
      </c>
      <c r="H3742" s="88"/>
      <c r="I3742" s="88">
        <f t="shared" si="243"/>
        <v>53694.17</v>
      </c>
      <c r="L3742" s="2">
        <f t="shared" si="244"/>
        <v>10</v>
      </c>
    </row>
    <row r="3743" spans="1:12" x14ac:dyDescent="0.3">
      <c r="A3743" s="3">
        <v>45673</v>
      </c>
      <c r="C3743" s="50" t="s">
        <v>7133</v>
      </c>
      <c r="G3743" s="136">
        <v>10000</v>
      </c>
      <c r="H3743" s="88"/>
      <c r="I3743" s="88">
        <f t="shared" si="243"/>
        <v>63694.17</v>
      </c>
      <c r="L3743" s="2">
        <f t="shared" si="244"/>
        <v>20</v>
      </c>
    </row>
    <row r="3744" spans="1:12" x14ac:dyDescent="0.3">
      <c r="A3744" s="3">
        <v>45673</v>
      </c>
      <c r="B3744" s="11" t="s">
        <v>7400</v>
      </c>
      <c r="C3744" s="50" t="s">
        <v>7401</v>
      </c>
      <c r="G3744" s="136">
        <v>2500</v>
      </c>
      <c r="H3744" s="88"/>
      <c r="I3744" s="88">
        <f t="shared" si="243"/>
        <v>66194.17</v>
      </c>
      <c r="L3744" s="2">
        <f t="shared" si="244"/>
        <v>10</v>
      </c>
    </row>
    <row r="3745" spans="1:12" x14ac:dyDescent="0.3">
      <c r="A3745" s="3">
        <v>45673</v>
      </c>
      <c r="B3745" s="11" t="s">
        <v>2490</v>
      </c>
      <c r="C3745" s="50" t="s">
        <v>7245</v>
      </c>
      <c r="E3745" s="90" t="s">
        <v>4721</v>
      </c>
      <c r="G3745" s="136"/>
      <c r="H3745" s="88">
        <v>60000</v>
      </c>
      <c r="I3745" s="88">
        <f t="shared" si="243"/>
        <v>6194.1699999999983</v>
      </c>
    </row>
    <row r="3746" spans="1:12" x14ac:dyDescent="0.3">
      <c r="A3746" s="3">
        <v>45673</v>
      </c>
      <c r="B3746" s="11" t="s">
        <v>7302</v>
      </c>
      <c r="C3746" s="50" t="s">
        <v>7402</v>
      </c>
      <c r="G3746" s="88">
        <v>10000</v>
      </c>
      <c r="H3746" s="88"/>
      <c r="I3746" s="88">
        <f t="shared" si="243"/>
        <v>16194.169999999998</v>
      </c>
      <c r="L3746" s="2">
        <f t="shared" si="244"/>
        <v>20</v>
      </c>
    </row>
    <row r="3747" spans="1:12" x14ac:dyDescent="0.3">
      <c r="A3747" s="3">
        <v>45673</v>
      </c>
      <c r="B3747" s="11" t="s">
        <v>7174</v>
      </c>
      <c r="C3747" s="50" t="s">
        <v>7175</v>
      </c>
      <c r="G3747" s="88">
        <v>2500</v>
      </c>
      <c r="H3747" s="88"/>
      <c r="I3747" s="88">
        <f t="shared" si="243"/>
        <v>18694.169999999998</v>
      </c>
      <c r="L3747" s="2">
        <f t="shared" si="244"/>
        <v>10</v>
      </c>
    </row>
    <row r="3748" spans="1:12" x14ac:dyDescent="0.3">
      <c r="A3748" s="3">
        <v>45673</v>
      </c>
      <c r="B3748" s="11" t="s">
        <v>1250</v>
      </c>
      <c r="C3748" s="50" t="s">
        <v>2626</v>
      </c>
      <c r="G3748" s="88">
        <v>3000</v>
      </c>
      <c r="H3748" s="88"/>
      <c r="I3748" s="88">
        <f t="shared" ref="I3748:I3766" si="245">I3747+G3748-H3748</f>
        <v>21694.17</v>
      </c>
      <c r="L3748" s="2">
        <f t="shared" ref="L3748:L3766" si="246">IF((G3748+H3748)&lt;=5000,(H3748+G3748)*0.004,20)+IF(E3748="Y",25,0)</f>
        <v>12</v>
      </c>
    </row>
    <row r="3749" spans="1:12" x14ac:dyDescent="0.3">
      <c r="A3749" s="3">
        <v>45673</v>
      </c>
      <c r="B3749" s="11" t="s">
        <v>1250</v>
      </c>
      <c r="C3749" s="50" t="s">
        <v>7211</v>
      </c>
      <c r="G3749" s="88">
        <v>3450</v>
      </c>
      <c r="H3749" s="88"/>
      <c r="I3749" s="88">
        <f t="shared" si="245"/>
        <v>25144.17</v>
      </c>
      <c r="L3749" s="2">
        <f t="shared" si="246"/>
        <v>13.8</v>
      </c>
    </row>
    <row r="3750" spans="1:12" x14ac:dyDescent="0.3">
      <c r="A3750" s="3">
        <v>45674</v>
      </c>
      <c r="B3750" s="11" t="s">
        <v>1250</v>
      </c>
      <c r="C3750" s="50" t="s">
        <v>7403</v>
      </c>
      <c r="G3750" s="88">
        <v>1200</v>
      </c>
      <c r="H3750" s="88"/>
      <c r="I3750" s="88">
        <f t="shared" si="245"/>
        <v>26344.17</v>
      </c>
      <c r="L3750" s="2">
        <f t="shared" si="246"/>
        <v>4.8</v>
      </c>
    </row>
    <row r="3751" spans="1:12" x14ac:dyDescent="0.3">
      <c r="A3751" s="3">
        <v>45674</v>
      </c>
      <c r="B3751" s="11" t="s">
        <v>3865</v>
      </c>
      <c r="C3751" s="50" t="s">
        <v>2892</v>
      </c>
      <c r="G3751" s="88">
        <v>10000</v>
      </c>
      <c r="H3751" s="88"/>
      <c r="I3751" s="88">
        <f t="shared" si="245"/>
        <v>36344.17</v>
      </c>
      <c r="L3751" s="2">
        <f t="shared" si="246"/>
        <v>20</v>
      </c>
    </row>
    <row r="3752" spans="1:12" x14ac:dyDescent="0.3">
      <c r="A3752" s="3">
        <v>45674</v>
      </c>
      <c r="B3752" s="11" t="s">
        <v>7405</v>
      </c>
      <c r="C3752" s="50" t="s">
        <v>7407</v>
      </c>
      <c r="E3752" s="90" t="s">
        <v>16</v>
      </c>
      <c r="G3752" s="88"/>
      <c r="H3752" s="88">
        <v>2000</v>
      </c>
      <c r="I3752" s="88">
        <f t="shared" si="245"/>
        <v>34344.17</v>
      </c>
      <c r="L3752" s="2">
        <f t="shared" si="246"/>
        <v>33</v>
      </c>
    </row>
    <row r="3753" spans="1:12" x14ac:dyDescent="0.3">
      <c r="A3753" s="3">
        <v>45674</v>
      </c>
      <c r="B3753" s="11" t="s">
        <v>5407</v>
      </c>
      <c r="C3753" s="50" t="s">
        <v>7408</v>
      </c>
      <c r="G3753" s="88">
        <v>3000</v>
      </c>
      <c r="H3753" s="88"/>
      <c r="I3753" s="88">
        <f t="shared" si="245"/>
        <v>37344.17</v>
      </c>
      <c r="L3753" s="2">
        <f t="shared" si="246"/>
        <v>12</v>
      </c>
    </row>
    <row r="3754" spans="1:12" x14ac:dyDescent="0.3">
      <c r="A3754" s="3">
        <v>45674</v>
      </c>
      <c r="B3754" s="11" t="s">
        <v>1160</v>
      </c>
      <c r="C3754" s="50" t="s">
        <v>6480</v>
      </c>
      <c r="G3754" s="88">
        <v>1500</v>
      </c>
      <c r="H3754" s="88"/>
      <c r="I3754" s="88">
        <f t="shared" si="245"/>
        <v>38844.17</v>
      </c>
      <c r="L3754" s="2">
        <f t="shared" si="246"/>
        <v>6</v>
      </c>
    </row>
    <row r="3755" spans="1:12" x14ac:dyDescent="0.3">
      <c r="A3755" s="3">
        <v>45674</v>
      </c>
      <c r="B3755" s="11" t="s">
        <v>3541</v>
      </c>
      <c r="C3755" s="50" t="s">
        <v>7292</v>
      </c>
      <c r="G3755" s="88">
        <v>3000</v>
      </c>
      <c r="H3755" s="88"/>
      <c r="I3755" s="88">
        <f t="shared" si="245"/>
        <v>41844.17</v>
      </c>
      <c r="L3755" s="2">
        <f t="shared" si="246"/>
        <v>12</v>
      </c>
    </row>
    <row r="3756" spans="1:12" x14ac:dyDescent="0.3">
      <c r="A3756" s="3">
        <v>45674</v>
      </c>
      <c r="B3756" s="11" t="s">
        <v>5458</v>
      </c>
      <c r="C3756" s="50" t="s">
        <v>7409</v>
      </c>
      <c r="G3756" s="88">
        <v>1700</v>
      </c>
      <c r="H3756" s="88"/>
      <c r="I3756" s="88">
        <f t="shared" si="245"/>
        <v>43544.17</v>
      </c>
      <c r="L3756" s="2">
        <f t="shared" si="246"/>
        <v>6.8</v>
      </c>
    </row>
    <row r="3757" spans="1:12" x14ac:dyDescent="0.3">
      <c r="A3757" s="3">
        <v>45674</v>
      </c>
      <c r="B3757" s="11" t="s">
        <v>1160</v>
      </c>
      <c r="C3757" s="50" t="s">
        <v>6424</v>
      </c>
      <c r="G3757" s="88">
        <v>4000</v>
      </c>
      <c r="H3757" s="88"/>
      <c r="I3757" s="88">
        <f t="shared" si="245"/>
        <v>47544.17</v>
      </c>
      <c r="L3757" s="2">
        <f t="shared" si="246"/>
        <v>16</v>
      </c>
    </row>
    <row r="3758" spans="1:12" x14ac:dyDescent="0.3">
      <c r="A3758" s="3">
        <v>45674</v>
      </c>
      <c r="B3758" s="11" t="s">
        <v>1250</v>
      </c>
      <c r="C3758" s="50" t="s">
        <v>7410</v>
      </c>
      <c r="G3758" s="88">
        <v>10000</v>
      </c>
      <c r="H3758" s="88"/>
      <c r="I3758" s="88">
        <f t="shared" si="245"/>
        <v>57544.17</v>
      </c>
      <c r="L3758" s="2">
        <f t="shared" si="246"/>
        <v>20</v>
      </c>
    </row>
    <row r="3759" spans="1:12" x14ac:dyDescent="0.3">
      <c r="A3759" s="3">
        <v>45674</v>
      </c>
      <c r="C3759" s="50" t="s">
        <v>7411</v>
      </c>
      <c r="G3759" s="88"/>
      <c r="H3759" s="88">
        <v>8000</v>
      </c>
      <c r="I3759" s="88">
        <f t="shared" si="245"/>
        <v>49544.17</v>
      </c>
      <c r="L3759" s="2">
        <f t="shared" si="246"/>
        <v>20</v>
      </c>
    </row>
    <row r="3760" spans="1:12" x14ac:dyDescent="0.3">
      <c r="A3760" s="3">
        <v>45674</v>
      </c>
      <c r="C3760" s="50" t="s">
        <v>7245</v>
      </c>
      <c r="E3760" s="90" t="s">
        <v>4721</v>
      </c>
      <c r="G3760" s="88"/>
      <c r="H3760" s="88">
        <v>47000</v>
      </c>
      <c r="I3760" s="88">
        <f t="shared" si="245"/>
        <v>2544.1699999999983</v>
      </c>
      <c r="L3760" s="2">
        <f t="shared" si="246"/>
        <v>20</v>
      </c>
    </row>
    <row r="3761" spans="1:12" x14ac:dyDescent="0.3">
      <c r="A3761" s="3">
        <v>45674</v>
      </c>
      <c r="B3761" s="11" t="s">
        <v>1250</v>
      </c>
      <c r="C3761" s="50" t="s">
        <v>7412</v>
      </c>
      <c r="G3761" s="88"/>
      <c r="H3761" s="88">
        <v>900</v>
      </c>
      <c r="I3761" s="88">
        <f t="shared" si="245"/>
        <v>1644.1699999999983</v>
      </c>
      <c r="L3761" s="2">
        <f t="shared" si="246"/>
        <v>3.6</v>
      </c>
    </row>
    <row r="3762" spans="1:12" x14ac:dyDescent="0.3">
      <c r="A3762" s="3">
        <v>45674</v>
      </c>
      <c r="B3762" s="11" t="s">
        <v>1250</v>
      </c>
      <c r="C3762" s="50" t="s">
        <v>3139</v>
      </c>
      <c r="G3762" s="88">
        <v>2000</v>
      </c>
      <c r="H3762" s="88"/>
      <c r="I3762" s="88">
        <f t="shared" si="245"/>
        <v>3644.1699999999983</v>
      </c>
      <c r="L3762" s="2">
        <f t="shared" si="246"/>
        <v>8</v>
      </c>
    </row>
    <row r="3763" spans="1:12" x14ac:dyDescent="0.3">
      <c r="A3763" s="3">
        <v>45674</v>
      </c>
      <c r="B3763" s="11" t="s">
        <v>7414</v>
      </c>
      <c r="C3763" s="65" t="s">
        <v>164</v>
      </c>
      <c r="E3763" s="90" t="s">
        <v>16</v>
      </c>
      <c r="G3763" s="88"/>
      <c r="H3763" s="88">
        <v>500</v>
      </c>
      <c r="I3763" s="88">
        <f t="shared" si="245"/>
        <v>3144.1699999999983</v>
      </c>
      <c r="L3763" s="2">
        <f t="shared" si="246"/>
        <v>27</v>
      </c>
    </row>
    <row r="3764" spans="1:12" x14ac:dyDescent="0.3">
      <c r="A3764" s="3">
        <v>45675</v>
      </c>
      <c r="B3764" s="11" t="s">
        <v>7416</v>
      </c>
      <c r="C3764" s="50" t="s">
        <v>7417</v>
      </c>
      <c r="G3764" s="88">
        <v>700</v>
      </c>
      <c r="H3764" s="88"/>
      <c r="I3764" s="88">
        <f t="shared" si="245"/>
        <v>3844.1699999999983</v>
      </c>
      <c r="L3764" s="2">
        <f t="shared" si="246"/>
        <v>2.8000000000000003</v>
      </c>
    </row>
    <row r="3765" spans="1:12" x14ac:dyDescent="0.3">
      <c r="A3765" s="3">
        <v>45675</v>
      </c>
      <c r="B3765" s="11" t="s">
        <v>1250</v>
      </c>
      <c r="C3765" s="50" t="s">
        <v>7372</v>
      </c>
      <c r="G3765" s="88">
        <v>10000</v>
      </c>
      <c r="H3765" s="88"/>
      <c r="I3765" s="88">
        <f t="shared" si="245"/>
        <v>13844.169999999998</v>
      </c>
      <c r="L3765" s="2">
        <f t="shared" si="246"/>
        <v>20</v>
      </c>
    </row>
    <row r="3766" spans="1:12" x14ac:dyDescent="0.3">
      <c r="A3766" s="3">
        <v>45675</v>
      </c>
      <c r="B3766" s="11" t="s">
        <v>7418</v>
      </c>
      <c r="C3766" s="50" t="s">
        <v>6651</v>
      </c>
      <c r="G3766" s="88">
        <v>2500</v>
      </c>
      <c r="H3766" s="88"/>
      <c r="I3766" s="88">
        <f t="shared" si="245"/>
        <v>16344.169999999998</v>
      </c>
      <c r="L3766" s="2">
        <f t="shared" si="246"/>
        <v>10</v>
      </c>
    </row>
    <row r="3767" spans="1:12" x14ac:dyDescent="0.3">
      <c r="A3767" s="3">
        <v>45675</v>
      </c>
      <c r="B3767" s="11" t="s">
        <v>3865</v>
      </c>
      <c r="C3767" s="50" t="s">
        <v>2890</v>
      </c>
      <c r="G3767" s="88">
        <v>10000</v>
      </c>
      <c r="H3767" s="88"/>
      <c r="I3767" s="88">
        <f t="shared" si="243"/>
        <v>26344.17</v>
      </c>
      <c r="L3767" s="2">
        <f t="shared" si="244"/>
        <v>20</v>
      </c>
    </row>
    <row r="3768" spans="1:12" x14ac:dyDescent="0.3">
      <c r="A3768" s="3">
        <v>45675</v>
      </c>
      <c r="B3768" s="11" t="s">
        <v>3148</v>
      </c>
      <c r="C3768" s="50" t="s">
        <v>7211</v>
      </c>
      <c r="G3768" s="88">
        <v>1400</v>
      </c>
      <c r="H3768" s="88"/>
      <c r="I3768" s="88">
        <f t="shared" ref="I3768:I3794" si="247">I3767+G3768-H3768</f>
        <v>27744.17</v>
      </c>
      <c r="L3768" s="2">
        <f t="shared" ref="L3768:L3794" si="248">IF((G3768+H3768)&lt;=5000,(H3768+G3768)*0.004,20)+IF(E3768="Y",25,0)</f>
        <v>5.6000000000000005</v>
      </c>
    </row>
    <row r="3769" spans="1:12" x14ac:dyDescent="0.3">
      <c r="A3769" s="3">
        <v>45675</v>
      </c>
      <c r="B3769" s="11" t="s">
        <v>5294</v>
      </c>
      <c r="C3769" s="50" t="s">
        <v>7419</v>
      </c>
      <c r="G3769" s="88">
        <v>3500</v>
      </c>
      <c r="H3769" s="88"/>
      <c r="I3769" s="88">
        <f t="shared" si="247"/>
        <v>31244.17</v>
      </c>
      <c r="L3769" s="2">
        <f t="shared" si="248"/>
        <v>14</v>
      </c>
    </row>
    <row r="3770" spans="1:12" x14ac:dyDescent="0.3">
      <c r="A3770" s="3">
        <v>45675</v>
      </c>
      <c r="C3770" s="50" t="s">
        <v>7245</v>
      </c>
      <c r="E3770" s="90" t="s">
        <v>7420</v>
      </c>
      <c r="G3770" s="88"/>
      <c r="H3770" s="88">
        <v>30000</v>
      </c>
      <c r="I3770" s="88">
        <f t="shared" si="247"/>
        <v>1244.1699999999983</v>
      </c>
    </row>
    <row r="3771" spans="1:12" x14ac:dyDescent="0.3">
      <c r="A3771" s="3">
        <v>45675</v>
      </c>
      <c r="B3771" s="11" t="s">
        <v>7174</v>
      </c>
      <c r="C3771" s="50" t="s">
        <v>7421</v>
      </c>
      <c r="G3771" s="88">
        <v>1000</v>
      </c>
      <c r="H3771" s="88"/>
      <c r="I3771" s="88">
        <f t="shared" si="247"/>
        <v>2244.1699999999983</v>
      </c>
      <c r="L3771" s="2">
        <f t="shared" ref="L3771:L3791" si="249">IF((G3771+H3771)&lt;=5000,(H3771+G3771)*0.004,20)+IF(E3771="Y",25,0)</f>
        <v>4</v>
      </c>
    </row>
    <row r="3772" spans="1:12" x14ac:dyDescent="0.3">
      <c r="A3772" s="3">
        <v>45675</v>
      </c>
      <c r="B3772" s="11" t="s">
        <v>7423</v>
      </c>
      <c r="C3772" s="65" t="s">
        <v>7424</v>
      </c>
      <c r="E3772" s="90" t="s">
        <v>16</v>
      </c>
      <c r="G3772" s="88"/>
      <c r="H3772" s="88">
        <v>400</v>
      </c>
      <c r="I3772" s="88">
        <f t="shared" si="247"/>
        <v>1844.1699999999983</v>
      </c>
      <c r="J3772">
        <v>75</v>
      </c>
      <c r="L3772" s="2">
        <f t="shared" si="249"/>
        <v>26.6</v>
      </c>
    </row>
    <row r="3773" spans="1:12" x14ac:dyDescent="0.3">
      <c r="A3773" s="3">
        <v>45677</v>
      </c>
      <c r="B3773" s="11" t="s">
        <v>6797</v>
      </c>
      <c r="C3773" s="50" t="s">
        <v>7428</v>
      </c>
      <c r="G3773" s="88">
        <v>3000</v>
      </c>
      <c r="H3773" s="88"/>
      <c r="I3773" s="88">
        <f t="shared" si="247"/>
        <v>4844.1699999999983</v>
      </c>
      <c r="L3773" s="2">
        <f t="shared" si="249"/>
        <v>12</v>
      </c>
    </row>
    <row r="3774" spans="1:12" x14ac:dyDescent="0.3">
      <c r="A3774" s="3">
        <v>45677</v>
      </c>
      <c r="B3774" s="11" t="s">
        <v>3955</v>
      </c>
      <c r="C3774" s="50" t="s">
        <v>7429</v>
      </c>
      <c r="G3774" s="88">
        <v>2000</v>
      </c>
      <c r="H3774" s="88"/>
      <c r="I3774" s="88">
        <f t="shared" si="247"/>
        <v>6844.1699999999983</v>
      </c>
      <c r="L3774" s="2">
        <f t="shared" si="249"/>
        <v>8</v>
      </c>
    </row>
    <row r="3775" spans="1:12" x14ac:dyDescent="0.3">
      <c r="A3775" s="3">
        <v>45677</v>
      </c>
      <c r="B3775" s="11" t="s">
        <v>2448</v>
      </c>
      <c r="C3775" s="50" t="s">
        <v>7427</v>
      </c>
      <c r="G3775" s="88"/>
      <c r="H3775" s="88">
        <v>3500</v>
      </c>
      <c r="I3775" s="88">
        <f t="shared" si="247"/>
        <v>3344.1699999999983</v>
      </c>
      <c r="L3775" s="2">
        <f t="shared" si="249"/>
        <v>14</v>
      </c>
    </row>
    <row r="3776" spans="1:12" x14ac:dyDescent="0.3">
      <c r="A3776" s="3">
        <v>45677</v>
      </c>
      <c r="B3776" s="11" t="s">
        <v>1250</v>
      </c>
      <c r="C3776" s="50" t="s">
        <v>7359</v>
      </c>
      <c r="G3776" s="88">
        <v>3000</v>
      </c>
      <c r="H3776" s="88"/>
      <c r="I3776" s="88">
        <f t="shared" si="247"/>
        <v>6344.1699999999983</v>
      </c>
      <c r="L3776" s="2">
        <f t="shared" si="249"/>
        <v>12</v>
      </c>
    </row>
    <row r="3777" spans="1:12" x14ac:dyDescent="0.3">
      <c r="A3777" s="3">
        <v>45677</v>
      </c>
      <c r="B3777" s="11" t="s">
        <v>6890</v>
      </c>
      <c r="C3777" s="50" t="s">
        <v>6891</v>
      </c>
      <c r="G3777" s="88"/>
      <c r="H3777" s="88">
        <v>5000</v>
      </c>
      <c r="I3777" s="88">
        <f t="shared" si="247"/>
        <v>1344.1699999999983</v>
      </c>
      <c r="L3777" s="2">
        <f t="shared" si="249"/>
        <v>20</v>
      </c>
    </row>
    <row r="3778" spans="1:12" x14ac:dyDescent="0.3">
      <c r="A3778" s="3">
        <v>45677</v>
      </c>
      <c r="C3778" s="50" t="s">
        <v>7245</v>
      </c>
      <c r="E3778" s="90" t="s">
        <v>4721</v>
      </c>
      <c r="G3778" s="88">
        <v>15000</v>
      </c>
      <c r="H3778" s="88"/>
      <c r="I3778" s="88">
        <f t="shared" si="247"/>
        <v>16344.169999999998</v>
      </c>
      <c r="L3778" s="2">
        <f t="shared" si="249"/>
        <v>20</v>
      </c>
    </row>
    <row r="3779" spans="1:12" x14ac:dyDescent="0.3">
      <c r="A3779" s="3">
        <v>45677</v>
      </c>
      <c r="B3779" s="11" t="s">
        <v>7431</v>
      </c>
      <c r="C3779" s="50" t="s">
        <v>7430</v>
      </c>
      <c r="G3779" s="88"/>
      <c r="H3779" s="88">
        <v>4500</v>
      </c>
      <c r="I3779" s="88">
        <f t="shared" si="247"/>
        <v>11844.169999999998</v>
      </c>
      <c r="L3779" s="2">
        <f t="shared" si="249"/>
        <v>18</v>
      </c>
    </row>
    <row r="3780" spans="1:12" x14ac:dyDescent="0.3">
      <c r="A3780" s="3">
        <v>45677</v>
      </c>
      <c r="B3780" s="11" t="s">
        <v>7432</v>
      </c>
      <c r="C3780" s="50" t="s">
        <v>629</v>
      </c>
      <c r="G3780" s="88">
        <v>2500</v>
      </c>
      <c r="H3780" s="88"/>
      <c r="I3780" s="88">
        <f t="shared" si="247"/>
        <v>14344.169999999998</v>
      </c>
      <c r="L3780" s="2">
        <f t="shared" si="249"/>
        <v>10</v>
      </c>
    </row>
    <row r="3781" spans="1:12" x14ac:dyDescent="0.3">
      <c r="A3781" s="3">
        <v>45677</v>
      </c>
      <c r="B3781" s="11" t="s">
        <v>4795</v>
      </c>
      <c r="C3781" s="50" t="s">
        <v>7433</v>
      </c>
      <c r="G3781" s="88"/>
      <c r="H3781" s="88">
        <v>5000</v>
      </c>
      <c r="I3781" s="88">
        <f t="shared" si="247"/>
        <v>9344.1699999999983</v>
      </c>
      <c r="L3781" s="2">
        <f t="shared" si="249"/>
        <v>20</v>
      </c>
    </row>
    <row r="3782" spans="1:12" x14ac:dyDescent="0.3">
      <c r="A3782" s="3">
        <v>45677</v>
      </c>
      <c r="B3782" s="11" t="s">
        <v>6902</v>
      </c>
      <c r="C3782" s="50" t="s">
        <v>6903</v>
      </c>
      <c r="G3782" s="88">
        <v>2500</v>
      </c>
      <c r="H3782" s="88"/>
      <c r="I3782" s="88">
        <f t="shared" si="247"/>
        <v>11844.169999999998</v>
      </c>
      <c r="L3782" s="2">
        <f t="shared" si="249"/>
        <v>10</v>
      </c>
    </row>
    <row r="3783" spans="1:12" x14ac:dyDescent="0.3">
      <c r="A3783" s="3">
        <v>45677</v>
      </c>
      <c r="B3783" s="11" t="s">
        <v>1250</v>
      </c>
      <c r="C3783" s="50" t="s">
        <v>7434</v>
      </c>
      <c r="G3783" s="88">
        <v>2500</v>
      </c>
      <c r="H3783" s="88"/>
      <c r="I3783" s="88">
        <f t="shared" si="247"/>
        <v>14344.169999999998</v>
      </c>
      <c r="L3783" s="2">
        <f t="shared" si="249"/>
        <v>10</v>
      </c>
    </row>
    <row r="3784" spans="1:12" x14ac:dyDescent="0.3">
      <c r="A3784" s="3">
        <v>45677</v>
      </c>
      <c r="B3784" s="11" t="s">
        <v>1250</v>
      </c>
      <c r="C3784" s="50" t="s">
        <v>6936</v>
      </c>
      <c r="G3784" s="88">
        <v>10000</v>
      </c>
      <c r="H3784" s="88"/>
      <c r="I3784" s="88">
        <f t="shared" si="247"/>
        <v>24344.17</v>
      </c>
      <c r="L3784" s="2">
        <f t="shared" si="249"/>
        <v>20</v>
      </c>
    </row>
    <row r="3785" spans="1:12" x14ac:dyDescent="0.3">
      <c r="A3785" s="3">
        <v>45677</v>
      </c>
      <c r="B3785" s="11" t="s">
        <v>7053</v>
      </c>
      <c r="C3785" s="50" t="s">
        <v>3416</v>
      </c>
      <c r="G3785" s="88">
        <v>800</v>
      </c>
      <c r="H3785" s="88"/>
      <c r="I3785" s="88">
        <f t="shared" si="247"/>
        <v>25144.17</v>
      </c>
      <c r="L3785" s="2">
        <f t="shared" si="249"/>
        <v>3.2</v>
      </c>
    </row>
    <row r="3786" spans="1:12" x14ac:dyDescent="0.3">
      <c r="A3786" s="3">
        <v>45677</v>
      </c>
      <c r="B3786" s="11" t="s">
        <v>1250</v>
      </c>
      <c r="C3786" s="50" t="s">
        <v>7435</v>
      </c>
      <c r="G3786" s="88">
        <v>2500</v>
      </c>
      <c r="H3786" s="88"/>
      <c r="I3786" s="88">
        <f t="shared" si="247"/>
        <v>27644.17</v>
      </c>
      <c r="L3786" s="2">
        <f t="shared" si="249"/>
        <v>10</v>
      </c>
    </row>
    <row r="3787" spans="1:12" x14ac:dyDescent="0.3">
      <c r="A3787" s="3">
        <v>45677</v>
      </c>
      <c r="C3787" s="50" t="s">
        <v>2290</v>
      </c>
      <c r="E3787" s="90" t="s">
        <v>4721</v>
      </c>
      <c r="G3787" s="88"/>
      <c r="H3787" s="88">
        <v>15000</v>
      </c>
      <c r="I3787" s="88">
        <f t="shared" si="247"/>
        <v>12644.169999999998</v>
      </c>
    </row>
    <row r="3788" spans="1:12" x14ac:dyDescent="0.3">
      <c r="A3788" s="3">
        <v>45677</v>
      </c>
      <c r="B3788" s="11" t="s">
        <v>1250</v>
      </c>
      <c r="C3788" s="50" t="s">
        <v>6658</v>
      </c>
      <c r="G3788" s="88">
        <v>2700</v>
      </c>
      <c r="H3788" s="88"/>
      <c r="I3788" s="88">
        <f t="shared" si="247"/>
        <v>15344.169999999998</v>
      </c>
      <c r="L3788" s="2">
        <f t="shared" si="249"/>
        <v>10.8</v>
      </c>
    </row>
    <row r="3789" spans="1:12" x14ac:dyDescent="0.3">
      <c r="A3789" s="3">
        <v>45677</v>
      </c>
      <c r="B3789" s="11" t="s">
        <v>1250</v>
      </c>
      <c r="C3789" s="50" t="s">
        <v>7258</v>
      </c>
      <c r="G3789" s="88">
        <v>2500</v>
      </c>
      <c r="H3789" s="88"/>
      <c r="I3789" s="88">
        <f t="shared" si="247"/>
        <v>17844.169999999998</v>
      </c>
      <c r="L3789" s="2">
        <f t="shared" si="249"/>
        <v>10</v>
      </c>
    </row>
    <row r="3790" spans="1:12" x14ac:dyDescent="0.3">
      <c r="A3790" s="3">
        <v>45677</v>
      </c>
      <c r="B3790" s="11" t="s">
        <v>6893</v>
      </c>
      <c r="C3790" s="50" t="s">
        <v>7436</v>
      </c>
      <c r="G3790" s="88">
        <v>2500</v>
      </c>
      <c r="H3790" s="88"/>
      <c r="I3790" s="88">
        <f t="shared" si="247"/>
        <v>20344.169999999998</v>
      </c>
      <c r="L3790" s="2">
        <f t="shared" si="249"/>
        <v>10</v>
      </c>
    </row>
    <row r="3791" spans="1:12" x14ac:dyDescent="0.3">
      <c r="A3791" s="3">
        <v>45678</v>
      </c>
      <c r="B3791" s="11" t="s">
        <v>2241</v>
      </c>
      <c r="C3791" s="50" t="s">
        <v>7437</v>
      </c>
      <c r="G3791" s="88">
        <v>3000</v>
      </c>
      <c r="H3791" s="88"/>
      <c r="I3791" s="88">
        <f t="shared" si="247"/>
        <v>23344.17</v>
      </c>
      <c r="L3791" s="2">
        <f t="shared" si="249"/>
        <v>12</v>
      </c>
    </row>
    <row r="3792" spans="1:12" x14ac:dyDescent="0.3">
      <c r="A3792" s="3">
        <v>45678</v>
      </c>
      <c r="B3792" s="11" t="s">
        <v>3232</v>
      </c>
      <c r="C3792" s="50" t="s">
        <v>7438</v>
      </c>
      <c r="G3792" s="88">
        <v>3000</v>
      </c>
      <c r="H3792" s="88"/>
      <c r="I3792" s="88">
        <f t="shared" si="247"/>
        <v>26344.17</v>
      </c>
      <c r="L3792" s="2">
        <f t="shared" si="248"/>
        <v>12</v>
      </c>
    </row>
    <row r="3793" spans="1:12" x14ac:dyDescent="0.3">
      <c r="A3793" s="3">
        <v>45678</v>
      </c>
      <c r="B3793" s="11" t="s">
        <v>7439</v>
      </c>
      <c r="C3793" s="50" t="s">
        <v>7117</v>
      </c>
      <c r="G3793" s="88"/>
      <c r="H3793" s="88">
        <v>5500</v>
      </c>
      <c r="I3793" s="88">
        <f t="shared" si="247"/>
        <v>20844.169999999998</v>
      </c>
      <c r="L3793" s="2">
        <f t="shared" si="248"/>
        <v>20</v>
      </c>
    </row>
    <row r="3794" spans="1:12" x14ac:dyDescent="0.3">
      <c r="A3794" s="3">
        <v>45678</v>
      </c>
      <c r="B3794" s="11" t="s">
        <v>7440</v>
      </c>
      <c r="C3794" s="50" t="s">
        <v>7242</v>
      </c>
      <c r="G3794" s="88">
        <v>10000</v>
      </c>
      <c r="H3794" s="88"/>
      <c r="I3794" s="88">
        <f t="shared" si="247"/>
        <v>30844.17</v>
      </c>
      <c r="J3794" t="s">
        <v>7441</v>
      </c>
      <c r="L3794" s="2">
        <f t="shared" si="248"/>
        <v>20</v>
      </c>
    </row>
    <row r="3795" spans="1:12" x14ac:dyDescent="0.3">
      <c r="A3795" s="3">
        <v>45678</v>
      </c>
      <c r="B3795" s="11" t="s">
        <v>1250</v>
      </c>
      <c r="C3795" s="50" t="s">
        <v>5981</v>
      </c>
      <c r="G3795" s="88">
        <v>500</v>
      </c>
      <c r="H3795" s="88"/>
      <c r="I3795" s="88">
        <f t="shared" ref="I3795:I3809" si="250">I3794+G3795-H3795</f>
        <v>31344.17</v>
      </c>
      <c r="L3795" s="2">
        <f t="shared" ref="L3795:L3809" si="251">IF((G3795+H3795)&lt;=5000,(H3795+G3795)*0.004,20)+IF(E3795="Y",25,0)</f>
        <v>2</v>
      </c>
    </row>
    <row r="3796" spans="1:12" x14ac:dyDescent="0.3">
      <c r="A3796" s="3">
        <v>45678</v>
      </c>
      <c r="B3796" s="11" t="s">
        <v>1250</v>
      </c>
      <c r="C3796" s="50" t="s">
        <v>7442</v>
      </c>
      <c r="G3796" s="88">
        <v>1000</v>
      </c>
      <c r="H3796" s="88"/>
      <c r="I3796" s="88">
        <f t="shared" si="250"/>
        <v>32344.17</v>
      </c>
      <c r="L3796" s="2">
        <f t="shared" si="251"/>
        <v>4</v>
      </c>
    </row>
    <row r="3797" spans="1:12" x14ac:dyDescent="0.3">
      <c r="A3797" s="3">
        <v>45678</v>
      </c>
      <c r="B3797" s="11" t="s">
        <v>4599</v>
      </c>
      <c r="C3797" s="50" t="s">
        <v>4601</v>
      </c>
      <c r="G3797" s="88">
        <v>2500</v>
      </c>
      <c r="H3797" s="88"/>
      <c r="I3797" s="88">
        <f t="shared" si="250"/>
        <v>34844.17</v>
      </c>
      <c r="L3797" s="2">
        <f t="shared" si="251"/>
        <v>10</v>
      </c>
    </row>
    <row r="3798" spans="1:12" x14ac:dyDescent="0.3">
      <c r="A3798" s="3">
        <v>45678</v>
      </c>
      <c r="B3798" s="11" t="s">
        <v>6844</v>
      </c>
      <c r="C3798" s="50" t="s">
        <v>7046</v>
      </c>
      <c r="G3798" s="88"/>
      <c r="H3798" s="88">
        <v>4200</v>
      </c>
      <c r="I3798" s="88">
        <f t="shared" si="250"/>
        <v>30644.17</v>
      </c>
      <c r="L3798" s="2">
        <f t="shared" si="251"/>
        <v>16.8</v>
      </c>
    </row>
    <row r="3799" spans="1:12" x14ac:dyDescent="0.3">
      <c r="A3799" s="3">
        <v>45678</v>
      </c>
      <c r="B3799" s="11" t="s">
        <v>7454</v>
      </c>
      <c r="C3799" s="65" t="s">
        <v>7455</v>
      </c>
      <c r="H3799" s="88">
        <v>500</v>
      </c>
      <c r="I3799" s="88">
        <f t="shared" si="250"/>
        <v>30144.17</v>
      </c>
      <c r="L3799" s="2">
        <f>IF((G3802+H3799)&lt;=5000,(H3799+G3802)*0.004,20)+IF(E3802="Y",25,0)</f>
        <v>33</v>
      </c>
    </row>
    <row r="3800" spans="1:12" x14ac:dyDescent="0.3">
      <c r="A3800" s="3">
        <v>45678</v>
      </c>
      <c r="B3800" s="11" t="s">
        <v>7444</v>
      </c>
      <c r="C3800" s="65" t="s">
        <v>7445</v>
      </c>
      <c r="E3800" s="90" t="s">
        <v>16</v>
      </c>
      <c r="G3800" s="88"/>
      <c r="H3800" s="88">
        <v>500</v>
      </c>
      <c r="I3800" s="88">
        <f t="shared" si="250"/>
        <v>29644.17</v>
      </c>
      <c r="L3800" s="2">
        <f t="shared" si="251"/>
        <v>27</v>
      </c>
    </row>
    <row r="3801" spans="1:12" x14ac:dyDescent="0.3">
      <c r="A3801" s="3">
        <v>45678</v>
      </c>
      <c r="B3801" s="11" t="s">
        <v>7448</v>
      </c>
      <c r="C3801" s="65" t="s">
        <v>7449</v>
      </c>
      <c r="E3801" s="90" t="s">
        <v>16</v>
      </c>
      <c r="G3801" s="88"/>
      <c r="H3801" s="88">
        <v>500</v>
      </c>
      <c r="I3801" s="88">
        <f t="shared" si="250"/>
        <v>29144.17</v>
      </c>
      <c r="L3801" s="2">
        <f t="shared" si="251"/>
        <v>27</v>
      </c>
    </row>
    <row r="3802" spans="1:12" x14ac:dyDescent="0.3">
      <c r="A3802" s="3">
        <v>45678</v>
      </c>
      <c r="B3802" s="11" t="s">
        <v>1250</v>
      </c>
      <c r="C3802" s="50" t="s">
        <v>7453</v>
      </c>
      <c r="E3802" s="90" t="s">
        <v>16</v>
      </c>
      <c r="G3802" s="88">
        <v>1500</v>
      </c>
      <c r="H3802" s="88"/>
      <c r="I3802" s="88">
        <f t="shared" si="250"/>
        <v>30644.17</v>
      </c>
      <c r="L3802" s="2">
        <v>0</v>
      </c>
    </row>
    <row r="3803" spans="1:12" x14ac:dyDescent="0.3">
      <c r="A3803" s="3">
        <v>45678</v>
      </c>
      <c r="C3803" s="50" t="s">
        <v>7245</v>
      </c>
      <c r="E3803" s="90" t="s">
        <v>4721</v>
      </c>
      <c r="G3803" s="88"/>
      <c r="H3803" s="88">
        <v>25000</v>
      </c>
      <c r="I3803" s="88">
        <f t="shared" si="250"/>
        <v>5644.1699999999983</v>
      </c>
      <c r="L3803" s="2">
        <f t="shared" si="251"/>
        <v>20</v>
      </c>
    </row>
    <row r="3804" spans="1:12" x14ac:dyDescent="0.3">
      <c r="A3804" s="3">
        <v>45678</v>
      </c>
      <c r="B3804" s="11" t="s">
        <v>5383</v>
      </c>
      <c r="C3804" s="50" t="s">
        <v>7278</v>
      </c>
      <c r="G3804" s="88">
        <v>2300</v>
      </c>
      <c r="H3804" s="88"/>
      <c r="I3804" s="88">
        <f t="shared" si="250"/>
        <v>7944.1699999999983</v>
      </c>
      <c r="L3804" s="2">
        <f t="shared" si="251"/>
        <v>9.2000000000000011</v>
      </c>
    </row>
    <row r="3805" spans="1:12" x14ac:dyDescent="0.3">
      <c r="A3805" s="3">
        <v>45678</v>
      </c>
      <c r="B3805" s="11" t="s">
        <v>1250</v>
      </c>
      <c r="C3805" s="50" t="s">
        <v>7133</v>
      </c>
      <c r="G3805" s="88">
        <v>10000</v>
      </c>
      <c r="H3805" s="88"/>
      <c r="I3805" s="88">
        <f t="shared" si="250"/>
        <v>17944.169999999998</v>
      </c>
      <c r="L3805" s="2">
        <f t="shared" si="251"/>
        <v>20</v>
      </c>
    </row>
    <row r="3806" spans="1:12" x14ac:dyDescent="0.3">
      <c r="A3806" s="3">
        <v>45678</v>
      </c>
      <c r="B3806" s="11" t="s">
        <v>6687</v>
      </c>
      <c r="C3806" s="50" t="s">
        <v>6688</v>
      </c>
      <c r="G3806" s="88">
        <v>4100</v>
      </c>
      <c r="H3806" s="88"/>
      <c r="I3806" s="88">
        <f t="shared" si="250"/>
        <v>22044.17</v>
      </c>
      <c r="L3806" s="2">
        <f t="shared" si="251"/>
        <v>16.399999999999999</v>
      </c>
    </row>
    <row r="3807" spans="1:12" x14ac:dyDescent="0.3">
      <c r="A3807" s="3">
        <v>45678</v>
      </c>
      <c r="B3807" s="11" t="s">
        <v>6105</v>
      </c>
      <c r="C3807" s="50" t="s">
        <v>7457</v>
      </c>
      <c r="G3807" s="88"/>
      <c r="H3807" s="88">
        <v>2000</v>
      </c>
      <c r="I3807" s="88">
        <f t="shared" si="250"/>
        <v>20044.169999999998</v>
      </c>
      <c r="L3807" s="2">
        <f t="shared" si="251"/>
        <v>8</v>
      </c>
    </row>
    <row r="3808" spans="1:12" x14ac:dyDescent="0.3">
      <c r="A3808" s="3">
        <v>45678</v>
      </c>
      <c r="B3808" s="11" t="s">
        <v>1250</v>
      </c>
      <c r="C3808" s="50" t="s">
        <v>7459</v>
      </c>
      <c r="G3808" s="88">
        <v>4000</v>
      </c>
      <c r="H3808" s="88"/>
      <c r="I3808" s="88">
        <f t="shared" si="250"/>
        <v>24044.17</v>
      </c>
      <c r="L3808" s="2">
        <f t="shared" si="251"/>
        <v>16</v>
      </c>
    </row>
    <row r="3809" spans="1:12" x14ac:dyDescent="0.3">
      <c r="A3809" s="3">
        <v>45678</v>
      </c>
      <c r="B3809" s="11" t="s">
        <v>1250</v>
      </c>
      <c r="C3809" s="50" t="s">
        <v>7459</v>
      </c>
      <c r="G3809" s="88">
        <v>5000</v>
      </c>
      <c r="H3809" s="88"/>
      <c r="I3809" s="88">
        <f t="shared" si="250"/>
        <v>29044.17</v>
      </c>
      <c r="L3809" s="2">
        <f t="shared" si="251"/>
        <v>20</v>
      </c>
    </row>
    <row r="3810" spans="1:12" x14ac:dyDescent="0.3">
      <c r="A3810" s="3">
        <v>45678</v>
      </c>
      <c r="B3810" s="11" t="s">
        <v>1250</v>
      </c>
      <c r="C3810" s="50" t="s">
        <v>5522</v>
      </c>
      <c r="G3810" s="88"/>
      <c r="H3810" s="88">
        <v>5000</v>
      </c>
      <c r="I3810" s="88">
        <f t="shared" ref="I3810:I3812" si="252">I3809+G3810-H3810</f>
        <v>24044.17</v>
      </c>
      <c r="L3810" s="2">
        <f t="shared" ref="L3810:L3812" si="253">IF((G3810+H3810)&lt;=5000,(H3810+G3810)*0.004,20)+IF(E3810="Y",25,0)</f>
        <v>20</v>
      </c>
    </row>
    <row r="3811" spans="1:12" x14ac:dyDescent="0.3">
      <c r="A3811" s="3">
        <v>45679</v>
      </c>
      <c r="B3811" s="11" t="s">
        <v>1250</v>
      </c>
      <c r="C3811" s="50" t="s">
        <v>7460</v>
      </c>
      <c r="G3811" s="88">
        <v>5000</v>
      </c>
      <c r="H3811" s="88"/>
      <c r="I3811" s="88">
        <f t="shared" si="252"/>
        <v>29044.17</v>
      </c>
      <c r="K3811" s="62"/>
      <c r="L3811" s="2">
        <f t="shared" si="253"/>
        <v>20</v>
      </c>
    </row>
    <row r="3812" spans="1:12" x14ac:dyDescent="0.3">
      <c r="A3812" s="3">
        <v>45679</v>
      </c>
      <c r="B3812" s="11" t="s">
        <v>4652</v>
      </c>
      <c r="C3812" s="50" t="s">
        <v>4658</v>
      </c>
      <c r="G3812" s="88"/>
      <c r="H3812" s="88">
        <v>4000</v>
      </c>
      <c r="I3812" s="88">
        <f t="shared" si="252"/>
        <v>25044.17</v>
      </c>
      <c r="L3812" s="2">
        <f t="shared" si="253"/>
        <v>16</v>
      </c>
    </row>
    <row r="3813" spans="1:12" x14ac:dyDescent="0.3">
      <c r="A3813" s="3">
        <v>45679</v>
      </c>
      <c r="B3813" s="11" t="s">
        <v>1250</v>
      </c>
      <c r="C3813" s="50" t="s">
        <v>2492</v>
      </c>
      <c r="G3813" s="88">
        <v>2000</v>
      </c>
      <c r="H3813" s="88"/>
      <c r="I3813" s="88">
        <f t="shared" ref="I3813:I3821" si="254">I3812+G3813-H3813</f>
        <v>27044.17</v>
      </c>
      <c r="L3813" s="2">
        <f t="shared" ref="L3813:L3821" si="255">IF((G3813+H3813)&lt;=5000,(H3813+G3813)*0.004,20)+IF(E3813="Y",25,0)</f>
        <v>8</v>
      </c>
    </row>
    <row r="3814" spans="1:12" x14ac:dyDescent="0.3">
      <c r="A3814" s="3">
        <v>45679</v>
      </c>
      <c r="B3814" s="11" t="s">
        <v>1250</v>
      </c>
      <c r="C3814" s="50" t="s">
        <v>7411</v>
      </c>
      <c r="G3814" s="88"/>
      <c r="H3814" s="88">
        <v>5000</v>
      </c>
      <c r="I3814" s="88">
        <f t="shared" si="254"/>
        <v>22044.17</v>
      </c>
      <c r="L3814" s="2">
        <f t="shared" si="255"/>
        <v>20</v>
      </c>
    </row>
    <row r="3815" spans="1:12" x14ac:dyDescent="0.3">
      <c r="A3815" s="3">
        <v>45679</v>
      </c>
      <c r="B3815" s="11" t="s">
        <v>1160</v>
      </c>
      <c r="C3815" s="50" t="s">
        <v>7461</v>
      </c>
      <c r="G3815" s="88">
        <v>2000</v>
      </c>
      <c r="H3815" s="88"/>
      <c r="I3815" s="88">
        <f t="shared" si="254"/>
        <v>24044.17</v>
      </c>
      <c r="L3815" s="2">
        <f t="shared" si="255"/>
        <v>8</v>
      </c>
    </row>
    <row r="3816" spans="1:12" x14ac:dyDescent="0.3">
      <c r="A3816" s="3">
        <v>45679</v>
      </c>
      <c r="G3816" s="88"/>
      <c r="H3816" s="88">
        <v>22000</v>
      </c>
      <c r="I3816" s="88">
        <f t="shared" si="254"/>
        <v>2044.1699999999983</v>
      </c>
      <c r="L3816" s="2">
        <f t="shared" si="255"/>
        <v>20</v>
      </c>
    </row>
    <row r="3817" spans="1:12" x14ac:dyDescent="0.3">
      <c r="A3817" s="3">
        <v>45680</v>
      </c>
      <c r="B3817" s="11" t="s">
        <v>1472</v>
      </c>
      <c r="C3817" s="50" t="s">
        <v>7462</v>
      </c>
      <c r="G3817" s="88">
        <v>2000</v>
      </c>
      <c r="H3817" s="88"/>
      <c r="I3817" s="88">
        <f t="shared" si="254"/>
        <v>4044.1699999999983</v>
      </c>
      <c r="L3817" s="2">
        <f t="shared" si="255"/>
        <v>8</v>
      </c>
    </row>
    <row r="3818" spans="1:12" x14ac:dyDescent="0.3">
      <c r="A3818" s="3">
        <v>45680</v>
      </c>
      <c r="B3818" s="11" t="s">
        <v>6743</v>
      </c>
      <c r="C3818" s="50" t="s">
        <v>419</v>
      </c>
      <c r="G3818" s="88">
        <v>3000</v>
      </c>
      <c r="H3818" s="88"/>
      <c r="I3818" s="88">
        <f t="shared" si="254"/>
        <v>7044.1699999999983</v>
      </c>
      <c r="L3818" s="2">
        <f t="shared" si="255"/>
        <v>12</v>
      </c>
    </row>
    <row r="3819" spans="1:12" x14ac:dyDescent="0.3">
      <c r="A3819" s="3">
        <v>45680</v>
      </c>
      <c r="B3819" s="11" t="s">
        <v>3204</v>
      </c>
      <c r="C3819" s="50" t="s">
        <v>7464</v>
      </c>
      <c r="G3819" s="88">
        <v>7000</v>
      </c>
      <c r="H3819" s="88"/>
      <c r="I3819" s="88">
        <f t="shared" si="254"/>
        <v>14044.169999999998</v>
      </c>
      <c r="L3819" s="2">
        <f t="shared" si="255"/>
        <v>20</v>
      </c>
    </row>
    <row r="3820" spans="1:12" x14ac:dyDescent="0.3">
      <c r="A3820" s="3">
        <v>45680</v>
      </c>
      <c r="B3820" s="11" t="s">
        <v>3232</v>
      </c>
      <c r="C3820" s="50" t="s">
        <v>7465</v>
      </c>
      <c r="G3820" s="88">
        <v>3400</v>
      </c>
      <c r="H3820" s="88"/>
      <c r="I3820" s="88">
        <f t="shared" si="254"/>
        <v>17444.169999999998</v>
      </c>
      <c r="L3820" s="2">
        <f t="shared" si="255"/>
        <v>13.6</v>
      </c>
    </row>
    <row r="3821" spans="1:12" x14ac:dyDescent="0.3">
      <c r="A3821" s="3">
        <v>45680</v>
      </c>
      <c r="B3821" s="11" t="s">
        <v>7466</v>
      </c>
      <c r="C3821" s="50" t="s">
        <v>7465</v>
      </c>
      <c r="G3821" s="88"/>
      <c r="H3821" s="88">
        <v>500</v>
      </c>
      <c r="I3821" s="88">
        <f t="shared" si="254"/>
        <v>16944.169999999998</v>
      </c>
      <c r="L3821" s="2">
        <f t="shared" si="255"/>
        <v>2</v>
      </c>
    </row>
    <row r="3822" spans="1:12" x14ac:dyDescent="0.3">
      <c r="A3822" s="3">
        <v>45680</v>
      </c>
      <c r="B3822" s="11" t="s">
        <v>3232</v>
      </c>
      <c r="C3822" s="50" t="s">
        <v>2287</v>
      </c>
      <c r="G3822" s="88">
        <v>1000</v>
      </c>
      <c r="H3822" s="88"/>
      <c r="I3822" s="88">
        <f t="shared" ref="I3822:I3847" si="256">I3821+G3822-H3822</f>
        <v>17944.169999999998</v>
      </c>
      <c r="L3822" s="2">
        <f t="shared" ref="L3822:L3847" si="257">IF((G3822+H3822)&lt;=5000,(H3822+G3822)*0.004,20)+IF(E3822="Y",25,0)</f>
        <v>4</v>
      </c>
    </row>
    <row r="3823" spans="1:12" x14ac:dyDescent="0.3">
      <c r="A3823" s="3">
        <v>45680</v>
      </c>
      <c r="B3823" s="11" t="s">
        <v>1250</v>
      </c>
      <c r="G3823" s="88">
        <v>3000</v>
      </c>
      <c r="H3823" s="88"/>
      <c r="I3823" s="88">
        <f t="shared" si="256"/>
        <v>20944.169999999998</v>
      </c>
      <c r="L3823" s="2">
        <f t="shared" si="257"/>
        <v>12</v>
      </c>
    </row>
    <row r="3824" spans="1:12" x14ac:dyDescent="0.3">
      <c r="A3824" s="3">
        <v>45680</v>
      </c>
      <c r="B3824" s="11" t="s">
        <v>7467</v>
      </c>
      <c r="C3824" s="50" t="s">
        <v>2865</v>
      </c>
      <c r="G3824" s="88">
        <v>2000</v>
      </c>
      <c r="H3824" s="88"/>
      <c r="I3824" s="88">
        <f t="shared" si="256"/>
        <v>22944.17</v>
      </c>
      <c r="J3824" s="62"/>
      <c r="L3824" s="2">
        <f t="shared" si="257"/>
        <v>8</v>
      </c>
    </row>
    <row r="3825" spans="1:12" x14ac:dyDescent="0.3">
      <c r="A3825" s="3">
        <v>45680</v>
      </c>
      <c r="B3825" s="11" t="s">
        <v>6476</v>
      </c>
      <c r="C3825" s="50" t="s">
        <v>6477</v>
      </c>
      <c r="G3825" s="88">
        <v>1500</v>
      </c>
      <c r="H3825" s="138">
        <v>500</v>
      </c>
      <c r="I3825" s="88">
        <f t="shared" si="256"/>
        <v>23944.17</v>
      </c>
      <c r="L3825" s="2">
        <f t="shared" si="257"/>
        <v>8</v>
      </c>
    </row>
    <row r="3826" spans="1:12" x14ac:dyDescent="0.3">
      <c r="A3826" s="3">
        <v>45681</v>
      </c>
      <c r="B3826" s="11" t="s">
        <v>4622</v>
      </c>
      <c r="C3826" s="50" t="s">
        <v>7468</v>
      </c>
      <c r="G3826" s="88">
        <v>1500</v>
      </c>
      <c r="H3826" s="88"/>
      <c r="I3826" s="88">
        <f t="shared" si="256"/>
        <v>25444.17</v>
      </c>
      <c r="J3826">
        <v>23940</v>
      </c>
      <c r="K3826" s="62"/>
      <c r="L3826" s="2">
        <f t="shared" si="257"/>
        <v>6</v>
      </c>
    </row>
    <row r="3827" spans="1:12" x14ac:dyDescent="0.3">
      <c r="A3827" s="3">
        <v>45681</v>
      </c>
      <c r="B3827" s="11" t="s">
        <v>1250</v>
      </c>
      <c r="C3827" s="50" t="s">
        <v>4852</v>
      </c>
      <c r="G3827" s="88">
        <v>1000</v>
      </c>
      <c r="H3827" s="88"/>
      <c r="I3827" s="88">
        <f t="shared" si="256"/>
        <v>26444.17</v>
      </c>
      <c r="L3827" s="2">
        <f t="shared" si="257"/>
        <v>4</v>
      </c>
    </row>
    <row r="3828" spans="1:12" x14ac:dyDescent="0.3">
      <c r="A3828" s="3">
        <v>45681</v>
      </c>
      <c r="B3828" s="11" t="s">
        <v>4027</v>
      </c>
      <c r="C3828" s="50" t="s">
        <v>7469</v>
      </c>
      <c r="G3828" s="88">
        <v>500</v>
      </c>
      <c r="H3828" s="88"/>
      <c r="I3828" s="88">
        <f t="shared" si="256"/>
        <v>26944.17</v>
      </c>
      <c r="L3828" s="2">
        <f t="shared" si="257"/>
        <v>2</v>
      </c>
    </row>
    <row r="3829" spans="1:12" x14ac:dyDescent="0.3">
      <c r="A3829" s="3">
        <v>45682</v>
      </c>
      <c r="B3829" s="11" t="s">
        <v>6260</v>
      </c>
      <c r="C3829" s="50" t="s">
        <v>7117</v>
      </c>
      <c r="G3829" s="88"/>
      <c r="H3829" s="88">
        <v>9000</v>
      </c>
      <c r="I3829" s="88">
        <f t="shared" si="256"/>
        <v>17944.169999999998</v>
      </c>
      <c r="L3829" s="2">
        <f t="shared" si="257"/>
        <v>20</v>
      </c>
    </row>
    <row r="3830" spans="1:12" x14ac:dyDescent="0.3">
      <c r="A3830" s="3">
        <v>45682</v>
      </c>
      <c r="B3830" s="11">
        <v>4164</v>
      </c>
      <c r="C3830" s="50" t="s">
        <v>2274</v>
      </c>
      <c r="G3830" s="88"/>
      <c r="H3830" s="88">
        <v>3000</v>
      </c>
      <c r="I3830" s="88">
        <f t="shared" si="256"/>
        <v>14944.169999999998</v>
      </c>
      <c r="L3830" s="2">
        <f t="shared" si="257"/>
        <v>12</v>
      </c>
    </row>
    <row r="3831" spans="1:12" x14ac:dyDescent="0.3">
      <c r="A3831" s="3">
        <v>45682</v>
      </c>
      <c r="B3831" s="11" t="s">
        <v>6940</v>
      </c>
      <c r="C3831" s="50" t="s">
        <v>7470</v>
      </c>
      <c r="G3831" s="88">
        <v>500</v>
      </c>
      <c r="H3831" s="88"/>
      <c r="I3831" s="88">
        <f t="shared" si="256"/>
        <v>15444.169999999998</v>
      </c>
      <c r="L3831" s="2">
        <f t="shared" si="257"/>
        <v>2</v>
      </c>
    </row>
    <row r="3832" spans="1:12" x14ac:dyDescent="0.3">
      <c r="A3832" s="3">
        <v>45682</v>
      </c>
      <c r="B3832" s="11" t="s">
        <v>7471</v>
      </c>
      <c r="C3832" s="50" t="s">
        <v>6612</v>
      </c>
      <c r="G3832" s="88">
        <v>3000</v>
      </c>
      <c r="H3832" s="88"/>
      <c r="I3832" s="88">
        <f t="shared" si="256"/>
        <v>18444.169999999998</v>
      </c>
      <c r="L3832" s="2">
        <f t="shared" si="257"/>
        <v>12</v>
      </c>
    </row>
    <row r="3833" spans="1:12" x14ac:dyDescent="0.3">
      <c r="A3833" s="3">
        <v>45682</v>
      </c>
      <c r="B3833" s="11" t="s">
        <v>6906</v>
      </c>
      <c r="C3833" s="50" t="s">
        <v>7472</v>
      </c>
      <c r="G3833" s="88">
        <v>3000</v>
      </c>
      <c r="H3833" s="88"/>
      <c r="I3833" s="88">
        <f t="shared" si="256"/>
        <v>21444.17</v>
      </c>
      <c r="L3833" s="2">
        <f t="shared" si="257"/>
        <v>12</v>
      </c>
    </row>
    <row r="3834" spans="1:12" x14ac:dyDescent="0.3">
      <c r="A3834" s="3">
        <v>45682</v>
      </c>
      <c r="B3834" s="11" t="s">
        <v>6844</v>
      </c>
      <c r="C3834" s="50" t="s">
        <v>7201</v>
      </c>
      <c r="G3834" s="88"/>
      <c r="H3834" s="88">
        <v>1600</v>
      </c>
      <c r="I3834" s="88">
        <f t="shared" si="256"/>
        <v>19844.169999999998</v>
      </c>
      <c r="L3834" s="2">
        <f t="shared" si="257"/>
        <v>6.4</v>
      </c>
    </row>
    <row r="3835" spans="1:12" x14ac:dyDescent="0.3">
      <c r="A3835" s="3">
        <v>45682</v>
      </c>
      <c r="B3835" s="11" t="s">
        <v>7476</v>
      </c>
      <c r="C3835" s="50" t="s">
        <v>7475</v>
      </c>
      <c r="G3835" s="88">
        <v>4000</v>
      </c>
      <c r="H3835" s="88"/>
      <c r="I3835" s="88">
        <f t="shared" si="256"/>
        <v>23844.17</v>
      </c>
      <c r="L3835" s="2">
        <f t="shared" si="257"/>
        <v>16</v>
      </c>
    </row>
    <row r="3836" spans="1:12" x14ac:dyDescent="0.3">
      <c r="A3836" s="3">
        <v>45682</v>
      </c>
      <c r="B3836" s="11" t="s">
        <v>4795</v>
      </c>
      <c r="C3836" s="50" t="s">
        <v>7433</v>
      </c>
      <c r="G3836" s="88"/>
      <c r="H3836" s="88">
        <v>2500</v>
      </c>
      <c r="I3836" s="88">
        <f t="shared" si="256"/>
        <v>21344.17</v>
      </c>
      <c r="L3836" s="2">
        <f t="shared" si="257"/>
        <v>10</v>
      </c>
    </row>
    <row r="3837" spans="1:12" x14ac:dyDescent="0.3">
      <c r="A3837" s="3">
        <v>45682</v>
      </c>
      <c r="B3837" s="11" t="s">
        <v>1250</v>
      </c>
      <c r="G3837" s="88">
        <v>500</v>
      </c>
      <c r="H3837" s="88"/>
      <c r="I3837" s="88">
        <f t="shared" si="256"/>
        <v>21844.17</v>
      </c>
      <c r="L3837" s="2">
        <f t="shared" si="257"/>
        <v>2</v>
      </c>
    </row>
    <row r="3838" spans="1:12" x14ac:dyDescent="0.3">
      <c r="A3838" s="3">
        <v>45682</v>
      </c>
      <c r="B3838" s="11" t="s">
        <v>1250</v>
      </c>
      <c r="C3838" s="50" t="s">
        <v>6936</v>
      </c>
      <c r="G3838" s="88">
        <v>5000</v>
      </c>
      <c r="H3838" s="88"/>
      <c r="I3838" s="88">
        <f t="shared" si="256"/>
        <v>26844.17</v>
      </c>
      <c r="L3838" s="2">
        <f t="shared" si="257"/>
        <v>20</v>
      </c>
    </row>
    <row r="3839" spans="1:12" x14ac:dyDescent="0.3">
      <c r="A3839" s="3">
        <v>45682</v>
      </c>
      <c r="B3839" s="11" t="s">
        <v>6131</v>
      </c>
      <c r="C3839" s="50" t="s">
        <v>7477</v>
      </c>
      <c r="G3839" s="88">
        <v>1500</v>
      </c>
      <c r="H3839" s="88"/>
      <c r="I3839" s="88">
        <f t="shared" si="256"/>
        <v>28344.17</v>
      </c>
      <c r="L3839" s="2">
        <f t="shared" si="257"/>
        <v>6</v>
      </c>
    </row>
    <row r="3840" spans="1:12" x14ac:dyDescent="0.3">
      <c r="A3840" s="3">
        <v>45682</v>
      </c>
      <c r="B3840" s="11" t="s">
        <v>7479</v>
      </c>
      <c r="G3840" s="88"/>
      <c r="H3840" s="88">
        <v>500</v>
      </c>
      <c r="I3840" s="88">
        <f t="shared" si="256"/>
        <v>27844.17</v>
      </c>
      <c r="L3840" s="2">
        <f t="shared" si="257"/>
        <v>2</v>
      </c>
    </row>
    <row r="3841" spans="1:12" x14ac:dyDescent="0.3">
      <c r="A3841" s="3">
        <v>45682</v>
      </c>
      <c r="B3841" s="11" t="s">
        <v>3148</v>
      </c>
      <c r="C3841" s="50" t="s">
        <v>6031</v>
      </c>
      <c r="G3841" s="88">
        <v>500</v>
      </c>
      <c r="H3841" s="88"/>
      <c r="I3841" s="88">
        <f t="shared" si="256"/>
        <v>28344.17</v>
      </c>
      <c r="L3841" s="2">
        <f t="shared" si="257"/>
        <v>2</v>
      </c>
    </row>
    <row r="3842" spans="1:12" x14ac:dyDescent="0.3">
      <c r="A3842" s="3">
        <v>45682</v>
      </c>
      <c r="B3842" s="11" t="s">
        <v>7483</v>
      </c>
      <c r="C3842" s="50" t="s">
        <v>7216</v>
      </c>
      <c r="G3842" s="88"/>
      <c r="H3842" s="88">
        <v>8000</v>
      </c>
      <c r="I3842" s="88">
        <f t="shared" si="256"/>
        <v>20344.169999999998</v>
      </c>
      <c r="L3842" s="2">
        <f t="shared" si="257"/>
        <v>20</v>
      </c>
    </row>
    <row r="3843" spans="1:12" x14ac:dyDescent="0.3">
      <c r="A3843" s="3">
        <v>45682</v>
      </c>
      <c r="B3843" s="11" t="s">
        <v>4795</v>
      </c>
      <c r="C3843" s="50" t="s">
        <v>7433</v>
      </c>
      <c r="G3843" s="88"/>
      <c r="H3843" s="88">
        <v>3300</v>
      </c>
      <c r="I3843" s="88">
        <f t="shared" si="256"/>
        <v>17044.169999999998</v>
      </c>
      <c r="L3843" s="2">
        <f t="shared" si="257"/>
        <v>13.200000000000001</v>
      </c>
    </row>
    <row r="3844" spans="1:12" x14ac:dyDescent="0.3">
      <c r="A3844" s="3">
        <v>45683</v>
      </c>
      <c r="B3844" s="11" t="s">
        <v>3097</v>
      </c>
      <c r="C3844" s="50" t="s">
        <v>7484</v>
      </c>
      <c r="G3844" s="88">
        <v>800</v>
      </c>
      <c r="H3844" s="88"/>
      <c r="I3844" s="88">
        <f t="shared" si="256"/>
        <v>17844.169999999998</v>
      </c>
      <c r="L3844" s="2">
        <f t="shared" si="257"/>
        <v>3.2</v>
      </c>
    </row>
    <row r="3845" spans="1:12" x14ac:dyDescent="0.3">
      <c r="A3845" s="3">
        <v>45682</v>
      </c>
      <c r="B3845" s="11" t="s">
        <v>7485</v>
      </c>
      <c r="C3845" s="50" t="s">
        <v>7486</v>
      </c>
      <c r="G3845" s="88">
        <v>6000</v>
      </c>
      <c r="H3845" s="88"/>
      <c r="I3845" s="88">
        <f t="shared" si="256"/>
        <v>23844.17</v>
      </c>
      <c r="L3845" s="2">
        <f t="shared" si="257"/>
        <v>20</v>
      </c>
    </row>
    <row r="3846" spans="1:12" x14ac:dyDescent="0.3">
      <c r="A3846" s="3">
        <v>45682</v>
      </c>
      <c r="B3846" s="11" t="s">
        <v>1250</v>
      </c>
      <c r="C3846" s="50" t="s">
        <v>7258</v>
      </c>
      <c r="G3846" s="88">
        <v>2000</v>
      </c>
      <c r="H3846" s="88"/>
      <c r="I3846" s="88">
        <f t="shared" si="256"/>
        <v>25844.17</v>
      </c>
      <c r="L3846" s="2">
        <f t="shared" si="257"/>
        <v>8</v>
      </c>
    </row>
    <row r="3847" spans="1:12" x14ac:dyDescent="0.3">
      <c r="A3847" s="3">
        <v>45318</v>
      </c>
      <c r="B3847" s="11" t="s">
        <v>1250</v>
      </c>
      <c r="C3847" s="50" t="s">
        <v>6570</v>
      </c>
      <c r="G3847" s="88">
        <v>2000</v>
      </c>
      <c r="H3847" s="88"/>
      <c r="I3847" s="88">
        <f t="shared" si="256"/>
        <v>27844.17</v>
      </c>
      <c r="L3847" s="2">
        <f t="shared" si="257"/>
        <v>8</v>
      </c>
    </row>
    <row r="3848" spans="1:12" x14ac:dyDescent="0.3">
      <c r="A3848" s="3">
        <v>45318</v>
      </c>
      <c r="B3848" s="11" t="s">
        <v>7488</v>
      </c>
      <c r="C3848" s="50" t="s">
        <v>7487</v>
      </c>
      <c r="G3848" s="88">
        <v>2000</v>
      </c>
      <c r="H3848" s="88"/>
      <c r="I3848" s="88">
        <f t="shared" ref="I3848:I3855" si="258">I3847+G3848-H3848</f>
        <v>29844.17</v>
      </c>
      <c r="L3848" s="2">
        <f t="shared" ref="L3848:L3855" si="259">IF((G3848+H3848)&lt;=5000,(H3848+G3848)*0.004,20)+IF(E3848="Y",25,0)</f>
        <v>8</v>
      </c>
    </row>
    <row r="3849" spans="1:12" x14ac:dyDescent="0.3">
      <c r="A3849" s="3">
        <v>45318</v>
      </c>
      <c r="B3849" s="11" t="s">
        <v>1250</v>
      </c>
      <c r="C3849" s="50" t="s">
        <v>7411</v>
      </c>
      <c r="G3849" s="88"/>
      <c r="H3849" s="88">
        <v>10000</v>
      </c>
      <c r="I3849" s="88">
        <f t="shared" si="258"/>
        <v>19844.169999999998</v>
      </c>
      <c r="L3849" s="2">
        <f t="shared" si="259"/>
        <v>20</v>
      </c>
    </row>
    <row r="3850" spans="1:12" x14ac:dyDescent="0.3">
      <c r="A3850" s="3">
        <v>45318</v>
      </c>
      <c r="B3850" s="11" t="s">
        <v>1250</v>
      </c>
      <c r="C3850" s="50" t="s">
        <v>6995</v>
      </c>
      <c r="G3850" s="88">
        <v>2500</v>
      </c>
      <c r="H3850" s="88"/>
      <c r="I3850" s="88">
        <f t="shared" si="258"/>
        <v>22344.17</v>
      </c>
      <c r="L3850" s="2">
        <f t="shared" si="259"/>
        <v>10</v>
      </c>
    </row>
    <row r="3851" spans="1:12" x14ac:dyDescent="0.3">
      <c r="A3851" s="3">
        <v>45318</v>
      </c>
      <c r="B3851" s="11" t="s">
        <v>2241</v>
      </c>
      <c r="C3851" s="50" t="s">
        <v>3172</v>
      </c>
      <c r="G3851" s="88">
        <v>10000</v>
      </c>
      <c r="H3851" s="88"/>
      <c r="I3851" s="88">
        <f t="shared" si="258"/>
        <v>32344.17</v>
      </c>
      <c r="L3851" s="2">
        <f t="shared" si="259"/>
        <v>20</v>
      </c>
    </row>
    <row r="3852" spans="1:12" x14ac:dyDescent="0.3">
      <c r="A3852" s="3">
        <v>45318</v>
      </c>
      <c r="B3852" s="11" t="s">
        <v>6844</v>
      </c>
      <c r="C3852" s="50" t="s">
        <v>7201</v>
      </c>
      <c r="G3852" s="88"/>
      <c r="H3852" s="88">
        <v>1750</v>
      </c>
      <c r="I3852" s="88">
        <f t="shared" si="258"/>
        <v>30594.17</v>
      </c>
      <c r="L3852" s="2">
        <f t="shared" si="259"/>
        <v>7</v>
      </c>
    </row>
    <row r="3853" spans="1:12" x14ac:dyDescent="0.3">
      <c r="A3853" s="3">
        <v>45318</v>
      </c>
      <c r="B3853" s="11" t="s">
        <v>7489</v>
      </c>
      <c r="C3853" s="50" t="s">
        <v>7490</v>
      </c>
      <c r="G3853" s="88"/>
      <c r="H3853" s="88">
        <v>9900</v>
      </c>
      <c r="I3853" s="88">
        <f t="shared" si="258"/>
        <v>20694.169999999998</v>
      </c>
      <c r="L3853" s="2">
        <f t="shared" si="259"/>
        <v>20</v>
      </c>
    </row>
    <row r="3854" spans="1:12" x14ac:dyDescent="0.3">
      <c r="A3854" s="3">
        <v>45318</v>
      </c>
      <c r="B3854" s="11" t="s">
        <v>7491</v>
      </c>
      <c r="C3854" s="50" t="s">
        <v>7492</v>
      </c>
      <c r="G3854" s="88">
        <v>3000</v>
      </c>
      <c r="H3854" s="88"/>
      <c r="I3854" s="88">
        <f t="shared" si="258"/>
        <v>23694.17</v>
      </c>
      <c r="L3854" s="2">
        <f t="shared" si="259"/>
        <v>12</v>
      </c>
    </row>
    <row r="3855" spans="1:12" x14ac:dyDescent="0.3">
      <c r="A3855" s="3">
        <v>45318</v>
      </c>
      <c r="B3855" s="11" t="s">
        <v>6718</v>
      </c>
      <c r="C3855" s="50" t="s">
        <v>7048</v>
      </c>
      <c r="G3855" s="88">
        <v>10000</v>
      </c>
      <c r="H3855" s="88"/>
      <c r="I3855" s="88">
        <f t="shared" si="258"/>
        <v>33694.17</v>
      </c>
      <c r="L3855" s="2">
        <f t="shared" si="259"/>
        <v>20</v>
      </c>
    </row>
    <row r="3856" spans="1:12" x14ac:dyDescent="0.3">
      <c r="A3856" s="3">
        <v>45318</v>
      </c>
      <c r="B3856" s="11" t="s">
        <v>7493</v>
      </c>
      <c r="C3856" s="50" t="s">
        <v>7498</v>
      </c>
      <c r="E3856" s="90" t="s">
        <v>16</v>
      </c>
      <c r="G3856" s="88"/>
      <c r="H3856" s="88">
        <v>500</v>
      </c>
      <c r="I3856" s="88">
        <f t="shared" ref="I3856:I3861" si="260">I3855+G3856-H3856</f>
        <v>33194.17</v>
      </c>
      <c r="L3856" s="2">
        <f t="shared" ref="L3856:L3861" si="261">IF((G3856+H3856)&lt;=5000,(H3856+G3856)*0.004,20)+IF(E3856="Y",25,0)</f>
        <v>27</v>
      </c>
    </row>
    <row r="3857" spans="1:12" x14ac:dyDescent="0.3">
      <c r="A3857" s="3">
        <v>45319</v>
      </c>
      <c r="B3857" s="11" t="s">
        <v>2241</v>
      </c>
      <c r="C3857" s="50" t="s">
        <v>7437</v>
      </c>
      <c r="G3857" s="88">
        <v>3000</v>
      </c>
      <c r="H3857" s="88"/>
      <c r="I3857" s="88">
        <f t="shared" si="260"/>
        <v>36194.17</v>
      </c>
      <c r="L3857" s="2">
        <f t="shared" si="261"/>
        <v>12</v>
      </c>
    </row>
    <row r="3858" spans="1:12" x14ac:dyDescent="0.3">
      <c r="A3858" s="3">
        <v>45319</v>
      </c>
      <c r="C3858" s="50" t="s">
        <v>7245</v>
      </c>
      <c r="E3858" s="90" t="s">
        <v>4721</v>
      </c>
      <c r="G3858" s="88"/>
      <c r="H3858" s="88">
        <v>35000</v>
      </c>
      <c r="I3858" s="88">
        <f t="shared" si="260"/>
        <v>1194.1699999999983</v>
      </c>
      <c r="L3858" s="2">
        <f t="shared" si="261"/>
        <v>20</v>
      </c>
    </row>
    <row r="3859" spans="1:12" x14ac:dyDescent="0.3">
      <c r="A3859" s="3">
        <v>45319</v>
      </c>
      <c r="B3859" s="11" t="s">
        <v>3232</v>
      </c>
      <c r="C3859" s="50" t="s">
        <v>7500</v>
      </c>
      <c r="G3859" s="88">
        <v>3000</v>
      </c>
      <c r="H3859" s="88"/>
      <c r="I3859" s="88">
        <f t="shared" si="260"/>
        <v>4194.1699999999983</v>
      </c>
      <c r="L3859" s="2">
        <f t="shared" si="261"/>
        <v>12</v>
      </c>
    </row>
    <row r="3860" spans="1:12" x14ac:dyDescent="0.3">
      <c r="A3860" s="3">
        <v>45319</v>
      </c>
      <c r="B3860" s="11" t="s">
        <v>7501</v>
      </c>
      <c r="C3860" s="50" t="s">
        <v>7502</v>
      </c>
      <c r="G3860" s="88">
        <v>800</v>
      </c>
      <c r="H3860" s="88"/>
      <c r="I3860" s="88">
        <f t="shared" si="260"/>
        <v>4994.1699999999983</v>
      </c>
      <c r="L3860" s="2">
        <f t="shared" si="261"/>
        <v>3.2</v>
      </c>
    </row>
    <row r="3861" spans="1:12" x14ac:dyDescent="0.3">
      <c r="A3861" s="3">
        <v>45319</v>
      </c>
      <c r="B3861" s="11" t="s">
        <v>7503</v>
      </c>
      <c r="C3861" s="50" t="s">
        <v>4681</v>
      </c>
      <c r="G3861" s="88"/>
      <c r="H3861" s="88">
        <v>3000</v>
      </c>
      <c r="I3861" s="88">
        <f t="shared" si="260"/>
        <v>1994.1699999999983</v>
      </c>
      <c r="L3861" s="2">
        <f t="shared" si="261"/>
        <v>12</v>
      </c>
    </row>
    <row r="3862" spans="1:12" x14ac:dyDescent="0.3">
      <c r="A3862" s="3">
        <v>45319</v>
      </c>
      <c r="B3862" s="11" t="s">
        <v>7504</v>
      </c>
      <c r="C3862" s="65" t="s">
        <v>877</v>
      </c>
      <c r="E3862" s="90" t="s">
        <v>16</v>
      </c>
      <c r="G3862" s="88"/>
      <c r="H3862" s="88">
        <v>500</v>
      </c>
      <c r="I3862" s="88">
        <f t="shared" ref="I3862:I3866" si="262">I3861+G3862-H3862</f>
        <v>1494.1699999999983</v>
      </c>
      <c r="L3862" s="2">
        <f t="shared" ref="L3862:L3866" si="263">IF((G3862+H3862)&lt;=5000,(H3862+G3862)*0.004,20)+IF(E3862="Y",25,0)</f>
        <v>27</v>
      </c>
    </row>
    <row r="3863" spans="1:12" x14ac:dyDescent="0.3">
      <c r="A3863" s="3">
        <v>45319</v>
      </c>
      <c r="B3863" s="11" t="s">
        <v>7509</v>
      </c>
      <c r="C3863" s="65" t="s">
        <v>7510</v>
      </c>
      <c r="E3863" s="90" t="s">
        <v>16</v>
      </c>
      <c r="G3863" s="88"/>
      <c r="H3863" s="88">
        <v>500</v>
      </c>
      <c r="I3863" s="88">
        <f t="shared" si="262"/>
        <v>994.16999999999825</v>
      </c>
      <c r="L3863" s="2">
        <f t="shared" si="263"/>
        <v>27</v>
      </c>
    </row>
    <row r="3864" spans="1:12" x14ac:dyDescent="0.3">
      <c r="A3864" s="3">
        <v>45319</v>
      </c>
      <c r="B3864" s="11" t="s">
        <v>5294</v>
      </c>
      <c r="C3864" s="50" t="s">
        <v>5290</v>
      </c>
      <c r="G3864" s="88">
        <v>2500</v>
      </c>
      <c r="H3864" s="88"/>
      <c r="I3864" s="88">
        <f t="shared" si="262"/>
        <v>3494.1699999999983</v>
      </c>
      <c r="L3864" s="2">
        <f t="shared" si="263"/>
        <v>10</v>
      </c>
    </row>
    <row r="3865" spans="1:12" x14ac:dyDescent="0.3">
      <c r="A3865" s="3">
        <v>45319</v>
      </c>
      <c r="B3865" s="11" t="s">
        <v>6840</v>
      </c>
      <c r="C3865" s="50" t="s">
        <v>7513</v>
      </c>
      <c r="G3865" s="88">
        <v>3000</v>
      </c>
      <c r="H3865" s="88"/>
      <c r="I3865" s="88">
        <f t="shared" si="262"/>
        <v>6494.1699999999983</v>
      </c>
      <c r="L3865" s="2">
        <f t="shared" si="263"/>
        <v>12</v>
      </c>
    </row>
    <row r="3866" spans="1:12" x14ac:dyDescent="0.3">
      <c r="A3866" s="3">
        <v>45319</v>
      </c>
      <c r="B3866" s="11" t="s">
        <v>7514</v>
      </c>
      <c r="C3866" s="50" t="s">
        <v>6985</v>
      </c>
      <c r="G3866" s="88">
        <v>1000</v>
      </c>
      <c r="H3866" s="88"/>
      <c r="I3866" s="88">
        <f t="shared" si="262"/>
        <v>7494.1699999999983</v>
      </c>
      <c r="L3866" s="2">
        <f t="shared" si="263"/>
        <v>4</v>
      </c>
    </row>
    <row r="3867" spans="1:12" x14ac:dyDescent="0.3">
      <c r="A3867" s="3">
        <v>45319</v>
      </c>
      <c r="B3867" s="11" t="s">
        <v>7516</v>
      </c>
      <c r="C3867" s="50" t="s">
        <v>6985</v>
      </c>
      <c r="G3867" s="88">
        <v>2000</v>
      </c>
      <c r="H3867" s="88"/>
      <c r="I3867" s="88">
        <f t="shared" ref="I3867:I3876" si="264">I3866+G3867-H3867</f>
        <v>9494.1699999999983</v>
      </c>
      <c r="L3867" s="2">
        <f t="shared" ref="L3867:L3876" si="265">IF((G3867+H3867)&lt;=5000,(H3867+G3867)*0.004,20)+IF(E3867="Y",25,0)</f>
        <v>8</v>
      </c>
    </row>
    <row r="3868" spans="1:12" x14ac:dyDescent="0.3">
      <c r="A3868" s="3">
        <v>38381</v>
      </c>
      <c r="B3868" s="11" t="s">
        <v>2448</v>
      </c>
      <c r="C3868" s="50" t="s">
        <v>2289</v>
      </c>
      <c r="G3868" s="88"/>
      <c r="H3868" s="88">
        <v>3000</v>
      </c>
      <c r="I3868" s="88">
        <f t="shared" si="264"/>
        <v>6494.1699999999983</v>
      </c>
      <c r="L3868" s="2">
        <f t="shared" si="265"/>
        <v>12</v>
      </c>
    </row>
    <row r="3869" spans="1:12" x14ac:dyDescent="0.3">
      <c r="A3869" s="3">
        <v>38381</v>
      </c>
      <c r="B3869" s="11" t="s">
        <v>3635</v>
      </c>
      <c r="C3869" s="50" t="s">
        <v>7517</v>
      </c>
      <c r="G3869" s="88">
        <v>3000</v>
      </c>
      <c r="H3869" s="88"/>
      <c r="I3869" s="88">
        <f t="shared" si="264"/>
        <v>9494.1699999999983</v>
      </c>
      <c r="L3869" s="2">
        <f t="shared" si="265"/>
        <v>12</v>
      </c>
    </row>
    <row r="3870" spans="1:12" x14ac:dyDescent="0.3">
      <c r="A3870" s="3">
        <v>38381</v>
      </c>
      <c r="B3870" s="11" t="s">
        <v>7518</v>
      </c>
      <c r="C3870" s="50" t="s">
        <v>6310</v>
      </c>
      <c r="G3870" s="88">
        <v>500</v>
      </c>
      <c r="H3870" s="88"/>
      <c r="I3870" s="88">
        <f t="shared" si="264"/>
        <v>9994.1699999999983</v>
      </c>
      <c r="L3870" s="2">
        <f t="shared" si="265"/>
        <v>2</v>
      </c>
    </row>
    <row r="3871" spans="1:12" x14ac:dyDescent="0.3">
      <c r="A3871" s="3">
        <v>38381</v>
      </c>
      <c r="C3871" s="50" t="s">
        <v>7519</v>
      </c>
      <c r="G3871" s="88"/>
      <c r="H3871" s="88">
        <v>5000</v>
      </c>
      <c r="I3871" s="88">
        <f t="shared" si="264"/>
        <v>4994.1699999999983</v>
      </c>
      <c r="L3871" s="2">
        <f t="shared" si="265"/>
        <v>20</v>
      </c>
    </row>
    <row r="3872" spans="1:12" x14ac:dyDescent="0.3">
      <c r="A3872" s="3">
        <v>38381</v>
      </c>
      <c r="B3872" s="11" t="s">
        <v>1250</v>
      </c>
      <c r="C3872" s="50" t="s">
        <v>3370</v>
      </c>
      <c r="G3872" s="88">
        <v>500</v>
      </c>
      <c r="H3872" s="88"/>
      <c r="I3872" s="88">
        <f t="shared" si="264"/>
        <v>5494.1699999999983</v>
      </c>
      <c r="L3872" s="2">
        <f t="shared" si="265"/>
        <v>2</v>
      </c>
    </row>
    <row r="3873" spans="1:12" x14ac:dyDescent="0.3">
      <c r="A3873" s="3">
        <v>38381</v>
      </c>
      <c r="B3873" s="11" t="s">
        <v>1250</v>
      </c>
      <c r="C3873" s="50" t="s">
        <v>7402</v>
      </c>
      <c r="G3873" s="88">
        <v>1000</v>
      </c>
      <c r="H3873" s="88"/>
      <c r="I3873" s="88">
        <f t="shared" si="264"/>
        <v>6494.1699999999983</v>
      </c>
      <c r="L3873" s="2">
        <f t="shared" si="265"/>
        <v>4</v>
      </c>
    </row>
    <row r="3874" spans="1:12" x14ac:dyDescent="0.3">
      <c r="A3874" s="3">
        <v>38381</v>
      </c>
      <c r="B3874" s="11" t="s">
        <v>3541</v>
      </c>
      <c r="C3874" s="50" t="s">
        <v>7292</v>
      </c>
      <c r="G3874" s="88">
        <v>2000</v>
      </c>
      <c r="H3874" s="88"/>
      <c r="I3874" s="88">
        <f t="shared" si="264"/>
        <v>8494.1699999999983</v>
      </c>
      <c r="L3874" s="2">
        <f t="shared" si="265"/>
        <v>8</v>
      </c>
    </row>
    <row r="3875" spans="1:12" x14ac:dyDescent="0.3">
      <c r="A3875" s="3">
        <v>38381</v>
      </c>
      <c r="B3875" s="11" t="s">
        <v>3148</v>
      </c>
      <c r="C3875" s="50" t="s">
        <v>7520</v>
      </c>
      <c r="G3875" s="88">
        <v>500</v>
      </c>
      <c r="H3875" s="88"/>
      <c r="I3875" s="88">
        <f t="shared" si="264"/>
        <v>8994.1699999999983</v>
      </c>
      <c r="L3875" s="2">
        <f t="shared" si="265"/>
        <v>2</v>
      </c>
    </row>
    <row r="3876" spans="1:12" x14ac:dyDescent="0.3">
      <c r="A3876" s="3">
        <v>38381</v>
      </c>
      <c r="B3876" s="11" t="s">
        <v>1160</v>
      </c>
      <c r="C3876" s="50" t="s">
        <v>7521</v>
      </c>
      <c r="G3876" s="88">
        <v>7000</v>
      </c>
      <c r="H3876" s="88"/>
      <c r="I3876" s="88">
        <f t="shared" si="264"/>
        <v>15994.169999999998</v>
      </c>
      <c r="L3876" s="2">
        <f t="shared" si="265"/>
        <v>20</v>
      </c>
    </row>
    <row r="3877" spans="1:12" x14ac:dyDescent="0.3">
      <c r="A3877" s="3">
        <v>38381</v>
      </c>
      <c r="B3877" s="11" t="s">
        <v>7260</v>
      </c>
      <c r="C3877" s="50" t="s">
        <v>7522</v>
      </c>
      <c r="G3877" s="88">
        <v>2500</v>
      </c>
      <c r="H3877" s="88"/>
      <c r="I3877" s="88">
        <f t="shared" ref="I3877:I3889" si="266">I3876+G3877-H3877</f>
        <v>18494.169999999998</v>
      </c>
      <c r="L3877" s="2">
        <f t="shared" ref="L3877:L3889" si="267">IF((G3877+H3877)&lt;=5000,(H3877+G3877)*0.004,20)+IF(E3877="Y",25,0)</f>
        <v>10</v>
      </c>
    </row>
    <row r="3878" spans="1:12" x14ac:dyDescent="0.3">
      <c r="A3878" s="3">
        <v>45687</v>
      </c>
      <c r="B3878" s="11" t="s">
        <v>7262</v>
      </c>
      <c r="C3878" s="50" t="s">
        <v>7263</v>
      </c>
      <c r="G3878" s="88">
        <v>3000</v>
      </c>
      <c r="H3878" s="88"/>
      <c r="I3878" s="88">
        <f t="shared" si="266"/>
        <v>21494.17</v>
      </c>
      <c r="L3878" s="2">
        <f t="shared" si="267"/>
        <v>12</v>
      </c>
    </row>
    <row r="3879" spans="1:12" x14ac:dyDescent="0.3">
      <c r="A3879" s="3">
        <v>45687</v>
      </c>
      <c r="B3879" s="11" t="s">
        <v>7524</v>
      </c>
      <c r="C3879" s="65" t="s">
        <v>7525</v>
      </c>
      <c r="E3879" s="90" t="s">
        <v>16</v>
      </c>
      <c r="G3879" s="88"/>
      <c r="H3879" s="88">
        <v>500</v>
      </c>
      <c r="I3879" s="88">
        <f t="shared" si="266"/>
        <v>20994.17</v>
      </c>
      <c r="L3879" s="2">
        <f t="shared" si="267"/>
        <v>27</v>
      </c>
    </row>
    <row r="3880" spans="1:12" x14ac:dyDescent="0.3">
      <c r="A3880" s="3">
        <v>45687</v>
      </c>
      <c r="C3880" s="50" t="s">
        <v>7245</v>
      </c>
      <c r="E3880" s="90" t="s">
        <v>4721</v>
      </c>
      <c r="G3880" s="88"/>
      <c r="H3880" s="88">
        <v>20000</v>
      </c>
      <c r="I3880" s="88">
        <f t="shared" si="266"/>
        <v>994.16999999999825</v>
      </c>
      <c r="L3880" s="2">
        <f t="shared" si="267"/>
        <v>20</v>
      </c>
    </row>
    <row r="3881" spans="1:12" x14ac:dyDescent="0.3">
      <c r="A3881" s="3">
        <v>45687</v>
      </c>
      <c r="B3881" s="11" t="s">
        <v>7060</v>
      </c>
      <c r="C3881" s="50" t="s">
        <v>7529</v>
      </c>
      <c r="G3881" s="88">
        <v>2500</v>
      </c>
      <c r="H3881" s="88"/>
      <c r="I3881" s="88">
        <f t="shared" si="266"/>
        <v>3494.1699999999983</v>
      </c>
      <c r="L3881" s="2">
        <f t="shared" si="267"/>
        <v>10</v>
      </c>
    </row>
    <row r="3882" spans="1:12" x14ac:dyDescent="0.3">
      <c r="A3882" s="3">
        <v>45687</v>
      </c>
      <c r="B3882" s="11" t="s">
        <v>6459</v>
      </c>
      <c r="C3882" s="50" t="s">
        <v>7528</v>
      </c>
      <c r="D3882" s="50">
        <v>9031395162</v>
      </c>
      <c r="G3882" s="88"/>
      <c r="H3882" s="88">
        <v>2500</v>
      </c>
      <c r="I3882" s="88">
        <f t="shared" si="266"/>
        <v>994.16999999999825</v>
      </c>
      <c r="L3882" s="2">
        <f t="shared" si="267"/>
        <v>10</v>
      </c>
    </row>
    <row r="3883" spans="1:12" x14ac:dyDescent="0.3">
      <c r="A3883" s="3">
        <v>45687</v>
      </c>
      <c r="B3883" s="11" t="s">
        <v>4752</v>
      </c>
      <c r="C3883" s="50" t="s">
        <v>5806</v>
      </c>
      <c r="G3883" s="88">
        <v>500</v>
      </c>
      <c r="H3883" s="88"/>
      <c r="I3883" s="88">
        <f t="shared" si="266"/>
        <v>1494.1699999999983</v>
      </c>
      <c r="L3883" s="2">
        <f t="shared" si="267"/>
        <v>2</v>
      </c>
    </row>
    <row r="3884" spans="1:12" x14ac:dyDescent="0.3">
      <c r="A3884" s="3">
        <v>45687</v>
      </c>
      <c r="B3884" s="11" t="s">
        <v>7166</v>
      </c>
      <c r="C3884" s="50" t="s">
        <v>7254</v>
      </c>
      <c r="G3884" s="88">
        <v>2000</v>
      </c>
      <c r="H3884" s="88"/>
      <c r="I3884" s="88">
        <f t="shared" si="266"/>
        <v>3494.1699999999983</v>
      </c>
      <c r="L3884" s="2">
        <f t="shared" si="267"/>
        <v>8</v>
      </c>
    </row>
    <row r="3885" spans="1:12" x14ac:dyDescent="0.3">
      <c r="A3885" s="3">
        <v>45687</v>
      </c>
      <c r="B3885" s="11" t="s">
        <v>7531</v>
      </c>
      <c r="C3885" s="65" t="s">
        <v>7532</v>
      </c>
      <c r="E3885" s="90" t="s">
        <v>16</v>
      </c>
      <c r="G3885" s="88"/>
      <c r="H3885" s="88">
        <v>500</v>
      </c>
      <c r="I3885" s="88">
        <f t="shared" si="266"/>
        <v>2994.1699999999983</v>
      </c>
      <c r="L3885" s="2">
        <f t="shared" si="267"/>
        <v>27</v>
      </c>
    </row>
    <row r="3886" spans="1:12" x14ac:dyDescent="0.3">
      <c r="A3886" s="3">
        <v>45687</v>
      </c>
      <c r="B3886" s="11" t="s">
        <v>3148</v>
      </c>
      <c r="C3886" s="50" t="s">
        <v>5721</v>
      </c>
      <c r="G3886" s="88">
        <v>4000</v>
      </c>
      <c r="H3886" s="88"/>
      <c r="I3886" s="88">
        <f t="shared" si="266"/>
        <v>6994.1699999999983</v>
      </c>
      <c r="L3886" s="2">
        <f t="shared" si="267"/>
        <v>16</v>
      </c>
    </row>
    <row r="3887" spans="1:12" x14ac:dyDescent="0.3">
      <c r="A3887" s="3">
        <v>45688</v>
      </c>
      <c r="B3887" s="11" t="s">
        <v>7503</v>
      </c>
      <c r="C3887" s="50" t="s">
        <v>7537</v>
      </c>
      <c r="E3887" s="90" t="s">
        <v>16</v>
      </c>
      <c r="G3887" s="88"/>
      <c r="H3887" s="88">
        <v>500</v>
      </c>
      <c r="I3887" s="88">
        <f t="shared" si="266"/>
        <v>6494.1699999999983</v>
      </c>
      <c r="L3887" s="2">
        <f t="shared" si="267"/>
        <v>27</v>
      </c>
    </row>
    <row r="3888" spans="1:12" x14ac:dyDescent="0.3">
      <c r="A3888" s="3">
        <v>45688</v>
      </c>
      <c r="B3888" s="11" t="s">
        <v>1250</v>
      </c>
      <c r="C3888" s="50" t="s">
        <v>1026</v>
      </c>
      <c r="G3888" s="88">
        <v>1000</v>
      </c>
      <c r="H3888" s="88"/>
      <c r="I3888" s="88">
        <f t="shared" si="266"/>
        <v>7494.1699999999983</v>
      </c>
      <c r="L3888" s="2">
        <f t="shared" si="267"/>
        <v>4</v>
      </c>
    </row>
    <row r="3889" spans="1:13" x14ac:dyDescent="0.3">
      <c r="A3889" s="3">
        <v>45688</v>
      </c>
      <c r="B3889" s="11" t="s">
        <v>5156</v>
      </c>
      <c r="C3889" s="50" t="s">
        <v>7540</v>
      </c>
      <c r="G3889" s="88">
        <v>2500</v>
      </c>
      <c r="H3889" s="88"/>
      <c r="I3889" s="88">
        <f t="shared" si="266"/>
        <v>9994.1699999999983</v>
      </c>
      <c r="L3889" s="2">
        <f t="shared" si="267"/>
        <v>10</v>
      </c>
    </row>
    <row r="3890" spans="1:13" x14ac:dyDescent="0.3">
      <c r="A3890" s="77">
        <f>COUNT(A3557:A3889)</f>
        <v>333</v>
      </c>
      <c r="B3890" s="80" t="s">
        <v>7120</v>
      </c>
      <c r="C3890" s="112">
        <f>SUMIF(E3557:E3889,"S",H3557:H3889)</f>
        <v>524000</v>
      </c>
      <c r="D3890" s="112"/>
      <c r="E3890" s="92">
        <f>COUNTIF(E3557:E3889,"Y")</f>
        <v>24</v>
      </c>
      <c r="F3890" s="80">
        <f>SUM(F2669:F3889)</f>
        <v>400</v>
      </c>
      <c r="G3890" s="121">
        <f>SUM(G3557:G3889)</f>
        <v>797400</v>
      </c>
      <c r="H3890" s="121">
        <f>SUM(H3557:H3889)</f>
        <v>830250</v>
      </c>
      <c r="I3890" s="121">
        <f>SUM(G3890:H3890)-C3890</f>
        <v>1103650</v>
      </c>
      <c r="J3890" s="122"/>
      <c r="K3890" s="122"/>
      <c r="L3890" s="121">
        <f>SUM(L3557:L3889)</f>
        <v>4205</v>
      </c>
      <c r="M3890" s="121">
        <f>SUM(M3013:M3889)</f>
        <v>0</v>
      </c>
    </row>
    <row r="3892" spans="1:13" x14ac:dyDescent="0.3">
      <c r="A3892" s="3">
        <v>45689</v>
      </c>
      <c r="C3892" s="50" t="s">
        <v>6831</v>
      </c>
      <c r="G3892" s="88">
        <f>I3889</f>
        <v>9994.1699999999983</v>
      </c>
      <c r="H3892" s="88"/>
      <c r="I3892" s="88">
        <f t="shared" ref="I3892:I3893" si="268">I3891+G3892-H3892</f>
        <v>9994.1699999999983</v>
      </c>
    </row>
    <row r="3893" spans="1:13" x14ac:dyDescent="0.3">
      <c r="A3893" s="3">
        <v>45689</v>
      </c>
      <c r="B3893" s="11" t="s">
        <v>6260</v>
      </c>
      <c r="C3893" s="50" t="s">
        <v>7541</v>
      </c>
      <c r="G3893" s="88"/>
      <c r="H3893" s="88">
        <v>6500</v>
      </c>
      <c r="I3893" s="88">
        <f t="shared" si="268"/>
        <v>3494.1699999999983</v>
      </c>
      <c r="L3893" s="2">
        <f t="shared" ref="L3893" si="269">IF((G3893+H3893)&lt;=5000,(H3893+G3893)*0.004,20)+IF(E3893="Y",25,0)</f>
        <v>20</v>
      </c>
    </row>
    <row r="3894" spans="1:13" x14ac:dyDescent="0.3">
      <c r="A3894" s="3">
        <v>45689</v>
      </c>
      <c r="B3894" s="11" t="s">
        <v>1472</v>
      </c>
      <c r="C3894" s="50" t="s">
        <v>7543</v>
      </c>
      <c r="G3894" s="88">
        <v>6000</v>
      </c>
      <c r="H3894" s="88"/>
      <c r="I3894" s="88">
        <f t="shared" ref="I3894:I3913" si="270">I3893+G3894-H3894</f>
        <v>9494.1699999999983</v>
      </c>
      <c r="L3894" s="2">
        <f t="shared" ref="L3894:L3910" si="271">IF((G3894+H3894)&lt;=5000,(H3894+G3894)*0.004,20)+IF(E3894="Y",25,0)</f>
        <v>20</v>
      </c>
    </row>
    <row r="3895" spans="1:13" x14ac:dyDescent="0.3">
      <c r="A3895" s="3">
        <v>45689</v>
      </c>
      <c r="B3895" s="11" t="s">
        <v>6844</v>
      </c>
      <c r="C3895" s="50" t="s">
        <v>7544</v>
      </c>
      <c r="G3895" s="88"/>
      <c r="H3895" s="88">
        <v>3500</v>
      </c>
      <c r="I3895" s="88">
        <f t="shared" si="270"/>
        <v>5994.1699999999983</v>
      </c>
      <c r="L3895" s="2">
        <f t="shared" si="271"/>
        <v>14</v>
      </c>
    </row>
    <row r="3896" spans="1:13" x14ac:dyDescent="0.3">
      <c r="A3896" s="3">
        <v>45689</v>
      </c>
      <c r="B3896" s="11" t="s">
        <v>6940</v>
      </c>
      <c r="C3896" s="50" t="s">
        <v>7392</v>
      </c>
      <c r="G3896" s="88">
        <v>2500</v>
      </c>
      <c r="H3896" s="88"/>
      <c r="I3896" s="88">
        <f t="shared" si="270"/>
        <v>8494.1699999999983</v>
      </c>
      <c r="L3896" s="2">
        <f t="shared" si="271"/>
        <v>10</v>
      </c>
    </row>
    <row r="3897" spans="1:13" x14ac:dyDescent="0.3">
      <c r="A3897" s="3">
        <v>45689</v>
      </c>
      <c r="B3897" s="11" t="s">
        <v>7545</v>
      </c>
      <c r="C3897" s="50" t="s">
        <v>7546</v>
      </c>
      <c r="G3897" s="88">
        <v>4000</v>
      </c>
      <c r="H3897" s="88"/>
      <c r="I3897" s="88">
        <f t="shared" si="270"/>
        <v>12494.169999999998</v>
      </c>
      <c r="L3897" s="2">
        <f t="shared" si="271"/>
        <v>16</v>
      </c>
    </row>
    <row r="3898" spans="1:13" x14ac:dyDescent="0.3">
      <c r="A3898" s="3">
        <v>45689</v>
      </c>
      <c r="B3898" s="11" t="s">
        <v>7514</v>
      </c>
      <c r="C3898" s="50" t="s">
        <v>7347</v>
      </c>
      <c r="G3898" s="88">
        <v>1000</v>
      </c>
      <c r="H3898" s="88"/>
      <c r="I3898" s="88">
        <f t="shared" si="270"/>
        <v>13494.169999999998</v>
      </c>
      <c r="L3898" s="2">
        <f t="shared" si="271"/>
        <v>4</v>
      </c>
    </row>
    <row r="3899" spans="1:13" x14ac:dyDescent="0.3">
      <c r="A3899" s="3">
        <v>45689</v>
      </c>
      <c r="B3899" s="11" t="s">
        <v>7547</v>
      </c>
      <c r="C3899" s="50" t="s">
        <v>7328</v>
      </c>
      <c r="G3899" s="88">
        <v>500</v>
      </c>
      <c r="H3899" s="88"/>
      <c r="I3899" s="88">
        <f t="shared" si="270"/>
        <v>13994.169999999998</v>
      </c>
      <c r="L3899" s="2">
        <f t="shared" si="271"/>
        <v>2</v>
      </c>
    </row>
    <row r="3900" spans="1:13" x14ac:dyDescent="0.3">
      <c r="A3900" s="3">
        <v>45689</v>
      </c>
      <c r="B3900" s="11" t="s">
        <v>4039</v>
      </c>
      <c r="C3900" s="50" t="s">
        <v>1232</v>
      </c>
      <c r="G3900" s="88"/>
      <c r="H3900" s="88">
        <v>3000</v>
      </c>
      <c r="I3900" s="88">
        <f t="shared" si="270"/>
        <v>10994.169999999998</v>
      </c>
      <c r="L3900" s="2">
        <f t="shared" si="271"/>
        <v>12</v>
      </c>
    </row>
    <row r="3901" spans="1:13" x14ac:dyDescent="0.3">
      <c r="A3901" s="3">
        <v>45689</v>
      </c>
      <c r="B3901" s="11" t="s">
        <v>7549</v>
      </c>
      <c r="C3901" s="65" t="s">
        <v>7550</v>
      </c>
      <c r="E3901" s="90" t="s">
        <v>14</v>
      </c>
      <c r="G3901" s="88"/>
      <c r="H3901" s="88">
        <v>500</v>
      </c>
      <c r="I3901" s="88">
        <f t="shared" si="270"/>
        <v>10494.169999999998</v>
      </c>
      <c r="L3901" s="2">
        <f t="shared" si="271"/>
        <v>27</v>
      </c>
    </row>
    <row r="3902" spans="1:13" x14ac:dyDescent="0.3">
      <c r="A3902" s="3">
        <v>45689</v>
      </c>
      <c r="B3902" s="11" t="s">
        <v>6687</v>
      </c>
      <c r="C3902" s="50" t="s">
        <v>7553</v>
      </c>
      <c r="G3902" s="88">
        <v>4500</v>
      </c>
      <c r="H3902" s="88"/>
      <c r="I3902" s="88">
        <f t="shared" si="270"/>
        <v>14994.169999999998</v>
      </c>
      <c r="L3902" s="2">
        <f t="shared" si="271"/>
        <v>18</v>
      </c>
    </row>
    <row r="3903" spans="1:13" x14ac:dyDescent="0.3">
      <c r="A3903" s="3">
        <v>45689</v>
      </c>
      <c r="B3903" s="11" t="s">
        <v>3148</v>
      </c>
      <c r="C3903" s="50" t="s">
        <v>4853</v>
      </c>
      <c r="G3903" s="88">
        <v>1400</v>
      </c>
      <c r="H3903" s="88"/>
      <c r="I3903" s="88">
        <f t="shared" si="270"/>
        <v>16394.169999999998</v>
      </c>
      <c r="L3903" s="2">
        <f t="shared" si="271"/>
        <v>5.6000000000000005</v>
      </c>
    </row>
    <row r="3904" spans="1:13" x14ac:dyDescent="0.3">
      <c r="A3904" s="3">
        <v>45689</v>
      </c>
      <c r="C3904" s="50" t="s">
        <v>7554</v>
      </c>
      <c r="G3904" s="88"/>
      <c r="H3904" s="88">
        <v>8000</v>
      </c>
      <c r="I3904" s="88">
        <f t="shared" si="270"/>
        <v>8394.1699999999983</v>
      </c>
      <c r="L3904" s="2">
        <f t="shared" si="271"/>
        <v>20</v>
      </c>
    </row>
    <row r="3905" spans="1:12" x14ac:dyDescent="0.3">
      <c r="A3905" s="3">
        <v>45690</v>
      </c>
      <c r="B3905" s="11" t="s">
        <v>7561</v>
      </c>
      <c r="C3905" s="50" t="s">
        <v>7562</v>
      </c>
      <c r="E3905" s="90" t="s">
        <v>16</v>
      </c>
      <c r="G3905" s="88"/>
      <c r="H3905" s="88">
        <v>500</v>
      </c>
      <c r="I3905" s="88">
        <f t="shared" si="270"/>
        <v>7894.1699999999983</v>
      </c>
      <c r="L3905" s="2">
        <f t="shared" si="271"/>
        <v>27</v>
      </c>
    </row>
    <row r="3906" spans="1:12" x14ac:dyDescent="0.3">
      <c r="A3906" s="3">
        <v>45690</v>
      </c>
      <c r="B3906" s="11" t="s">
        <v>1250</v>
      </c>
      <c r="G3906" s="88"/>
      <c r="H3906" s="88">
        <v>4000</v>
      </c>
      <c r="I3906" s="88">
        <f t="shared" si="270"/>
        <v>3894.1699999999983</v>
      </c>
    </row>
    <row r="3907" spans="1:12" x14ac:dyDescent="0.3">
      <c r="A3907" s="3">
        <v>45691</v>
      </c>
      <c r="B3907" s="11" t="s">
        <v>5306</v>
      </c>
      <c r="C3907" s="50" t="s">
        <v>7556</v>
      </c>
      <c r="G3907" s="88">
        <v>1500</v>
      </c>
      <c r="H3907" s="88"/>
      <c r="I3907" s="88">
        <f t="shared" si="270"/>
        <v>5394.1699999999983</v>
      </c>
      <c r="L3907" s="2">
        <f t="shared" si="271"/>
        <v>6</v>
      </c>
    </row>
    <row r="3908" spans="1:12" x14ac:dyDescent="0.3">
      <c r="A3908" s="3">
        <v>45691</v>
      </c>
      <c r="B3908" s="11" t="s">
        <v>1250</v>
      </c>
      <c r="C3908" s="50" t="s">
        <v>2443</v>
      </c>
      <c r="G3908" s="88">
        <v>600</v>
      </c>
      <c r="H3908" s="88"/>
      <c r="I3908" s="88">
        <f t="shared" si="270"/>
        <v>5994.1699999999983</v>
      </c>
      <c r="L3908" s="2">
        <f t="shared" si="271"/>
        <v>2.4</v>
      </c>
    </row>
    <row r="3909" spans="1:12" x14ac:dyDescent="0.3">
      <c r="A3909" s="3">
        <v>45691</v>
      </c>
      <c r="B3909" s="11" t="s">
        <v>4514</v>
      </c>
      <c r="C3909" s="50" t="s">
        <v>7557</v>
      </c>
      <c r="G3909" s="88">
        <v>5000</v>
      </c>
      <c r="H3909" s="88"/>
      <c r="I3909" s="88">
        <f t="shared" si="270"/>
        <v>10994.169999999998</v>
      </c>
      <c r="L3909" s="2">
        <f t="shared" si="271"/>
        <v>20</v>
      </c>
    </row>
    <row r="3910" spans="1:12" x14ac:dyDescent="0.3">
      <c r="A3910" s="3">
        <v>45691</v>
      </c>
      <c r="B3910" s="11" t="s">
        <v>6075</v>
      </c>
      <c r="C3910" s="50" t="s">
        <v>7558</v>
      </c>
      <c r="G3910" s="88">
        <v>2500</v>
      </c>
      <c r="H3910" s="88"/>
      <c r="I3910" s="88">
        <f t="shared" si="270"/>
        <v>13494.169999999998</v>
      </c>
      <c r="L3910" s="2">
        <f t="shared" si="271"/>
        <v>10</v>
      </c>
    </row>
    <row r="3911" spans="1:12" x14ac:dyDescent="0.3">
      <c r="A3911" s="3">
        <v>45691</v>
      </c>
      <c r="B3911" s="11" t="s">
        <v>4678</v>
      </c>
      <c r="C3911" s="50" t="s">
        <v>585</v>
      </c>
      <c r="G3911" s="88"/>
      <c r="H3911" s="88">
        <v>500</v>
      </c>
      <c r="I3911" s="88">
        <f t="shared" si="270"/>
        <v>12994.169999999998</v>
      </c>
      <c r="L3911" s="2">
        <f t="shared" ref="L3911:L3917" si="272">IF((G3911+H3911)&lt;=5000,(H3911+G3911)*0.004,20)+IF(E3911="Y",25,0)</f>
        <v>2</v>
      </c>
    </row>
    <row r="3912" spans="1:12" x14ac:dyDescent="0.3">
      <c r="A3912" s="3">
        <v>45691</v>
      </c>
      <c r="B3912" s="11" t="s">
        <v>1250</v>
      </c>
      <c r="C3912" s="50" t="s">
        <v>2626</v>
      </c>
      <c r="G3912" s="88">
        <v>5000</v>
      </c>
      <c r="H3912" s="88"/>
      <c r="I3912" s="88">
        <f t="shared" si="270"/>
        <v>17994.169999999998</v>
      </c>
      <c r="J3912">
        <v>2700</v>
      </c>
      <c r="L3912" s="2">
        <f t="shared" si="272"/>
        <v>20</v>
      </c>
    </row>
    <row r="3913" spans="1:12" x14ac:dyDescent="0.3">
      <c r="A3913" s="3">
        <v>45691</v>
      </c>
      <c r="B3913" s="11" t="s">
        <v>3706</v>
      </c>
      <c r="C3913" s="50" t="s">
        <v>7559</v>
      </c>
      <c r="G3913" s="88">
        <v>2000</v>
      </c>
      <c r="H3913" s="88"/>
      <c r="I3913" s="88">
        <f t="shared" si="270"/>
        <v>19994.169999999998</v>
      </c>
      <c r="L3913" s="2">
        <f t="shared" si="272"/>
        <v>8</v>
      </c>
    </row>
    <row r="3914" spans="1:12" x14ac:dyDescent="0.3">
      <c r="A3914" s="3">
        <v>45692</v>
      </c>
      <c r="B3914" s="11" t="s">
        <v>6844</v>
      </c>
      <c r="C3914" s="50" t="s">
        <v>7544</v>
      </c>
      <c r="G3914" s="88"/>
      <c r="H3914" s="88">
        <v>1700</v>
      </c>
      <c r="I3914" s="88">
        <f t="shared" ref="I3914:I3917" si="273">I3913+G3914-H3914</f>
        <v>18294.169999999998</v>
      </c>
      <c r="L3914" s="2">
        <f t="shared" si="272"/>
        <v>6.8</v>
      </c>
    </row>
    <row r="3915" spans="1:12" x14ac:dyDescent="0.3">
      <c r="A3915" s="3">
        <v>45692</v>
      </c>
      <c r="B3915" s="11" t="s">
        <v>6743</v>
      </c>
      <c r="C3915" s="50" t="s">
        <v>419</v>
      </c>
      <c r="G3915" s="88">
        <v>500</v>
      </c>
      <c r="H3915" s="88"/>
      <c r="I3915" s="88">
        <f t="shared" si="273"/>
        <v>18794.169999999998</v>
      </c>
      <c r="L3915" s="2">
        <f t="shared" si="272"/>
        <v>2</v>
      </c>
    </row>
    <row r="3916" spans="1:12" x14ac:dyDescent="0.3">
      <c r="A3916" s="3">
        <v>45692</v>
      </c>
      <c r="B3916" s="11" t="s">
        <v>1250</v>
      </c>
      <c r="C3916" s="50" t="s">
        <v>2443</v>
      </c>
      <c r="G3916" s="88">
        <v>1900</v>
      </c>
      <c r="H3916" s="88"/>
      <c r="I3916" s="88">
        <f t="shared" si="273"/>
        <v>20694.169999999998</v>
      </c>
      <c r="J3916">
        <v>30</v>
      </c>
      <c r="L3916" s="2">
        <f t="shared" si="272"/>
        <v>7.6000000000000005</v>
      </c>
    </row>
    <row r="3917" spans="1:12" x14ac:dyDescent="0.3">
      <c r="A3917" s="3">
        <v>45692</v>
      </c>
      <c r="C3917" s="50" t="s">
        <v>2857</v>
      </c>
      <c r="E3917" s="90" t="s">
        <v>4721</v>
      </c>
      <c r="G3917" s="88"/>
      <c r="H3917" s="88">
        <v>20000</v>
      </c>
      <c r="I3917" s="88">
        <f t="shared" si="273"/>
        <v>694.16999999999825</v>
      </c>
      <c r="L3917" s="2">
        <f t="shared" si="272"/>
        <v>20</v>
      </c>
    </row>
    <row r="3918" spans="1:12" x14ac:dyDescent="0.3">
      <c r="A3918" s="3">
        <v>45692</v>
      </c>
      <c r="B3918" s="11" t="s">
        <v>1250</v>
      </c>
      <c r="C3918" s="50" t="s">
        <v>7560</v>
      </c>
      <c r="G3918" s="88">
        <v>2000</v>
      </c>
      <c r="H3918" s="88"/>
      <c r="I3918" s="88">
        <f t="shared" ref="I3918:I3932" si="274">I3917+G3918-H3918</f>
        <v>2694.1699999999983</v>
      </c>
      <c r="L3918" s="2">
        <f t="shared" ref="L3918:L3932" si="275">IF((G3918+H3918)&lt;=5000,(H3918+G3918)*0.004,20)+IF(E3918="Y",25,0)</f>
        <v>8</v>
      </c>
    </row>
    <row r="3919" spans="1:12" x14ac:dyDescent="0.3">
      <c r="A3919" s="3">
        <v>45692</v>
      </c>
      <c r="B3919" s="11" t="s">
        <v>1250</v>
      </c>
      <c r="C3919" s="50" t="s">
        <v>7563</v>
      </c>
      <c r="G3919" s="88">
        <v>2500</v>
      </c>
      <c r="H3919" s="88"/>
      <c r="I3919" s="88">
        <f t="shared" si="274"/>
        <v>5194.1699999999983</v>
      </c>
      <c r="L3919" s="2">
        <f t="shared" si="275"/>
        <v>10</v>
      </c>
    </row>
    <row r="3920" spans="1:12" x14ac:dyDescent="0.3">
      <c r="A3920" s="3">
        <v>45692</v>
      </c>
      <c r="B3920" s="11" t="s">
        <v>1250</v>
      </c>
      <c r="C3920" s="50" t="s">
        <v>7564</v>
      </c>
      <c r="G3920" s="88">
        <v>2500</v>
      </c>
      <c r="H3920" s="88"/>
      <c r="I3920" s="88">
        <f t="shared" si="274"/>
        <v>7694.1699999999983</v>
      </c>
      <c r="L3920" s="2">
        <f t="shared" si="275"/>
        <v>10</v>
      </c>
    </row>
    <row r="3921" spans="1:12" x14ac:dyDescent="0.3">
      <c r="A3921" s="3">
        <v>45692</v>
      </c>
      <c r="B3921" s="11" t="s">
        <v>3148</v>
      </c>
      <c r="C3921" s="50" t="s">
        <v>2626</v>
      </c>
      <c r="G3921" s="88">
        <v>10000</v>
      </c>
      <c r="H3921" s="88"/>
      <c r="I3921" s="88">
        <f t="shared" si="274"/>
        <v>17694.169999999998</v>
      </c>
      <c r="L3921" s="2">
        <f t="shared" si="275"/>
        <v>20</v>
      </c>
    </row>
    <row r="3922" spans="1:12" x14ac:dyDescent="0.3">
      <c r="A3922" s="3">
        <v>45693</v>
      </c>
      <c r="B3922" s="11" t="s">
        <v>3148</v>
      </c>
      <c r="C3922" s="50" t="s">
        <v>2884</v>
      </c>
      <c r="G3922" s="88">
        <v>400</v>
      </c>
      <c r="H3922" s="88"/>
      <c r="I3922" s="88">
        <f t="shared" si="274"/>
        <v>18094.169999999998</v>
      </c>
      <c r="L3922" s="2">
        <f t="shared" si="275"/>
        <v>1.6</v>
      </c>
    </row>
    <row r="3923" spans="1:12" x14ac:dyDescent="0.3">
      <c r="A3923" s="3">
        <v>45693</v>
      </c>
      <c r="B3923" s="11" t="s">
        <v>3148</v>
      </c>
      <c r="C3923" s="50" t="s">
        <v>3393</v>
      </c>
      <c r="G3923" s="88">
        <v>400</v>
      </c>
      <c r="H3923" s="88"/>
      <c r="I3923" s="88">
        <f t="shared" si="274"/>
        <v>18494.169999999998</v>
      </c>
      <c r="L3923" s="2">
        <f t="shared" si="275"/>
        <v>1.6</v>
      </c>
    </row>
    <row r="3924" spans="1:12" x14ac:dyDescent="0.3">
      <c r="A3924" s="3">
        <v>45693</v>
      </c>
      <c r="B3924" s="11" t="s">
        <v>6844</v>
      </c>
      <c r="C3924" s="50" t="s">
        <v>7544</v>
      </c>
      <c r="G3924" s="88"/>
      <c r="H3924" s="88">
        <v>1500</v>
      </c>
      <c r="I3924" s="88">
        <f t="shared" si="274"/>
        <v>16994.169999999998</v>
      </c>
      <c r="L3924" s="2">
        <f t="shared" si="275"/>
        <v>6</v>
      </c>
    </row>
    <row r="3925" spans="1:12" x14ac:dyDescent="0.3">
      <c r="A3925" s="3">
        <v>45693</v>
      </c>
      <c r="B3925" s="11" t="s">
        <v>5186</v>
      </c>
      <c r="C3925" s="50" t="s">
        <v>5189</v>
      </c>
      <c r="G3925" s="88">
        <v>5000</v>
      </c>
      <c r="H3925" s="88"/>
      <c r="I3925" s="88">
        <f t="shared" si="274"/>
        <v>21994.17</v>
      </c>
      <c r="L3925" s="2">
        <f t="shared" si="275"/>
        <v>20</v>
      </c>
    </row>
    <row r="3926" spans="1:12" x14ac:dyDescent="0.3">
      <c r="A3926" s="3">
        <v>45693</v>
      </c>
      <c r="B3926" s="11" t="s">
        <v>1250</v>
      </c>
      <c r="C3926" s="50" t="s">
        <v>2626</v>
      </c>
      <c r="G3926" s="88">
        <v>2000</v>
      </c>
      <c r="H3926" s="88"/>
      <c r="I3926" s="88">
        <f t="shared" si="274"/>
        <v>23994.17</v>
      </c>
      <c r="L3926" s="2">
        <f t="shared" si="275"/>
        <v>8</v>
      </c>
    </row>
    <row r="3927" spans="1:12" x14ac:dyDescent="0.3">
      <c r="A3927" s="3">
        <v>45693</v>
      </c>
      <c r="B3927" s="11" t="s">
        <v>6428</v>
      </c>
      <c r="C3927" s="50" t="s">
        <v>7567</v>
      </c>
      <c r="G3927" s="88">
        <v>2000</v>
      </c>
      <c r="H3927" s="88"/>
      <c r="I3927" s="88">
        <f t="shared" si="274"/>
        <v>25994.17</v>
      </c>
      <c r="L3927" s="2">
        <f t="shared" si="275"/>
        <v>8</v>
      </c>
    </row>
    <row r="3928" spans="1:12" x14ac:dyDescent="0.3">
      <c r="A3928" s="3">
        <v>45694</v>
      </c>
      <c r="B3928" s="11" t="s">
        <v>1250</v>
      </c>
      <c r="C3928" s="50" t="s">
        <v>3952</v>
      </c>
      <c r="G3928" s="88">
        <v>500</v>
      </c>
      <c r="H3928" s="88"/>
      <c r="I3928" s="88">
        <f t="shared" si="274"/>
        <v>26494.17</v>
      </c>
      <c r="L3928" s="2">
        <f t="shared" si="275"/>
        <v>2</v>
      </c>
    </row>
    <row r="3929" spans="1:12" x14ac:dyDescent="0.3">
      <c r="A3929" s="3">
        <v>45694</v>
      </c>
      <c r="C3929" s="50" t="s">
        <v>2857</v>
      </c>
      <c r="G3929" s="88"/>
      <c r="H3929" s="88">
        <v>26000</v>
      </c>
      <c r="I3929" s="88">
        <f t="shared" si="274"/>
        <v>494.16999999999825</v>
      </c>
      <c r="L3929" s="2">
        <f t="shared" si="275"/>
        <v>20</v>
      </c>
    </row>
    <row r="3930" spans="1:12" x14ac:dyDescent="0.3">
      <c r="A3930" s="3">
        <v>45694</v>
      </c>
      <c r="B3930" s="11" t="s">
        <v>2594</v>
      </c>
      <c r="C3930" s="50" t="s">
        <v>7568</v>
      </c>
      <c r="G3930" s="88">
        <v>10000</v>
      </c>
      <c r="H3930" s="88"/>
      <c r="I3930" s="88">
        <f t="shared" si="274"/>
        <v>10494.169999999998</v>
      </c>
      <c r="L3930" s="2">
        <f t="shared" si="275"/>
        <v>20</v>
      </c>
    </row>
    <row r="3931" spans="1:12" x14ac:dyDescent="0.3">
      <c r="A3931" s="3">
        <v>45694</v>
      </c>
      <c r="B3931" s="11" t="s">
        <v>1250</v>
      </c>
      <c r="C3931" s="50" t="s">
        <v>4853</v>
      </c>
      <c r="G3931" s="88">
        <v>1600</v>
      </c>
      <c r="H3931" s="88"/>
      <c r="I3931" s="88">
        <f t="shared" si="274"/>
        <v>12094.169999999998</v>
      </c>
      <c r="L3931" s="2">
        <f t="shared" si="275"/>
        <v>6.4</v>
      </c>
    </row>
    <row r="3932" spans="1:12" x14ac:dyDescent="0.3">
      <c r="A3932" s="3">
        <v>45694</v>
      </c>
      <c r="B3932" s="11" t="s">
        <v>6260</v>
      </c>
      <c r="C3932" s="50" t="s">
        <v>7541</v>
      </c>
      <c r="G3932" s="88"/>
      <c r="H3932" s="88">
        <v>3000</v>
      </c>
      <c r="I3932" s="88">
        <f t="shared" si="274"/>
        <v>9094.1699999999983</v>
      </c>
      <c r="L3932" s="2">
        <f t="shared" si="275"/>
        <v>12</v>
      </c>
    </row>
    <row r="3933" spans="1:12" x14ac:dyDescent="0.3">
      <c r="A3933" s="3">
        <v>45694</v>
      </c>
      <c r="B3933" s="11" t="s">
        <v>3541</v>
      </c>
      <c r="C3933" s="50" t="s">
        <v>3673</v>
      </c>
      <c r="G3933" s="88">
        <v>2200</v>
      </c>
      <c r="H3933" s="88"/>
      <c r="I3933" s="88">
        <f t="shared" ref="I3933:I3934" si="276">I3932+G3933-H3933</f>
        <v>11294.169999999998</v>
      </c>
      <c r="L3933" s="2">
        <f t="shared" ref="L3933:L3934" si="277">IF((G3933+H3933)&lt;=5000,(H3933+G3933)*0.004,20)+IF(E3933="Y",25,0)</f>
        <v>8.8000000000000007</v>
      </c>
    </row>
    <row r="3934" spans="1:12" x14ac:dyDescent="0.3">
      <c r="A3934" s="3">
        <v>45694</v>
      </c>
      <c r="B3934" s="11" t="s">
        <v>6369</v>
      </c>
      <c r="C3934" s="50" t="s">
        <v>7569</v>
      </c>
      <c r="G3934" s="88">
        <v>5000</v>
      </c>
      <c r="H3934" s="88"/>
      <c r="I3934" s="88">
        <f t="shared" si="276"/>
        <v>16294.169999999998</v>
      </c>
      <c r="L3934" s="2">
        <f t="shared" si="277"/>
        <v>20</v>
      </c>
    </row>
    <row r="3935" spans="1:12" x14ac:dyDescent="0.3">
      <c r="A3935" s="3">
        <v>45695</v>
      </c>
      <c r="B3935" s="11" t="s">
        <v>6260</v>
      </c>
      <c r="C3935" s="50" t="s">
        <v>7541</v>
      </c>
      <c r="G3935" s="88"/>
      <c r="H3935" s="88">
        <v>4000</v>
      </c>
      <c r="I3935" s="88">
        <f t="shared" ref="I3935:I3956" si="278">I3934+G3935-H3935</f>
        <v>12294.169999999998</v>
      </c>
      <c r="L3935" s="2">
        <f t="shared" ref="L3935:L3956" si="279">IF((G3935+H3935)&lt;=5000,(H3935+G3935)*0.004,20)+IF(E3935="Y",25,0)</f>
        <v>16</v>
      </c>
    </row>
    <row r="3936" spans="1:12" x14ac:dyDescent="0.3">
      <c r="A3936" s="3">
        <v>45695</v>
      </c>
      <c r="B3936" s="11" t="s">
        <v>2448</v>
      </c>
      <c r="C3936" s="50" t="s">
        <v>2274</v>
      </c>
      <c r="G3936" s="88"/>
      <c r="H3936" s="88">
        <v>4000</v>
      </c>
      <c r="I3936" s="88">
        <f t="shared" si="278"/>
        <v>8294.1699999999983</v>
      </c>
      <c r="L3936" s="2">
        <f t="shared" si="279"/>
        <v>16</v>
      </c>
    </row>
    <row r="3937" spans="1:12" x14ac:dyDescent="0.3">
      <c r="A3937" s="3">
        <v>45695</v>
      </c>
      <c r="B3937" s="11" t="s">
        <v>5771</v>
      </c>
      <c r="C3937" s="50" t="s">
        <v>7570</v>
      </c>
      <c r="G3937" s="88">
        <v>200</v>
      </c>
      <c r="H3937" s="88"/>
      <c r="I3937" s="88">
        <f t="shared" si="278"/>
        <v>8494.1699999999983</v>
      </c>
      <c r="L3937" s="2">
        <f t="shared" si="279"/>
        <v>0.8</v>
      </c>
    </row>
    <row r="3938" spans="1:12" x14ac:dyDescent="0.3">
      <c r="A3938" s="3">
        <v>45695</v>
      </c>
      <c r="B3938" s="11" t="s">
        <v>6844</v>
      </c>
      <c r="C3938" s="50" t="s">
        <v>7544</v>
      </c>
      <c r="G3938" s="88"/>
      <c r="H3938" s="88">
        <v>4600</v>
      </c>
      <c r="I3938" s="88">
        <f t="shared" si="278"/>
        <v>3894.1699999999983</v>
      </c>
      <c r="L3938" s="2">
        <f t="shared" si="279"/>
        <v>18.400000000000002</v>
      </c>
    </row>
    <row r="3939" spans="1:12" x14ac:dyDescent="0.3">
      <c r="A3939" s="3">
        <v>45695</v>
      </c>
      <c r="B3939" s="11" t="s">
        <v>5294</v>
      </c>
      <c r="C3939" s="50" t="s">
        <v>7571</v>
      </c>
      <c r="G3939" s="88"/>
      <c r="H3939" s="88">
        <v>1000</v>
      </c>
      <c r="I3939" s="88">
        <f t="shared" si="278"/>
        <v>2894.1699999999983</v>
      </c>
      <c r="L3939" s="2">
        <f t="shared" si="279"/>
        <v>4</v>
      </c>
    </row>
    <row r="3940" spans="1:12" x14ac:dyDescent="0.3">
      <c r="A3940" s="3">
        <v>45695</v>
      </c>
      <c r="B3940" s="11" t="s">
        <v>6687</v>
      </c>
      <c r="C3940" s="50" t="s">
        <v>7553</v>
      </c>
      <c r="G3940" s="88">
        <v>4000</v>
      </c>
      <c r="H3940" s="88"/>
      <c r="I3940" s="88">
        <f t="shared" si="278"/>
        <v>6894.1699999999983</v>
      </c>
      <c r="L3940" s="2">
        <f t="shared" si="279"/>
        <v>16</v>
      </c>
    </row>
    <row r="3941" spans="1:12" x14ac:dyDescent="0.3">
      <c r="A3941" s="3">
        <v>45695</v>
      </c>
      <c r="B3941" s="11" t="s">
        <v>2448</v>
      </c>
      <c r="C3941" s="50" t="s">
        <v>2274</v>
      </c>
      <c r="G3941" s="88"/>
      <c r="H3941" s="88">
        <v>5000</v>
      </c>
      <c r="I3941" s="88">
        <f t="shared" si="278"/>
        <v>1894.1699999999983</v>
      </c>
      <c r="L3941" s="2">
        <f t="shared" si="279"/>
        <v>20</v>
      </c>
    </row>
    <row r="3942" spans="1:12" x14ac:dyDescent="0.3">
      <c r="A3942" s="3">
        <v>45695</v>
      </c>
      <c r="B3942" s="11" t="s">
        <v>7323</v>
      </c>
      <c r="C3942" s="50" t="s">
        <v>7572</v>
      </c>
      <c r="G3942" s="88"/>
      <c r="H3942" s="88">
        <v>100</v>
      </c>
      <c r="I3942" s="88">
        <f t="shared" si="278"/>
        <v>1794.1699999999983</v>
      </c>
      <c r="L3942" s="2">
        <f t="shared" si="279"/>
        <v>0.4</v>
      </c>
    </row>
    <row r="3943" spans="1:12" x14ac:dyDescent="0.3">
      <c r="A3943" s="3">
        <v>45695</v>
      </c>
      <c r="B3943" s="11" t="s">
        <v>7035</v>
      </c>
      <c r="C3943" s="50" t="s">
        <v>7573</v>
      </c>
      <c r="G3943" s="88">
        <v>2500</v>
      </c>
      <c r="H3943" s="88"/>
      <c r="I3943" s="88">
        <f t="shared" si="278"/>
        <v>4294.1699999999983</v>
      </c>
      <c r="L3943" s="2">
        <f t="shared" si="279"/>
        <v>10</v>
      </c>
    </row>
    <row r="3944" spans="1:12" x14ac:dyDescent="0.3">
      <c r="A3944" s="3">
        <v>45695</v>
      </c>
      <c r="C3944" s="50" t="s">
        <v>2626</v>
      </c>
      <c r="G3944" s="88">
        <v>8000</v>
      </c>
      <c r="H3944" s="88"/>
      <c r="I3944" s="88">
        <f t="shared" si="278"/>
        <v>12294.169999999998</v>
      </c>
      <c r="L3944" s="2">
        <f>IF((G3947+H3944)&lt;=5000,(H3944+G3947)*0.004,20)+IF(E3947="Y",25,0)</f>
        <v>20</v>
      </c>
    </row>
    <row r="3945" spans="1:12" x14ac:dyDescent="0.3">
      <c r="A3945" s="3">
        <v>45698</v>
      </c>
      <c r="B3945" s="11" t="s">
        <v>3148</v>
      </c>
      <c r="C3945" s="50" t="s">
        <v>7580</v>
      </c>
      <c r="G3945" s="88"/>
      <c r="H3945" s="88">
        <v>2000</v>
      </c>
      <c r="I3945" s="88">
        <f t="shared" si="278"/>
        <v>10294.169999999998</v>
      </c>
      <c r="L3945" s="2">
        <f t="shared" si="279"/>
        <v>8</v>
      </c>
    </row>
    <row r="3946" spans="1:12" x14ac:dyDescent="0.3">
      <c r="A3946" s="3">
        <v>45698</v>
      </c>
      <c r="B3946" s="11" t="s">
        <v>7575</v>
      </c>
      <c r="C3946" s="65" t="s">
        <v>7576</v>
      </c>
      <c r="E3946" s="90" t="s">
        <v>14</v>
      </c>
      <c r="G3946" s="88"/>
      <c r="H3946" s="88">
        <v>500</v>
      </c>
      <c r="I3946" s="88">
        <f t="shared" si="278"/>
        <v>9794.1699999999983</v>
      </c>
      <c r="L3946" s="2">
        <f t="shared" si="279"/>
        <v>27</v>
      </c>
    </row>
    <row r="3947" spans="1:12" x14ac:dyDescent="0.3">
      <c r="A3947" s="3">
        <v>45698</v>
      </c>
      <c r="B3947" s="11" t="s">
        <v>3148</v>
      </c>
      <c r="C3947" s="50" t="s">
        <v>7579</v>
      </c>
      <c r="G3947" s="88">
        <v>5000</v>
      </c>
      <c r="H3947" s="88"/>
      <c r="I3947" s="88">
        <f t="shared" si="278"/>
        <v>14794.169999999998</v>
      </c>
      <c r="L3947" s="2">
        <f t="shared" si="279"/>
        <v>20</v>
      </c>
    </row>
    <row r="3948" spans="1:12" x14ac:dyDescent="0.3">
      <c r="A3948" s="3">
        <v>45698</v>
      </c>
      <c r="B3948" s="11" t="s">
        <v>7583</v>
      </c>
      <c r="C3948" s="65" t="s">
        <v>7584</v>
      </c>
      <c r="E3948" s="90" t="s">
        <v>16</v>
      </c>
      <c r="G3948" s="88"/>
      <c r="H3948" s="88">
        <v>500</v>
      </c>
      <c r="I3948" s="88">
        <f t="shared" si="278"/>
        <v>14294.169999999998</v>
      </c>
      <c r="L3948" s="2">
        <f t="shared" si="279"/>
        <v>27</v>
      </c>
    </row>
    <row r="3949" spans="1:12" x14ac:dyDescent="0.3">
      <c r="A3949" s="3">
        <v>45698</v>
      </c>
      <c r="B3949" s="11" t="s">
        <v>7587</v>
      </c>
      <c r="C3949" s="50" t="s">
        <v>7586</v>
      </c>
      <c r="G3949" s="88">
        <v>3000</v>
      </c>
      <c r="H3949" s="88"/>
      <c r="I3949" s="88">
        <f t="shared" si="278"/>
        <v>17294.169999999998</v>
      </c>
      <c r="L3949" s="2">
        <f t="shared" si="279"/>
        <v>12</v>
      </c>
    </row>
    <row r="3950" spans="1:12" x14ac:dyDescent="0.3">
      <c r="A3950" s="3">
        <v>45698</v>
      </c>
      <c r="B3950" s="11" t="s">
        <v>6844</v>
      </c>
      <c r="C3950" s="50" t="s">
        <v>7588</v>
      </c>
      <c r="G3950" s="88"/>
      <c r="H3950" s="88">
        <v>2900</v>
      </c>
      <c r="I3950" s="88">
        <f t="shared" si="278"/>
        <v>14394.169999999998</v>
      </c>
      <c r="L3950" s="2">
        <f t="shared" si="279"/>
        <v>11.6</v>
      </c>
    </row>
    <row r="3951" spans="1:12" x14ac:dyDescent="0.3">
      <c r="A3951" s="3">
        <v>45698</v>
      </c>
      <c r="B3951" s="11" t="s">
        <v>1250</v>
      </c>
      <c r="C3951" s="50" t="s">
        <v>2865</v>
      </c>
      <c r="G3951" s="88">
        <v>1000</v>
      </c>
      <c r="H3951" s="88"/>
      <c r="I3951" s="88">
        <f t="shared" si="278"/>
        <v>15394.169999999998</v>
      </c>
      <c r="L3951" s="2">
        <f t="shared" si="279"/>
        <v>4</v>
      </c>
    </row>
    <row r="3952" spans="1:12" x14ac:dyDescent="0.3">
      <c r="A3952" s="3">
        <v>45698</v>
      </c>
      <c r="B3952" s="11" t="s">
        <v>7051</v>
      </c>
      <c r="C3952" s="50" t="s">
        <v>7589</v>
      </c>
      <c r="G3952" s="88">
        <v>2000</v>
      </c>
      <c r="H3952" s="88"/>
      <c r="I3952" s="88">
        <f t="shared" si="278"/>
        <v>17394.169999999998</v>
      </c>
      <c r="L3952" s="2">
        <f t="shared" si="279"/>
        <v>8</v>
      </c>
    </row>
    <row r="3953" spans="1:12" x14ac:dyDescent="0.3">
      <c r="A3953" s="3">
        <v>45698</v>
      </c>
      <c r="B3953" s="11" t="s">
        <v>1250</v>
      </c>
      <c r="C3953" s="50" t="s">
        <v>4853</v>
      </c>
      <c r="G3953" s="88">
        <v>1200</v>
      </c>
      <c r="H3953" s="88"/>
      <c r="I3953" s="88">
        <f t="shared" si="278"/>
        <v>18594.169999999998</v>
      </c>
      <c r="L3953" s="2">
        <f t="shared" si="279"/>
        <v>4.8</v>
      </c>
    </row>
    <row r="3954" spans="1:12" x14ac:dyDescent="0.3">
      <c r="A3954" s="3">
        <v>45698</v>
      </c>
      <c r="B3954" s="11" t="s">
        <v>2241</v>
      </c>
      <c r="C3954" s="50" t="s">
        <v>7590</v>
      </c>
      <c r="G3954" s="88">
        <v>10000</v>
      </c>
      <c r="H3954" s="88"/>
      <c r="I3954" s="88">
        <f t="shared" si="278"/>
        <v>28594.17</v>
      </c>
      <c r="L3954" s="2">
        <f t="shared" si="279"/>
        <v>20</v>
      </c>
    </row>
    <row r="3955" spans="1:12" x14ac:dyDescent="0.3">
      <c r="A3955" s="3">
        <v>45698</v>
      </c>
      <c r="C3955" s="65" t="s">
        <v>2857</v>
      </c>
      <c r="E3955" s="90" t="s">
        <v>4721</v>
      </c>
      <c r="G3955" s="88"/>
      <c r="H3955" s="88">
        <v>25000</v>
      </c>
      <c r="I3955" s="88">
        <f t="shared" si="278"/>
        <v>3594.1699999999983</v>
      </c>
      <c r="L3955" s="2">
        <f t="shared" si="279"/>
        <v>20</v>
      </c>
    </row>
    <row r="3956" spans="1:12" x14ac:dyDescent="0.3">
      <c r="A3956" s="3">
        <v>45698</v>
      </c>
      <c r="B3956" s="11" t="s">
        <v>7595</v>
      </c>
      <c r="C3956" s="65" t="s">
        <v>7592</v>
      </c>
      <c r="E3956" s="90" t="s">
        <v>16</v>
      </c>
      <c r="G3956" s="88"/>
      <c r="H3956" s="88">
        <v>500</v>
      </c>
      <c r="I3956" s="88">
        <f t="shared" si="278"/>
        <v>3094.1699999999983</v>
      </c>
      <c r="L3956" s="2">
        <f t="shared" si="279"/>
        <v>27</v>
      </c>
    </row>
    <row r="3957" spans="1:12" x14ac:dyDescent="0.3">
      <c r="A3957" s="3">
        <v>45698</v>
      </c>
      <c r="B3957" s="11" t="s">
        <v>1250</v>
      </c>
      <c r="C3957" s="65" t="s">
        <v>6176</v>
      </c>
      <c r="G3957" s="88">
        <v>6000</v>
      </c>
      <c r="H3957" s="88"/>
      <c r="I3957" s="88">
        <f t="shared" ref="I3957:I3964" si="280">I3956+G3957-H3957</f>
        <v>9094.1699999999983</v>
      </c>
      <c r="L3957" s="2">
        <f t="shared" ref="L3957:L3964" si="281">IF((G3957+H3957)&lt;=5000,(H3957+G3957)*0.004,20)+IF(E3957="Y",25,0)</f>
        <v>20</v>
      </c>
    </row>
    <row r="3958" spans="1:12" x14ac:dyDescent="0.3">
      <c r="A3958" s="3">
        <v>45699</v>
      </c>
      <c r="B3958" s="11" t="s">
        <v>1160</v>
      </c>
      <c r="C3958" s="65" t="s">
        <v>7596</v>
      </c>
      <c r="G3958" s="88">
        <v>6500</v>
      </c>
      <c r="H3958" s="88"/>
      <c r="I3958" s="88">
        <f t="shared" si="280"/>
        <v>15594.169999999998</v>
      </c>
      <c r="L3958" s="2">
        <f t="shared" si="281"/>
        <v>20</v>
      </c>
    </row>
    <row r="3959" spans="1:12" x14ac:dyDescent="0.3">
      <c r="A3959" s="3">
        <v>45699</v>
      </c>
      <c r="B3959" s="11" t="s">
        <v>2448</v>
      </c>
      <c r="C3959" s="65" t="s">
        <v>4108</v>
      </c>
      <c r="G3959" s="88"/>
      <c r="H3959" s="88">
        <v>4000</v>
      </c>
      <c r="I3959" s="88">
        <f t="shared" si="280"/>
        <v>11594.169999999998</v>
      </c>
      <c r="L3959" s="2">
        <f t="shared" si="281"/>
        <v>16</v>
      </c>
    </row>
    <row r="3960" spans="1:12" x14ac:dyDescent="0.3">
      <c r="A3960" s="3">
        <v>45699</v>
      </c>
      <c r="B3960" s="11" t="s">
        <v>7405</v>
      </c>
      <c r="C3960" s="50" t="s">
        <v>7407</v>
      </c>
      <c r="G3960" s="88"/>
      <c r="H3960" s="88">
        <v>2000</v>
      </c>
      <c r="I3960" s="88">
        <f t="shared" si="280"/>
        <v>9594.1699999999983</v>
      </c>
      <c r="L3960" s="2">
        <f t="shared" si="281"/>
        <v>8</v>
      </c>
    </row>
    <row r="3961" spans="1:12" x14ac:dyDescent="0.3">
      <c r="A3961" s="3">
        <v>45699</v>
      </c>
      <c r="B3961" s="11" t="s">
        <v>7600</v>
      </c>
      <c r="C3961" s="65" t="s">
        <v>107</v>
      </c>
      <c r="E3961" s="90" t="s">
        <v>14</v>
      </c>
      <c r="G3961" s="88"/>
      <c r="H3961" s="88">
        <v>500</v>
      </c>
      <c r="I3961" s="88">
        <f t="shared" si="280"/>
        <v>9094.1699999999983</v>
      </c>
      <c r="L3961" s="2">
        <f t="shared" si="281"/>
        <v>27</v>
      </c>
    </row>
    <row r="3962" spans="1:12" x14ac:dyDescent="0.3">
      <c r="A3962" s="3">
        <v>45699</v>
      </c>
      <c r="B3962" s="11" t="s">
        <v>2743</v>
      </c>
      <c r="C3962" s="65" t="s">
        <v>7601</v>
      </c>
      <c r="G3962" s="88">
        <v>500</v>
      </c>
      <c r="H3962" s="88"/>
      <c r="I3962" s="88">
        <f t="shared" si="280"/>
        <v>9594.1699999999983</v>
      </c>
      <c r="L3962" s="2">
        <f t="shared" si="281"/>
        <v>2</v>
      </c>
    </row>
    <row r="3963" spans="1:12" x14ac:dyDescent="0.3">
      <c r="A3963" s="3">
        <v>45699</v>
      </c>
      <c r="B3963" s="11" t="s">
        <v>6231</v>
      </c>
      <c r="C3963" s="65" t="s">
        <v>7602</v>
      </c>
      <c r="G3963" s="88">
        <v>200</v>
      </c>
      <c r="H3963" s="88"/>
      <c r="I3963" s="88">
        <f t="shared" si="280"/>
        <v>9794.1699999999983</v>
      </c>
      <c r="L3963" s="2">
        <f t="shared" si="281"/>
        <v>0.8</v>
      </c>
    </row>
    <row r="3964" spans="1:12" x14ac:dyDescent="0.3">
      <c r="A3964" s="3">
        <v>45699</v>
      </c>
      <c r="B3964" s="11" t="s">
        <v>5128</v>
      </c>
      <c r="C3964" s="65" t="s">
        <v>7603</v>
      </c>
      <c r="G3964" s="88"/>
      <c r="H3964" s="88">
        <v>500</v>
      </c>
      <c r="I3964" s="88">
        <f t="shared" si="280"/>
        <v>9294.1699999999983</v>
      </c>
      <c r="L3964" s="2">
        <f t="shared" si="281"/>
        <v>2</v>
      </c>
    </row>
    <row r="3965" spans="1:12" x14ac:dyDescent="0.3">
      <c r="A3965" s="3">
        <v>45699</v>
      </c>
      <c r="B3965" s="11" t="s">
        <v>4290</v>
      </c>
      <c r="C3965" s="65" t="s">
        <v>6246</v>
      </c>
      <c r="G3965" s="88">
        <v>10000</v>
      </c>
      <c r="H3965" s="88"/>
      <c r="I3965" s="88">
        <f t="shared" ref="I3965:I3973" si="282">I3964+G3965-H3965</f>
        <v>19294.169999999998</v>
      </c>
      <c r="L3965" s="2">
        <f t="shared" ref="L3965:L3973" si="283">IF((G3965+H3965)&lt;=5000,(H3965+G3965)*0.004,20)+IF(E3965="Y",25,0)</f>
        <v>20</v>
      </c>
    </row>
    <row r="3966" spans="1:12" x14ac:dyDescent="0.3">
      <c r="A3966" s="3">
        <v>45699</v>
      </c>
      <c r="B3966" s="11" t="s">
        <v>5312</v>
      </c>
      <c r="C3966" s="65" t="s">
        <v>6580</v>
      </c>
      <c r="G3966" s="88">
        <v>5000</v>
      </c>
      <c r="H3966" s="88"/>
      <c r="I3966" s="88">
        <f t="shared" si="282"/>
        <v>24294.17</v>
      </c>
      <c r="L3966" s="2">
        <f t="shared" si="283"/>
        <v>20</v>
      </c>
    </row>
    <row r="3967" spans="1:12" x14ac:dyDescent="0.3">
      <c r="A3967" s="3">
        <v>45699</v>
      </c>
      <c r="B3967" s="11" t="s">
        <v>7605</v>
      </c>
      <c r="C3967" s="65" t="s">
        <v>7604</v>
      </c>
      <c r="G3967" s="88">
        <v>2500</v>
      </c>
      <c r="H3967" s="88"/>
      <c r="I3967" s="88">
        <f t="shared" si="282"/>
        <v>26794.17</v>
      </c>
      <c r="L3967" s="2">
        <f t="shared" si="283"/>
        <v>10</v>
      </c>
    </row>
    <row r="3968" spans="1:12" x14ac:dyDescent="0.3">
      <c r="A3968" s="3">
        <v>45699</v>
      </c>
      <c r="B3968" s="11" t="s">
        <v>1250</v>
      </c>
      <c r="C3968" s="65" t="s">
        <v>4853</v>
      </c>
      <c r="G3968" s="88">
        <v>1200</v>
      </c>
      <c r="H3968" s="88"/>
      <c r="I3968" s="88">
        <f t="shared" si="282"/>
        <v>27994.17</v>
      </c>
      <c r="L3968" s="2">
        <f t="shared" si="283"/>
        <v>4.8</v>
      </c>
    </row>
    <row r="3969" spans="1:12" x14ac:dyDescent="0.3">
      <c r="A3969" s="3">
        <v>45699</v>
      </c>
      <c r="C3969" s="65" t="s">
        <v>2857</v>
      </c>
      <c r="E3969" s="90" t="s">
        <v>4721</v>
      </c>
      <c r="G3969" s="88"/>
      <c r="H3969" s="88">
        <v>22000</v>
      </c>
      <c r="I3969" s="88">
        <f t="shared" si="282"/>
        <v>5994.1699999999983</v>
      </c>
      <c r="L3969" s="2">
        <f t="shared" si="283"/>
        <v>20</v>
      </c>
    </row>
    <row r="3970" spans="1:12" x14ac:dyDescent="0.3">
      <c r="A3970" s="3">
        <v>45699</v>
      </c>
      <c r="B3970" s="11" t="s">
        <v>2140</v>
      </c>
      <c r="C3970" s="65" t="s">
        <v>4786</v>
      </c>
      <c r="G3970" s="88"/>
      <c r="H3970" s="88">
        <v>5200</v>
      </c>
      <c r="I3970" s="88">
        <f t="shared" si="282"/>
        <v>794.16999999999825</v>
      </c>
      <c r="L3970" s="2">
        <f t="shared" si="283"/>
        <v>20</v>
      </c>
    </row>
    <row r="3971" spans="1:12" x14ac:dyDescent="0.3">
      <c r="A3971" s="3">
        <v>45699</v>
      </c>
      <c r="B3971" s="11" t="s">
        <v>6428</v>
      </c>
      <c r="C3971" s="65" t="s">
        <v>7606</v>
      </c>
      <c r="G3971" s="88">
        <v>300</v>
      </c>
      <c r="H3971" s="88"/>
      <c r="I3971" s="88">
        <f t="shared" si="282"/>
        <v>1094.1699999999983</v>
      </c>
      <c r="L3971" s="2">
        <f t="shared" si="283"/>
        <v>1.2</v>
      </c>
    </row>
    <row r="3972" spans="1:12" x14ac:dyDescent="0.3">
      <c r="A3972" s="3">
        <v>45700</v>
      </c>
      <c r="B3972" s="11" t="s">
        <v>5123</v>
      </c>
      <c r="C3972" s="65" t="s">
        <v>7326</v>
      </c>
      <c r="G3972" s="88">
        <v>2000</v>
      </c>
      <c r="H3972" s="88"/>
      <c r="I3972" s="88">
        <f t="shared" si="282"/>
        <v>3094.1699999999983</v>
      </c>
      <c r="L3972" s="2">
        <f t="shared" si="283"/>
        <v>8</v>
      </c>
    </row>
    <row r="3973" spans="1:12" x14ac:dyDescent="0.3">
      <c r="A3973" s="3">
        <v>45700</v>
      </c>
      <c r="B3973" s="11" t="s">
        <v>6434</v>
      </c>
      <c r="C3973" s="65" t="s">
        <v>7541</v>
      </c>
      <c r="G3973" s="88"/>
      <c r="H3973" s="88">
        <v>3000</v>
      </c>
      <c r="I3973" s="88">
        <f t="shared" si="282"/>
        <v>94.169999999998254</v>
      </c>
      <c r="L3973" s="2">
        <f t="shared" si="283"/>
        <v>12</v>
      </c>
    </row>
    <row r="3974" spans="1:12" x14ac:dyDescent="0.3">
      <c r="A3974" s="3">
        <v>45700</v>
      </c>
      <c r="B3974" s="11" t="s">
        <v>2743</v>
      </c>
      <c r="C3974" s="65" t="s">
        <v>7610</v>
      </c>
      <c r="G3974" s="88">
        <v>2000</v>
      </c>
      <c r="H3974" s="88"/>
      <c r="I3974" s="88">
        <f t="shared" ref="I3974:I3984" si="284">I3973+G3974-H3974</f>
        <v>2094.1699999999983</v>
      </c>
      <c r="L3974" s="2">
        <f t="shared" ref="L3974:L3984" si="285">IF((G3974+H3974)&lt;=5000,(H3974+G3974)*0.004,20)+IF(E3974="Y",25,0)</f>
        <v>8</v>
      </c>
    </row>
    <row r="3975" spans="1:12" x14ac:dyDescent="0.3">
      <c r="A3975" s="3">
        <v>45700</v>
      </c>
      <c r="B3975" s="11" t="s">
        <v>1160</v>
      </c>
      <c r="C3975" s="65" t="s">
        <v>6636</v>
      </c>
      <c r="G3975" s="88">
        <v>2000</v>
      </c>
      <c r="H3975" s="88"/>
      <c r="I3975" s="88">
        <f t="shared" si="284"/>
        <v>4094.1699999999983</v>
      </c>
      <c r="L3975" s="2">
        <f t="shared" si="285"/>
        <v>8</v>
      </c>
    </row>
    <row r="3976" spans="1:12" x14ac:dyDescent="0.3">
      <c r="A3976" s="3">
        <v>45700</v>
      </c>
      <c r="B3976" s="11" t="s">
        <v>6840</v>
      </c>
      <c r="C3976" s="65" t="s">
        <v>7513</v>
      </c>
      <c r="G3976" s="88">
        <v>1000</v>
      </c>
      <c r="H3976" s="88"/>
      <c r="I3976" s="88">
        <f t="shared" si="284"/>
        <v>5094.1699999999983</v>
      </c>
      <c r="L3976" s="2">
        <f t="shared" si="285"/>
        <v>4</v>
      </c>
    </row>
    <row r="3977" spans="1:12" x14ac:dyDescent="0.3">
      <c r="A3977" s="3">
        <v>45700</v>
      </c>
      <c r="B3977" s="11" t="s">
        <v>5834</v>
      </c>
      <c r="C3977" s="65" t="s">
        <v>7611</v>
      </c>
      <c r="G3977" s="88">
        <v>1000</v>
      </c>
      <c r="H3977" s="88"/>
      <c r="I3977" s="88">
        <f t="shared" si="284"/>
        <v>6094.1699999999983</v>
      </c>
      <c r="L3977" s="2">
        <f t="shared" si="285"/>
        <v>4</v>
      </c>
    </row>
    <row r="3978" spans="1:12" x14ac:dyDescent="0.3">
      <c r="A3978" s="3">
        <v>45700</v>
      </c>
      <c r="B3978" s="11" t="s">
        <v>1250</v>
      </c>
      <c r="C3978" s="65" t="s">
        <v>7347</v>
      </c>
      <c r="G3978" s="88">
        <v>5000</v>
      </c>
      <c r="H3978" s="88"/>
      <c r="I3978" s="88">
        <f t="shared" si="284"/>
        <v>11094.169999999998</v>
      </c>
      <c r="L3978" s="2">
        <f t="shared" si="285"/>
        <v>20</v>
      </c>
    </row>
    <row r="3979" spans="1:12" x14ac:dyDescent="0.3">
      <c r="A3979" s="3">
        <v>45700</v>
      </c>
      <c r="B3979" s="11" t="s">
        <v>1250</v>
      </c>
      <c r="C3979" s="65" t="s">
        <v>7612</v>
      </c>
      <c r="G3979" s="88">
        <v>5000</v>
      </c>
      <c r="H3979" s="88"/>
      <c r="I3979" s="88">
        <f t="shared" si="284"/>
        <v>16094.169999999998</v>
      </c>
      <c r="L3979" s="2">
        <f t="shared" si="285"/>
        <v>20</v>
      </c>
    </row>
    <row r="3980" spans="1:12" x14ac:dyDescent="0.3">
      <c r="A3980" s="3">
        <v>45700</v>
      </c>
      <c r="B3980" s="11" t="s">
        <v>1160</v>
      </c>
      <c r="C3980" s="65" t="s">
        <v>7613</v>
      </c>
      <c r="G3980" s="88">
        <v>2400</v>
      </c>
      <c r="H3980" s="88"/>
      <c r="I3980" s="88">
        <f t="shared" si="284"/>
        <v>18494.169999999998</v>
      </c>
      <c r="L3980" s="2">
        <f t="shared" si="285"/>
        <v>9.6</v>
      </c>
    </row>
    <row r="3981" spans="1:12" x14ac:dyDescent="0.3">
      <c r="A3981" s="3">
        <v>45700</v>
      </c>
      <c r="B3981" s="11" t="s">
        <v>5318</v>
      </c>
      <c r="C3981" s="65" t="s">
        <v>7614</v>
      </c>
      <c r="G3981" s="88">
        <v>2500</v>
      </c>
      <c r="H3981" s="88"/>
      <c r="I3981" s="88">
        <f t="shared" si="284"/>
        <v>20994.17</v>
      </c>
      <c r="L3981" s="2">
        <f t="shared" si="285"/>
        <v>10</v>
      </c>
    </row>
    <row r="3982" spans="1:12" x14ac:dyDescent="0.3">
      <c r="A3982" s="3">
        <v>45790</v>
      </c>
      <c r="B3982" s="11" t="s">
        <v>7394</v>
      </c>
      <c r="C3982" s="65" t="s">
        <v>7395</v>
      </c>
      <c r="G3982" s="88"/>
      <c r="H3982" s="88">
        <v>200</v>
      </c>
      <c r="I3982" s="88">
        <f t="shared" si="284"/>
        <v>20794.169999999998</v>
      </c>
      <c r="L3982" s="2">
        <f t="shared" si="285"/>
        <v>0.8</v>
      </c>
    </row>
    <row r="3983" spans="1:12" x14ac:dyDescent="0.3">
      <c r="A3983" s="3">
        <v>45790</v>
      </c>
      <c r="B3983" s="11" t="s">
        <v>4157</v>
      </c>
      <c r="C3983" s="65" t="s">
        <v>7615</v>
      </c>
      <c r="G3983" s="88"/>
      <c r="H3983" s="88">
        <v>2000</v>
      </c>
      <c r="I3983" s="88">
        <f t="shared" si="284"/>
        <v>18794.169999999998</v>
      </c>
      <c r="L3983" s="2">
        <f t="shared" si="285"/>
        <v>8</v>
      </c>
    </row>
    <row r="3984" spans="1:12" x14ac:dyDescent="0.3">
      <c r="A3984" s="3">
        <v>45790</v>
      </c>
      <c r="B3984" s="11" t="s">
        <v>7616</v>
      </c>
      <c r="C3984" s="65" t="s">
        <v>7617</v>
      </c>
      <c r="G3984" s="88">
        <v>2000</v>
      </c>
      <c r="H3984" s="88"/>
      <c r="I3984" s="88">
        <f t="shared" si="284"/>
        <v>20794.169999999998</v>
      </c>
      <c r="L3984" s="2">
        <f t="shared" si="285"/>
        <v>8</v>
      </c>
    </row>
    <row r="3985" spans="1:12" x14ac:dyDescent="0.3">
      <c r="A3985" s="3">
        <v>45790</v>
      </c>
      <c r="B3985" s="11" t="s">
        <v>7619</v>
      </c>
      <c r="C3985" s="65" t="s">
        <v>7620</v>
      </c>
      <c r="E3985" s="90" t="s">
        <v>14</v>
      </c>
      <c r="G3985" s="88"/>
      <c r="H3985" s="88">
        <v>500</v>
      </c>
      <c r="I3985" s="88">
        <f t="shared" ref="I3985:I3997" si="286">I3984+G3985-H3985</f>
        <v>20294.169999999998</v>
      </c>
      <c r="L3985" s="2">
        <f t="shared" ref="L3985:L3997" si="287">IF((G3985+H3985)&lt;=5000,(H3985+G3985)*0.004,20)+IF(E3985="Y",25,0)</f>
        <v>27</v>
      </c>
    </row>
    <row r="3986" spans="1:12" x14ac:dyDescent="0.3">
      <c r="A3986" s="3">
        <v>45790</v>
      </c>
      <c r="B3986" s="11" t="s">
        <v>4311</v>
      </c>
      <c r="C3986" s="65" t="s">
        <v>7623</v>
      </c>
      <c r="G3986" s="88">
        <v>500</v>
      </c>
      <c r="H3986" s="88"/>
      <c r="I3986" s="88">
        <f t="shared" si="286"/>
        <v>20794.169999999998</v>
      </c>
      <c r="L3986" s="2">
        <f t="shared" si="287"/>
        <v>2</v>
      </c>
    </row>
    <row r="3987" spans="1:12" x14ac:dyDescent="0.3">
      <c r="A3987" s="3">
        <v>45790</v>
      </c>
      <c r="B3987" s="11" t="s">
        <v>7625</v>
      </c>
      <c r="C3987" s="65" t="s">
        <v>7268</v>
      </c>
      <c r="E3987" s="90" t="s">
        <v>16</v>
      </c>
      <c r="G3987" s="88"/>
      <c r="H3987" s="88">
        <v>500</v>
      </c>
      <c r="I3987" s="88">
        <f t="shared" si="286"/>
        <v>20294.169999999998</v>
      </c>
      <c r="L3987" s="2">
        <f t="shared" si="287"/>
        <v>27</v>
      </c>
    </row>
    <row r="3988" spans="1:12" x14ac:dyDescent="0.3">
      <c r="A3988" s="3">
        <v>45790</v>
      </c>
      <c r="B3988" s="11" t="s">
        <v>2271</v>
      </c>
      <c r="C3988" s="65" t="s">
        <v>7628</v>
      </c>
      <c r="G3988" s="88">
        <v>1000</v>
      </c>
      <c r="H3988" s="88"/>
      <c r="I3988" s="88">
        <f t="shared" si="286"/>
        <v>21294.17</v>
      </c>
      <c r="L3988" s="2">
        <f t="shared" si="287"/>
        <v>4</v>
      </c>
    </row>
    <row r="3989" spans="1:12" x14ac:dyDescent="0.3">
      <c r="A3989" s="3">
        <v>45790</v>
      </c>
      <c r="B3989" s="11" t="s">
        <v>6840</v>
      </c>
      <c r="C3989" s="65" t="s">
        <v>6841</v>
      </c>
      <c r="G3989" s="88">
        <v>1000</v>
      </c>
      <c r="H3989" s="88"/>
      <c r="I3989" s="88">
        <f t="shared" si="286"/>
        <v>22294.17</v>
      </c>
      <c r="L3989" s="2">
        <f t="shared" si="287"/>
        <v>4</v>
      </c>
    </row>
    <row r="3990" spans="1:12" x14ac:dyDescent="0.3">
      <c r="A3990" s="3">
        <v>45790</v>
      </c>
      <c r="B3990" s="11" t="s">
        <v>5042</v>
      </c>
      <c r="C3990" s="65" t="s">
        <v>6176</v>
      </c>
      <c r="G3990" s="88">
        <v>3100</v>
      </c>
      <c r="H3990" s="88"/>
      <c r="I3990" s="88">
        <f t="shared" si="286"/>
        <v>25394.17</v>
      </c>
      <c r="L3990" s="2">
        <f t="shared" si="287"/>
        <v>12.4</v>
      </c>
    </row>
    <row r="3991" spans="1:12" x14ac:dyDescent="0.3">
      <c r="A3991" s="3">
        <v>45702</v>
      </c>
      <c r="B3991" s="11" t="s">
        <v>3865</v>
      </c>
      <c r="C3991" s="65" t="s">
        <v>1998</v>
      </c>
      <c r="G3991" s="88">
        <v>5000</v>
      </c>
      <c r="H3991" s="88"/>
      <c r="I3991" s="88">
        <f t="shared" si="286"/>
        <v>30394.17</v>
      </c>
      <c r="K3991" s="1"/>
      <c r="L3991" s="2">
        <f t="shared" si="287"/>
        <v>20</v>
      </c>
    </row>
    <row r="3992" spans="1:12" x14ac:dyDescent="0.3">
      <c r="A3992" s="3">
        <v>45702</v>
      </c>
      <c r="B3992" s="11" t="s">
        <v>1250</v>
      </c>
      <c r="C3992" s="65" t="s">
        <v>7630</v>
      </c>
      <c r="G3992" s="138">
        <v>5000</v>
      </c>
      <c r="H3992" s="88"/>
      <c r="I3992" s="88">
        <f t="shared" si="286"/>
        <v>35394.17</v>
      </c>
      <c r="L3992" s="2">
        <f t="shared" si="287"/>
        <v>20</v>
      </c>
    </row>
    <row r="3993" spans="1:12" x14ac:dyDescent="0.3">
      <c r="A3993" s="3">
        <v>45702</v>
      </c>
      <c r="C3993" s="65" t="s">
        <v>2857</v>
      </c>
      <c r="E3993" s="90" t="s">
        <v>7420</v>
      </c>
      <c r="G3993" s="88"/>
      <c r="H3993" s="88">
        <v>35000</v>
      </c>
      <c r="I3993" s="88">
        <f t="shared" si="286"/>
        <v>394.16999999999825</v>
      </c>
      <c r="L3993" s="2">
        <f t="shared" si="287"/>
        <v>20</v>
      </c>
    </row>
    <row r="3994" spans="1:12" x14ac:dyDescent="0.3">
      <c r="A3994" s="3">
        <v>45702</v>
      </c>
      <c r="B3994" s="11" t="s">
        <v>1250</v>
      </c>
      <c r="C3994" s="65" t="s">
        <v>7631</v>
      </c>
      <c r="G3994" s="88">
        <v>1000</v>
      </c>
      <c r="H3994" s="88"/>
      <c r="I3994" s="88">
        <f t="shared" si="286"/>
        <v>1394.1699999999983</v>
      </c>
      <c r="L3994" s="2">
        <f t="shared" si="287"/>
        <v>4</v>
      </c>
    </row>
    <row r="3995" spans="1:12" x14ac:dyDescent="0.3">
      <c r="A3995" s="3">
        <v>45702</v>
      </c>
      <c r="B3995" s="11" t="s">
        <v>1250</v>
      </c>
      <c r="C3995" s="65" t="s">
        <v>2295</v>
      </c>
      <c r="G3995" s="88">
        <v>10000</v>
      </c>
      <c r="H3995" s="88"/>
      <c r="I3995" s="88">
        <f t="shared" si="286"/>
        <v>11394.169999999998</v>
      </c>
      <c r="L3995" s="2">
        <f t="shared" si="287"/>
        <v>20</v>
      </c>
    </row>
    <row r="3996" spans="1:12" x14ac:dyDescent="0.3">
      <c r="A3996" s="3">
        <v>45702</v>
      </c>
      <c r="B3996" s="11" t="s">
        <v>6844</v>
      </c>
      <c r="C3996" s="65" t="s">
        <v>7633</v>
      </c>
      <c r="G3996" s="88"/>
      <c r="H3996" s="88">
        <v>3600</v>
      </c>
      <c r="I3996" s="88">
        <f t="shared" si="286"/>
        <v>7794.1699999999983</v>
      </c>
      <c r="L3996" s="2">
        <f t="shared" si="287"/>
        <v>14.4</v>
      </c>
    </row>
    <row r="3997" spans="1:12" x14ac:dyDescent="0.3">
      <c r="A3997" s="3">
        <v>45702</v>
      </c>
      <c r="B3997" s="11" t="s">
        <v>2241</v>
      </c>
      <c r="C3997" s="65" t="s">
        <v>7634</v>
      </c>
      <c r="G3997" s="88">
        <v>5500</v>
      </c>
      <c r="H3997" s="88"/>
      <c r="I3997" s="88">
        <f t="shared" si="286"/>
        <v>13294.169999999998</v>
      </c>
      <c r="L3997" s="2">
        <f t="shared" si="287"/>
        <v>20</v>
      </c>
    </row>
    <row r="3998" spans="1:12" x14ac:dyDescent="0.3">
      <c r="A3998" s="3">
        <v>45702</v>
      </c>
      <c r="B3998" s="11" t="s">
        <v>5306</v>
      </c>
      <c r="C3998" s="65" t="s">
        <v>6725</v>
      </c>
      <c r="G3998" s="88">
        <v>3000</v>
      </c>
      <c r="H3998" s="88"/>
      <c r="I3998" s="88">
        <f t="shared" ref="I3998:I4007" si="288">I3997+G3998-H3998</f>
        <v>16294.169999999998</v>
      </c>
      <c r="L3998" s="2">
        <f t="shared" ref="L3998:L4007" si="289">IF((G3998+H3998)&lt;=5000,(H3998+G3998)*0.004,20)+IF(E3998="Y",25,0)</f>
        <v>12</v>
      </c>
    </row>
    <row r="3999" spans="1:12" x14ac:dyDescent="0.3">
      <c r="A3999" s="3">
        <v>45702</v>
      </c>
      <c r="B3999" s="11" t="s">
        <v>3774</v>
      </c>
      <c r="C3999" s="65" t="s">
        <v>7635</v>
      </c>
      <c r="G3999" s="88">
        <v>2000</v>
      </c>
      <c r="H3999" s="88"/>
      <c r="I3999" s="88">
        <f t="shared" si="288"/>
        <v>18294.169999999998</v>
      </c>
      <c r="L3999" s="2">
        <f t="shared" si="289"/>
        <v>8</v>
      </c>
    </row>
    <row r="4000" spans="1:12" x14ac:dyDescent="0.3">
      <c r="A4000" s="3">
        <v>45702</v>
      </c>
      <c r="B4000" s="11" t="s">
        <v>1472</v>
      </c>
      <c r="C4000" s="65" t="s">
        <v>7636</v>
      </c>
      <c r="G4000" s="88">
        <v>7000</v>
      </c>
      <c r="H4000" s="88"/>
      <c r="I4000" s="88">
        <f t="shared" si="288"/>
        <v>25294.17</v>
      </c>
      <c r="L4000" s="2">
        <f t="shared" si="289"/>
        <v>20</v>
      </c>
    </row>
    <row r="4001" spans="1:12" x14ac:dyDescent="0.3">
      <c r="A4001" s="3">
        <v>45702</v>
      </c>
      <c r="B4001" s="11" t="s">
        <v>1250</v>
      </c>
      <c r="C4001" s="65" t="s">
        <v>7637</v>
      </c>
      <c r="G4001" s="88">
        <v>1500</v>
      </c>
      <c r="H4001" s="88"/>
      <c r="I4001" s="88">
        <f t="shared" si="288"/>
        <v>26794.17</v>
      </c>
      <c r="L4001" s="2">
        <f t="shared" si="289"/>
        <v>6</v>
      </c>
    </row>
    <row r="4002" spans="1:12" x14ac:dyDescent="0.3">
      <c r="A4002" s="3">
        <v>45702</v>
      </c>
      <c r="B4002" s="11" t="s">
        <v>1160</v>
      </c>
      <c r="C4002" s="65" t="s">
        <v>7638</v>
      </c>
      <c r="G4002" s="88">
        <v>10000</v>
      </c>
      <c r="H4002" s="88"/>
      <c r="I4002" s="88">
        <f t="shared" si="288"/>
        <v>36794.17</v>
      </c>
      <c r="L4002" s="2">
        <f t="shared" si="289"/>
        <v>20</v>
      </c>
    </row>
    <row r="4003" spans="1:12" x14ac:dyDescent="0.3">
      <c r="A4003" s="3">
        <v>45702</v>
      </c>
      <c r="B4003" s="11" t="s">
        <v>1250</v>
      </c>
      <c r="C4003" s="65" t="s">
        <v>7639</v>
      </c>
      <c r="G4003" s="88"/>
      <c r="H4003" s="88">
        <v>10000</v>
      </c>
      <c r="I4003" s="88">
        <f t="shared" si="288"/>
        <v>26794.17</v>
      </c>
      <c r="L4003" s="2">
        <f t="shared" si="289"/>
        <v>20</v>
      </c>
    </row>
    <row r="4004" spans="1:12" x14ac:dyDescent="0.3">
      <c r="A4004" s="3">
        <v>45703</v>
      </c>
      <c r="B4004" s="11" t="s">
        <v>6434</v>
      </c>
      <c r="C4004" s="65" t="s">
        <v>7541</v>
      </c>
      <c r="G4004" s="88"/>
      <c r="H4004" s="88">
        <v>4500</v>
      </c>
      <c r="I4004" s="88">
        <f t="shared" si="288"/>
        <v>22294.17</v>
      </c>
      <c r="L4004" s="2">
        <f t="shared" si="289"/>
        <v>18</v>
      </c>
    </row>
    <row r="4005" spans="1:12" x14ac:dyDescent="0.3">
      <c r="A4005" s="3">
        <v>45703</v>
      </c>
      <c r="C4005" s="65" t="s">
        <v>2857</v>
      </c>
      <c r="E4005" s="90" t="s">
        <v>4721</v>
      </c>
      <c r="G4005" s="88"/>
      <c r="H4005" s="88">
        <v>20000</v>
      </c>
      <c r="I4005" s="88">
        <f t="shared" si="288"/>
        <v>2294.1699999999983</v>
      </c>
      <c r="L4005" s="2">
        <f t="shared" si="289"/>
        <v>20</v>
      </c>
    </row>
    <row r="4006" spans="1:12" x14ac:dyDescent="0.3">
      <c r="A4006" s="3">
        <v>45703</v>
      </c>
      <c r="B4006" s="11" t="s">
        <v>2207</v>
      </c>
      <c r="C4006" s="65" t="s">
        <v>7640</v>
      </c>
      <c r="G4006" s="88">
        <v>10000</v>
      </c>
      <c r="H4006" s="88"/>
      <c r="I4006" s="88">
        <f t="shared" si="288"/>
        <v>12294.169999999998</v>
      </c>
      <c r="L4006" s="2">
        <f t="shared" si="289"/>
        <v>20</v>
      </c>
    </row>
    <row r="4007" spans="1:12" x14ac:dyDescent="0.3">
      <c r="A4007" s="3">
        <v>45703</v>
      </c>
      <c r="B4007" s="11" t="s">
        <v>5082</v>
      </c>
      <c r="C4007" s="65" t="s">
        <v>7641</v>
      </c>
      <c r="G4007" s="88"/>
      <c r="H4007" s="88">
        <v>500</v>
      </c>
      <c r="I4007" s="88">
        <f t="shared" si="288"/>
        <v>11794.169999999998</v>
      </c>
      <c r="L4007" s="2">
        <f t="shared" si="289"/>
        <v>2</v>
      </c>
    </row>
    <row r="4008" spans="1:12" x14ac:dyDescent="0.3">
      <c r="A4008" s="3">
        <v>45703</v>
      </c>
      <c r="B4008" s="11" t="s">
        <v>3541</v>
      </c>
      <c r="C4008" s="65" t="s">
        <v>3673</v>
      </c>
      <c r="G4008" s="88">
        <v>2000</v>
      </c>
      <c r="H4008" s="88"/>
      <c r="I4008" s="88">
        <f t="shared" ref="I4008:I4018" si="290">I4007+G4008-H4008</f>
        <v>13794.169999999998</v>
      </c>
      <c r="L4008" s="2">
        <f t="shared" ref="L4008:L4018" si="291">IF((G4008+H4008)&lt;=5000,(H4008+G4008)*0.004,20)+IF(E4008="Y",25,0)</f>
        <v>8</v>
      </c>
    </row>
    <row r="4009" spans="1:12" x14ac:dyDescent="0.3">
      <c r="A4009" s="3">
        <v>45703</v>
      </c>
      <c r="B4009" s="11" t="s">
        <v>1250</v>
      </c>
      <c r="C4009" s="65" t="s">
        <v>5522</v>
      </c>
      <c r="G4009" s="88"/>
      <c r="H4009" s="88">
        <v>8000</v>
      </c>
      <c r="I4009" s="88">
        <f t="shared" si="290"/>
        <v>5794.1699999999983</v>
      </c>
      <c r="L4009" s="2">
        <f t="shared" si="291"/>
        <v>20</v>
      </c>
    </row>
    <row r="4010" spans="1:12" x14ac:dyDescent="0.3">
      <c r="A4010" s="3">
        <v>45703</v>
      </c>
      <c r="B4010" s="11" t="s">
        <v>1250</v>
      </c>
      <c r="C4010" s="65" t="s">
        <v>4853</v>
      </c>
      <c r="G4010" s="88">
        <v>1450</v>
      </c>
      <c r="H4010" s="88"/>
      <c r="I4010" s="88">
        <f t="shared" si="290"/>
        <v>7244.1699999999983</v>
      </c>
      <c r="L4010" s="2">
        <f t="shared" si="291"/>
        <v>5.8</v>
      </c>
    </row>
    <row r="4011" spans="1:12" x14ac:dyDescent="0.3">
      <c r="A4011" s="3">
        <v>45703</v>
      </c>
      <c r="B4011" s="11" t="s">
        <v>2241</v>
      </c>
      <c r="C4011" s="65" t="s">
        <v>7646</v>
      </c>
      <c r="G4011" s="88">
        <v>1000</v>
      </c>
      <c r="H4011" s="88"/>
      <c r="I4011" s="88">
        <f t="shared" si="290"/>
        <v>8244.1699999999983</v>
      </c>
      <c r="L4011" s="2">
        <f t="shared" si="291"/>
        <v>4</v>
      </c>
    </row>
    <row r="4012" spans="1:12" x14ac:dyDescent="0.3">
      <c r="A4012" s="3">
        <v>45703</v>
      </c>
      <c r="B4012" s="11" t="s">
        <v>7643</v>
      </c>
      <c r="C4012" s="65" t="s">
        <v>5329</v>
      </c>
      <c r="E4012" s="90" t="s">
        <v>16</v>
      </c>
      <c r="G4012" s="88"/>
      <c r="H4012" s="88">
        <v>500</v>
      </c>
      <c r="I4012" s="88">
        <f t="shared" si="290"/>
        <v>7744.1699999999983</v>
      </c>
      <c r="L4012" s="2">
        <f t="shared" si="291"/>
        <v>27</v>
      </c>
    </row>
    <row r="4013" spans="1:12" x14ac:dyDescent="0.3">
      <c r="A4013" s="3">
        <v>45704</v>
      </c>
      <c r="B4013" s="11" t="s">
        <v>1250</v>
      </c>
      <c r="C4013" s="65" t="s">
        <v>7647</v>
      </c>
      <c r="G4013" s="88">
        <v>380</v>
      </c>
      <c r="H4013" s="88"/>
      <c r="I4013" s="88">
        <f t="shared" si="290"/>
        <v>8124.1699999999983</v>
      </c>
      <c r="L4013" s="2">
        <f t="shared" si="291"/>
        <v>1.52</v>
      </c>
    </row>
    <row r="4014" spans="1:12" x14ac:dyDescent="0.3">
      <c r="A4014" s="3">
        <v>45704</v>
      </c>
      <c r="B4014" s="11" t="s">
        <v>1250</v>
      </c>
      <c r="C4014" s="65" t="s">
        <v>7648</v>
      </c>
      <c r="G4014" s="88">
        <v>1500</v>
      </c>
      <c r="H4014" s="88"/>
      <c r="I4014" s="88">
        <f t="shared" si="290"/>
        <v>9624.1699999999983</v>
      </c>
      <c r="L4014" s="2">
        <f t="shared" si="291"/>
        <v>6</v>
      </c>
    </row>
    <row r="4015" spans="1:12" x14ac:dyDescent="0.3">
      <c r="A4015" s="3">
        <v>45704</v>
      </c>
      <c r="B4015" s="11" t="s">
        <v>6434</v>
      </c>
      <c r="C4015" s="65" t="s">
        <v>7541</v>
      </c>
      <c r="G4015" s="88"/>
      <c r="H4015" s="88">
        <v>3500</v>
      </c>
      <c r="I4015" s="88">
        <f t="shared" si="290"/>
        <v>6124.1699999999983</v>
      </c>
      <c r="L4015" s="2">
        <f t="shared" si="291"/>
        <v>14</v>
      </c>
    </row>
    <row r="4016" spans="1:12" x14ac:dyDescent="0.3">
      <c r="A4016" s="3">
        <v>45704</v>
      </c>
      <c r="B4016" s="11" t="s">
        <v>2448</v>
      </c>
      <c r="C4016" s="65" t="s">
        <v>2274</v>
      </c>
      <c r="G4016" s="88"/>
      <c r="H4016" s="88">
        <v>4000</v>
      </c>
      <c r="I4016" s="88">
        <f t="shared" si="290"/>
        <v>2124.1699999999983</v>
      </c>
      <c r="L4016" s="2">
        <f t="shared" si="291"/>
        <v>16</v>
      </c>
    </row>
    <row r="4017" spans="1:12" x14ac:dyDescent="0.3">
      <c r="A4017" s="3">
        <v>45704</v>
      </c>
      <c r="B4017" s="11" t="s">
        <v>1250</v>
      </c>
      <c r="C4017" s="65" t="s">
        <v>7569</v>
      </c>
      <c r="G4017" s="88">
        <v>2400</v>
      </c>
      <c r="H4017" s="88"/>
      <c r="I4017" s="88">
        <f t="shared" si="290"/>
        <v>4524.1699999999983</v>
      </c>
      <c r="L4017" s="2">
        <f t="shared" si="291"/>
        <v>9.6</v>
      </c>
    </row>
    <row r="4018" spans="1:12" x14ac:dyDescent="0.3">
      <c r="A4018" s="3">
        <v>45705</v>
      </c>
      <c r="B4018" s="11" t="s">
        <v>3369</v>
      </c>
      <c r="C4018" s="65" t="s">
        <v>1593</v>
      </c>
      <c r="G4018" s="88">
        <v>3000</v>
      </c>
      <c r="H4018" s="88"/>
      <c r="I4018" s="88">
        <f t="shared" si="290"/>
        <v>7524.1699999999983</v>
      </c>
      <c r="K4018" s="62"/>
      <c r="L4018" s="2">
        <f t="shared" si="291"/>
        <v>12</v>
      </c>
    </row>
    <row r="4019" spans="1:12" x14ac:dyDescent="0.3">
      <c r="A4019" s="3">
        <v>45705</v>
      </c>
      <c r="B4019" s="11" t="s">
        <v>4157</v>
      </c>
      <c r="C4019" s="65" t="s">
        <v>7615</v>
      </c>
      <c r="G4019" s="88"/>
      <c r="H4019" s="88">
        <v>6000</v>
      </c>
      <c r="I4019" s="88">
        <f t="shared" ref="I4019:I4030" si="292">I4018+G4019-H4019</f>
        <v>1524.1699999999983</v>
      </c>
      <c r="K4019" s="62"/>
      <c r="L4019" s="2">
        <f t="shared" ref="L4019:L4030" si="293">IF((G4019+H4019)&lt;=5000,(H4019+G4019)*0.004,20)+IF(E4019="Y",25,0)</f>
        <v>20</v>
      </c>
    </row>
    <row r="4020" spans="1:12" x14ac:dyDescent="0.3">
      <c r="A4020" s="3">
        <v>45705</v>
      </c>
      <c r="C4020" s="65" t="s">
        <v>2887</v>
      </c>
      <c r="E4020" s="90" t="s">
        <v>4721</v>
      </c>
      <c r="G4020" s="88">
        <v>10000</v>
      </c>
      <c r="H4020" s="88"/>
      <c r="I4020" s="88">
        <f t="shared" si="292"/>
        <v>11524.169999999998</v>
      </c>
      <c r="K4020" s="62"/>
      <c r="L4020" s="2">
        <v>0</v>
      </c>
    </row>
    <row r="4021" spans="1:12" x14ac:dyDescent="0.3">
      <c r="A4021" s="3">
        <v>45705</v>
      </c>
      <c r="B4021" s="11" t="s">
        <v>7649</v>
      </c>
      <c r="C4021" s="65" t="s">
        <v>7652</v>
      </c>
      <c r="G4021" s="88"/>
      <c r="H4021" s="88">
        <v>4000</v>
      </c>
      <c r="I4021" s="88">
        <f t="shared" si="292"/>
        <v>7524.1699999999983</v>
      </c>
      <c r="K4021" s="62"/>
      <c r="L4021" s="2">
        <f t="shared" si="293"/>
        <v>16</v>
      </c>
    </row>
    <row r="4022" spans="1:12" x14ac:dyDescent="0.3">
      <c r="A4022" s="3">
        <v>45705</v>
      </c>
      <c r="B4022" s="11" t="s">
        <v>1250</v>
      </c>
      <c r="C4022" s="50" t="s">
        <v>7653</v>
      </c>
      <c r="G4022" s="88">
        <v>3000</v>
      </c>
      <c r="H4022" s="88"/>
      <c r="I4022" s="88">
        <f t="shared" si="292"/>
        <v>10524.169999999998</v>
      </c>
      <c r="K4022" s="62"/>
      <c r="L4022" s="2">
        <f t="shared" si="293"/>
        <v>12</v>
      </c>
    </row>
    <row r="4023" spans="1:12" x14ac:dyDescent="0.3">
      <c r="A4023" s="3">
        <v>45705</v>
      </c>
      <c r="B4023" s="11" t="s">
        <v>1250</v>
      </c>
      <c r="C4023" s="50" t="s">
        <v>4853</v>
      </c>
      <c r="G4023" s="88">
        <v>1400</v>
      </c>
      <c r="H4023" s="88"/>
      <c r="I4023" s="88">
        <f t="shared" si="292"/>
        <v>11924.169999999998</v>
      </c>
      <c r="K4023" s="62"/>
      <c r="L4023" s="2">
        <f t="shared" si="293"/>
        <v>5.6000000000000005</v>
      </c>
    </row>
    <row r="4024" spans="1:12" x14ac:dyDescent="0.3">
      <c r="A4024" s="3">
        <v>45705</v>
      </c>
      <c r="C4024" s="50" t="s">
        <v>2857</v>
      </c>
      <c r="G4024" s="88"/>
      <c r="H4024" s="88">
        <v>1500</v>
      </c>
      <c r="I4024" s="88">
        <f t="shared" si="292"/>
        <v>10424.169999999998</v>
      </c>
      <c r="K4024" s="62"/>
      <c r="L4024" s="2">
        <v>0</v>
      </c>
    </row>
    <row r="4025" spans="1:12" x14ac:dyDescent="0.3">
      <c r="A4025" s="3">
        <v>45705</v>
      </c>
      <c r="C4025" s="65" t="s">
        <v>2857</v>
      </c>
      <c r="E4025" s="90" t="s">
        <v>4721</v>
      </c>
      <c r="G4025" s="88"/>
      <c r="H4025" s="88">
        <v>5000</v>
      </c>
      <c r="I4025" s="88">
        <f t="shared" si="292"/>
        <v>5424.1699999999983</v>
      </c>
      <c r="K4025" s="62"/>
      <c r="L4025" s="2">
        <v>0</v>
      </c>
    </row>
    <row r="4026" spans="1:12" x14ac:dyDescent="0.3">
      <c r="A4026" s="3">
        <v>45705</v>
      </c>
      <c r="B4026" s="11" t="s">
        <v>6131</v>
      </c>
      <c r="C4026" s="65" t="s">
        <v>7477</v>
      </c>
      <c r="G4026" s="88">
        <v>2000</v>
      </c>
      <c r="H4026" s="88"/>
      <c r="I4026" s="88">
        <f t="shared" si="292"/>
        <v>7424.1699999999983</v>
      </c>
      <c r="K4026" s="62"/>
      <c r="L4026" s="2">
        <f t="shared" si="293"/>
        <v>8</v>
      </c>
    </row>
    <row r="4027" spans="1:12" x14ac:dyDescent="0.3">
      <c r="A4027" s="3">
        <v>45705</v>
      </c>
      <c r="B4027" s="11" t="s">
        <v>7651</v>
      </c>
      <c r="C4027" s="65" t="s">
        <v>7654</v>
      </c>
      <c r="E4027" s="90" t="s">
        <v>16</v>
      </c>
      <c r="G4027" s="88"/>
      <c r="H4027" s="88">
        <v>1000</v>
      </c>
      <c r="I4027" s="88">
        <f t="shared" si="292"/>
        <v>6424.1699999999983</v>
      </c>
      <c r="K4027" s="62"/>
      <c r="L4027" s="2">
        <f t="shared" si="293"/>
        <v>29</v>
      </c>
    </row>
    <row r="4028" spans="1:12" x14ac:dyDescent="0.3">
      <c r="A4028" s="3">
        <v>45705</v>
      </c>
      <c r="B4028" s="11" t="s">
        <v>1250</v>
      </c>
      <c r="C4028" s="65" t="s">
        <v>2295</v>
      </c>
      <c r="G4028" s="88">
        <v>2000</v>
      </c>
      <c r="H4028" s="88"/>
      <c r="I4028" s="88">
        <f t="shared" si="292"/>
        <v>8424.1699999999983</v>
      </c>
      <c r="K4028" s="62"/>
      <c r="L4028" s="2">
        <f t="shared" si="293"/>
        <v>8</v>
      </c>
    </row>
    <row r="4029" spans="1:12" x14ac:dyDescent="0.3">
      <c r="A4029" s="3">
        <v>45705</v>
      </c>
      <c r="B4029" s="11" t="s">
        <v>7658</v>
      </c>
      <c r="C4029" s="65"/>
      <c r="E4029" s="90" t="s">
        <v>16</v>
      </c>
      <c r="G4029" s="88"/>
      <c r="H4029" s="88">
        <v>500</v>
      </c>
      <c r="I4029" s="88">
        <f t="shared" si="292"/>
        <v>7924.1699999999983</v>
      </c>
      <c r="K4029" s="62"/>
      <c r="L4029" s="2">
        <f t="shared" si="293"/>
        <v>27</v>
      </c>
    </row>
    <row r="4030" spans="1:12" x14ac:dyDescent="0.3">
      <c r="A4030" s="3">
        <v>45706</v>
      </c>
      <c r="B4030" s="11" t="s">
        <v>1160</v>
      </c>
      <c r="C4030" s="65" t="s">
        <v>6646</v>
      </c>
      <c r="G4030" s="88">
        <v>3000</v>
      </c>
      <c r="H4030" s="88"/>
      <c r="I4030" s="88">
        <f t="shared" si="292"/>
        <v>10924.169999999998</v>
      </c>
      <c r="K4030" s="62"/>
      <c r="L4030" s="2">
        <f t="shared" si="293"/>
        <v>12</v>
      </c>
    </row>
    <row r="4031" spans="1:12" x14ac:dyDescent="0.3">
      <c r="A4031" s="3">
        <v>45706</v>
      </c>
      <c r="B4031" s="11" t="s">
        <v>7659</v>
      </c>
      <c r="C4031" s="65" t="s">
        <v>3941</v>
      </c>
      <c r="G4031" s="88">
        <v>1000</v>
      </c>
      <c r="H4031" s="88"/>
      <c r="I4031" s="88">
        <f t="shared" ref="I4031:I4051" si="294">I4030+G4031-H4031</f>
        <v>11924.169999999998</v>
      </c>
      <c r="K4031" s="62"/>
      <c r="L4031" s="2">
        <f t="shared" ref="L4031:L4051" si="295">IF((G4031+H4031)&lt;=5000,(H4031+G4031)*0.004,20)+IF(E4031="Y",25,0)</f>
        <v>4</v>
      </c>
    </row>
    <row r="4032" spans="1:12" x14ac:dyDescent="0.3">
      <c r="A4032" s="3">
        <v>45706</v>
      </c>
      <c r="B4032" s="11" t="s">
        <v>7660</v>
      </c>
      <c r="C4032" s="65" t="s">
        <v>7661</v>
      </c>
      <c r="G4032" s="88">
        <v>3000</v>
      </c>
      <c r="H4032" s="88"/>
      <c r="I4032" s="88">
        <f t="shared" si="294"/>
        <v>14924.169999999998</v>
      </c>
      <c r="K4032" s="62"/>
      <c r="L4032" s="2">
        <f t="shared" si="295"/>
        <v>12</v>
      </c>
    </row>
    <row r="4033" spans="1:12" x14ac:dyDescent="0.3">
      <c r="A4033" s="3">
        <v>45706</v>
      </c>
      <c r="B4033" s="11" t="s">
        <v>7663</v>
      </c>
      <c r="C4033" s="65" t="s">
        <v>7665</v>
      </c>
      <c r="E4033" s="90" t="s">
        <v>16</v>
      </c>
      <c r="G4033" s="88"/>
      <c r="H4033" s="88">
        <v>500</v>
      </c>
      <c r="I4033" s="88">
        <f t="shared" si="294"/>
        <v>14424.169999999998</v>
      </c>
      <c r="K4033" s="62"/>
      <c r="L4033" s="2">
        <f t="shared" si="295"/>
        <v>27</v>
      </c>
    </row>
    <row r="4034" spans="1:12" x14ac:dyDescent="0.3">
      <c r="A4034" s="3">
        <v>45706</v>
      </c>
      <c r="B4034" s="11" t="s">
        <v>7669</v>
      </c>
      <c r="C4034" s="65" t="s">
        <v>7670</v>
      </c>
      <c r="G4034" s="88">
        <v>3000</v>
      </c>
      <c r="H4034" s="88"/>
      <c r="I4034" s="88">
        <f t="shared" si="294"/>
        <v>17424.169999999998</v>
      </c>
      <c r="K4034" s="62"/>
      <c r="L4034" s="2">
        <f t="shared" si="295"/>
        <v>12</v>
      </c>
    </row>
    <row r="4035" spans="1:12" x14ac:dyDescent="0.3">
      <c r="A4035" s="3">
        <v>45706</v>
      </c>
      <c r="B4035" s="11" t="s">
        <v>5368</v>
      </c>
      <c r="C4035" s="65" t="s">
        <v>5743</v>
      </c>
      <c r="G4035" s="88"/>
      <c r="H4035" s="88">
        <v>8000</v>
      </c>
      <c r="I4035" s="88">
        <f t="shared" si="294"/>
        <v>9424.1699999999983</v>
      </c>
      <c r="K4035" s="62"/>
      <c r="L4035" s="2">
        <f t="shared" si="295"/>
        <v>20</v>
      </c>
    </row>
    <row r="4036" spans="1:12" x14ac:dyDescent="0.3">
      <c r="A4036" s="3">
        <v>45706</v>
      </c>
      <c r="B4036" s="11" t="s">
        <v>4680</v>
      </c>
      <c r="C4036" s="65" t="s">
        <v>7671</v>
      </c>
      <c r="G4036" s="88"/>
      <c r="H4036" s="88">
        <v>1000</v>
      </c>
      <c r="I4036" s="88">
        <f t="shared" si="294"/>
        <v>8424.1699999999983</v>
      </c>
      <c r="K4036" s="62"/>
      <c r="L4036" s="2">
        <f t="shared" si="295"/>
        <v>4</v>
      </c>
    </row>
    <row r="4037" spans="1:12" x14ac:dyDescent="0.3">
      <c r="A4037" s="3">
        <v>45706</v>
      </c>
      <c r="B4037" s="11" t="s">
        <v>6260</v>
      </c>
      <c r="C4037" s="65" t="s">
        <v>7541</v>
      </c>
      <c r="G4037" s="88"/>
      <c r="H4037" s="88">
        <v>8000</v>
      </c>
      <c r="I4037" s="88">
        <f t="shared" si="294"/>
        <v>424.16999999999825</v>
      </c>
      <c r="K4037" s="62"/>
      <c r="L4037" s="2">
        <f t="shared" si="295"/>
        <v>20</v>
      </c>
    </row>
    <row r="4038" spans="1:12" x14ac:dyDescent="0.3">
      <c r="A4038" s="3">
        <v>45706</v>
      </c>
      <c r="B4038" s="11" t="s">
        <v>1250</v>
      </c>
      <c r="C4038" s="65" t="s">
        <v>7672</v>
      </c>
      <c r="G4038" s="88">
        <v>1000</v>
      </c>
      <c r="H4038" s="88"/>
      <c r="I4038" s="88">
        <f t="shared" si="294"/>
        <v>1424.1699999999983</v>
      </c>
      <c r="K4038" s="62"/>
      <c r="L4038" s="2">
        <f t="shared" si="295"/>
        <v>4</v>
      </c>
    </row>
    <row r="4039" spans="1:12" x14ac:dyDescent="0.3">
      <c r="A4039" s="3">
        <v>45707</v>
      </c>
      <c r="B4039" s="11" t="s">
        <v>6773</v>
      </c>
      <c r="C4039" s="65" t="s">
        <v>7674</v>
      </c>
      <c r="G4039" s="88"/>
      <c r="H4039" s="88">
        <v>500</v>
      </c>
      <c r="I4039" s="88">
        <f t="shared" si="294"/>
        <v>924.16999999999825</v>
      </c>
      <c r="K4039" s="62"/>
      <c r="L4039" s="2">
        <f t="shared" si="295"/>
        <v>2</v>
      </c>
    </row>
    <row r="4040" spans="1:12" x14ac:dyDescent="0.3">
      <c r="A4040" s="3">
        <v>45707</v>
      </c>
      <c r="B4040" s="11" t="s">
        <v>6676</v>
      </c>
      <c r="C4040" s="65" t="s">
        <v>7675</v>
      </c>
      <c r="G4040" s="88"/>
      <c r="H4040" s="88">
        <v>500</v>
      </c>
      <c r="I4040" s="88">
        <f t="shared" si="294"/>
        <v>424.16999999999825</v>
      </c>
      <c r="K4040" s="62"/>
      <c r="L4040" s="2">
        <f t="shared" si="295"/>
        <v>2</v>
      </c>
    </row>
    <row r="4041" spans="1:12" x14ac:dyDescent="0.3">
      <c r="A4041" s="3">
        <v>45707</v>
      </c>
      <c r="B4041" s="11" t="s">
        <v>6428</v>
      </c>
      <c r="C4041" s="65" t="s">
        <v>7606</v>
      </c>
      <c r="G4041" s="88">
        <v>1700</v>
      </c>
      <c r="H4041" s="88"/>
      <c r="I4041" s="88">
        <f t="shared" si="294"/>
        <v>2124.1699999999983</v>
      </c>
      <c r="K4041" s="62"/>
      <c r="L4041" s="2">
        <f t="shared" si="295"/>
        <v>6.8</v>
      </c>
    </row>
    <row r="4042" spans="1:12" x14ac:dyDescent="0.3">
      <c r="A4042" s="3">
        <v>45707</v>
      </c>
      <c r="B4042" s="11" t="s">
        <v>1160</v>
      </c>
      <c r="C4042" s="65" t="s">
        <v>7676</v>
      </c>
      <c r="G4042" s="88">
        <v>1000</v>
      </c>
      <c r="H4042" s="88"/>
      <c r="I4042" s="88">
        <f t="shared" si="294"/>
        <v>3124.1699999999983</v>
      </c>
      <c r="K4042" s="62"/>
      <c r="L4042" s="2">
        <f t="shared" si="295"/>
        <v>4</v>
      </c>
    </row>
    <row r="4043" spans="1:12" x14ac:dyDescent="0.3">
      <c r="A4043" s="3">
        <v>45707</v>
      </c>
      <c r="B4043" s="11" t="s">
        <v>6434</v>
      </c>
      <c r="C4043" s="65" t="s">
        <v>7541</v>
      </c>
      <c r="G4043" s="88"/>
      <c r="H4043" s="88">
        <v>2500</v>
      </c>
      <c r="I4043" s="88">
        <f t="shared" si="294"/>
        <v>624.16999999999825</v>
      </c>
      <c r="K4043" s="62"/>
      <c r="L4043" s="2">
        <f t="shared" si="295"/>
        <v>10</v>
      </c>
    </row>
    <row r="4044" spans="1:12" x14ac:dyDescent="0.3">
      <c r="A4044" s="3">
        <v>45707</v>
      </c>
      <c r="B4044" s="11" t="s">
        <v>1250</v>
      </c>
      <c r="C4044" s="65" t="s">
        <v>5316</v>
      </c>
      <c r="G4044" s="88">
        <v>400</v>
      </c>
      <c r="H4044" s="88"/>
      <c r="I4044" s="88">
        <f t="shared" si="294"/>
        <v>1024.1699999999983</v>
      </c>
      <c r="K4044" s="62"/>
      <c r="L4044" s="2">
        <f t="shared" si="295"/>
        <v>1.6</v>
      </c>
    </row>
    <row r="4045" spans="1:12" x14ac:dyDescent="0.3">
      <c r="A4045" s="3">
        <v>45707</v>
      </c>
      <c r="B4045" s="11" t="s">
        <v>1250</v>
      </c>
      <c r="C4045" s="65" t="s">
        <v>3840</v>
      </c>
      <c r="G4045" s="88">
        <v>10000</v>
      </c>
      <c r="H4045" s="88"/>
      <c r="I4045" s="88">
        <f t="shared" si="294"/>
        <v>11024.169999999998</v>
      </c>
      <c r="K4045" s="62"/>
      <c r="L4045" s="2">
        <f t="shared" si="295"/>
        <v>20</v>
      </c>
    </row>
    <row r="4046" spans="1:12" x14ac:dyDescent="0.3">
      <c r="A4046" s="3">
        <v>45707</v>
      </c>
      <c r="B4046" s="11" t="s">
        <v>7678</v>
      </c>
      <c r="C4046" s="65" t="s">
        <v>7680</v>
      </c>
      <c r="E4046" s="90" t="s">
        <v>16</v>
      </c>
      <c r="G4046" s="88"/>
      <c r="H4046" s="88">
        <v>500</v>
      </c>
      <c r="I4046" s="88">
        <f t="shared" si="294"/>
        <v>10524.169999999998</v>
      </c>
      <c r="K4046" s="62"/>
      <c r="L4046" s="2">
        <f t="shared" si="295"/>
        <v>27</v>
      </c>
    </row>
    <row r="4047" spans="1:12" x14ac:dyDescent="0.3">
      <c r="A4047" s="3">
        <v>45707</v>
      </c>
      <c r="B4047" s="11" t="s">
        <v>1250</v>
      </c>
      <c r="C4047" s="65" t="s">
        <v>7681</v>
      </c>
      <c r="G4047" s="88">
        <v>2000</v>
      </c>
      <c r="H4047" s="88"/>
      <c r="I4047" s="88">
        <f t="shared" si="294"/>
        <v>12524.169999999998</v>
      </c>
      <c r="K4047" s="62"/>
      <c r="L4047" s="2">
        <f t="shared" si="295"/>
        <v>8</v>
      </c>
    </row>
    <row r="4048" spans="1:12" x14ac:dyDescent="0.3">
      <c r="A4048" s="3">
        <v>45707</v>
      </c>
      <c r="B4048" s="11" t="s">
        <v>7682</v>
      </c>
      <c r="C4048" s="65" t="s">
        <v>7683</v>
      </c>
      <c r="G4048" s="88">
        <v>3000</v>
      </c>
      <c r="H4048" s="88"/>
      <c r="I4048" s="88">
        <f t="shared" si="294"/>
        <v>15524.169999999998</v>
      </c>
      <c r="K4048" s="62"/>
      <c r="L4048" s="2">
        <f t="shared" si="295"/>
        <v>12</v>
      </c>
    </row>
    <row r="4049" spans="1:12" x14ac:dyDescent="0.3">
      <c r="A4049" s="3">
        <v>45707</v>
      </c>
      <c r="B4049" s="11" t="s">
        <v>7685</v>
      </c>
      <c r="C4049" s="65" t="s">
        <v>7697</v>
      </c>
      <c r="E4049" s="90" t="s">
        <v>14</v>
      </c>
      <c r="G4049" s="88"/>
      <c r="H4049" s="88">
        <v>500</v>
      </c>
      <c r="I4049" s="88">
        <f t="shared" si="294"/>
        <v>15024.169999999998</v>
      </c>
      <c r="K4049" s="62"/>
      <c r="L4049" s="2">
        <f t="shared" si="295"/>
        <v>27</v>
      </c>
    </row>
    <row r="4050" spans="1:12" x14ac:dyDescent="0.3">
      <c r="A4050" s="3">
        <v>45707</v>
      </c>
      <c r="B4050" s="11" t="s">
        <v>3148</v>
      </c>
      <c r="C4050" s="65" t="s">
        <v>7687</v>
      </c>
      <c r="G4050" s="88">
        <v>1000</v>
      </c>
      <c r="H4050" s="88"/>
      <c r="I4050" s="88">
        <f t="shared" si="294"/>
        <v>16024.169999999998</v>
      </c>
      <c r="K4050" s="62"/>
      <c r="L4050" s="2">
        <f t="shared" si="295"/>
        <v>4</v>
      </c>
    </row>
    <row r="4051" spans="1:12" x14ac:dyDescent="0.3">
      <c r="A4051" s="3">
        <v>45708</v>
      </c>
      <c r="B4051" s="11" t="s">
        <v>1250</v>
      </c>
      <c r="C4051" s="65" t="s">
        <v>5721</v>
      </c>
      <c r="G4051" s="88">
        <v>8000</v>
      </c>
      <c r="H4051" s="88"/>
      <c r="I4051" s="88">
        <f t="shared" si="294"/>
        <v>24024.17</v>
      </c>
      <c r="K4051" s="62"/>
      <c r="L4051" s="2">
        <f t="shared" si="295"/>
        <v>20</v>
      </c>
    </row>
    <row r="4052" spans="1:12" x14ac:dyDescent="0.3">
      <c r="A4052" s="3">
        <v>45708</v>
      </c>
      <c r="B4052" s="11" t="s">
        <v>7689</v>
      </c>
      <c r="C4052" s="65" t="s">
        <v>7690</v>
      </c>
      <c r="E4052" s="90" t="s">
        <v>16</v>
      </c>
      <c r="G4052" s="88"/>
      <c r="H4052" s="88">
        <v>500</v>
      </c>
      <c r="I4052" s="88">
        <f t="shared" ref="I4052:I4061" si="296">I4051+G4052-H4052</f>
        <v>23524.17</v>
      </c>
      <c r="K4052" s="62"/>
      <c r="L4052" s="2">
        <f t="shared" ref="L4052:L4061" si="297">IF((G4052+H4052)&lt;=5000,(H4052+G4052)*0.004,20)+IF(E4052="Y",25,0)</f>
        <v>27</v>
      </c>
    </row>
    <row r="4053" spans="1:12" x14ac:dyDescent="0.3">
      <c r="A4053" s="3">
        <v>45708</v>
      </c>
      <c r="C4053" s="65" t="s">
        <v>2857</v>
      </c>
      <c r="E4053" s="90" t="s">
        <v>4721</v>
      </c>
      <c r="G4053" s="88"/>
      <c r="H4053" s="88">
        <v>20000</v>
      </c>
      <c r="I4053" s="88">
        <f t="shared" si="296"/>
        <v>3524.1699999999983</v>
      </c>
      <c r="K4053" s="62"/>
      <c r="L4053" s="2">
        <f t="shared" si="297"/>
        <v>20</v>
      </c>
    </row>
    <row r="4054" spans="1:12" x14ac:dyDescent="0.3">
      <c r="A4054" s="3">
        <v>45708</v>
      </c>
      <c r="B4054" s="11" t="s">
        <v>1250</v>
      </c>
      <c r="C4054" s="65" t="s">
        <v>6345</v>
      </c>
      <c r="G4054" s="88">
        <v>1000</v>
      </c>
      <c r="H4054" s="88"/>
      <c r="I4054" s="88">
        <f t="shared" si="296"/>
        <v>4524.1699999999983</v>
      </c>
      <c r="K4054" s="62"/>
      <c r="L4054" s="2">
        <f t="shared" si="297"/>
        <v>4</v>
      </c>
    </row>
    <row r="4055" spans="1:12" x14ac:dyDescent="0.3">
      <c r="A4055" s="3">
        <v>45708</v>
      </c>
      <c r="B4055" s="11" t="s">
        <v>7693</v>
      </c>
      <c r="C4055" s="65" t="s">
        <v>7695</v>
      </c>
      <c r="E4055" s="90" t="s">
        <v>16</v>
      </c>
      <c r="G4055" s="88"/>
      <c r="H4055" s="88">
        <v>500</v>
      </c>
      <c r="I4055" s="88">
        <f t="shared" si="296"/>
        <v>4024.1699999999983</v>
      </c>
      <c r="K4055" s="62"/>
      <c r="L4055" s="2">
        <f t="shared" si="297"/>
        <v>27</v>
      </c>
    </row>
    <row r="4056" spans="1:12" x14ac:dyDescent="0.3">
      <c r="A4056" s="3">
        <v>45708</v>
      </c>
      <c r="B4056" s="11" t="s">
        <v>4005</v>
      </c>
      <c r="C4056" s="65" t="s">
        <v>119</v>
      </c>
      <c r="G4056" s="88">
        <v>3000</v>
      </c>
      <c r="H4056" s="88"/>
      <c r="I4056" s="88">
        <f t="shared" si="296"/>
        <v>7024.1699999999983</v>
      </c>
      <c r="K4056" s="62"/>
      <c r="L4056" s="2">
        <f t="shared" si="297"/>
        <v>12</v>
      </c>
    </row>
    <row r="4057" spans="1:12" ht="15.6" x14ac:dyDescent="0.3">
      <c r="A4057" s="3">
        <v>45708</v>
      </c>
      <c r="B4057" s="11" t="s">
        <v>7700</v>
      </c>
      <c r="C4057" s="65" t="s">
        <v>7702</v>
      </c>
      <c r="D4057" s="17"/>
      <c r="E4057" s="90" t="s">
        <v>16</v>
      </c>
      <c r="G4057" s="88"/>
      <c r="H4057" s="88">
        <v>500</v>
      </c>
      <c r="I4057" s="88">
        <f t="shared" si="296"/>
        <v>6524.1699999999983</v>
      </c>
      <c r="K4057" s="62"/>
      <c r="L4057" s="2">
        <f t="shared" si="297"/>
        <v>27</v>
      </c>
    </row>
    <row r="4058" spans="1:12" x14ac:dyDescent="0.3">
      <c r="A4058" s="3">
        <v>45708</v>
      </c>
      <c r="B4058" s="11" t="s">
        <v>2241</v>
      </c>
      <c r="C4058" s="65" t="s">
        <v>2492</v>
      </c>
      <c r="G4058" s="88">
        <v>550</v>
      </c>
      <c r="H4058" s="88"/>
      <c r="I4058" s="88">
        <f t="shared" si="296"/>
        <v>7074.1699999999983</v>
      </c>
      <c r="K4058" s="62"/>
      <c r="L4058" s="2">
        <f t="shared" si="297"/>
        <v>2.2000000000000002</v>
      </c>
    </row>
    <row r="4059" spans="1:12" x14ac:dyDescent="0.3">
      <c r="A4059" s="3">
        <v>45708</v>
      </c>
      <c r="B4059" s="11" t="s">
        <v>3232</v>
      </c>
      <c r="C4059" s="65" t="s">
        <v>7500</v>
      </c>
      <c r="G4059" s="88">
        <v>2000</v>
      </c>
      <c r="H4059" s="88"/>
      <c r="I4059" s="88">
        <f t="shared" si="296"/>
        <v>9074.1699999999983</v>
      </c>
      <c r="K4059" s="62"/>
      <c r="L4059" s="2">
        <f t="shared" si="297"/>
        <v>8</v>
      </c>
    </row>
    <row r="4060" spans="1:12" x14ac:dyDescent="0.3">
      <c r="A4060" s="3">
        <v>45708</v>
      </c>
      <c r="B4060" s="11" t="s">
        <v>1250</v>
      </c>
      <c r="C4060" s="65" t="s">
        <v>5909</v>
      </c>
      <c r="G4060" s="88">
        <v>300</v>
      </c>
      <c r="H4060" s="88"/>
      <c r="I4060" s="88">
        <f t="shared" si="296"/>
        <v>9374.1699999999983</v>
      </c>
      <c r="K4060" s="62"/>
      <c r="L4060" s="2">
        <f t="shared" si="297"/>
        <v>1.2</v>
      </c>
    </row>
    <row r="4061" spans="1:12" x14ac:dyDescent="0.3">
      <c r="A4061" s="3">
        <v>45708</v>
      </c>
      <c r="B4061" s="11" t="s">
        <v>1250</v>
      </c>
      <c r="C4061" s="65" t="s">
        <v>7704</v>
      </c>
      <c r="G4061" s="88">
        <v>500</v>
      </c>
      <c r="H4061" s="88"/>
      <c r="I4061" s="88">
        <f t="shared" si="296"/>
        <v>9874.1699999999983</v>
      </c>
      <c r="K4061" s="62"/>
      <c r="L4061" s="2">
        <f t="shared" si="297"/>
        <v>2</v>
      </c>
    </row>
    <row r="4062" spans="1:12" x14ac:dyDescent="0.3">
      <c r="A4062" s="3">
        <v>45708</v>
      </c>
      <c r="B4062" s="11" t="s">
        <v>7706</v>
      </c>
      <c r="C4062" s="65" t="s">
        <v>5884</v>
      </c>
      <c r="E4062" s="90" t="s">
        <v>16</v>
      </c>
      <c r="G4062" s="88"/>
      <c r="H4062" s="88">
        <v>500</v>
      </c>
      <c r="I4062" s="88">
        <f t="shared" ref="I4062:I4082" si="298">I4061+G4062-H4062</f>
        <v>9374.1699999999983</v>
      </c>
      <c r="K4062" s="62"/>
      <c r="L4062" s="2">
        <f t="shared" ref="L4062:L4082" si="299">IF((G4062+H4062)&lt;=5000,(H4062+G4062)*0.004,20)+IF(E4062="Y",25,0)</f>
        <v>27</v>
      </c>
    </row>
    <row r="4063" spans="1:12" x14ac:dyDescent="0.3">
      <c r="A4063" s="3">
        <v>45708</v>
      </c>
      <c r="B4063" s="11" t="s">
        <v>6466</v>
      </c>
      <c r="C4063" s="65" t="s">
        <v>5601</v>
      </c>
      <c r="G4063" s="88">
        <v>5000</v>
      </c>
      <c r="H4063" s="88"/>
      <c r="I4063" s="88">
        <f t="shared" si="298"/>
        <v>14374.169999999998</v>
      </c>
      <c r="K4063" s="62"/>
      <c r="L4063" s="2">
        <f t="shared" si="299"/>
        <v>20</v>
      </c>
    </row>
    <row r="4064" spans="1:12" x14ac:dyDescent="0.3">
      <c r="A4064" s="3">
        <v>45708</v>
      </c>
      <c r="B4064" s="11" t="s">
        <v>6687</v>
      </c>
      <c r="C4064" s="65" t="s">
        <v>7553</v>
      </c>
      <c r="G4064" s="88">
        <v>4300</v>
      </c>
      <c r="H4064" s="88"/>
      <c r="I4064" s="88">
        <f t="shared" si="298"/>
        <v>18674.169999999998</v>
      </c>
      <c r="K4064" s="62"/>
      <c r="L4064" s="2">
        <f t="shared" si="299"/>
        <v>17.2</v>
      </c>
    </row>
    <row r="4065" spans="1:12" x14ac:dyDescent="0.3">
      <c r="A4065" s="3">
        <v>45708</v>
      </c>
      <c r="B4065" s="11" t="s">
        <v>4752</v>
      </c>
      <c r="C4065" s="65" t="s">
        <v>5806</v>
      </c>
      <c r="G4065" s="88">
        <v>1500</v>
      </c>
      <c r="H4065" s="88"/>
      <c r="I4065" s="88">
        <f t="shared" si="298"/>
        <v>20174.169999999998</v>
      </c>
      <c r="K4065" s="62"/>
      <c r="L4065" s="2">
        <f t="shared" si="299"/>
        <v>6</v>
      </c>
    </row>
    <row r="4066" spans="1:12" x14ac:dyDescent="0.3">
      <c r="A4066" s="3">
        <v>45708</v>
      </c>
      <c r="B4066" s="11" t="s">
        <v>1250</v>
      </c>
      <c r="C4066" s="65" t="s">
        <v>2626</v>
      </c>
      <c r="G4066" s="88">
        <v>3200</v>
      </c>
      <c r="H4066" s="88"/>
      <c r="I4066" s="88">
        <f t="shared" si="298"/>
        <v>23374.17</v>
      </c>
      <c r="K4066" s="62"/>
      <c r="L4066" s="2">
        <f t="shared" si="299"/>
        <v>12.8</v>
      </c>
    </row>
    <row r="4067" spans="1:12" x14ac:dyDescent="0.3">
      <c r="A4067" s="3">
        <v>45709</v>
      </c>
      <c r="C4067" s="65" t="s">
        <v>2857</v>
      </c>
      <c r="E4067" s="90" t="s">
        <v>4721</v>
      </c>
      <c r="G4067" s="88"/>
      <c r="H4067" s="88">
        <v>23000</v>
      </c>
      <c r="I4067" s="88">
        <f t="shared" si="298"/>
        <v>374.16999999999825</v>
      </c>
      <c r="K4067" s="62"/>
      <c r="L4067" s="2">
        <f t="shared" si="299"/>
        <v>20</v>
      </c>
    </row>
    <row r="4068" spans="1:12" x14ac:dyDescent="0.3">
      <c r="A4068" s="3">
        <v>45709</v>
      </c>
      <c r="B4068" s="11" t="s">
        <v>3541</v>
      </c>
      <c r="C4068" s="65" t="s">
        <v>541</v>
      </c>
      <c r="G4068" s="88">
        <v>2000</v>
      </c>
      <c r="H4068" s="88"/>
      <c r="I4068" s="88">
        <f t="shared" si="298"/>
        <v>2374.1699999999983</v>
      </c>
      <c r="K4068" s="62"/>
      <c r="L4068" s="2">
        <f t="shared" si="299"/>
        <v>8</v>
      </c>
    </row>
    <row r="4069" spans="1:12" x14ac:dyDescent="0.3">
      <c r="A4069" s="3">
        <v>45709</v>
      </c>
      <c r="B4069" s="11" t="s">
        <v>2207</v>
      </c>
      <c r="C4069" s="65" t="s">
        <v>7640</v>
      </c>
      <c r="G4069" s="88">
        <v>10000</v>
      </c>
      <c r="H4069" s="88"/>
      <c r="I4069" s="88">
        <f t="shared" si="298"/>
        <v>12374.169999999998</v>
      </c>
      <c r="K4069" s="62"/>
      <c r="L4069" s="2">
        <f t="shared" si="299"/>
        <v>20</v>
      </c>
    </row>
    <row r="4070" spans="1:12" x14ac:dyDescent="0.3">
      <c r="A4070" s="3">
        <v>45709</v>
      </c>
      <c r="B4070" s="11" t="s">
        <v>7709</v>
      </c>
      <c r="C4070" s="65" t="s">
        <v>7648</v>
      </c>
      <c r="G4070" s="88">
        <v>400</v>
      </c>
      <c r="H4070" s="88"/>
      <c r="I4070" s="88">
        <f t="shared" si="298"/>
        <v>12774.169999999998</v>
      </c>
      <c r="K4070" s="62"/>
      <c r="L4070" s="2">
        <f t="shared" si="299"/>
        <v>1.6</v>
      </c>
    </row>
    <row r="4071" spans="1:12" x14ac:dyDescent="0.3">
      <c r="A4071" s="3">
        <v>45709</v>
      </c>
      <c r="B4071" s="11" t="s">
        <v>6434</v>
      </c>
      <c r="C4071" s="65" t="s">
        <v>7541</v>
      </c>
      <c r="G4071" s="88"/>
      <c r="H4071" s="88">
        <v>4000</v>
      </c>
      <c r="I4071" s="88">
        <f t="shared" si="298"/>
        <v>8774.1699999999983</v>
      </c>
      <c r="K4071" s="62"/>
      <c r="L4071" s="2">
        <f t="shared" si="299"/>
        <v>16</v>
      </c>
    </row>
    <row r="4072" spans="1:12" x14ac:dyDescent="0.3">
      <c r="A4072" s="3">
        <v>45709</v>
      </c>
      <c r="B4072" s="11" t="s">
        <v>1472</v>
      </c>
      <c r="C4072" s="65" t="s">
        <v>7710</v>
      </c>
      <c r="G4072" s="88">
        <v>10000</v>
      </c>
      <c r="H4072" s="88"/>
      <c r="I4072" s="88">
        <f t="shared" si="298"/>
        <v>18774.169999999998</v>
      </c>
      <c r="K4072" s="62"/>
      <c r="L4072" s="2">
        <f t="shared" si="299"/>
        <v>20</v>
      </c>
    </row>
    <row r="4073" spans="1:12" x14ac:dyDescent="0.3">
      <c r="A4073" s="3">
        <v>45709</v>
      </c>
      <c r="B4073" s="11" t="s">
        <v>2143</v>
      </c>
      <c r="C4073" s="65" t="s">
        <v>5522</v>
      </c>
      <c r="G4073" s="88"/>
      <c r="H4073" s="88">
        <v>2000</v>
      </c>
      <c r="I4073" s="88">
        <f t="shared" si="298"/>
        <v>16774.169999999998</v>
      </c>
      <c r="K4073" s="62"/>
      <c r="L4073" s="2">
        <f t="shared" si="299"/>
        <v>8</v>
      </c>
    </row>
    <row r="4074" spans="1:12" x14ac:dyDescent="0.3">
      <c r="A4074" s="3">
        <v>45709</v>
      </c>
      <c r="B4074" s="11" t="s">
        <v>1250</v>
      </c>
      <c r="C4074" s="65" t="s">
        <v>7571</v>
      </c>
      <c r="G4074" s="88">
        <v>1000</v>
      </c>
      <c r="H4074" s="88"/>
      <c r="I4074" s="88">
        <f t="shared" si="298"/>
        <v>17774.169999999998</v>
      </c>
      <c r="K4074" s="62"/>
      <c r="L4074" s="2">
        <f t="shared" si="299"/>
        <v>4</v>
      </c>
    </row>
    <row r="4075" spans="1:12" x14ac:dyDescent="0.3">
      <c r="A4075" s="3">
        <v>45709</v>
      </c>
      <c r="B4075" s="11" t="s">
        <v>3871</v>
      </c>
      <c r="C4075" s="65" t="s">
        <v>2870</v>
      </c>
      <c r="G4075" s="88"/>
      <c r="H4075" s="88">
        <v>1500</v>
      </c>
      <c r="I4075" s="88">
        <f t="shared" si="298"/>
        <v>16274.169999999998</v>
      </c>
      <c r="K4075" s="62"/>
      <c r="L4075" s="2">
        <f t="shared" si="299"/>
        <v>6</v>
      </c>
    </row>
    <row r="4076" spans="1:12" x14ac:dyDescent="0.3">
      <c r="A4076" s="3">
        <v>45710</v>
      </c>
      <c r="B4076" s="11" t="s">
        <v>1250</v>
      </c>
      <c r="C4076" s="65" t="s">
        <v>6176</v>
      </c>
      <c r="G4076" s="88">
        <v>1200</v>
      </c>
      <c r="H4076" s="88"/>
      <c r="I4076" s="88">
        <f t="shared" si="298"/>
        <v>17474.169999999998</v>
      </c>
      <c r="K4076" s="62"/>
      <c r="L4076" s="2">
        <f t="shared" si="299"/>
        <v>4.8</v>
      </c>
    </row>
    <row r="4077" spans="1:12" x14ac:dyDescent="0.3">
      <c r="A4077" s="3">
        <v>45710</v>
      </c>
      <c r="B4077" s="11" t="s">
        <v>1250</v>
      </c>
      <c r="C4077" s="65" t="s">
        <v>7713</v>
      </c>
      <c r="G4077" s="88">
        <v>6000</v>
      </c>
      <c r="H4077" s="88"/>
      <c r="I4077" s="88">
        <f t="shared" si="298"/>
        <v>23474.17</v>
      </c>
      <c r="K4077" s="62"/>
      <c r="L4077" s="2">
        <f t="shared" si="299"/>
        <v>20</v>
      </c>
    </row>
    <row r="4078" spans="1:12" x14ac:dyDescent="0.3">
      <c r="A4078" s="3">
        <v>45710</v>
      </c>
      <c r="B4078" s="11" t="s">
        <v>2448</v>
      </c>
      <c r="C4078" s="65" t="s">
        <v>2274</v>
      </c>
      <c r="G4078" s="88"/>
      <c r="H4078" s="88">
        <v>4000</v>
      </c>
      <c r="I4078" s="88">
        <f t="shared" si="298"/>
        <v>19474.169999999998</v>
      </c>
      <c r="K4078" s="62"/>
      <c r="L4078" s="2">
        <f t="shared" si="299"/>
        <v>16</v>
      </c>
    </row>
    <row r="4079" spans="1:12" x14ac:dyDescent="0.3">
      <c r="A4079" s="3">
        <v>45710</v>
      </c>
      <c r="B4079" s="11" t="s">
        <v>2241</v>
      </c>
      <c r="C4079" s="65" t="s">
        <v>7714</v>
      </c>
      <c r="D4079" s="50">
        <v>7004751992</v>
      </c>
      <c r="G4079" s="88">
        <v>7000</v>
      </c>
      <c r="H4079" s="88"/>
      <c r="I4079" s="88">
        <f t="shared" si="298"/>
        <v>26474.17</v>
      </c>
      <c r="K4079" s="62"/>
      <c r="L4079" s="2">
        <f t="shared" si="299"/>
        <v>20</v>
      </c>
    </row>
    <row r="4080" spans="1:12" x14ac:dyDescent="0.3">
      <c r="A4080" s="3">
        <v>45712</v>
      </c>
      <c r="B4080" s="11" t="s">
        <v>6434</v>
      </c>
      <c r="C4080" s="65" t="s">
        <v>7541</v>
      </c>
      <c r="G4080" s="88"/>
      <c r="H4080" s="88">
        <v>6000</v>
      </c>
      <c r="I4080" s="88">
        <f t="shared" si="298"/>
        <v>20474.169999999998</v>
      </c>
      <c r="K4080" s="62"/>
      <c r="L4080" s="2">
        <f t="shared" si="299"/>
        <v>20</v>
      </c>
    </row>
    <row r="4081" spans="1:12" x14ac:dyDescent="0.3">
      <c r="A4081" s="3">
        <v>45712</v>
      </c>
      <c r="B4081" s="11" t="s">
        <v>1250</v>
      </c>
      <c r="C4081" s="65" t="s">
        <v>7715</v>
      </c>
      <c r="G4081" s="88">
        <v>1500</v>
      </c>
      <c r="H4081" s="88"/>
      <c r="I4081" s="88">
        <f t="shared" si="298"/>
        <v>21974.17</v>
      </c>
      <c r="K4081" s="62"/>
      <c r="L4081" s="2">
        <f t="shared" si="299"/>
        <v>6</v>
      </c>
    </row>
    <row r="4082" spans="1:12" x14ac:dyDescent="0.3">
      <c r="A4082" s="3">
        <v>45712</v>
      </c>
      <c r="B4082" s="11" t="s">
        <v>2241</v>
      </c>
      <c r="C4082" s="65" t="s">
        <v>7716</v>
      </c>
      <c r="G4082" s="88">
        <v>500</v>
      </c>
      <c r="H4082" s="88"/>
      <c r="I4082" s="88">
        <f t="shared" si="298"/>
        <v>22474.17</v>
      </c>
      <c r="K4082" s="62"/>
      <c r="L4082" s="2">
        <f t="shared" si="299"/>
        <v>2</v>
      </c>
    </row>
    <row r="4083" spans="1:12" x14ac:dyDescent="0.3">
      <c r="A4083" s="3">
        <v>45712</v>
      </c>
      <c r="B4083" s="11" t="s">
        <v>6466</v>
      </c>
      <c r="C4083" s="65" t="s">
        <v>5601</v>
      </c>
      <c r="G4083" s="88">
        <v>4000</v>
      </c>
      <c r="H4083" s="88"/>
      <c r="I4083" s="88">
        <f t="shared" ref="I4083:I4106" si="300">I4082+G4083-H4083</f>
        <v>26474.17</v>
      </c>
      <c r="K4083" s="62"/>
      <c r="L4083" s="2">
        <f t="shared" ref="L4083:L4106" si="301">IF((G4083+H4083)&lt;=5000,(H4083+G4083)*0.004,20)+IF(E4083="Y",25,0)</f>
        <v>16</v>
      </c>
    </row>
    <row r="4084" spans="1:12" x14ac:dyDescent="0.3">
      <c r="A4084" s="3">
        <v>45712</v>
      </c>
      <c r="C4084" s="65" t="s">
        <v>7717</v>
      </c>
      <c r="G4084" s="88"/>
      <c r="H4084" s="88">
        <v>25000</v>
      </c>
      <c r="I4084" s="88">
        <f t="shared" si="300"/>
        <v>1474.1699999999983</v>
      </c>
      <c r="K4084" s="62"/>
      <c r="L4084" s="2">
        <f t="shared" si="301"/>
        <v>20</v>
      </c>
    </row>
    <row r="4085" spans="1:12" x14ac:dyDescent="0.3">
      <c r="A4085" s="3">
        <v>45712</v>
      </c>
      <c r="B4085" s="11" t="s">
        <v>1160</v>
      </c>
      <c r="C4085" s="65" t="s">
        <v>5621</v>
      </c>
      <c r="G4085" s="88">
        <v>5000</v>
      </c>
      <c r="H4085" s="88"/>
      <c r="I4085" s="88">
        <f t="shared" si="300"/>
        <v>6474.1699999999983</v>
      </c>
      <c r="K4085" s="62"/>
      <c r="L4085" s="2">
        <f t="shared" si="301"/>
        <v>20</v>
      </c>
    </row>
    <row r="4086" spans="1:12" x14ac:dyDescent="0.3">
      <c r="A4086" s="3">
        <v>45713</v>
      </c>
      <c r="B4086" s="11" t="s">
        <v>7718</v>
      </c>
      <c r="C4086" s="65" t="s">
        <v>3623</v>
      </c>
      <c r="G4086" s="88"/>
      <c r="H4086" s="88">
        <v>2000</v>
      </c>
      <c r="I4086" s="88">
        <f t="shared" si="300"/>
        <v>4474.1699999999983</v>
      </c>
      <c r="K4086" s="62"/>
      <c r="L4086" s="2">
        <f t="shared" si="301"/>
        <v>8</v>
      </c>
    </row>
    <row r="4087" spans="1:12" x14ac:dyDescent="0.3">
      <c r="A4087" s="3">
        <v>45713</v>
      </c>
      <c r="B4087" s="11" t="s">
        <v>1250</v>
      </c>
      <c r="C4087" s="65" t="s">
        <v>5189</v>
      </c>
      <c r="G4087" s="88">
        <v>7000</v>
      </c>
      <c r="H4087" s="88"/>
      <c r="I4087" s="88">
        <f t="shared" si="300"/>
        <v>11474.169999999998</v>
      </c>
      <c r="K4087" s="62"/>
      <c r="L4087" s="2">
        <f t="shared" si="301"/>
        <v>20</v>
      </c>
    </row>
    <row r="4088" spans="1:12" x14ac:dyDescent="0.3">
      <c r="A4088" s="3">
        <v>45713</v>
      </c>
      <c r="C4088" s="65" t="s">
        <v>2887</v>
      </c>
      <c r="E4088" s="90" t="s">
        <v>4721</v>
      </c>
      <c r="G4088" s="88">
        <v>10000</v>
      </c>
      <c r="H4088" s="88"/>
      <c r="I4088" s="88">
        <f t="shared" si="300"/>
        <v>21474.17</v>
      </c>
      <c r="K4088" s="62"/>
      <c r="L4088" s="2">
        <v>0</v>
      </c>
    </row>
    <row r="4089" spans="1:12" x14ac:dyDescent="0.3">
      <c r="A4089" s="3">
        <v>45713</v>
      </c>
      <c r="B4089" s="11" t="s">
        <v>6718</v>
      </c>
      <c r="C4089" s="65" t="s">
        <v>7048</v>
      </c>
      <c r="G4089" s="88">
        <v>10000</v>
      </c>
      <c r="H4089" s="88"/>
      <c r="I4089" s="88">
        <f t="shared" si="300"/>
        <v>31474.17</v>
      </c>
      <c r="K4089" s="62"/>
      <c r="L4089" s="2">
        <f t="shared" si="301"/>
        <v>20</v>
      </c>
    </row>
    <row r="4090" spans="1:12" x14ac:dyDescent="0.3">
      <c r="A4090" s="3">
        <v>45713</v>
      </c>
      <c r="B4090" s="11" t="s">
        <v>7719</v>
      </c>
      <c r="C4090" s="65" t="s">
        <v>7720</v>
      </c>
      <c r="G4090" s="88">
        <v>9000</v>
      </c>
      <c r="H4090" s="88"/>
      <c r="I4090" s="88">
        <f t="shared" si="300"/>
        <v>40474.17</v>
      </c>
      <c r="K4090" s="62"/>
      <c r="L4090" s="2">
        <f t="shared" si="301"/>
        <v>20</v>
      </c>
    </row>
    <row r="4091" spans="1:12" x14ac:dyDescent="0.3">
      <c r="A4091" s="3">
        <v>45713</v>
      </c>
      <c r="C4091" s="65" t="s">
        <v>2857</v>
      </c>
      <c r="E4091" s="90" t="s">
        <v>4721</v>
      </c>
      <c r="G4091" s="88"/>
      <c r="H4091" s="88">
        <v>40000</v>
      </c>
      <c r="I4091" s="88">
        <f t="shared" si="300"/>
        <v>474.16999999999825</v>
      </c>
      <c r="K4091" s="62"/>
      <c r="L4091" s="2">
        <f t="shared" si="301"/>
        <v>20</v>
      </c>
    </row>
    <row r="4092" spans="1:12" x14ac:dyDescent="0.3">
      <c r="A4092" s="3">
        <v>45713</v>
      </c>
      <c r="B4092" s="11" t="s">
        <v>6049</v>
      </c>
      <c r="C4092" s="65" t="s">
        <v>5384</v>
      </c>
      <c r="G4092" s="88"/>
      <c r="H4092" s="88">
        <v>400</v>
      </c>
      <c r="I4092" s="88">
        <f t="shared" si="300"/>
        <v>74.169999999998254</v>
      </c>
      <c r="K4092" s="62"/>
      <c r="L4092" s="2">
        <f t="shared" si="301"/>
        <v>1.6</v>
      </c>
    </row>
    <row r="4093" spans="1:12" x14ac:dyDescent="0.3">
      <c r="A4093" s="3">
        <v>45713</v>
      </c>
      <c r="B4093" s="11" t="s">
        <v>2241</v>
      </c>
      <c r="C4093" s="65" t="s">
        <v>7727</v>
      </c>
      <c r="G4093" s="88">
        <v>1000</v>
      </c>
      <c r="H4093" s="88"/>
      <c r="I4093" s="88">
        <f t="shared" si="300"/>
        <v>1074.1699999999983</v>
      </c>
      <c r="K4093" s="62"/>
      <c r="L4093" s="2">
        <f t="shared" si="301"/>
        <v>4</v>
      </c>
    </row>
    <row r="4094" spans="1:12" x14ac:dyDescent="0.3">
      <c r="A4094" s="3">
        <v>45713</v>
      </c>
      <c r="B4094" s="11" t="s">
        <v>7724</v>
      </c>
      <c r="C4094" s="65" t="s">
        <v>7725</v>
      </c>
      <c r="E4094" s="90" t="s">
        <v>16</v>
      </c>
      <c r="G4094" s="88"/>
      <c r="H4094" s="88">
        <v>500</v>
      </c>
      <c r="I4094" s="88">
        <f t="shared" si="300"/>
        <v>574.16999999999825</v>
      </c>
      <c r="K4094" s="62"/>
      <c r="L4094" s="2">
        <f t="shared" si="301"/>
        <v>27</v>
      </c>
    </row>
    <row r="4095" spans="1:12" x14ac:dyDescent="0.3">
      <c r="A4095" s="3">
        <v>45713</v>
      </c>
      <c r="B4095" s="11" t="s">
        <v>6052</v>
      </c>
      <c r="C4095" s="65" t="s">
        <v>6053</v>
      </c>
      <c r="G4095" s="88"/>
      <c r="H4095" s="88">
        <v>200</v>
      </c>
      <c r="I4095" s="88">
        <f t="shared" si="300"/>
        <v>374.16999999999825</v>
      </c>
      <c r="K4095" s="62"/>
      <c r="L4095" s="2">
        <f t="shared" si="301"/>
        <v>0.8</v>
      </c>
    </row>
    <row r="4096" spans="1:12" x14ac:dyDescent="0.3">
      <c r="A4096" s="3">
        <v>45713</v>
      </c>
      <c r="B4096" s="11" t="s">
        <v>6057</v>
      </c>
      <c r="C4096" s="65" t="s">
        <v>7721</v>
      </c>
      <c r="G4096" s="88"/>
      <c r="H4096" s="88">
        <v>200</v>
      </c>
      <c r="I4096" s="88">
        <f t="shared" si="300"/>
        <v>174.16999999999825</v>
      </c>
      <c r="K4096" s="62"/>
      <c r="L4096" s="2">
        <f t="shared" si="301"/>
        <v>0.8</v>
      </c>
    </row>
    <row r="4097" spans="1:13" x14ac:dyDescent="0.3">
      <c r="A4097" s="3">
        <v>45714</v>
      </c>
      <c r="B4097" s="11" t="s">
        <v>1472</v>
      </c>
      <c r="C4097" s="50" t="s">
        <v>7382</v>
      </c>
      <c r="G4097" s="88">
        <v>1000</v>
      </c>
      <c r="H4097" s="88"/>
      <c r="I4097" s="88">
        <f t="shared" si="300"/>
        <v>1174.1699999999983</v>
      </c>
      <c r="K4097" s="62"/>
      <c r="L4097" s="2">
        <f t="shared" si="301"/>
        <v>4</v>
      </c>
    </row>
    <row r="4098" spans="1:13" x14ac:dyDescent="0.3">
      <c r="A4098" s="3">
        <v>45714</v>
      </c>
      <c r="B4098" s="11" t="s">
        <v>7729</v>
      </c>
      <c r="C4098" s="50" t="s">
        <v>7728</v>
      </c>
      <c r="G4098" s="88">
        <v>6000</v>
      </c>
      <c r="H4098" s="88"/>
      <c r="I4098" s="88">
        <f t="shared" si="300"/>
        <v>7174.1699999999983</v>
      </c>
      <c r="K4098" s="62"/>
      <c r="L4098" s="2">
        <f t="shared" si="301"/>
        <v>20</v>
      </c>
    </row>
    <row r="4099" spans="1:13" x14ac:dyDescent="0.3">
      <c r="A4099" s="3">
        <v>45714</v>
      </c>
      <c r="B4099" s="11" t="s">
        <v>6061</v>
      </c>
      <c r="C4099" s="65" t="s">
        <v>7722</v>
      </c>
      <c r="G4099" s="88"/>
      <c r="H4099" s="88">
        <v>200</v>
      </c>
      <c r="I4099" s="88">
        <f t="shared" si="300"/>
        <v>6974.1699999999983</v>
      </c>
      <c r="K4099" s="62"/>
      <c r="L4099" s="2">
        <f t="shared" si="301"/>
        <v>0.8</v>
      </c>
    </row>
    <row r="4100" spans="1:13" x14ac:dyDescent="0.3">
      <c r="A4100" s="3">
        <v>45714</v>
      </c>
      <c r="B4100" s="11" t="s">
        <v>6718</v>
      </c>
      <c r="C4100" s="65" t="s">
        <v>7048</v>
      </c>
      <c r="G4100" s="88">
        <v>10000</v>
      </c>
      <c r="H4100" s="88"/>
      <c r="I4100" s="88">
        <f t="shared" si="300"/>
        <v>16974.169999999998</v>
      </c>
      <c r="K4100" s="62">
        <v>-2000</v>
      </c>
      <c r="L4100" s="2">
        <f t="shared" si="301"/>
        <v>20</v>
      </c>
    </row>
    <row r="4101" spans="1:13" x14ac:dyDescent="0.3">
      <c r="A4101" s="3">
        <v>45714</v>
      </c>
      <c r="B4101" s="11" t="s">
        <v>3524</v>
      </c>
      <c r="C4101" s="65" t="s">
        <v>7733</v>
      </c>
      <c r="E4101" s="90" t="s">
        <v>2088</v>
      </c>
      <c r="G4101" s="88"/>
      <c r="H4101" s="88"/>
      <c r="I4101" s="88">
        <f t="shared" si="300"/>
        <v>16974.169999999998</v>
      </c>
      <c r="K4101" s="62"/>
      <c r="L4101" s="2">
        <f t="shared" si="301"/>
        <v>0</v>
      </c>
      <c r="M4101">
        <f t="shared" ref="M4101:M4102" si="302">IF(E4101="p",5,0)</f>
        <v>5</v>
      </c>
    </row>
    <row r="4102" spans="1:13" x14ac:dyDescent="0.3">
      <c r="A4102" s="3">
        <v>45714</v>
      </c>
      <c r="B4102" s="11" t="s">
        <v>7734</v>
      </c>
      <c r="C4102" s="65" t="s">
        <v>5706</v>
      </c>
      <c r="E4102" s="90" t="s">
        <v>2088</v>
      </c>
      <c r="G4102" s="88"/>
      <c r="H4102" s="88"/>
      <c r="I4102" s="88">
        <f t="shared" si="300"/>
        <v>16974.169999999998</v>
      </c>
      <c r="K4102" s="62"/>
      <c r="L4102" s="2">
        <f t="shared" si="301"/>
        <v>0</v>
      </c>
      <c r="M4102">
        <f t="shared" si="302"/>
        <v>5</v>
      </c>
    </row>
    <row r="4103" spans="1:13" x14ac:dyDescent="0.3">
      <c r="A4103" s="3">
        <v>45714</v>
      </c>
      <c r="B4103" s="11" t="s">
        <v>1250</v>
      </c>
      <c r="C4103" s="65"/>
      <c r="G4103" s="88">
        <v>2000</v>
      </c>
      <c r="H4103" s="88"/>
      <c r="I4103" s="88">
        <f t="shared" si="300"/>
        <v>18974.169999999998</v>
      </c>
      <c r="K4103" s="62"/>
      <c r="L4103" s="2">
        <f t="shared" si="301"/>
        <v>8</v>
      </c>
      <c r="M4103">
        <f>IF(E4103="p",5,0)</f>
        <v>0</v>
      </c>
    </row>
    <row r="4104" spans="1:13" x14ac:dyDescent="0.3">
      <c r="A4104" s="3">
        <v>45714</v>
      </c>
      <c r="B4104" s="11" t="s">
        <v>1472</v>
      </c>
      <c r="C4104" s="65" t="s">
        <v>7636</v>
      </c>
      <c r="E4104" s="90" t="s">
        <v>2088</v>
      </c>
      <c r="G4104" s="88">
        <v>1500</v>
      </c>
      <c r="H4104" s="88"/>
      <c r="I4104" s="88">
        <f t="shared" si="300"/>
        <v>20474.169999999998</v>
      </c>
      <c r="K4104" s="62"/>
      <c r="L4104" s="2">
        <f t="shared" si="301"/>
        <v>6</v>
      </c>
      <c r="M4104">
        <f t="shared" ref="M4104:M4115" si="303">IF(E4104="p",5,0)</f>
        <v>5</v>
      </c>
    </row>
    <row r="4105" spans="1:13" x14ac:dyDescent="0.3">
      <c r="A4105" s="3">
        <v>45714</v>
      </c>
      <c r="B4105" s="11" t="s">
        <v>7730</v>
      </c>
      <c r="C4105" s="65" t="s">
        <v>7541</v>
      </c>
      <c r="G4105" s="88"/>
      <c r="H4105" s="88">
        <v>6000</v>
      </c>
      <c r="I4105" s="88">
        <f t="shared" si="300"/>
        <v>14474.169999999998</v>
      </c>
      <c r="K4105" s="62"/>
      <c r="L4105" s="2">
        <f t="shared" si="301"/>
        <v>20</v>
      </c>
      <c r="M4105">
        <f t="shared" si="303"/>
        <v>0</v>
      </c>
    </row>
    <row r="4106" spans="1:13" x14ac:dyDescent="0.3">
      <c r="A4106" s="3">
        <v>45714</v>
      </c>
      <c r="B4106" s="11" t="s">
        <v>5294</v>
      </c>
      <c r="C4106" s="65" t="s">
        <v>7571</v>
      </c>
      <c r="E4106" s="90" t="s">
        <v>2088</v>
      </c>
      <c r="G4106" s="88">
        <v>1000</v>
      </c>
      <c r="H4106" s="88"/>
      <c r="I4106" s="88">
        <f t="shared" si="300"/>
        <v>15474.169999999998</v>
      </c>
      <c r="K4106" s="62"/>
      <c r="L4106" s="2">
        <f t="shared" si="301"/>
        <v>4</v>
      </c>
      <c r="M4106">
        <f t="shared" si="303"/>
        <v>5</v>
      </c>
    </row>
    <row r="4107" spans="1:13" x14ac:dyDescent="0.3">
      <c r="A4107" s="3">
        <v>45714</v>
      </c>
      <c r="B4107" s="11" t="s">
        <v>3541</v>
      </c>
      <c r="C4107" s="65" t="s">
        <v>7731</v>
      </c>
      <c r="D4107" s="50" t="s">
        <v>4089</v>
      </c>
      <c r="G4107" s="88">
        <v>1200</v>
      </c>
      <c r="H4107" s="88"/>
      <c r="I4107" s="88">
        <f t="shared" ref="I4107:I4115" si="304">I4106+G4107-H4107</f>
        <v>16674.169999999998</v>
      </c>
      <c r="K4107" s="62"/>
      <c r="L4107" s="2">
        <f t="shared" ref="L4107:L4115" si="305">IF((G4107+H4107)&lt;=5000,(H4107+G4107)*0.004,20)+IF(E4107="Y",25,0)</f>
        <v>4.8</v>
      </c>
      <c r="M4107">
        <f t="shared" si="303"/>
        <v>0</v>
      </c>
    </row>
    <row r="4108" spans="1:13" x14ac:dyDescent="0.3">
      <c r="A4108" s="3">
        <v>45715</v>
      </c>
      <c r="B4108" s="11" t="s">
        <v>6706</v>
      </c>
      <c r="C4108" s="65" t="s">
        <v>7732</v>
      </c>
      <c r="E4108" s="90" t="s">
        <v>2088</v>
      </c>
      <c r="G4108" s="88">
        <v>3000</v>
      </c>
      <c r="H4108" s="88"/>
      <c r="I4108" s="88">
        <f t="shared" si="304"/>
        <v>19674.169999999998</v>
      </c>
      <c r="K4108" s="62"/>
      <c r="L4108" s="2">
        <f t="shared" si="305"/>
        <v>12</v>
      </c>
      <c r="M4108">
        <f t="shared" si="303"/>
        <v>5</v>
      </c>
    </row>
    <row r="4109" spans="1:13" x14ac:dyDescent="0.3">
      <c r="A4109" s="3">
        <v>45715</v>
      </c>
      <c r="B4109" s="11" t="s">
        <v>3232</v>
      </c>
      <c r="C4109" s="65" t="s">
        <v>7735</v>
      </c>
      <c r="G4109" s="88">
        <v>2000</v>
      </c>
      <c r="H4109" s="88"/>
      <c r="I4109" s="88">
        <f t="shared" si="304"/>
        <v>21674.17</v>
      </c>
      <c r="K4109" s="62"/>
      <c r="L4109" s="2">
        <f t="shared" si="305"/>
        <v>8</v>
      </c>
      <c r="M4109">
        <f t="shared" si="303"/>
        <v>0</v>
      </c>
    </row>
    <row r="4110" spans="1:13" x14ac:dyDescent="0.3">
      <c r="A4110" s="3">
        <v>45715</v>
      </c>
      <c r="C4110" s="65" t="s">
        <v>2857</v>
      </c>
      <c r="G4110" s="88"/>
      <c r="H4110" s="88">
        <v>20000</v>
      </c>
      <c r="I4110" s="88">
        <f t="shared" si="304"/>
        <v>1674.1699999999983</v>
      </c>
      <c r="K4110" s="62"/>
      <c r="L4110" s="2">
        <f t="shared" si="305"/>
        <v>20</v>
      </c>
      <c r="M4110">
        <f t="shared" si="303"/>
        <v>0</v>
      </c>
    </row>
    <row r="4111" spans="1:13" x14ac:dyDescent="0.3">
      <c r="A4111" s="3">
        <v>45715</v>
      </c>
      <c r="B4111" s="11" t="s">
        <v>1250</v>
      </c>
      <c r="C4111" s="65"/>
      <c r="E4111" s="90" t="s">
        <v>2088</v>
      </c>
      <c r="G4111" s="88"/>
      <c r="H4111" s="88"/>
      <c r="I4111" s="88">
        <f t="shared" si="304"/>
        <v>1674.1699999999983</v>
      </c>
      <c r="K4111" s="62"/>
      <c r="L4111" s="2">
        <f t="shared" si="305"/>
        <v>0</v>
      </c>
      <c r="M4111">
        <f t="shared" si="303"/>
        <v>5</v>
      </c>
    </row>
    <row r="4112" spans="1:13" x14ac:dyDescent="0.3">
      <c r="A4112" s="3">
        <v>45715</v>
      </c>
      <c r="B4112" s="11" t="s">
        <v>5123</v>
      </c>
      <c r="C4112" s="65" t="s">
        <v>7326</v>
      </c>
      <c r="G4112" s="88">
        <v>4000</v>
      </c>
      <c r="H4112" s="88"/>
      <c r="I4112" s="88">
        <f t="shared" si="304"/>
        <v>5674.1699999999983</v>
      </c>
      <c r="K4112" s="62"/>
      <c r="L4112" s="2">
        <f t="shared" si="305"/>
        <v>16</v>
      </c>
      <c r="M4112">
        <f t="shared" si="303"/>
        <v>0</v>
      </c>
    </row>
    <row r="4113" spans="1:13" x14ac:dyDescent="0.3">
      <c r="A4113" s="3">
        <v>45715</v>
      </c>
      <c r="B4113" s="11" t="s">
        <v>6844</v>
      </c>
      <c r="C4113" s="65" t="s">
        <v>7588</v>
      </c>
      <c r="G4113" s="88"/>
      <c r="H4113" s="88">
        <v>2000</v>
      </c>
      <c r="I4113" s="88">
        <f t="shared" si="304"/>
        <v>3674.1699999999983</v>
      </c>
      <c r="K4113" s="62"/>
      <c r="L4113" s="2">
        <f t="shared" si="305"/>
        <v>8</v>
      </c>
      <c r="M4113">
        <f t="shared" si="303"/>
        <v>0</v>
      </c>
    </row>
    <row r="4114" spans="1:13" x14ac:dyDescent="0.3">
      <c r="A4114" s="3">
        <v>45715</v>
      </c>
      <c r="B4114" s="11" t="s">
        <v>7738</v>
      </c>
      <c r="C4114" s="65" t="s">
        <v>7737</v>
      </c>
      <c r="E4114" s="90" t="s">
        <v>14</v>
      </c>
      <c r="G4114" s="88"/>
      <c r="H4114" s="88">
        <v>500</v>
      </c>
      <c r="I4114" s="88">
        <f t="shared" si="304"/>
        <v>3174.1699999999983</v>
      </c>
      <c r="K4114" s="62"/>
      <c r="L4114" s="2">
        <f t="shared" si="305"/>
        <v>27</v>
      </c>
      <c r="M4114">
        <f t="shared" si="303"/>
        <v>0</v>
      </c>
    </row>
    <row r="4115" spans="1:13" x14ac:dyDescent="0.3">
      <c r="A4115" s="3">
        <v>45715</v>
      </c>
      <c r="B4115" s="11" t="s">
        <v>4752</v>
      </c>
      <c r="C4115" s="65" t="s">
        <v>5806</v>
      </c>
      <c r="G4115" s="88">
        <v>5500</v>
      </c>
      <c r="H4115" s="88"/>
      <c r="I4115" s="88">
        <f t="shared" si="304"/>
        <v>8674.1699999999983</v>
      </c>
      <c r="K4115" s="62"/>
      <c r="L4115" s="2">
        <f t="shared" si="305"/>
        <v>20</v>
      </c>
      <c r="M4115">
        <f t="shared" si="303"/>
        <v>0</v>
      </c>
    </row>
    <row r="4116" spans="1:13" x14ac:dyDescent="0.3">
      <c r="A4116" s="3">
        <v>45715</v>
      </c>
      <c r="B4116" s="11" t="s">
        <v>3524</v>
      </c>
      <c r="C4116" s="65" t="s">
        <v>3088</v>
      </c>
      <c r="G4116" s="88"/>
      <c r="H4116" s="88">
        <v>5000</v>
      </c>
      <c r="I4116" s="88">
        <f t="shared" ref="I4116:I4128" si="306">I4115+G4116-H4116</f>
        <v>3674.1699999999983</v>
      </c>
      <c r="K4116" s="62"/>
      <c r="L4116" s="2">
        <f t="shared" ref="L4116:L4128" si="307">IF((G4116+H4116)&lt;=5000,(H4116+G4116)*0.004,20)+IF(E4116="Y",25,0)</f>
        <v>20</v>
      </c>
      <c r="M4116">
        <f t="shared" ref="M4116:M4128" si="308">IF(E4116="p",5,0)</f>
        <v>0</v>
      </c>
    </row>
    <row r="4117" spans="1:13" x14ac:dyDescent="0.3">
      <c r="A4117" s="3">
        <v>45715</v>
      </c>
      <c r="C4117" s="65" t="s">
        <v>3952</v>
      </c>
      <c r="G4117" s="88">
        <v>1200</v>
      </c>
      <c r="H4117" s="88"/>
      <c r="I4117" s="88">
        <f t="shared" si="306"/>
        <v>4874.1699999999983</v>
      </c>
      <c r="K4117" s="62"/>
      <c r="L4117" s="2">
        <f t="shared" si="307"/>
        <v>4.8</v>
      </c>
      <c r="M4117">
        <f t="shared" si="308"/>
        <v>0</v>
      </c>
    </row>
    <row r="4118" spans="1:13" x14ac:dyDescent="0.3">
      <c r="A4118" s="3">
        <v>45715</v>
      </c>
      <c r="C4118" s="65" t="s">
        <v>7741</v>
      </c>
      <c r="G4118" s="88"/>
      <c r="H4118" s="88">
        <v>1200</v>
      </c>
      <c r="I4118" s="88">
        <f t="shared" si="306"/>
        <v>3674.1699999999983</v>
      </c>
      <c r="K4118" s="62"/>
      <c r="L4118" s="2">
        <f t="shared" si="307"/>
        <v>4.8</v>
      </c>
      <c r="M4118">
        <f t="shared" si="308"/>
        <v>0</v>
      </c>
    </row>
    <row r="4119" spans="1:13" x14ac:dyDescent="0.3">
      <c r="A4119" s="3">
        <v>45715</v>
      </c>
      <c r="B4119" s="11" t="s">
        <v>7744</v>
      </c>
      <c r="C4119" s="65" t="s">
        <v>7745</v>
      </c>
      <c r="E4119" s="90" t="s">
        <v>16</v>
      </c>
      <c r="G4119" s="88"/>
      <c r="H4119" s="88">
        <v>500</v>
      </c>
      <c r="I4119" s="88">
        <f t="shared" si="306"/>
        <v>3174.1699999999983</v>
      </c>
      <c r="K4119" s="62"/>
      <c r="L4119" s="2">
        <f t="shared" si="307"/>
        <v>27</v>
      </c>
      <c r="M4119">
        <f t="shared" si="308"/>
        <v>0</v>
      </c>
    </row>
    <row r="4120" spans="1:13" x14ac:dyDescent="0.3">
      <c r="A4120" s="3">
        <v>45716</v>
      </c>
      <c r="B4120" s="11" t="s">
        <v>7747</v>
      </c>
      <c r="C4120" s="65" t="s">
        <v>7748</v>
      </c>
      <c r="E4120" s="90" t="s">
        <v>16</v>
      </c>
      <c r="G4120" s="88"/>
      <c r="H4120" s="88">
        <v>500</v>
      </c>
      <c r="I4120" s="88">
        <f t="shared" si="306"/>
        <v>2674.1699999999983</v>
      </c>
      <c r="K4120" s="62"/>
      <c r="L4120" s="2">
        <f t="shared" si="307"/>
        <v>27</v>
      </c>
      <c r="M4120">
        <f t="shared" si="308"/>
        <v>0</v>
      </c>
    </row>
    <row r="4121" spans="1:13" x14ac:dyDescent="0.3">
      <c r="A4121" s="3">
        <v>45716</v>
      </c>
      <c r="B4121" s="11" t="s">
        <v>3232</v>
      </c>
      <c r="C4121" s="65" t="s">
        <v>2414</v>
      </c>
      <c r="G4121" s="88">
        <v>1000</v>
      </c>
      <c r="H4121" s="88"/>
      <c r="I4121" s="88">
        <f t="shared" si="306"/>
        <v>3674.1699999999983</v>
      </c>
      <c r="K4121" s="62"/>
      <c r="L4121" s="2">
        <f t="shared" si="307"/>
        <v>4</v>
      </c>
      <c r="M4121">
        <f t="shared" si="308"/>
        <v>0</v>
      </c>
    </row>
    <row r="4122" spans="1:13" x14ac:dyDescent="0.3">
      <c r="A4122" s="3">
        <v>45716</v>
      </c>
      <c r="B4122" s="11" t="s">
        <v>7730</v>
      </c>
      <c r="C4122" s="65" t="s">
        <v>7541</v>
      </c>
      <c r="G4122" s="88"/>
      <c r="H4122" s="88">
        <v>3500</v>
      </c>
      <c r="I4122" s="88">
        <f t="shared" si="306"/>
        <v>174.16999999999825</v>
      </c>
      <c r="K4122" s="62"/>
      <c r="L4122" s="2">
        <f t="shared" si="307"/>
        <v>14</v>
      </c>
      <c r="M4122">
        <f t="shared" si="308"/>
        <v>0</v>
      </c>
    </row>
    <row r="4123" spans="1:13" x14ac:dyDescent="0.3">
      <c r="A4123" s="3">
        <v>45716</v>
      </c>
      <c r="B4123" s="11" t="s">
        <v>1250</v>
      </c>
      <c r="C4123" s="65"/>
      <c r="E4123" s="90" t="s">
        <v>2088</v>
      </c>
      <c r="G4123" s="88">
        <v>0</v>
      </c>
      <c r="H4123" s="88">
        <v>0</v>
      </c>
      <c r="I4123" s="88">
        <f t="shared" si="306"/>
        <v>174.16999999999825</v>
      </c>
      <c r="K4123" s="62"/>
      <c r="L4123" s="2">
        <f t="shared" si="307"/>
        <v>0</v>
      </c>
      <c r="M4123">
        <f t="shared" si="308"/>
        <v>5</v>
      </c>
    </row>
    <row r="4124" spans="1:13" x14ac:dyDescent="0.3">
      <c r="A4124" s="3">
        <v>45716</v>
      </c>
      <c r="B4124" s="11" t="s">
        <v>7514</v>
      </c>
      <c r="C4124" s="65" t="s">
        <v>7347</v>
      </c>
      <c r="G4124" s="88">
        <v>5000</v>
      </c>
      <c r="H4124" s="88"/>
      <c r="I4124" s="88">
        <f t="shared" si="306"/>
        <v>5174.1699999999983</v>
      </c>
      <c r="K4124" s="62"/>
      <c r="L4124" s="2">
        <f t="shared" si="307"/>
        <v>20</v>
      </c>
      <c r="M4124">
        <f t="shared" si="308"/>
        <v>0</v>
      </c>
    </row>
    <row r="4125" spans="1:13" x14ac:dyDescent="0.3">
      <c r="A4125" s="3">
        <v>45716</v>
      </c>
      <c r="B4125" s="11" t="s">
        <v>3915</v>
      </c>
      <c r="C4125" s="65" t="s">
        <v>7752</v>
      </c>
      <c r="G4125" s="88">
        <v>10000</v>
      </c>
      <c r="H4125" s="88"/>
      <c r="I4125" s="88">
        <f t="shared" si="306"/>
        <v>15174.169999999998</v>
      </c>
      <c r="K4125" s="62"/>
      <c r="L4125" s="2">
        <f t="shared" si="307"/>
        <v>20</v>
      </c>
      <c r="M4125">
        <f t="shared" si="308"/>
        <v>0</v>
      </c>
    </row>
    <row r="4126" spans="1:13" x14ac:dyDescent="0.3">
      <c r="A4126" s="3">
        <v>45716</v>
      </c>
      <c r="B4126" s="11" t="s">
        <v>1250</v>
      </c>
      <c r="C4126" s="65" t="s">
        <v>7610</v>
      </c>
      <c r="G4126" s="88">
        <v>500</v>
      </c>
      <c r="H4126" s="88"/>
      <c r="I4126" s="88">
        <f t="shared" si="306"/>
        <v>15674.169999999998</v>
      </c>
      <c r="K4126" s="62"/>
      <c r="L4126" s="2">
        <f t="shared" si="307"/>
        <v>2</v>
      </c>
      <c r="M4126">
        <f t="shared" si="308"/>
        <v>0</v>
      </c>
    </row>
    <row r="4127" spans="1:13" x14ac:dyDescent="0.3">
      <c r="A4127" s="3">
        <v>45716</v>
      </c>
      <c r="B4127" s="11" t="s">
        <v>3524</v>
      </c>
      <c r="C4127" s="65" t="s">
        <v>3088</v>
      </c>
      <c r="G4127" s="88"/>
      <c r="H4127" s="147">
        <v>10000</v>
      </c>
      <c r="I4127" s="88">
        <f t="shared" si="306"/>
        <v>5674.1699999999983</v>
      </c>
      <c r="K4127" s="62"/>
      <c r="L4127" s="2">
        <f t="shared" si="307"/>
        <v>20</v>
      </c>
      <c r="M4127">
        <f t="shared" si="308"/>
        <v>0</v>
      </c>
    </row>
    <row r="4128" spans="1:13" x14ac:dyDescent="0.3">
      <c r="A4128" s="3"/>
      <c r="C4128" s="65"/>
      <c r="G4128" s="88"/>
      <c r="H4128" s="88"/>
      <c r="I4128" s="88">
        <f t="shared" si="306"/>
        <v>5674.1699999999983</v>
      </c>
      <c r="K4128" s="62"/>
      <c r="L4128" s="2">
        <f t="shared" si="307"/>
        <v>0</v>
      </c>
      <c r="M4128">
        <f t="shared" si="308"/>
        <v>0</v>
      </c>
    </row>
    <row r="4129" spans="1:16" x14ac:dyDescent="0.3">
      <c r="A4129" s="77">
        <f>COUNT(A3893:A4128)</f>
        <v>235</v>
      </c>
      <c r="B4129" s="80" t="s">
        <v>7120</v>
      </c>
      <c r="C4129" s="112">
        <f>SUMIF(E3893:E4128,"S",H3893:H4128)</f>
        <v>210000</v>
      </c>
      <c r="D4129" s="112">
        <f>COUNTIF(E4097:E4128,"p")</f>
        <v>7</v>
      </c>
      <c r="E4129" s="92">
        <f>COUNTIF(E3893:E4128,"Y")</f>
        <v>22</v>
      </c>
      <c r="F4129" s="80">
        <f>SUM(F2673:F4128)</f>
        <v>800</v>
      </c>
      <c r="G4129" s="121">
        <f>SUM(G3893:G4128)</f>
        <v>474680</v>
      </c>
      <c r="H4129" s="121">
        <f>SUM(H3893:H4128)-C4129</f>
        <v>269000</v>
      </c>
      <c r="I4129" s="121">
        <f>SUM(G4129:H4129)</f>
        <v>743680</v>
      </c>
      <c r="J4129" s="122"/>
      <c r="K4129" s="122"/>
      <c r="L4129" s="121">
        <f>SUM(L3893:L4128)</f>
        <v>2901.92</v>
      </c>
      <c r="M4129" s="121">
        <f>SUM(M3017:M4128)</f>
        <v>35</v>
      </c>
    </row>
    <row r="4131" spans="1:16" x14ac:dyDescent="0.3">
      <c r="A4131" s="3">
        <v>45717</v>
      </c>
      <c r="C4131" s="65" t="s">
        <v>2832</v>
      </c>
      <c r="G4131" s="88">
        <f>I4128+92.2</f>
        <v>5766.3699999999981</v>
      </c>
      <c r="H4131" s="88"/>
      <c r="I4131" s="88">
        <f t="shared" ref="I4131:I4146" si="309">I4130+G4131-H4131</f>
        <v>5766.3699999999981</v>
      </c>
      <c r="K4131" s="62"/>
      <c r="L4131" s="2">
        <v>0</v>
      </c>
      <c r="M4131">
        <f t="shared" ref="M4131:M4132" si="310">IF(E4131="p",5,0)</f>
        <v>0</v>
      </c>
    </row>
    <row r="4132" spans="1:16" x14ac:dyDescent="0.3">
      <c r="A4132" s="3">
        <v>45717</v>
      </c>
      <c r="B4132" s="11" t="s">
        <v>3524</v>
      </c>
      <c r="C4132" s="65" t="s">
        <v>3088</v>
      </c>
      <c r="F4132" s="11"/>
      <c r="G4132" s="88"/>
      <c r="H4132" s="88">
        <v>4000</v>
      </c>
      <c r="I4132" s="88">
        <f t="shared" si="309"/>
        <v>1766.3699999999981</v>
      </c>
      <c r="K4132" s="62"/>
      <c r="L4132" s="2">
        <f t="shared" ref="L4132" si="311">IF((G4132+H4132)&lt;=5000,(H4132+G4132)*0.004,20)+IF(E4132="Y",25,0)</f>
        <v>16</v>
      </c>
      <c r="M4132">
        <f t="shared" si="310"/>
        <v>0</v>
      </c>
    </row>
    <row r="4133" spans="1:16" x14ac:dyDescent="0.3">
      <c r="A4133" s="3">
        <v>45717</v>
      </c>
      <c r="C4133" s="65" t="s">
        <v>7754</v>
      </c>
      <c r="E4133" s="90" t="s">
        <v>4721</v>
      </c>
      <c r="F4133" s="11"/>
      <c r="G4133" s="88">
        <v>10000</v>
      </c>
      <c r="H4133" s="88"/>
      <c r="I4133" s="88">
        <f t="shared" si="309"/>
        <v>11766.369999999999</v>
      </c>
      <c r="K4133" s="62"/>
      <c r="L4133" s="2">
        <f t="shared" ref="L4133:L4140" si="312">IF((G4133+H4133)&lt;=5000,(H4133+G4133)*0.004,20)+IF(E4133="Y",25,0)</f>
        <v>20</v>
      </c>
      <c r="M4133">
        <f t="shared" ref="M4133:M4140" si="313">IF(E4133="p",5,0)</f>
        <v>0</v>
      </c>
    </row>
    <row r="4134" spans="1:16" x14ac:dyDescent="0.3">
      <c r="A4134" s="3">
        <v>45717</v>
      </c>
      <c r="B4134" s="11" t="s">
        <v>7649</v>
      </c>
      <c r="C4134" s="65" t="s">
        <v>7753</v>
      </c>
      <c r="F4134" s="11"/>
      <c r="G4134" s="88"/>
      <c r="H4134" s="88">
        <v>4400</v>
      </c>
      <c r="I4134" s="88">
        <f t="shared" si="309"/>
        <v>7366.369999999999</v>
      </c>
      <c r="K4134" s="62"/>
      <c r="L4134" s="2">
        <f t="shared" si="312"/>
        <v>17.600000000000001</v>
      </c>
      <c r="M4134">
        <f t="shared" si="313"/>
        <v>0</v>
      </c>
    </row>
    <row r="4135" spans="1:16" x14ac:dyDescent="0.3">
      <c r="A4135" s="3">
        <v>45717</v>
      </c>
      <c r="C4135" s="65" t="s">
        <v>7755</v>
      </c>
      <c r="E4135" s="90" t="s">
        <v>4721</v>
      </c>
      <c r="F4135" s="11"/>
      <c r="G4135" s="88"/>
      <c r="H4135" s="88">
        <v>6000</v>
      </c>
      <c r="I4135" s="88">
        <f t="shared" si="309"/>
        <v>1366.369999999999</v>
      </c>
      <c r="K4135" s="62"/>
      <c r="L4135" s="2">
        <v>0</v>
      </c>
      <c r="M4135">
        <f t="shared" si="313"/>
        <v>0</v>
      </c>
    </row>
    <row r="4136" spans="1:16" x14ac:dyDescent="0.3">
      <c r="A4136" s="3">
        <v>45718</v>
      </c>
      <c r="B4136" s="11" t="s">
        <v>7619</v>
      </c>
      <c r="C4136" s="65" t="s">
        <v>984</v>
      </c>
      <c r="F4136" s="11"/>
      <c r="G4136" s="88">
        <v>10000</v>
      </c>
      <c r="H4136" s="88"/>
      <c r="I4136" s="88">
        <f t="shared" si="309"/>
        <v>11366.369999999999</v>
      </c>
      <c r="K4136" s="62"/>
      <c r="L4136" s="2">
        <f t="shared" si="312"/>
        <v>20</v>
      </c>
      <c r="M4136">
        <f t="shared" si="313"/>
        <v>0</v>
      </c>
    </row>
    <row r="4137" spans="1:16" x14ac:dyDescent="0.3">
      <c r="A4137" s="3">
        <v>45718</v>
      </c>
      <c r="B4137" s="11" t="s">
        <v>7619</v>
      </c>
      <c r="C4137" s="65" t="s">
        <v>984</v>
      </c>
      <c r="E4137" s="90" t="s">
        <v>2088</v>
      </c>
      <c r="F4137" s="11"/>
      <c r="G4137" s="88"/>
      <c r="H4137" s="88">
        <v>0</v>
      </c>
      <c r="I4137" s="88">
        <f t="shared" si="309"/>
        <v>11366.369999999999</v>
      </c>
      <c r="K4137" s="62"/>
      <c r="L4137" s="2">
        <f t="shared" si="312"/>
        <v>0</v>
      </c>
      <c r="M4137">
        <f t="shared" si="313"/>
        <v>5</v>
      </c>
    </row>
    <row r="4138" spans="1:16" x14ac:dyDescent="0.3">
      <c r="A4138" s="3">
        <v>45718</v>
      </c>
      <c r="B4138" s="11" t="s">
        <v>6061</v>
      </c>
      <c r="C4138" s="65" t="s">
        <v>7756</v>
      </c>
      <c r="F4138" s="11"/>
      <c r="G4138" s="88"/>
      <c r="H4138" s="88">
        <v>8000</v>
      </c>
      <c r="I4138" s="88">
        <f t="shared" si="309"/>
        <v>3366.369999999999</v>
      </c>
      <c r="K4138" s="62"/>
      <c r="L4138" s="2">
        <f t="shared" si="312"/>
        <v>20</v>
      </c>
      <c r="M4138">
        <f t="shared" si="313"/>
        <v>0</v>
      </c>
    </row>
    <row r="4139" spans="1:16" x14ac:dyDescent="0.3">
      <c r="A4139" s="3">
        <v>45718</v>
      </c>
      <c r="B4139" s="11" t="s">
        <v>6061</v>
      </c>
      <c r="C4139" s="65" t="s">
        <v>7756</v>
      </c>
      <c r="E4139" s="90" t="s">
        <v>2088</v>
      </c>
      <c r="F4139" s="11"/>
      <c r="G4139" s="88"/>
      <c r="H4139" s="88">
        <v>0</v>
      </c>
      <c r="I4139" s="88">
        <f t="shared" si="309"/>
        <v>3366.369999999999</v>
      </c>
      <c r="K4139" s="62"/>
      <c r="L4139" s="2">
        <f t="shared" si="312"/>
        <v>0</v>
      </c>
      <c r="M4139">
        <f t="shared" si="313"/>
        <v>5</v>
      </c>
    </row>
    <row r="4140" spans="1:16" x14ac:dyDescent="0.3">
      <c r="A4140" s="3">
        <v>45718</v>
      </c>
      <c r="B4140" s="11" t="s">
        <v>3915</v>
      </c>
      <c r="C4140" s="65" t="s">
        <v>4067</v>
      </c>
      <c r="F4140" s="11"/>
      <c r="G4140" s="88">
        <v>3600</v>
      </c>
      <c r="H4140" s="88"/>
      <c r="I4140" s="88">
        <f t="shared" si="309"/>
        <v>6966.369999999999</v>
      </c>
      <c r="K4140" s="62"/>
      <c r="L4140" s="2">
        <f t="shared" si="312"/>
        <v>14.4</v>
      </c>
      <c r="M4140">
        <f t="shared" si="313"/>
        <v>0</v>
      </c>
    </row>
    <row r="4141" spans="1:16" x14ac:dyDescent="0.3">
      <c r="A4141" s="3">
        <v>45718</v>
      </c>
      <c r="B4141" s="11" t="s">
        <v>1250</v>
      </c>
      <c r="C4141" s="65" t="s">
        <v>2443</v>
      </c>
      <c r="F4141" s="11"/>
      <c r="G4141" s="88">
        <v>4000</v>
      </c>
      <c r="H4141" s="88"/>
      <c r="I4141" s="88">
        <f t="shared" si="309"/>
        <v>10966.369999999999</v>
      </c>
      <c r="K4141" s="62"/>
      <c r="L4141" s="2">
        <f t="shared" ref="L4141:L4146" si="314">IF((G4141+H4141)&lt;=5000,(H4141+G4141)*0.004,20)+IF(E4141="Y",25,0)</f>
        <v>16</v>
      </c>
      <c r="M4141">
        <f t="shared" ref="M4141:M4146" si="315">IF(E4141="p",5,0)</f>
        <v>0</v>
      </c>
    </row>
    <row r="4142" spans="1:16" x14ac:dyDescent="0.3">
      <c r="A4142" s="3">
        <v>45718</v>
      </c>
      <c r="B4142" s="11" t="s">
        <v>7757</v>
      </c>
      <c r="C4142" s="65" t="s">
        <v>7758</v>
      </c>
      <c r="F4142" s="11"/>
      <c r="G4142" s="88">
        <v>3000</v>
      </c>
      <c r="H4142" s="88"/>
      <c r="I4142" s="88">
        <f t="shared" si="309"/>
        <v>13966.369999999999</v>
      </c>
      <c r="K4142" s="62"/>
      <c r="L4142" s="2">
        <f t="shared" si="314"/>
        <v>12</v>
      </c>
      <c r="M4142">
        <f t="shared" si="315"/>
        <v>0</v>
      </c>
    </row>
    <row r="4143" spans="1:16" x14ac:dyDescent="0.3">
      <c r="A4143" s="3">
        <v>45718</v>
      </c>
      <c r="B4143" s="11" t="s">
        <v>7757</v>
      </c>
      <c r="C4143" s="65" t="s">
        <v>7758</v>
      </c>
      <c r="E4143" s="90" t="s">
        <v>2088</v>
      </c>
      <c r="F4143" s="11"/>
      <c r="G4143" s="88"/>
      <c r="H4143" s="88">
        <v>0</v>
      </c>
      <c r="I4143" s="88">
        <f t="shared" si="309"/>
        <v>13966.369999999999</v>
      </c>
      <c r="K4143" s="62"/>
      <c r="L4143" s="2">
        <f t="shared" si="314"/>
        <v>0</v>
      </c>
      <c r="M4143">
        <f t="shared" si="315"/>
        <v>5</v>
      </c>
      <c r="O4143" s="62"/>
      <c r="P4143" s="62"/>
    </row>
    <row r="4144" spans="1:16" x14ac:dyDescent="0.3">
      <c r="A4144" s="3">
        <v>45718</v>
      </c>
      <c r="B4144" s="11" t="s">
        <v>3524</v>
      </c>
      <c r="C4144" s="65" t="s">
        <v>3169</v>
      </c>
      <c r="F4144" s="11"/>
      <c r="G4144" s="88"/>
      <c r="H4144" s="88">
        <v>10000</v>
      </c>
      <c r="I4144" s="88">
        <f t="shared" si="309"/>
        <v>3966.369999999999</v>
      </c>
      <c r="K4144" s="62"/>
      <c r="L4144" s="2">
        <f t="shared" si="314"/>
        <v>20</v>
      </c>
      <c r="M4144">
        <f t="shared" si="315"/>
        <v>0</v>
      </c>
    </row>
    <row r="4145" spans="1:17" x14ac:dyDescent="0.3">
      <c r="A4145" s="3">
        <v>45718</v>
      </c>
      <c r="B4145" s="11" t="s">
        <v>1160</v>
      </c>
      <c r="C4145" s="65" t="s">
        <v>4688</v>
      </c>
      <c r="F4145" s="11"/>
      <c r="G4145" s="88">
        <v>500</v>
      </c>
      <c r="H4145" s="88"/>
      <c r="I4145" s="88">
        <f t="shared" si="309"/>
        <v>4466.369999999999</v>
      </c>
      <c r="K4145" s="62"/>
      <c r="L4145" s="2">
        <f t="shared" si="314"/>
        <v>2</v>
      </c>
      <c r="M4145">
        <f t="shared" si="315"/>
        <v>0</v>
      </c>
    </row>
    <row r="4146" spans="1:17" x14ac:dyDescent="0.3">
      <c r="A4146" s="3">
        <v>45718</v>
      </c>
      <c r="B4146" s="11" t="s">
        <v>7323</v>
      </c>
      <c r="C4146" s="65" t="s">
        <v>7759</v>
      </c>
      <c r="F4146" s="11"/>
      <c r="G4146" s="88"/>
      <c r="H4146" s="88">
        <v>4000</v>
      </c>
      <c r="I4146" s="88">
        <f t="shared" si="309"/>
        <v>466.36999999999898</v>
      </c>
      <c r="K4146" s="62"/>
      <c r="L4146" s="2">
        <f t="shared" si="314"/>
        <v>16</v>
      </c>
      <c r="M4146">
        <f t="shared" si="315"/>
        <v>0</v>
      </c>
    </row>
    <row r="4147" spans="1:17" x14ac:dyDescent="0.3">
      <c r="A4147" s="3">
        <v>45722</v>
      </c>
      <c r="B4147" s="11" t="s">
        <v>7760</v>
      </c>
      <c r="C4147" s="65" t="s">
        <v>7761</v>
      </c>
      <c r="F4147" s="11"/>
      <c r="G4147" s="88">
        <v>5000</v>
      </c>
      <c r="H4147" s="88"/>
      <c r="I4147" s="88">
        <f t="shared" ref="I4147:I4164" si="316">I4146+G4147-H4147</f>
        <v>5466.369999999999</v>
      </c>
      <c r="K4147" s="62"/>
      <c r="L4147" s="2">
        <f t="shared" ref="L4147:L4160" si="317">IF((G4147+H4147)&lt;=5000,(H4147+G4147)*0.004,20)+IF(E4147="Y",25,0)</f>
        <v>20</v>
      </c>
      <c r="M4147">
        <f t="shared" ref="M4147:M4160" si="318">IF(E4147="p",5,0)</f>
        <v>0</v>
      </c>
    </row>
    <row r="4148" spans="1:17" x14ac:dyDescent="0.3">
      <c r="A4148" s="3">
        <v>45722</v>
      </c>
      <c r="B4148" s="11" t="s">
        <v>7760</v>
      </c>
      <c r="C4148" s="65" t="s">
        <v>7761</v>
      </c>
      <c r="E4148" s="90" t="s">
        <v>2088</v>
      </c>
      <c r="F4148" s="11"/>
      <c r="G4148" s="88"/>
      <c r="H4148" s="88">
        <v>0</v>
      </c>
      <c r="I4148" s="88">
        <f t="shared" si="316"/>
        <v>5466.369999999999</v>
      </c>
      <c r="K4148" s="62"/>
      <c r="L4148" s="2">
        <f t="shared" si="317"/>
        <v>0</v>
      </c>
      <c r="M4148">
        <f t="shared" si="318"/>
        <v>5</v>
      </c>
      <c r="Q4148" s="62"/>
    </row>
    <row r="4149" spans="1:17" x14ac:dyDescent="0.3">
      <c r="A4149" s="3">
        <v>45722</v>
      </c>
      <c r="B4149" s="11" t="s">
        <v>7762</v>
      </c>
      <c r="C4149" s="65" t="s">
        <v>472</v>
      </c>
      <c r="F4149" s="11"/>
      <c r="G4149" s="88"/>
      <c r="H4149" s="88">
        <v>1000</v>
      </c>
      <c r="I4149" s="88">
        <f t="shared" si="316"/>
        <v>4466.369999999999</v>
      </c>
      <c r="K4149" s="62"/>
      <c r="L4149" s="2">
        <f t="shared" si="317"/>
        <v>4</v>
      </c>
      <c r="M4149">
        <f t="shared" si="318"/>
        <v>0</v>
      </c>
    </row>
    <row r="4150" spans="1:17" x14ac:dyDescent="0.3">
      <c r="A4150" s="3">
        <v>45722</v>
      </c>
      <c r="B4150" s="11" t="s">
        <v>7762</v>
      </c>
      <c r="C4150" s="65" t="s">
        <v>472</v>
      </c>
      <c r="E4150" s="90" t="s">
        <v>2088</v>
      </c>
      <c r="F4150" s="11"/>
      <c r="G4150" s="88"/>
      <c r="H4150" s="88">
        <v>0</v>
      </c>
      <c r="I4150" s="88">
        <f t="shared" si="316"/>
        <v>4466.369999999999</v>
      </c>
      <c r="K4150" s="62"/>
      <c r="L4150" s="2">
        <f t="shared" si="317"/>
        <v>0</v>
      </c>
      <c r="M4150">
        <f t="shared" si="318"/>
        <v>5</v>
      </c>
      <c r="O4150" s="62"/>
      <c r="P4150" s="62"/>
    </row>
    <row r="4151" spans="1:17" x14ac:dyDescent="0.3">
      <c r="A4151" s="3">
        <v>45722</v>
      </c>
      <c r="B4151" s="11" t="s">
        <v>7763</v>
      </c>
      <c r="C4151" s="65" t="s">
        <v>7764</v>
      </c>
      <c r="E4151" s="90" t="s">
        <v>2088</v>
      </c>
      <c r="F4151" s="11"/>
      <c r="G4151" s="88"/>
      <c r="H4151" s="88">
        <v>0</v>
      </c>
      <c r="I4151" s="88">
        <f t="shared" si="316"/>
        <v>4466.369999999999</v>
      </c>
      <c r="K4151" s="62"/>
      <c r="L4151" s="2">
        <f t="shared" si="317"/>
        <v>0</v>
      </c>
      <c r="M4151">
        <f t="shared" si="318"/>
        <v>5</v>
      </c>
      <c r="O4151" s="62"/>
      <c r="P4151" s="62"/>
    </row>
    <row r="4152" spans="1:17" x14ac:dyDescent="0.3">
      <c r="A4152" s="3">
        <v>45722</v>
      </c>
      <c r="B4152" s="11" t="s">
        <v>7763</v>
      </c>
      <c r="C4152" s="65" t="s">
        <v>7764</v>
      </c>
      <c r="F4152" s="11"/>
      <c r="G4152" s="88">
        <v>1500</v>
      </c>
      <c r="H4152" s="88"/>
      <c r="I4152" s="88">
        <f t="shared" si="316"/>
        <v>5966.369999999999</v>
      </c>
      <c r="K4152" s="62"/>
      <c r="L4152" s="2">
        <f t="shared" si="317"/>
        <v>6</v>
      </c>
      <c r="M4152">
        <f t="shared" si="318"/>
        <v>0</v>
      </c>
      <c r="O4152" s="62">
        <f t="shared" ref="O4152:O4160" si="319">11500-I4152</f>
        <v>5533.630000000001</v>
      </c>
      <c r="P4152" s="62"/>
    </row>
    <row r="4153" spans="1:17" x14ac:dyDescent="0.3">
      <c r="A4153" s="3">
        <v>45722</v>
      </c>
      <c r="B4153" s="11" t="s">
        <v>4081</v>
      </c>
      <c r="C4153" s="65" t="s">
        <v>1963</v>
      </c>
      <c r="F4153" s="11"/>
      <c r="G4153" s="88">
        <v>10000</v>
      </c>
      <c r="H4153" s="88"/>
      <c r="I4153" s="88">
        <f t="shared" si="316"/>
        <v>15966.369999999999</v>
      </c>
      <c r="K4153" s="62"/>
      <c r="L4153" s="2">
        <f t="shared" si="317"/>
        <v>20</v>
      </c>
      <c r="M4153">
        <f t="shared" si="318"/>
        <v>0</v>
      </c>
      <c r="O4153" s="62">
        <f t="shared" si="319"/>
        <v>-4466.369999999999</v>
      </c>
      <c r="P4153" s="62"/>
    </row>
    <row r="4154" spans="1:17" x14ac:dyDescent="0.3">
      <c r="A4154" s="3">
        <v>45722</v>
      </c>
      <c r="B4154" s="11" t="s">
        <v>4081</v>
      </c>
      <c r="C4154" s="65" t="s">
        <v>1963</v>
      </c>
      <c r="E4154" s="90" t="s">
        <v>2088</v>
      </c>
      <c r="F4154" s="11"/>
      <c r="G4154" s="88"/>
      <c r="H4154" s="88">
        <v>0</v>
      </c>
      <c r="I4154" s="88">
        <f t="shared" si="316"/>
        <v>15966.369999999999</v>
      </c>
      <c r="K4154" s="62"/>
      <c r="L4154" s="2">
        <f t="shared" si="317"/>
        <v>0</v>
      </c>
      <c r="M4154">
        <f t="shared" si="318"/>
        <v>5</v>
      </c>
      <c r="O4154" s="62">
        <f t="shared" si="319"/>
        <v>-4466.369999999999</v>
      </c>
      <c r="P4154" s="62"/>
    </row>
    <row r="4155" spans="1:17" x14ac:dyDescent="0.3">
      <c r="A4155" s="3">
        <v>45722</v>
      </c>
      <c r="B4155" s="11" t="s">
        <v>1250</v>
      </c>
      <c r="C4155" s="65" t="s">
        <v>2443</v>
      </c>
      <c r="F4155" s="11"/>
      <c r="G4155" s="88">
        <v>1500</v>
      </c>
      <c r="H4155" s="88"/>
      <c r="I4155" s="88">
        <f t="shared" si="316"/>
        <v>17466.37</v>
      </c>
      <c r="K4155" s="62">
        <v>30</v>
      </c>
      <c r="L4155" s="2">
        <f t="shared" si="317"/>
        <v>6</v>
      </c>
      <c r="M4155">
        <f t="shared" si="318"/>
        <v>0</v>
      </c>
      <c r="O4155" s="62">
        <f t="shared" si="319"/>
        <v>-5966.369999999999</v>
      </c>
      <c r="P4155" s="62"/>
    </row>
    <row r="4156" spans="1:17" x14ac:dyDescent="0.3">
      <c r="A4156" s="3">
        <v>45722</v>
      </c>
      <c r="B4156" s="11" t="s">
        <v>2448</v>
      </c>
      <c r="C4156" s="65" t="s">
        <v>2274</v>
      </c>
      <c r="F4156" s="11"/>
      <c r="G4156" s="88"/>
      <c r="H4156" s="88">
        <v>10000</v>
      </c>
      <c r="I4156" s="88">
        <f t="shared" si="316"/>
        <v>7466.369999999999</v>
      </c>
      <c r="K4156" s="62"/>
      <c r="L4156" s="2">
        <f t="shared" si="317"/>
        <v>20</v>
      </c>
      <c r="M4156">
        <f t="shared" si="318"/>
        <v>0</v>
      </c>
      <c r="O4156" s="62">
        <f t="shared" si="319"/>
        <v>4033.630000000001</v>
      </c>
      <c r="P4156" s="62"/>
    </row>
    <row r="4157" spans="1:17" x14ac:dyDescent="0.3">
      <c r="A4157" s="3">
        <v>45722</v>
      </c>
      <c r="B4157" s="11" t="s">
        <v>1250</v>
      </c>
      <c r="C4157" s="65" t="s">
        <v>2626</v>
      </c>
      <c r="F4157" s="11"/>
      <c r="G4157" s="88">
        <v>10000</v>
      </c>
      <c r="H4157" s="88"/>
      <c r="I4157" s="88">
        <f t="shared" si="316"/>
        <v>17466.37</v>
      </c>
      <c r="K4157" s="62"/>
      <c r="L4157" s="2">
        <f t="shared" si="317"/>
        <v>20</v>
      </c>
      <c r="M4157">
        <f t="shared" si="318"/>
        <v>0</v>
      </c>
      <c r="O4157" s="62">
        <f t="shared" si="319"/>
        <v>-5966.369999999999</v>
      </c>
      <c r="P4157" s="62"/>
    </row>
    <row r="4158" spans="1:17" x14ac:dyDescent="0.3">
      <c r="A4158" s="3">
        <v>45722</v>
      </c>
      <c r="B4158" s="11" t="s">
        <v>3524</v>
      </c>
      <c r="C4158" s="65" t="s">
        <v>3088</v>
      </c>
      <c r="F4158" s="11"/>
      <c r="G4158" s="88"/>
      <c r="H4158" s="88">
        <v>5000</v>
      </c>
      <c r="I4158" s="88">
        <f t="shared" si="316"/>
        <v>12466.369999999999</v>
      </c>
      <c r="K4158" s="62"/>
      <c r="L4158" s="2">
        <f t="shared" si="317"/>
        <v>20</v>
      </c>
      <c r="M4158">
        <f t="shared" si="318"/>
        <v>0</v>
      </c>
      <c r="O4158" s="62">
        <f t="shared" si="319"/>
        <v>-966.36999999999898</v>
      </c>
      <c r="P4158" s="62"/>
    </row>
    <row r="4159" spans="1:17" x14ac:dyDescent="0.3">
      <c r="A4159" s="3">
        <v>45723</v>
      </c>
      <c r="B4159" s="11" t="s">
        <v>7766</v>
      </c>
      <c r="C4159" s="65" t="s">
        <v>7767</v>
      </c>
      <c r="F4159" s="11"/>
      <c r="G4159" s="88">
        <v>3000</v>
      </c>
      <c r="H4159" s="88"/>
      <c r="I4159" s="88">
        <f t="shared" si="316"/>
        <v>15466.369999999999</v>
      </c>
      <c r="K4159" s="62"/>
      <c r="L4159" s="2">
        <f t="shared" si="317"/>
        <v>12</v>
      </c>
      <c r="M4159">
        <f t="shared" si="318"/>
        <v>0</v>
      </c>
      <c r="O4159" s="62">
        <f t="shared" si="319"/>
        <v>-3966.369999999999</v>
      </c>
      <c r="P4159" s="62"/>
    </row>
    <row r="4160" spans="1:17" x14ac:dyDescent="0.3">
      <c r="A4160" s="3">
        <v>45723</v>
      </c>
      <c r="B4160" s="11" t="s">
        <v>7768</v>
      </c>
      <c r="C4160" s="65" t="s">
        <v>7330</v>
      </c>
      <c r="F4160" s="11"/>
      <c r="G4160" s="88">
        <v>900</v>
      </c>
      <c r="H4160" s="88"/>
      <c r="I4160" s="88">
        <f t="shared" si="316"/>
        <v>16366.369999999999</v>
      </c>
      <c r="K4160" s="62"/>
      <c r="L4160" s="2">
        <f t="shared" si="317"/>
        <v>3.6</v>
      </c>
      <c r="M4160">
        <f t="shared" si="318"/>
        <v>0</v>
      </c>
      <c r="O4160" s="62">
        <f t="shared" si="319"/>
        <v>-4866.369999999999</v>
      </c>
      <c r="P4160" s="62"/>
    </row>
    <row r="4161" spans="1:16" x14ac:dyDescent="0.3">
      <c r="A4161" s="3">
        <v>45723</v>
      </c>
      <c r="B4161" s="11" t="s">
        <v>3541</v>
      </c>
      <c r="C4161" s="65" t="s">
        <v>3542</v>
      </c>
      <c r="E4161" s="90" t="s">
        <v>2088</v>
      </c>
      <c r="F4161" s="11"/>
      <c r="G4161" s="88"/>
      <c r="H4161" s="88">
        <v>0</v>
      </c>
      <c r="I4161" s="88">
        <f t="shared" si="316"/>
        <v>16366.369999999999</v>
      </c>
      <c r="K4161" s="62"/>
      <c r="L4161" s="2">
        <f t="shared" ref="L4161:L4164" si="320">IF((G4161+H4161)&lt;=5000,(H4161+G4161)*0.004,20)+IF(E4161="Y",25,0)</f>
        <v>0</v>
      </c>
      <c r="M4161">
        <f t="shared" ref="M4161:M4164" si="321">IF(E4161="p",5,0)</f>
        <v>5</v>
      </c>
      <c r="O4161" s="62"/>
      <c r="P4161" s="62"/>
    </row>
    <row r="4162" spans="1:16" x14ac:dyDescent="0.3">
      <c r="A4162" s="3">
        <v>45723</v>
      </c>
      <c r="B4162" s="11" t="s">
        <v>3541</v>
      </c>
      <c r="C4162" s="65" t="s">
        <v>3542</v>
      </c>
      <c r="F4162" s="11"/>
      <c r="G4162" s="88">
        <v>1300</v>
      </c>
      <c r="H4162" s="88"/>
      <c r="I4162" s="88">
        <f t="shared" si="316"/>
        <v>17666.37</v>
      </c>
      <c r="K4162" s="62"/>
      <c r="L4162" s="2">
        <f t="shared" si="320"/>
        <v>5.2</v>
      </c>
      <c r="M4162">
        <f t="shared" si="321"/>
        <v>0</v>
      </c>
      <c r="O4162" s="62"/>
      <c r="P4162" s="62"/>
    </row>
    <row r="4163" spans="1:16" x14ac:dyDescent="0.3">
      <c r="A4163" s="3">
        <v>45723</v>
      </c>
      <c r="B4163" s="11" t="s">
        <v>4678</v>
      </c>
      <c r="C4163" s="65" t="s">
        <v>585</v>
      </c>
      <c r="F4163" s="11"/>
      <c r="G4163" s="88"/>
      <c r="H4163" s="88">
        <v>1900</v>
      </c>
      <c r="I4163" s="88">
        <f t="shared" si="316"/>
        <v>15766.369999999999</v>
      </c>
      <c r="K4163" s="62"/>
      <c r="L4163" s="2">
        <f t="shared" si="320"/>
        <v>7.6000000000000005</v>
      </c>
      <c r="M4163">
        <f t="shared" si="321"/>
        <v>0</v>
      </c>
      <c r="O4163" s="62"/>
      <c r="P4163" s="62"/>
    </row>
    <row r="4164" spans="1:16" x14ac:dyDescent="0.3">
      <c r="A4164" s="3">
        <v>45723</v>
      </c>
      <c r="B4164" s="11" t="s">
        <v>7619</v>
      </c>
      <c r="C4164" s="65" t="s">
        <v>984</v>
      </c>
      <c r="F4164" s="11"/>
      <c r="G4164" s="88">
        <v>6000</v>
      </c>
      <c r="H4164" s="88"/>
      <c r="I4164" s="88">
        <f t="shared" si="316"/>
        <v>21766.37</v>
      </c>
      <c r="K4164" s="62"/>
      <c r="L4164" s="2">
        <f t="shared" si="320"/>
        <v>20</v>
      </c>
      <c r="M4164">
        <f t="shared" si="321"/>
        <v>0</v>
      </c>
      <c r="O4164" s="62"/>
      <c r="P4164" s="62"/>
    </row>
    <row r="4165" spans="1:16" x14ac:dyDescent="0.3">
      <c r="A4165" s="3">
        <v>45723</v>
      </c>
      <c r="B4165" s="11" t="s">
        <v>7619</v>
      </c>
      <c r="C4165" s="65" t="s">
        <v>984</v>
      </c>
      <c r="E4165" s="90" t="s">
        <v>2088</v>
      </c>
      <c r="F4165" s="11"/>
      <c r="G4165" s="88"/>
      <c r="H4165" s="88">
        <v>0</v>
      </c>
      <c r="I4165" s="88">
        <f t="shared" ref="I4165:I4208" si="322">I4164+G4165-H4165</f>
        <v>21766.37</v>
      </c>
      <c r="K4165" s="62"/>
      <c r="L4165" s="2">
        <f t="shared" ref="L4165:L4175" si="323">IF((G4165+H4165)&lt;=5000,(H4165+G4165)*0.004,20)+IF(E4165="Y",25,0)</f>
        <v>0</v>
      </c>
      <c r="M4165">
        <f t="shared" ref="M4165:M4175" si="324">IF(E4165="p",5,0)</f>
        <v>5</v>
      </c>
      <c r="O4165" s="62"/>
      <c r="P4165" s="62"/>
    </row>
    <row r="4166" spans="1:16" x14ac:dyDescent="0.3">
      <c r="A4166" s="3">
        <v>45723</v>
      </c>
      <c r="B4166" s="11" t="s">
        <v>5082</v>
      </c>
      <c r="C4166" s="65" t="s">
        <v>5083</v>
      </c>
      <c r="F4166" s="11"/>
      <c r="G4166" s="88"/>
      <c r="H4166" s="88">
        <v>2000</v>
      </c>
      <c r="I4166" s="88">
        <f t="shared" si="322"/>
        <v>19766.37</v>
      </c>
      <c r="K4166" s="62"/>
      <c r="L4166" s="2">
        <f t="shared" si="323"/>
        <v>8</v>
      </c>
      <c r="M4166">
        <f t="shared" si="324"/>
        <v>0</v>
      </c>
      <c r="O4166" s="62"/>
      <c r="P4166" s="62"/>
    </row>
    <row r="4167" spans="1:16" x14ac:dyDescent="0.3">
      <c r="A4167" s="3">
        <v>45723</v>
      </c>
      <c r="B4167" s="11" t="s">
        <v>1250</v>
      </c>
      <c r="C4167" s="65" t="s">
        <v>7274</v>
      </c>
      <c r="F4167" s="11"/>
      <c r="G4167" s="88">
        <v>6000</v>
      </c>
      <c r="H4167" s="88"/>
      <c r="I4167" s="88">
        <f t="shared" si="322"/>
        <v>25766.37</v>
      </c>
      <c r="K4167" s="62"/>
      <c r="L4167" s="2">
        <f t="shared" si="323"/>
        <v>20</v>
      </c>
      <c r="M4167">
        <f t="shared" si="324"/>
        <v>0</v>
      </c>
      <c r="O4167" s="62"/>
      <c r="P4167" s="62"/>
    </row>
    <row r="4168" spans="1:16" x14ac:dyDescent="0.3">
      <c r="A4168" s="3">
        <v>45723</v>
      </c>
      <c r="C4168" s="65" t="s">
        <v>2857</v>
      </c>
      <c r="E4168" s="90" t="s">
        <v>4721</v>
      </c>
      <c r="F4168" s="11"/>
      <c r="G4168" s="88"/>
      <c r="H4168" s="88">
        <v>25000</v>
      </c>
      <c r="I4168" s="88">
        <f t="shared" si="322"/>
        <v>766.36999999999898</v>
      </c>
      <c r="K4168" s="62"/>
      <c r="L4168" s="2">
        <f t="shared" si="323"/>
        <v>20</v>
      </c>
      <c r="M4168">
        <f t="shared" si="324"/>
        <v>0</v>
      </c>
      <c r="O4168" s="62"/>
      <c r="P4168" s="62"/>
    </row>
    <row r="4169" spans="1:16" x14ac:dyDescent="0.3">
      <c r="A4169" s="3">
        <v>45723</v>
      </c>
      <c r="B4169" s="11" t="s">
        <v>3232</v>
      </c>
      <c r="C4169" s="65" t="s">
        <v>4954</v>
      </c>
      <c r="F4169" s="11"/>
      <c r="G4169" s="88">
        <v>2000</v>
      </c>
      <c r="H4169" s="88"/>
      <c r="I4169" s="88">
        <f t="shared" si="322"/>
        <v>2766.369999999999</v>
      </c>
      <c r="K4169" s="62"/>
      <c r="L4169" s="2">
        <f t="shared" si="323"/>
        <v>8</v>
      </c>
      <c r="M4169">
        <f t="shared" si="324"/>
        <v>0</v>
      </c>
      <c r="O4169" s="62"/>
      <c r="P4169" s="62"/>
    </row>
    <row r="4170" spans="1:16" x14ac:dyDescent="0.3">
      <c r="A4170" s="3">
        <v>45723</v>
      </c>
      <c r="B4170" s="11" t="s">
        <v>3232</v>
      </c>
      <c r="C4170" s="65" t="s">
        <v>7769</v>
      </c>
      <c r="F4170" s="11"/>
      <c r="G4170" s="88">
        <v>1000</v>
      </c>
      <c r="H4170" s="88"/>
      <c r="I4170" s="88">
        <f t="shared" si="322"/>
        <v>3766.369999999999</v>
      </c>
      <c r="K4170" s="62"/>
      <c r="L4170" s="2">
        <f t="shared" si="323"/>
        <v>4</v>
      </c>
      <c r="M4170">
        <f t="shared" si="324"/>
        <v>0</v>
      </c>
      <c r="O4170" s="62"/>
      <c r="P4170" s="62"/>
    </row>
    <row r="4171" spans="1:16" x14ac:dyDescent="0.3">
      <c r="A4171" s="3">
        <v>45723</v>
      </c>
      <c r="B4171" s="11" t="s">
        <v>5716</v>
      </c>
      <c r="C4171" s="65" t="s">
        <v>3519</v>
      </c>
      <c r="F4171" s="11"/>
      <c r="G4171" s="88">
        <v>4000</v>
      </c>
      <c r="H4171" s="88"/>
      <c r="I4171" s="88">
        <f t="shared" si="322"/>
        <v>7766.369999999999</v>
      </c>
      <c r="K4171" s="62"/>
      <c r="L4171" s="2">
        <f t="shared" si="323"/>
        <v>16</v>
      </c>
      <c r="M4171">
        <f t="shared" si="324"/>
        <v>0</v>
      </c>
      <c r="O4171" s="62"/>
      <c r="P4171" s="62"/>
    </row>
    <row r="4172" spans="1:16" x14ac:dyDescent="0.3">
      <c r="A4172" s="3">
        <v>45723</v>
      </c>
      <c r="B4172" s="11" t="s">
        <v>1160</v>
      </c>
      <c r="C4172" s="65" t="s">
        <v>6517</v>
      </c>
      <c r="F4172" s="11"/>
      <c r="G4172" s="88">
        <v>5000</v>
      </c>
      <c r="H4172" s="88"/>
      <c r="I4172" s="88">
        <f t="shared" si="322"/>
        <v>12766.369999999999</v>
      </c>
      <c r="K4172" s="62"/>
      <c r="L4172" s="2">
        <f t="shared" si="323"/>
        <v>20</v>
      </c>
      <c r="M4172">
        <f t="shared" si="324"/>
        <v>0</v>
      </c>
      <c r="O4172" s="62"/>
      <c r="P4172" s="62"/>
    </row>
    <row r="4173" spans="1:16" x14ac:dyDescent="0.3">
      <c r="A4173" s="3">
        <v>45726</v>
      </c>
      <c r="B4173" s="11" t="s">
        <v>1250</v>
      </c>
      <c r="C4173" s="65" t="s">
        <v>5455</v>
      </c>
      <c r="F4173" s="11"/>
      <c r="G4173" s="88">
        <v>6500</v>
      </c>
      <c r="H4173" s="88"/>
      <c r="I4173" s="88">
        <f t="shared" si="322"/>
        <v>19266.37</v>
      </c>
      <c r="J4173" s="62">
        <f t="shared" ref="J4173:J4175" si="325">I4173-9000</f>
        <v>10266.369999999999</v>
      </c>
      <c r="K4173" s="62"/>
      <c r="L4173" s="2">
        <f t="shared" si="323"/>
        <v>20</v>
      </c>
      <c r="M4173">
        <f t="shared" si="324"/>
        <v>0</v>
      </c>
      <c r="O4173" s="62"/>
      <c r="P4173" s="62"/>
    </row>
    <row r="4174" spans="1:16" x14ac:dyDescent="0.3">
      <c r="A4174" s="3">
        <v>45726</v>
      </c>
      <c r="C4174" s="65" t="s">
        <v>2626</v>
      </c>
      <c r="F4174" s="11"/>
      <c r="G4174" s="88">
        <v>2000</v>
      </c>
      <c r="H4174" s="88"/>
      <c r="I4174" s="88">
        <f t="shared" si="322"/>
        <v>21266.37</v>
      </c>
      <c r="J4174" s="62">
        <f t="shared" si="325"/>
        <v>12266.369999999999</v>
      </c>
      <c r="K4174" s="62"/>
      <c r="L4174" s="2">
        <f t="shared" si="323"/>
        <v>8</v>
      </c>
      <c r="M4174">
        <f t="shared" si="324"/>
        <v>0</v>
      </c>
      <c r="O4174" s="62"/>
      <c r="P4174" s="62"/>
    </row>
    <row r="4175" spans="1:16" x14ac:dyDescent="0.3">
      <c r="A4175" s="3">
        <v>45726</v>
      </c>
      <c r="B4175" s="11" t="s">
        <v>2448</v>
      </c>
      <c r="C4175" s="65" t="s">
        <v>2274</v>
      </c>
      <c r="F4175" s="11"/>
      <c r="G4175" s="88"/>
      <c r="H4175" s="88">
        <v>4000</v>
      </c>
      <c r="I4175" s="88">
        <f t="shared" si="322"/>
        <v>17266.37</v>
      </c>
      <c r="J4175" s="62">
        <f t="shared" si="325"/>
        <v>8266.369999999999</v>
      </c>
      <c r="K4175" s="62"/>
      <c r="L4175" s="2">
        <f t="shared" si="323"/>
        <v>16</v>
      </c>
      <c r="M4175">
        <f t="shared" si="324"/>
        <v>0</v>
      </c>
      <c r="O4175" s="62"/>
      <c r="P4175" s="62"/>
    </row>
    <row r="4176" spans="1:16" x14ac:dyDescent="0.3">
      <c r="A4176" s="3">
        <v>45726</v>
      </c>
      <c r="B4176" s="11" t="s">
        <v>6557</v>
      </c>
      <c r="C4176" s="65" t="s">
        <v>7770</v>
      </c>
      <c r="F4176" s="11"/>
      <c r="G4176" s="88">
        <v>6500</v>
      </c>
      <c r="H4176" s="88"/>
      <c r="I4176" s="88">
        <f t="shared" si="322"/>
        <v>23766.37</v>
      </c>
      <c r="J4176" s="62">
        <f>I4176-9000</f>
        <v>14766.369999999999</v>
      </c>
      <c r="K4176" s="62"/>
      <c r="L4176" s="2">
        <f t="shared" ref="L4176:L4185" si="326">IF((G4176+H4176)&lt;=5000,(H4176+G4176)*0.004,20)+IF(E4176="Y",25,0)</f>
        <v>20</v>
      </c>
      <c r="M4176">
        <f t="shared" ref="M4176:M4185" si="327">IF(E4176="p",5,0)</f>
        <v>0</v>
      </c>
      <c r="O4176" s="62"/>
      <c r="P4176" s="62"/>
    </row>
    <row r="4177" spans="1:16" x14ac:dyDescent="0.3">
      <c r="A4177" s="3">
        <v>45726</v>
      </c>
      <c r="B4177" s="11" t="s">
        <v>6557</v>
      </c>
      <c r="C4177" s="65" t="s">
        <v>7770</v>
      </c>
      <c r="E4177" s="90" t="s">
        <v>2088</v>
      </c>
      <c r="F4177" s="11"/>
      <c r="G4177" s="88"/>
      <c r="H4177" s="88">
        <v>0</v>
      </c>
      <c r="I4177" s="88">
        <f t="shared" si="322"/>
        <v>23766.37</v>
      </c>
      <c r="J4177" s="62">
        <f t="shared" ref="J4177:J4240" si="328">I4177-9000</f>
        <v>14766.369999999999</v>
      </c>
      <c r="K4177" s="62"/>
      <c r="M4177">
        <f t="shared" si="327"/>
        <v>5</v>
      </c>
      <c r="O4177" s="62"/>
      <c r="P4177" s="62"/>
    </row>
    <row r="4178" spans="1:16" x14ac:dyDescent="0.3">
      <c r="A4178" s="3">
        <v>45726</v>
      </c>
      <c r="B4178" s="11" t="s">
        <v>2143</v>
      </c>
      <c r="C4178" s="65" t="s">
        <v>1279</v>
      </c>
      <c r="F4178" s="11"/>
      <c r="G4178" s="88"/>
      <c r="H4178" s="88">
        <v>7000</v>
      </c>
      <c r="I4178" s="88">
        <f t="shared" si="322"/>
        <v>16766.37</v>
      </c>
      <c r="J4178" s="62">
        <f t="shared" si="328"/>
        <v>7766.369999999999</v>
      </c>
      <c r="K4178" s="62"/>
      <c r="L4178" s="2">
        <f t="shared" si="326"/>
        <v>20</v>
      </c>
      <c r="M4178">
        <f t="shared" si="327"/>
        <v>0</v>
      </c>
      <c r="O4178" s="62"/>
      <c r="P4178" s="62"/>
    </row>
    <row r="4179" spans="1:16" x14ac:dyDescent="0.3">
      <c r="A4179" s="3">
        <v>45726</v>
      </c>
      <c r="B4179" s="11" t="s">
        <v>7771</v>
      </c>
      <c r="C4179" s="65" t="s">
        <v>7117</v>
      </c>
      <c r="F4179" s="11"/>
      <c r="G4179" s="88"/>
      <c r="H4179" s="88">
        <v>7000</v>
      </c>
      <c r="I4179" s="88">
        <f t="shared" si="322"/>
        <v>9766.369999999999</v>
      </c>
      <c r="J4179" s="62">
        <f t="shared" si="328"/>
        <v>766.36999999999898</v>
      </c>
      <c r="K4179" s="62"/>
      <c r="L4179" s="2">
        <f t="shared" si="326"/>
        <v>20</v>
      </c>
      <c r="M4179">
        <f t="shared" si="327"/>
        <v>0</v>
      </c>
      <c r="O4179" s="62"/>
      <c r="P4179" s="62"/>
    </row>
    <row r="4180" spans="1:16" x14ac:dyDescent="0.3">
      <c r="A4180" s="3">
        <v>45726</v>
      </c>
      <c r="B4180" s="11" t="s">
        <v>1250</v>
      </c>
      <c r="C4180" s="65" t="s">
        <v>6176</v>
      </c>
      <c r="F4180" s="11"/>
      <c r="G4180" s="88">
        <v>3000</v>
      </c>
      <c r="H4180" s="88"/>
      <c r="I4180" s="88">
        <f t="shared" si="322"/>
        <v>12766.369999999999</v>
      </c>
      <c r="J4180" s="62">
        <f t="shared" si="328"/>
        <v>3766.369999999999</v>
      </c>
      <c r="K4180" s="62">
        <v>30</v>
      </c>
      <c r="L4180" s="2">
        <f t="shared" si="326"/>
        <v>12</v>
      </c>
      <c r="M4180">
        <f t="shared" si="327"/>
        <v>0</v>
      </c>
      <c r="O4180" s="62"/>
      <c r="P4180" s="62"/>
    </row>
    <row r="4181" spans="1:16" x14ac:dyDescent="0.3">
      <c r="A4181" s="3">
        <v>45726</v>
      </c>
      <c r="B4181" s="11" t="s">
        <v>5908</v>
      </c>
      <c r="C4181" s="65" t="s">
        <v>401</v>
      </c>
      <c r="F4181" s="11"/>
      <c r="G4181" s="88">
        <v>2000</v>
      </c>
      <c r="H4181" s="88"/>
      <c r="I4181" s="88">
        <f t="shared" si="322"/>
        <v>14766.369999999999</v>
      </c>
      <c r="J4181" s="62">
        <f t="shared" si="328"/>
        <v>5766.369999999999</v>
      </c>
      <c r="K4181" s="62"/>
      <c r="L4181" s="2">
        <f t="shared" si="326"/>
        <v>8</v>
      </c>
      <c r="M4181">
        <f t="shared" si="327"/>
        <v>0</v>
      </c>
      <c r="O4181" s="62"/>
      <c r="P4181" s="62"/>
    </row>
    <row r="4182" spans="1:16" x14ac:dyDescent="0.3">
      <c r="A4182" s="3">
        <v>45726</v>
      </c>
      <c r="B4182" s="11" t="s">
        <v>5908</v>
      </c>
      <c r="C4182" s="65" t="s">
        <v>401</v>
      </c>
      <c r="E4182" s="90" t="s">
        <v>7772</v>
      </c>
      <c r="F4182" s="11"/>
      <c r="G4182" s="88"/>
      <c r="H4182" s="88">
        <v>0</v>
      </c>
      <c r="I4182" s="88">
        <f t="shared" si="322"/>
        <v>14766.369999999999</v>
      </c>
      <c r="J4182" s="62">
        <f t="shared" si="328"/>
        <v>5766.369999999999</v>
      </c>
      <c r="K4182" s="62">
        <v>20</v>
      </c>
      <c r="L4182" s="2">
        <f t="shared" si="326"/>
        <v>0</v>
      </c>
      <c r="M4182">
        <f t="shared" si="327"/>
        <v>5</v>
      </c>
      <c r="O4182" s="62"/>
      <c r="P4182" s="62"/>
    </row>
    <row r="4183" spans="1:16" x14ac:dyDescent="0.3">
      <c r="A4183" s="3">
        <v>45726</v>
      </c>
      <c r="B4183" s="11" t="s">
        <v>1170</v>
      </c>
      <c r="C4183" s="65" t="s">
        <v>7773</v>
      </c>
      <c r="F4183" s="11"/>
      <c r="G4183" s="88">
        <v>3000</v>
      </c>
      <c r="H4183" s="88"/>
      <c r="I4183" s="88">
        <f t="shared" si="322"/>
        <v>17766.37</v>
      </c>
      <c r="J4183" s="62">
        <f t="shared" si="328"/>
        <v>8766.369999999999</v>
      </c>
      <c r="K4183" s="62"/>
      <c r="L4183" s="2">
        <f t="shared" si="326"/>
        <v>12</v>
      </c>
      <c r="M4183">
        <f t="shared" si="327"/>
        <v>0</v>
      </c>
      <c r="O4183" s="62"/>
      <c r="P4183" s="62"/>
    </row>
    <row r="4184" spans="1:16" x14ac:dyDescent="0.3">
      <c r="A4184" s="3">
        <v>45726</v>
      </c>
      <c r="B4184" s="11" t="s">
        <v>7619</v>
      </c>
      <c r="C4184" s="65" t="s">
        <v>984</v>
      </c>
      <c r="F4184" s="11"/>
      <c r="G4184" s="88">
        <v>5900</v>
      </c>
      <c r="H4184" s="88"/>
      <c r="I4184" s="88">
        <f t="shared" si="322"/>
        <v>23666.37</v>
      </c>
      <c r="J4184" s="62">
        <f t="shared" si="328"/>
        <v>14666.369999999999</v>
      </c>
      <c r="K4184" s="62"/>
      <c r="L4184" s="2">
        <f t="shared" si="326"/>
        <v>20</v>
      </c>
      <c r="M4184">
        <f t="shared" si="327"/>
        <v>0</v>
      </c>
      <c r="O4184" s="62"/>
      <c r="P4184" s="62"/>
    </row>
    <row r="4185" spans="1:16" x14ac:dyDescent="0.3">
      <c r="A4185" s="3">
        <v>45726</v>
      </c>
      <c r="B4185" s="11" t="s">
        <v>7619</v>
      </c>
      <c r="C4185" s="65" t="s">
        <v>984</v>
      </c>
      <c r="E4185" s="90" t="s">
        <v>2088</v>
      </c>
      <c r="F4185" s="11"/>
      <c r="G4185" s="88"/>
      <c r="H4185" s="88">
        <v>0</v>
      </c>
      <c r="I4185" s="88">
        <f t="shared" si="322"/>
        <v>23666.37</v>
      </c>
      <c r="J4185" s="62">
        <f t="shared" si="328"/>
        <v>14666.369999999999</v>
      </c>
      <c r="K4185" s="62"/>
      <c r="L4185" s="2">
        <f t="shared" si="326"/>
        <v>0</v>
      </c>
      <c r="M4185">
        <f t="shared" si="327"/>
        <v>5</v>
      </c>
      <c r="O4185" s="62"/>
      <c r="P4185" s="62"/>
    </row>
    <row r="4186" spans="1:16" x14ac:dyDescent="0.3">
      <c r="A4186" s="3">
        <v>45726</v>
      </c>
      <c r="C4186" s="65" t="s">
        <v>2857</v>
      </c>
      <c r="E4186" s="90" t="s">
        <v>4721</v>
      </c>
      <c r="F4186" s="11"/>
      <c r="G4186" s="88"/>
      <c r="H4186" s="88">
        <v>19000</v>
      </c>
      <c r="I4186" s="88">
        <f t="shared" si="322"/>
        <v>4666.369999999999</v>
      </c>
      <c r="J4186" s="62">
        <f t="shared" si="328"/>
        <v>-4333.630000000001</v>
      </c>
      <c r="K4186" s="62"/>
      <c r="L4186" s="2">
        <f t="shared" ref="L4186:L4194" si="329">IF((G4186+H4186)&lt;=5000,(H4186+G4186)*0.004,20)+IF(E4186="Y",25,0)</f>
        <v>20</v>
      </c>
      <c r="M4186">
        <f t="shared" ref="M4186:M4194" si="330">IF(E4186="p",5,0)</f>
        <v>0</v>
      </c>
      <c r="O4186" s="62"/>
      <c r="P4186" s="62"/>
    </row>
    <row r="4187" spans="1:16" x14ac:dyDescent="0.3">
      <c r="A4187" s="3">
        <v>45726</v>
      </c>
      <c r="B4187" s="11" t="s">
        <v>6466</v>
      </c>
      <c r="C4187" s="65" t="s">
        <v>5601</v>
      </c>
      <c r="E4187" s="90" t="s">
        <v>2088</v>
      </c>
      <c r="F4187" s="11"/>
      <c r="G4187" s="88"/>
      <c r="H4187" s="88">
        <v>0</v>
      </c>
      <c r="I4187" s="88">
        <f t="shared" si="322"/>
        <v>4666.369999999999</v>
      </c>
      <c r="J4187" s="62">
        <f t="shared" si="328"/>
        <v>-4333.630000000001</v>
      </c>
      <c r="K4187" s="62"/>
      <c r="L4187" s="2">
        <f t="shared" si="329"/>
        <v>0</v>
      </c>
      <c r="M4187">
        <f t="shared" si="330"/>
        <v>5</v>
      </c>
      <c r="O4187" s="62"/>
      <c r="P4187" s="62"/>
    </row>
    <row r="4188" spans="1:16" x14ac:dyDescent="0.3">
      <c r="A4188" s="3">
        <v>45726</v>
      </c>
      <c r="B4188" s="11" t="s">
        <v>6466</v>
      </c>
      <c r="C4188" s="65" t="s">
        <v>5601</v>
      </c>
      <c r="F4188" s="11"/>
      <c r="G4188" s="88">
        <v>5000</v>
      </c>
      <c r="H4188" s="88"/>
      <c r="I4188" s="88">
        <f t="shared" si="322"/>
        <v>9666.369999999999</v>
      </c>
      <c r="J4188" s="62">
        <f t="shared" si="328"/>
        <v>666.36999999999898</v>
      </c>
      <c r="K4188" s="62"/>
      <c r="L4188" s="2">
        <f t="shared" si="329"/>
        <v>20</v>
      </c>
      <c r="M4188">
        <f t="shared" si="330"/>
        <v>0</v>
      </c>
      <c r="O4188" s="62"/>
      <c r="P4188" s="62"/>
    </row>
    <row r="4189" spans="1:16" x14ac:dyDescent="0.3">
      <c r="A4189" s="3">
        <v>45726</v>
      </c>
      <c r="B4189" s="11" t="s">
        <v>5115</v>
      </c>
      <c r="C4189" s="65" t="s">
        <v>6704</v>
      </c>
      <c r="E4189" s="90" t="s">
        <v>2088</v>
      </c>
      <c r="F4189" s="11"/>
      <c r="G4189" s="88"/>
      <c r="H4189" s="88">
        <v>0</v>
      </c>
      <c r="I4189" s="88">
        <f t="shared" si="322"/>
        <v>9666.369999999999</v>
      </c>
      <c r="J4189" s="62">
        <f t="shared" si="328"/>
        <v>666.36999999999898</v>
      </c>
      <c r="K4189" s="62"/>
      <c r="L4189" s="2">
        <f t="shared" si="329"/>
        <v>0</v>
      </c>
      <c r="M4189">
        <f t="shared" si="330"/>
        <v>5</v>
      </c>
      <c r="O4189" s="62"/>
      <c r="P4189" s="62"/>
    </row>
    <row r="4190" spans="1:16" x14ac:dyDescent="0.3">
      <c r="A4190" s="3">
        <v>45726</v>
      </c>
      <c r="B4190" s="11" t="s">
        <v>5115</v>
      </c>
      <c r="C4190" s="65" t="s">
        <v>6704</v>
      </c>
      <c r="F4190" s="11"/>
      <c r="G4190" s="88"/>
      <c r="H4190" s="88">
        <v>1700</v>
      </c>
      <c r="I4190" s="88">
        <f t="shared" si="322"/>
        <v>7966.369999999999</v>
      </c>
      <c r="J4190" s="62">
        <f t="shared" si="328"/>
        <v>-1033.630000000001</v>
      </c>
      <c r="K4190" s="62"/>
      <c r="L4190" s="2">
        <f t="shared" si="329"/>
        <v>6.8</v>
      </c>
      <c r="M4190">
        <f t="shared" si="330"/>
        <v>0</v>
      </c>
      <c r="O4190" s="62"/>
      <c r="P4190" s="62"/>
    </row>
    <row r="4191" spans="1:16" x14ac:dyDescent="0.3">
      <c r="A4191" s="3">
        <v>45726</v>
      </c>
      <c r="B4191" s="11" t="s">
        <v>5115</v>
      </c>
      <c r="C4191" s="65" t="s">
        <v>6704</v>
      </c>
      <c r="E4191" s="90" t="s">
        <v>2088</v>
      </c>
      <c r="F4191" s="11"/>
      <c r="G4191" s="88"/>
      <c r="H4191" s="88"/>
      <c r="I4191" s="88">
        <f t="shared" si="322"/>
        <v>7966.369999999999</v>
      </c>
      <c r="J4191" s="62">
        <f t="shared" si="328"/>
        <v>-1033.630000000001</v>
      </c>
      <c r="K4191" s="62"/>
      <c r="L4191" s="2">
        <f t="shared" si="329"/>
        <v>0</v>
      </c>
      <c r="M4191">
        <f t="shared" si="330"/>
        <v>5</v>
      </c>
      <c r="O4191" s="62"/>
      <c r="P4191" s="62"/>
    </row>
    <row r="4192" spans="1:16" x14ac:dyDescent="0.3">
      <c r="A4192" s="3">
        <v>45726</v>
      </c>
      <c r="B4192" s="11" t="s">
        <v>1160</v>
      </c>
      <c r="C4192" s="65" t="s">
        <v>4067</v>
      </c>
      <c r="F4192" s="11"/>
      <c r="G4192" s="88">
        <v>750</v>
      </c>
      <c r="H4192" s="88"/>
      <c r="I4192" s="88">
        <f t="shared" si="322"/>
        <v>8716.369999999999</v>
      </c>
      <c r="J4192" s="62">
        <f t="shared" si="328"/>
        <v>-283.63000000000102</v>
      </c>
      <c r="K4192" s="62"/>
      <c r="L4192" s="2">
        <f t="shared" si="329"/>
        <v>3</v>
      </c>
      <c r="M4192">
        <f t="shared" si="330"/>
        <v>0</v>
      </c>
      <c r="O4192" s="62"/>
      <c r="P4192" s="62"/>
    </row>
    <row r="4193" spans="1:16" x14ac:dyDescent="0.3">
      <c r="A4193" s="3">
        <v>45726</v>
      </c>
      <c r="B4193" s="11" t="s">
        <v>5115</v>
      </c>
      <c r="C4193" s="65" t="s">
        <v>6704</v>
      </c>
      <c r="E4193" s="90" t="s">
        <v>7772</v>
      </c>
      <c r="F4193" s="11"/>
      <c r="G4193" s="88"/>
      <c r="H4193" s="88">
        <v>0</v>
      </c>
      <c r="I4193" s="88">
        <f t="shared" si="322"/>
        <v>8716.369999999999</v>
      </c>
      <c r="J4193" s="62">
        <f t="shared" si="328"/>
        <v>-283.63000000000102</v>
      </c>
      <c r="K4193" s="62"/>
      <c r="L4193" s="2">
        <f t="shared" si="329"/>
        <v>0</v>
      </c>
      <c r="M4193">
        <f t="shared" si="330"/>
        <v>5</v>
      </c>
      <c r="O4193" s="62"/>
      <c r="P4193" s="62"/>
    </row>
    <row r="4194" spans="1:16" x14ac:dyDescent="0.3">
      <c r="A4194" s="3">
        <v>45726</v>
      </c>
      <c r="B4194" s="11" t="s">
        <v>5115</v>
      </c>
      <c r="C4194" s="65" t="s">
        <v>6704</v>
      </c>
      <c r="F4194" s="11"/>
      <c r="G4194" s="88"/>
      <c r="H4194" s="88"/>
      <c r="I4194" s="88">
        <f t="shared" si="322"/>
        <v>8716.369999999999</v>
      </c>
      <c r="J4194" s="62">
        <f t="shared" si="328"/>
        <v>-283.63000000000102</v>
      </c>
      <c r="K4194" s="62"/>
      <c r="L4194" s="2">
        <f t="shared" si="329"/>
        <v>0</v>
      </c>
      <c r="M4194">
        <f t="shared" si="330"/>
        <v>0</v>
      </c>
      <c r="O4194" s="62"/>
      <c r="P4194" s="62"/>
    </row>
    <row r="4195" spans="1:16" x14ac:dyDescent="0.3">
      <c r="A4195" s="3">
        <v>45726</v>
      </c>
      <c r="B4195" s="11" t="s">
        <v>5115</v>
      </c>
      <c r="C4195" s="65" t="s">
        <v>6704</v>
      </c>
      <c r="E4195" s="90" t="s">
        <v>7772</v>
      </c>
      <c r="F4195" s="11"/>
      <c r="G4195" s="88"/>
      <c r="H4195" s="88">
        <v>0</v>
      </c>
      <c r="I4195" s="88">
        <f t="shared" si="322"/>
        <v>8716.369999999999</v>
      </c>
      <c r="J4195" s="62">
        <f t="shared" si="328"/>
        <v>-283.63000000000102</v>
      </c>
      <c r="K4195" s="62"/>
      <c r="L4195" s="2">
        <f t="shared" ref="L4195:L4198" si="331">IF((G4195+H4195)&lt;=5000,(H4195+G4195)*0.004,20)+IF(E4195="Y",25,0)</f>
        <v>0</v>
      </c>
      <c r="M4195">
        <f t="shared" ref="M4195:M4198" si="332">IF(E4195="p",5,0)</f>
        <v>5</v>
      </c>
      <c r="O4195" s="62"/>
      <c r="P4195" s="62"/>
    </row>
    <row r="4196" spans="1:16" x14ac:dyDescent="0.3">
      <c r="A4196" s="3">
        <v>45726</v>
      </c>
      <c r="B4196" s="11" t="s">
        <v>6805</v>
      </c>
      <c r="C4196" s="65" t="s">
        <v>638</v>
      </c>
      <c r="E4196" s="90" t="s">
        <v>7772</v>
      </c>
      <c r="F4196" s="11"/>
      <c r="G4196" s="88"/>
      <c r="H4196" s="88">
        <v>0</v>
      </c>
      <c r="I4196" s="88">
        <f t="shared" si="322"/>
        <v>8716.369999999999</v>
      </c>
      <c r="J4196" s="62">
        <f t="shared" si="328"/>
        <v>-283.63000000000102</v>
      </c>
      <c r="K4196" s="62"/>
      <c r="L4196" s="2">
        <f t="shared" si="331"/>
        <v>0</v>
      </c>
      <c r="M4196">
        <f t="shared" si="332"/>
        <v>5</v>
      </c>
      <c r="O4196" s="62"/>
      <c r="P4196" s="62"/>
    </row>
    <row r="4197" spans="1:16" x14ac:dyDescent="0.3">
      <c r="A4197" s="3">
        <v>45726</v>
      </c>
      <c r="B4197" s="11" t="s">
        <v>6805</v>
      </c>
      <c r="C4197" s="65" t="s">
        <v>638</v>
      </c>
      <c r="F4197" s="11"/>
      <c r="G4197" s="88">
        <v>3000</v>
      </c>
      <c r="H4197" s="88"/>
      <c r="I4197" s="88">
        <f t="shared" si="322"/>
        <v>11716.369999999999</v>
      </c>
      <c r="J4197" s="62">
        <f t="shared" si="328"/>
        <v>2716.369999999999</v>
      </c>
      <c r="K4197" s="62"/>
      <c r="L4197" s="2">
        <f t="shared" si="331"/>
        <v>12</v>
      </c>
      <c r="M4197">
        <f t="shared" si="332"/>
        <v>0</v>
      </c>
      <c r="O4197" s="62"/>
      <c r="P4197" s="62"/>
    </row>
    <row r="4198" spans="1:16" x14ac:dyDescent="0.3">
      <c r="A4198" s="3">
        <v>45726</v>
      </c>
      <c r="B4198" s="11" t="s">
        <v>6805</v>
      </c>
      <c r="C4198" s="65" t="s">
        <v>638</v>
      </c>
      <c r="E4198" s="90" t="s">
        <v>2088</v>
      </c>
      <c r="F4198" s="11"/>
      <c r="G4198" s="88"/>
      <c r="H4198" s="88">
        <v>0</v>
      </c>
      <c r="I4198" s="88">
        <f t="shared" si="322"/>
        <v>11716.369999999999</v>
      </c>
      <c r="J4198" s="62">
        <f t="shared" si="328"/>
        <v>2716.369999999999</v>
      </c>
      <c r="K4198" s="62"/>
      <c r="L4198" s="2">
        <f t="shared" si="331"/>
        <v>0</v>
      </c>
      <c r="M4198">
        <f t="shared" si="332"/>
        <v>5</v>
      </c>
      <c r="O4198" s="62"/>
      <c r="P4198" s="62"/>
    </row>
    <row r="4199" spans="1:16" x14ac:dyDescent="0.3">
      <c r="A4199" s="3">
        <v>45726</v>
      </c>
      <c r="B4199" s="11" t="s">
        <v>7724</v>
      </c>
      <c r="C4199" s="65" t="s">
        <v>7725</v>
      </c>
      <c r="E4199" s="90" t="s">
        <v>2088</v>
      </c>
      <c r="F4199" s="11"/>
      <c r="G4199" s="88"/>
      <c r="H4199" s="88">
        <v>0</v>
      </c>
      <c r="I4199" s="88">
        <f t="shared" si="322"/>
        <v>11716.369999999999</v>
      </c>
      <c r="J4199" s="62">
        <f t="shared" si="328"/>
        <v>2716.369999999999</v>
      </c>
      <c r="K4199" s="62"/>
      <c r="L4199" s="2">
        <f t="shared" ref="L4199:L4208" si="333">IF((G4199+H4199)&lt;=5000,(H4199+G4199)*0.004,20)+IF(E4199="Y",25,0)</f>
        <v>0</v>
      </c>
      <c r="M4199">
        <f t="shared" ref="M4199:M4208" si="334">IF(E4199="p",5,0)</f>
        <v>5</v>
      </c>
      <c r="O4199" s="62"/>
      <c r="P4199" s="62"/>
    </row>
    <row r="4200" spans="1:16" x14ac:dyDescent="0.3">
      <c r="A4200" s="3">
        <v>45726</v>
      </c>
      <c r="B4200" s="11" t="s">
        <v>7186</v>
      </c>
      <c r="C4200" s="65" t="s">
        <v>7187</v>
      </c>
      <c r="E4200" s="90" t="s">
        <v>2088</v>
      </c>
      <c r="F4200" s="11"/>
      <c r="G4200" s="88"/>
      <c r="H4200" s="88">
        <v>0</v>
      </c>
      <c r="I4200" s="88">
        <f t="shared" si="322"/>
        <v>11716.369999999999</v>
      </c>
      <c r="J4200" s="62">
        <f t="shared" si="328"/>
        <v>2716.369999999999</v>
      </c>
      <c r="K4200" s="62"/>
      <c r="L4200" s="2">
        <f t="shared" si="333"/>
        <v>0</v>
      </c>
      <c r="M4200">
        <f t="shared" si="334"/>
        <v>5</v>
      </c>
      <c r="O4200" s="62"/>
      <c r="P4200" s="62"/>
    </row>
    <row r="4201" spans="1:16" x14ac:dyDescent="0.3">
      <c r="A4201" s="3">
        <v>45726</v>
      </c>
      <c r="B4201" s="11" t="s">
        <v>7186</v>
      </c>
      <c r="C4201" s="65" t="s">
        <v>7187</v>
      </c>
      <c r="F4201" s="11"/>
      <c r="G4201" s="88">
        <v>5000</v>
      </c>
      <c r="H4201" s="88"/>
      <c r="I4201" s="88">
        <f t="shared" si="322"/>
        <v>16716.37</v>
      </c>
      <c r="J4201" s="62">
        <f t="shared" si="328"/>
        <v>7716.369999999999</v>
      </c>
      <c r="K4201" s="62"/>
      <c r="L4201" s="2">
        <f t="shared" si="333"/>
        <v>20</v>
      </c>
      <c r="M4201">
        <f t="shared" si="334"/>
        <v>0</v>
      </c>
      <c r="O4201" s="62"/>
      <c r="P4201" s="62"/>
    </row>
    <row r="4202" spans="1:16" x14ac:dyDescent="0.3">
      <c r="A4202" s="3">
        <v>45726</v>
      </c>
      <c r="B4202" s="11" t="s">
        <v>7186</v>
      </c>
      <c r="C4202" s="65" t="s">
        <v>7187</v>
      </c>
      <c r="E4202" s="90" t="s">
        <v>2088</v>
      </c>
      <c r="F4202" s="11"/>
      <c r="G4202" s="88"/>
      <c r="H4202" s="88">
        <v>0</v>
      </c>
      <c r="I4202" s="88">
        <f t="shared" si="322"/>
        <v>16716.37</v>
      </c>
      <c r="J4202" s="62">
        <f t="shared" si="328"/>
        <v>7716.369999999999</v>
      </c>
      <c r="K4202" s="62"/>
      <c r="L4202" s="2">
        <f t="shared" si="333"/>
        <v>0</v>
      </c>
      <c r="M4202">
        <f t="shared" si="334"/>
        <v>5</v>
      </c>
      <c r="O4202" s="62"/>
      <c r="P4202" s="62"/>
    </row>
    <row r="4203" spans="1:16" x14ac:dyDescent="0.3">
      <c r="A4203" s="3">
        <v>45726</v>
      </c>
      <c r="B4203" s="11" t="s">
        <v>2743</v>
      </c>
      <c r="C4203" s="65" t="s">
        <v>7775</v>
      </c>
      <c r="F4203" s="11"/>
      <c r="G4203" s="88">
        <v>4000</v>
      </c>
      <c r="H4203" s="88"/>
      <c r="I4203" s="88">
        <f t="shared" si="322"/>
        <v>20716.37</v>
      </c>
      <c r="J4203" s="62">
        <f t="shared" si="328"/>
        <v>11716.369999999999</v>
      </c>
      <c r="K4203" s="62"/>
      <c r="L4203" s="2">
        <f t="shared" si="333"/>
        <v>16</v>
      </c>
      <c r="M4203">
        <f t="shared" si="334"/>
        <v>0</v>
      </c>
      <c r="O4203" s="62"/>
      <c r="P4203" s="62"/>
    </row>
    <row r="4204" spans="1:16" x14ac:dyDescent="0.3">
      <c r="A4204" s="3">
        <v>45726</v>
      </c>
      <c r="B4204" s="11" t="s">
        <v>3474</v>
      </c>
      <c r="C4204" s="65" t="s">
        <v>7776</v>
      </c>
      <c r="F4204" s="11"/>
      <c r="G4204" s="88">
        <v>1000</v>
      </c>
      <c r="H4204" s="88"/>
      <c r="I4204" s="88">
        <f t="shared" si="322"/>
        <v>21716.37</v>
      </c>
      <c r="J4204" s="62">
        <f t="shared" si="328"/>
        <v>12716.369999999999</v>
      </c>
      <c r="K4204" s="62"/>
      <c r="L4204" s="2">
        <f t="shared" si="333"/>
        <v>4</v>
      </c>
      <c r="M4204">
        <f t="shared" si="334"/>
        <v>0</v>
      </c>
      <c r="O4204" s="62"/>
      <c r="P4204" s="62"/>
    </row>
    <row r="4205" spans="1:16" x14ac:dyDescent="0.3">
      <c r="A4205" s="3">
        <v>45726</v>
      </c>
      <c r="B4205" s="11" t="s">
        <v>7778</v>
      </c>
      <c r="C4205" s="65" t="s">
        <v>7780</v>
      </c>
      <c r="E4205" s="90" t="s">
        <v>16</v>
      </c>
      <c r="F4205" s="11"/>
      <c r="G4205" s="88"/>
      <c r="H4205" s="88">
        <v>500</v>
      </c>
      <c r="I4205" s="88">
        <f t="shared" si="322"/>
        <v>21216.37</v>
      </c>
      <c r="J4205" s="62">
        <f t="shared" si="328"/>
        <v>12216.369999999999</v>
      </c>
      <c r="K4205" s="62"/>
      <c r="L4205" s="2">
        <f t="shared" si="333"/>
        <v>27</v>
      </c>
      <c r="M4205">
        <f t="shared" si="334"/>
        <v>0</v>
      </c>
      <c r="O4205" s="62"/>
      <c r="P4205" s="62"/>
    </row>
    <row r="4206" spans="1:16" x14ac:dyDescent="0.3">
      <c r="A4206" s="3">
        <v>45726</v>
      </c>
      <c r="B4206" s="11" t="s">
        <v>4350</v>
      </c>
      <c r="C4206" s="65" t="s">
        <v>7781</v>
      </c>
      <c r="E4206" s="90" t="s">
        <v>2088</v>
      </c>
      <c r="F4206" s="11"/>
      <c r="G4206" s="88"/>
      <c r="H4206" s="88">
        <v>0</v>
      </c>
      <c r="I4206" s="88">
        <f t="shared" si="322"/>
        <v>21216.37</v>
      </c>
      <c r="J4206" s="62">
        <f t="shared" si="328"/>
        <v>12216.369999999999</v>
      </c>
      <c r="K4206" s="62"/>
      <c r="L4206" s="2">
        <f t="shared" si="333"/>
        <v>0</v>
      </c>
      <c r="M4206">
        <f t="shared" si="334"/>
        <v>5</v>
      </c>
      <c r="O4206" s="62"/>
      <c r="P4206" s="62"/>
    </row>
    <row r="4207" spans="1:16" x14ac:dyDescent="0.3">
      <c r="A4207" s="3">
        <v>45726</v>
      </c>
      <c r="B4207" s="11" t="s">
        <v>4350</v>
      </c>
      <c r="C4207" s="65" t="s">
        <v>7781</v>
      </c>
      <c r="F4207" s="11"/>
      <c r="G4207" s="88"/>
      <c r="H4207" s="88">
        <v>50</v>
      </c>
      <c r="I4207" s="88">
        <f t="shared" si="322"/>
        <v>21166.37</v>
      </c>
      <c r="J4207" s="62">
        <f t="shared" si="328"/>
        <v>12166.369999999999</v>
      </c>
      <c r="K4207" s="62"/>
      <c r="L4207" s="2">
        <f t="shared" si="333"/>
        <v>0.2</v>
      </c>
      <c r="M4207">
        <f t="shared" si="334"/>
        <v>0</v>
      </c>
      <c r="O4207" s="62"/>
      <c r="P4207" s="62"/>
    </row>
    <row r="4208" spans="1:16" x14ac:dyDescent="0.3">
      <c r="A4208" s="3">
        <v>45726</v>
      </c>
      <c r="B4208" s="11" t="s">
        <v>4350</v>
      </c>
      <c r="C4208" s="65" t="s">
        <v>7781</v>
      </c>
      <c r="E4208" s="90" t="s">
        <v>2088</v>
      </c>
      <c r="F4208" s="11"/>
      <c r="G4208" s="88"/>
      <c r="H4208" s="88">
        <v>0</v>
      </c>
      <c r="I4208" s="88">
        <f t="shared" si="322"/>
        <v>21166.37</v>
      </c>
      <c r="J4208" s="62">
        <f t="shared" si="328"/>
        <v>12166.369999999999</v>
      </c>
      <c r="K4208" s="62"/>
      <c r="L4208" s="2">
        <f t="shared" si="333"/>
        <v>0</v>
      </c>
      <c r="M4208">
        <f t="shared" si="334"/>
        <v>5</v>
      </c>
      <c r="O4208" s="62"/>
      <c r="P4208" s="62"/>
    </row>
    <row r="4209" spans="1:16" x14ac:dyDescent="0.3">
      <c r="A4209" s="3">
        <v>45726</v>
      </c>
      <c r="B4209" s="11" t="s">
        <v>5579</v>
      </c>
      <c r="C4209" s="65" t="s">
        <v>5580</v>
      </c>
      <c r="E4209" s="90" t="s">
        <v>2088</v>
      </c>
      <c r="F4209" s="11"/>
      <c r="G4209" s="88"/>
      <c r="H4209" s="88">
        <v>0</v>
      </c>
      <c r="I4209" s="88">
        <f t="shared" ref="I4209:I4214" si="335">I4208+G4209-H4209</f>
        <v>21166.37</v>
      </c>
      <c r="J4209" s="62">
        <f t="shared" si="328"/>
        <v>12166.369999999999</v>
      </c>
      <c r="K4209" s="62"/>
      <c r="L4209" s="2">
        <f t="shared" ref="L4209:L4214" si="336">IF((G4209+H4209)&lt;=5000,(H4209+G4209)*0.004,20)+IF(E4209="Y",25,0)</f>
        <v>0</v>
      </c>
      <c r="M4209">
        <f t="shared" ref="M4209:M4214" si="337">IF(E4209="p",5,0)</f>
        <v>5</v>
      </c>
      <c r="O4209" s="62"/>
      <c r="P4209" s="62"/>
    </row>
    <row r="4210" spans="1:16" x14ac:dyDescent="0.3">
      <c r="A4210" s="3">
        <v>45726</v>
      </c>
      <c r="B4210" s="11" t="s">
        <v>7237</v>
      </c>
      <c r="C4210" s="65" t="s">
        <v>7040</v>
      </c>
      <c r="E4210" s="90" t="s">
        <v>2088</v>
      </c>
      <c r="F4210" s="11"/>
      <c r="G4210" s="88"/>
      <c r="H4210" s="88">
        <v>0</v>
      </c>
      <c r="I4210" s="88">
        <f t="shared" si="335"/>
        <v>21166.37</v>
      </c>
      <c r="J4210" s="62">
        <f t="shared" si="328"/>
        <v>12166.369999999999</v>
      </c>
      <c r="K4210" s="62"/>
      <c r="L4210" s="2">
        <f t="shared" si="336"/>
        <v>0</v>
      </c>
      <c r="M4210">
        <f t="shared" si="337"/>
        <v>5</v>
      </c>
      <c r="O4210" s="62"/>
      <c r="P4210" s="62"/>
    </row>
    <row r="4211" spans="1:16" x14ac:dyDescent="0.3">
      <c r="A4211" s="3">
        <v>45726</v>
      </c>
      <c r="B4211" s="11" t="s">
        <v>7237</v>
      </c>
      <c r="C4211" s="65" t="s">
        <v>7040</v>
      </c>
      <c r="F4211" s="11"/>
      <c r="G4211" s="88">
        <v>2000</v>
      </c>
      <c r="H4211" s="88"/>
      <c r="I4211" s="88">
        <f t="shared" si="335"/>
        <v>23166.37</v>
      </c>
      <c r="J4211" s="62">
        <f t="shared" si="328"/>
        <v>14166.369999999999</v>
      </c>
      <c r="K4211" s="62"/>
      <c r="L4211" s="2">
        <f t="shared" si="336"/>
        <v>8</v>
      </c>
      <c r="M4211">
        <f t="shared" si="337"/>
        <v>0</v>
      </c>
      <c r="O4211" s="62"/>
      <c r="P4211" s="62"/>
    </row>
    <row r="4212" spans="1:16" x14ac:dyDescent="0.3">
      <c r="A4212" s="3">
        <v>45726</v>
      </c>
      <c r="B4212" s="11" t="s">
        <v>7237</v>
      </c>
      <c r="C4212" s="65" t="s">
        <v>7040</v>
      </c>
      <c r="E4212" s="90" t="s">
        <v>2088</v>
      </c>
      <c r="F4212" s="11"/>
      <c r="G4212" s="88"/>
      <c r="H4212" s="88">
        <v>0</v>
      </c>
      <c r="I4212" s="88">
        <f t="shared" si="335"/>
        <v>23166.37</v>
      </c>
      <c r="J4212" s="62">
        <f t="shared" si="328"/>
        <v>14166.369999999999</v>
      </c>
      <c r="K4212" s="62"/>
      <c r="L4212" s="2">
        <f t="shared" si="336"/>
        <v>0</v>
      </c>
      <c r="M4212">
        <f t="shared" si="337"/>
        <v>5</v>
      </c>
      <c r="O4212" s="62"/>
      <c r="P4212" s="62"/>
    </row>
    <row r="4213" spans="1:16" x14ac:dyDescent="0.3">
      <c r="A4213" s="3">
        <v>45726</v>
      </c>
      <c r="B4213" s="11" t="s">
        <v>7514</v>
      </c>
      <c r="C4213" s="65" t="s">
        <v>6985</v>
      </c>
      <c r="F4213" s="11"/>
      <c r="G4213" s="88">
        <v>6000</v>
      </c>
      <c r="H4213" s="88"/>
      <c r="I4213" s="88">
        <f t="shared" si="335"/>
        <v>29166.37</v>
      </c>
      <c r="J4213" s="62">
        <f t="shared" si="328"/>
        <v>20166.37</v>
      </c>
      <c r="K4213" s="62"/>
      <c r="L4213" s="2">
        <f t="shared" si="336"/>
        <v>20</v>
      </c>
      <c r="M4213">
        <f t="shared" si="337"/>
        <v>0</v>
      </c>
      <c r="O4213" s="62"/>
      <c r="P4213" s="62"/>
    </row>
    <row r="4214" spans="1:16" x14ac:dyDescent="0.3">
      <c r="A4214" s="3">
        <v>45726</v>
      </c>
      <c r="B4214" s="11" t="s">
        <v>3871</v>
      </c>
      <c r="C4214" s="65" t="s">
        <v>2870</v>
      </c>
      <c r="F4214" s="11"/>
      <c r="G4214" s="88"/>
      <c r="H4214" s="88">
        <v>3000</v>
      </c>
      <c r="I4214" s="88">
        <f t="shared" si="335"/>
        <v>26166.37</v>
      </c>
      <c r="J4214" s="62">
        <f t="shared" si="328"/>
        <v>17166.37</v>
      </c>
      <c r="K4214" s="62"/>
      <c r="L4214" s="2">
        <f t="shared" si="336"/>
        <v>12</v>
      </c>
      <c r="M4214">
        <f t="shared" si="337"/>
        <v>0</v>
      </c>
      <c r="O4214" s="62"/>
      <c r="P4214" s="62"/>
    </row>
    <row r="4215" spans="1:16" x14ac:dyDescent="0.3">
      <c r="A4215" s="3">
        <v>45362</v>
      </c>
      <c r="B4215" s="11" t="s">
        <v>5123</v>
      </c>
      <c r="C4215" s="65" t="s">
        <v>7782</v>
      </c>
      <c r="E4215" s="90" t="s">
        <v>2088</v>
      </c>
      <c r="F4215" s="11"/>
      <c r="G4215" s="88"/>
      <c r="H4215" s="88">
        <v>0</v>
      </c>
      <c r="I4215" s="88">
        <f t="shared" ref="I4215:I4236" si="338">I4214+G4215-H4215</f>
        <v>26166.37</v>
      </c>
      <c r="J4215" s="62">
        <f t="shared" si="328"/>
        <v>17166.37</v>
      </c>
      <c r="K4215" s="62"/>
      <c r="L4215" s="2">
        <f t="shared" ref="L4215:L4236" si="339">IF((G4215+H4215)&lt;=5000,(H4215+G4215)*0.004,20)+IF(E4215="Y",25,0)</f>
        <v>0</v>
      </c>
      <c r="M4215">
        <f t="shared" ref="M4215:M4236" si="340">IF(E4215="p",5,0)</f>
        <v>5</v>
      </c>
      <c r="O4215" s="62"/>
      <c r="P4215" s="62"/>
    </row>
    <row r="4216" spans="1:16" x14ac:dyDescent="0.3">
      <c r="A4216" s="3">
        <f>A4215</f>
        <v>45362</v>
      </c>
      <c r="B4216" s="11" t="s">
        <v>5123</v>
      </c>
      <c r="C4216" s="65" t="s">
        <v>7782</v>
      </c>
      <c r="F4216" s="11"/>
      <c r="G4216" s="88">
        <v>7000</v>
      </c>
      <c r="H4216" s="88"/>
      <c r="I4216" s="88">
        <f t="shared" si="338"/>
        <v>33166.369999999995</v>
      </c>
      <c r="J4216" s="62">
        <f t="shared" si="328"/>
        <v>24166.369999999995</v>
      </c>
      <c r="K4216" s="62"/>
      <c r="L4216" s="2">
        <f t="shared" si="339"/>
        <v>20</v>
      </c>
      <c r="M4216">
        <f t="shared" si="340"/>
        <v>0</v>
      </c>
      <c r="O4216" s="62"/>
      <c r="P4216" s="62"/>
    </row>
    <row r="4217" spans="1:16" x14ac:dyDescent="0.3">
      <c r="A4217" s="3">
        <f t="shared" ref="A4217:A4410" si="341">A4216</f>
        <v>45362</v>
      </c>
      <c r="B4217" s="11" t="s">
        <v>1250</v>
      </c>
      <c r="C4217" s="65" t="s">
        <v>2857</v>
      </c>
      <c r="E4217" s="90" t="s">
        <v>4721</v>
      </c>
      <c r="F4217" s="11"/>
      <c r="G4217" s="88"/>
      <c r="H4217" s="88">
        <v>33000</v>
      </c>
      <c r="I4217" s="88">
        <f t="shared" si="338"/>
        <v>166.36999999999534</v>
      </c>
      <c r="J4217" s="62">
        <f t="shared" si="328"/>
        <v>-8833.6300000000047</v>
      </c>
      <c r="K4217" s="62"/>
      <c r="L4217" s="2">
        <f t="shared" si="339"/>
        <v>20</v>
      </c>
      <c r="M4217">
        <f t="shared" si="340"/>
        <v>0</v>
      </c>
      <c r="O4217" s="62"/>
      <c r="P4217" s="62"/>
    </row>
    <row r="4218" spans="1:16" x14ac:dyDescent="0.3">
      <c r="A4218" s="3">
        <f t="shared" si="341"/>
        <v>45362</v>
      </c>
      <c r="C4218" s="65" t="s">
        <v>2887</v>
      </c>
      <c r="F4218" s="11"/>
      <c r="G4218" s="88">
        <v>15000</v>
      </c>
      <c r="H4218" s="88"/>
      <c r="I4218" s="88">
        <f t="shared" si="338"/>
        <v>15166.369999999995</v>
      </c>
      <c r="J4218" s="62">
        <f t="shared" si="328"/>
        <v>6166.3699999999953</v>
      </c>
      <c r="K4218" s="62"/>
      <c r="L4218" s="2">
        <v>0</v>
      </c>
      <c r="M4218">
        <f t="shared" si="340"/>
        <v>0</v>
      </c>
      <c r="O4218" s="62"/>
      <c r="P4218" s="62"/>
    </row>
    <row r="4219" spans="1:16" x14ac:dyDescent="0.3">
      <c r="A4219" s="3">
        <f t="shared" si="341"/>
        <v>45362</v>
      </c>
      <c r="B4219" s="11" t="s">
        <v>6522</v>
      </c>
      <c r="C4219" s="65" t="s">
        <v>2504</v>
      </c>
      <c r="F4219" s="11"/>
      <c r="G4219" s="88">
        <v>3000</v>
      </c>
      <c r="H4219" s="88"/>
      <c r="I4219" s="88">
        <f t="shared" si="338"/>
        <v>18166.369999999995</v>
      </c>
      <c r="J4219" s="62">
        <f t="shared" si="328"/>
        <v>9166.3699999999953</v>
      </c>
      <c r="K4219" s="62"/>
      <c r="L4219" s="2">
        <f t="shared" si="339"/>
        <v>12</v>
      </c>
      <c r="M4219">
        <f t="shared" si="340"/>
        <v>0</v>
      </c>
      <c r="O4219" s="62"/>
      <c r="P4219" s="62"/>
    </row>
    <row r="4220" spans="1:16" x14ac:dyDescent="0.3">
      <c r="A4220" s="3">
        <f t="shared" si="341"/>
        <v>45362</v>
      </c>
      <c r="B4220" s="11" t="s">
        <v>3788</v>
      </c>
      <c r="C4220" s="65" t="s">
        <v>4335</v>
      </c>
      <c r="F4220" s="11"/>
      <c r="G4220" s="88"/>
      <c r="H4220" s="88">
        <v>12000</v>
      </c>
      <c r="I4220" s="88">
        <f t="shared" si="338"/>
        <v>6166.3699999999953</v>
      </c>
      <c r="J4220" s="62">
        <f t="shared" si="328"/>
        <v>-2833.6300000000047</v>
      </c>
      <c r="K4220" s="62"/>
      <c r="L4220" s="2">
        <f t="shared" si="339"/>
        <v>20</v>
      </c>
      <c r="M4220">
        <f t="shared" si="340"/>
        <v>0</v>
      </c>
      <c r="O4220" s="62"/>
      <c r="P4220" s="62"/>
    </row>
    <row r="4221" spans="1:16" x14ac:dyDescent="0.3">
      <c r="A4221" s="3">
        <f t="shared" si="341"/>
        <v>45362</v>
      </c>
      <c r="B4221" s="11" t="s">
        <v>7783</v>
      </c>
      <c r="C4221" s="65" t="s">
        <v>1279</v>
      </c>
      <c r="F4221" s="11"/>
      <c r="G4221" s="88"/>
      <c r="H4221" s="88">
        <v>5000</v>
      </c>
      <c r="I4221" s="88">
        <f t="shared" si="338"/>
        <v>1166.3699999999953</v>
      </c>
      <c r="J4221" s="62">
        <f t="shared" si="328"/>
        <v>-7833.6300000000047</v>
      </c>
      <c r="K4221" s="62"/>
      <c r="L4221" s="2">
        <f t="shared" si="339"/>
        <v>20</v>
      </c>
      <c r="M4221">
        <f t="shared" si="340"/>
        <v>0</v>
      </c>
      <c r="O4221" s="62"/>
      <c r="P4221" s="62"/>
    </row>
    <row r="4222" spans="1:16" x14ac:dyDescent="0.3">
      <c r="A4222" s="130">
        <f t="shared" si="341"/>
        <v>45362</v>
      </c>
      <c r="B4222" s="37" t="s">
        <v>1472</v>
      </c>
      <c r="C4222" s="70" t="s">
        <v>7636</v>
      </c>
      <c r="D4222" s="114">
        <v>9155838144</v>
      </c>
      <c r="F4222" s="11"/>
      <c r="G4222" s="88">
        <v>10000</v>
      </c>
      <c r="H4222" s="88"/>
      <c r="I4222" s="88">
        <f t="shared" si="338"/>
        <v>11166.369999999995</v>
      </c>
      <c r="J4222" s="62">
        <f t="shared" si="328"/>
        <v>2166.3699999999953</v>
      </c>
      <c r="K4222" s="62"/>
      <c r="L4222" s="2">
        <f t="shared" si="339"/>
        <v>20</v>
      </c>
      <c r="M4222">
        <f t="shared" si="340"/>
        <v>0</v>
      </c>
      <c r="O4222" s="62"/>
      <c r="P4222" s="62"/>
    </row>
    <row r="4223" spans="1:16" x14ac:dyDescent="0.3">
      <c r="A4223" s="3">
        <f t="shared" si="341"/>
        <v>45362</v>
      </c>
      <c r="B4223" s="11" t="s">
        <v>7142</v>
      </c>
      <c r="C4223" s="65" t="s">
        <v>7143</v>
      </c>
      <c r="E4223" s="90" t="s">
        <v>2088</v>
      </c>
      <c r="F4223" s="11"/>
      <c r="G4223" s="88"/>
      <c r="H4223" s="88">
        <v>0</v>
      </c>
      <c r="I4223" s="88">
        <f t="shared" si="338"/>
        <v>11166.369999999995</v>
      </c>
      <c r="J4223" s="62">
        <f t="shared" si="328"/>
        <v>2166.3699999999953</v>
      </c>
      <c r="K4223" s="62"/>
      <c r="L4223" s="2">
        <f t="shared" si="339"/>
        <v>0</v>
      </c>
      <c r="M4223">
        <f t="shared" si="340"/>
        <v>5</v>
      </c>
      <c r="O4223" s="62"/>
      <c r="P4223" s="62"/>
    </row>
    <row r="4224" spans="1:16" x14ac:dyDescent="0.3">
      <c r="A4224" s="3">
        <f t="shared" si="341"/>
        <v>45362</v>
      </c>
      <c r="B4224" s="11" t="s">
        <v>7142</v>
      </c>
      <c r="C4224" s="65" t="s">
        <v>7143</v>
      </c>
      <c r="F4224" s="11"/>
      <c r="G4224" s="88">
        <v>200</v>
      </c>
      <c r="H4224" s="88"/>
      <c r="I4224" s="88">
        <f t="shared" si="338"/>
        <v>11366.369999999995</v>
      </c>
      <c r="J4224" s="62">
        <f t="shared" si="328"/>
        <v>2366.3699999999953</v>
      </c>
      <c r="K4224" s="62"/>
      <c r="L4224" s="2">
        <f t="shared" si="339"/>
        <v>0.8</v>
      </c>
      <c r="M4224">
        <f t="shared" si="340"/>
        <v>0</v>
      </c>
      <c r="O4224" s="62"/>
      <c r="P4224" s="62"/>
    </row>
    <row r="4225" spans="1:16" x14ac:dyDescent="0.3">
      <c r="A4225" s="3">
        <f t="shared" si="341"/>
        <v>45362</v>
      </c>
      <c r="B4225" s="11" t="s">
        <v>4354</v>
      </c>
      <c r="C4225" s="65" t="s">
        <v>4355</v>
      </c>
      <c r="F4225" s="11"/>
      <c r="G4225" s="88"/>
      <c r="H4225" s="88">
        <v>50</v>
      </c>
      <c r="I4225" s="88">
        <f t="shared" si="338"/>
        <v>11316.369999999995</v>
      </c>
      <c r="J4225" s="62">
        <f t="shared" si="328"/>
        <v>2316.3699999999953</v>
      </c>
      <c r="K4225" s="62"/>
      <c r="L4225" s="2">
        <f t="shared" si="339"/>
        <v>0.2</v>
      </c>
      <c r="M4225">
        <f t="shared" si="340"/>
        <v>0</v>
      </c>
      <c r="O4225" s="62"/>
      <c r="P4225" s="62"/>
    </row>
    <row r="4226" spans="1:16" x14ac:dyDescent="0.3">
      <c r="A4226" s="3">
        <f t="shared" si="341"/>
        <v>45362</v>
      </c>
      <c r="B4226" s="11" t="s">
        <v>7784</v>
      </c>
      <c r="C4226" s="65" t="s">
        <v>7785</v>
      </c>
      <c r="F4226" s="11"/>
      <c r="G4226" s="88">
        <v>500</v>
      </c>
      <c r="H4226" s="88"/>
      <c r="I4226" s="88">
        <f t="shared" si="338"/>
        <v>11816.369999999995</v>
      </c>
      <c r="J4226" s="62">
        <f t="shared" si="328"/>
        <v>2816.3699999999953</v>
      </c>
      <c r="K4226" s="62"/>
      <c r="L4226" s="2">
        <f t="shared" si="339"/>
        <v>2</v>
      </c>
      <c r="M4226">
        <f t="shared" si="340"/>
        <v>0</v>
      </c>
      <c r="O4226" s="62"/>
      <c r="P4226" s="62"/>
    </row>
    <row r="4227" spans="1:16" x14ac:dyDescent="0.3">
      <c r="A4227" s="3">
        <f t="shared" si="341"/>
        <v>45362</v>
      </c>
      <c r="B4227" s="11" t="s">
        <v>7778</v>
      </c>
      <c r="C4227" s="65" t="s">
        <v>7780</v>
      </c>
      <c r="E4227" s="90" t="s">
        <v>2088</v>
      </c>
      <c r="F4227" s="11"/>
      <c r="G4227" s="88"/>
      <c r="H4227" s="88">
        <v>0</v>
      </c>
      <c r="I4227" s="88">
        <f t="shared" si="338"/>
        <v>11816.369999999995</v>
      </c>
      <c r="J4227" s="62">
        <f t="shared" si="328"/>
        <v>2816.3699999999953</v>
      </c>
      <c r="K4227" s="62"/>
      <c r="L4227" s="2">
        <f t="shared" si="339"/>
        <v>0</v>
      </c>
      <c r="M4227">
        <f t="shared" si="340"/>
        <v>5</v>
      </c>
      <c r="O4227" s="62"/>
      <c r="P4227" s="62"/>
    </row>
    <row r="4228" spans="1:16" x14ac:dyDescent="0.3">
      <c r="A4228" s="3">
        <f t="shared" si="341"/>
        <v>45362</v>
      </c>
      <c r="B4228" s="11" t="s">
        <v>6434</v>
      </c>
      <c r="C4228" s="65" t="s">
        <v>7117</v>
      </c>
      <c r="F4228" s="11"/>
      <c r="G4228" s="88"/>
      <c r="H4228" s="88">
        <v>7000</v>
      </c>
      <c r="I4228" s="88">
        <f t="shared" si="338"/>
        <v>4816.3699999999953</v>
      </c>
      <c r="J4228" s="62">
        <f t="shared" si="328"/>
        <v>-4183.6300000000047</v>
      </c>
      <c r="K4228" s="62"/>
      <c r="L4228" s="2">
        <f t="shared" si="339"/>
        <v>20</v>
      </c>
      <c r="M4228">
        <f t="shared" si="340"/>
        <v>0</v>
      </c>
      <c r="O4228" s="62"/>
      <c r="P4228" s="62"/>
    </row>
    <row r="4229" spans="1:16" x14ac:dyDescent="0.3">
      <c r="A4229" s="3">
        <f t="shared" si="341"/>
        <v>45362</v>
      </c>
      <c r="B4229" s="11" t="s">
        <v>7786</v>
      </c>
      <c r="C4229" s="65" t="s">
        <v>7787</v>
      </c>
      <c r="F4229" s="11"/>
      <c r="G4229" s="88"/>
      <c r="H4229" s="88">
        <v>3000</v>
      </c>
      <c r="I4229" s="88">
        <f t="shared" si="338"/>
        <v>1816.3699999999953</v>
      </c>
      <c r="J4229" s="62">
        <f t="shared" si="328"/>
        <v>-7183.6300000000047</v>
      </c>
      <c r="K4229" s="62"/>
      <c r="L4229" s="2">
        <f t="shared" si="339"/>
        <v>12</v>
      </c>
      <c r="M4229">
        <f t="shared" si="340"/>
        <v>0</v>
      </c>
      <c r="O4229" s="62"/>
      <c r="P4229" s="62"/>
    </row>
    <row r="4230" spans="1:16" x14ac:dyDescent="0.3">
      <c r="A4230" s="3">
        <v>45363</v>
      </c>
      <c r="B4230" s="11" t="s">
        <v>6409</v>
      </c>
      <c r="C4230" s="65" t="s">
        <v>7788</v>
      </c>
      <c r="E4230" s="90" t="s">
        <v>2088</v>
      </c>
      <c r="F4230" s="11"/>
      <c r="G4230" s="88"/>
      <c r="H4230" s="88">
        <v>0</v>
      </c>
      <c r="I4230" s="88">
        <f t="shared" si="338"/>
        <v>1816.3699999999953</v>
      </c>
      <c r="J4230" s="62">
        <f t="shared" si="328"/>
        <v>-7183.6300000000047</v>
      </c>
      <c r="K4230" s="62"/>
      <c r="L4230" s="2">
        <f t="shared" si="339"/>
        <v>0</v>
      </c>
      <c r="M4230">
        <f t="shared" si="340"/>
        <v>5</v>
      </c>
      <c r="O4230" s="62"/>
      <c r="P4230" s="62"/>
    </row>
    <row r="4231" spans="1:16" x14ac:dyDescent="0.3">
      <c r="A4231" s="3">
        <f t="shared" si="341"/>
        <v>45363</v>
      </c>
      <c r="B4231" s="11" t="s">
        <v>3915</v>
      </c>
      <c r="C4231" s="65" t="s">
        <v>7789</v>
      </c>
      <c r="F4231" s="11"/>
      <c r="G4231" s="88">
        <v>5000</v>
      </c>
      <c r="H4231" s="88"/>
      <c r="I4231" s="88">
        <f t="shared" si="338"/>
        <v>6816.3699999999953</v>
      </c>
      <c r="J4231" s="62">
        <f t="shared" si="328"/>
        <v>-2183.6300000000047</v>
      </c>
      <c r="K4231" s="62"/>
      <c r="L4231" s="2">
        <f t="shared" si="339"/>
        <v>20</v>
      </c>
      <c r="M4231">
        <f t="shared" si="340"/>
        <v>0</v>
      </c>
      <c r="O4231" s="62"/>
      <c r="P4231" s="62"/>
    </row>
    <row r="4232" spans="1:16" x14ac:dyDescent="0.3">
      <c r="A4232" s="3">
        <f t="shared" si="341"/>
        <v>45363</v>
      </c>
      <c r="B4232" s="11" t="s">
        <v>7747</v>
      </c>
      <c r="C4232" s="65" t="s">
        <v>7790</v>
      </c>
      <c r="F4232" s="11"/>
      <c r="G4232" s="88">
        <v>1400</v>
      </c>
      <c r="H4232" s="88"/>
      <c r="I4232" s="88">
        <f t="shared" si="338"/>
        <v>8216.3699999999953</v>
      </c>
      <c r="J4232" s="62">
        <f t="shared" si="328"/>
        <v>-783.63000000000466</v>
      </c>
      <c r="K4232" s="62"/>
      <c r="L4232" s="2">
        <f t="shared" si="339"/>
        <v>5.6000000000000005</v>
      </c>
      <c r="M4232">
        <f t="shared" si="340"/>
        <v>0</v>
      </c>
      <c r="O4232" s="62"/>
      <c r="P4232" s="62"/>
    </row>
    <row r="4233" spans="1:16" x14ac:dyDescent="0.3">
      <c r="A4233" s="3">
        <f t="shared" si="341"/>
        <v>45363</v>
      </c>
      <c r="B4233" s="11" t="s">
        <v>5820</v>
      </c>
      <c r="C4233" s="65" t="s">
        <v>7791</v>
      </c>
      <c r="E4233" s="90" t="s">
        <v>2088</v>
      </c>
      <c r="F4233" s="11"/>
      <c r="G4233" s="88"/>
      <c r="H4233" s="88">
        <v>0</v>
      </c>
      <c r="I4233" s="88">
        <f t="shared" si="338"/>
        <v>8216.3699999999953</v>
      </c>
      <c r="J4233" s="62">
        <f t="shared" si="328"/>
        <v>-783.63000000000466</v>
      </c>
      <c r="K4233" s="62"/>
      <c r="L4233" s="2">
        <f t="shared" si="339"/>
        <v>0</v>
      </c>
      <c r="M4233">
        <f t="shared" si="340"/>
        <v>5</v>
      </c>
      <c r="O4233" s="62"/>
      <c r="P4233" s="62"/>
    </row>
    <row r="4234" spans="1:16" x14ac:dyDescent="0.3">
      <c r="A4234" s="3">
        <f t="shared" si="341"/>
        <v>45363</v>
      </c>
      <c r="B4234" s="11" t="s">
        <v>4591</v>
      </c>
      <c r="C4234" s="65" t="s">
        <v>7792</v>
      </c>
      <c r="E4234" s="90" t="s">
        <v>2088</v>
      </c>
      <c r="F4234" s="11"/>
      <c r="G4234" s="88"/>
      <c r="H4234" s="88"/>
      <c r="I4234" s="88">
        <f t="shared" si="338"/>
        <v>8216.3699999999953</v>
      </c>
      <c r="J4234" s="62">
        <f t="shared" si="328"/>
        <v>-783.63000000000466</v>
      </c>
      <c r="K4234" s="62"/>
      <c r="L4234" s="2">
        <f t="shared" si="339"/>
        <v>0</v>
      </c>
      <c r="M4234">
        <f t="shared" si="340"/>
        <v>5</v>
      </c>
      <c r="O4234" s="62"/>
      <c r="P4234" s="62"/>
    </row>
    <row r="4235" spans="1:16" x14ac:dyDescent="0.3">
      <c r="A4235" s="3">
        <f t="shared" si="341"/>
        <v>45363</v>
      </c>
      <c r="B4235" s="11" t="s">
        <v>4591</v>
      </c>
      <c r="C4235" s="65" t="s">
        <v>7792</v>
      </c>
      <c r="F4235" s="11"/>
      <c r="G4235" s="88">
        <v>10000</v>
      </c>
      <c r="H4235" s="88"/>
      <c r="I4235" s="88">
        <f t="shared" si="338"/>
        <v>18216.369999999995</v>
      </c>
      <c r="J4235" s="62">
        <f t="shared" si="328"/>
        <v>9216.3699999999953</v>
      </c>
      <c r="K4235" s="62"/>
      <c r="L4235" s="2">
        <f t="shared" si="339"/>
        <v>20</v>
      </c>
      <c r="M4235">
        <f t="shared" si="340"/>
        <v>0</v>
      </c>
      <c r="O4235" s="62"/>
      <c r="P4235" s="62"/>
    </row>
    <row r="4236" spans="1:16" x14ac:dyDescent="0.3">
      <c r="A4236" s="3">
        <f t="shared" si="341"/>
        <v>45363</v>
      </c>
      <c r="B4236" s="11" t="s">
        <v>4591</v>
      </c>
      <c r="C4236" s="65" t="s">
        <v>7792</v>
      </c>
      <c r="E4236" s="90" t="s">
        <v>2088</v>
      </c>
      <c r="F4236" s="11"/>
      <c r="G4236" s="88"/>
      <c r="H4236" s="88"/>
      <c r="I4236" s="88">
        <f t="shared" si="338"/>
        <v>18216.369999999995</v>
      </c>
      <c r="J4236" s="62">
        <f t="shared" si="328"/>
        <v>9216.3699999999953</v>
      </c>
      <c r="K4236" s="62"/>
      <c r="L4236" s="2">
        <f t="shared" si="339"/>
        <v>0</v>
      </c>
      <c r="M4236">
        <f t="shared" si="340"/>
        <v>5</v>
      </c>
      <c r="O4236" s="62"/>
      <c r="P4236" s="62"/>
    </row>
    <row r="4237" spans="1:16" x14ac:dyDescent="0.3">
      <c r="A4237" s="3">
        <f t="shared" si="341"/>
        <v>45363</v>
      </c>
      <c r="B4237" s="11" t="s">
        <v>6260</v>
      </c>
      <c r="C4237" s="65" t="s">
        <v>7117</v>
      </c>
      <c r="F4237" s="11"/>
      <c r="G4237" s="88"/>
      <c r="H4237" s="88">
        <v>5500</v>
      </c>
      <c r="I4237" s="88">
        <f t="shared" ref="I4237:I4251" si="342">I4236+G4237-H4237</f>
        <v>12716.369999999995</v>
      </c>
      <c r="J4237" s="62">
        <f t="shared" si="328"/>
        <v>3716.3699999999953</v>
      </c>
      <c r="K4237" s="62"/>
      <c r="L4237" s="2">
        <f t="shared" ref="L4237:L4251" si="343">IF((G4237+H4237)&lt;=5000,(H4237+G4237)*0.004,20)+IF(E4237="Y",25,0)</f>
        <v>20</v>
      </c>
      <c r="M4237">
        <f t="shared" ref="M4237:M4251" si="344">IF(E4237="p",5,0)</f>
        <v>0</v>
      </c>
      <c r="O4237" s="62"/>
      <c r="P4237" s="62"/>
    </row>
    <row r="4238" spans="1:16" x14ac:dyDescent="0.3">
      <c r="A4238" s="3">
        <f t="shared" si="341"/>
        <v>45363</v>
      </c>
      <c r="B4238" s="11" t="s">
        <v>7793</v>
      </c>
      <c r="C4238" s="65" t="s">
        <v>2887</v>
      </c>
      <c r="F4238" s="11"/>
      <c r="G4238" s="88">
        <v>21500</v>
      </c>
      <c r="H4238" s="88"/>
      <c r="I4238" s="88">
        <f t="shared" si="342"/>
        <v>34216.369999999995</v>
      </c>
      <c r="J4238" s="62">
        <f t="shared" si="328"/>
        <v>25216.369999999995</v>
      </c>
      <c r="K4238" s="62"/>
      <c r="M4238">
        <f t="shared" si="344"/>
        <v>0</v>
      </c>
      <c r="O4238" s="62"/>
      <c r="P4238" s="62"/>
    </row>
    <row r="4239" spans="1:16" x14ac:dyDescent="0.3">
      <c r="A4239" s="3">
        <f t="shared" si="341"/>
        <v>45363</v>
      </c>
      <c r="B4239" s="11" t="s">
        <v>1160</v>
      </c>
      <c r="C4239" s="65" t="s">
        <v>7794</v>
      </c>
      <c r="D4239" s="50">
        <v>7667685198</v>
      </c>
      <c r="F4239" s="11"/>
      <c r="G4239" s="88">
        <v>1000</v>
      </c>
      <c r="H4239" s="88"/>
      <c r="I4239" s="88">
        <f t="shared" si="342"/>
        <v>35216.369999999995</v>
      </c>
      <c r="J4239" s="62">
        <f t="shared" si="328"/>
        <v>26216.369999999995</v>
      </c>
      <c r="K4239" s="62"/>
      <c r="L4239" s="2">
        <f t="shared" si="343"/>
        <v>4</v>
      </c>
      <c r="M4239">
        <f t="shared" si="344"/>
        <v>0</v>
      </c>
      <c r="O4239" s="62"/>
      <c r="P4239" s="62"/>
    </row>
    <row r="4240" spans="1:16" x14ac:dyDescent="0.3">
      <c r="A4240" s="3">
        <f t="shared" si="341"/>
        <v>45363</v>
      </c>
      <c r="B4240" s="11" t="s">
        <v>3524</v>
      </c>
      <c r="C4240" s="65" t="s">
        <v>3088</v>
      </c>
      <c r="F4240" s="11"/>
      <c r="G4240" s="88"/>
      <c r="H4240" s="148">
        <v>10000</v>
      </c>
      <c r="I4240" s="88">
        <f t="shared" si="342"/>
        <v>25216.369999999995</v>
      </c>
      <c r="J4240" s="62">
        <f t="shared" si="328"/>
        <v>16216.369999999995</v>
      </c>
      <c r="K4240" s="62"/>
      <c r="L4240" s="2">
        <f t="shared" si="343"/>
        <v>20</v>
      </c>
      <c r="M4240">
        <f t="shared" si="344"/>
        <v>0</v>
      </c>
      <c r="O4240" s="62"/>
      <c r="P4240" s="62"/>
    </row>
    <row r="4241" spans="1:16" x14ac:dyDescent="0.3">
      <c r="A4241" s="3">
        <f t="shared" si="341"/>
        <v>45363</v>
      </c>
      <c r="B4241" s="11" t="s">
        <v>5312</v>
      </c>
      <c r="C4241" s="65" t="s">
        <v>7795</v>
      </c>
      <c r="E4241" s="90" t="s">
        <v>2088</v>
      </c>
      <c r="F4241" s="11"/>
      <c r="G4241" s="88"/>
      <c r="H4241" s="88"/>
      <c r="I4241" s="88">
        <f t="shared" si="342"/>
        <v>25216.369999999995</v>
      </c>
      <c r="J4241" s="62">
        <f t="shared" ref="J4241:J4304" si="345">I4241-9000</f>
        <v>16216.369999999995</v>
      </c>
      <c r="K4241" s="62"/>
      <c r="L4241" s="2">
        <f t="shared" si="343"/>
        <v>0</v>
      </c>
      <c r="M4241">
        <f t="shared" si="344"/>
        <v>5</v>
      </c>
      <c r="O4241" s="62"/>
      <c r="P4241" s="62"/>
    </row>
    <row r="4242" spans="1:16" x14ac:dyDescent="0.3">
      <c r="A4242" s="3">
        <f t="shared" si="341"/>
        <v>45363</v>
      </c>
      <c r="B4242" s="11" t="s">
        <v>5312</v>
      </c>
      <c r="C4242" s="65" t="s">
        <v>7795</v>
      </c>
      <c r="F4242" s="11"/>
      <c r="G4242" s="88"/>
      <c r="H4242" s="88">
        <v>2000</v>
      </c>
      <c r="I4242" s="88">
        <f t="shared" si="342"/>
        <v>23216.369999999995</v>
      </c>
      <c r="J4242" s="62">
        <f t="shared" si="345"/>
        <v>14216.369999999995</v>
      </c>
      <c r="K4242" s="62"/>
      <c r="L4242" s="2">
        <f t="shared" si="343"/>
        <v>8</v>
      </c>
      <c r="M4242">
        <f t="shared" si="344"/>
        <v>0</v>
      </c>
      <c r="O4242" s="62"/>
      <c r="P4242" s="62"/>
    </row>
    <row r="4243" spans="1:16" x14ac:dyDescent="0.3">
      <c r="A4243" s="3">
        <f t="shared" si="341"/>
        <v>45363</v>
      </c>
      <c r="B4243" s="11" t="s">
        <v>5312</v>
      </c>
      <c r="C4243" s="65" t="s">
        <v>7795</v>
      </c>
      <c r="E4243" s="90" t="s">
        <v>2088</v>
      </c>
      <c r="F4243" s="11"/>
      <c r="G4243" s="88"/>
      <c r="H4243" s="88"/>
      <c r="I4243" s="88">
        <f t="shared" si="342"/>
        <v>23216.369999999995</v>
      </c>
      <c r="J4243" s="62">
        <f t="shared" si="345"/>
        <v>14216.369999999995</v>
      </c>
      <c r="K4243" s="62"/>
      <c r="L4243" s="2">
        <f t="shared" si="343"/>
        <v>0</v>
      </c>
      <c r="M4243">
        <f t="shared" si="344"/>
        <v>5</v>
      </c>
      <c r="O4243" s="62"/>
      <c r="P4243" s="62"/>
    </row>
    <row r="4244" spans="1:16" x14ac:dyDescent="0.3">
      <c r="A4244" s="3">
        <f t="shared" si="341"/>
        <v>45363</v>
      </c>
      <c r="B4244" s="11" t="s">
        <v>7659</v>
      </c>
      <c r="C4244" s="65" t="s">
        <v>225</v>
      </c>
      <c r="E4244" s="90" t="s">
        <v>2088</v>
      </c>
      <c r="F4244" s="11"/>
      <c r="G4244" s="88"/>
      <c r="H4244" s="88"/>
      <c r="I4244" s="88">
        <f t="shared" si="342"/>
        <v>23216.369999999995</v>
      </c>
      <c r="J4244" s="62">
        <f t="shared" si="345"/>
        <v>14216.369999999995</v>
      </c>
      <c r="K4244" s="62"/>
      <c r="L4244" s="2">
        <f t="shared" si="343"/>
        <v>0</v>
      </c>
      <c r="M4244">
        <f t="shared" si="344"/>
        <v>5</v>
      </c>
      <c r="O4244" s="62"/>
      <c r="P4244" s="62"/>
    </row>
    <row r="4245" spans="1:16" x14ac:dyDescent="0.3">
      <c r="A4245" s="3">
        <f t="shared" si="341"/>
        <v>45363</v>
      </c>
      <c r="B4245" s="11" t="s">
        <v>1250</v>
      </c>
      <c r="C4245" s="65" t="s">
        <v>4437</v>
      </c>
      <c r="F4245" s="11"/>
      <c r="G4245" s="88">
        <v>2300</v>
      </c>
      <c r="H4245" s="88"/>
      <c r="I4245" s="88">
        <f t="shared" si="342"/>
        <v>25516.369999999995</v>
      </c>
      <c r="J4245" s="62">
        <f t="shared" si="345"/>
        <v>16516.369999999995</v>
      </c>
      <c r="K4245" s="62"/>
      <c r="L4245" s="2">
        <f t="shared" si="343"/>
        <v>9.2000000000000011</v>
      </c>
      <c r="M4245">
        <f t="shared" si="344"/>
        <v>0</v>
      </c>
      <c r="O4245" s="62"/>
      <c r="P4245" s="62"/>
    </row>
    <row r="4246" spans="1:16" x14ac:dyDescent="0.3">
      <c r="A4246" s="3">
        <f t="shared" si="341"/>
        <v>45363</v>
      </c>
      <c r="B4246" s="11" t="s">
        <v>6840</v>
      </c>
      <c r="C4246" s="65" t="s">
        <v>7513</v>
      </c>
      <c r="E4246" s="90" t="s">
        <v>2088</v>
      </c>
      <c r="F4246" s="11"/>
      <c r="G4246" s="88"/>
      <c r="H4246" s="88"/>
      <c r="I4246" s="88">
        <f t="shared" si="342"/>
        <v>25516.369999999995</v>
      </c>
      <c r="J4246" s="62">
        <f t="shared" si="345"/>
        <v>16516.369999999995</v>
      </c>
      <c r="K4246" s="62"/>
      <c r="L4246" s="2">
        <f t="shared" si="343"/>
        <v>0</v>
      </c>
      <c r="M4246">
        <f t="shared" si="344"/>
        <v>5</v>
      </c>
      <c r="O4246" s="62"/>
      <c r="P4246" s="62"/>
    </row>
    <row r="4247" spans="1:16" x14ac:dyDescent="0.3">
      <c r="A4247" s="3">
        <f t="shared" si="341"/>
        <v>45363</v>
      </c>
      <c r="B4247" s="11" t="s">
        <v>6840</v>
      </c>
      <c r="C4247" s="65" t="s">
        <v>7513</v>
      </c>
      <c r="F4247" s="11"/>
      <c r="G4247" s="88">
        <v>7900</v>
      </c>
      <c r="H4247" s="88"/>
      <c r="I4247" s="88">
        <f t="shared" si="342"/>
        <v>33416.369999999995</v>
      </c>
      <c r="J4247" s="62">
        <f t="shared" si="345"/>
        <v>24416.369999999995</v>
      </c>
      <c r="K4247" s="62"/>
      <c r="L4247" s="2">
        <f t="shared" si="343"/>
        <v>20</v>
      </c>
      <c r="M4247">
        <f t="shared" si="344"/>
        <v>0</v>
      </c>
      <c r="O4247" s="62"/>
      <c r="P4247" s="62"/>
    </row>
    <row r="4248" spans="1:16" x14ac:dyDescent="0.3">
      <c r="A4248" s="3">
        <f t="shared" si="341"/>
        <v>45363</v>
      </c>
      <c r="B4248" s="11" t="s">
        <v>6840</v>
      </c>
      <c r="C4248" s="65" t="s">
        <v>7513</v>
      </c>
      <c r="E4248" s="90" t="s">
        <v>2088</v>
      </c>
      <c r="F4248" s="11"/>
      <c r="G4248" s="88"/>
      <c r="H4248" s="88"/>
      <c r="I4248" s="88">
        <f t="shared" si="342"/>
        <v>33416.369999999995</v>
      </c>
      <c r="J4248" s="62">
        <f t="shared" si="345"/>
        <v>24416.369999999995</v>
      </c>
      <c r="K4248" s="62"/>
      <c r="L4248" s="2">
        <f t="shared" si="343"/>
        <v>0</v>
      </c>
      <c r="M4248">
        <f t="shared" si="344"/>
        <v>5</v>
      </c>
      <c r="O4248" s="62"/>
      <c r="P4248" s="62"/>
    </row>
    <row r="4249" spans="1:16" x14ac:dyDescent="0.3">
      <c r="A4249" s="3">
        <f t="shared" si="341"/>
        <v>45363</v>
      </c>
      <c r="B4249" s="11" t="s">
        <v>4622</v>
      </c>
      <c r="C4249" s="65" t="s">
        <v>4656</v>
      </c>
      <c r="E4249" s="90" t="s">
        <v>2088</v>
      </c>
      <c r="F4249" s="11"/>
      <c r="G4249" s="88"/>
      <c r="H4249" s="88"/>
      <c r="I4249" s="88">
        <f t="shared" si="342"/>
        <v>33416.369999999995</v>
      </c>
      <c r="J4249" s="62">
        <f t="shared" si="345"/>
        <v>24416.369999999995</v>
      </c>
      <c r="K4249" s="62"/>
      <c r="L4249" s="2">
        <f t="shared" si="343"/>
        <v>0</v>
      </c>
      <c r="M4249">
        <f t="shared" si="344"/>
        <v>5</v>
      </c>
      <c r="O4249" s="62"/>
      <c r="P4249" s="62"/>
    </row>
    <row r="4250" spans="1:16" x14ac:dyDescent="0.3">
      <c r="A4250" s="3">
        <f t="shared" si="341"/>
        <v>45363</v>
      </c>
      <c r="B4250" s="11" t="s">
        <v>4622</v>
      </c>
      <c r="C4250" s="65" t="s">
        <v>4656</v>
      </c>
      <c r="F4250" s="11"/>
      <c r="G4250" s="88">
        <v>3000</v>
      </c>
      <c r="H4250" s="88"/>
      <c r="I4250" s="88">
        <f t="shared" si="342"/>
        <v>36416.369999999995</v>
      </c>
      <c r="J4250" s="62">
        <f t="shared" si="345"/>
        <v>27416.369999999995</v>
      </c>
      <c r="K4250" s="62"/>
      <c r="L4250" s="2">
        <f t="shared" si="343"/>
        <v>12</v>
      </c>
      <c r="M4250">
        <f t="shared" si="344"/>
        <v>0</v>
      </c>
      <c r="O4250" s="62"/>
      <c r="P4250" s="62"/>
    </row>
    <row r="4251" spans="1:16" x14ac:dyDescent="0.3">
      <c r="A4251" s="3">
        <f t="shared" si="341"/>
        <v>45363</v>
      </c>
      <c r="B4251" s="11" t="s">
        <v>4622</v>
      </c>
      <c r="C4251" s="65" t="s">
        <v>4656</v>
      </c>
      <c r="E4251" s="90" t="s">
        <v>2088</v>
      </c>
      <c r="F4251" s="11"/>
      <c r="G4251" s="88"/>
      <c r="H4251" s="88"/>
      <c r="I4251" s="88">
        <f t="shared" si="342"/>
        <v>36416.369999999995</v>
      </c>
      <c r="J4251" s="62">
        <f t="shared" si="345"/>
        <v>27416.369999999995</v>
      </c>
      <c r="K4251" s="62"/>
      <c r="L4251" s="2">
        <f t="shared" si="343"/>
        <v>0</v>
      </c>
      <c r="M4251">
        <f t="shared" si="344"/>
        <v>5</v>
      </c>
      <c r="O4251" s="62"/>
      <c r="P4251" s="62"/>
    </row>
    <row r="4252" spans="1:16" x14ac:dyDescent="0.3">
      <c r="A4252" s="3">
        <f t="shared" si="341"/>
        <v>45363</v>
      </c>
      <c r="B4252" s="11" t="s">
        <v>1250</v>
      </c>
      <c r="C4252" s="65" t="s">
        <v>7569</v>
      </c>
      <c r="F4252" s="11"/>
      <c r="G4252" s="88">
        <v>700</v>
      </c>
      <c r="H4252" s="88"/>
      <c r="I4252" s="88">
        <f t="shared" ref="I4252:I4269" si="346">I4251+G4252-H4252</f>
        <v>37116.369999999995</v>
      </c>
      <c r="J4252" s="62">
        <f t="shared" si="345"/>
        <v>28116.369999999995</v>
      </c>
      <c r="K4252" s="62"/>
      <c r="L4252" s="2">
        <f t="shared" ref="L4252:L4269" si="347">IF((G4252+H4252)&lt;=5000,(H4252+G4252)*0.004,20)+IF(E4252="Y",25,0)</f>
        <v>2.8000000000000003</v>
      </c>
      <c r="M4252">
        <f t="shared" ref="M4252:M4269" si="348">IF(E4252="p",5,0)</f>
        <v>0</v>
      </c>
      <c r="O4252" s="62"/>
      <c r="P4252" s="62"/>
    </row>
    <row r="4253" spans="1:16" x14ac:dyDescent="0.3">
      <c r="A4253" s="3">
        <f t="shared" si="341"/>
        <v>45363</v>
      </c>
      <c r="B4253" s="11" t="s">
        <v>7796</v>
      </c>
      <c r="C4253" s="65" t="s">
        <v>7797</v>
      </c>
      <c r="E4253" s="90" t="s">
        <v>2088</v>
      </c>
      <c r="F4253" s="11"/>
      <c r="G4253" s="88"/>
      <c r="H4253" s="88"/>
      <c r="I4253" s="88">
        <f t="shared" si="346"/>
        <v>37116.369999999995</v>
      </c>
      <c r="J4253" s="62">
        <f t="shared" si="345"/>
        <v>28116.369999999995</v>
      </c>
      <c r="K4253" s="62"/>
      <c r="L4253" s="2">
        <f t="shared" si="347"/>
        <v>0</v>
      </c>
      <c r="M4253">
        <f t="shared" si="348"/>
        <v>5</v>
      </c>
      <c r="O4253" s="62"/>
      <c r="P4253" s="62"/>
    </row>
    <row r="4254" spans="1:16" x14ac:dyDescent="0.3">
      <c r="A4254" s="3">
        <f t="shared" si="341"/>
        <v>45363</v>
      </c>
      <c r="B4254" s="11" t="s">
        <v>7796</v>
      </c>
      <c r="C4254" s="65" t="s">
        <v>7797</v>
      </c>
      <c r="F4254" s="11"/>
      <c r="G4254" s="88">
        <v>2500</v>
      </c>
      <c r="H4254" s="88"/>
      <c r="I4254" s="88">
        <f t="shared" si="346"/>
        <v>39616.369999999995</v>
      </c>
      <c r="J4254" s="62">
        <f t="shared" si="345"/>
        <v>30616.369999999995</v>
      </c>
      <c r="K4254" s="62"/>
      <c r="L4254" s="2">
        <f t="shared" si="347"/>
        <v>10</v>
      </c>
      <c r="M4254">
        <f t="shared" si="348"/>
        <v>0</v>
      </c>
      <c r="O4254" s="62"/>
      <c r="P4254" s="62"/>
    </row>
    <row r="4255" spans="1:16" x14ac:dyDescent="0.3">
      <c r="A4255" s="3">
        <f t="shared" si="341"/>
        <v>45363</v>
      </c>
      <c r="B4255" s="11" t="s">
        <v>7796</v>
      </c>
      <c r="C4255" s="65" t="s">
        <v>7797</v>
      </c>
      <c r="E4255" s="90" t="s">
        <v>2088</v>
      </c>
      <c r="F4255" s="11"/>
      <c r="G4255" s="88"/>
      <c r="H4255" s="88"/>
      <c r="I4255" s="88">
        <f t="shared" si="346"/>
        <v>39616.369999999995</v>
      </c>
      <c r="J4255" s="62">
        <f t="shared" si="345"/>
        <v>30616.369999999995</v>
      </c>
      <c r="K4255" s="62"/>
      <c r="L4255" s="2">
        <f t="shared" si="347"/>
        <v>0</v>
      </c>
      <c r="M4255">
        <f t="shared" si="348"/>
        <v>5</v>
      </c>
      <c r="O4255" s="62"/>
      <c r="P4255" s="62"/>
    </row>
    <row r="4256" spans="1:16" x14ac:dyDescent="0.3">
      <c r="A4256" s="3">
        <f t="shared" si="341"/>
        <v>45363</v>
      </c>
      <c r="B4256" s="11" t="s">
        <v>7798</v>
      </c>
      <c r="C4256" s="65" t="s">
        <v>7799</v>
      </c>
      <c r="F4256" s="11"/>
      <c r="G4256" s="88">
        <v>7500</v>
      </c>
      <c r="H4256" s="88"/>
      <c r="I4256" s="88">
        <f t="shared" si="346"/>
        <v>47116.369999999995</v>
      </c>
      <c r="J4256" s="62">
        <f t="shared" si="345"/>
        <v>38116.369999999995</v>
      </c>
      <c r="K4256" s="62"/>
      <c r="L4256" s="2">
        <f t="shared" si="347"/>
        <v>20</v>
      </c>
      <c r="M4256">
        <f t="shared" si="348"/>
        <v>0</v>
      </c>
      <c r="O4256" s="62"/>
      <c r="P4256" s="62"/>
    </row>
    <row r="4257" spans="1:16" x14ac:dyDescent="0.3">
      <c r="A4257" s="3">
        <f t="shared" si="341"/>
        <v>45363</v>
      </c>
      <c r="B4257" s="11" t="s">
        <v>7800</v>
      </c>
      <c r="C4257" s="65" t="s">
        <v>7284</v>
      </c>
      <c r="E4257" s="90" t="s">
        <v>2088</v>
      </c>
      <c r="F4257" s="11"/>
      <c r="G4257" s="88"/>
      <c r="H4257" s="88">
        <v>0</v>
      </c>
      <c r="I4257" s="88">
        <f t="shared" si="346"/>
        <v>47116.369999999995</v>
      </c>
      <c r="J4257" s="62">
        <f t="shared" si="345"/>
        <v>38116.369999999995</v>
      </c>
      <c r="K4257" s="62"/>
      <c r="L4257" s="2">
        <f t="shared" si="347"/>
        <v>0</v>
      </c>
      <c r="M4257">
        <f t="shared" si="348"/>
        <v>5</v>
      </c>
      <c r="O4257" s="62"/>
      <c r="P4257" s="62"/>
    </row>
    <row r="4258" spans="1:16" x14ac:dyDescent="0.3">
      <c r="A4258" s="3">
        <f t="shared" si="341"/>
        <v>45363</v>
      </c>
      <c r="B4258" s="11" t="s">
        <v>7237</v>
      </c>
      <c r="C4258" s="65" t="s">
        <v>7040</v>
      </c>
      <c r="F4258" s="11"/>
      <c r="G4258" s="88">
        <v>10000</v>
      </c>
      <c r="H4258" s="88"/>
      <c r="I4258" s="88">
        <f t="shared" si="346"/>
        <v>57116.369999999995</v>
      </c>
      <c r="J4258" s="62">
        <f t="shared" si="345"/>
        <v>48116.369999999995</v>
      </c>
      <c r="K4258" s="62"/>
      <c r="L4258" s="2">
        <f t="shared" si="347"/>
        <v>20</v>
      </c>
      <c r="M4258">
        <f t="shared" si="348"/>
        <v>0</v>
      </c>
      <c r="O4258" s="62"/>
      <c r="P4258" s="62"/>
    </row>
    <row r="4259" spans="1:16" x14ac:dyDescent="0.3">
      <c r="A4259" s="3">
        <f t="shared" si="341"/>
        <v>45363</v>
      </c>
      <c r="B4259" s="11" t="s">
        <v>7237</v>
      </c>
      <c r="C4259" s="65" t="s">
        <v>7040</v>
      </c>
      <c r="E4259" s="90" t="s">
        <v>2088</v>
      </c>
      <c r="F4259" s="11"/>
      <c r="G4259" s="88"/>
      <c r="H4259" s="88"/>
      <c r="I4259" s="88">
        <f t="shared" si="346"/>
        <v>57116.369999999995</v>
      </c>
      <c r="J4259" s="62">
        <f t="shared" si="345"/>
        <v>48116.369999999995</v>
      </c>
      <c r="K4259" s="62"/>
      <c r="L4259" s="2">
        <f t="shared" si="347"/>
        <v>0</v>
      </c>
      <c r="M4259">
        <f t="shared" si="348"/>
        <v>5</v>
      </c>
      <c r="O4259" s="62"/>
      <c r="P4259" s="62"/>
    </row>
    <row r="4260" spans="1:16" x14ac:dyDescent="0.3">
      <c r="A4260" s="3">
        <f t="shared" si="341"/>
        <v>45363</v>
      </c>
      <c r="B4260" s="11" t="s">
        <v>4652</v>
      </c>
      <c r="C4260" s="65" t="s">
        <v>7801</v>
      </c>
      <c r="E4260" s="90" t="s">
        <v>2088</v>
      </c>
      <c r="F4260" s="11"/>
      <c r="G4260" s="88"/>
      <c r="H4260" s="88"/>
      <c r="I4260" s="88">
        <f t="shared" si="346"/>
        <v>57116.369999999995</v>
      </c>
      <c r="J4260" s="62">
        <f t="shared" si="345"/>
        <v>48116.369999999995</v>
      </c>
      <c r="K4260" s="62"/>
      <c r="L4260" s="2">
        <f t="shared" si="347"/>
        <v>0</v>
      </c>
      <c r="M4260">
        <f t="shared" si="348"/>
        <v>5</v>
      </c>
      <c r="O4260" s="62"/>
      <c r="P4260" s="62"/>
    </row>
    <row r="4261" spans="1:16" x14ac:dyDescent="0.3">
      <c r="A4261" s="3">
        <f t="shared" si="341"/>
        <v>45363</v>
      </c>
      <c r="B4261" s="11" t="s">
        <v>4652</v>
      </c>
      <c r="C4261" s="65" t="s">
        <v>7801</v>
      </c>
      <c r="F4261" s="11"/>
      <c r="G4261" s="88">
        <v>2000</v>
      </c>
      <c r="H4261" s="88"/>
      <c r="I4261" s="88">
        <f t="shared" si="346"/>
        <v>59116.369999999995</v>
      </c>
      <c r="J4261" s="62">
        <f t="shared" si="345"/>
        <v>50116.369999999995</v>
      </c>
      <c r="K4261" s="62"/>
      <c r="L4261" s="2">
        <f t="shared" si="347"/>
        <v>8</v>
      </c>
      <c r="M4261">
        <f t="shared" si="348"/>
        <v>0</v>
      </c>
      <c r="O4261" s="62"/>
      <c r="P4261" s="62"/>
    </row>
    <row r="4262" spans="1:16" x14ac:dyDescent="0.3">
      <c r="A4262" s="3">
        <f t="shared" si="341"/>
        <v>45363</v>
      </c>
      <c r="B4262" s="11" t="s">
        <v>4652</v>
      </c>
      <c r="C4262" s="65" t="s">
        <v>7801</v>
      </c>
      <c r="E4262" s="90" t="s">
        <v>2088</v>
      </c>
      <c r="F4262" s="11"/>
      <c r="G4262" s="88"/>
      <c r="H4262" s="88"/>
      <c r="I4262" s="88">
        <f t="shared" si="346"/>
        <v>59116.369999999995</v>
      </c>
      <c r="J4262" s="62">
        <f t="shared" si="345"/>
        <v>50116.369999999995</v>
      </c>
      <c r="K4262" s="62"/>
      <c r="L4262" s="2">
        <f t="shared" si="347"/>
        <v>0</v>
      </c>
      <c r="M4262">
        <f t="shared" si="348"/>
        <v>5</v>
      </c>
      <c r="O4262" s="62"/>
      <c r="P4262" s="62"/>
    </row>
    <row r="4263" spans="1:16" x14ac:dyDescent="0.3">
      <c r="A4263" s="3">
        <f t="shared" si="341"/>
        <v>45363</v>
      </c>
      <c r="B4263" s="11" t="s">
        <v>7802</v>
      </c>
      <c r="C4263" s="65" t="s">
        <v>7803</v>
      </c>
      <c r="E4263" s="90" t="s">
        <v>2088</v>
      </c>
      <c r="F4263" s="11"/>
      <c r="G4263" s="88"/>
      <c r="H4263" s="88"/>
      <c r="I4263" s="88">
        <f t="shared" si="346"/>
        <v>59116.369999999995</v>
      </c>
      <c r="J4263" s="62">
        <f t="shared" si="345"/>
        <v>50116.369999999995</v>
      </c>
      <c r="K4263" s="62"/>
      <c r="L4263" s="2">
        <f t="shared" si="347"/>
        <v>0</v>
      </c>
      <c r="M4263">
        <f t="shared" si="348"/>
        <v>5</v>
      </c>
      <c r="O4263" s="62"/>
      <c r="P4263" s="62"/>
    </row>
    <row r="4264" spans="1:16" x14ac:dyDescent="0.3">
      <c r="A4264" s="3">
        <f t="shared" si="341"/>
        <v>45363</v>
      </c>
      <c r="B4264" s="11" t="s">
        <v>4297</v>
      </c>
      <c r="C4264" s="65" t="s">
        <v>1356</v>
      </c>
      <c r="F4264" s="11"/>
      <c r="G4264" s="88"/>
      <c r="H4264" s="88">
        <v>10000</v>
      </c>
      <c r="I4264" s="88">
        <f t="shared" si="346"/>
        <v>49116.369999999995</v>
      </c>
      <c r="J4264" s="62">
        <f t="shared" si="345"/>
        <v>40116.369999999995</v>
      </c>
      <c r="K4264" s="62"/>
      <c r="L4264" s="2">
        <f t="shared" si="347"/>
        <v>20</v>
      </c>
      <c r="M4264">
        <f t="shared" si="348"/>
        <v>0</v>
      </c>
      <c r="O4264" s="62"/>
      <c r="P4264" s="62"/>
    </row>
    <row r="4265" spans="1:16" x14ac:dyDescent="0.3">
      <c r="A4265" s="3">
        <v>45729</v>
      </c>
      <c r="B4265" s="11" t="s">
        <v>7398</v>
      </c>
      <c r="C4265" s="65" t="s">
        <v>779</v>
      </c>
      <c r="F4265" s="11"/>
      <c r="G4265" s="88">
        <v>7700</v>
      </c>
      <c r="H4265" s="88"/>
      <c r="I4265" s="88">
        <f t="shared" si="346"/>
        <v>56816.369999999995</v>
      </c>
      <c r="J4265" s="62">
        <f t="shared" si="345"/>
        <v>47816.369999999995</v>
      </c>
      <c r="K4265" s="62"/>
      <c r="L4265" s="2">
        <f t="shared" si="347"/>
        <v>20</v>
      </c>
      <c r="M4265">
        <f t="shared" si="348"/>
        <v>0</v>
      </c>
      <c r="O4265" s="62"/>
      <c r="P4265" s="62"/>
    </row>
    <row r="4266" spans="1:16" x14ac:dyDescent="0.3">
      <c r="A4266" s="3">
        <f t="shared" si="341"/>
        <v>45729</v>
      </c>
      <c r="B4266" s="11" t="s">
        <v>3612</v>
      </c>
      <c r="C4266" s="65" t="s">
        <v>3611</v>
      </c>
      <c r="F4266" s="11"/>
      <c r="G4266" s="88">
        <v>10000</v>
      </c>
      <c r="H4266" s="88"/>
      <c r="I4266" s="88">
        <f t="shared" si="346"/>
        <v>66816.37</v>
      </c>
      <c r="J4266" s="62">
        <f t="shared" si="345"/>
        <v>57816.369999999995</v>
      </c>
      <c r="K4266" s="62"/>
      <c r="L4266" s="2">
        <f t="shared" si="347"/>
        <v>20</v>
      </c>
      <c r="M4266">
        <f t="shared" si="348"/>
        <v>0</v>
      </c>
      <c r="O4266" s="62"/>
      <c r="P4266" s="62"/>
    </row>
    <row r="4267" spans="1:16" x14ac:dyDescent="0.3">
      <c r="A4267" s="3">
        <f t="shared" si="341"/>
        <v>45729</v>
      </c>
      <c r="B4267" s="11" t="s">
        <v>6998</v>
      </c>
      <c r="C4267" s="65" t="s">
        <v>10</v>
      </c>
      <c r="E4267" s="90" t="s">
        <v>2088</v>
      </c>
      <c r="F4267" s="11"/>
      <c r="G4267" s="88"/>
      <c r="H4267" s="88"/>
      <c r="I4267" s="88">
        <f t="shared" si="346"/>
        <v>66816.37</v>
      </c>
      <c r="J4267" s="62">
        <f t="shared" si="345"/>
        <v>57816.369999999995</v>
      </c>
      <c r="K4267" s="62"/>
      <c r="L4267" s="2">
        <f t="shared" si="347"/>
        <v>0</v>
      </c>
      <c r="M4267">
        <f t="shared" si="348"/>
        <v>5</v>
      </c>
      <c r="O4267" s="62"/>
      <c r="P4267" s="62"/>
    </row>
    <row r="4268" spans="1:16" x14ac:dyDescent="0.3">
      <c r="A4268" s="3">
        <f t="shared" si="341"/>
        <v>45729</v>
      </c>
      <c r="B4268" s="11" t="s">
        <v>7804</v>
      </c>
      <c r="C4268" s="65" t="s">
        <v>7805</v>
      </c>
      <c r="E4268" s="90" t="s">
        <v>2088</v>
      </c>
      <c r="F4268" s="11"/>
      <c r="G4268" s="88"/>
      <c r="H4268" s="88"/>
      <c r="I4268" s="88">
        <f t="shared" si="346"/>
        <v>66816.37</v>
      </c>
      <c r="J4268" s="62">
        <f t="shared" si="345"/>
        <v>57816.369999999995</v>
      </c>
      <c r="K4268" s="62"/>
      <c r="L4268" s="2">
        <f t="shared" si="347"/>
        <v>0</v>
      </c>
      <c r="M4268">
        <f t="shared" si="348"/>
        <v>5</v>
      </c>
      <c r="O4268" s="62"/>
      <c r="P4268" s="62"/>
    </row>
    <row r="4269" spans="1:16" x14ac:dyDescent="0.3">
      <c r="A4269" s="3">
        <f t="shared" si="341"/>
        <v>45729</v>
      </c>
      <c r="B4269" s="11" t="s">
        <v>7804</v>
      </c>
      <c r="C4269" s="65" t="s">
        <v>7805</v>
      </c>
      <c r="F4269" s="11"/>
      <c r="G4269" s="88">
        <v>5000</v>
      </c>
      <c r="H4269" s="88"/>
      <c r="I4269" s="88">
        <f t="shared" si="346"/>
        <v>71816.37</v>
      </c>
      <c r="J4269" s="62">
        <f t="shared" si="345"/>
        <v>62816.369999999995</v>
      </c>
      <c r="K4269" s="62"/>
      <c r="L4269" s="2">
        <f t="shared" si="347"/>
        <v>20</v>
      </c>
      <c r="M4269">
        <f t="shared" si="348"/>
        <v>0</v>
      </c>
      <c r="O4269" s="62"/>
      <c r="P4269" s="62"/>
    </row>
    <row r="4270" spans="1:16" x14ac:dyDescent="0.3">
      <c r="A4270" s="3">
        <f t="shared" si="341"/>
        <v>45729</v>
      </c>
      <c r="B4270" s="11" t="s">
        <v>7804</v>
      </c>
      <c r="C4270" s="65" t="s">
        <v>7805</v>
      </c>
      <c r="E4270" s="90" t="s">
        <v>2088</v>
      </c>
      <c r="F4270" s="11"/>
      <c r="G4270" s="88"/>
      <c r="H4270" s="88"/>
      <c r="I4270" s="88">
        <f t="shared" ref="I4270:I4272" si="349">I4269+G4270-H4270</f>
        <v>71816.37</v>
      </c>
      <c r="J4270" s="62">
        <f t="shared" si="345"/>
        <v>62816.369999999995</v>
      </c>
      <c r="K4270" s="62"/>
      <c r="L4270" s="2">
        <f t="shared" ref="L4270:L4272" si="350">IF((G4270+H4270)&lt;=5000,(H4270+G4270)*0.004,20)+IF(E4270="Y",25,0)</f>
        <v>0</v>
      </c>
      <c r="M4270">
        <f t="shared" ref="M4270:M4272" si="351">IF(E4270="p",5,0)</f>
        <v>5</v>
      </c>
      <c r="O4270" s="62"/>
      <c r="P4270" s="62"/>
    </row>
    <row r="4271" spans="1:16" x14ac:dyDescent="0.3">
      <c r="A4271" s="3">
        <f t="shared" si="341"/>
        <v>45729</v>
      </c>
      <c r="B4271" s="11" t="s">
        <v>7806</v>
      </c>
      <c r="C4271" s="65" t="s">
        <v>1279</v>
      </c>
      <c r="F4271" s="11"/>
      <c r="G4271" s="88"/>
      <c r="H4271" s="88">
        <v>10000</v>
      </c>
      <c r="I4271" s="88">
        <f t="shared" si="349"/>
        <v>61816.369999999995</v>
      </c>
      <c r="J4271" s="62">
        <f t="shared" si="345"/>
        <v>52816.369999999995</v>
      </c>
      <c r="K4271" s="62"/>
      <c r="L4271" s="2">
        <f t="shared" si="350"/>
        <v>20</v>
      </c>
      <c r="M4271">
        <f t="shared" si="351"/>
        <v>0</v>
      </c>
      <c r="O4271" s="62"/>
      <c r="P4271" s="62"/>
    </row>
    <row r="4272" spans="1:16" x14ac:dyDescent="0.3">
      <c r="A4272" s="3">
        <f t="shared" si="341"/>
        <v>45729</v>
      </c>
      <c r="B4272" s="11" t="s">
        <v>3524</v>
      </c>
      <c r="C4272" s="65" t="s">
        <v>3088</v>
      </c>
      <c r="F4272" s="11"/>
      <c r="G4272" s="88"/>
      <c r="H4272" s="147">
        <v>10000</v>
      </c>
      <c r="I4272" s="88">
        <f t="shared" si="349"/>
        <v>51816.369999999995</v>
      </c>
      <c r="J4272" s="62">
        <f t="shared" si="345"/>
        <v>42816.369999999995</v>
      </c>
      <c r="K4272" s="62"/>
      <c r="L4272" s="2">
        <f t="shared" si="350"/>
        <v>20</v>
      </c>
      <c r="M4272">
        <f t="shared" si="351"/>
        <v>0</v>
      </c>
      <c r="O4272" s="62"/>
      <c r="P4272" s="62"/>
    </row>
    <row r="4273" spans="1:16" x14ac:dyDescent="0.3">
      <c r="A4273" s="3">
        <f t="shared" si="341"/>
        <v>45729</v>
      </c>
      <c r="B4273" s="11" t="s">
        <v>1250</v>
      </c>
      <c r="C4273" s="65" t="s">
        <v>2443</v>
      </c>
      <c r="F4273" s="11"/>
      <c r="G4273" s="88">
        <v>1400</v>
      </c>
      <c r="H4273" s="88"/>
      <c r="I4273" s="88">
        <f t="shared" ref="I4273:I4323" si="352">I4272+G4273-H4273</f>
        <v>53216.369999999995</v>
      </c>
      <c r="J4273" s="62">
        <f t="shared" si="345"/>
        <v>44216.369999999995</v>
      </c>
      <c r="K4273" s="62"/>
      <c r="L4273" s="2">
        <f t="shared" ref="L4273:L4300" si="353">IF((G4273+H4273)&lt;=5000,(H4273+G4273)*0.004,20)+IF(E4273="Y",25,0)</f>
        <v>5.6000000000000005</v>
      </c>
      <c r="M4273">
        <f t="shared" ref="M4273:M4300" si="354">IF(E4273="p",5,0)</f>
        <v>0</v>
      </c>
      <c r="O4273" s="62"/>
      <c r="P4273" s="62"/>
    </row>
    <row r="4274" spans="1:16" x14ac:dyDescent="0.3">
      <c r="A4274" s="3">
        <f>A4272</f>
        <v>45729</v>
      </c>
      <c r="B4274" s="11" t="s">
        <v>7808</v>
      </c>
      <c r="C4274" s="65" t="s">
        <v>7809</v>
      </c>
      <c r="E4274" s="90" t="s">
        <v>16</v>
      </c>
      <c r="F4274" s="11"/>
      <c r="G4274" s="88"/>
      <c r="H4274" s="88">
        <v>500</v>
      </c>
      <c r="I4274" s="88">
        <f t="shared" si="352"/>
        <v>52716.369999999995</v>
      </c>
      <c r="J4274" s="62">
        <f t="shared" si="345"/>
        <v>43716.369999999995</v>
      </c>
      <c r="K4274" s="62"/>
      <c r="L4274" s="2">
        <f t="shared" si="353"/>
        <v>27</v>
      </c>
      <c r="M4274">
        <f t="shared" si="354"/>
        <v>0</v>
      </c>
      <c r="O4274" s="62"/>
      <c r="P4274" s="62"/>
    </row>
    <row r="4275" spans="1:16" x14ac:dyDescent="0.3">
      <c r="A4275" s="3">
        <f t="shared" si="341"/>
        <v>45729</v>
      </c>
      <c r="B4275" s="11" t="s">
        <v>5306</v>
      </c>
      <c r="C4275" s="65" t="s">
        <v>7810</v>
      </c>
      <c r="E4275" s="90" t="s">
        <v>2088</v>
      </c>
      <c r="F4275" s="11"/>
      <c r="G4275" s="88"/>
      <c r="H4275" s="88">
        <v>0</v>
      </c>
      <c r="I4275" s="88">
        <f t="shared" si="352"/>
        <v>52716.369999999995</v>
      </c>
      <c r="J4275" s="62">
        <f t="shared" si="345"/>
        <v>43716.369999999995</v>
      </c>
      <c r="K4275" s="62"/>
      <c r="L4275" s="2">
        <f t="shared" si="353"/>
        <v>0</v>
      </c>
      <c r="M4275">
        <f t="shared" si="354"/>
        <v>5</v>
      </c>
      <c r="O4275" s="62"/>
      <c r="P4275" s="62"/>
    </row>
    <row r="4276" spans="1:16" x14ac:dyDescent="0.3">
      <c r="A4276" s="3">
        <f t="shared" si="341"/>
        <v>45729</v>
      </c>
      <c r="B4276" s="11" t="s">
        <v>5071</v>
      </c>
      <c r="C4276" s="65" t="s">
        <v>7811</v>
      </c>
      <c r="E4276" s="90" t="s">
        <v>2088</v>
      </c>
      <c r="F4276" s="11"/>
      <c r="G4276" s="88"/>
      <c r="H4276" s="88"/>
      <c r="I4276" s="88">
        <f t="shared" si="352"/>
        <v>52716.369999999995</v>
      </c>
      <c r="J4276" s="62">
        <f t="shared" si="345"/>
        <v>43716.369999999995</v>
      </c>
      <c r="K4276" s="62"/>
      <c r="L4276" s="2">
        <f t="shared" si="353"/>
        <v>0</v>
      </c>
      <c r="M4276">
        <f t="shared" si="354"/>
        <v>5</v>
      </c>
      <c r="O4276" s="62"/>
      <c r="P4276" s="62"/>
    </row>
    <row r="4277" spans="1:16" x14ac:dyDescent="0.3">
      <c r="A4277" s="3">
        <f t="shared" si="341"/>
        <v>45729</v>
      </c>
      <c r="B4277" s="11" t="s">
        <v>7800</v>
      </c>
      <c r="C4277" s="65" t="s">
        <v>7284</v>
      </c>
      <c r="E4277" s="90" t="s">
        <v>7772</v>
      </c>
      <c r="F4277" s="11"/>
      <c r="G4277" s="88"/>
      <c r="H4277" s="88"/>
      <c r="I4277" s="88">
        <f t="shared" si="352"/>
        <v>52716.369999999995</v>
      </c>
      <c r="J4277" s="62">
        <f t="shared" si="345"/>
        <v>43716.369999999995</v>
      </c>
      <c r="K4277" s="62"/>
      <c r="L4277" s="2">
        <f t="shared" si="353"/>
        <v>0</v>
      </c>
      <c r="M4277">
        <f t="shared" si="354"/>
        <v>5</v>
      </c>
      <c r="O4277" s="62"/>
      <c r="P4277" s="62"/>
    </row>
    <row r="4278" spans="1:16" x14ac:dyDescent="0.3">
      <c r="A4278" s="3">
        <f t="shared" si="341"/>
        <v>45729</v>
      </c>
      <c r="B4278" s="11" t="s">
        <v>7800</v>
      </c>
      <c r="C4278" s="65" t="s">
        <v>7284</v>
      </c>
      <c r="F4278" s="11"/>
      <c r="G4278" s="88">
        <v>10000</v>
      </c>
      <c r="H4278" s="88"/>
      <c r="I4278" s="88">
        <f t="shared" si="352"/>
        <v>62716.369999999995</v>
      </c>
      <c r="J4278" s="62">
        <f t="shared" si="345"/>
        <v>53716.369999999995</v>
      </c>
      <c r="K4278" s="62"/>
      <c r="L4278" s="2">
        <f t="shared" si="353"/>
        <v>20</v>
      </c>
      <c r="M4278">
        <f t="shared" si="354"/>
        <v>0</v>
      </c>
      <c r="O4278" s="62"/>
      <c r="P4278" s="62"/>
    </row>
    <row r="4279" spans="1:16" x14ac:dyDescent="0.3">
      <c r="A4279" s="3">
        <f t="shared" si="341"/>
        <v>45729</v>
      </c>
      <c r="B4279" s="11" t="s">
        <v>7800</v>
      </c>
      <c r="C4279" s="65" t="s">
        <v>7284</v>
      </c>
      <c r="E4279" s="90" t="s">
        <v>7772</v>
      </c>
      <c r="F4279" s="11"/>
      <c r="G4279" s="88"/>
      <c r="H4279" s="88"/>
      <c r="I4279" s="88">
        <f t="shared" si="352"/>
        <v>62716.369999999995</v>
      </c>
      <c r="J4279" s="62">
        <f t="shared" si="345"/>
        <v>53716.369999999995</v>
      </c>
      <c r="K4279" s="62"/>
      <c r="L4279" s="2">
        <f t="shared" si="353"/>
        <v>0</v>
      </c>
      <c r="M4279">
        <f t="shared" si="354"/>
        <v>5</v>
      </c>
      <c r="O4279" s="62"/>
      <c r="P4279" s="62"/>
    </row>
    <row r="4280" spans="1:16" x14ac:dyDescent="0.3">
      <c r="A4280" s="3">
        <f t="shared" si="341"/>
        <v>45729</v>
      </c>
      <c r="B4280" s="11" t="s">
        <v>1250</v>
      </c>
      <c r="C4280" s="65" t="s">
        <v>7812</v>
      </c>
      <c r="F4280" s="11"/>
      <c r="G4280" s="88">
        <v>10000</v>
      </c>
      <c r="H4280" s="88"/>
      <c r="I4280" s="88">
        <f t="shared" si="352"/>
        <v>72716.37</v>
      </c>
      <c r="J4280" s="62">
        <f t="shared" si="345"/>
        <v>63716.369999999995</v>
      </c>
      <c r="K4280" s="62"/>
      <c r="L4280" s="2">
        <f t="shared" si="353"/>
        <v>20</v>
      </c>
      <c r="M4280">
        <f t="shared" si="354"/>
        <v>0</v>
      </c>
      <c r="O4280" s="62"/>
      <c r="P4280" s="62"/>
    </row>
    <row r="4281" spans="1:16" x14ac:dyDescent="0.3">
      <c r="A4281" s="3">
        <f t="shared" si="341"/>
        <v>45729</v>
      </c>
      <c r="B4281" s="11" t="s">
        <v>7813</v>
      </c>
      <c r="C4281" s="65" t="s">
        <v>7814</v>
      </c>
      <c r="F4281" s="11"/>
      <c r="G4281" s="88">
        <v>6000</v>
      </c>
      <c r="H4281" s="88"/>
      <c r="I4281" s="88">
        <f t="shared" si="352"/>
        <v>78716.37</v>
      </c>
      <c r="J4281" s="62">
        <f t="shared" si="345"/>
        <v>69716.37</v>
      </c>
      <c r="K4281" s="62"/>
      <c r="L4281" s="2">
        <f t="shared" si="353"/>
        <v>20</v>
      </c>
      <c r="M4281">
        <f t="shared" si="354"/>
        <v>0</v>
      </c>
      <c r="O4281" s="62"/>
      <c r="P4281" s="62"/>
    </row>
    <row r="4282" spans="1:16" x14ac:dyDescent="0.3">
      <c r="A4282" s="3">
        <f t="shared" si="341"/>
        <v>45729</v>
      </c>
      <c r="B4282" s="11" t="s">
        <v>7813</v>
      </c>
      <c r="C4282" s="65" t="s">
        <v>7814</v>
      </c>
      <c r="E4282" s="90" t="s">
        <v>2088</v>
      </c>
      <c r="F4282" s="11"/>
      <c r="G4282" s="88"/>
      <c r="H4282" s="88"/>
      <c r="I4282" s="88">
        <f t="shared" si="352"/>
        <v>78716.37</v>
      </c>
      <c r="J4282" s="62">
        <f t="shared" si="345"/>
        <v>69716.37</v>
      </c>
      <c r="K4282" s="62"/>
      <c r="L4282" s="2">
        <f t="shared" si="353"/>
        <v>0</v>
      </c>
      <c r="M4282">
        <f t="shared" si="354"/>
        <v>5</v>
      </c>
      <c r="O4282" s="62"/>
      <c r="P4282" s="62"/>
    </row>
    <row r="4283" spans="1:16" x14ac:dyDescent="0.3">
      <c r="A4283" s="3">
        <f t="shared" si="341"/>
        <v>45729</v>
      </c>
      <c r="B4283" s="11" t="s">
        <v>1472</v>
      </c>
      <c r="C4283" s="65" t="s">
        <v>7815</v>
      </c>
      <c r="F4283" s="11"/>
      <c r="G4283" s="88">
        <v>1000</v>
      </c>
      <c r="H4283" s="88"/>
      <c r="I4283" s="88">
        <f t="shared" si="352"/>
        <v>79716.37</v>
      </c>
      <c r="J4283" s="62">
        <f t="shared" si="345"/>
        <v>70716.37</v>
      </c>
      <c r="K4283" s="62"/>
      <c r="L4283" s="2">
        <f t="shared" si="353"/>
        <v>4</v>
      </c>
      <c r="M4283">
        <f t="shared" si="354"/>
        <v>0</v>
      </c>
      <c r="O4283" s="62"/>
      <c r="P4283" s="62"/>
    </row>
    <row r="4284" spans="1:16" x14ac:dyDescent="0.3">
      <c r="A4284" s="3">
        <f t="shared" si="341"/>
        <v>45729</v>
      </c>
      <c r="B4284" s="11" t="s">
        <v>7817</v>
      </c>
      <c r="C4284" s="65" t="s">
        <v>7820</v>
      </c>
      <c r="E4284" s="90" t="s">
        <v>14</v>
      </c>
      <c r="F4284" s="11"/>
      <c r="G4284" s="88"/>
      <c r="H4284" s="88">
        <v>300</v>
      </c>
      <c r="I4284" s="88">
        <f t="shared" si="352"/>
        <v>79416.37</v>
      </c>
      <c r="J4284" s="62">
        <f t="shared" si="345"/>
        <v>70416.37</v>
      </c>
      <c r="K4284" s="62"/>
      <c r="L4284" s="2">
        <f t="shared" si="353"/>
        <v>26.2</v>
      </c>
      <c r="M4284">
        <f t="shared" si="354"/>
        <v>0</v>
      </c>
      <c r="O4284" s="62"/>
      <c r="P4284" s="62"/>
    </row>
    <row r="4285" spans="1:16" x14ac:dyDescent="0.3">
      <c r="A4285" s="3">
        <f t="shared" si="341"/>
        <v>45729</v>
      </c>
      <c r="B4285" s="11" t="s">
        <v>7418</v>
      </c>
      <c r="C4285" s="65" t="s">
        <v>6651</v>
      </c>
      <c r="E4285" s="90" t="s">
        <v>2088</v>
      </c>
      <c r="F4285" s="11"/>
      <c r="G4285" s="88"/>
      <c r="H4285" s="88">
        <v>0</v>
      </c>
      <c r="I4285" s="88">
        <f t="shared" si="352"/>
        <v>79416.37</v>
      </c>
      <c r="J4285" s="62">
        <f t="shared" si="345"/>
        <v>70416.37</v>
      </c>
      <c r="K4285" s="62"/>
      <c r="L4285" s="2">
        <f t="shared" si="353"/>
        <v>0</v>
      </c>
      <c r="M4285">
        <f t="shared" si="354"/>
        <v>5</v>
      </c>
      <c r="O4285" s="62"/>
      <c r="P4285" s="62"/>
    </row>
    <row r="4286" spans="1:16" x14ac:dyDescent="0.3">
      <c r="A4286" s="3">
        <f t="shared" si="341"/>
        <v>45729</v>
      </c>
      <c r="B4286" s="11" t="s">
        <v>7255</v>
      </c>
      <c r="C4286" s="65" t="s">
        <v>2492</v>
      </c>
      <c r="E4286" s="90" t="s">
        <v>2088</v>
      </c>
      <c r="F4286" s="11"/>
      <c r="G4286" s="88"/>
      <c r="H4286" s="88">
        <v>0</v>
      </c>
      <c r="I4286" s="88">
        <f t="shared" si="352"/>
        <v>79416.37</v>
      </c>
      <c r="J4286" s="62">
        <f t="shared" si="345"/>
        <v>70416.37</v>
      </c>
      <c r="K4286" s="62"/>
      <c r="L4286" s="2">
        <f t="shared" si="353"/>
        <v>0</v>
      </c>
      <c r="M4286">
        <f t="shared" si="354"/>
        <v>5</v>
      </c>
      <c r="O4286" s="62"/>
      <c r="P4286" s="62"/>
    </row>
    <row r="4287" spans="1:16" x14ac:dyDescent="0.3">
      <c r="A4287" s="3">
        <f t="shared" si="341"/>
        <v>45729</v>
      </c>
      <c r="B4287" s="11" t="s">
        <v>6998</v>
      </c>
      <c r="C4287" s="65" t="s">
        <v>7347</v>
      </c>
      <c r="E4287" s="90" t="s">
        <v>2088</v>
      </c>
      <c r="F4287" s="11"/>
      <c r="G4287" s="88"/>
      <c r="H4287" s="88"/>
      <c r="I4287" s="88">
        <f t="shared" si="352"/>
        <v>79416.37</v>
      </c>
      <c r="J4287" s="62">
        <f t="shared" si="345"/>
        <v>70416.37</v>
      </c>
      <c r="K4287" s="62"/>
      <c r="L4287" s="2">
        <f t="shared" si="353"/>
        <v>0</v>
      </c>
      <c r="M4287">
        <f t="shared" si="354"/>
        <v>5</v>
      </c>
      <c r="O4287" s="62"/>
      <c r="P4287" s="62"/>
    </row>
    <row r="4288" spans="1:16" x14ac:dyDescent="0.3">
      <c r="A4288" s="3">
        <f t="shared" si="341"/>
        <v>45729</v>
      </c>
      <c r="B4288" s="11" t="s">
        <v>6998</v>
      </c>
      <c r="C4288" s="65" t="s">
        <v>7347</v>
      </c>
      <c r="F4288" s="11"/>
      <c r="G4288" s="88">
        <v>7500</v>
      </c>
      <c r="H4288" s="88"/>
      <c r="I4288" s="88">
        <f t="shared" si="352"/>
        <v>86916.37</v>
      </c>
      <c r="J4288" s="62">
        <f t="shared" si="345"/>
        <v>77916.37</v>
      </c>
      <c r="K4288" s="62"/>
      <c r="L4288" s="2">
        <f t="shared" si="353"/>
        <v>20</v>
      </c>
      <c r="M4288">
        <f t="shared" si="354"/>
        <v>0</v>
      </c>
      <c r="O4288" s="62"/>
      <c r="P4288" s="62"/>
    </row>
    <row r="4289" spans="1:16" x14ac:dyDescent="0.3">
      <c r="A4289" s="3">
        <f t="shared" si="341"/>
        <v>45729</v>
      </c>
      <c r="B4289" s="11" t="s">
        <v>6998</v>
      </c>
      <c r="C4289" s="65" t="s">
        <v>7347</v>
      </c>
      <c r="E4289" s="90" t="s">
        <v>2088</v>
      </c>
      <c r="F4289" s="11"/>
      <c r="G4289" s="88"/>
      <c r="H4289" s="88"/>
      <c r="I4289" s="88">
        <f t="shared" si="352"/>
        <v>86916.37</v>
      </c>
      <c r="J4289" s="62">
        <f t="shared" si="345"/>
        <v>77916.37</v>
      </c>
      <c r="K4289" s="62"/>
      <c r="L4289" s="2">
        <f t="shared" si="353"/>
        <v>0</v>
      </c>
      <c r="M4289">
        <f t="shared" si="354"/>
        <v>5</v>
      </c>
      <c r="O4289" s="62"/>
      <c r="P4289" s="62"/>
    </row>
    <row r="4290" spans="1:16" x14ac:dyDescent="0.3">
      <c r="A4290" s="3">
        <f t="shared" si="341"/>
        <v>45729</v>
      </c>
      <c r="B4290" s="11" t="s">
        <v>7738</v>
      </c>
      <c r="C4290" s="65" t="s">
        <v>7819</v>
      </c>
      <c r="F4290" s="11"/>
      <c r="G4290" s="88">
        <v>500</v>
      </c>
      <c r="H4290" s="88"/>
      <c r="I4290" s="88">
        <f t="shared" si="352"/>
        <v>87416.37</v>
      </c>
      <c r="J4290" s="62">
        <f t="shared" si="345"/>
        <v>78416.37</v>
      </c>
      <c r="K4290" s="62"/>
      <c r="L4290" s="2">
        <f t="shared" si="353"/>
        <v>2</v>
      </c>
      <c r="M4290">
        <f t="shared" si="354"/>
        <v>0</v>
      </c>
      <c r="O4290" s="62"/>
      <c r="P4290" s="62"/>
    </row>
    <row r="4291" spans="1:16" x14ac:dyDescent="0.3">
      <c r="A4291" s="3">
        <f t="shared" si="341"/>
        <v>45729</v>
      </c>
      <c r="B4291" s="11" t="s">
        <v>7823</v>
      </c>
      <c r="C4291" s="65" t="s">
        <v>7824</v>
      </c>
      <c r="E4291" s="90" t="s">
        <v>2088</v>
      </c>
      <c r="F4291" s="11"/>
      <c r="G4291" s="88"/>
      <c r="H4291" s="88">
        <v>0</v>
      </c>
      <c r="I4291" s="88">
        <f t="shared" si="352"/>
        <v>87416.37</v>
      </c>
      <c r="J4291" s="62">
        <f t="shared" si="345"/>
        <v>78416.37</v>
      </c>
      <c r="K4291" s="62"/>
      <c r="L4291" s="2">
        <f t="shared" si="353"/>
        <v>0</v>
      </c>
      <c r="M4291">
        <f t="shared" si="354"/>
        <v>5</v>
      </c>
      <c r="O4291" s="62"/>
      <c r="P4291" s="62"/>
    </row>
    <row r="4292" spans="1:16" x14ac:dyDescent="0.3">
      <c r="A4292" s="3">
        <f t="shared" si="341"/>
        <v>45729</v>
      </c>
      <c r="B4292" s="11" t="s">
        <v>1250</v>
      </c>
      <c r="C4292" s="65" t="s">
        <v>7037</v>
      </c>
      <c r="F4292" s="11"/>
      <c r="G4292" s="88">
        <v>1000</v>
      </c>
      <c r="H4292" s="88"/>
      <c r="I4292" s="88">
        <f t="shared" si="352"/>
        <v>88416.37</v>
      </c>
      <c r="J4292" s="62">
        <f t="shared" si="345"/>
        <v>79416.37</v>
      </c>
      <c r="K4292" s="62"/>
      <c r="L4292" s="2">
        <f t="shared" si="353"/>
        <v>4</v>
      </c>
      <c r="M4292">
        <f t="shared" si="354"/>
        <v>0</v>
      </c>
      <c r="O4292" s="62"/>
      <c r="P4292" s="62"/>
    </row>
    <row r="4293" spans="1:16" x14ac:dyDescent="0.3">
      <c r="A4293" s="3">
        <f t="shared" si="341"/>
        <v>45729</v>
      </c>
      <c r="B4293" s="11" t="s">
        <v>7826</v>
      </c>
      <c r="C4293" s="65" t="s">
        <v>7827</v>
      </c>
      <c r="E4293" s="90" t="s">
        <v>16</v>
      </c>
      <c r="F4293" s="11"/>
      <c r="G4293" s="88"/>
      <c r="H4293" s="88">
        <v>500</v>
      </c>
      <c r="I4293" s="88">
        <f t="shared" si="352"/>
        <v>87916.37</v>
      </c>
      <c r="J4293" s="62">
        <f t="shared" si="345"/>
        <v>78916.37</v>
      </c>
      <c r="K4293" s="62"/>
      <c r="L4293" s="2">
        <f t="shared" si="353"/>
        <v>27</v>
      </c>
      <c r="M4293">
        <f t="shared" si="354"/>
        <v>0</v>
      </c>
      <c r="O4293" s="62"/>
      <c r="P4293" s="62"/>
    </row>
    <row r="4294" spans="1:16" x14ac:dyDescent="0.3">
      <c r="A4294" s="3">
        <f t="shared" si="341"/>
        <v>45729</v>
      </c>
      <c r="B4294" s="11" t="s">
        <v>7514</v>
      </c>
      <c r="C4294" s="65" t="s">
        <v>7347</v>
      </c>
      <c r="F4294" s="11"/>
      <c r="G4294" s="88">
        <v>2000</v>
      </c>
      <c r="H4294" s="88"/>
      <c r="I4294" s="88">
        <f t="shared" si="352"/>
        <v>89916.37</v>
      </c>
      <c r="J4294" s="62">
        <f t="shared" si="345"/>
        <v>80916.37</v>
      </c>
      <c r="K4294" s="62"/>
      <c r="L4294" s="2">
        <f t="shared" si="353"/>
        <v>8</v>
      </c>
      <c r="M4294">
        <f t="shared" si="354"/>
        <v>0</v>
      </c>
      <c r="O4294" s="62"/>
      <c r="P4294" s="62"/>
    </row>
    <row r="4295" spans="1:16" x14ac:dyDescent="0.3">
      <c r="A4295" s="3">
        <f t="shared" si="341"/>
        <v>45729</v>
      </c>
      <c r="B4295" s="11" t="s">
        <v>3415</v>
      </c>
      <c r="C4295" s="65" t="s">
        <v>6246</v>
      </c>
      <c r="F4295" s="11"/>
      <c r="G4295" s="88">
        <v>1500</v>
      </c>
      <c r="H4295" s="88"/>
      <c r="I4295" s="88">
        <f t="shared" si="352"/>
        <v>91416.37</v>
      </c>
      <c r="J4295" s="62">
        <f t="shared" si="345"/>
        <v>82416.37</v>
      </c>
      <c r="K4295" s="62"/>
      <c r="L4295" s="2">
        <f t="shared" si="353"/>
        <v>6</v>
      </c>
      <c r="M4295">
        <f t="shared" si="354"/>
        <v>0</v>
      </c>
      <c r="O4295" s="62"/>
      <c r="P4295" s="62"/>
    </row>
    <row r="4296" spans="1:16" x14ac:dyDescent="0.3">
      <c r="A4296" s="3">
        <f t="shared" si="341"/>
        <v>45729</v>
      </c>
      <c r="B4296" s="11" t="s">
        <v>5230</v>
      </c>
      <c r="C4296" s="65" t="s">
        <v>5231</v>
      </c>
      <c r="E4296" s="90" t="s">
        <v>2088</v>
      </c>
      <c r="F4296" s="11"/>
      <c r="G4296" s="88"/>
      <c r="H4296" s="88">
        <v>0</v>
      </c>
      <c r="I4296" s="88">
        <f t="shared" si="352"/>
        <v>91416.37</v>
      </c>
      <c r="J4296" s="62">
        <f t="shared" si="345"/>
        <v>82416.37</v>
      </c>
      <c r="K4296" s="62"/>
      <c r="L4296" s="2">
        <f t="shared" si="353"/>
        <v>0</v>
      </c>
      <c r="M4296">
        <f t="shared" si="354"/>
        <v>5</v>
      </c>
      <c r="O4296" s="62"/>
      <c r="P4296" s="62"/>
    </row>
    <row r="4297" spans="1:16" x14ac:dyDescent="0.3">
      <c r="A4297" s="3">
        <v>45730</v>
      </c>
      <c r="B4297" s="11" t="s">
        <v>5238</v>
      </c>
      <c r="C4297" s="65" t="s">
        <v>7828</v>
      </c>
      <c r="E4297" s="90" t="s">
        <v>2088</v>
      </c>
      <c r="F4297" s="11"/>
      <c r="G4297" s="88"/>
      <c r="H4297" s="88"/>
      <c r="I4297" s="88">
        <f t="shared" si="352"/>
        <v>91416.37</v>
      </c>
      <c r="J4297" s="62">
        <f t="shared" si="345"/>
        <v>82416.37</v>
      </c>
      <c r="K4297" s="62"/>
      <c r="L4297" s="2">
        <f t="shared" si="353"/>
        <v>0</v>
      </c>
      <c r="M4297">
        <f t="shared" si="354"/>
        <v>5</v>
      </c>
      <c r="O4297" s="62"/>
      <c r="P4297" s="62"/>
    </row>
    <row r="4298" spans="1:16" x14ac:dyDescent="0.3">
      <c r="A4298" s="3">
        <f t="shared" si="341"/>
        <v>45730</v>
      </c>
      <c r="B4298" s="11" t="s">
        <v>7829</v>
      </c>
      <c r="C4298" s="65" t="s">
        <v>7830</v>
      </c>
      <c r="E4298" s="90" t="s">
        <v>2088</v>
      </c>
      <c r="F4298" s="11"/>
      <c r="G4298" s="88"/>
      <c r="H4298" s="88"/>
      <c r="I4298" s="88">
        <f t="shared" si="352"/>
        <v>91416.37</v>
      </c>
      <c r="J4298" s="62">
        <f t="shared" si="345"/>
        <v>82416.37</v>
      </c>
      <c r="K4298" s="62"/>
      <c r="L4298" s="2">
        <f t="shared" si="353"/>
        <v>0</v>
      </c>
      <c r="M4298">
        <f t="shared" si="354"/>
        <v>5</v>
      </c>
      <c r="O4298" s="62"/>
      <c r="P4298" s="62"/>
    </row>
    <row r="4299" spans="1:16" x14ac:dyDescent="0.3">
      <c r="A4299" s="3">
        <f>A4298</f>
        <v>45730</v>
      </c>
      <c r="B4299" s="11" t="s">
        <v>6522</v>
      </c>
      <c r="C4299" s="65" t="s">
        <v>7831</v>
      </c>
      <c r="F4299" s="11"/>
      <c r="G4299" s="88">
        <v>7000</v>
      </c>
      <c r="H4299" s="88"/>
      <c r="I4299" s="88">
        <f t="shared" si="352"/>
        <v>98416.37</v>
      </c>
      <c r="J4299" s="62">
        <f t="shared" si="345"/>
        <v>89416.37</v>
      </c>
      <c r="K4299" s="62"/>
      <c r="L4299" s="2">
        <f t="shared" si="353"/>
        <v>20</v>
      </c>
      <c r="M4299">
        <f t="shared" si="354"/>
        <v>0</v>
      </c>
      <c r="O4299" s="62"/>
      <c r="P4299" s="62"/>
    </row>
    <row r="4300" spans="1:16" x14ac:dyDescent="0.3">
      <c r="A4300" s="3">
        <f t="shared" si="341"/>
        <v>45730</v>
      </c>
      <c r="B4300" s="11" t="s">
        <v>1250</v>
      </c>
      <c r="C4300" s="65" t="s">
        <v>5909</v>
      </c>
      <c r="F4300" s="11"/>
      <c r="G4300" s="88">
        <v>100</v>
      </c>
      <c r="H4300" s="88"/>
      <c r="I4300" s="88">
        <f t="shared" si="352"/>
        <v>98516.37</v>
      </c>
      <c r="J4300" s="62">
        <f t="shared" si="345"/>
        <v>89516.37</v>
      </c>
      <c r="K4300" s="62"/>
      <c r="L4300" s="2">
        <f t="shared" si="353"/>
        <v>0.4</v>
      </c>
      <c r="M4300">
        <f t="shared" si="354"/>
        <v>0</v>
      </c>
      <c r="O4300" s="62"/>
      <c r="P4300" s="62"/>
    </row>
    <row r="4301" spans="1:16" x14ac:dyDescent="0.3">
      <c r="A4301" s="3">
        <v>45731</v>
      </c>
      <c r="B4301" s="11" t="s">
        <v>1250</v>
      </c>
      <c r="C4301" s="65" t="s">
        <v>2626</v>
      </c>
      <c r="F4301" s="11"/>
      <c r="G4301" s="88">
        <v>500</v>
      </c>
      <c r="H4301" s="88"/>
      <c r="I4301" s="88">
        <f t="shared" si="352"/>
        <v>99016.37</v>
      </c>
      <c r="J4301" s="62">
        <f t="shared" si="345"/>
        <v>90016.37</v>
      </c>
      <c r="K4301" s="62"/>
      <c r="L4301" s="2">
        <f t="shared" ref="L4301:L4312" si="355">IF((G4301+H4301)&lt;=5000,(H4301+G4301)*0.004,20)+IF(E4301="Y",25,0)</f>
        <v>2</v>
      </c>
      <c r="M4301">
        <f t="shared" ref="M4301:M4312" si="356">IF(E4301="p",5,0)</f>
        <v>0</v>
      </c>
      <c r="O4301" s="62"/>
      <c r="P4301" s="62"/>
    </row>
    <row r="4302" spans="1:16" x14ac:dyDescent="0.3">
      <c r="A4302" s="3">
        <f t="shared" si="341"/>
        <v>45731</v>
      </c>
      <c r="B4302" s="11" t="s">
        <v>5336</v>
      </c>
      <c r="C4302" s="65" t="s">
        <v>7832</v>
      </c>
      <c r="E4302" s="90" t="s">
        <v>2088</v>
      </c>
      <c r="F4302" s="11"/>
      <c r="G4302" s="88"/>
      <c r="H4302" s="88"/>
      <c r="I4302" s="88">
        <f t="shared" si="352"/>
        <v>99016.37</v>
      </c>
      <c r="J4302" s="62">
        <f t="shared" si="345"/>
        <v>90016.37</v>
      </c>
      <c r="K4302" s="62"/>
      <c r="L4302" s="2">
        <f t="shared" si="355"/>
        <v>0</v>
      </c>
      <c r="M4302">
        <f t="shared" si="356"/>
        <v>5</v>
      </c>
      <c r="O4302" s="62"/>
      <c r="P4302" s="62"/>
    </row>
    <row r="4303" spans="1:16" x14ac:dyDescent="0.3">
      <c r="A4303" s="3">
        <v>45731</v>
      </c>
      <c r="B4303" s="11" t="s">
        <v>7649</v>
      </c>
      <c r="C4303" s="65" t="s">
        <v>7753</v>
      </c>
      <c r="E4303" s="90" t="s">
        <v>2088</v>
      </c>
      <c r="F4303" s="11"/>
      <c r="G4303" s="88"/>
      <c r="H4303" s="88"/>
      <c r="I4303" s="88">
        <f t="shared" si="352"/>
        <v>99016.37</v>
      </c>
      <c r="J4303" s="62">
        <f t="shared" si="345"/>
        <v>90016.37</v>
      </c>
      <c r="K4303" s="62"/>
      <c r="L4303" s="2">
        <f t="shared" si="355"/>
        <v>0</v>
      </c>
      <c r="M4303">
        <f t="shared" si="356"/>
        <v>5</v>
      </c>
      <c r="O4303" s="62"/>
      <c r="P4303" s="62"/>
    </row>
    <row r="4304" spans="1:16" x14ac:dyDescent="0.3">
      <c r="A4304" s="3">
        <v>45731</v>
      </c>
      <c r="B4304" s="11" t="s">
        <v>7649</v>
      </c>
      <c r="C4304" s="65" t="s">
        <v>7753</v>
      </c>
      <c r="F4304" s="11"/>
      <c r="G4304" s="88"/>
      <c r="H4304" s="88">
        <v>16000</v>
      </c>
      <c r="I4304" s="88">
        <f t="shared" si="352"/>
        <v>83016.37</v>
      </c>
      <c r="J4304" s="62">
        <f t="shared" si="345"/>
        <v>74016.37</v>
      </c>
      <c r="K4304" s="62"/>
      <c r="L4304" s="2">
        <f t="shared" si="355"/>
        <v>20</v>
      </c>
      <c r="M4304">
        <f t="shared" si="356"/>
        <v>0</v>
      </c>
      <c r="O4304" s="62"/>
      <c r="P4304" s="62"/>
    </row>
    <row r="4305" spans="1:16" x14ac:dyDescent="0.3">
      <c r="A4305" s="3">
        <f t="shared" si="341"/>
        <v>45731</v>
      </c>
      <c r="B4305" s="11" t="s">
        <v>7405</v>
      </c>
      <c r="C4305" s="65" t="s">
        <v>7407</v>
      </c>
      <c r="F4305" s="11"/>
      <c r="G4305" s="88"/>
      <c r="H4305" s="88">
        <v>2000</v>
      </c>
      <c r="I4305" s="88">
        <f t="shared" si="352"/>
        <v>81016.37</v>
      </c>
      <c r="J4305" s="62">
        <f t="shared" ref="J4305:J4368" si="357">I4305-9000</f>
        <v>72016.37</v>
      </c>
      <c r="K4305" s="62"/>
      <c r="L4305" s="2">
        <f t="shared" si="355"/>
        <v>8</v>
      </c>
      <c r="M4305">
        <f t="shared" si="356"/>
        <v>0</v>
      </c>
      <c r="O4305" s="62"/>
      <c r="P4305" s="62"/>
    </row>
    <row r="4306" spans="1:16" x14ac:dyDescent="0.3">
      <c r="A4306" s="3">
        <f t="shared" si="341"/>
        <v>45731</v>
      </c>
      <c r="B4306" s="11" t="s">
        <v>7405</v>
      </c>
      <c r="C4306" s="65" t="s">
        <v>7407</v>
      </c>
      <c r="E4306" s="90" t="s">
        <v>2088</v>
      </c>
      <c r="F4306" s="11"/>
      <c r="G4306" s="88"/>
      <c r="H4306" s="88"/>
      <c r="I4306" s="88">
        <f t="shared" si="352"/>
        <v>81016.37</v>
      </c>
      <c r="J4306" s="62">
        <f t="shared" si="357"/>
        <v>72016.37</v>
      </c>
      <c r="K4306" s="62"/>
      <c r="L4306" s="2">
        <f t="shared" si="355"/>
        <v>0</v>
      </c>
      <c r="M4306">
        <f t="shared" si="356"/>
        <v>5</v>
      </c>
      <c r="O4306" s="62"/>
      <c r="P4306" s="62"/>
    </row>
    <row r="4307" spans="1:16" x14ac:dyDescent="0.3">
      <c r="A4307" s="3">
        <f t="shared" si="341"/>
        <v>45731</v>
      </c>
      <c r="B4307" s="11" t="s">
        <v>1250</v>
      </c>
      <c r="C4307" s="65" t="s">
        <v>2443</v>
      </c>
      <c r="F4307" s="11"/>
      <c r="G4307" s="88">
        <v>1500</v>
      </c>
      <c r="H4307" s="88"/>
      <c r="I4307" s="88">
        <f t="shared" si="352"/>
        <v>82516.37</v>
      </c>
      <c r="J4307" s="62">
        <f t="shared" si="357"/>
        <v>73516.37</v>
      </c>
      <c r="K4307" s="62"/>
      <c r="L4307" s="2">
        <f t="shared" si="355"/>
        <v>6</v>
      </c>
      <c r="M4307">
        <f t="shared" si="356"/>
        <v>0</v>
      </c>
      <c r="O4307" s="62"/>
      <c r="P4307" s="62"/>
    </row>
    <row r="4308" spans="1:16" x14ac:dyDescent="0.3">
      <c r="A4308" s="3">
        <f t="shared" si="341"/>
        <v>45731</v>
      </c>
      <c r="B4308" s="11" t="s">
        <v>6522</v>
      </c>
      <c r="C4308" s="65" t="s">
        <v>7833</v>
      </c>
      <c r="F4308" s="11"/>
      <c r="G4308" s="88">
        <v>7500</v>
      </c>
      <c r="H4308" s="88"/>
      <c r="I4308" s="88">
        <f t="shared" si="352"/>
        <v>90016.37</v>
      </c>
      <c r="J4308" s="62">
        <f t="shared" si="357"/>
        <v>81016.37</v>
      </c>
      <c r="K4308" s="62"/>
      <c r="L4308" s="2">
        <f t="shared" si="355"/>
        <v>20</v>
      </c>
      <c r="M4308">
        <f t="shared" si="356"/>
        <v>0</v>
      </c>
      <c r="O4308" s="62"/>
      <c r="P4308" s="62"/>
    </row>
    <row r="4309" spans="1:16" x14ac:dyDescent="0.3">
      <c r="A4309" s="3">
        <f t="shared" si="341"/>
        <v>45731</v>
      </c>
      <c r="B4309" s="11" t="s">
        <v>7834</v>
      </c>
      <c r="C4309" s="65" t="s">
        <v>7835</v>
      </c>
      <c r="E4309" s="90" t="s">
        <v>2088</v>
      </c>
      <c r="F4309" s="11"/>
      <c r="G4309" s="88"/>
      <c r="H4309" s="88"/>
      <c r="I4309" s="88">
        <f t="shared" si="352"/>
        <v>90016.37</v>
      </c>
      <c r="J4309" s="62">
        <f t="shared" si="357"/>
        <v>81016.37</v>
      </c>
      <c r="K4309" s="62"/>
      <c r="L4309" s="2">
        <f t="shared" si="355"/>
        <v>0</v>
      </c>
      <c r="M4309">
        <f t="shared" si="356"/>
        <v>5</v>
      </c>
      <c r="O4309" s="62"/>
      <c r="P4309" s="62"/>
    </row>
    <row r="4310" spans="1:16" x14ac:dyDescent="0.3">
      <c r="A4310" s="3">
        <f t="shared" si="341"/>
        <v>45731</v>
      </c>
      <c r="B4310" s="11" t="s">
        <v>7834</v>
      </c>
      <c r="C4310" s="65" t="s">
        <v>7835</v>
      </c>
      <c r="F4310" s="11"/>
      <c r="G4310" s="88">
        <v>5000</v>
      </c>
      <c r="H4310" s="88"/>
      <c r="I4310" s="88">
        <f t="shared" si="352"/>
        <v>95016.37</v>
      </c>
      <c r="J4310" s="62">
        <f t="shared" si="357"/>
        <v>86016.37</v>
      </c>
      <c r="K4310" s="62"/>
      <c r="L4310" s="2">
        <f t="shared" si="355"/>
        <v>20</v>
      </c>
      <c r="M4310">
        <f t="shared" si="356"/>
        <v>0</v>
      </c>
      <c r="O4310" s="62"/>
      <c r="P4310" s="62"/>
    </row>
    <row r="4311" spans="1:16" x14ac:dyDescent="0.3">
      <c r="A4311" s="3">
        <f t="shared" si="341"/>
        <v>45731</v>
      </c>
      <c r="B4311" s="11" t="s">
        <v>7834</v>
      </c>
      <c r="C4311" s="65" t="s">
        <v>7835</v>
      </c>
      <c r="E4311" s="90" t="s">
        <v>2088</v>
      </c>
      <c r="F4311" s="11"/>
      <c r="G4311" s="88"/>
      <c r="H4311" s="88"/>
      <c r="I4311" s="88">
        <f t="shared" si="352"/>
        <v>95016.37</v>
      </c>
      <c r="J4311" s="62">
        <f t="shared" si="357"/>
        <v>86016.37</v>
      </c>
      <c r="K4311" s="62"/>
      <c r="L4311" s="2">
        <f t="shared" si="355"/>
        <v>0</v>
      </c>
      <c r="M4311">
        <f t="shared" si="356"/>
        <v>5</v>
      </c>
      <c r="O4311" s="62"/>
      <c r="P4311" s="62"/>
    </row>
    <row r="4312" spans="1:16" x14ac:dyDescent="0.3">
      <c r="A4312" s="3">
        <f t="shared" si="341"/>
        <v>45731</v>
      </c>
      <c r="B4312" s="11" t="s">
        <v>1250</v>
      </c>
      <c r="C4312" s="65"/>
      <c r="E4312" s="90" t="s">
        <v>2088</v>
      </c>
      <c r="F4312" s="11"/>
      <c r="G4312" s="88"/>
      <c r="H4312" s="88"/>
      <c r="I4312" s="88">
        <f t="shared" si="352"/>
        <v>95016.37</v>
      </c>
      <c r="J4312" s="62">
        <f t="shared" si="357"/>
        <v>86016.37</v>
      </c>
      <c r="K4312" s="62"/>
      <c r="L4312" s="2">
        <f t="shared" si="355"/>
        <v>0</v>
      </c>
      <c r="M4312">
        <f t="shared" si="356"/>
        <v>5</v>
      </c>
      <c r="O4312" s="62"/>
      <c r="P4312" s="62"/>
    </row>
    <row r="4313" spans="1:16" x14ac:dyDescent="0.3">
      <c r="A4313" s="3">
        <f t="shared" si="341"/>
        <v>45731</v>
      </c>
      <c r="B4313" s="11" t="s">
        <v>5267</v>
      </c>
      <c r="C4313" s="65" t="s">
        <v>7319</v>
      </c>
      <c r="E4313" s="90" t="s">
        <v>2088</v>
      </c>
      <c r="F4313" s="11"/>
      <c r="G4313" s="88"/>
      <c r="H4313" s="88"/>
      <c r="I4313" s="88">
        <f t="shared" si="352"/>
        <v>95016.37</v>
      </c>
      <c r="J4313" s="62">
        <f t="shared" si="357"/>
        <v>86016.37</v>
      </c>
      <c r="K4313" s="62"/>
      <c r="L4313" s="2">
        <f t="shared" ref="L4313:L4327" si="358">IF((G4313+H4313)&lt;=5000,(H4313+G4313)*0.004,20)+IF(E4313="Y",25,0)</f>
        <v>0</v>
      </c>
      <c r="M4313">
        <f t="shared" ref="M4313:M4327" si="359">IF(E4313="p",5,0)</f>
        <v>5</v>
      </c>
      <c r="O4313" s="62"/>
      <c r="P4313" s="62"/>
    </row>
    <row r="4314" spans="1:16" x14ac:dyDescent="0.3">
      <c r="A4314" s="3">
        <f t="shared" si="341"/>
        <v>45731</v>
      </c>
      <c r="B4314" s="11" t="s">
        <v>4081</v>
      </c>
      <c r="C4314" s="65" t="s">
        <v>1963</v>
      </c>
      <c r="E4314" s="90" t="s">
        <v>2088</v>
      </c>
      <c r="F4314" s="11"/>
      <c r="G4314" s="88"/>
      <c r="H4314" s="88"/>
      <c r="I4314" s="88">
        <f t="shared" si="352"/>
        <v>95016.37</v>
      </c>
      <c r="J4314" s="62">
        <f t="shared" si="357"/>
        <v>86016.37</v>
      </c>
      <c r="K4314" s="62"/>
      <c r="L4314" s="2">
        <f t="shared" si="358"/>
        <v>0</v>
      </c>
      <c r="M4314">
        <f t="shared" si="359"/>
        <v>5</v>
      </c>
      <c r="O4314" s="62"/>
      <c r="P4314" s="62"/>
    </row>
    <row r="4315" spans="1:16" x14ac:dyDescent="0.3">
      <c r="A4315" s="3">
        <f t="shared" si="341"/>
        <v>45731</v>
      </c>
      <c r="B4315" s="11" t="s">
        <v>4081</v>
      </c>
      <c r="C4315" s="65" t="s">
        <v>1963</v>
      </c>
      <c r="F4315" s="11"/>
      <c r="G4315" s="88">
        <v>5000</v>
      </c>
      <c r="H4315" s="88"/>
      <c r="I4315" s="88">
        <f t="shared" si="352"/>
        <v>100016.37</v>
      </c>
      <c r="J4315" s="62">
        <f t="shared" si="357"/>
        <v>91016.37</v>
      </c>
      <c r="K4315" s="62"/>
      <c r="L4315" s="2">
        <f t="shared" si="358"/>
        <v>20</v>
      </c>
      <c r="M4315">
        <f t="shared" si="359"/>
        <v>0</v>
      </c>
      <c r="O4315" s="62"/>
      <c r="P4315" s="62"/>
    </row>
    <row r="4316" spans="1:16" x14ac:dyDescent="0.3">
      <c r="A4316" s="3">
        <f t="shared" si="341"/>
        <v>45731</v>
      </c>
      <c r="B4316" s="11" t="s">
        <v>4081</v>
      </c>
      <c r="C4316" s="65" t="s">
        <v>1963</v>
      </c>
      <c r="E4316" s="90" t="s">
        <v>2088</v>
      </c>
      <c r="F4316" s="11"/>
      <c r="G4316" s="88"/>
      <c r="H4316" s="88"/>
      <c r="I4316" s="88">
        <f t="shared" si="352"/>
        <v>100016.37</v>
      </c>
      <c r="J4316" s="62">
        <f t="shared" si="357"/>
        <v>91016.37</v>
      </c>
      <c r="K4316" s="62"/>
      <c r="L4316" s="2">
        <f t="shared" si="358"/>
        <v>0</v>
      </c>
      <c r="M4316">
        <f t="shared" si="359"/>
        <v>5</v>
      </c>
      <c r="O4316" s="62"/>
      <c r="P4316" s="62"/>
    </row>
    <row r="4317" spans="1:16" x14ac:dyDescent="0.3">
      <c r="A4317" s="3">
        <f t="shared" si="341"/>
        <v>45731</v>
      </c>
      <c r="B4317" s="11" t="s">
        <v>3524</v>
      </c>
      <c r="C4317" s="65" t="s">
        <v>3088</v>
      </c>
      <c r="F4317" s="11"/>
      <c r="G4317" s="88"/>
      <c r="H4317" s="147">
        <v>10000</v>
      </c>
      <c r="I4317" s="88">
        <f t="shared" si="352"/>
        <v>90016.37</v>
      </c>
      <c r="J4317" s="62">
        <f t="shared" si="357"/>
        <v>81016.37</v>
      </c>
      <c r="K4317" s="62"/>
      <c r="L4317" s="2">
        <f t="shared" si="358"/>
        <v>20</v>
      </c>
      <c r="M4317">
        <f t="shared" si="359"/>
        <v>0</v>
      </c>
      <c r="O4317" s="62"/>
      <c r="P4317" s="62"/>
    </row>
    <row r="4318" spans="1:16" x14ac:dyDescent="0.3">
      <c r="A4318" s="3">
        <f t="shared" si="341"/>
        <v>45731</v>
      </c>
      <c r="B4318" s="11" t="s">
        <v>7837</v>
      </c>
      <c r="C4318" s="65" t="s">
        <v>7838</v>
      </c>
      <c r="E4318" s="90" t="s">
        <v>16</v>
      </c>
      <c r="F4318" s="11"/>
      <c r="G4318" s="88"/>
      <c r="H4318" s="88">
        <v>500</v>
      </c>
      <c r="I4318" s="88">
        <f t="shared" si="352"/>
        <v>89516.37</v>
      </c>
      <c r="J4318" s="62">
        <f t="shared" si="357"/>
        <v>80516.37</v>
      </c>
      <c r="K4318" s="62"/>
      <c r="L4318" s="2">
        <f t="shared" si="358"/>
        <v>27</v>
      </c>
      <c r="M4318">
        <f t="shared" si="359"/>
        <v>0</v>
      </c>
      <c r="O4318" s="62"/>
      <c r="P4318" s="62"/>
    </row>
    <row r="4319" spans="1:16" x14ac:dyDescent="0.3">
      <c r="A4319" s="3">
        <f t="shared" si="341"/>
        <v>45731</v>
      </c>
      <c r="B4319" s="11" t="s">
        <v>7374</v>
      </c>
      <c r="C4319" s="65" t="s">
        <v>7841</v>
      </c>
      <c r="E4319" s="90" t="s">
        <v>2088</v>
      </c>
      <c r="F4319" s="11" t="s">
        <v>7842</v>
      </c>
      <c r="G4319" s="88"/>
      <c r="H4319" s="88"/>
      <c r="I4319" s="88">
        <f t="shared" si="352"/>
        <v>89516.37</v>
      </c>
      <c r="J4319" s="62">
        <f t="shared" si="357"/>
        <v>80516.37</v>
      </c>
      <c r="K4319" s="62"/>
      <c r="L4319" s="2">
        <f t="shared" si="358"/>
        <v>0</v>
      </c>
      <c r="M4319">
        <f t="shared" si="359"/>
        <v>5</v>
      </c>
      <c r="O4319" s="62"/>
      <c r="P4319" s="62"/>
    </row>
    <row r="4320" spans="1:16" x14ac:dyDescent="0.3">
      <c r="A4320" s="3">
        <f t="shared" si="341"/>
        <v>45731</v>
      </c>
      <c r="B4320" s="11" t="s">
        <v>7843</v>
      </c>
      <c r="C4320" s="65" t="s">
        <v>7844</v>
      </c>
      <c r="F4320" s="11"/>
      <c r="G4320" s="88"/>
      <c r="H4320" s="88">
        <v>1500</v>
      </c>
      <c r="I4320" s="88">
        <f t="shared" si="352"/>
        <v>88016.37</v>
      </c>
      <c r="J4320" s="62">
        <f t="shared" si="357"/>
        <v>79016.37</v>
      </c>
      <c r="K4320" s="62"/>
      <c r="L4320" s="2">
        <f t="shared" si="358"/>
        <v>6</v>
      </c>
      <c r="M4320">
        <f t="shared" si="359"/>
        <v>0</v>
      </c>
      <c r="O4320" s="62"/>
      <c r="P4320" s="62"/>
    </row>
    <row r="4321" spans="1:16" x14ac:dyDescent="0.3">
      <c r="A4321" s="3">
        <f t="shared" si="341"/>
        <v>45731</v>
      </c>
      <c r="B4321" s="11" t="s">
        <v>7843</v>
      </c>
      <c r="C4321" s="65" t="s">
        <v>7844</v>
      </c>
      <c r="E4321" s="90" t="s">
        <v>2088</v>
      </c>
      <c r="F4321" s="11"/>
      <c r="G4321" s="88"/>
      <c r="H4321" s="88"/>
      <c r="I4321" s="88">
        <f t="shared" si="352"/>
        <v>88016.37</v>
      </c>
      <c r="J4321" s="62">
        <f t="shared" si="357"/>
        <v>79016.37</v>
      </c>
      <c r="K4321" s="62"/>
      <c r="L4321" s="2">
        <f t="shared" si="358"/>
        <v>0</v>
      </c>
      <c r="M4321">
        <f t="shared" si="359"/>
        <v>5</v>
      </c>
      <c r="O4321" s="62"/>
      <c r="P4321" s="62"/>
    </row>
    <row r="4322" spans="1:16" x14ac:dyDescent="0.3">
      <c r="A4322" s="3">
        <f t="shared" si="341"/>
        <v>45731</v>
      </c>
      <c r="B4322" s="11" t="s">
        <v>7843</v>
      </c>
      <c r="C4322" s="65" t="s">
        <v>7844</v>
      </c>
      <c r="E4322" s="90" t="s">
        <v>2088</v>
      </c>
      <c r="F4322" s="11"/>
      <c r="G4322" s="88"/>
      <c r="H4322" s="88"/>
      <c r="I4322" s="88">
        <f t="shared" si="352"/>
        <v>88016.37</v>
      </c>
      <c r="J4322" s="62">
        <f t="shared" si="357"/>
        <v>79016.37</v>
      </c>
      <c r="K4322" s="62"/>
      <c r="L4322" s="2">
        <f t="shared" si="358"/>
        <v>0</v>
      </c>
      <c r="M4322">
        <f t="shared" si="359"/>
        <v>5</v>
      </c>
      <c r="O4322" s="62"/>
      <c r="P4322" s="62"/>
    </row>
    <row r="4323" spans="1:16" x14ac:dyDescent="0.3">
      <c r="A4323" s="3">
        <f t="shared" si="341"/>
        <v>45731</v>
      </c>
      <c r="B4323" s="11" t="s">
        <v>1160</v>
      </c>
      <c r="C4323" s="65" t="s">
        <v>7845</v>
      </c>
      <c r="F4323" s="11"/>
      <c r="G4323" s="88">
        <v>2000</v>
      </c>
      <c r="H4323" s="88"/>
      <c r="I4323" s="88">
        <f t="shared" si="352"/>
        <v>90016.37</v>
      </c>
      <c r="J4323" s="62">
        <f t="shared" si="357"/>
        <v>81016.37</v>
      </c>
      <c r="K4323" s="62"/>
      <c r="L4323" s="2">
        <f t="shared" si="358"/>
        <v>8</v>
      </c>
      <c r="M4323">
        <f t="shared" si="359"/>
        <v>0</v>
      </c>
      <c r="O4323" s="62"/>
      <c r="P4323" s="62"/>
    </row>
    <row r="4324" spans="1:16" x14ac:dyDescent="0.3">
      <c r="A4324" s="3">
        <f t="shared" si="341"/>
        <v>45731</v>
      </c>
      <c r="B4324" s="11" t="s">
        <v>6260</v>
      </c>
      <c r="C4324" s="65" t="s">
        <v>7117</v>
      </c>
      <c r="F4324" s="11"/>
      <c r="G4324" s="88"/>
      <c r="H4324" s="88">
        <v>4500</v>
      </c>
      <c r="I4324" s="88">
        <f t="shared" ref="I4324:I4327" si="360">I4323+G4324-H4324</f>
        <v>85516.37</v>
      </c>
      <c r="J4324" s="62">
        <f t="shared" si="357"/>
        <v>76516.37</v>
      </c>
      <c r="K4324" s="62"/>
      <c r="L4324" s="2">
        <f t="shared" si="358"/>
        <v>18</v>
      </c>
      <c r="M4324">
        <f t="shared" si="359"/>
        <v>0</v>
      </c>
      <c r="O4324" s="62"/>
      <c r="P4324" s="62"/>
    </row>
    <row r="4325" spans="1:16" x14ac:dyDescent="0.3">
      <c r="A4325" s="3">
        <f t="shared" si="341"/>
        <v>45731</v>
      </c>
      <c r="B4325" s="11" t="s">
        <v>3543</v>
      </c>
      <c r="C4325" s="65" t="s">
        <v>622</v>
      </c>
      <c r="F4325" s="11"/>
      <c r="G4325" s="88">
        <v>200</v>
      </c>
      <c r="H4325" s="88"/>
      <c r="I4325" s="88">
        <f t="shared" si="360"/>
        <v>85716.37</v>
      </c>
      <c r="J4325" s="62">
        <f t="shared" si="357"/>
        <v>76716.37</v>
      </c>
      <c r="K4325" s="62"/>
      <c r="L4325" s="2">
        <f t="shared" si="358"/>
        <v>0.8</v>
      </c>
      <c r="M4325">
        <f t="shared" si="359"/>
        <v>0</v>
      </c>
      <c r="O4325" s="62"/>
      <c r="P4325" s="62"/>
    </row>
    <row r="4326" spans="1:16" x14ac:dyDescent="0.3">
      <c r="A4326" s="3">
        <f t="shared" si="341"/>
        <v>45731</v>
      </c>
      <c r="B4326" s="11" t="s">
        <v>3543</v>
      </c>
      <c r="C4326" s="65" t="s">
        <v>622</v>
      </c>
      <c r="E4326" s="90" t="s">
        <v>2088</v>
      </c>
      <c r="F4326" s="11"/>
      <c r="G4326" s="88"/>
      <c r="H4326" s="88"/>
      <c r="I4326" s="88">
        <f t="shared" si="360"/>
        <v>85716.37</v>
      </c>
      <c r="J4326" s="62">
        <f t="shared" si="357"/>
        <v>76716.37</v>
      </c>
      <c r="K4326" s="62"/>
      <c r="L4326" s="2">
        <f t="shared" si="358"/>
        <v>0</v>
      </c>
      <c r="M4326">
        <f t="shared" si="359"/>
        <v>5</v>
      </c>
      <c r="O4326" s="62"/>
      <c r="P4326" s="62"/>
    </row>
    <row r="4327" spans="1:16" x14ac:dyDescent="0.3">
      <c r="A4327" s="3">
        <f t="shared" si="341"/>
        <v>45731</v>
      </c>
      <c r="B4327" s="11" t="s">
        <v>3543</v>
      </c>
      <c r="C4327" s="65" t="s">
        <v>622</v>
      </c>
      <c r="E4327" s="90" t="s">
        <v>2088</v>
      </c>
      <c r="F4327" s="11"/>
      <c r="G4327" s="88"/>
      <c r="H4327" s="88"/>
      <c r="I4327" s="88">
        <f t="shared" si="360"/>
        <v>85716.37</v>
      </c>
      <c r="J4327" s="62">
        <f t="shared" si="357"/>
        <v>76716.37</v>
      </c>
      <c r="K4327" s="62"/>
      <c r="L4327" s="2">
        <f t="shared" si="358"/>
        <v>0</v>
      </c>
      <c r="M4327">
        <f t="shared" si="359"/>
        <v>5</v>
      </c>
      <c r="O4327" s="62"/>
      <c r="P4327" s="62"/>
    </row>
    <row r="4328" spans="1:16" x14ac:dyDescent="0.3">
      <c r="A4328" s="3">
        <v>45732</v>
      </c>
      <c r="B4328" s="11" t="s">
        <v>6260</v>
      </c>
      <c r="C4328" s="65" t="s">
        <v>7117</v>
      </c>
      <c r="F4328" s="11"/>
      <c r="G4328" s="88"/>
      <c r="H4328" s="88">
        <v>3000</v>
      </c>
      <c r="I4328" s="88">
        <f t="shared" ref="I4328:I4352" si="361">I4327+G4328-H4328</f>
        <v>82716.37</v>
      </c>
      <c r="J4328" s="62">
        <f t="shared" si="357"/>
        <v>73716.37</v>
      </c>
      <c r="K4328" s="62"/>
      <c r="L4328" s="2">
        <f t="shared" ref="L4328:L4340" si="362">IF((G4328+H4328)&lt;=5000,(H4328+G4328)*0.004,20)+IF(E4328="Y",25,0)</f>
        <v>12</v>
      </c>
      <c r="M4328">
        <f t="shared" ref="M4328:M4340" si="363">IF(E4328="p",5,0)</f>
        <v>0</v>
      </c>
      <c r="O4328" s="62"/>
      <c r="P4328" s="62"/>
    </row>
    <row r="4329" spans="1:16" x14ac:dyDescent="0.3">
      <c r="A4329" s="3">
        <f t="shared" si="341"/>
        <v>45732</v>
      </c>
      <c r="B4329" s="11" t="s">
        <v>1250</v>
      </c>
      <c r="C4329" s="65" t="s">
        <v>2443</v>
      </c>
      <c r="F4329" s="11"/>
      <c r="G4329" s="88">
        <v>2600</v>
      </c>
      <c r="H4329" s="88"/>
      <c r="I4329" s="88">
        <f t="shared" si="361"/>
        <v>85316.37</v>
      </c>
      <c r="J4329" s="62">
        <f t="shared" si="357"/>
        <v>76316.37</v>
      </c>
      <c r="K4329" s="62"/>
      <c r="L4329" s="2">
        <f t="shared" si="362"/>
        <v>10.4</v>
      </c>
      <c r="M4329">
        <f t="shared" si="363"/>
        <v>0</v>
      </c>
      <c r="O4329" s="62"/>
      <c r="P4329" s="62"/>
    </row>
    <row r="4330" spans="1:16" x14ac:dyDescent="0.3">
      <c r="A4330" s="3">
        <f t="shared" si="341"/>
        <v>45732</v>
      </c>
      <c r="B4330" s="11" t="s">
        <v>3541</v>
      </c>
      <c r="C4330" s="65" t="s">
        <v>3542</v>
      </c>
      <c r="E4330" s="90" t="s">
        <v>2088</v>
      </c>
      <c r="F4330" s="11"/>
      <c r="G4330" s="88"/>
      <c r="H4330" s="88"/>
      <c r="I4330" s="88">
        <f t="shared" si="361"/>
        <v>85316.37</v>
      </c>
      <c r="J4330" s="62">
        <f t="shared" si="357"/>
        <v>76316.37</v>
      </c>
      <c r="K4330" s="62"/>
      <c r="L4330" s="2">
        <f t="shared" si="362"/>
        <v>0</v>
      </c>
      <c r="M4330">
        <f t="shared" si="363"/>
        <v>5</v>
      </c>
      <c r="O4330" s="62"/>
      <c r="P4330" s="62"/>
    </row>
    <row r="4331" spans="1:16" x14ac:dyDescent="0.3">
      <c r="A4331" s="3">
        <f t="shared" si="341"/>
        <v>45732</v>
      </c>
      <c r="B4331" s="11" t="s">
        <v>7846</v>
      </c>
      <c r="C4331" s="65" t="s">
        <v>7847</v>
      </c>
      <c r="F4331" s="11"/>
      <c r="G4331" s="88">
        <v>3000</v>
      </c>
      <c r="H4331" s="88"/>
      <c r="I4331" s="88">
        <f t="shared" si="361"/>
        <v>88316.37</v>
      </c>
      <c r="J4331" s="62">
        <f t="shared" si="357"/>
        <v>79316.37</v>
      </c>
      <c r="K4331" s="62"/>
      <c r="L4331" s="2">
        <f t="shared" si="362"/>
        <v>12</v>
      </c>
      <c r="M4331">
        <f t="shared" si="363"/>
        <v>0</v>
      </c>
      <c r="O4331" s="62"/>
      <c r="P4331" s="62"/>
    </row>
    <row r="4332" spans="1:16" x14ac:dyDescent="0.3">
      <c r="A4332" s="3">
        <f t="shared" si="341"/>
        <v>45732</v>
      </c>
      <c r="B4332" s="11" t="s">
        <v>3524</v>
      </c>
      <c r="C4332" s="65" t="s">
        <v>3034</v>
      </c>
      <c r="F4332" s="11"/>
      <c r="G4332" s="88"/>
      <c r="H4332" s="147">
        <v>10000</v>
      </c>
      <c r="I4332" s="88">
        <f t="shared" si="361"/>
        <v>78316.37</v>
      </c>
      <c r="J4332" s="62">
        <f t="shared" si="357"/>
        <v>69316.37</v>
      </c>
      <c r="K4332" s="62"/>
      <c r="L4332" s="2">
        <f t="shared" si="362"/>
        <v>20</v>
      </c>
      <c r="M4332">
        <f t="shared" si="363"/>
        <v>0</v>
      </c>
      <c r="O4332" s="62"/>
      <c r="P4332" s="62"/>
    </row>
    <row r="4333" spans="1:16" x14ac:dyDescent="0.3">
      <c r="A4333" s="3">
        <f t="shared" si="341"/>
        <v>45732</v>
      </c>
      <c r="C4333" s="65" t="s">
        <v>8002</v>
      </c>
      <c r="F4333" s="11"/>
      <c r="G4333" s="88"/>
      <c r="H4333" s="147">
        <v>4.01</v>
      </c>
      <c r="I4333" s="88">
        <f t="shared" si="361"/>
        <v>78312.36</v>
      </c>
      <c r="J4333" s="62">
        <f t="shared" si="357"/>
        <v>69312.36</v>
      </c>
      <c r="K4333" s="62"/>
      <c r="O4333" s="62"/>
      <c r="P4333" s="62"/>
    </row>
    <row r="4334" spans="1:16" x14ac:dyDescent="0.3">
      <c r="A4334" s="3">
        <f>A4332</f>
        <v>45732</v>
      </c>
      <c r="B4334" s="11" t="s">
        <v>1250</v>
      </c>
      <c r="C4334" s="65" t="s">
        <v>2348</v>
      </c>
      <c r="F4334" s="11"/>
      <c r="G4334" s="88">
        <v>1000</v>
      </c>
      <c r="H4334" s="88"/>
      <c r="I4334" s="88">
        <f t="shared" si="361"/>
        <v>79312.36</v>
      </c>
      <c r="J4334" s="62">
        <f t="shared" si="357"/>
        <v>70312.36</v>
      </c>
      <c r="K4334" s="62"/>
      <c r="L4334" s="2">
        <f t="shared" si="362"/>
        <v>4</v>
      </c>
      <c r="M4334">
        <f t="shared" si="363"/>
        <v>0</v>
      </c>
      <c r="O4334" s="62"/>
      <c r="P4334" s="62"/>
    </row>
    <row r="4335" spans="1:16" x14ac:dyDescent="0.3">
      <c r="A4335" s="3">
        <f t="shared" si="341"/>
        <v>45732</v>
      </c>
      <c r="B4335" s="11" t="s">
        <v>6369</v>
      </c>
      <c r="C4335" s="65" t="s">
        <v>7569</v>
      </c>
      <c r="E4335" s="90" t="s">
        <v>2088</v>
      </c>
      <c r="F4335" s="11"/>
      <c r="G4335" s="88"/>
      <c r="H4335" s="88"/>
      <c r="I4335" s="88">
        <f t="shared" si="361"/>
        <v>79312.36</v>
      </c>
      <c r="J4335" s="62">
        <f t="shared" si="357"/>
        <v>70312.36</v>
      </c>
      <c r="K4335" s="62"/>
      <c r="L4335" s="2">
        <f t="shared" si="362"/>
        <v>0</v>
      </c>
      <c r="M4335">
        <f t="shared" si="363"/>
        <v>5</v>
      </c>
      <c r="O4335" s="62"/>
      <c r="P4335" s="62"/>
    </row>
    <row r="4336" spans="1:16" x14ac:dyDescent="0.3">
      <c r="A4336" s="3">
        <f t="shared" si="341"/>
        <v>45732</v>
      </c>
      <c r="B4336" s="11" t="s">
        <v>6369</v>
      </c>
      <c r="C4336" s="65" t="s">
        <v>7569</v>
      </c>
      <c r="F4336" s="11"/>
      <c r="G4336" s="88">
        <v>1000</v>
      </c>
      <c r="H4336" s="88"/>
      <c r="I4336" s="88">
        <f t="shared" si="361"/>
        <v>80312.36</v>
      </c>
      <c r="J4336" s="62">
        <f t="shared" si="357"/>
        <v>71312.36</v>
      </c>
      <c r="K4336" s="62"/>
      <c r="L4336" s="2">
        <f t="shared" si="362"/>
        <v>4</v>
      </c>
      <c r="M4336">
        <f t="shared" si="363"/>
        <v>0</v>
      </c>
      <c r="O4336" s="62"/>
      <c r="P4336" s="62"/>
    </row>
    <row r="4337" spans="1:16" x14ac:dyDescent="0.3">
      <c r="A4337" s="3">
        <f t="shared" si="341"/>
        <v>45732</v>
      </c>
      <c r="B4337" s="11" t="s">
        <v>6369</v>
      </c>
      <c r="C4337" s="65" t="s">
        <v>7569</v>
      </c>
      <c r="E4337" s="90" t="s">
        <v>2088</v>
      </c>
      <c r="F4337" s="11"/>
      <c r="G4337" s="88"/>
      <c r="H4337" s="88"/>
      <c r="I4337" s="88">
        <f t="shared" si="361"/>
        <v>80312.36</v>
      </c>
      <c r="J4337" s="62">
        <f t="shared" si="357"/>
        <v>71312.36</v>
      </c>
      <c r="K4337" s="62"/>
      <c r="L4337" s="2">
        <f t="shared" si="362"/>
        <v>0</v>
      </c>
      <c r="M4337">
        <f t="shared" si="363"/>
        <v>5</v>
      </c>
      <c r="O4337" s="62"/>
      <c r="P4337" s="62"/>
    </row>
    <row r="4338" spans="1:16" x14ac:dyDescent="0.3">
      <c r="A4338" s="3">
        <v>45733</v>
      </c>
      <c r="B4338" s="11" t="s">
        <v>3543</v>
      </c>
      <c r="C4338" s="65" t="s">
        <v>622</v>
      </c>
      <c r="F4338" s="11"/>
      <c r="G4338" s="88">
        <v>3000</v>
      </c>
      <c r="H4338" s="88">
        <v>0</v>
      </c>
      <c r="I4338" s="88">
        <f t="shared" si="361"/>
        <v>83312.36</v>
      </c>
      <c r="J4338" s="62">
        <f t="shared" si="357"/>
        <v>74312.36</v>
      </c>
      <c r="K4338" s="62"/>
      <c r="L4338" s="2">
        <f t="shared" si="362"/>
        <v>12</v>
      </c>
      <c r="M4338">
        <f t="shared" si="363"/>
        <v>0</v>
      </c>
      <c r="O4338" s="62"/>
      <c r="P4338" s="62"/>
    </row>
    <row r="4339" spans="1:16" x14ac:dyDescent="0.3">
      <c r="A4339" s="3">
        <v>45733</v>
      </c>
      <c r="C4339" s="65" t="s">
        <v>2490</v>
      </c>
      <c r="F4339" s="11"/>
      <c r="G4339" s="88"/>
      <c r="H4339" s="88">
        <v>80000</v>
      </c>
      <c r="I4339" s="88">
        <f t="shared" si="361"/>
        <v>3312.3600000000006</v>
      </c>
      <c r="J4339" s="62">
        <f t="shared" si="357"/>
        <v>-5687.6399999999994</v>
      </c>
      <c r="K4339" s="62"/>
      <c r="O4339" s="62"/>
      <c r="P4339" s="62"/>
    </row>
    <row r="4340" spans="1:16" x14ac:dyDescent="0.3">
      <c r="A4340" s="3">
        <f>A4338</f>
        <v>45733</v>
      </c>
      <c r="B4340" s="11" t="s">
        <v>5463</v>
      </c>
      <c r="C4340" s="65" t="s">
        <v>7241</v>
      </c>
      <c r="E4340" s="90" t="s">
        <v>2088</v>
      </c>
      <c r="F4340" s="11"/>
      <c r="G4340" s="88"/>
      <c r="H4340" s="88"/>
      <c r="I4340" s="88">
        <f t="shared" si="361"/>
        <v>3312.3600000000006</v>
      </c>
      <c r="J4340" s="62">
        <f t="shared" si="357"/>
        <v>-5687.6399999999994</v>
      </c>
      <c r="K4340" s="62"/>
      <c r="L4340" s="2">
        <f t="shared" si="362"/>
        <v>0</v>
      </c>
      <c r="M4340">
        <f t="shared" si="363"/>
        <v>5</v>
      </c>
      <c r="O4340" s="62"/>
      <c r="P4340" s="62"/>
    </row>
    <row r="4341" spans="1:16" x14ac:dyDescent="0.3">
      <c r="A4341" s="3">
        <f t="shared" si="341"/>
        <v>45733</v>
      </c>
      <c r="B4341" s="11" t="s">
        <v>7848</v>
      </c>
      <c r="C4341" s="65" t="s">
        <v>7849</v>
      </c>
      <c r="E4341" s="90" t="s">
        <v>2088</v>
      </c>
      <c r="F4341" s="11"/>
      <c r="G4341" s="88"/>
      <c r="H4341" s="88"/>
      <c r="I4341" s="88">
        <f t="shared" si="361"/>
        <v>3312.3600000000006</v>
      </c>
      <c r="J4341" s="62">
        <f t="shared" si="357"/>
        <v>-5687.6399999999994</v>
      </c>
      <c r="K4341" s="62"/>
      <c r="L4341" s="2">
        <f t="shared" ref="L4341:L4359" si="364">IF((G4341+H4341)&lt;=5000,(H4341+G4341)*0.004,20)+IF(E4341="Y",25,0)</f>
        <v>0</v>
      </c>
      <c r="M4341">
        <f t="shared" ref="M4341:M4359" si="365">IF(E4341="p",5,0)</f>
        <v>5</v>
      </c>
      <c r="O4341" s="62"/>
      <c r="P4341" s="62"/>
    </row>
    <row r="4342" spans="1:16" x14ac:dyDescent="0.3">
      <c r="A4342" s="3">
        <f t="shared" si="341"/>
        <v>45733</v>
      </c>
      <c r="B4342" s="11" t="s">
        <v>7848</v>
      </c>
      <c r="C4342" s="65" t="s">
        <v>7849</v>
      </c>
      <c r="F4342" s="11"/>
      <c r="G4342" s="88">
        <v>5000</v>
      </c>
      <c r="H4342" s="88"/>
      <c r="I4342" s="88">
        <f t="shared" si="361"/>
        <v>8312.36</v>
      </c>
      <c r="J4342" s="62">
        <f t="shared" si="357"/>
        <v>-687.63999999999942</v>
      </c>
      <c r="K4342" s="62"/>
      <c r="L4342" s="2">
        <f t="shared" si="364"/>
        <v>20</v>
      </c>
      <c r="M4342">
        <f t="shared" si="365"/>
        <v>0</v>
      </c>
      <c r="O4342" s="62"/>
      <c r="P4342" s="62"/>
    </row>
    <row r="4343" spans="1:16" x14ac:dyDescent="0.3">
      <c r="A4343" s="3">
        <f t="shared" si="341"/>
        <v>45733</v>
      </c>
      <c r="B4343" s="11" t="s">
        <v>7848</v>
      </c>
      <c r="C4343" s="65" t="s">
        <v>7849</v>
      </c>
      <c r="E4343" s="90" t="s">
        <v>2088</v>
      </c>
      <c r="F4343" s="11"/>
      <c r="G4343" s="88"/>
      <c r="H4343" s="88"/>
      <c r="I4343" s="88">
        <f t="shared" si="361"/>
        <v>8312.36</v>
      </c>
      <c r="J4343" s="62">
        <f t="shared" si="357"/>
        <v>-687.63999999999942</v>
      </c>
      <c r="K4343" s="62"/>
      <c r="L4343" s="2">
        <f t="shared" si="364"/>
        <v>0</v>
      </c>
      <c r="M4343">
        <f t="shared" si="365"/>
        <v>5</v>
      </c>
      <c r="O4343" s="62"/>
      <c r="P4343" s="62"/>
    </row>
    <row r="4344" spans="1:16" x14ac:dyDescent="0.3">
      <c r="A4344" s="3">
        <f t="shared" si="341"/>
        <v>45733</v>
      </c>
      <c r="B4344" s="11" t="s">
        <v>7547</v>
      </c>
      <c r="C4344" s="65" t="s">
        <v>7328</v>
      </c>
      <c r="F4344" s="11"/>
      <c r="G4344" s="88">
        <v>5000</v>
      </c>
      <c r="H4344" s="88"/>
      <c r="I4344" s="88">
        <f t="shared" si="361"/>
        <v>13312.36</v>
      </c>
      <c r="J4344" s="62">
        <f t="shared" si="357"/>
        <v>4312.3600000000006</v>
      </c>
      <c r="K4344" s="62"/>
      <c r="L4344" s="2">
        <f t="shared" si="364"/>
        <v>20</v>
      </c>
      <c r="M4344">
        <f t="shared" si="365"/>
        <v>0</v>
      </c>
      <c r="O4344" s="62"/>
      <c r="P4344" s="62"/>
    </row>
    <row r="4345" spans="1:16" x14ac:dyDescent="0.3">
      <c r="A4345" s="3">
        <f t="shared" si="341"/>
        <v>45733</v>
      </c>
      <c r="B4345" s="11" t="s">
        <v>7269</v>
      </c>
      <c r="C4345" s="65" t="s">
        <v>7850</v>
      </c>
      <c r="E4345" s="90" t="s">
        <v>2088</v>
      </c>
      <c r="F4345" s="11"/>
      <c r="G4345" s="88"/>
      <c r="H4345" s="88"/>
      <c r="I4345" s="88">
        <f t="shared" si="361"/>
        <v>13312.36</v>
      </c>
      <c r="J4345" s="62">
        <f t="shared" si="357"/>
        <v>4312.3600000000006</v>
      </c>
      <c r="K4345" s="62"/>
      <c r="L4345" s="2">
        <f t="shared" si="364"/>
        <v>0</v>
      </c>
      <c r="M4345">
        <f t="shared" si="365"/>
        <v>5</v>
      </c>
      <c r="O4345" s="62"/>
      <c r="P4345" s="62"/>
    </row>
    <row r="4346" spans="1:16" x14ac:dyDescent="0.3">
      <c r="A4346" s="3">
        <f t="shared" si="341"/>
        <v>45733</v>
      </c>
      <c r="B4346" s="11" t="s">
        <v>6522</v>
      </c>
      <c r="C4346" s="65" t="s">
        <v>6578</v>
      </c>
      <c r="F4346" s="11"/>
      <c r="G4346" s="88">
        <v>10000</v>
      </c>
      <c r="H4346" s="88"/>
      <c r="I4346" s="88">
        <f t="shared" si="361"/>
        <v>23312.36</v>
      </c>
      <c r="J4346" s="62">
        <f t="shared" si="357"/>
        <v>14312.36</v>
      </c>
      <c r="K4346" s="62"/>
      <c r="L4346" s="2">
        <f t="shared" si="364"/>
        <v>20</v>
      </c>
      <c r="M4346">
        <f t="shared" si="365"/>
        <v>0</v>
      </c>
      <c r="O4346" s="62"/>
      <c r="P4346" s="62"/>
    </row>
    <row r="4347" spans="1:16" x14ac:dyDescent="0.3">
      <c r="A4347" s="3">
        <f t="shared" si="341"/>
        <v>45733</v>
      </c>
      <c r="B4347" s="11" t="s">
        <v>2089</v>
      </c>
      <c r="C4347" s="65" t="s">
        <v>2099</v>
      </c>
      <c r="E4347" s="90" t="s">
        <v>2088</v>
      </c>
      <c r="F4347" s="11"/>
      <c r="G4347" s="88"/>
      <c r="H4347" s="88"/>
      <c r="I4347" s="88">
        <f t="shared" si="361"/>
        <v>23312.36</v>
      </c>
      <c r="J4347" s="62">
        <f t="shared" si="357"/>
        <v>14312.36</v>
      </c>
      <c r="K4347" s="62"/>
      <c r="L4347" s="2">
        <f t="shared" si="364"/>
        <v>0</v>
      </c>
      <c r="M4347">
        <f t="shared" si="365"/>
        <v>5</v>
      </c>
      <c r="O4347" s="62"/>
      <c r="P4347" s="62"/>
    </row>
    <row r="4348" spans="1:16" x14ac:dyDescent="0.3">
      <c r="A4348" s="3">
        <f t="shared" si="341"/>
        <v>45733</v>
      </c>
      <c r="B4348" s="11" t="s">
        <v>2089</v>
      </c>
      <c r="C4348" s="65" t="s">
        <v>2099</v>
      </c>
      <c r="F4348" s="11"/>
      <c r="G4348" s="88">
        <v>3000</v>
      </c>
      <c r="H4348" s="88"/>
      <c r="I4348" s="88">
        <f t="shared" si="361"/>
        <v>26312.36</v>
      </c>
      <c r="J4348" s="62">
        <f t="shared" si="357"/>
        <v>17312.36</v>
      </c>
      <c r="K4348" s="62"/>
      <c r="L4348" s="2">
        <f t="shared" si="364"/>
        <v>12</v>
      </c>
      <c r="M4348">
        <f t="shared" si="365"/>
        <v>0</v>
      </c>
      <c r="O4348" s="62"/>
      <c r="P4348" s="62"/>
    </row>
    <row r="4349" spans="1:16" x14ac:dyDescent="0.3">
      <c r="A4349" s="3">
        <f t="shared" si="341"/>
        <v>45733</v>
      </c>
      <c r="B4349" s="11" t="s">
        <v>2089</v>
      </c>
      <c r="C4349" s="65" t="s">
        <v>2099</v>
      </c>
      <c r="E4349" s="90" t="s">
        <v>2088</v>
      </c>
      <c r="F4349" s="11"/>
      <c r="G4349" s="88"/>
      <c r="H4349" s="88"/>
      <c r="I4349" s="88">
        <f t="shared" si="361"/>
        <v>26312.36</v>
      </c>
      <c r="J4349" s="62">
        <f t="shared" si="357"/>
        <v>17312.36</v>
      </c>
      <c r="K4349" s="62"/>
      <c r="L4349" s="2">
        <f t="shared" si="364"/>
        <v>0</v>
      </c>
      <c r="M4349">
        <f t="shared" si="365"/>
        <v>5</v>
      </c>
      <c r="O4349" s="62"/>
      <c r="P4349" s="62"/>
    </row>
    <row r="4350" spans="1:16" x14ac:dyDescent="0.3">
      <c r="A4350" s="3">
        <f t="shared" si="341"/>
        <v>45733</v>
      </c>
      <c r="B4350" s="11" t="s">
        <v>6739</v>
      </c>
      <c r="C4350" s="65" t="s">
        <v>7851</v>
      </c>
      <c r="E4350" s="90" t="s">
        <v>2088</v>
      </c>
      <c r="F4350" s="11"/>
      <c r="G4350" s="88"/>
      <c r="H4350" s="88"/>
      <c r="I4350" s="88">
        <f t="shared" si="361"/>
        <v>26312.36</v>
      </c>
      <c r="J4350" s="62">
        <f t="shared" si="357"/>
        <v>17312.36</v>
      </c>
      <c r="K4350" s="62"/>
      <c r="L4350" s="2">
        <f t="shared" si="364"/>
        <v>0</v>
      </c>
      <c r="M4350">
        <f t="shared" si="365"/>
        <v>5</v>
      </c>
      <c r="O4350" s="62"/>
      <c r="P4350" s="62"/>
    </row>
    <row r="4351" spans="1:16" x14ac:dyDescent="0.3">
      <c r="A4351" s="3">
        <f t="shared" si="341"/>
        <v>45733</v>
      </c>
      <c r="B4351" s="11" t="s">
        <v>7852</v>
      </c>
      <c r="C4351" s="65" t="s">
        <v>476</v>
      </c>
      <c r="F4351" s="11"/>
      <c r="G4351" s="88"/>
      <c r="H4351" s="88">
        <v>5000</v>
      </c>
      <c r="I4351" s="88">
        <f t="shared" si="361"/>
        <v>21312.36</v>
      </c>
      <c r="J4351" s="62">
        <f t="shared" si="357"/>
        <v>12312.36</v>
      </c>
      <c r="K4351" s="62"/>
      <c r="L4351" s="2">
        <f t="shared" si="364"/>
        <v>20</v>
      </c>
      <c r="M4351">
        <f t="shared" si="365"/>
        <v>0</v>
      </c>
      <c r="O4351" s="62"/>
      <c r="P4351" s="62"/>
    </row>
    <row r="4352" spans="1:16" x14ac:dyDescent="0.3">
      <c r="A4352" s="3">
        <f t="shared" si="341"/>
        <v>45733</v>
      </c>
      <c r="B4352" s="11" t="s">
        <v>7852</v>
      </c>
      <c r="C4352" s="65" t="s">
        <v>476</v>
      </c>
      <c r="F4352" s="11"/>
      <c r="G4352" s="88">
        <v>10000</v>
      </c>
      <c r="H4352" s="88"/>
      <c r="I4352" s="88">
        <f t="shared" si="361"/>
        <v>31312.36</v>
      </c>
      <c r="J4352" s="62">
        <f t="shared" si="357"/>
        <v>22312.36</v>
      </c>
      <c r="K4352" s="62"/>
      <c r="L4352" s="2">
        <f t="shared" si="364"/>
        <v>20</v>
      </c>
      <c r="M4352">
        <f t="shared" si="365"/>
        <v>0</v>
      </c>
      <c r="O4352" s="62"/>
      <c r="P4352" s="62"/>
    </row>
    <row r="4353" spans="1:16" x14ac:dyDescent="0.3">
      <c r="A4353" s="3">
        <f t="shared" si="341"/>
        <v>45733</v>
      </c>
      <c r="B4353" s="11" t="s">
        <v>6260</v>
      </c>
      <c r="C4353" s="65" t="s">
        <v>7117</v>
      </c>
      <c r="F4353" s="11"/>
      <c r="G4353" s="88"/>
      <c r="H4353" s="88">
        <v>3500</v>
      </c>
      <c r="I4353" s="88">
        <f t="shared" ref="I4353:I4359" si="366">I4352+G4353-H4353</f>
        <v>27812.36</v>
      </c>
      <c r="J4353" s="62">
        <f t="shared" si="357"/>
        <v>18812.36</v>
      </c>
      <c r="K4353" s="62"/>
      <c r="L4353" s="2">
        <f t="shared" si="364"/>
        <v>14</v>
      </c>
      <c r="M4353">
        <f t="shared" si="365"/>
        <v>0</v>
      </c>
      <c r="O4353" s="62"/>
      <c r="P4353" s="62"/>
    </row>
    <row r="4354" spans="1:16" x14ac:dyDescent="0.3">
      <c r="A4354" s="3">
        <f t="shared" si="341"/>
        <v>45733</v>
      </c>
      <c r="B4354" s="11" t="s">
        <v>7342</v>
      </c>
      <c r="C4354" s="65" t="s">
        <v>1071</v>
      </c>
      <c r="E4354" s="90" t="s">
        <v>2088</v>
      </c>
      <c r="F4354" s="11"/>
      <c r="G4354" s="88"/>
      <c r="H4354" s="88"/>
      <c r="I4354" s="88">
        <f t="shared" si="366"/>
        <v>27812.36</v>
      </c>
      <c r="J4354" s="62">
        <f t="shared" si="357"/>
        <v>18812.36</v>
      </c>
      <c r="K4354" s="62"/>
      <c r="L4354" s="2">
        <f t="shared" si="364"/>
        <v>0</v>
      </c>
      <c r="M4354">
        <f t="shared" si="365"/>
        <v>5</v>
      </c>
      <c r="O4354" s="62"/>
      <c r="P4354" s="62"/>
    </row>
    <row r="4355" spans="1:16" x14ac:dyDescent="0.3">
      <c r="A4355" s="3">
        <f t="shared" si="341"/>
        <v>45733</v>
      </c>
      <c r="B4355" s="11" t="s">
        <v>7329</v>
      </c>
      <c r="C4355" s="65" t="s">
        <v>7853</v>
      </c>
      <c r="F4355" s="11"/>
      <c r="G4355" s="88">
        <v>5000</v>
      </c>
      <c r="H4355" s="88"/>
      <c r="I4355" s="88">
        <f t="shared" si="366"/>
        <v>32812.36</v>
      </c>
      <c r="J4355" s="62">
        <f t="shared" si="357"/>
        <v>23812.36</v>
      </c>
      <c r="K4355" s="62"/>
      <c r="L4355" s="2">
        <f t="shared" si="364"/>
        <v>20</v>
      </c>
      <c r="M4355">
        <f t="shared" si="365"/>
        <v>0</v>
      </c>
      <c r="O4355" s="62"/>
      <c r="P4355" s="62"/>
    </row>
    <row r="4356" spans="1:16" x14ac:dyDescent="0.3">
      <c r="A4356" s="3">
        <f t="shared" si="341"/>
        <v>45733</v>
      </c>
      <c r="B4356" s="11" t="s">
        <v>6726</v>
      </c>
      <c r="C4356" s="65" t="s">
        <v>7854</v>
      </c>
      <c r="E4356" s="90" t="s">
        <v>2088</v>
      </c>
      <c r="F4356" s="11"/>
      <c r="G4356" s="88"/>
      <c r="H4356" s="88"/>
      <c r="I4356" s="88">
        <f t="shared" si="366"/>
        <v>32812.36</v>
      </c>
      <c r="J4356" s="62">
        <f t="shared" si="357"/>
        <v>23812.36</v>
      </c>
      <c r="K4356" s="62"/>
      <c r="L4356" s="2">
        <f t="shared" si="364"/>
        <v>0</v>
      </c>
      <c r="M4356">
        <f t="shared" si="365"/>
        <v>5</v>
      </c>
      <c r="O4356" s="62"/>
      <c r="P4356" s="62"/>
    </row>
    <row r="4357" spans="1:16" x14ac:dyDescent="0.3">
      <c r="A4357" s="3">
        <f t="shared" si="341"/>
        <v>45733</v>
      </c>
      <c r="B4357" s="11" t="s">
        <v>6726</v>
      </c>
      <c r="C4357" s="65" t="s">
        <v>7854</v>
      </c>
      <c r="F4357" s="11"/>
      <c r="G4357" s="88">
        <v>5000</v>
      </c>
      <c r="H4357" s="88"/>
      <c r="I4357" s="88">
        <f t="shared" si="366"/>
        <v>37812.36</v>
      </c>
      <c r="J4357" s="62">
        <f t="shared" si="357"/>
        <v>28812.36</v>
      </c>
      <c r="K4357" s="62"/>
      <c r="L4357" s="2">
        <f t="shared" si="364"/>
        <v>20</v>
      </c>
      <c r="M4357">
        <f t="shared" si="365"/>
        <v>0</v>
      </c>
      <c r="O4357" s="62"/>
      <c r="P4357" s="62"/>
    </row>
    <row r="4358" spans="1:16" x14ac:dyDescent="0.3">
      <c r="A4358" s="3">
        <f t="shared" si="341"/>
        <v>45733</v>
      </c>
      <c r="B4358" s="11" t="s">
        <v>6726</v>
      </c>
      <c r="C4358" s="65" t="s">
        <v>7854</v>
      </c>
      <c r="E4358" s="90" t="s">
        <v>2088</v>
      </c>
      <c r="F4358" s="11"/>
      <c r="G4358" s="88"/>
      <c r="H4358" s="88"/>
      <c r="I4358" s="88">
        <f t="shared" si="366"/>
        <v>37812.36</v>
      </c>
      <c r="J4358" s="62">
        <f t="shared" si="357"/>
        <v>28812.36</v>
      </c>
      <c r="K4358" s="62"/>
      <c r="L4358" s="2">
        <f t="shared" si="364"/>
        <v>0</v>
      </c>
      <c r="M4358">
        <f t="shared" si="365"/>
        <v>5</v>
      </c>
      <c r="O4358" s="62"/>
      <c r="P4358" s="62"/>
    </row>
    <row r="4359" spans="1:16" x14ac:dyDescent="0.3">
      <c r="A4359" s="3">
        <f t="shared" si="341"/>
        <v>45733</v>
      </c>
      <c r="B4359" s="11" t="s">
        <v>7855</v>
      </c>
      <c r="C4359" s="65" t="s">
        <v>7856</v>
      </c>
      <c r="E4359" s="90" t="s">
        <v>2088</v>
      </c>
      <c r="F4359" s="11"/>
      <c r="G4359" s="88"/>
      <c r="H4359" s="88"/>
      <c r="I4359" s="88">
        <f t="shared" si="366"/>
        <v>37812.36</v>
      </c>
      <c r="J4359" s="62">
        <f t="shared" si="357"/>
        <v>28812.36</v>
      </c>
      <c r="K4359" s="62"/>
      <c r="L4359" s="2">
        <f t="shared" si="364"/>
        <v>0</v>
      </c>
      <c r="M4359">
        <f t="shared" si="365"/>
        <v>5</v>
      </c>
      <c r="O4359" s="62"/>
      <c r="P4359" s="62"/>
    </row>
    <row r="4360" spans="1:16" x14ac:dyDescent="0.3">
      <c r="A4360" s="3">
        <f t="shared" si="341"/>
        <v>45733</v>
      </c>
      <c r="B4360" s="11" t="s">
        <v>7855</v>
      </c>
      <c r="C4360" s="65" t="s">
        <v>7856</v>
      </c>
      <c r="F4360" s="11"/>
      <c r="G4360" s="88">
        <v>4000</v>
      </c>
      <c r="H4360" s="88"/>
      <c r="I4360" s="88">
        <f t="shared" ref="I4360:I4368" si="367">I4359+G4360-H4360</f>
        <v>41812.36</v>
      </c>
      <c r="J4360" s="62">
        <f t="shared" si="357"/>
        <v>32812.36</v>
      </c>
      <c r="K4360" s="62"/>
      <c r="L4360" s="2">
        <f t="shared" ref="L4360:L4368" si="368">IF((G4360+H4360)&lt;=5000,(H4360+G4360)*0.004,20)+IF(E4360="Y",25,0)</f>
        <v>16</v>
      </c>
      <c r="M4360">
        <f t="shared" ref="M4360:M4368" si="369">IF(E4360="p",5,0)</f>
        <v>0</v>
      </c>
      <c r="O4360" s="62"/>
      <c r="P4360" s="62"/>
    </row>
    <row r="4361" spans="1:16" x14ac:dyDescent="0.3">
      <c r="A4361" s="3">
        <f t="shared" si="341"/>
        <v>45733</v>
      </c>
      <c r="B4361" s="11" t="s">
        <v>7855</v>
      </c>
      <c r="C4361" s="65" t="s">
        <v>7856</v>
      </c>
      <c r="E4361" s="90" t="s">
        <v>2088</v>
      </c>
      <c r="F4361" s="11"/>
      <c r="G4361" s="88"/>
      <c r="H4361" s="88"/>
      <c r="I4361" s="88">
        <f t="shared" si="367"/>
        <v>41812.36</v>
      </c>
      <c r="J4361" s="62">
        <f t="shared" si="357"/>
        <v>32812.36</v>
      </c>
      <c r="K4361" s="62"/>
      <c r="L4361" s="2">
        <f t="shared" si="368"/>
        <v>0</v>
      </c>
      <c r="M4361">
        <f t="shared" si="369"/>
        <v>5</v>
      </c>
      <c r="O4361" s="62"/>
      <c r="P4361" s="62"/>
    </row>
    <row r="4362" spans="1:16" x14ac:dyDescent="0.3">
      <c r="A4362" s="3">
        <f t="shared" si="341"/>
        <v>45733</v>
      </c>
      <c r="B4362" s="11" t="s">
        <v>6470</v>
      </c>
      <c r="C4362" s="65" t="s">
        <v>7857</v>
      </c>
      <c r="E4362" s="90" t="s">
        <v>2088</v>
      </c>
      <c r="F4362" s="11"/>
      <c r="G4362" s="88"/>
      <c r="H4362" s="88"/>
      <c r="I4362" s="88">
        <f t="shared" si="367"/>
        <v>41812.36</v>
      </c>
      <c r="J4362" s="62">
        <f t="shared" si="357"/>
        <v>32812.36</v>
      </c>
      <c r="K4362" s="62"/>
      <c r="L4362" s="2">
        <f t="shared" si="368"/>
        <v>0</v>
      </c>
      <c r="M4362">
        <f t="shared" si="369"/>
        <v>5</v>
      </c>
      <c r="O4362" s="62"/>
      <c r="P4362" s="62"/>
    </row>
    <row r="4363" spans="1:16" x14ac:dyDescent="0.3">
      <c r="A4363" s="3">
        <f t="shared" si="341"/>
        <v>45733</v>
      </c>
      <c r="B4363" s="11" t="s">
        <v>7859</v>
      </c>
      <c r="C4363" s="65" t="s">
        <v>7858</v>
      </c>
      <c r="E4363" s="90" t="s">
        <v>2088</v>
      </c>
      <c r="F4363" s="11"/>
      <c r="G4363" s="88"/>
      <c r="H4363" s="88"/>
      <c r="I4363" s="88">
        <f t="shared" si="367"/>
        <v>41812.36</v>
      </c>
      <c r="J4363" s="62">
        <f t="shared" si="357"/>
        <v>32812.36</v>
      </c>
      <c r="K4363" s="62"/>
      <c r="L4363" s="2">
        <f t="shared" si="368"/>
        <v>0</v>
      </c>
      <c r="M4363">
        <f t="shared" si="369"/>
        <v>5</v>
      </c>
      <c r="O4363" s="62"/>
      <c r="P4363" s="62"/>
    </row>
    <row r="4364" spans="1:16" x14ac:dyDescent="0.3">
      <c r="A4364" s="3">
        <f t="shared" si="341"/>
        <v>45733</v>
      </c>
      <c r="B4364" s="11" t="s">
        <v>7859</v>
      </c>
      <c r="C4364" s="65" t="s">
        <v>7858</v>
      </c>
      <c r="E4364" s="90" t="s">
        <v>2088</v>
      </c>
      <c r="F4364" s="11"/>
      <c r="G4364" s="88"/>
      <c r="H4364" s="88"/>
      <c r="I4364" s="88">
        <f t="shared" si="367"/>
        <v>41812.36</v>
      </c>
      <c r="J4364" s="62">
        <f t="shared" si="357"/>
        <v>32812.36</v>
      </c>
      <c r="K4364" s="62"/>
      <c r="L4364" s="2">
        <f t="shared" si="368"/>
        <v>0</v>
      </c>
      <c r="M4364">
        <f t="shared" si="369"/>
        <v>5</v>
      </c>
      <c r="O4364" s="62"/>
      <c r="P4364" s="62"/>
    </row>
    <row r="4365" spans="1:16" x14ac:dyDescent="0.3">
      <c r="A4365" s="3">
        <f t="shared" si="341"/>
        <v>45733</v>
      </c>
      <c r="B4365" s="11" t="s">
        <v>7859</v>
      </c>
      <c r="C4365" s="65" t="s">
        <v>7858</v>
      </c>
      <c r="E4365" s="90" t="s">
        <v>2088</v>
      </c>
      <c r="F4365" s="11"/>
      <c r="G4365" s="88"/>
      <c r="H4365" s="88"/>
      <c r="I4365" s="88">
        <f t="shared" si="367"/>
        <v>41812.36</v>
      </c>
      <c r="J4365" s="62">
        <f t="shared" si="357"/>
        <v>32812.36</v>
      </c>
      <c r="K4365" s="62"/>
      <c r="L4365" s="2">
        <f t="shared" si="368"/>
        <v>0</v>
      </c>
      <c r="M4365">
        <f t="shared" si="369"/>
        <v>5</v>
      </c>
      <c r="O4365" s="62"/>
      <c r="P4365" s="62"/>
    </row>
    <row r="4366" spans="1:16" x14ac:dyDescent="0.3">
      <c r="A4366" s="3">
        <f t="shared" si="341"/>
        <v>45733</v>
      </c>
      <c r="B4366" s="11" t="s">
        <v>7859</v>
      </c>
      <c r="C4366" s="65" t="s">
        <v>7858</v>
      </c>
      <c r="F4366" s="11"/>
      <c r="G4366" s="88">
        <v>7500</v>
      </c>
      <c r="H4366" s="88"/>
      <c r="I4366" s="88">
        <f t="shared" si="367"/>
        <v>49312.36</v>
      </c>
      <c r="J4366" s="62">
        <f t="shared" si="357"/>
        <v>40312.36</v>
      </c>
      <c r="K4366" s="62"/>
      <c r="L4366" s="2">
        <f t="shared" si="368"/>
        <v>20</v>
      </c>
      <c r="M4366">
        <f t="shared" si="369"/>
        <v>0</v>
      </c>
      <c r="O4366" s="62"/>
      <c r="P4366" s="62"/>
    </row>
    <row r="4367" spans="1:16" x14ac:dyDescent="0.3">
      <c r="A4367" s="3">
        <f t="shared" si="341"/>
        <v>45733</v>
      </c>
      <c r="B4367" s="11" t="s">
        <v>7859</v>
      </c>
      <c r="C4367" s="65" t="s">
        <v>7858</v>
      </c>
      <c r="E4367" s="90" t="s">
        <v>2088</v>
      </c>
      <c r="F4367" s="11"/>
      <c r="G4367" s="88"/>
      <c r="H4367" s="88"/>
      <c r="I4367" s="88">
        <f t="shared" si="367"/>
        <v>49312.36</v>
      </c>
      <c r="J4367" s="62">
        <f t="shared" si="357"/>
        <v>40312.36</v>
      </c>
      <c r="K4367" s="62"/>
      <c r="L4367" s="2">
        <f t="shared" si="368"/>
        <v>0</v>
      </c>
      <c r="M4367">
        <f t="shared" si="369"/>
        <v>5</v>
      </c>
      <c r="O4367" s="62"/>
      <c r="P4367" s="62"/>
    </row>
    <row r="4368" spans="1:16" x14ac:dyDescent="0.3">
      <c r="A4368" s="3">
        <f t="shared" si="341"/>
        <v>45733</v>
      </c>
      <c r="B4368" s="11" t="s">
        <v>7860</v>
      </c>
      <c r="C4368" s="65" t="s">
        <v>7861</v>
      </c>
      <c r="E4368" s="90" t="s">
        <v>2088</v>
      </c>
      <c r="F4368" s="11"/>
      <c r="G4368" s="88"/>
      <c r="H4368" s="88"/>
      <c r="I4368" s="88">
        <f t="shared" si="367"/>
        <v>49312.36</v>
      </c>
      <c r="J4368" s="62">
        <f t="shared" si="357"/>
        <v>40312.36</v>
      </c>
      <c r="K4368" s="62"/>
      <c r="L4368" s="2">
        <f t="shared" si="368"/>
        <v>0</v>
      </c>
      <c r="M4368">
        <f t="shared" si="369"/>
        <v>5</v>
      </c>
      <c r="O4368" s="62"/>
      <c r="P4368" s="62"/>
    </row>
    <row r="4369" spans="1:16" x14ac:dyDescent="0.3">
      <c r="A4369" s="3">
        <f t="shared" si="341"/>
        <v>45733</v>
      </c>
      <c r="B4369" s="11" t="s">
        <v>7862</v>
      </c>
      <c r="C4369" s="65" t="s">
        <v>7863</v>
      </c>
      <c r="E4369" s="90" t="s">
        <v>2088</v>
      </c>
      <c r="F4369" s="11"/>
      <c r="G4369" s="88"/>
      <c r="H4369" s="88"/>
      <c r="I4369" s="88">
        <f t="shared" ref="I4369:I4378" si="370">I4368+G4369-H4369</f>
        <v>49312.36</v>
      </c>
      <c r="J4369" s="62">
        <f t="shared" ref="J4369:J4432" si="371">I4369-9000</f>
        <v>40312.36</v>
      </c>
      <c r="K4369" s="62"/>
      <c r="L4369" s="2">
        <f t="shared" ref="L4369:L4378" si="372">IF((G4369+H4369)&lt;=5000,(H4369+G4369)*0.004,20)+IF(E4369="Y",25,0)</f>
        <v>0</v>
      </c>
      <c r="M4369">
        <f t="shared" ref="M4369:M4378" si="373">IF(E4369="p",5,0)</f>
        <v>5</v>
      </c>
      <c r="O4369" s="62"/>
      <c r="P4369" s="62"/>
    </row>
    <row r="4370" spans="1:16" x14ac:dyDescent="0.3">
      <c r="A4370" s="3">
        <f t="shared" si="341"/>
        <v>45733</v>
      </c>
      <c r="B4370" s="11" t="s">
        <v>7862</v>
      </c>
      <c r="C4370" s="65" t="s">
        <v>7863</v>
      </c>
      <c r="D4370" s="50" t="s">
        <v>7864</v>
      </c>
      <c r="F4370" s="11"/>
      <c r="G4370" s="88"/>
      <c r="H4370" s="88"/>
      <c r="I4370" s="88">
        <f t="shared" si="370"/>
        <v>49312.36</v>
      </c>
      <c r="J4370" s="62">
        <f t="shared" si="371"/>
        <v>40312.36</v>
      </c>
      <c r="K4370" s="62"/>
      <c r="L4370" s="2">
        <f t="shared" si="372"/>
        <v>0</v>
      </c>
      <c r="M4370">
        <f t="shared" si="373"/>
        <v>0</v>
      </c>
      <c r="O4370" s="62"/>
      <c r="P4370" s="62"/>
    </row>
    <row r="4371" spans="1:16" x14ac:dyDescent="0.3">
      <c r="A4371" s="3">
        <f t="shared" si="341"/>
        <v>45733</v>
      </c>
      <c r="B4371" s="11" t="s">
        <v>7862</v>
      </c>
      <c r="C4371" s="65" t="s">
        <v>7863</v>
      </c>
      <c r="E4371" s="90" t="s">
        <v>2088</v>
      </c>
      <c r="F4371" s="11"/>
      <c r="G4371" s="88"/>
      <c r="H4371" s="88"/>
      <c r="I4371" s="88">
        <f t="shared" si="370"/>
        <v>49312.36</v>
      </c>
      <c r="J4371" s="62">
        <f t="shared" si="371"/>
        <v>40312.36</v>
      </c>
      <c r="K4371" s="62"/>
      <c r="L4371" s="2">
        <f t="shared" si="372"/>
        <v>0</v>
      </c>
      <c r="M4371">
        <f t="shared" si="373"/>
        <v>5</v>
      </c>
      <c r="O4371" s="62"/>
      <c r="P4371" s="62"/>
    </row>
    <row r="4372" spans="1:16" x14ac:dyDescent="0.3">
      <c r="A4372" s="3">
        <f t="shared" si="341"/>
        <v>45733</v>
      </c>
      <c r="B4372" s="11" t="s">
        <v>7862</v>
      </c>
      <c r="C4372" s="65" t="s">
        <v>7863</v>
      </c>
      <c r="F4372" s="11"/>
      <c r="G4372" s="88">
        <v>7000</v>
      </c>
      <c r="H4372" s="88"/>
      <c r="I4372" s="88">
        <f t="shared" si="370"/>
        <v>56312.36</v>
      </c>
      <c r="J4372" s="62">
        <f t="shared" si="371"/>
        <v>47312.36</v>
      </c>
      <c r="K4372" s="62"/>
      <c r="L4372" s="2">
        <f t="shared" si="372"/>
        <v>20</v>
      </c>
      <c r="M4372">
        <f t="shared" si="373"/>
        <v>0</v>
      </c>
      <c r="O4372" s="62"/>
      <c r="P4372" s="62"/>
    </row>
    <row r="4373" spans="1:16" x14ac:dyDescent="0.3">
      <c r="A4373" s="3">
        <f t="shared" si="341"/>
        <v>45733</v>
      </c>
      <c r="B4373" s="11" t="s">
        <v>7862</v>
      </c>
      <c r="C4373" s="65" t="s">
        <v>7863</v>
      </c>
      <c r="E4373" s="90" t="s">
        <v>2088</v>
      </c>
      <c r="F4373" s="11"/>
      <c r="G4373" s="88"/>
      <c r="H4373" s="88"/>
      <c r="I4373" s="88">
        <f t="shared" si="370"/>
        <v>56312.36</v>
      </c>
      <c r="J4373" s="62">
        <f t="shared" si="371"/>
        <v>47312.36</v>
      </c>
      <c r="K4373" s="62"/>
      <c r="L4373" s="2">
        <f t="shared" si="372"/>
        <v>0</v>
      </c>
      <c r="M4373">
        <f t="shared" si="373"/>
        <v>5</v>
      </c>
      <c r="O4373" s="62"/>
      <c r="P4373" s="62"/>
    </row>
    <row r="4374" spans="1:16" x14ac:dyDescent="0.3">
      <c r="A4374" s="3">
        <f t="shared" si="341"/>
        <v>45733</v>
      </c>
      <c r="B4374" s="11" t="s">
        <v>5312</v>
      </c>
      <c r="C4374" s="65" t="s">
        <v>7795</v>
      </c>
      <c r="F4374" s="11"/>
      <c r="G4374" s="88">
        <v>5000</v>
      </c>
      <c r="H4374" s="88"/>
      <c r="I4374" s="88">
        <f t="shared" si="370"/>
        <v>61312.36</v>
      </c>
      <c r="J4374" s="62">
        <f t="shared" si="371"/>
        <v>52312.36</v>
      </c>
      <c r="K4374" s="62"/>
      <c r="L4374" s="2">
        <f t="shared" si="372"/>
        <v>20</v>
      </c>
      <c r="M4374">
        <f t="shared" si="373"/>
        <v>0</v>
      </c>
      <c r="O4374" s="62"/>
      <c r="P4374" s="62"/>
    </row>
    <row r="4375" spans="1:16" x14ac:dyDescent="0.3">
      <c r="A4375" s="3">
        <f t="shared" si="341"/>
        <v>45733</v>
      </c>
      <c r="B4375" s="11" t="s">
        <v>5312</v>
      </c>
      <c r="C4375" s="65" t="s">
        <v>7795</v>
      </c>
      <c r="E4375" s="90" t="s">
        <v>2088</v>
      </c>
      <c r="F4375" s="11"/>
      <c r="G4375" s="88"/>
      <c r="H4375" s="88"/>
      <c r="I4375" s="88">
        <f t="shared" si="370"/>
        <v>61312.36</v>
      </c>
      <c r="J4375" s="62">
        <f t="shared" si="371"/>
        <v>52312.36</v>
      </c>
      <c r="K4375" s="62"/>
      <c r="L4375" s="2">
        <f t="shared" si="372"/>
        <v>0</v>
      </c>
      <c r="M4375">
        <f t="shared" si="373"/>
        <v>5</v>
      </c>
      <c r="O4375" s="62"/>
      <c r="P4375" s="62"/>
    </row>
    <row r="4376" spans="1:16" x14ac:dyDescent="0.3">
      <c r="A4376" s="3">
        <f t="shared" si="341"/>
        <v>45733</v>
      </c>
      <c r="B4376" s="11" t="s">
        <v>7865</v>
      </c>
      <c r="C4376" s="65" t="s">
        <v>7347</v>
      </c>
      <c r="E4376" s="90" t="s">
        <v>2088</v>
      </c>
      <c r="F4376" s="11"/>
      <c r="G4376" s="88"/>
      <c r="H4376" s="88"/>
      <c r="I4376" s="88">
        <f t="shared" si="370"/>
        <v>61312.36</v>
      </c>
      <c r="J4376" s="62">
        <f t="shared" si="371"/>
        <v>52312.36</v>
      </c>
      <c r="K4376" s="62"/>
      <c r="L4376" s="2">
        <f t="shared" si="372"/>
        <v>0</v>
      </c>
      <c r="M4376">
        <f t="shared" si="373"/>
        <v>5</v>
      </c>
      <c r="O4376" s="62"/>
      <c r="P4376" s="62"/>
    </row>
    <row r="4377" spans="1:16" x14ac:dyDescent="0.3">
      <c r="A4377" s="3">
        <f t="shared" si="341"/>
        <v>45733</v>
      </c>
      <c r="B4377" s="11" t="s">
        <v>7865</v>
      </c>
      <c r="C4377" s="65" t="s">
        <v>7347</v>
      </c>
      <c r="F4377" s="11"/>
      <c r="G4377" s="88">
        <v>10000</v>
      </c>
      <c r="H4377" s="88"/>
      <c r="I4377" s="88">
        <f t="shared" si="370"/>
        <v>71312.36</v>
      </c>
      <c r="J4377" s="62">
        <f t="shared" si="371"/>
        <v>62312.36</v>
      </c>
      <c r="K4377" s="62"/>
      <c r="L4377" s="2">
        <f t="shared" si="372"/>
        <v>20</v>
      </c>
      <c r="M4377">
        <f t="shared" si="373"/>
        <v>0</v>
      </c>
      <c r="O4377" s="62"/>
      <c r="P4377" s="62"/>
    </row>
    <row r="4378" spans="1:16" x14ac:dyDescent="0.3">
      <c r="A4378" s="3">
        <f t="shared" si="341"/>
        <v>45733</v>
      </c>
      <c r="B4378" s="11" t="s">
        <v>7865</v>
      </c>
      <c r="C4378" s="65" t="s">
        <v>7347</v>
      </c>
      <c r="E4378" s="90" t="s">
        <v>2088</v>
      </c>
      <c r="F4378" s="11"/>
      <c r="G4378" s="88"/>
      <c r="H4378" s="88"/>
      <c r="I4378" s="88">
        <f t="shared" si="370"/>
        <v>71312.36</v>
      </c>
      <c r="J4378" s="62">
        <f t="shared" si="371"/>
        <v>62312.36</v>
      </c>
      <c r="K4378" s="62"/>
      <c r="L4378" s="2">
        <f t="shared" si="372"/>
        <v>0</v>
      </c>
      <c r="M4378">
        <f t="shared" si="373"/>
        <v>5</v>
      </c>
      <c r="O4378" s="62"/>
      <c r="P4378" s="62"/>
    </row>
    <row r="4379" spans="1:16" x14ac:dyDescent="0.3">
      <c r="A4379" s="3">
        <f t="shared" si="341"/>
        <v>45733</v>
      </c>
      <c r="B4379" s="11" t="s">
        <v>5415</v>
      </c>
      <c r="C4379" s="65" t="s">
        <v>6647</v>
      </c>
      <c r="F4379" s="11"/>
      <c r="G4379" s="88">
        <v>1000</v>
      </c>
      <c r="H4379" s="88"/>
      <c r="I4379" s="88">
        <f t="shared" ref="I4379:I4393" si="374">I4378+G4379-H4379</f>
        <v>72312.36</v>
      </c>
      <c r="J4379" s="62">
        <f t="shared" si="371"/>
        <v>63312.36</v>
      </c>
      <c r="K4379" s="62"/>
      <c r="L4379" s="2">
        <f t="shared" ref="L4379:L4393" si="375">IF((G4379+H4379)&lt;=5000,(H4379+G4379)*0.004,20)+IF(E4379="Y",25,0)</f>
        <v>4</v>
      </c>
      <c r="M4379">
        <f t="shared" ref="M4379:M4393" si="376">IF(E4379="p",5,0)</f>
        <v>0</v>
      </c>
      <c r="O4379" s="62"/>
      <c r="P4379" s="62"/>
    </row>
    <row r="4380" spans="1:16" x14ac:dyDescent="0.3">
      <c r="A4380" s="3">
        <f t="shared" si="341"/>
        <v>45733</v>
      </c>
      <c r="B4380" s="11" t="s">
        <v>7866</v>
      </c>
      <c r="C4380" s="65" t="s">
        <v>7867</v>
      </c>
      <c r="E4380" s="90" t="s">
        <v>7772</v>
      </c>
      <c r="F4380" s="11"/>
      <c r="G4380" s="88"/>
      <c r="H4380" s="88">
        <v>0</v>
      </c>
      <c r="I4380" s="88">
        <f t="shared" si="374"/>
        <v>72312.36</v>
      </c>
      <c r="J4380" s="62">
        <f t="shared" si="371"/>
        <v>63312.36</v>
      </c>
      <c r="K4380" s="62"/>
      <c r="L4380" s="2">
        <f t="shared" si="375"/>
        <v>0</v>
      </c>
      <c r="M4380">
        <f t="shared" si="376"/>
        <v>5</v>
      </c>
      <c r="O4380" s="62"/>
      <c r="P4380" s="62"/>
    </row>
    <row r="4381" spans="1:16" x14ac:dyDescent="0.3">
      <c r="A4381" s="3">
        <f t="shared" si="341"/>
        <v>45733</v>
      </c>
      <c r="B4381" s="11" t="s">
        <v>2448</v>
      </c>
      <c r="C4381" s="65" t="s">
        <v>2289</v>
      </c>
      <c r="F4381" s="11"/>
      <c r="G4381" s="88"/>
      <c r="H4381" s="88">
        <v>6000</v>
      </c>
      <c r="I4381" s="88">
        <f t="shared" si="374"/>
        <v>66312.36</v>
      </c>
      <c r="J4381" s="62">
        <f t="shared" si="371"/>
        <v>57312.36</v>
      </c>
      <c r="K4381" s="62"/>
      <c r="L4381" s="2">
        <f t="shared" si="375"/>
        <v>20</v>
      </c>
      <c r="M4381">
        <f t="shared" si="376"/>
        <v>0</v>
      </c>
      <c r="O4381" s="62"/>
      <c r="P4381" s="62"/>
    </row>
    <row r="4382" spans="1:16" x14ac:dyDescent="0.3">
      <c r="A4382" s="3">
        <f t="shared" si="341"/>
        <v>45733</v>
      </c>
      <c r="B4382" s="11" t="s">
        <v>3524</v>
      </c>
      <c r="C4382" s="65" t="s">
        <v>3088</v>
      </c>
      <c r="F4382" s="11"/>
      <c r="G4382" s="88"/>
      <c r="H4382" s="147">
        <v>10000</v>
      </c>
      <c r="I4382" s="88">
        <f t="shared" si="374"/>
        <v>56312.36</v>
      </c>
      <c r="J4382" s="62">
        <f t="shared" si="371"/>
        <v>47312.36</v>
      </c>
      <c r="K4382" s="62"/>
      <c r="L4382" s="2">
        <f t="shared" si="375"/>
        <v>20</v>
      </c>
      <c r="M4382">
        <f t="shared" si="376"/>
        <v>0</v>
      </c>
      <c r="O4382" s="62"/>
      <c r="P4382" s="62"/>
    </row>
    <row r="4383" spans="1:16" x14ac:dyDescent="0.3">
      <c r="A4383" s="3">
        <f t="shared" si="341"/>
        <v>45733</v>
      </c>
      <c r="C4383" s="65" t="s">
        <v>2857</v>
      </c>
      <c r="E4383" s="90" t="s">
        <v>4721</v>
      </c>
      <c r="F4383" s="11"/>
      <c r="G4383" s="88"/>
      <c r="H4383" s="88">
        <v>50000</v>
      </c>
      <c r="I4383" s="88">
        <f t="shared" si="374"/>
        <v>6312.3600000000006</v>
      </c>
      <c r="J4383" s="62">
        <f t="shared" si="371"/>
        <v>-2687.6399999999994</v>
      </c>
      <c r="K4383" s="62"/>
      <c r="M4383">
        <f t="shared" si="376"/>
        <v>0</v>
      </c>
      <c r="O4383" s="62"/>
      <c r="P4383" s="62"/>
    </row>
    <row r="4384" spans="1:16" x14ac:dyDescent="0.3">
      <c r="A4384" s="3">
        <f t="shared" si="341"/>
        <v>45733</v>
      </c>
      <c r="B4384" s="11" t="s">
        <v>7868</v>
      </c>
      <c r="C4384" s="65" t="s">
        <v>7869</v>
      </c>
      <c r="F4384" s="11"/>
      <c r="G4384" s="88">
        <v>7500</v>
      </c>
      <c r="H4384" s="88"/>
      <c r="I4384" s="88">
        <f t="shared" si="374"/>
        <v>13812.36</v>
      </c>
      <c r="J4384" s="62">
        <f t="shared" si="371"/>
        <v>4812.3600000000006</v>
      </c>
      <c r="K4384" s="62"/>
      <c r="L4384" s="2">
        <f t="shared" si="375"/>
        <v>20</v>
      </c>
      <c r="M4384">
        <f t="shared" si="376"/>
        <v>0</v>
      </c>
      <c r="O4384" s="62"/>
      <c r="P4384" s="62"/>
    </row>
    <row r="4385" spans="1:16" x14ac:dyDescent="0.3">
      <c r="A4385" s="3">
        <f t="shared" si="341"/>
        <v>45733</v>
      </c>
      <c r="B4385" s="11" t="s">
        <v>7870</v>
      </c>
      <c r="C4385" s="65" t="s">
        <v>1026</v>
      </c>
      <c r="F4385" s="11"/>
      <c r="G4385" s="88">
        <v>5000</v>
      </c>
      <c r="H4385" s="88"/>
      <c r="I4385" s="88">
        <f t="shared" si="374"/>
        <v>18812.36</v>
      </c>
      <c r="J4385" s="62">
        <f t="shared" si="371"/>
        <v>9812.36</v>
      </c>
      <c r="K4385" s="62"/>
      <c r="L4385" s="2">
        <f t="shared" si="375"/>
        <v>20</v>
      </c>
      <c r="M4385">
        <f t="shared" si="376"/>
        <v>0</v>
      </c>
      <c r="O4385" s="62"/>
      <c r="P4385" s="62"/>
    </row>
    <row r="4386" spans="1:16" x14ac:dyDescent="0.3">
      <c r="A4386" s="3">
        <f t="shared" si="341"/>
        <v>45733</v>
      </c>
      <c r="B4386" s="11" t="s">
        <v>7870</v>
      </c>
      <c r="C4386" s="65" t="s">
        <v>1026</v>
      </c>
      <c r="E4386" s="90" t="s">
        <v>2088</v>
      </c>
      <c r="F4386" s="11"/>
      <c r="G4386" s="88"/>
      <c r="H4386" s="88"/>
      <c r="I4386" s="88">
        <f t="shared" si="374"/>
        <v>18812.36</v>
      </c>
      <c r="J4386" s="62">
        <f t="shared" si="371"/>
        <v>9812.36</v>
      </c>
      <c r="K4386" s="62"/>
      <c r="L4386" s="2">
        <f t="shared" si="375"/>
        <v>0</v>
      </c>
      <c r="M4386">
        <f t="shared" si="376"/>
        <v>5</v>
      </c>
      <c r="O4386" s="62"/>
      <c r="P4386" s="62"/>
    </row>
    <row r="4387" spans="1:16" x14ac:dyDescent="0.3">
      <c r="A4387" s="3">
        <f t="shared" si="341"/>
        <v>45733</v>
      </c>
      <c r="B4387" s="11" t="s">
        <v>6840</v>
      </c>
      <c r="C4387" s="65" t="s">
        <v>7513</v>
      </c>
      <c r="F4387" s="11"/>
      <c r="G4387" s="88">
        <v>2000</v>
      </c>
      <c r="H4387" s="88"/>
      <c r="I4387" s="88">
        <f t="shared" si="374"/>
        <v>20812.36</v>
      </c>
      <c r="J4387" s="62">
        <f t="shared" si="371"/>
        <v>11812.36</v>
      </c>
      <c r="K4387" s="62"/>
      <c r="L4387" s="2">
        <f t="shared" si="375"/>
        <v>8</v>
      </c>
      <c r="M4387">
        <f t="shared" si="376"/>
        <v>0</v>
      </c>
      <c r="O4387" s="62"/>
      <c r="P4387" s="62"/>
    </row>
    <row r="4388" spans="1:16" x14ac:dyDescent="0.3">
      <c r="A4388" s="3">
        <f t="shared" si="341"/>
        <v>45733</v>
      </c>
      <c r="B4388" s="11" t="s">
        <v>6840</v>
      </c>
      <c r="C4388" s="65" t="s">
        <v>7513</v>
      </c>
      <c r="E4388" s="90" t="s">
        <v>2088</v>
      </c>
      <c r="F4388" s="11"/>
      <c r="G4388" s="88"/>
      <c r="H4388" s="88"/>
      <c r="I4388" s="88">
        <f t="shared" si="374"/>
        <v>20812.36</v>
      </c>
      <c r="J4388" s="62">
        <f t="shared" si="371"/>
        <v>11812.36</v>
      </c>
      <c r="K4388" s="62"/>
      <c r="L4388" s="2">
        <f t="shared" si="375"/>
        <v>0</v>
      </c>
      <c r="M4388">
        <f t="shared" si="376"/>
        <v>5</v>
      </c>
      <c r="O4388" s="62"/>
      <c r="P4388" s="62"/>
    </row>
    <row r="4389" spans="1:16" x14ac:dyDescent="0.3">
      <c r="A4389" s="3">
        <f t="shared" si="341"/>
        <v>45733</v>
      </c>
      <c r="B4389" s="11" t="s">
        <v>1250</v>
      </c>
      <c r="C4389" s="65" t="s">
        <v>2443</v>
      </c>
      <c r="F4389" s="11"/>
      <c r="G4389" s="88">
        <v>900</v>
      </c>
      <c r="H4389" s="88"/>
      <c r="I4389" s="88">
        <f t="shared" si="374"/>
        <v>21712.36</v>
      </c>
      <c r="J4389" s="62">
        <f t="shared" si="371"/>
        <v>12712.36</v>
      </c>
      <c r="K4389" s="62"/>
      <c r="L4389" s="2">
        <f t="shared" si="375"/>
        <v>3.6</v>
      </c>
      <c r="M4389">
        <f t="shared" si="376"/>
        <v>0</v>
      </c>
      <c r="O4389" s="62"/>
      <c r="P4389" s="62"/>
    </row>
    <row r="4390" spans="1:16" x14ac:dyDescent="0.3">
      <c r="A4390" s="3">
        <f t="shared" si="341"/>
        <v>45733</v>
      </c>
      <c r="B4390" s="11" t="s">
        <v>5839</v>
      </c>
      <c r="C4390" s="65" t="s">
        <v>7871</v>
      </c>
      <c r="E4390" s="90" t="s">
        <v>2088</v>
      </c>
      <c r="F4390" s="11"/>
      <c r="G4390" s="88"/>
      <c r="H4390" s="88"/>
      <c r="I4390" s="88">
        <f t="shared" si="374"/>
        <v>21712.36</v>
      </c>
      <c r="J4390" s="62">
        <f t="shared" si="371"/>
        <v>12712.36</v>
      </c>
      <c r="K4390" s="62"/>
      <c r="L4390" s="2">
        <f t="shared" si="375"/>
        <v>0</v>
      </c>
      <c r="M4390">
        <f t="shared" si="376"/>
        <v>5</v>
      </c>
      <c r="O4390" s="62"/>
      <c r="P4390" s="62"/>
    </row>
    <row r="4391" spans="1:16" x14ac:dyDescent="0.3">
      <c r="A4391" s="3">
        <f t="shared" si="341"/>
        <v>45733</v>
      </c>
      <c r="B4391" s="11" t="s">
        <v>5839</v>
      </c>
      <c r="C4391" s="65" t="s">
        <v>7871</v>
      </c>
      <c r="F4391" s="11"/>
      <c r="G4391" s="88">
        <v>5500</v>
      </c>
      <c r="H4391" s="88"/>
      <c r="I4391" s="88">
        <f t="shared" si="374"/>
        <v>27212.36</v>
      </c>
      <c r="J4391" s="62">
        <f t="shared" si="371"/>
        <v>18212.36</v>
      </c>
      <c r="K4391" s="62"/>
      <c r="L4391" s="2">
        <f t="shared" si="375"/>
        <v>20</v>
      </c>
      <c r="M4391">
        <f t="shared" si="376"/>
        <v>0</v>
      </c>
      <c r="O4391" s="62"/>
      <c r="P4391" s="62"/>
    </row>
    <row r="4392" spans="1:16" x14ac:dyDescent="0.3">
      <c r="A4392" s="3">
        <f t="shared" si="341"/>
        <v>45733</v>
      </c>
      <c r="B4392" s="11" t="s">
        <v>5042</v>
      </c>
      <c r="C4392" s="65" t="s">
        <v>6379</v>
      </c>
      <c r="F4392" s="11"/>
      <c r="G4392" s="88">
        <v>2500</v>
      </c>
      <c r="H4392" s="88"/>
      <c r="I4392" s="88">
        <f t="shared" si="374"/>
        <v>29712.36</v>
      </c>
      <c r="J4392" s="62">
        <f t="shared" si="371"/>
        <v>20712.36</v>
      </c>
      <c r="K4392" s="62"/>
      <c r="L4392" s="2">
        <f t="shared" si="375"/>
        <v>10</v>
      </c>
      <c r="M4392">
        <f t="shared" si="376"/>
        <v>0</v>
      </c>
      <c r="O4392" s="62"/>
      <c r="P4392" s="62"/>
    </row>
    <row r="4393" spans="1:16" x14ac:dyDescent="0.3">
      <c r="A4393" s="3">
        <v>45734</v>
      </c>
      <c r="B4393" s="11" t="s">
        <v>1250</v>
      </c>
      <c r="C4393" s="65" t="s">
        <v>3077</v>
      </c>
      <c r="F4393" s="11"/>
      <c r="G4393" s="88">
        <v>400</v>
      </c>
      <c r="H4393" s="88"/>
      <c r="I4393" s="88">
        <f t="shared" si="374"/>
        <v>30112.36</v>
      </c>
      <c r="J4393" s="62">
        <f t="shared" si="371"/>
        <v>21112.36</v>
      </c>
      <c r="K4393" s="62"/>
      <c r="L4393" s="2">
        <f t="shared" si="375"/>
        <v>1.6</v>
      </c>
      <c r="M4393">
        <f t="shared" si="376"/>
        <v>0</v>
      </c>
      <c r="O4393" s="62"/>
      <c r="P4393" s="62"/>
    </row>
    <row r="4394" spans="1:16" x14ac:dyDescent="0.3">
      <c r="A4394" s="3">
        <f t="shared" si="341"/>
        <v>45734</v>
      </c>
      <c r="B4394" s="11" t="s">
        <v>7872</v>
      </c>
      <c r="C4394" s="65" t="s">
        <v>7873</v>
      </c>
      <c r="F4394" s="11"/>
      <c r="G4394" s="88">
        <v>10000</v>
      </c>
      <c r="H4394" s="88"/>
      <c r="I4394" s="88">
        <f t="shared" ref="I4394:I4409" si="377">I4393+G4394-H4394</f>
        <v>40112.36</v>
      </c>
      <c r="J4394" s="62">
        <f t="shared" si="371"/>
        <v>31112.36</v>
      </c>
      <c r="K4394" s="62"/>
      <c r="L4394" s="2">
        <f t="shared" ref="L4394:L4409" si="378">IF((G4394+H4394)&lt;=5000,(H4394+G4394)*0.004,20)+IF(E4394="Y",25,0)</f>
        <v>20</v>
      </c>
      <c r="M4394">
        <f t="shared" ref="M4394:M4409" si="379">IF(E4394="p",5,0)</f>
        <v>0</v>
      </c>
      <c r="O4394" s="62"/>
      <c r="P4394" s="62"/>
    </row>
    <row r="4395" spans="1:16" x14ac:dyDescent="0.3">
      <c r="A4395" s="3">
        <f t="shared" si="341"/>
        <v>45734</v>
      </c>
      <c r="B4395" s="11" t="s">
        <v>1250</v>
      </c>
      <c r="C4395" s="65" t="s">
        <v>3393</v>
      </c>
      <c r="F4395" s="11"/>
      <c r="G4395" s="88">
        <v>400</v>
      </c>
      <c r="H4395" s="88"/>
      <c r="I4395" s="88">
        <f t="shared" si="377"/>
        <v>40512.36</v>
      </c>
      <c r="J4395" s="62">
        <f t="shared" si="371"/>
        <v>31512.36</v>
      </c>
      <c r="K4395" s="62"/>
      <c r="L4395" s="2">
        <f t="shared" si="378"/>
        <v>1.6</v>
      </c>
      <c r="M4395">
        <f t="shared" si="379"/>
        <v>0</v>
      </c>
      <c r="O4395" s="62"/>
      <c r="P4395" s="62"/>
    </row>
    <row r="4396" spans="1:16" x14ac:dyDescent="0.3">
      <c r="A4396" s="3">
        <f t="shared" si="341"/>
        <v>45734</v>
      </c>
      <c r="B4396" s="11" t="s">
        <v>3915</v>
      </c>
      <c r="C4396" s="65" t="s">
        <v>7874</v>
      </c>
      <c r="F4396" s="11"/>
      <c r="G4396" s="88">
        <v>7500</v>
      </c>
      <c r="H4396" s="88"/>
      <c r="I4396" s="88">
        <f t="shared" si="377"/>
        <v>48012.36</v>
      </c>
      <c r="J4396" s="62">
        <f t="shared" si="371"/>
        <v>39012.36</v>
      </c>
      <c r="K4396" s="62"/>
      <c r="L4396" s="2">
        <f t="shared" si="378"/>
        <v>20</v>
      </c>
      <c r="M4396">
        <f t="shared" si="379"/>
        <v>0</v>
      </c>
      <c r="O4396" s="62"/>
      <c r="P4396" s="62"/>
    </row>
    <row r="4397" spans="1:16" x14ac:dyDescent="0.3">
      <c r="A4397" s="3">
        <f t="shared" si="341"/>
        <v>45734</v>
      </c>
      <c r="B4397" s="11" t="s">
        <v>7264</v>
      </c>
      <c r="C4397" s="65" t="s">
        <v>7875</v>
      </c>
      <c r="E4397" s="90" t="s">
        <v>2088</v>
      </c>
      <c r="F4397" s="11"/>
      <c r="G4397" s="88"/>
      <c r="H4397" s="88"/>
      <c r="I4397" s="88">
        <f t="shared" si="377"/>
        <v>48012.36</v>
      </c>
      <c r="J4397" s="62">
        <f t="shared" si="371"/>
        <v>39012.36</v>
      </c>
      <c r="K4397" s="62"/>
      <c r="L4397" s="2">
        <f t="shared" si="378"/>
        <v>0</v>
      </c>
      <c r="M4397">
        <f t="shared" si="379"/>
        <v>5</v>
      </c>
      <c r="O4397" s="62"/>
      <c r="P4397" s="62"/>
    </row>
    <row r="4398" spans="1:16" x14ac:dyDescent="0.3">
      <c r="A4398" s="3">
        <f t="shared" si="341"/>
        <v>45734</v>
      </c>
      <c r="B4398" s="11" t="s">
        <v>7264</v>
      </c>
      <c r="C4398" s="65" t="s">
        <v>7875</v>
      </c>
      <c r="E4398" s="90" t="s">
        <v>2088</v>
      </c>
      <c r="F4398" s="11"/>
      <c r="G4398" s="88"/>
      <c r="H4398" s="88"/>
      <c r="I4398" s="88">
        <f t="shared" si="377"/>
        <v>48012.36</v>
      </c>
      <c r="J4398" s="62">
        <f t="shared" si="371"/>
        <v>39012.36</v>
      </c>
      <c r="K4398" s="62"/>
      <c r="L4398" s="2">
        <f t="shared" si="378"/>
        <v>0</v>
      </c>
      <c r="M4398">
        <f t="shared" si="379"/>
        <v>5</v>
      </c>
      <c r="O4398" s="62"/>
      <c r="P4398" s="62"/>
    </row>
    <row r="4399" spans="1:16" x14ac:dyDescent="0.3">
      <c r="A4399" s="3">
        <f t="shared" si="341"/>
        <v>45734</v>
      </c>
      <c r="B4399" s="11" t="s">
        <v>7264</v>
      </c>
      <c r="C4399" s="65" t="s">
        <v>7875</v>
      </c>
      <c r="E4399" s="90" t="s">
        <v>2088</v>
      </c>
      <c r="F4399" s="11"/>
      <c r="G4399" s="88"/>
      <c r="H4399" s="88"/>
      <c r="I4399" s="88">
        <f t="shared" si="377"/>
        <v>48012.36</v>
      </c>
      <c r="J4399" s="62">
        <f t="shared" si="371"/>
        <v>39012.36</v>
      </c>
      <c r="K4399" s="62"/>
      <c r="L4399" s="2">
        <f t="shared" si="378"/>
        <v>0</v>
      </c>
      <c r="M4399">
        <f t="shared" si="379"/>
        <v>5</v>
      </c>
      <c r="O4399" s="62"/>
      <c r="P4399" s="62"/>
    </row>
    <row r="4400" spans="1:16" x14ac:dyDescent="0.3">
      <c r="A4400" s="3">
        <f t="shared" si="341"/>
        <v>45734</v>
      </c>
      <c r="B4400" s="11" t="s">
        <v>2448</v>
      </c>
      <c r="C4400" s="65" t="s">
        <v>2289</v>
      </c>
      <c r="F4400" s="11"/>
      <c r="G4400" s="88"/>
      <c r="H4400" s="88">
        <v>3000</v>
      </c>
      <c r="I4400" s="88">
        <f t="shared" si="377"/>
        <v>45012.36</v>
      </c>
      <c r="J4400" s="62">
        <f t="shared" si="371"/>
        <v>36012.36</v>
      </c>
      <c r="K4400" s="62"/>
      <c r="L4400" s="2">
        <f t="shared" si="378"/>
        <v>12</v>
      </c>
      <c r="M4400">
        <f t="shared" si="379"/>
        <v>0</v>
      </c>
      <c r="O4400" s="62"/>
      <c r="P4400" s="62"/>
    </row>
    <row r="4401" spans="1:16" x14ac:dyDescent="0.3">
      <c r="A4401" s="3">
        <f t="shared" si="341"/>
        <v>45734</v>
      </c>
      <c r="B4401" s="11" t="s">
        <v>7877</v>
      </c>
      <c r="C4401" s="65" t="s">
        <v>7880</v>
      </c>
      <c r="E4401" s="90" t="s">
        <v>16</v>
      </c>
      <c r="F4401" s="11"/>
      <c r="G4401" s="88"/>
      <c r="H4401" s="88">
        <v>300</v>
      </c>
      <c r="I4401" s="88">
        <f t="shared" si="377"/>
        <v>44712.36</v>
      </c>
      <c r="J4401" s="62">
        <f t="shared" si="371"/>
        <v>35712.36</v>
      </c>
      <c r="K4401" s="62"/>
      <c r="L4401" s="2">
        <f t="shared" si="378"/>
        <v>26.2</v>
      </c>
      <c r="M4401">
        <f t="shared" si="379"/>
        <v>0</v>
      </c>
      <c r="O4401" s="62"/>
      <c r="P4401" s="62"/>
    </row>
    <row r="4402" spans="1:16" x14ac:dyDescent="0.3">
      <c r="A4402" s="3">
        <f t="shared" si="341"/>
        <v>45734</v>
      </c>
      <c r="B4402" s="11" t="s">
        <v>7547</v>
      </c>
      <c r="C4402" s="65" t="s">
        <v>7328</v>
      </c>
      <c r="F4402" s="11"/>
      <c r="G4402" s="88">
        <v>2500</v>
      </c>
      <c r="H4402" s="88"/>
      <c r="I4402" s="88">
        <f t="shared" si="377"/>
        <v>47212.36</v>
      </c>
      <c r="J4402" s="62">
        <f t="shared" si="371"/>
        <v>38212.36</v>
      </c>
      <c r="K4402" s="62"/>
      <c r="L4402" s="2">
        <f t="shared" si="378"/>
        <v>10</v>
      </c>
      <c r="M4402">
        <f t="shared" si="379"/>
        <v>0</v>
      </c>
      <c r="O4402" s="62"/>
      <c r="P4402" s="62"/>
    </row>
    <row r="4403" spans="1:16" x14ac:dyDescent="0.3">
      <c r="A4403" s="3">
        <f t="shared" si="341"/>
        <v>45734</v>
      </c>
      <c r="B4403" s="11" t="s">
        <v>4005</v>
      </c>
      <c r="C4403" s="65" t="s">
        <v>7881</v>
      </c>
      <c r="E4403" s="90" t="s">
        <v>2088</v>
      </c>
      <c r="F4403" s="11"/>
      <c r="G4403" s="88"/>
      <c r="H4403" s="88"/>
      <c r="I4403" s="88">
        <f t="shared" si="377"/>
        <v>47212.36</v>
      </c>
      <c r="J4403" s="62">
        <f t="shared" si="371"/>
        <v>38212.36</v>
      </c>
      <c r="K4403" s="62"/>
      <c r="L4403" s="2">
        <f t="shared" si="378"/>
        <v>0</v>
      </c>
      <c r="M4403">
        <f t="shared" si="379"/>
        <v>5</v>
      </c>
      <c r="O4403" s="62"/>
      <c r="P4403" s="62"/>
    </row>
    <row r="4404" spans="1:16" x14ac:dyDescent="0.3">
      <c r="A4404" s="3">
        <f t="shared" si="341"/>
        <v>45734</v>
      </c>
      <c r="B4404" s="11" t="s">
        <v>6260</v>
      </c>
      <c r="C4404" s="65" t="s">
        <v>7117</v>
      </c>
      <c r="F4404" s="11"/>
      <c r="G4404" s="88"/>
      <c r="H4404" s="88">
        <v>4000</v>
      </c>
      <c r="I4404" s="88">
        <f t="shared" si="377"/>
        <v>43212.36</v>
      </c>
      <c r="J4404" s="62">
        <f t="shared" si="371"/>
        <v>34212.36</v>
      </c>
      <c r="K4404" s="62"/>
      <c r="L4404" s="2">
        <f t="shared" si="378"/>
        <v>16</v>
      </c>
      <c r="M4404">
        <f t="shared" si="379"/>
        <v>0</v>
      </c>
      <c r="O4404" s="62"/>
      <c r="P4404" s="62"/>
    </row>
    <row r="4405" spans="1:16" x14ac:dyDescent="0.3">
      <c r="A4405" s="3">
        <f t="shared" si="341"/>
        <v>45734</v>
      </c>
      <c r="B4405" s="11" t="s">
        <v>4005</v>
      </c>
      <c r="C4405" s="65" t="s">
        <v>7881</v>
      </c>
      <c r="F4405" s="11"/>
      <c r="G4405" s="88">
        <v>4000</v>
      </c>
      <c r="H4405" s="88"/>
      <c r="I4405" s="88">
        <f t="shared" si="377"/>
        <v>47212.36</v>
      </c>
      <c r="J4405" s="62">
        <f t="shared" si="371"/>
        <v>38212.36</v>
      </c>
      <c r="K4405" s="62"/>
      <c r="L4405" s="2">
        <f t="shared" si="378"/>
        <v>16</v>
      </c>
      <c r="M4405">
        <f t="shared" si="379"/>
        <v>0</v>
      </c>
      <c r="O4405" s="62"/>
      <c r="P4405" s="62"/>
    </row>
    <row r="4406" spans="1:16" x14ac:dyDescent="0.3">
      <c r="A4406" s="3">
        <f t="shared" si="341"/>
        <v>45734</v>
      </c>
      <c r="B4406" s="11" t="s">
        <v>4005</v>
      </c>
      <c r="C4406" s="65" t="s">
        <v>7881</v>
      </c>
      <c r="E4406" s="90" t="s">
        <v>2088</v>
      </c>
      <c r="F4406" s="11"/>
      <c r="G4406" s="88"/>
      <c r="H4406" s="88"/>
      <c r="I4406" s="88">
        <f t="shared" si="377"/>
        <v>47212.36</v>
      </c>
      <c r="J4406" s="62">
        <f t="shared" si="371"/>
        <v>38212.36</v>
      </c>
      <c r="K4406" s="62"/>
      <c r="L4406" s="2">
        <f t="shared" si="378"/>
        <v>0</v>
      </c>
      <c r="M4406">
        <f t="shared" si="379"/>
        <v>5</v>
      </c>
      <c r="O4406" s="62"/>
      <c r="P4406" s="62"/>
    </row>
    <row r="4407" spans="1:16" x14ac:dyDescent="0.3">
      <c r="A4407" s="3">
        <f t="shared" si="341"/>
        <v>45734</v>
      </c>
      <c r="B4407" s="11" t="s">
        <v>7882</v>
      </c>
      <c r="C4407" s="65" t="s">
        <v>793</v>
      </c>
      <c r="F4407" s="11"/>
      <c r="G4407" s="88">
        <v>3000</v>
      </c>
      <c r="H4407" s="88"/>
      <c r="I4407" s="88">
        <f t="shared" si="377"/>
        <v>50212.36</v>
      </c>
      <c r="J4407" s="62">
        <f t="shared" si="371"/>
        <v>41212.36</v>
      </c>
      <c r="K4407" s="62"/>
      <c r="L4407" s="2">
        <f t="shared" si="378"/>
        <v>12</v>
      </c>
      <c r="M4407">
        <f t="shared" si="379"/>
        <v>0</v>
      </c>
      <c r="O4407" s="62"/>
      <c r="P4407" s="62"/>
    </row>
    <row r="4408" spans="1:16" x14ac:dyDescent="0.3">
      <c r="A4408" s="3">
        <f t="shared" si="341"/>
        <v>45734</v>
      </c>
      <c r="B4408" s="11" t="s">
        <v>7882</v>
      </c>
      <c r="C4408" s="65" t="s">
        <v>793</v>
      </c>
      <c r="E4408" s="90" t="s">
        <v>7772</v>
      </c>
      <c r="F4408" s="11"/>
      <c r="G4408" s="88"/>
      <c r="H4408" s="88"/>
      <c r="I4408" s="88">
        <f t="shared" si="377"/>
        <v>50212.36</v>
      </c>
      <c r="J4408" s="62">
        <f t="shared" si="371"/>
        <v>41212.36</v>
      </c>
      <c r="K4408" s="62"/>
      <c r="L4408" s="2">
        <f t="shared" si="378"/>
        <v>0</v>
      </c>
      <c r="M4408">
        <f t="shared" si="379"/>
        <v>5</v>
      </c>
      <c r="O4408" s="62"/>
      <c r="P4408" s="62"/>
    </row>
    <row r="4409" spans="1:16" x14ac:dyDescent="0.3">
      <c r="A4409" s="3">
        <f t="shared" si="341"/>
        <v>45734</v>
      </c>
      <c r="B4409" s="11" t="s">
        <v>2207</v>
      </c>
      <c r="C4409" s="65" t="s">
        <v>7640</v>
      </c>
      <c r="E4409" s="90" t="s">
        <v>7772</v>
      </c>
      <c r="F4409" s="11"/>
      <c r="G4409" s="88"/>
      <c r="H4409" s="88"/>
      <c r="I4409" s="88">
        <f t="shared" si="377"/>
        <v>50212.36</v>
      </c>
      <c r="J4409" s="62">
        <f t="shared" si="371"/>
        <v>41212.36</v>
      </c>
      <c r="K4409" s="62"/>
      <c r="L4409" s="2">
        <f t="shared" si="378"/>
        <v>0</v>
      </c>
      <c r="M4409">
        <f t="shared" si="379"/>
        <v>5</v>
      </c>
      <c r="O4409" s="62"/>
      <c r="P4409" s="62"/>
    </row>
    <row r="4410" spans="1:16" x14ac:dyDescent="0.3">
      <c r="A4410" s="3">
        <f t="shared" si="341"/>
        <v>45734</v>
      </c>
      <c r="B4410" s="11" t="s">
        <v>2207</v>
      </c>
      <c r="C4410" s="65" t="s">
        <v>7640</v>
      </c>
      <c r="F4410" s="11"/>
      <c r="G4410" s="88">
        <v>4000</v>
      </c>
      <c r="H4410" s="88"/>
      <c r="I4410" s="88">
        <f t="shared" ref="I4410:I4423" si="380">I4409+G4410-H4410</f>
        <v>54212.36</v>
      </c>
      <c r="J4410" s="62">
        <f t="shared" si="371"/>
        <v>45212.36</v>
      </c>
      <c r="K4410" s="62"/>
      <c r="L4410" s="2">
        <f t="shared" ref="L4410:L4423" si="381">IF((G4410+H4410)&lt;=5000,(H4410+G4410)*0.004,20)+IF(E4410="Y",25,0)</f>
        <v>16</v>
      </c>
      <c r="M4410">
        <f t="shared" ref="M4410:M4423" si="382">IF(E4410="p",5,0)</f>
        <v>0</v>
      </c>
      <c r="O4410" s="62"/>
      <c r="P4410" s="62"/>
    </row>
    <row r="4411" spans="1:16" x14ac:dyDescent="0.3">
      <c r="A4411" s="3">
        <f t="shared" ref="A4411:A4607" si="383">A4410</f>
        <v>45734</v>
      </c>
      <c r="B4411" s="11" t="s">
        <v>2207</v>
      </c>
      <c r="C4411" s="65" t="s">
        <v>7640</v>
      </c>
      <c r="E4411" s="90" t="s">
        <v>7772</v>
      </c>
      <c r="F4411" s="11"/>
      <c r="G4411" s="88"/>
      <c r="H4411" s="88"/>
      <c r="I4411" s="88">
        <f t="shared" si="380"/>
        <v>54212.36</v>
      </c>
      <c r="J4411" s="62">
        <f t="shared" si="371"/>
        <v>45212.36</v>
      </c>
      <c r="K4411" s="62"/>
      <c r="L4411" s="2">
        <f t="shared" si="381"/>
        <v>0</v>
      </c>
      <c r="M4411">
        <f t="shared" si="382"/>
        <v>5</v>
      </c>
      <c r="O4411" s="62"/>
      <c r="P4411" s="62"/>
    </row>
    <row r="4412" spans="1:16" x14ac:dyDescent="0.3">
      <c r="A4412" s="3">
        <f t="shared" si="383"/>
        <v>45734</v>
      </c>
      <c r="B4412" s="11" t="s">
        <v>7883</v>
      </c>
      <c r="C4412" s="65" t="s">
        <v>2056</v>
      </c>
      <c r="F4412" s="11"/>
      <c r="G4412" s="88">
        <v>3000</v>
      </c>
      <c r="H4412" s="88"/>
      <c r="I4412" s="88">
        <f t="shared" si="380"/>
        <v>57212.36</v>
      </c>
      <c r="J4412" s="62">
        <f t="shared" si="371"/>
        <v>48212.36</v>
      </c>
      <c r="K4412" s="62"/>
      <c r="L4412" s="2">
        <f t="shared" si="381"/>
        <v>12</v>
      </c>
      <c r="M4412">
        <f t="shared" si="382"/>
        <v>0</v>
      </c>
      <c r="O4412" s="62"/>
      <c r="P4412" s="62"/>
    </row>
    <row r="4413" spans="1:16" x14ac:dyDescent="0.3">
      <c r="A4413" s="3">
        <f t="shared" si="383"/>
        <v>45734</v>
      </c>
      <c r="B4413" s="11" t="s">
        <v>3524</v>
      </c>
      <c r="C4413" s="65" t="s">
        <v>3088</v>
      </c>
      <c r="E4413" s="90" t="s">
        <v>2088</v>
      </c>
      <c r="F4413" s="11"/>
      <c r="G4413" s="88"/>
      <c r="H4413" s="88"/>
      <c r="I4413" s="88">
        <f t="shared" si="380"/>
        <v>57212.36</v>
      </c>
      <c r="J4413" s="62">
        <f t="shared" si="371"/>
        <v>48212.36</v>
      </c>
      <c r="K4413" s="62"/>
      <c r="L4413" s="2">
        <f t="shared" si="381"/>
        <v>0</v>
      </c>
      <c r="M4413">
        <f t="shared" si="382"/>
        <v>5</v>
      </c>
      <c r="O4413" s="62"/>
      <c r="P4413" s="62"/>
    </row>
    <row r="4414" spans="1:16" x14ac:dyDescent="0.3">
      <c r="A4414" s="3">
        <f t="shared" si="383"/>
        <v>45734</v>
      </c>
      <c r="C4414" s="65" t="s">
        <v>2857</v>
      </c>
      <c r="F4414" s="11"/>
      <c r="G4414" s="88"/>
      <c r="H4414" s="88">
        <v>50000</v>
      </c>
      <c r="I4414" s="88">
        <f t="shared" si="380"/>
        <v>7212.3600000000006</v>
      </c>
      <c r="J4414" s="62">
        <f t="shared" si="371"/>
        <v>-1787.6399999999994</v>
      </c>
      <c r="K4414" s="62"/>
      <c r="L4414" s="2">
        <v>0</v>
      </c>
      <c r="M4414">
        <v>0</v>
      </c>
      <c r="O4414" s="62"/>
      <c r="P4414" s="62"/>
    </row>
    <row r="4415" spans="1:16" x14ac:dyDescent="0.3">
      <c r="A4415" s="3">
        <f>A4413</f>
        <v>45734</v>
      </c>
      <c r="B4415" s="11" t="s">
        <v>7884</v>
      </c>
      <c r="C4415" s="65" t="s">
        <v>7521</v>
      </c>
      <c r="E4415" s="90" t="s">
        <v>2088</v>
      </c>
      <c r="F4415" s="11"/>
      <c r="G4415" s="88"/>
      <c r="H4415" s="88"/>
      <c r="I4415" s="88">
        <f t="shared" si="380"/>
        <v>7212.3600000000006</v>
      </c>
      <c r="J4415" s="62">
        <f t="shared" si="371"/>
        <v>-1787.6399999999994</v>
      </c>
      <c r="K4415" s="62"/>
      <c r="L4415" s="2">
        <f t="shared" si="381"/>
        <v>0</v>
      </c>
      <c r="M4415">
        <f t="shared" si="382"/>
        <v>5</v>
      </c>
      <c r="O4415" s="62"/>
      <c r="P4415" s="62"/>
    </row>
    <row r="4416" spans="1:16" x14ac:dyDescent="0.3">
      <c r="A4416" s="3">
        <f t="shared" si="383"/>
        <v>45734</v>
      </c>
      <c r="B4416" s="11" t="s">
        <v>7884</v>
      </c>
      <c r="C4416" s="65" t="s">
        <v>7521</v>
      </c>
      <c r="F4416" s="11"/>
      <c r="G4416" s="88">
        <v>8000</v>
      </c>
      <c r="H4416" s="88"/>
      <c r="I4416" s="88">
        <f t="shared" si="380"/>
        <v>15212.36</v>
      </c>
      <c r="J4416" s="62">
        <f t="shared" si="371"/>
        <v>6212.3600000000006</v>
      </c>
      <c r="K4416" s="62"/>
      <c r="L4416" s="2">
        <f t="shared" si="381"/>
        <v>20</v>
      </c>
      <c r="M4416">
        <f t="shared" si="382"/>
        <v>0</v>
      </c>
      <c r="O4416" s="62"/>
      <c r="P4416" s="62"/>
    </row>
    <row r="4417" spans="1:16" x14ac:dyDescent="0.3">
      <c r="A4417" s="3">
        <f t="shared" si="383"/>
        <v>45734</v>
      </c>
      <c r="B4417" s="11" t="s">
        <v>7884</v>
      </c>
      <c r="C4417" s="65" t="s">
        <v>7521</v>
      </c>
      <c r="E4417" s="90" t="s">
        <v>2088</v>
      </c>
      <c r="F4417" s="11"/>
      <c r="G4417" s="88"/>
      <c r="H4417" s="88"/>
      <c r="I4417" s="88">
        <f t="shared" si="380"/>
        <v>15212.36</v>
      </c>
      <c r="J4417" s="62">
        <f t="shared" si="371"/>
        <v>6212.3600000000006</v>
      </c>
      <c r="K4417" s="62"/>
      <c r="L4417" s="2">
        <f t="shared" si="381"/>
        <v>0</v>
      </c>
      <c r="M4417">
        <f t="shared" si="382"/>
        <v>5</v>
      </c>
      <c r="O4417" s="62"/>
      <c r="P4417" s="62"/>
    </row>
    <row r="4418" spans="1:16" x14ac:dyDescent="0.3">
      <c r="A4418" s="3">
        <f t="shared" si="383"/>
        <v>45734</v>
      </c>
      <c r="B4418" s="11" t="s">
        <v>2351</v>
      </c>
      <c r="C4418" s="65" t="s">
        <v>7885</v>
      </c>
      <c r="F4418" s="11"/>
      <c r="G4418" s="88">
        <v>350</v>
      </c>
      <c r="H4418" s="88"/>
      <c r="I4418" s="88">
        <f t="shared" si="380"/>
        <v>15562.36</v>
      </c>
      <c r="J4418" s="62">
        <f t="shared" si="371"/>
        <v>6562.3600000000006</v>
      </c>
      <c r="K4418" s="62"/>
      <c r="L4418" s="2">
        <f t="shared" si="381"/>
        <v>1.4000000000000001</v>
      </c>
      <c r="M4418">
        <f t="shared" si="382"/>
        <v>0</v>
      </c>
      <c r="O4418" s="62"/>
      <c r="P4418" s="62"/>
    </row>
    <row r="4419" spans="1:16" x14ac:dyDescent="0.3">
      <c r="A4419" s="3">
        <f t="shared" si="383"/>
        <v>45734</v>
      </c>
      <c r="B4419" s="11" t="s">
        <v>7329</v>
      </c>
      <c r="C4419" s="65" t="s">
        <v>7853</v>
      </c>
      <c r="F4419" s="11"/>
      <c r="G4419" s="88">
        <v>3800</v>
      </c>
      <c r="H4419" s="88"/>
      <c r="I4419" s="88">
        <f t="shared" si="380"/>
        <v>19362.36</v>
      </c>
      <c r="J4419" s="62">
        <f t="shared" si="371"/>
        <v>10362.36</v>
      </c>
      <c r="K4419" s="62"/>
      <c r="L4419" s="2">
        <f t="shared" si="381"/>
        <v>15.200000000000001</v>
      </c>
      <c r="M4419">
        <f t="shared" si="382"/>
        <v>0</v>
      </c>
      <c r="O4419" s="62"/>
      <c r="P4419" s="62"/>
    </row>
    <row r="4420" spans="1:16" x14ac:dyDescent="0.3">
      <c r="A4420" s="3">
        <f t="shared" si="383"/>
        <v>45734</v>
      </c>
      <c r="B4420" s="11" t="s">
        <v>7886</v>
      </c>
      <c r="C4420" s="65" t="s">
        <v>7887</v>
      </c>
      <c r="E4420" s="90" t="s">
        <v>2088</v>
      </c>
      <c r="F4420" s="11"/>
      <c r="G4420" s="88"/>
      <c r="H4420" s="88"/>
      <c r="I4420" s="88">
        <f t="shared" si="380"/>
        <v>19362.36</v>
      </c>
      <c r="J4420" s="62">
        <f t="shared" si="371"/>
        <v>10362.36</v>
      </c>
      <c r="K4420" s="62"/>
      <c r="L4420" s="2">
        <f t="shared" si="381"/>
        <v>0</v>
      </c>
      <c r="M4420">
        <f t="shared" si="382"/>
        <v>5</v>
      </c>
      <c r="O4420" s="62"/>
      <c r="P4420" s="62"/>
    </row>
    <row r="4421" spans="1:16" x14ac:dyDescent="0.3">
      <c r="A4421" s="3">
        <f t="shared" si="383"/>
        <v>45734</v>
      </c>
      <c r="B4421" s="11" t="s">
        <v>7886</v>
      </c>
      <c r="C4421" s="65" t="s">
        <v>7887</v>
      </c>
      <c r="F4421" s="11"/>
      <c r="G4421" s="88">
        <v>500</v>
      </c>
      <c r="H4421" s="88"/>
      <c r="I4421" s="88">
        <f t="shared" si="380"/>
        <v>19862.36</v>
      </c>
      <c r="J4421" s="62">
        <f t="shared" si="371"/>
        <v>10862.36</v>
      </c>
      <c r="K4421" s="62"/>
      <c r="L4421" s="2">
        <f t="shared" si="381"/>
        <v>2</v>
      </c>
      <c r="M4421">
        <f t="shared" si="382"/>
        <v>0</v>
      </c>
      <c r="O4421" s="62"/>
      <c r="P4421" s="62"/>
    </row>
    <row r="4422" spans="1:16" x14ac:dyDescent="0.3">
      <c r="A4422" s="3">
        <f t="shared" si="383"/>
        <v>45734</v>
      </c>
      <c r="B4422" s="11" t="s">
        <v>7886</v>
      </c>
      <c r="C4422" s="65" t="s">
        <v>7887</v>
      </c>
      <c r="E4422" s="90" t="s">
        <v>2088</v>
      </c>
      <c r="F4422" s="11"/>
      <c r="G4422" s="88"/>
      <c r="H4422" s="88"/>
      <c r="I4422" s="88">
        <f t="shared" si="380"/>
        <v>19862.36</v>
      </c>
      <c r="J4422" s="62">
        <f t="shared" si="371"/>
        <v>10862.36</v>
      </c>
      <c r="K4422" s="62"/>
      <c r="L4422" s="2">
        <f t="shared" si="381"/>
        <v>0</v>
      </c>
      <c r="M4422">
        <f t="shared" si="382"/>
        <v>5</v>
      </c>
      <c r="O4422" s="62"/>
      <c r="P4422" s="62"/>
    </row>
    <row r="4423" spans="1:16" x14ac:dyDescent="0.3">
      <c r="A4423" s="3">
        <f t="shared" si="383"/>
        <v>45734</v>
      </c>
      <c r="B4423" s="11" t="s">
        <v>6231</v>
      </c>
      <c r="C4423" s="65" t="s">
        <v>6468</v>
      </c>
      <c r="F4423" s="11"/>
      <c r="G4423" s="88">
        <v>5000</v>
      </c>
      <c r="H4423" s="88"/>
      <c r="I4423" s="88">
        <f t="shared" si="380"/>
        <v>24862.36</v>
      </c>
      <c r="J4423" s="62">
        <f t="shared" si="371"/>
        <v>15862.36</v>
      </c>
      <c r="K4423" s="62"/>
      <c r="L4423" s="2">
        <f t="shared" si="381"/>
        <v>20</v>
      </c>
      <c r="M4423">
        <f t="shared" si="382"/>
        <v>0</v>
      </c>
      <c r="O4423" s="62"/>
      <c r="P4423" s="62"/>
    </row>
    <row r="4424" spans="1:16" x14ac:dyDescent="0.3">
      <c r="A4424" s="3">
        <f t="shared" si="383"/>
        <v>45734</v>
      </c>
      <c r="B4424" s="11" t="s">
        <v>7888</v>
      </c>
      <c r="C4424" s="65" t="s">
        <v>587</v>
      </c>
      <c r="E4424" s="90" t="s">
        <v>2088</v>
      </c>
      <c r="F4424" s="11"/>
      <c r="G4424" s="88"/>
      <c r="H4424" s="88"/>
      <c r="I4424" s="88">
        <f t="shared" ref="I4424" si="384">I4423+G4424-H4424</f>
        <v>24862.36</v>
      </c>
      <c r="J4424" s="62">
        <f t="shared" si="371"/>
        <v>15862.36</v>
      </c>
      <c r="K4424" s="62"/>
      <c r="L4424" s="2">
        <f t="shared" ref="L4424:L4427" si="385">IF((G4424+H4424)&lt;=5000,(H4424+G4424)*0.004,20)+IF(E4424="Y",25,0)</f>
        <v>0</v>
      </c>
      <c r="M4424">
        <f t="shared" ref="M4424:M4427" si="386">IF(E4424="p",5,0)</f>
        <v>5</v>
      </c>
      <c r="O4424" s="62"/>
      <c r="P4424" s="62"/>
    </row>
    <row r="4425" spans="1:16" x14ac:dyDescent="0.3">
      <c r="A4425" s="3">
        <v>45735</v>
      </c>
      <c r="B4425" s="11" t="s">
        <v>6260</v>
      </c>
      <c r="C4425" s="65" t="s">
        <v>7117</v>
      </c>
      <c r="F4425" s="11"/>
      <c r="G4425" s="88"/>
      <c r="H4425" s="88">
        <v>4000</v>
      </c>
      <c r="I4425" s="88">
        <f t="shared" ref="I4425:I4447" si="387">I4424+G4425-H4425</f>
        <v>20862.36</v>
      </c>
      <c r="J4425" s="62">
        <f t="shared" si="371"/>
        <v>11862.36</v>
      </c>
      <c r="K4425" s="62"/>
      <c r="L4425" s="2">
        <f t="shared" si="385"/>
        <v>16</v>
      </c>
      <c r="M4425">
        <f t="shared" si="386"/>
        <v>0</v>
      </c>
      <c r="O4425" s="62"/>
      <c r="P4425" s="62"/>
    </row>
    <row r="4426" spans="1:16" x14ac:dyDescent="0.3">
      <c r="A4426" s="3">
        <f t="shared" si="383"/>
        <v>45735</v>
      </c>
      <c r="B4426" s="11" t="s">
        <v>7890</v>
      </c>
      <c r="C4426" s="65" t="s">
        <v>7891</v>
      </c>
      <c r="E4426" s="90" t="s">
        <v>16</v>
      </c>
      <c r="F4426" s="11"/>
      <c r="G4426" s="88"/>
      <c r="H4426" s="88">
        <v>500</v>
      </c>
      <c r="I4426" s="88">
        <f t="shared" si="387"/>
        <v>20362.36</v>
      </c>
      <c r="J4426" s="62">
        <f t="shared" si="371"/>
        <v>11362.36</v>
      </c>
      <c r="K4426" s="62"/>
      <c r="L4426" s="2">
        <f t="shared" si="385"/>
        <v>27</v>
      </c>
      <c r="M4426">
        <f t="shared" si="386"/>
        <v>0</v>
      </c>
      <c r="O4426" s="62"/>
      <c r="P4426" s="62"/>
    </row>
    <row r="4427" spans="1:16" x14ac:dyDescent="0.3">
      <c r="A4427" s="3">
        <f t="shared" si="383"/>
        <v>45735</v>
      </c>
      <c r="B4427" s="11" t="s">
        <v>7837</v>
      </c>
      <c r="C4427" s="65" t="s">
        <v>7838</v>
      </c>
      <c r="E4427" s="90" t="s">
        <v>2088</v>
      </c>
      <c r="F4427" s="11"/>
      <c r="G4427" s="88"/>
      <c r="H4427" s="88"/>
      <c r="I4427" s="88">
        <f t="shared" si="387"/>
        <v>20362.36</v>
      </c>
      <c r="J4427" s="62">
        <f t="shared" si="371"/>
        <v>11362.36</v>
      </c>
      <c r="K4427" s="62"/>
      <c r="L4427" s="2">
        <f t="shared" si="385"/>
        <v>0</v>
      </c>
      <c r="M4427">
        <f t="shared" si="386"/>
        <v>5</v>
      </c>
      <c r="O4427" s="62"/>
      <c r="P4427" s="62"/>
    </row>
    <row r="4428" spans="1:16" x14ac:dyDescent="0.3">
      <c r="A4428" s="3">
        <f t="shared" si="383"/>
        <v>45735</v>
      </c>
      <c r="B4428" s="11" t="s">
        <v>7432</v>
      </c>
      <c r="C4428" s="65" t="s">
        <v>629</v>
      </c>
      <c r="E4428" s="90" t="s">
        <v>2088</v>
      </c>
      <c r="F4428" s="11"/>
      <c r="G4428" s="88"/>
      <c r="H4428" s="88"/>
      <c r="I4428" s="88">
        <f t="shared" si="387"/>
        <v>20362.36</v>
      </c>
      <c r="J4428" s="62">
        <f t="shared" si="371"/>
        <v>11362.36</v>
      </c>
      <c r="K4428" s="62"/>
      <c r="L4428" s="2">
        <f t="shared" ref="L4428:L4443" si="388">IF((G4428+H4428)&lt;=5000,(H4428+G4428)*0.004,20)+IF(E4428="Y",25,0)</f>
        <v>0</v>
      </c>
      <c r="M4428">
        <f t="shared" ref="M4428:M4443" si="389">IF(E4428="p",5,0)</f>
        <v>5</v>
      </c>
      <c r="O4428" s="62"/>
      <c r="P4428" s="62"/>
    </row>
    <row r="4429" spans="1:16" x14ac:dyDescent="0.3">
      <c r="A4429" s="3">
        <f t="shared" si="383"/>
        <v>45735</v>
      </c>
      <c r="B4429" s="11" t="s">
        <v>7432</v>
      </c>
      <c r="C4429" s="65" t="s">
        <v>629</v>
      </c>
      <c r="F4429" s="11"/>
      <c r="G4429" s="88">
        <v>7000</v>
      </c>
      <c r="H4429" s="88"/>
      <c r="I4429" s="88">
        <f t="shared" si="387"/>
        <v>27362.36</v>
      </c>
      <c r="J4429" s="62">
        <f t="shared" si="371"/>
        <v>18362.36</v>
      </c>
      <c r="K4429" s="62"/>
      <c r="L4429" s="2">
        <f t="shared" si="388"/>
        <v>20</v>
      </c>
      <c r="M4429">
        <f t="shared" si="389"/>
        <v>0</v>
      </c>
      <c r="O4429" s="62"/>
      <c r="P4429" s="62"/>
    </row>
    <row r="4430" spans="1:16" x14ac:dyDescent="0.3">
      <c r="A4430" s="3">
        <f t="shared" si="383"/>
        <v>45735</v>
      </c>
      <c r="B4430" s="11" t="s">
        <v>7432</v>
      </c>
      <c r="C4430" s="65" t="s">
        <v>629</v>
      </c>
      <c r="E4430" s="90" t="s">
        <v>2088</v>
      </c>
      <c r="F4430" s="11"/>
      <c r="G4430" s="88"/>
      <c r="H4430" s="88"/>
      <c r="I4430" s="88">
        <f t="shared" si="387"/>
        <v>27362.36</v>
      </c>
      <c r="J4430" s="62">
        <f t="shared" si="371"/>
        <v>18362.36</v>
      </c>
      <c r="K4430" s="62"/>
      <c r="L4430" s="2">
        <f t="shared" si="388"/>
        <v>0</v>
      </c>
      <c r="M4430">
        <f t="shared" si="389"/>
        <v>5</v>
      </c>
      <c r="O4430" s="62"/>
      <c r="P4430" s="62"/>
    </row>
    <row r="4431" spans="1:16" x14ac:dyDescent="0.3">
      <c r="A4431" s="3">
        <f t="shared" si="383"/>
        <v>45735</v>
      </c>
      <c r="B4431" s="11" t="s">
        <v>3524</v>
      </c>
      <c r="C4431" s="65" t="s">
        <v>3088</v>
      </c>
      <c r="E4431" s="90" t="s">
        <v>2088</v>
      </c>
      <c r="F4431" s="11"/>
      <c r="G4431" s="88"/>
      <c r="H4431" s="88"/>
      <c r="I4431" s="88">
        <f t="shared" si="387"/>
        <v>27362.36</v>
      </c>
      <c r="J4431" s="62">
        <f t="shared" si="371"/>
        <v>18362.36</v>
      </c>
      <c r="K4431" s="62"/>
      <c r="L4431" s="2">
        <f t="shared" si="388"/>
        <v>0</v>
      </c>
      <c r="M4431">
        <f t="shared" si="389"/>
        <v>5</v>
      </c>
      <c r="O4431" s="62"/>
      <c r="P4431" s="62"/>
    </row>
    <row r="4432" spans="1:16" x14ac:dyDescent="0.3">
      <c r="A4432" s="3">
        <f t="shared" si="383"/>
        <v>45735</v>
      </c>
      <c r="B4432" s="11" t="s">
        <v>1250</v>
      </c>
      <c r="C4432" s="65" t="s">
        <v>7893</v>
      </c>
      <c r="D4432" s="50">
        <v>8252978530</v>
      </c>
      <c r="F4432" s="11"/>
      <c r="G4432" s="88">
        <v>6000</v>
      </c>
      <c r="H4432" s="88"/>
      <c r="I4432" s="88">
        <f t="shared" si="387"/>
        <v>33362.36</v>
      </c>
      <c r="J4432" s="62">
        <f t="shared" si="371"/>
        <v>24362.36</v>
      </c>
      <c r="K4432" s="62"/>
      <c r="L4432" s="2">
        <f t="shared" si="388"/>
        <v>20</v>
      </c>
      <c r="M4432">
        <f t="shared" si="389"/>
        <v>0</v>
      </c>
      <c r="O4432" s="62"/>
      <c r="P4432" s="62"/>
    </row>
    <row r="4433" spans="1:16" x14ac:dyDescent="0.3">
      <c r="A4433" s="3">
        <f t="shared" si="383"/>
        <v>45735</v>
      </c>
      <c r="B4433" s="11" t="s">
        <v>6896</v>
      </c>
      <c r="C4433" s="65" t="s">
        <v>7894</v>
      </c>
      <c r="E4433" s="90" t="s">
        <v>2088</v>
      </c>
      <c r="F4433" s="11"/>
      <c r="G4433" s="88"/>
      <c r="H4433" s="88"/>
      <c r="I4433" s="88">
        <f t="shared" si="387"/>
        <v>33362.36</v>
      </c>
      <c r="J4433" s="62">
        <f t="shared" ref="J4433:J4496" si="390">I4433-9000</f>
        <v>24362.36</v>
      </c>
      <c r="K4433" s="62"/>
      <c r="L4433" s="2">
        <f t="shared" si="388"/>
        <v>0</v>
      </c>
      <c r="M4433">
        <f t="shared" si="389"/>
        <v>5</v>
      </c>
      <c r="O4433" s="62"/>
      <c r="P4433" s="62"/>
    </row>
    <row r="4434" spans="1:16" x14ac:dyDescent="0.3">
      <c r="A4434" s="3">
        <f t="shared" si="383"/>
        <v>45735</v>
      </c>
      <c r="C4434" s="65" t="s">
        <v>2857</v>
      </c>
      <c r="F4434" s="11"/>
      <c r="G4434" s="88"/>
      <c r="H4434" s="88">
        <v>30000</v>
      </c>
      <c r="I4434" s="88">
        <f t="shared" si="387"/>
        <v>3362.3600000000006</v>
      </c>
      <c r="J4434" s="62">
        <f t="shared" si="390"/>
        <v>-5637.6399999999994</v>
      </c>
      <c r="K4434" s="62"/>
      <c r="O4434" s="62"/>
      <c r="P4434" s="62"/>
    </row>
    <row r="4435" spans="1:16" x14ac:dyDescent="0.3">
      <c r="A4435" s="3">
        <f>A4433</f>
        <v>45735</v>
      </c>
      <c r="B4435" s="11" t="s">
        <v>1250</v>
      </c>
      <c r="C4435" s="65" t="s">
        <v>3416</v>
      </c>
      <c r="F4435" s="11"/>
      <c r="G4435" s="88">
        <v>10000</v>
      </c>
      <c r="H4435" s="88"/>
      <c r="I4435" s="88">
        <f t="shared" si="387"/>
        <v>13362.36</v>
      </c>
      <c r="J4435" s="62">
        <f t="shared" si="390"/>
        <v>4362.3600000000006</v>
      </c>
      <c r="K4435" s="62"/>
      <c r="L4435" s="2">
        <f t="shared" si="388"/>
        <v>20</v>
      </c>
      <c r="M4435">
        <f t="shared" si="389"/>
        <v>0</v>
      </c>
      <c r="O4435" s="62"/>
      <c r="P4435" s="62"/>
    </row>
    <row r="4436" spans="1:16" x14ac:dyDescent="0.3">
      <c r="A4436" s="3">
        <f t="shared" si="383"/>
        <v>45735</v>
      </c>
      <c r="B4436" s="11" t="s">
        <v>3524</v>
      </c>
      <c r="C4436" s="65" t="s">
        <v>3088</v>
      </c>
      <c r="F4436" s="11"/>
      <c r="G4436" s="88"/>
      <c r="H4436" s="147">
        <v>10000</v>
      </c>
      <c r="I4436" s="88">
        <f t="shared" si="387"/>
        <v>3362.3600000000006</v>
      </c>
      <c r="J4436" s="62">
        <f t="shared" si="390"/>
        <v>-5637.6399999999994</v>
      </c>
      <c r="K4436" s="62"/>
      <c r="L4436" s="2">
        <f t="shared" si="388"/>
        <v>20</v>
      </c>
      <c r="M4436">
        <f t="shared" si="389"/>
        <v>0</v>
      </c>
      <c r="O4436" s="62"/>
      <c r="P4436" s="62"/>
    </row>
    <row r="4437" spans="1:16" x14ac:dyDescent="0.3">
      <c r="A4437" s="3">
        <f t="shared" si="383"/>
        <v>45735</v>
      </c>
      <c r="B4437" s="11" t="s">
        <v>7659</v>
      </c>
      <c r="C4437" s="65" t="s">
        <v>7897</v>
      </c>
      <c r="E4437" s="90" t="s">
        <v>2088</v>
      </c>
      <c r="F4437" s="11"/>
      <c r="G4437" s="88"/>
      <c r="H4437" s="88"/>
      <c r="I4437" s="88">
        <f t="shared" si="387"/>
        <v>3362.3600000000006</v>
      </c>
      <c r="J4437" s="62">
        <f t="shared" si="390"/>
        <v>-5637.6399999999994</v>
      </c>
      <c r="K4437" s="62"/>
      <c r="L4437" s="2">
        <f t="shared" si="388"/>
        <v>0</v>
      </c>
      <c r="M4437">
        <f t="shared" si="389"/>
        <v>5</v>
      </c>
      <c r="O4437" s="62"/>
      <c r="P4437" s="62"/>
    </row>
    <row r="4438" spans="1:16" x14ac:dyDescent="0.3">
      <c r="A4438" s="3">
        <f t="shared" si="383"/>
        <v>45735</v>
      </c>
      <c r="B4438" s="11" t="s">
        <v>7659</v>
      </c>
      <c r="C4438" s="65" t="s">
        <v>7897</v>
      </c>
      <c r="F4438" s="11"/>
      <c r="G4438" s="88">
        <v>8000</v>
      </c>
      <c r="H4438" s="88"/>
      <c r="I4438" s="88">
        <f t="shared" si="387"/>
        <v>11362.36</v>
      </c>
      <c r="J4438" s="62">
        <f t="shared" si="390"/>
        <v>2362.3600000000006</v>
      </c>
      <c r="K4438" s="62"/>
      <c r="L4438" s="2">
        <f t="shared" si="388"/>
        <v>20</v>
      </c>
      <c r="M4438">
        <f t="shared" si="389"/>
        <v>0</v>
      </c>
      <c r="O4438" s="62"/>
      <c r="P4438" s="62"/>
    </row>
    <row r="4439" spans="1:16" x14ac:dyDescent="0.3">
      <c r="A4439" s="3">
        <f t="shared" si="383"/>
        <v>45735</v>
      </c>
      <c r="B4439" s="11" t="s">
        <v>7659</v>
      </c>
      <c r="C4439" s="65" t="s">
        <v>7897</v>
      </c>
      <c r="E4439" s="90" t="s">
        <v>2088</v>
      </c>
      <c r="F4439" s="11"/>
      <c r="G4439" s="88"/>
      <c r="H4439" s="88"/>
      <c r="I4439" s="88">
        <f t="shared" si="387"/>
        <v>11362.36</v>
      </c>
      <c r="J4439" s="62">
        <f t="shared" si="390"/>
        <v>2362.3600000000006</v>
      </c>
      <c r="K4439" s="62"/>
      <c r="L4439" s="2">
        <f t="shared" si="388"/>
        <v>0</v>
      </c>
      <c r="M4439">
        <f t="shared" si="389"/>
        <v>5</v>
      </c>
      <c r="O4439" s="62"/>
      <c r="P4439" s="62"/>
    </row>
    <row r="4440" spans="1:16" x14ac:dyDescent="0.3">
      <c r="A4440" s="3">
        <f t="shared" si="383"/>
        <v>45735</v>
      </c>
      <c r="B4440" s="11" t="s">
        <v>7899</v>
      </c>
      <c r="C4440" s="65" t="s">
        <v>7900</v>
      </c>
      <c r="E4440" s="90" t="s">
        <v>16</v>
      </c>
      <c r="F4440" s="11"/>
      <c r="G4440" s="88"/>
      <c r="H4440" s="88">
        <v>500</v>
      </c>
      <c r="I4440" s="88">
        <f t="shared" si="387"/>
        <v>10862.36</v>
      </c>
      <c r="J4440" s="62">
        <f t="shared" si="390"/>
        <v>1862.3600000000006</v>
      </c>
      <c r="K4440" s="62"/>
      <c r="L4440" s="2">
        <f t="shared" si="388"/>
        <v>27</v>
      </c>
      <c r="M4440">
        <f t="shared" si="389"/>
        <v>0</v>
      </c>
      <c r="O4440" s="62"/>
      <c r="P4440" s="62"/>
    </row>
    <row r="4441" spans="1:16" x14ac:dyDescent="0.3">
      <c r="A4441" s="3">
        <f t="shared" si="383"/>
        <v>45735</v>
      </c>
      <c r="B4441" s="11" t="s">
        <v>3541</v>
      </c>
      <c r="C4441" s="65" t="s">
        <v>541</v>
      </c>
      <c r="E4441" s="90" t="s">
        <v>2088</v>
      </c>
      <c r="F4441" s="11"/>
      <c r="G4441" s="88"/>
      <c r="H4441" s="88"/>
      <c r="I4441" s="88">
        <f t="shared" si="387"/>
        <v>10862.36</v>
      </c>
      <c r="J4441" s="62">
        <f t="shared" si="390"/>
        <v>1862.3600000000006</v>
      </c>
      <c r="K4441" s="62"/>
      <c r="L4441" s="2">
        <f t="shared" si="388"/>
        <v>0</v>
      </c>
      <c r="M4441">
        <f t="shared" si="389"/>
        <v>5</v>
      </c>
      <c r="O4441" s="62"/>
      <c r="P4441" s="62"/>
    </row>
    <row r="4442" spans="1:16" x14ac:dyDescent="0.3">
      <c r="A4442" s="3">
        <f t="shared" si="383"/>
        <v>45735</v>
      </c>
      <c r="B4442" s="11" t="s">
        <v>3541</v>
      </c>
      <c r="C4442" s="65" t="s">
        <v>541</v>
      </c>
      <c r="F4442" s="11"/>
      <c r="G4442" s="88">
        <v>8000</v>
      </c>
      <c r="H4442" s="88"/>
      <c r="I4442" s="88">
        <f t="shared" si="387"/>
        <v>18862.36</v>
      </c>
      <c r="J4442" s="62">
        <f t="shared" si="390"/>
        <v>9862.36</v>
      </c>
      <c r="K4442" s="62"/>
      <c r="L4442" s="2">
        <f t="shared" si="388"/>
        <v>20</v>
      </c>
      <c r="M4442">
        <f t="shared" si="389"/>
        <v>0</v>
      </c>
      <c r="O4442" s="62"/>
      <c r="P4442" s="62"/>
    </row>
    <row r="4443" spans="1:16" x14ac:dyDescent="0.3">
      <c r="A4443" s="3">
        <f t="shared" si="383"/>
        <v>45735</v>
      </c>
      <c r="B4443" s="11" t="s">
        <v>3541</v>
      </c>
      <c r="C4443" s="65" t="s">
        <v>541</v>
      </c>
      <c r="E4443" s="90" t="s">
        <v>2088</v>
      </c>
      <c r="F4443" s="11"/>
      <c r="G4443" s="88"/>
      <c r="H4443" s="88"/>
      <c r="I4443" s="88">
        <f t="shared" si="387"/>
        <v>18862.36</v>
      </c>
      <c r="J4443" s="62">
        <f t="shared" si="390"/>
        <v>9862.36</v>
      </c>
      <c r="K4443" s="62"/>
      <c r="L4443" s="2">
        <f t="shared" si="388"/>
        <v>0</v>
      </c>
      <c r="M4443">
        <f t="shared" si="389"/>
        <v>5</v>
      </c>
      <c r="O4443" s="62"/>
      <c r="P4443" s="62"/>
    </row>
    <row r="4444" spans="1:16" x14ac:dyDescent="0.3">
      <c r="A4444" s="3">
        <f t="shared" si="383"/>
        <v>45735</v>
      </c>
      <c r="B4444" s="11" t="s">
        <v>7872</v>
      </c>
      <c r="C4444" s="65" t="s">
        <v>7873</v>
      </c>
      <c r="F4444" s="11"/>
      <c r="G4444" s="88">
        <v>10000</v>
      </c>
      <c r="H4444" s="88"/>
      <c r="I4444" s="88">
        <f t="shared" si="387"/>
        <v>28862.36</v>
      </c>
      <c r="J4444" s="62">
        <f t="shared" si="390"/>
        <v>19862.36</v>
      </c>
      <c r="K4444" s="62"/>
      <c r="L4444" s="2">
        <f t="shared" ref="L4444:L4456" si="391">IF((G4444+H4444)&lt;=5000,(H4444+G4444)*0.004,20)+IF(E4444="Y",25,0)</f>
        <v>20</v>
      </c>
      <c r="M4444">
        <f t="shared" ref="M4444:M4456" si="392">IF(E4444="p",5,0)</f>
        <v>0</v>
      </c>
      <c r="O4444" s="62"/>
      <c r="P4444" s="62"/>
    </row>
    <row r="4445" spans="1:16" x14ac:dyDescent="0.3">
      <c r="A4445" s="3">
        <v>45736</v>
      </c>
      <c r="B4445" s="11" t="s">
        <v>5495</v>
      </c>
      <c r="C4445" s="65" t="s">
        <v>6930</v>
      </c>
      <c r="E4445" s="90" t="s">
        <v>2088</v>
      </c>
      <c r="F4445" s="11"/>
      <c r="G4445" s="88"/>
      <c r="H4445" s="88"/>
      <c r="I4445" s="88">
        <f t="shared" si="387"/>
        <v>28862.36</v>
      </c>
      <c r="J4445" s="62">
        <f t="shared" si="390"/>
        <v>19862.36</v>
      </c>
      <c r="K4445" s="62"/>
      <c r="L4445" s="2">
        <f t="shared" si="391"/>
        <v>0</v>
      </c>
      <c r="M4445">
        <f t="shared" si="392"/>
        <v>5</v>
      </c>
      <c r="O4445" s="62"/>
      <c r="P4445" s="62"/>
    </row>
    <row r="4446" spans="1:16" x14ac:dyDescent="0.3">
      <c r="A4446" s="3">
        <f t="shared" si="383"/>
        <v>45736</v>
      </c>
      <c r="B4446" s="11" t="s">
        <v>7868</v>
      </c>
      <c r="C4446" s="65" t="s">
        <v>7891</v>
      </c>
      <c r="E4446" s="90" t="s">
        <v>2088</v>
      </c>
      <c r="F4446" s="11"/>
      <c r="G4446" s="88"/>
      <c r="H4446" s="88"/>
      <c r="I4446" s="88">
        <f t="shared" si="387"/>
        <v>28862.36</v>
      </c>
      <c r="J4446" s="62">
        <f t="shared" si="390"/>
        <v>19862.36</v>
      </c>
      <c r="K4446" s="62"/>
      <c r="L4446" s="2">
        <f t="shared" si="391"/>
        <v>0</v>
      </c>
      <c r="M4446">
        <f t="shared" si="392"/>
        <v>5</v>
      </c>
      <c r="O4446" s="62"/>
      <c r="P4446" s="62"/>
    </row>
    <row r="4447" spans="1:16" x14ac:dyDescent="0.3">
      <c r="A4447" s="3">
        <f t="shared" si="383"/>
        <v>45736</v>
      </c>
      <c r="B4447" s="11" t="s">
        <v>6522</v>
      </c>
      <c r="C4447" s="65" t="s">
        <v>7904</v>
      </c>
      <c r="F4447" s="11"/>
      <c r="G4447" s="88">
        <v>5000</v>
      </c>
      <c r="H4447" s="88"/>
      <c r="I4447" s="88">
        <f t="shared" si="387"/>
        <v>33862.36</v>
      </c>
      <c r="J4447" s="62">
        <f t="shared" si="390"/>
        <v>24862.36</v>
      </c>
      <c r="K4447" s="62"/>
      <c r="L4447" s="2">
        <f t="shared" si="391"/>
        <v>20</v>
      </c>
      <c r="M4447">
        <f t="shared" si="392"/>
        <v>0</v>
      </c>
      <c r="O4447" s="62"/>
      <c r="P4447" s="62"/>
    </row>
    <row r="4448" spans="1:16" x14ac:dyDescent="0.3">
      <c r="A4448" s="3">
        <f t="shared" si="383"/>
        <v>45736</v>
      </c>
      <c r="B4448" s="11" t="s">
        <v>6706</v>
      </c>
      <c r="C4448" s="65" t="s">
        <v>7732</v>
      </c>
      <c r="E4448" s="90" t="s">
        <v>2088</v>
      </c>
      <c r="F4448" s="11"/>
      <c r="G4448" s="88"/>
      <c r="H4448" s="88"/>
      <c r="I4448" s="88">
        <f t="shared" ref="I4448:I4468" si="393">I4447+G4448-H4448</f>
        <v>33862.36</v>
      </c>
      <c r="J4448" s="62">
        <f t="shared" si="390"/>
        <v>24862.36</v>
      </c>
      <c r="K4448" s="62"/>
      <c r="L4448" s="2">
        <f t="shared" si="391"/>
        <v>0</v>
      </c>
      <c r="M4448">
        <f t="shared" si="392"/>
        <v>5</v>
      </c>
      <c r="O4448" s="62"/>
      <c r="P4448" s="62"/>
    </row>
    <row r="4449" spans="1:16" x14ac:dyDescent="0.3">
      <c r="A4449" s="3">
        <f t="shared" si="383"/>
        <v>45736</v>
      </c>
      <c r="B4449" s="11" t="s">
        <v>6706</v>
      </c>
      <c r="C4449" s="65" t="s">
        <v>7732</v>
      </c>
      <c r="F4449" s="11"/>
      <c r="G4449" s="88">
        <v>2000</v>
      </c>
      <c r="H4449" s="88"/>
      <c r="I4449" s="88">
        <f t="shared" si="393"/>
        <v>35862.36</v>
      </c>
      <c r="J4449" s="62">
        <f t="shared" si="390"/>
        <v>26862.36</v>
      </c>
      <c r="K4449" s="62"/>
      <c r="L4449" s="2">
        <f t="shared" si="391"/>
        <v>8</v>
      </c>
      <c r="M4449">
        <f t="shared" si="392"/>
        <v>0</v>
      </c>
      <c r="O4449" s="62"/>
      <c r="P4449" s="62"/>
    </row>
    <row r="4450" spans="1:16" x14ac:dyDescent="0.3">
      <c r="A4450" s="3">
        <f t="shared" si="383"/>
        <v>45736</v>
      </c>
      <c r="B4450" s="11" t="s">
        <v>6706</v>
      </c>
      <c r="C4450" s="65" t="s">
        <v>7732</v>
      </c>
      <c r="E4450" s="90" t="s">
        <v>2088</v>
      </c>
      <c r="F4450" s="11"/>
      <c r="G4450" s="88"/>
      <c r="H4450" s="88"/>
      <c r="I4450" s="88">
        <f t="shared" si="393"/>
        <v>35862.36</v>
      </c>
      <c r="J4450" s="62">
        <f t="shared" si="390"/>
        <v>26862.36</v>
      </c>
      <c r="K4450" s="62"/>
      <c r="L4450" s="2">
        <f t="shared" si="391"/>
        <v>0</v>
      </c>
      <c r="M4450">
        <f t="shared" si="392"/>
        <v>5</v>
      </c>
      <c r="O4450" s="62"/>
      <c r="P4450" s="62"/>
    </row>
    <row r="4451" spans="1:16" x14ac:dyDescent="0.3">
      <c r="A4451" s="3">
        <f t="shared" si="383"/>
        <v>45736</v>
      </c>
      <c r="B4451" s="11" t="s">
        <v>7804</v>
      </c>
      <c r="C4451" s="65" t="s">
        <v>7905</v>
      </c>
      <c r="F4451" s="11"/>
      <c r="G4451" s="88">
        <v>3500</v>
      </c>
      <c r="H4451" s="88"/>
      <c r="I4451" s="88">
        <f t="shared" si="393"/>
        <v>39362.36</v>
      </c>
      <c r="J4451" s="62">
        <f t="shared" si="390"/>
        <v>30362.36</v>
      </c>
      <c r="K4451" s="62"/>
      <c r="L4451" s="2">
        <f t="shared" si="391"/>
        <v>14</v>
      </c>
      <c r="M4451">
        <f t="shared" si="392"/>
        <v>0</v>
      </c>
      <c r="O4451" s="62"/>
      <c r="P4451" s="62"/>
    </row>
    <row r="4452" spans="1:16" x14ac:dyDescent="0.3">
      <c r="A4452" s="3">
        <f t="shared" si="383"/>
        <v>45736</v>
      </c>
      <c r="B4452" s="11" t="s">
        <v>7804</v>
      </c>
      <c r="C4452" s="65" t="s">
        <v>7905</v>
      </c>
      <c r="E4452" s="90" t="s">
        <v>2088</v>
      </c>
      <c r="F4452" s="11"/>
      <c r="G4452" s="88"/>
      <c r="H4452" s="88"/>
      <c r="I4452" s="88">
        <f t="shared" si="393"/>
        <v>39362.36</v>
      </c>
      <c r="J4452" s="62">
        <f t="shared" si="390"/>
        <v>30362.36</v>
      </c>
      <c r="K4452" s="62"/>
      <c r="L4452" s="2">
        <f t="shared" si="391"/>
        <v>0</v>
      </c>
      <c r="M4452">
        <f t="shared" si="392"/>
        <v>5</v>
      </c>
      <c r="O4452" s="62"/>
      <c r="P4452" s="62"/>
    </row>
    <row r="4453" spans="1:16" x14ac:dyDescent="0.3">
      <c r="A4453" s="3">
        <f t="shared" si="383"/>
        <v>45736</v>
      </c>
      <c r="B4453" s="11" t="s">
        <v>5961</v>
      </c>
      <c r="C4453" s="65" t="s">
        <v>3923</v>
      </c>
      <c r="E4453" s="90" t="s">
        <v>2088</v>
      </c>
      <c r="F4453" s="11"/>
      <c r="G4453" s="88"/>
      <c r="H4453" s="88"/>
      <c r="I4453" s="88">
        <f t="shared" si="393"/>
        <v>39362.36</v>
      </c>
      <c r="J4453" s="62">
        <f t="shared" si="390"/>
        <v>30362.36</v>
      </c>
      <c r="K4453" s="62"/>
      <c r="L4453" s="2">
        <f t="shared" si="391"/>
        <v>0</v>
      </c>
      <c r="M4453">
        <f t="shared" si="392"/>
        <v>5</v>
      </c>
      <c r="O4453" s="62"/>
      <c r="P4453" s="62"/>
    </row>
    <row r="4454" spans="1:16" x14ac:dyDescent="0.3">
      <c r="A4454" s="3">
        <f t="shared" si="383"/>
        <v>45736</v>
      </c>
      <c r="B4454" s="11" t="s">
        <v>6919</v>
      </c>
      <c r="C4454" s="65" t="s">
        <v>6920</v>
      </c>
      <c r="E4454" s="90" t="s">
        <v>2088</v>
      </c>
      <c r="F4454" s="11"/>
      <c r="G4454" s="88"/>
      <c r="H4454" s="88"/>
      <c r="I4454" s="88">
        <f t="shared" si="393"/>
        <v>39362.36</v>
      </c>
      <c r="J4454" s="62">
        <f t="shared" si="390"/>
        <v>30362.36</v>
      </c>
      <c r="K4454" s="62"/>
      <c r="L4454" s="2">
        <f t="shared" si="391"/>
        <v>0</v>
      </c>
      <c r="M4454">
        <f t="shared" si="392"/>
        <v>5</v>
      </c>
      <c r="O4454" s="62"/>
      <c r="P4454" s="62"/>
    </row>
    <row r="4455" spans="1:16" x14ac:dyDescent="0.3">
      <c r="A4455" s="3">
        <f t="shared" si="383"/>
        <v>45736</v>
      </c>
      <c r="B4455" s="11" t="s">
        <v>6919</v>
      </c>
      <c r="C4455" s="65" t="s">
        <v>6920</v>
      </c>
      <c r="F4455" s="11"/>
      <c r="G4455" s="88">
        <v>100</v>
      </c>
      <c r="H4455" s="88"/>
      <c r="I4455" s="88">
        <f t="shared" si="393"/>
        <v>39462.36</v>
      </c>
      <c r="J4455" s="62">
        <f t="shared" si="390"/>
        <v>30462.36</v>
      </c>
      <c r="K4455" s="62"/>
      <c r="L4455" s="2">
        <f t="shared" si="391"/>
        <v>0.4</v>
      </c>
      <c r="M4455">
        <f t="shared" si="392"/>
        <v>0</v>
      </c>
      <c r="O4455" s="62"/>
      <c r="P4455" s="62"/>
    </row>
    <row r="4456" spans="1:16" x14ac:dyDescent="0.3">
      <c r="A4456" s="3">
        <f t="shared" si="383"/>
        <v>45736</v>
      </c>
      <c r="B4456" s="11" t="s">
        <v>6919</v>
      </c>
      <c r="C4456" s="65" t="s">
        <v>6920</v>
      </c>
      <c r="E4456" s="90" t="s">
        <v>2088</v>
      </c>
      <c r="F4456" s="11"/>
      <c r="G4456" s="88"/>
      <c r="H4456" s="88"/>
      <c r="I4456" s="88">
        <f t="shared" si="393"/>
        <v>39462.36</v>
      </c>
      <c r="J4456" s="62">
        <f t="shared" si="390"/>
        <v>30462.36</v>
      </c>
      <c r="K4456" s="62"/>
      <c r="L4456" s="2">
        <f t="shared" si="391"/>
        <v>0</v>
      </c>
      <c r="M4456">
        <f t="shared" si="392"/>
        <v>5</v>
      </c>
      <c r="O4456" s="62"/>
      <c r="P4456" s="62"/>
    </row>
    <row r="4457" spans="1:16" x14ac:dyDescent="0.3">
      <c r="A4457" s="3">
        <f t="shared" si="383"/>
        <v>45736</v>
      </c>
      <c r="B4457" s="11" t="s">
        <v>1160</v>
      </c>
      <c r="C4457" s="65" t="s">
        <v>7906</v>
      </c>
      <c r="F4457" s="11"/>
      <c r="G4457" s="88">
        <v>3000</v>
      </c>
      <c r="H4457" s="88"/>
      <c r="I4457" s="88">
        <f t="shared" si="393"/>
        <v>42462.36</v>
      </c>
      <c r="J4457" s="62">
        <f t="shared" si="390"/>
        <v>33462.36</v>
      </c>
      <c r="K4457" s="62"/>
      <c r="L4457" s="2">
        <f t="shared" ref="L4457:L4470" si="394">IF((G4457+H4457)&lt;=5000,(H4457+G4457)*0.004,20)+IF(E4457="Y",25,0)</f>
        <v>12</v>
      </c>
      <c r="M4457">
        <f t="shared" ref="M4457:M4470" si="395">IF(E4457="p",5,0)</f>
        <v>0</v>
      </c>
      <c r="O4457" s="62"/>
      <c r="P4457" s="62"/>
    </row>
    <row r="4458" spans="1:16" x14ac:dyDescent="0.3">
      <c r="A4458" s="3">
        <f t="shared" si="383"/>
        <v>45736</v>
      </c>
      <c r="C4458" s="65" t="s">
        <v>2857</v>
      </c>
      <c r="F4458" s="11"/>
      <c r="G4458" s="88"/>
      <c r="H4458" s="88">
        <v>40000</v>
      </c>
      <c r="I4458" s="88">
        <f t="shared" si="393"/>
        <v>2462.3600000000006</v>
      </c>
      <c r="J4458" s="62">
        <f t="shared" si="390"/>
        <v>-6537.6399999999994</v>
      </c>
      <c r="K4458" s="62"/>
      <c r="O4458" s="62"/>
      <c r="P4458" s="62"/>
    </row>
    <row r="4459" spans="1:16" x14ac:dyDescent="0.3">
      <c r="A4459" s="3">
        <f>A4457</f>
        <v>45736</v>
      </c>
      <c r="B4459" s="11" t="s">
        <v>7374</v>
      </c>
      <c r="C4459" s="65" t="s">
        <v>7841</v>
      </c>
      <c r="F4459" s="11"/>
      <c r="G4459" s="88">
        <v>7500</v>
      </c>
      <c r="H4459" s="88"/>
      <c r="I4459" s="88">
        <f t="shared" si="393"/>
        <v>9962.36</v>
      </c>
      <c r="J4459" s="62">
        <f t="shared" si="390"/>
        <v>962.36000000000058</v>
      </c>
      <c r="K4459" s="62"/>
      <c r="L4459" s="2">
        <f t="shared" si="394"/>
        <v>20</v>
      </c>
      <c r="M4459">
        <f t="shared" si="395"/>
        <v>0</v>
      </c>
      <c r="O4459" s="62"/>
      <c r="P4459" s="62"/>
    </row>
    <row r="4460" spans="1:16" x14ac:dyDescent="0.3">
      <c r="A4460" s="3">
        <f t="shared" si="383"/>
        <v>45736</v>
      </c>
      <c r="B4460" s="11" t="s">
        <v>7374</v>
      </c>
      <c r="C4460" s="65" t="s">
        <v>7841</v>
      </c>
      <c r="E4460" s="90" t="s">
        <v>2088</v>
      </c>
      <c r="F4460" s="11"/>
      <c r="G4460" s="88">
        <v>0</v>
      </c>
      <c r="H4460" s="88"/>
      <c r="I4460" s="88">
        <f t="shared" si="393"/>
        <v>9962.36</v>
      </c>
      <c r="J4460" s="62">
        <f t="shared" si="390"/>
        <v>962.36000000000058</v>
      </c>
      <c r="K4460" s="62"/>
      <c r="L4460" s="2">
        <f t="shared" si="394"/>
        <v>0</v>
      </c>
      <c r="M4460">
        <f t="shared" si="395"/>
        <v>5</v>
      </c>
      <c r="O4460" s="62"/>
      <c r="P4460" s="62"/>
    </row>
    <row r="4461" spans="1:16" x14ac:dyDescent="0.3">
      <c r="A4461" s="3">
        <f t="shared" si="383"/>
        <v>45736</v>
      </c>
      <c r="B4461" s="11" t="s">
        <v>7834</v>
      </c>
      <c r="C4461" s="65" t="s">
        <v>7835</v>
      </c>
      <c r="F4461" s="11"/>
      <c r="G4461" s="88">
        <v>2500</v>
      </c>
      <c r="H4461" s="88"/>
      <c r="I4461" s="88">
        <f t="shared" si="393"/>
        <v>12462.36</v>
      </c>
      <c r="J4461" s="62">
        <f t="shared" si="390"/>
        <v>3462.3600000000006</v>
      </c>
      <c r="K4461" s="62"/>
      <c r="L4461" s="2">
        <f t="shared" si="394"/>
        <v>10</v>
      </c>
      <c r="M4461">
        <f t="shared" si="395"/>
        <v>0</v>
      </c>
      <c r="O4461" s="62"/>
      <c r="P4461" s="62"/>
    </row>
    <row r="4462" spans="1:16" x14ac:dyDescent="0.3">
      <c r="A4462" s="3">
        <f t="shared" si="383"/>
        <v>45736</v>
      </c>
      <c r="B4462" s="11" t="s">
        <v>7834</v>
      </c>
      <c r="C4462" s="65" t="s">
        <v>7835</v>
      </c>
      <c r="E4462" s="90" t="s">
        <v>2088</v>
      </c>
      <c r="F4462" s="11"/>
      <c r="G4462" s="88"/>
      <c r="H4462" s="88"/>
      <c r="I4462" s="88">
        <f t="shared" si="393"/>
        <v>12462.36</v>
      </c>
      <c r="J4462" s="62">
        <f t="shared" si="390"/>
        <v>3462.3600000000006</v>
      </c>
      <c r="K4462" s="62"/>
      <c r="L4462" s="2">
        <f t="shared" si="394"/>
        <v>0</v>
      </c>
      <c r="M4462">
        <f t="shared" si="395"/>
        <v>5</v>
      </c>
      <c r="O4462" s="62"/>
      <c r="P4462" s="62"/>
    </row>
    <row r="4463" spans="1:16" x14ac:dyDescent="0.3">
      <c r="A4463" s="3">
        <f t="shared" si="383"/>
        <v>45736</v>
      </c>
      <c r="B4463" s="11" t="s">
        <v>3524</v>
      </c>
      <c r="C4463" s="65" t="s">
        <v>3088</v>
      </c>
      <c r="E4463" s="90" t="s">
        <v>2088</v>
      </c>
      <c r="F4463" s="11"/>
      <c r="G4463" s="88"/>
      <c r="H4463" s="88"/>
      <c r="I4463" s="88">
        <f t="shared" si="393"/>
        <v>12462.36</v>
      </c>
      <c r="J4463" s="62">
        <f t="shared" si="390"/>
        <v>3462.3600000000006</v>
      </c>
      <c r="K4463" s="62"/>
      <c r="L4463" s="2">
        <f t="shared" si="394"/>
        <v>0</v>
      </c>
      <c r="M4463">
        <f t="shared" si="395"/>
        <v>5</v>
      </c>
      <c r="O4463" s="62"/>
      <c r="P4463" s="62"/>
    </row>
    <row r="4464" spans="1:16" x14ac:dyDescent="0.3">
      <c r="A4464" s="3">
        <f t="shared" si="383"/>
        <v>45736</v>
      </c>
      <c r="B4464" s="11" t="s">
        <v>7329</v>
      </c>
      <c r="C4464" s="65" t="s">
        <v>7853</v>
      </c>
      <c r="F4464" s="11"/>
      <c r="G4464" s="88">
        <v>600</v>
      </c>
      <c r="H4464" s="88"/>
      <c r="I4464" s="88">
        <f t="shared" si="393"/>
        <v>13062.36</v>
      </c>
      <c r="J4464" s="62">
        <f t="shared" si="390"/>
        <v>4062.3600000000006</v>
      </c>
      <c r="K4464" s="62"/>
      <c r="L4464" s="2">
        <f t="shared" si="394"/>
        <v>2.4</v>
      </c>
      <c r="M4464">
        <f t="shared" si="395"/>
        <v>0</v>
      </c>
      <c r="O4464" s="62"/>
      <c r="P4464" s="62"/>
    </row>
    <row r="4465" spans="1:16" x14ac:dyDescent="0.3">
      <c r="A4465" s="3">
        <f t="shared" si="383"/>
        <v>45736</v>
      </c>
      <c r="B4465" s="11" t="s">
        <v>5771</v>
      </c>
      <c r="C4465" s="65" t="s">
        <v>7791</v>
      </c>
      <c r="E4465" s="90" t="s">
        <v>2088</v>
      </c>
      <c r="F4465" s="11"/>
      <c r="G4465" s="88"/>
      <c r="H4465" s="88"/>
      <c r="I4465" s="88">
        <f t="shared" si="393"/>
        <v>13062.36</v>
      </c>
      <c r="J4465" s="62">
        <f t="shared" si="390"/>
        <v>4062.3600000000006</v>
      </c>
      <c r="K4465" s="62"/>
      <c r="L4465" s="2">
        <f t="shared" si="394"/>
        <v>0</v>
      </c>
      <c r="M4465">
        <f t="shared" si="395"/>
        <v>5</v>
      </c>
      <c r="O4465" s="62"/>
      <c r="P4465" s="62"/>
    </row>
    <row r="4466" spans="1:16" x14ac:dyDescent="0.3">
      <c r="A4466" s="3">
        <f t="shared" si="383"/>
        <v>45736</v>
      </c>
      <c r="B4466" s="11" t="s">
        <v>5771</v>
      </c>
      <c r="C4466" s="65" t="s">
        <v>7791</v>
      </c>
      <c r="F4466" s="11"/>
      <c r="G4466" s="88">
        <v>1000</v>
      </c>
      <c r="H4466" s="88"/>
      <c r="I4466" s="88">
        <f t="shared" si="393"/>
        <v>14062.36</v>
      </c>
      <c r="J4466" s="62">
        <f t="shared" si="390"/>
        <v>5062.3600000000006</v>
      </c>
      <c r="K4466" s="62"/>
      <c r="L4466" s="2">
        <f t="shared" si="394"/>
        <v>4</v>
      </c>
      <c r="M4466">
        <f t="shared" si="395"/>
        <v>0</v>
      </c>
      <c r="O4466" s="62"/>
      <c r="P4466" s="62"/>
    </row>
    <row r="4467" spans="1:16" x14ac:dyDescent="0.3">
      <c r="A4467" s="3">
        <f t="shared" si="383"/>
        <v>45736</v>
      </c>
      <c r="B4467" s="11" t="s">
        <v>5771</v>
      </c>
      <c r="C4467" s="65" t="s">
        <v>7791</v>
      </c>
      <c r="E4467" s="90" t="s">
        <v>2088</v>
      </c>
      <c r="F4467" s="11"/>
      <c r="G4467" s="88"/>
      <c r="H4467" s="88"/>
      <c r="I4467" s="88">
        <f t="shared" si="393"/>
        <v>14062.36</v>
      </c>
      <c r="J4467" s="62">
        <f t="shared" si="390"/>
        <v>5062.3600000000006</v>
      </c>
      <c r="K4467" s="62"/>
      <c r="L4467" s="2">
        <f t="shared" si="394"/>
        <v>0</v>
      </c>
      <c r="M4467">
        <f t="shared" si="395"/>
        <v>5</v>
      </c>
      <c r="O4467" s="62"/>
      <c r="P4467" s="62"/>
    </row>
    <row r="4468" spans="1:16" x14ac:dyDescent="0.3">
      <c r="A4468" s="3">
        <f t="shared" si="383"/>
        <v>45736</v>
      </c>
      <c r="B4468" s="11" t="s">
        <v>7899</v>
      </c>
      <c r="C4468" s="65" t="s">
        <v>7900</v>
      </c>
      <c r="E4468" s="90" t="s">
        <v>2088</v>
      </c>
      <c r="F4468" s="11"/>
      <c r="G4468" s="88"/>
      <c r="H4468" s="88"/>
      <c r="I4468" s="88">
        <f t="shared" si="393"/>
        <v>14062.36</v>
      </c>
      <c r="J4468" s="62">
        <f t="shared" si="390"/>
        <v>5062.3600000000006</v>
      </c>
      <c r="K4468" s="62"/>
      <c r="L4468" s="2">
        <f t="shared" si="394"/>
        <v>0</v>
      </c>
      <c r="M4468">
        <f t="shared" si="395"/>
        <v>5</v>
      </c>
      <c r="O4468" s="62"/>
      <c r="P4468" s="62"/>
    </row>
    <row r="4469" spans="1:16" x14ac:dyDescent="0.3">
      <c r="A4469" s="3">
        <f t="shared" si="383"/>
        <v>45736</v>
      </c>
      <c r="B4469" s="11" t="s">
        <v>7910</v>
      </c>
      <c r="C4469" s="65" t="s">
        <v>7911</v>
      </c>
      <c r="E4469" s="90" t="s">
        <v>16</v>
      </c>
      <c r="F4469" s="11"/>
      <c r="G4469" s="88"/>
      <c r="H4469" s="88">
        <v>2000</v>
      </c>
      <c r="I4469" s="88">
        <f t="shared" ref="I4469:I4470" si="396">I4468+G4469-H4469</f>
        <v>12062.36</v>
      </c>
      <c r="J4469" s="62">
        <f t="shared" si="390"/>
        <v>3062.3600000000006</v>
      </c>
      <c r="K4469" s="62"/>
      <c r="L4469" s="2">
        <f t="shared" si="394"/>
        <v>33</v>
      </c>
      <c r="M4469">
        <f t="shared" si="395"/>
        <v>0</v>
      </c>
      <c r="O4469" s="62"/>
      <c r="P4469" s="62"/>
    </row>
    <row r="4470" spans="1:16" x14ac:dyDescent="0.3">
      <c r="A4470" s="3">
        <f t="shared" si="383"/>
        <v>45736</v>
      </c>
      <c r="B4470" s="11" t="s">
        <v>2448</v>
      </c>
      <c r="C4470" s="65" t="s">
        <v>2289</v>
      </c>
      <c r="F4470" s="11"/>
      <c r="G4470" s="88"/>
      <c r="H4470" s="88">
        <v>2500</v>
      </c>
      <c r="I4470" s="88">
        <f t="shared" si="396"/>
        <v>9562.36</v>
      </c>
      <c r="J4470" s="62">
        <f t="shared" si="390"/>
        <v>562.36000000000058</v>
      </c>
      <c r="K4470" s="62"/>
      <c r="L4470" s="2">
        <f t="shared" si="394"/>
        <v>10</v>
      </c>
      <c r="M4470">
        <f t="shared" si="395"/>
        <v>0</v>
      </c>
      <c r="O4470" s="62"/>
      <c r="P4470" s="62"/>
    </row>
    <row r="4471" spans="1:16" x14ac:dyDescent="0.3">
      <c r="A4471" s="3">
        <v>45737</v>
      </c>
      <c r="B4471" s="11" t="s">
        <v>1160</v>
      </c>
      <c r="C4471" s="65" t="s">
        <v>7914</v>
      </c>
      <c r="F4471" s="11"/>
      <c r="G4471" s="88">
        <v>1000</v>
      </c>
      <c r="H4471" s="88"/>
      <c r="I4471" s="88">
        <f t="shared" ref="I4471:I4483" si="397">I4470+G4471-H4471</f>
        <v>10562.36</v>
      </c>
      <c r="J4471" s="62">
        <f t="shared" si="390"/>
        <v>1562.3600000000006</v>
      </c>
      <c r="K4471" s="62"/>
      <c r="L4471" s="2">
        <f t="shared" ref="L4471:L4483" si="398">IF((G4471+H4471)&lt;=5000,(H4471+G4471)*0.004,20)+IF(E4471="Y",25,0)</f>
        <v>4</v>
      </c>
      <c r="M4471">
        <f t="shared" ref="M4471:M4483" si="399">IF(E4471="p",5,0)</f>
        <v>0</v>
      </c>
      <c r="O4471" s="62"/>
      <c r="P4471" s="62"/>
    </row>
    <row r="4472" spans="1:16" x14ac:dyDescent="0.3">
      <c r="A4472" s="3">
        <f t="shared" si="383"/>
        <v>45737</v>
      </c>
      <c r="B4472" s="11" t="s">
        <v>7817</v>
      </c>
      <c r="C4472" s="65" t="s">
        <v>7820</v>
      </c>
      <c r="E4472" s="90" t="s">
        <v>2088</v>
      </c>
      <c r="F4472" s="11"/>
      <c r="G4472" s="88"/>
      <c r="H4472" s="88"/>
      <c r="I4472" s="88">
        <f t="shared" si="397"/>
        <v>10562.36</v>
      </c>
      <c r="J4472" s="62">
        <f t="shared" si="390"/>
        <v>1562.3600000000006</v>
      </c>
      <c r="K4472" s="62"/>
      <c r="L4472" s="2">
        <f t="shared" si="398"/>
        <v>0</v>
      </c>
      <c r="M4472">
        <f t="shared" si="399"/>
        <v>5</v>
      </c>
      <c r="O4472" s="62"/>
      <c r="P4472" s="62"/>
    </row>
    <row r="4473" spans="1:16" x14ac:dyDescent="0.3">
      <c r="A4473" s="3">
        <f t="shared" si="383"/>
        <v>45737</v>
      </c>
      <c r="B4473" s="11" t="s">
        <v>7910</v>
      </c>
      <c r="C4473" s="65" t="s">
        <v>7911</v>
      </c>
      <c r="E4473" s="90" t="s">
        <v>2088</v>
      </c>
      <c r="F4473" s="11"/>
      <c r="G4473" s="88"/>
      <c r="H4473" s="88"/>
      <c r="I4473" s="88">
        <f t="shared" si="397"/>
        <v>10562.36</v>
      </c>
      <c r="J4473" s="62">
        <f t="shared" si="390"/>
        <v>1562.3600000000006</v>
      </c>
      <c r="K4473" s="62"/>
      <c r="L4473" s="2">
        <f t="shared" si="398"/>
        <v>0</v>
      </c>
      <c r="M4473">
        <f t="shared" si="399"/>
        <v>5</v>
      </c>
      <c r="O4473" s="62"/>
      <c r="P4473" s="62"/>
    </row>
    <row r="4474" spans="1:16" x14ac:dyDescent="0.3">
      <c r="A4474" s="3">
        <f t="shared" si="383"/>
        <v>45737</v>
      </c>
      <c r="B4474" s="11" t="s">
        <v>7870</v>
      </c>
      <c r="C4474" s="65" t="s">
        <v>1026</v>
      </c>
      <c r="F4474" s="11"/>
      <c r="G4474" s="88">
        <v>2000</v>
      </c>
      <c r="H4474" s="88"/>
      <c r="I4474" s="88">
        <f t="shared" si="397"/>
        <v>12562.36</v>
      </c>
      <c r="J4474" s="62">
        <f t="shared" si="390"/>
        <v>3562.3600000000006</v>
      </c>
      <c r="K4474" s="62"/>
      <c r="L4474" s="2">
        <f t="shared" si="398"/>
        <v>8</v>
      </c>
      <c r="M4474">
        <f t="shared" si="399"/>
        <v>0</v>
      </c>
      <c r="O4474" s="62"/>
      <c r="P4474" s="62"/>
    </row>
    <row r="4475" spans="1:16" x14ac:dyDescent="0.3">
      <c r="A4475" s="3">
        <f t="shared" si="383"/>
        <v>45737</v>
      </c>
      <c r="B4475" s="11" t="s">
        <v>7870</v>
      </c>
      <c r="C4475" s="65" t="s">
        <v>1026</v>
      </c>
      <c r="E4475" s="90" t="s">
        <v>2088</v>
      </c>
      <c r="F4475" s="11"/>
      <c r="G4475" s="88"/>
      <c r="H4475" s="88"/>
      <c r="I4475" s="88">
        <f t="shared" si="397"/>
        <v>12562.36</v>
      </c>
      <c r="J4475" s="62">
        <f t="shared" si="390"/>
        <v>3562.3600000000006</v>
      </c>
      <c r="K4475" s="62"/>
      <c r="L4475" s="2">
        <f t="shared" si="398"/>
        <v>0</v>
      </c>
      <c r="M4475">
        <f t="shared" si="399"/>
        <v>5</v>
      </c>
      <c r="O4475" s="62"/>
      <c r="P4475" s="62"/>
    </row>
    <row r="4476" spans="1:16" x14ac:dyDescent="0.3">
      <c r="A4476" s="3">
        <v>45738</v>
      </c>
      <c r="B4476" s="11" t="s">
        <v>1250</v>
      </c>
      <c r="C4476" s="65" t="s">
        <v>3625</v>
      </c>
      <c r="D4476" s="50">
        <v>9060902727</v>
      </c>
      <c r="F4476" s="11"/>
      <c r="G4476" s="88">
        <v>400</v>
      </c>
      <c r="H4476" s="88"/>
      <c r="I4476" s="88">
        <f t="shared" si="397"/>
        <v>12962.36</v>
      </c>
      <c r="J4476" s="62">
        <f t="shared" si="390"/>
        <v>3962.3600000000006</v>
      </c>
      <c r="K4476" s="62"/>
      <c r="L4476" s="2">
        <f t="shared" si="398"/>
        <v>1.6</v>
      </c>
      <c r="M4476">
        <f t="shared" si="399"/>
        <v>0</v>
      </c>
      <c r="O4476" s="62"/>
      <c r="P4476" s="62"/>
    </row>
    <row r="4477" spans="1:16" x14ac:dyDescent="0.3">
      <c r="A4477" s="3">
        <f t="shared" si="383"/>
        <v>45738</v>
      </c>
      <c r="B4477" s="11" t="s">
        <v>7489</v>
      </c>
      <c r="C4477" s="65" t="s">
        <v>7490</v>
      </c>
      <c r="F4477" s="11"/>
      <c r="G4477" s="88"/>
      <c r="H4477" s="88">
        <v>5000</v>
      </c>
      <c r="I4477" s="88">
        <f t="shared" si="397"/>
        <v>7962.3600000000006</v>
      </c>
      <c r="J4477" s="62">
        <f t="shared" si="390"/>
        <v>-1037.6399999999994</v>
      </c>
      <c r="K4477" s="62"/>
      <c r="L4477" s="2">
        <f t="shared" si="398"/>
        <v>20</v>
      </c>
      <c r="M4477">
        <f t="shared" si="399"/>
        <v>0</v>
      </c>
      <c r="O4477" s="62"/>
      <c r="P4477" s="62"/>
    </row>
    <row r="4478" spans="1:16" x14ac:dyDescent="0.3">
      <c r="A4478" s="3">
        <f t="shared" si="383"/>
        <v>45738</v>
      </c>
      <c r="B4478" s="11" t="s">
        <v>1250</v>
      </c>
      <c r="C4478" s="65" t="s">
        <v>3393</v>
      </c>
      <c r="F4478" s="11"/>
      <c r="G4478" s="88">
        <v>400</v>
      </c>
      <c r="H4478" s="88"/>
      <c r="I4478" s="88">
        <f t="shared" si="397"/>
        <v>8362.36</v>
      </c>
      <c r="J4478" s="62">
        <f t="shared" si="390"/>
        <v>-637.63999999999942</v>
      </c>
      <c r="K4478" s="62"/>
      <c r="L4478" s="2">
        <f t="shared" si="398"/>
        <v>1.6</v>
      </c>
      <c r="M4478">
        <f t="shared" si="399"/>
        <v>0</v>
      </c>
      <c r="O4478" s="62"/>
      <c r="P4478" s="62"/>
    </row>
    <row r="4479" spans="1:16" x14ac:dyDescent="0.3">
      <c r="A4479" s="3">
        <f t="shared" si="383"/>
        <v>45738</v>
      </c>
      <c r="B4479" s="11" t="s">
        <v>7264</v>
      </c>
      <c r="C4479" s="65" t="s">
        <v>7916</v>
      </c>
      <c r="F4479" s="11"/>
      <c r="G4479" s="88">
        <v>6500</v>
      </c>
      <c r="H4479" s="88"/>
      <c r="I4479" s="88">
        <f t="shared" si="397"/>
        <v>14862.36</v>
      </c>
      <c r="J4479" s="62">
        <f t="shared" si="390"/>
        <v>5862.3600000000006</v>
      </c>
      <c r="K4479" s="62"/>
      <c r="L4479" s="2">
        <f t="shared" si="398"/>
        <v>20</v>
      </c>
      <c r="M4479">
        <f t="shared" si="399"/>
        <v>0</v>
      </c>
      <c r="O4479" s="62"/>
      <c r="P4479" s="62"/>
    </row>
    <row r="4480" spans="1:16" x14ac:dyDescent="0.3">
      <c r="A4480" s="3">
        <f t="shared" si="383"/>
        <v>45738</v>
      </c>
      <c r="B4480" s="11" t="s">
        <v>1250</v>
      </c>
      <c r="C4480" s="65" t="s">
        <v>7917</v>
      </c>
      <c r="F4480" s="11"/>
      <c r="G4480" s="88">
        <v>2500</v>
      </c>
      <c r="H4480" s="88"/>
      <c r="I4480" s="88">
        <f t="shared" si="397"/>
        <v>17362.36</v>
      </c>
      <c r="J4480" s="62">
        <f t="shared" si="390"/>
        <v>8362.36</v>
      </c>
      <c r="K4480" s="62"/>
      <c r="L4480" s="2">
        <f t="shared" si="398"/>
        <v>10</v>
      </c>
      <c r="M4480">
        <f t="shared" si="399"/>
        <v>0</v>
      </c>
      <c r="O4480" s="62"/>
      <c r="P4480" s="62"/>
    </row>
    <row r="4481" spans="1:16" x14ac:dyDescent="0.3">
      <c r="A4481" s="3">
        <f t="shared" si="383"/>
        <v>45738</v>
      </c>
      <c r="B4481" s="11" t="s">
        <v>5318</v>
      </c>
      <c r="C4481" s="65" t="s">
        <v>5321</v>
      </c>
      <c r="E4481" s="90" t="s">
        <v>2088</v>
      </c>
      <c r="F4481" s="11"/>
      <c r="G4481" s="88"/>
      <c r="H4481" s="88"/>
      <c r="I4481" s="88">
        <f t="shared" si="397"/>
        <v>17362.36</v>
      </c>
      <c r="J4481" s="62">
        <f t="shared" si="390"/>
        <v>8362.36</v>
      </c>
      <c r="K4481" s="62"/>
      <c r="L4481" s="2">
        <f t="shared" si="398"/>
        <v>0</v>
      </c>
      <c r="M4481">
        <f t="shared" si="399"/>
        <v>5</v>
      </c>
      <c r="O4481" s="62"/>
      <c r="P4481" s="62"/>
    </row>
    <row r="4482" spans="1:16" x14ac:dyDescent="0.3">
      <c r="A4482" s="3">
        <f t="shared" si="383"/>
        <v>45738</v>
      </c>
      <c r="B4482" s="11" t="s">
        <v>2761</v>
      </c>
      <c r="C4482" s="50" t="s">
        <v>7918</v>
      </c>
      <c r="F4482" s="11"/>
      <c r="G4482" s="88">
        <v>2500</v>
      </c>
      <c r="H4482" s="88"/>
      <c r="I4482" s="88">
        <f t="shared" si="397"/>
        <v>19862.36</v>
      </c>
      <c r="J4482" s="62">
        <f t="shared" si="390"/>
        <v>10862.36</v>
      </c>
      <c r="K4482" s="62"/>
      <c r="L4482" s="2">
        <f t="shared" si="398"/>
        <v>10</v>
      </c>
      <c r="M4482">
        <f t="shared" si="399"/>
        <v>0</v>
      </c>
      <c r="O4482" s="62"/>
      <c r="P4482" s="62"/>
    </row>
    <row r="4483" spans="1:16" x14ac:dyDescent="0.3">
      <c r="A4483" s="3">
        <f t="shared" si="383"/>
        <v>45738</v>
      </c>
      <c r="B4483" s="11" t="s">
        <v>1160</v>
      </c>
      <c r="C4483" s="65" t="s">
        <v>7268</v>
      </c>
      <c r="F4483" s="11"/>
      <c r="G4483" s="88">
        <v>7500</v>
      </c>
      <c r="H4483" s="88"/>
      <c r="I4483" s="88">
        <f t="shared" si="397"/>
        <v>27362.36</v>
      </c>
      <c r="J4483" s="62">
        <f t="shared" si="390"/>
        <v>18362.36</v>
      </c>
      <c r="K4483" s="62"/>
      <c r="L4483" s="2">
        <f t="shared" si="398"/>
        <v>20</v>
      </c>
      <c r="M4483">
        <f t="shared" si="399"/>
        <v>0</v>
      </c>
      <c r="O4483" s="62"/>
      <c r="P4483" s="62"/>
    </row>
    <row r="4484" spans="1:16" x14ac:dyDescent="0.3">
      <c r="A4484" s="3">
        <f t="shared" si="383"/>
        <v>45738</v>
      </c>
      <c r="B4484" s="11" t="s">
        <v>6260</v>
      </c>
      <c r="C4484" s="65" t="s">
        <v>7117</v>
      </c>
      <c r="F4484" s="11"/>
      <c r="G4484" s="88"/>
      <c r="H4484" s="88">
        <v>6000</v>
      </c>
      <c r="I4484" s="88">
        <f t="shared" ref="I4484:I4494" si="400">I4483+G4484-H4484</f>
        <v>21362.36</v>
      </c>
      <c r="J4484" s="62">
        <f t="shared" si="390"/>
        <v>12362.36</v>
      </c>
      <c r="K4484" s="62"/>
      <c r="L4484" s="2">
        <f t="shared" ref="L4484:L4494" si="401">IF((G4484+H4484)&lt;=5000,(H4484+G4484)*0.004,20)+IF(E4484="Y",25,0)</f>
        <v>20</v>
      </c>
      <c r="M4484">
        <f t="shared" ref="M4484:M4494" si="402">IF(E4484="p",5,0)</f>
        <v>0</v>
      </c>
      <c r="O4484" s="62"/>
      <c r="P4484" s="62"/>
    </row>
    <row r="4485" spans="1:16" x14ac:dyDescent="0.3">
      <c r="A4485" s="3">
        <f t="shared" si="383"/>
        <v>45738</v>
      </c>
      <c r="B4485" s="11" t="s">
        <v>7005</v>
      </c>
      <c r="C4485" s="65" t="s">
        <v>7004</v>
      </c>
      <c r="E4485" s="90" t="s">
        <v>2088</v>
      </c>
      <c r="F4485" s="11"/>
      <c r="G4485" s="88"/>
      <c r="H4485" s="88"/>
      <c r="I4485" s="88">
        <f t="shared" si="400"/>
        <v>21362.36</v>
      </c>
      <c r="J4485" s="62">
        <f t="shared" si="390"/>
        <v>12362.36</v>
      </c>
      <c r="K4485" s="62"/>
      <c r="L4485" s="2">
        <f t="shared" si="401"/>
        <v>0</v>
      </c>
      <c r="M4485">
        <f t="shared" si="402"/>
        <v>5</v>
      </c>
      <c r="O4485" s="62"/>
      <c r="P4485" s="62"/>
    </row>
    <row r="4486" spans="1:16" x14ac:dyDescent="0.3">
      <c r="A4486" s="3">
        <f t="shared" si="383"/>
        <v>45738</v>
      </c>
      <c r="B4486" s="11" t="s">
        <v>7005</v>
      </c>
      <c r="C4486" s="65" t="s">
        <v>7004</v>
      </c>
      <c r="F4486" s="11"/>
      <c r="G4486" s="88">
        <v>2000</v>
      </c>
      <c r="H4486" s="88"/>
      <c r="I4486" s="88">
        <f t="shared" si="400"/>
        <v>23362.36</v>
      </c>
      <c r="J4486" s="62">
        <f t="shared" si="390"/>
        <v>14362.36</v>
      </c>
      <c r="K4486" s="62"/>
      <c r="L4486" s="2">
        <f t="shared" si="401"/>
        <v>8</v>
      </c>
      <c r="M4486">
        <f t="shared" si="402"/>
        <v>0</v>
      </c>
      <c r="O4486" s="62"/>
      <c r="P4486" s="62"/>
    </row>
    <row r="4487" spans="1:16" x14ac:dyDescent="0.3">
      <c r="A4487" s="3">
        <f t="shared" si="383"/>
        <v>45738</v>
      </c>
      <c r="B4487" s="11" t="s">
        <v>7005</v>
      </c>
      <c r="C4487" s="65" t="s">
        <v>7004</v>
      </c>
      <c r="E4487" s="90" t="s">
        <v>2088</v>
      </c>
      <c r="F4487" s="11"/>
      <c r="G4487" s="88"/>
      <c r="H4487" s="88"/>
      <c r="I4487" s="88">
        <f t="shared" si="400"/>
        <v>23362.36</v>
      </c>
      <c r="J4487" s="62">
        <f t="shared" si="390"/>
        <v>14362.36</v>
      </c>
      <c r="K4487" s="62"/>
      <c r="L4487" s="2">
        <f t="shared" si="401"/>
        <v>0</v>
      </c>
      <c r="M4487">
        <f t="shared" si="402"/>
        <v>5</v>
      </c>
      <c r="O4487" s="62"/>
      <c r="P4487" s="62"/>
    </row>
    <row r="4488" spans="1:16" x14ac:dyDescent="0.3">
      <c r="A4488" s="3">
        <f t="shared" si="383"/>
        <v>45738</v>
      </c>
      <c r="B4488" s="11" t="s">
        <v>6233</v>
      </c>
      <c r="C4488" s="65" t="s">
        <v>6234</v>
      </c>
      <c r="E4488" s="90" t="s">
        <v>2088</v>
      </c>
      <c r="F4488" s="11"/>
      <c r="G4488" s="88"/>
      <c r="H4488" s="88"/>
      <c r="I4488" s="88">
        <f t="shared" si="400"/>
        <v>23362.36</v>
      </c>
      <c r="J4488" s="62">
        <f t="shared" si="390"/>
        <v>14362.36</v>
      </c>
      <c r="K4488" s="62"/>
      <c r="L4488" s="2">
        <f t="shared" si="401"/>
        <v>0</v>
      </c>
      <c r="M4488">
        <f t="shared" si="402"/>
        <v>5</v>
      </c>
      <c r="O4488" s="62"/>
      <c r="P4488" s="62"/>
    </row>
    <row r="4489" spans="1:16" x14ac:dyDescent="0.3">
      <c r="A4489" s="3">
        <f t="shared" si="383"/>
        <v>45738</v>
      </c>
      <c r="B4489" s="11" t="s">
        <v>7289</v>
      </c>
      <c r="C4489" s="65" t="s">
        <v>7290</v>
      </c>
      <c r="F4489" s="11"/>
      <c r="G4489" s="88">
        <v>7500</v>
      </c>
      <c r="H4489" s="88"/>
      <c r="I4489" s="88">
        <f t="shared" si="400"/>
        <v>30862.36</v>
      </c>
      <c r="J4489" s="62">
        <f t="shared" si="390"/>
        <v>21862.36</v>
      </c>
      <c r="K4489" s="62"/>
      <c r="L4489" s="2">
        <f t="shared" si="401"/>
        <v>20</v>
      </c>
      <c r="M4489">
        <f t="shared" si="402"/>
        <v>0</v>
      </c>
      <c r="O4489" s="62"/>
      <c r="P4489" s="62"/>
    </row>
    <row r="4490" spans="1:16" x14ac:dyDescent="0.3">
      <c r="A4490" s="3">
        <f t="shared" si="383"/>
        <v>45738</v>
      </c>
      <c r="B4490" s="11" t="s">
        <v>7289</v>
      </c>
      <c r="C4490" s="65" t="s">
        <v>7290</v>
      </c>
      <c r="E4490" s="90" t="s">
        <v>2088</v>
      </c>
      <c r="F4490" s="11"/>
      <c r="G4490" s="88"/>
      <c r="H4490" s="88"/>
      <c r="I4490" s="88">
        <f t="shared" si="400"/>
        <v>30862.36</v>
      </c>
      <c r="J4490" s="62">
        <f t="shared" si="390"/>
        <v>21862.36</v>
      </c>
      <c r="K4490" s="62"/>
      <c r="L4490" s="2">
        <f t="shared" si="401"/>
        <v>0</v>
      </c>
      <c r="M4490">
        <f t="shared" si="402"/>
        <v>5</v>
      </c>
      <c r="O4490" s="62"/>
      <c r="P4490" s="62"/>
    </row>
    <row r="4491" spans="1:16" x14ac:dyDescent="0.3">
      <c r="A4491" s="3">
        <f t="shared" si="383"/>
        <v>45738</v>
      </c>
      <c r="B4491" s="11" t="s">
        <v>1472</v>
      </c>
      <c r="C4491" s="65" t="s">
        <v>7919</v>
      </c>
      <c r="D4491" s="50">
        <v>6204944692</v>
      </c>
      <c r="F4491" s="11"/>
      <c r="G4491" s="88">
        <v>5000</v>
      </c>
      <c r="H4491" s="88"/>
      <c r="I4491" s="88">
        <f t="shared" si="400"/>
        <v>35862.36</v>
      </c>
      <c r="J4491" s="62">
        <f t="shared" si="390"/>
        <v>26862.36</v>
      </c>
      <c r="K4491" s="62"/>
      <c r="L4491" s="2">
        <f t="shared" si="401"/>
        <v>20</v>
      </c>
      <c r="M4491">
        <f t="shared" si="402"/>
        <v>0</v>
      </c>
      <c r="O4491" s="62"/>
      <c r="P4491" s="62"/>
    </row>
    <row r="4492" spans="1:16" x14ac:dyDescent="0.3">
      <c r="A4492" s="3">
        <f t="shared" si="383"/>
        <v>45738</v>
      </c>
      <c r="B4492" s="11" t="s">
        <v>1250</v>
      </c>
      <c r="C4492" s="65" t="s">
        <v>240</v>
      </c>
      <c r="D4492" s="50">
        <v>620353799</v>
      </c>
      <c r="F4492" s="11"/>
      <c r="G4492" s="88">
        <v>8000</v>
      </c>
      <c r="H4492" s="88"/>
      <c r="I4492" s="88">
        <f t="shared" si="400"/>
        <v>43862.36</v>
      </c>
      <c r="J4492" s="62">
        <f t="shared" si="390"/>
        <v>34862.36</v>
      </c>
      <c r="K4492" s="62"/>
      <c r="L4492" s="2">
        <f t="shared" si="401"/>
        <v>20</v>
      </c>
      <c r="M4492">
        <f t="shared" si="402"/>
        <v>0</v>
      </c>
      <c r="O4492" s="62"/>
      <c r="P4492" s="62"/>
    </row>
    <row r="4493" spans="1:16" x14ac:dyDescent="0.3">
      <c r="A4493" s="3">
        <f t="shared" si="383"/>
        <v>45738</v>
      </c>
      <c r="B4493" s="11" t="s">
        <v>1250</v>
      </c>
      <c r="C4493" s="65" t="s">
        <v>7920</v>
      </c>
      <c r="F4493" s="11"/>
      <c r="G4493" s="88">
        <v>1000</v>
      </c>
      <c r="H4493" s="88"/>
      <c r="I4493" s="88">
        <f t="shared" si="400"/>
        <v>44862.36</v>
      </c>
      <c r="J4493" s="62">
        <f t="shared" si="390"/>
        <v>35862.36</v>
      </c>
      <c r="K4493" s="62"/>
      <c r="L4493" s="2">
        <f t="shared" si="401"/>
        <v>4</v>
      </c>
      <c r="M4493">
        <f t="shared" si="402"/>
        <v>0</v>
      </c>
      <c r="O4493" s="62"/>
      <c r="P4493" s="62"/>
    </row>
    <row r="4494" spans="1:16" x14ac:dyDescent="0.3">
      <c r="A4494" s="3">
        <f t="shared" si="383"/>
        <v>45738</v>
      </c>
      <c r="B4494" s="11" t="s">
        <v>4157</v>
      </c>
      <c r="C4494" s="65" t="s">
        <v>4162</v>
      </c>
      <c r="F4494" s="11"/>
      <c r="G4494" s="88"/>
      <c r="H4494" s="88">
        <v>5000</v>
      </c>
      <c r="I4494" s="88">
        <f t="shared" si="400"/>
        <v>39862.36</v>
      </c>
      <c r="J4494" s="62">
        <f t="shared" si="390"/>
        <v>30862.36</v>
      </c>
      <c r="K4494" s="62"/>
      <c r="L4494" s="2">
        <f t="shared" si="401"/>
        <v>20</v>
      </c>
      <c r="M4494">
        <f t="shared" si="402"/>
        <v>0</v>
      </c>
      <c r="O4494" s="62"/>
      <c r="P4494" s="62"/>
    </row>
    <row r="4495" spans="1:16" x14ac:dyDescent="0.3">
      <c r="A4495" s="3">
        <f t="shared" si="383"/>
        <v>45738</v>
      </c>
      <c r="B4495" s="11" t="s">
        <v>6864</v>
      </c>
      <c r="C4495" s="65" t="s">
        <v>264</v>
      </c>
      <c r="E4495" s="90" t="s">
        <v>2088</v>
      </c>
      <c r="F4495" s="11"/>
      <c r="G4495" s="88"/>
      <c r="H4495" s="88"/>
      <c r="I4495" s="88">
        <f t="shared" ref="I4495:I4501" si="403">I4494+G4495-H4495</f>
        <v>39862.36</v>
      </c>
      <c r="J4495" s="62">
        <f t="shared" si="390"/>
        <v>30862.36</v>
      </c>
      <c r="K4495" s="62"/>
      <c r="L4495" s="2">
        <f t="shared" ref="L4495:L4501" si="404">IF((G4495+H4495)&lt;=5000,(H4495+G4495)*0.004,20)+IF(E4495="Y",25,0)</f>
        <v>0</v>
      </c>
      <c r="M4495">
        <f t="shared" ref="M4495:M4501" si="405">IF(E4495="p",5,0)</f>
        <v>5</v>
      </c>
      <c r="O4495" s="62"/>
      <c r="P4495" s="62"/>
    </row>
    <row r="4496" spans="1:16" x14ac:dyDescent="0.3">
      <c r="A4496" s="3">
        <f t="shared" si="383"/>
        <v>45738</v>
      </c>
      <c r="B4496" s="11" t="s">
        <v>6864</v>
      </c>
      <c r="C4496" s="65" t="s">
        <v>264</v>
      </c>
      <c r="F4496" s="11"/>
      <c r="G4496" s="88">
        <v>5000</v>
      </c>
      <c r="H4496" s="88"/>
      <c r="I4496" s="88">
        <f t="shared" si="403"/>
        <v>44862.36</v>
      </c>
      <c r="J4496" s="62">
        <f t="shared" si="390"/>
        <v>35862.36</v>
      </c>
      <c r="K4496" s="62"/>
      <c r="L4496" s="2">
        <f t="shared" si="404"/>
        <v>20</v>
      </c>
      <c r="M4496">
        <f t="shared" si="405"/>
        <v>0</v>
      </c>
      <c r="O4496" s="62"/>
      <c r="P4496" s="62"/>
    </row>
    <row r="4497" spans="1:16" x14ac:dyDescent="0.3">
      <c r="A4497" s="3">
        <f t="shared" si="383"/>
        <v>45738</v>
      </c>
      <c r="B4497" s="11" t="s">
        <v>6864</v>
      </c>
      <c r="C4497" s="65" t="s">
        <v>264</v>
      </c>
      <c r="E4497" s="90" t="s">
        <v>2088</v>
      </c>
      <c r="F4497" s="11"/>
      <c r="G4497" s="88"/>
      <c r="H4497" s="88"/>
      <c r="I4497" s="88">
        <f t="shared" si="403"/>
        <v>44862.36</v>
      </c>
      <c r="J4497" s="62">
        <f t="shared" ref="J4497:J4560" si="406">I4497-9000</f>
        <v>35862.36</v>
      </c>
      <c r="K4497" s="62"/>
      <c r="L4497" s="2">
        <f t="shared" si="404"/>
        <v>0</v>
      </c>
      <c r="M4497">
        <f t="shared" si="405"/>
        <v>5</v>
      </c>
      <c r="O4497" s="62"/>
      <c r="P4497" s="62"/>
    </row>
    <row r="4498" spans="1:16" x14ac:dyDescent="0.3">
      <c r="A4498" s="3">
        <f t="shared" si="383"/>
        <v>45738</v>
      </c>
      <c r="B4498" s="11" t="s">
        <v>7514</v>
      </c>
      <c r="C4498" s="65" t="s">
        <v>7347</v>
      </c>
      <c r="F4498" s="11"/>
      <c r="G4498" s="88">
        <v>1000</v>
      </c>
      <c r="H4498" s="88"/>
      <c r="I4498" s="88">
        <f t="shared" si="403"/>
        <v>45862.36</v>
      </c>
      <c r="J4498" s="62">
        <f t="shared" si="406"/>
        <v>36862.36</v>
      </c>
      <c r="K4498" s="62"/>
      <c r="L4498" s="2">
        <f t="shared" si="404"/>
        <v>4</v>
      </c>
      <c r="M4498">
        <f t="shared" si="405"/>
        <v>0</v>
      </c>
      <c r="O4498" s="62"/>
      <c r="P4498" s="62"/>
    </row>
    <row r="4499" spans="1:16" x14ac:dyDescent="0.3">
      <c r="A4499" s="3">
        <f t="shared" si="383"/>
        <v>45738</v>
      </c>
      <c r="B4499" s="11" t="s">
        <v>3524</v>
      </c>
      <c r="C4499" s="65" t="s">
        <v>7921</v>
      </c>
      <c r="F4499" s="11"/>
      <c r="G4499" s="88"/>
      <c r="H4499" s="147">
        <v>10000</v>
      </c>
      <c r="I4499" s="88">
        <f t="shared" si="403"/>
        <v>35862.36</v>
      </c>
      <c r="J4499" s="62">
        <f t="shared" si="406"/>
        <v>26862.36</v>
      </c>
      <c r="K4499" s="62"/>
      <c r="L4499" s="2">
        <f t="shared" si="404"/>
        <v>20</v>
      </c>
      <c r="M4499">
        <f t="shared" si="405"/>
        <v>0</v>
      </c>
      <c r="O4499" s="62"/>
      <c r="P4499" s="62"/>
    </row>
    <row r="4500" spans="1:16" x14ac:dyDescent="0.3">
      <c r="A4500" s="3">
        <v>45739</v>
      </c>
      <c r="B4500" s="11" t="s">
        <v>7923</v>
      </c>
      <c r="C4500" s="65" t="s">
        <v>7925</v>
      </c>
      <c r="E4500" s="90" t="s">
        <v>16</v>
      </c>
      <c r="F4500" s="11"/>
      <c r="G4500" s="88"/>
      <c r="H4500" s="88">
        <v>500</v>
      </c>
      <c r="I4500" s="88">
        <f t="shared" si="403"/>
        <v>35362.36</v>
      </c>
      <c r="J4500" s="62">
        <f t="shared" si="406"/>
        <v>26362.36</v>
      </c>
      <c r="K4500" s="62"/>
      <c r="L4500" s="2">
        <f t="shared" si="404"/>
        <v>27</v>
      </c>
      <c r="M4500">
        <f t="shared" si="405"/>
        <v>0</v>
      </c>
      <c r="O4500" s="62"/>
      <c r="P4500" s="62"/>
    </row>
    <row r="4501" spans="1:16" x14ac:dyDescent="0.3">
      <c r="A4501" s="3">
        <f t="shared" si="383"/>
        <v>45739</v>
      </c>
      <c r="B4501" s="11" t="s">
        <v>7929</v>
      </c>
      <c r="C4501" s="65" t="s">
        <v>688</v>
      </c>
      <c r="E4501" s="90" t="s">
        <v>16</v>
      </c>
      <c r="F4501" s="11"/>
      <c r="G4501" s="88"/>
      <c r="H4501" s="88">
        <v>500</v>
      </c>
      <c r="I4501" s="88">
        <f t="shared" si="403"/>
        <v>34862.36</v>
      </c>
      <c r="J4501" s="62">
        <f t="shared" si="406"/>
        <v>25862.36</v>
      </c>
      <c r="K4501" s="62"/>
      <c r="L4501" s="2">
        <f t="shared" si="404"/>
        <v>27</v>
      </c>
      <c r="M4501">
        <f t="shared" si="405"/>
        <v>0</v>
      </c>
      <c r="O4501" s="62"/>
      <c r="P4501" s="62"/>
    </row>
    <row r="4502" spans="1:16" x14ac:dyDescent="0.3">
      <c r="A4502" s="3">
        <f t="shared" si="383"/>
        <v>45739</v>
      </c>
      <c r="B4502" s="11" t="s">
        <v>1250</v>
      </c>
      <c r="C4502" s="65" t="s">
        <v>2443</v>
      </c>
      <c r="F4502" s="11"/>
      <c r="G4502" s="88">
        <v>2200</v>
      </c>
      <c r="H4502" s="88"/>
      <c r="I4502" s="88">
        <f t="shared" ref="I4502:I4521" si="407">I4501+G4502-H4502</f>
        <v>37062.36</v>
      </c>
      <c r="J4502" s="62">
        <f t="shared" si="406"/>
        <v>28062.36</v>
      </c>
      <c r="K4502" s="62"/>
      <c r="L4502" s="2">
        <f t="shared" ref="L4502:L4521" si="408">IF((G4502+H4502)&lt;=5000,(H4502+G4502)*0.004,20)+IF(E4502="Y",25,0)</f>
        <v>8.8000000000000007</v>
      </c>
      <c r="M4502">
        <f t="shared" ref="M4502:M4521" si="409">IF(E4502="p",5,0)</f>
        <v>0</v>
      </c>
      <c r="O4502" s="62"/>
      <c r="P4502" s="62"/>
    </row>
    <row r="4503" spans="1:16" x14ac:dyDescent="0.3">
      <c r="A4503" s="3">
        <f t="shared" si="383"/>
        <v>45739</v>
      </c>
      <c r="B4503" s="11" t="s">
        <v>1472</v>
      </c>
      <c r="C4503" s="65" t="s">
        <v>7932</v>
      </c>
      <c r="F4503" s="11"/>
      <c r="G4503" s="88">
        <v>5000</v>
      </c>
      <c r="H4503" s="88"/>
      <c r="I4503" s="88">
        <f t="shared" si="407"/>
        <v>42062.36</v>
      </c>
      <c r="J4503" s="62">
        <f t="shared" si="406"/>
        <v>33062.36</v>
      </c>
      <c r="K4503" s="62"/>
      <c r="L4503" s="2">
        <f t="shared" si="408"/>
        <v>20</v>
      </c>
      <c r="M4503">
        <f t="shared" si="409"/>
        <v>0</v>
      </c>
      <c r="O4503" s="62"/>
      <c r="P4503" s="62"/>
    </row>
    <row r="4504" spans="1:16" x14ac:dyDescent="0.3">
      <c r="A4504" s="3">
        <f t="shared" si="383"/>
        <v>45739</v>
      </c>
      <c r="B4504" s="11" t="s">
        <v>3524</v>
      </c>
      <c r="C4504" s="65" t="s">
        <v>3088</v>
      </c>
      <c r="F4504" s="11"/>
      <c r="G4504" s="88"/>
      <c r="H4504" s="147">
        <v>10000</v>
      </c>
      <c r="I4504" s="88">
        <f t="shared" si="407"/>
        <v>32062.36</v>
      </c>
      <c r="J4504" s="62">
        <f t="shared" si="406"/>
        <v>23062.36</v>
      </c>
      <c r="K4504" s="62"/>
      <c r="L4504" s="2">
        <f t="shared" si="408"/>
        <v>20</v>
      </c>
      <c r="M4504">
        <f t="shared" si="409"/>
        <v>0</v>
      </c>
      <c r="O4504" s="62"/>
      <c r="P4504" s="62"/>
    </row>
    <row r="4505" spans="1:16" x14ac:dyDescent="0.3">
      <c r="A4505" s="3">
        <v>45740</v>
      </c>
      <c r="B4505" s="11" t="s">
        <v>6260</v>
      </c>
      <c r="C4505" s="65" t="s">
        <v>7117</v>
      </c>
      <c r="F4505" s="11"/>
      <c r="G4505" s="88"/>
      <c r="H4505" s="88">
        <v>10000</v>
      </c>
      <c r="I4505" s="88">
        <f t="shared" si="407"/>
        <v>22062.36</v>
      </c>
      <c r="J4505" s="62">
        <f t="shared" si="406"/>
        <v>13062.36</v>
      </c>
      <c r="K4505" s="62"/>
      <c r="L4505" s="2">
        <f t="shared" si="408"/>
        <v>20</v>
      </c>
      <c r="M4505">
        <f t="shared" si="409"/>
        <v>0</v>
      </c>
      <c r="O4505" s="62"/>
      <c r="P4505" s="62"/>
    </row>
    <row r="4506" spans="1:16" x14ac:dyDescent="0.3">
      <c r="A4506" s="3">
        <f t="shared" si="383"/>
        <v>45740</v>
      </c>
      <c r="B4506" s="11" t="s">
        <v>1250</v>
      </c>
      <c r="C4506" s="65" t="s">
        <v>2443</v>
      </c>
      <c r="F4506" s="11"/>
      <c r="G4506" s="88">
        <v>1700</v>
      </c>
      <c r="H4506" s="88"/>
      <c r="I4506" s="88">
        <f t="shared" si="407"/>
        <v>23762.36</v>
      </c>
      <c r="J4506" s="62">
        <f t="shared" si="406"/>
        <v>14762.36</v>
      </c>
      <c r="K4506" s="62"/>
      <c r="L4506" s="2">
        <f t="shared" si="408"/>
        <v>6.8</v>
      </c>
      <c r="M4506">
        <f t="shared" si="409"/>
        <v>0</v>
      </c>
      <c r="O4506" s="62"/>
      <c r="P4506" s="62"/>
    </row>
    <row r="4507" spans="1:16" x14ac:dyDescent="0.3">
      <c r="A4507" s="3">
        <f t="shared" si="383"/>
        <v>45740</v>
      </c>
      <c r="B4507" s="11" t="s">
        <v>2942</v>
      </c>
      <c r="C4507" s="65" t="s">
        <v>7933</v>
      </c>
      <c r="F4507" s="11"/>
      <c r="G4507" s="88">
        <v>2000</v>
      </c>
      <c r="H4507" s="88"/>
      <c r="I4507" s="88">
        <f t="shared" si="407"/>
        <v>25762.36</v>
      </c>
      <c r="J4507" s="62">
        <f t="shared" si="406"/>
        <v>16762.36</v>
      </c>
      <c r="K4507" s="62"/>
      <c r="L4507" s="2">
        <f t="shared" si="408"/>
        <v>8</v>
      </c>
      <c r="M4507">
        <f t="shared" si="409"/>
        <v>0</v>
      </c>
      <c r="O4507" s="62"/>
      <c r="P4507" s="62"/>
    </row>
    <row r="4508" spans="1:16" x14ac:dyDescent="0.3">
      <c r="A4508" s="3">
        <f t="shared" si="383"/>
        <v>45740</v>
      </c>
      <c r="B4508" s="11" t="s">
        <v>7934</v>
      </c>
      <c r="C4508" s="65" t="s">
        <v>860</v>
      </c>
      <c r="E4508" s="90" t="s">
        <v>2088</v>
      </c>
      <c r="F4508" s="11"/>
      <c r="G4508" s="88"/>
      <c r="H4508" s="88"/>
      <c r="I4508" s="88">
        <f t="shared" si="407"/>
        <v>25762.36</v>
      </c>
      <c r="J4508" s="62">
        <f t="shared" si="406"/>
        <v>16762.36</v>
      </c>
      <c r="K4508" s="62"/>
      <c r="L4508" s="2">
        <f t="shared" si="408"/>
        <v>0</v>
      </c>
      <c r="M4508">
        <f t="shared" si="409"/>
        <v>5</v>
      </c>
      <c r="O4508" s="62"/>
      <c r="P4508" s="62"/>
    </row>
    <row r="4509" spans="1:16" x14ac:dyDescent="0.3">
      <c r="A4509" s="3">
        <f t="shared" si="383"/>
        <v>45740</v>
      </c>
      <c r="B4509" s="11" t="s">
        <v>6805</v>
      </c>
      <c r="C4509" s="65" t="s">
        <v>638</v>
      </c>
      <c r="F4509" s="11"/>
      <c r="G4509" s="88"/>
      <c r="H4509" s="88">
        <v>2000</v>
      </c>
      <c r="I4509" s="88">
        <f t="shared" si="407"/>
        <v>23762.36</v>
      </c>
      <c r="J4509" s="62">
        <f t="shared" si="406"/>
        <v>14762.36</v>
      </c>
      <c r="K4509" s="62"/>
      <c r="L4509" s="2">
        <f t="shared" si="408"/>
        <v>8</v>
      </c>
      <c r="M4509">
        <f t="shared" si="409"/>
        <v>0</v>
      </c>
      <c r="O4509" s="62"/>
      <c r="P4509" s="62"/>
    </row>
    <row r="4510" spans="1:16" x14ac:dyDescent="0.3">
      <c r="A4510" s="3">
        <f t="shared" si="383"/>
        <v>45740</v>
      </c>
      <c r="B4510" s="11" t="s">
        <v>6805</v>
      </c>
      <c r="C4510" s="65" t="s">
        <v>638</v>
      </c>
      <c r="E4510" s="90" t="s">
        <v>2088</v>
      </c>
      <c r="F4510" s="11"/>
      <c r="G4510" s="88"/>
      <c r="H4510" s="88"/>
      <c r="I4510" s="88">
        <f t="shared" si="407"/>
        <v>23762.36</v>
      </c>
      <c r="J4510" s="62">
        <f t="shared" si="406"/>
        <v>14762.36</v>
      </c>
      <c r="K4510" s="62"/>
      <c r="L4510" s="2">
        <f t="shared" si="408"/>
        <v>0</v>
      </c>
      <c r="M4510">
        <f t="shared" si="409"/>
        <v>5</v>
      </c>
      <c r="O4510" s="62"/>
      <c r="P4510" s="62"/>
    </row>
    <row r="4511" spans="1:16" x14ac:dyDescent="0.3">
      <c r="A4511" s="3">
        <f t="shared" si="383"/>
        <v>45740</v>
      </c>
      <c r="B4511" s="11" t="s">
        <v>2448</v>
      </c>
      <c r="C4511" s="65" t="s">
        <v>2289</v>
      </c>
      <c r="F4511" s="11"/>
      <c r="G4511" s="88"/>
      <c r="H4511" s="88">
        <v>20000</v>
      </c>
      <c r="I4511" s="88">
        <f t="shared" si="407"/>
        <v>3762.3600000000006</v>
      </c>
      <c r="J4511" s="62">
        <f t="shared" si="406"/>
        <v>-5237.6399999999994</v>
      </c>
      <c r="K4511" s="62"/>
      <c r="L4511" s="2">
        <f t="shared" si="408"/>
        <v>20</v>
      </c>
      <c r="M4511">
        <f t="shared" si="409"/>
        <v>0</v>
      </c>
      <c r="O4511" s="62"/>
      <c r="P4511" s="62"/>
    </row>
    <row r="4512" spans="1:16" x14ac:dyDescent="0.3">
      <c r="A4512" s="3">
        <f t="shared" si="383"/>
        <v>45740</v>
      </c>
      <c r="B4512" s="11" t="s">
        <v>1250</v>
      </c>
      <c r="C4512" s="65" t="s">
        <v>6155</v>
      </c>
      <c r="F4512" s="11"/>
      <c r="G4512" s="88">
        <v>2500</v>
      </c>
      <c r="H4512" s="88"/>
      <c r="I4512" s="88">
        <f t="shared" si="407"/>
        <v>6262.3600000000006</v>
      </c>
      <c r="J4512" s="62">
        <f t="shared" si="406"/>
        <v>-2737.6399999999994</v>
      </c>
      <c r="K4512" s="62"/>
      <c r="L4512" s="2">
        <f t="shared" si="408"/>
        <v>10</v>
      </c>
      <c r="M4512">
        <f t="shared" si="409"/>
        <v>0</v>
      </c>
      <c r="O4512" s="62"/>
      <c r="P4512" s="62"/>
    </row>
    <row r="4513" spans="1:16" x14ac:dyDescent="0.3">
      <c r="A4513" s="3">
        <f t="shared" si="383"/>
        <v>45740</v>
      </c>
      <c r="B4513" s="11" t="s">
        <v>7299</v>
      </c>
      <c r="C4513" s="65" t="s">
        <v>7935</v>
      </c>
      <c r="E4513" s="90" t="s">
        <v>2088</v>
      </c>
      <c r="F4513" s="11"/>
      <c r="G4513" s="88"/>
      <c r="H4513" s="88"/>
      <c r="I4513" s="88">
        <f t="shared" si="407"/>
        <v>6262.3600000000006</v>
      </c>
      <c r="J4513" s="62">
        <f t="shared" si="406"/>
        <v>-2737.6399999999994</v>
      </c>
      <c r="K4513" s="62"/>
      <c r="L4513" s="2">
        <f t="shared" si="408"/>
        <v>0</v>
      </c>
      <c r="M4513">
        <f t="shared" si="409"/>
        <v>5</v>
      </c>
      <c r="O4513" s="62"/>
      <c r="P4513" s="62"/>
    </row>
    <row r="4514" spans="1:16" x14ac:dyDescent="0.3">
      <c r="A4514" s="3">
        <f t="shared" si="383"/>
        <v>45740</v>
      </c>
      <c r="B4514" s="11" t="s">
        <v>7299</v>
      </c>
      <c r="C4514" s="65" t="s">
        <v>7935</v>
      </c>
      <c r="F4514" s="11"/>
      <c r="G4514" s="88">
        <v>7500</v>
      </c>
      <c r="H4514" s="88"/>
      <c r="I4514" s="88">
        <f t="shared" si="407"/>
        <v>13762.36</v>
      </c>
      <c r="J4514" s="62">
        <f t="shared" si="406"/>
        <v>4762.3600000000006</v>
      </c>
      <c r="K4514" s="62"/>
      <c r="L4514" s="2">
        <f t="shared" si="408"/>
        <v>20</v>
      </c>
      <c r="M4514">
        <f t="shared" si="409"/>
        <v>0</v>
      </c>
      <c r="O4514" s="62"/>
      <c r="P4514" s="62"/>
    </row>
    <row r="4515" spans="1:16" x14ac:dyDescent="0.3">
      <c r="A4515" s="3">
        <f t="shared" si="383"/>
        <v>45740</v>
      </c>
      <c r="B4515" s="11" t="s">
        <v>7299</v>
      </c>
      <c r="C4515" s="65" t="s">
        <v>7935</v>
      </c>
      <c r="E4515" s="90" t="s">
        <v>2088</v>
      </c>
      <c r="F4515" s="11"/>
      <c r="G4515" s="88"/>
      <c r="H4515" s="88"/>
      <c r="I4515" s="88">
        <f t="shared" si="407"/>
        <v>13762.36</v>
      </c>
      <c r="J4515" s="62">
        <f t="shared" si="406"/>
        <v>4762.3600000000006</v>
      </c>
      <c r="K4515" s="62"/>
      <c r="L4515" s="2">
        <f t="shared" si="408"/>
        <v>0</v>
      </c>
      <c r="M4515">
        <f t="shared" si="409"/>
        <v>5</v>
      </c>
      <c r="O4515" s="62"/>
      <c r="P4515" s="62"/>
    </row>
    <row r="4516" spans="1:16" x14ac:dyDescent="0.3">
      <c r="A4516" s="3">
        <f t="shared" si="383"/>
        <v>45740</v>
      </c>
      <c r="B4516" s="11" t="s">
        <v>6231</v>
      </c>
      <c r="C4516" s="65" t="s">
        <v>6468</v>
      </c>
      <c r="F4516" s="11"/>
      <c r="G4516" s="88">
        <v>1000</v>
      </c>
      <c r="H4516" s="88"/>
      <c r="I4516" s="88">
        <f t="shared" si="407"/>
        <v>14762.36</v>
      </c>
      <c r="J4516" s="62">
        <f t="shared" si="406"/>
        <v>5762.3600000000006</v>
      </c>
      <c r="K4516" s="62"/>
      <c r="L4516" s="2">
        <f t="shared" si="408"/>
        <v>4</v>
      </c>
      <c r="M4516">
        <f t="shared" si="409"/>
        <v>0</v>
      </c>
      <c r="O4516" s="62"/>
      <c r="P4516" s="62"/>
    </row>
    <row r="4517" spans="1:16" x14ac:dyDescent="0.3">
      <c r="A4517" s="3">
        <f t="shared" si="383"/>
        <v>45740</v>
      </c>
      <c r="B4517" s="11" t="s">
        <v>7808</v>
      </c>
      <c r="C4517" s="65" t="s">
        <v>7809</v>
      </c>
      <c r="E4517" s="90" t="s">
        <v>2088</v>
      </c>
      <c r="F4517" s="11"/>
      <c r="G4517" s="88"/>
      <c r="H4517" s="88"/>
      <c r="I4517" s="88">
        <f t="shared" si="407"/>
        <v>14762.36</v>
      </c>
      <c r="J4517" s="62">
        <f t="shared" si="406"/>
        <v>5762.3600000000006</v>
      </c>
      <c r="K4517" s="62"/>
      <c r="L4517" s="2">
        <f t="shared" si="408"/>
        <v>0</v>
      </c>
      <c r="M4517">
        <f t="shared" si="409"/>
        <v>5</v>
      </c>
      <c r="O4517" s="62"/>
      <c r="P4517" s="62"/>
    </row>
    <row r="4518" spans="1:16" x14ac:dyDescent="0.3">
      <c r="A4518" s="3">
        <f t="shared" si="383"/>
        <v>45740</v>
      </c>
      <c r="B4518" s="11" t="s">
        <v>6940</v>
      </c>
      <c r="C4518" s="65" t="s">
        <v>7392</v>
      </c>
      <c r="E4518" s="90" t="s">
        <v>2088</v>
      </c>
      <c r="F4518" s="11"/>
      <c r="G4518" s="88"/>
      <c r="H4518" s="88"/>
      <c r="I4518" s="88">
        <f t="shared" si="407"/>
        <v>14762.36</v>
      </c>
      <c r="J4518" s="62">
        <f t="shared" si="406"/>
        <v>5762.3600000000006</v>
      </c>
      <c r="K4518" s="62"/>
      <c r="L4518" s="2">
        <f t="shared" si="408"/>
        <v>0</v>
      </c>
      <c r="M4518">
        <f t="shared" si="409"/>
        <v>5</v>
      </c>
      <c r="O4518" s="62"/>
      <c r="P4518" s="62"/>
    </row>
    <row r="4519" spans="1:16" x14ac:dyDescent="0.3">
      <c r="A4519" s="3">
        <f t="shared" si="383"/>
        <v>45740</v>
      </c>
      <c r="B4519" s="11" t="s">
        <v>7939</v>
      </c>
      <c r="C4519" s="65" t="s">
        <v>7940</v>
      </c>
      <c r="E4519" s="90" t="s">
        <v>2088</v>
      </c>
      <c r="F4519" s="11"/>
      <c r="G4519" s="88"/>
      <c r="H4519" s="88"/>
      <c r="I4519" s="88">
        <f t="shared" si="407"/>
        <v>14762.36</v>
      </c>
      <c r="J4519" s="62">
        <f t="shared" si="406"/>
        <v>5762.3600000000006</v>
      </c>
      <c r="K4519" s="62"/>
      <c r="L4519" s="2">
        <f t="shared" si="408"/>
        <v>0</v>
      </c>
      <c r="M4519">
        <f t="shared" si="409"/>
        <v>5</v>
      </c>
      <c r="O4519" s="62"/>
      <c r="P4519" s="62"/>
    </row>
    <row r="4520" spans="1:16" x14ac:dyDescent="0.3">
      <c r="A4520" s="3">
        <f t="shared" si="383"/>
        <v>45740</v>
      </c>
      <c r="B4520" s="11" t="s">
        <v>7939</v>
      </c>
      <c r="C4520" s="65" t="s">
        <v>7940</v>
      </c>
      <c r="F4520" s="11"/>
      <c r="G4520" s="88">
        <v>2000</v>
      </c>
      <c r="H4520" s="88"/>
      <c r="I4520" s="88">
        <f t="shared" si="407"/>
        <v>16762.36</v>
      </c>
      <c r="J4520" s="62">
        <f t="shared" si="406"/>
        <v>7762.3600000000006</v>
      </c>
      <c r="K4520" s="62"/>
      <c r="L4520" s="2">
        <f t="shared" si="408"/>
        <v>8</v>
      </c>
      <c r="M4520">
        <f t="shared" si="409"/>
        <v>0</v>
      </c>
      <c r="O4520" s="62"/>
      <c r="P4520" s="62"/>
    </row>
    <row r="4521" spans="1:16" x14ac:dyDescent="0.3">
      <c r="A4521" s="3">
        <f t="shared" si="383"/>
        <v>45740</v>
      </c>
      <c r="B4521" s="11" t="s">
        <v>7942</v>
      </c>
      <c r="C4521" s="65" t="s">
        <v>7943</v>
      </c>
      <c r="E4521" s="90" t="s">
        <v>16</v>
      </c>
      <c r="F4521" s="11"/>
      <c r="G4521" s="88"/>
      <c r="H4521" s="136">
        <v>500</v>
      </c>
      <c r="I4521" s="88">
        <f t="shared" si="407"/>
        <v>16262.36</v>
      </c>
      <c r="J4521" s="62">
        <f t="shared" si="406"/>
        <v>7262.3600000000006</v>
      </c>
      <c r="K4521" s="62"/>
      <c r="L4521" s="2">
        <f t="shared" si="408"/>
        <v>27</v>
      </c>
      <c r="M4521">
        <f t="shared" si="409"/>
        <v>0</v>
      </c>
      <c r="O4521" s="62"/>
      <c r="P4521" s="62"/>
    </row>
    <row r="4522" spans="1:16" x14ac:dyDescent="0.3">
      <c r="A4522" s="3">
        <f t="shared" si="383"/>
        <v>45740</v>
      </c>
      <c r="B4522" s="11" t="s">
        <v>6893</v>
      </c>
      <c r="C4522" s="65" t="s">
        <v>6894</v>
      </c>
      <c r="F4522" s="11"/>
      <c r="G4522" s="88">
        <v>7500</v>
      </c>
      <c r="H4522" s="88"/>
      <c r="I4522" s="88">
        <f t="shared" ref="I4522" si="410">I4521+G4522-H4522</f>
        <v>23762.36</v>
      </c>
      <c r="J4522" s="62">
        <f t="shared" si="406"/>
        <v>14762.36</v>
      </c>
      <c r="K4522" s="62"/>
      <c r="L4522" s="2">
        <f t="shared" ref="L4522:L4532" si="411">IF((G4522+H4522)&lt;=5000,(H4522+G4522)*0.004,20)+IF(E4522="Y",25,0)</f>
        <v>20</v>
      </c>
      <c r="M4522">
        <f t="shared" ref="M4522:M4532" si="412">IF(E4522="p",5,0)</f>
        <v>0</v>
      </c>
      <c r="O4522" s="62"/>
      <c r="P4522" s="62"/>
    </row>
    <row r="4523" spans="1:16" x14ac:dyDescent="0.3">
      <c r="A4523" s="3">
        <f t="shared" si="383"/>
        <v>45740</v>
      </c>
      <c r="B4523" s="11" t="s">
        <v>7947</v>
      </c>
      <c r="C4523" s="65" t="s">
        <v>7948</v>
      </c>
      <c r="E4523" s="90" t="s">
        <v>16</v>
      </c>
      <c r="F4523" s="11"/>
      <c r="G4523" s="88"/>
      <c r="H4523" s="88">
        <v>950</v>
      </c>
      <c r="I4523" s="88">
        <f t="shared" ref="I4523:I4586" si="413">I4522+G4523-H4523</f>
        <v>22812.36</v>
      </c>
      <c r="J4523" s="62">
        <f t="shared" si="406"/>
        <v>13812.36</v>
      </c>
      <c r="K4523" s="62"/>
      <c r="L4523" s="2">
        <f t="shared" si="411"/>
        <v>28.8</v>
      </c>
      <c r="M4523">
        <f t="shared" si="412"/>
        <v>0</v>
      </c>
      <c r="O4523" s="62"/>
      <c r="P4523" s="62"/>
    </row>
    <row r="4524" spans="1:16" x14ac:dyDescent="0.3">
      <c r="A4524" s="3">
        <f t="shared" si="383"/>
        <v>45740</v>
      </c>
      <c r="C4524" s="65" t="s">
        <v>2857</v>
      </c>
      <c r="F4524" s="11"/>
      <c r="G4524" s="88"/>
      <c r="H4524" s="88">
        <v>20000</v>
      </c>
      <c r="I4524" s="88">
        <f t="shared" si="413"/>
        <v>2812.3600000000006</v>
      </c>
      <c r="J4524" s="62">
        <f t="shared" si="406"/>
        <v>-6187.6399999999994</v>
      </c>
      <c r="K4524" s="62"/>
      <c r="L4524" s="2">
        <v>0</v>
      </c>
      <c r="M4524">
        <f t="shared" si="412"/>
        <v>0</v>
      </c>
      <c r="O4524" s="62"/>
      <c r="P4524" s="62"/>
    </row>
    <row r="4525" spans="1:16" x14ac:dyDescent="0.3">
      <c r="A4525" s="3">
        <f t="shared" si="383"/>
        <v>45740</v>
      </c>
      <c r="B4525" s="11" t="s">
        <v>7888</v>
      </c>
      <c r="C4525" s="65" t="s">
        <v>587</v>
      </c>
      <c r="E4525" s="90" t="s">
        <v>16</v>
      </c>
      <c r="F4525" s="11"/>
      <c r="G4525" s="88"/>
      <c r="H4525" s="88"/>
      <c r="I4525" s="88">
        <f t="shared" si="413"/>
        <v>2812.3600000000006</v>
      </c>
      <c r="J4525" s="62">
        <f t="shared" si="406"/>
        <v>-6187.6399999999994</v>
      </c>
      <c r="K4525" s="62"/>
      <c r="L4525" s="2">
        <f t="shared" si="411"/>
        <v>25</v>
      </c>
      <c r="M4525">
        <f t="shared" si="412"/>
        <v>0</v>
      </c>
      <c r="O4525" s="62"/>
      <c r="P4525" s="62"/>
    </row>
    <row r="4526" spans="1:16" x14ac:dyDescent="0.3">
      <c r="A4526" s="3">
        <f t="shared" si="383"/>
        <v>45740</v>
      </c>
      <c r="B4526" s="11" t="s">
        <v>7802</v>
      </c>
      <c r="C4526" s="65" t="s">
        <v>7803</v>
      </c>
      <c r="F4526" s="11"/>
      <c r="G4526" s="88">
        <v>500</v>
      </c>
      <c r="H4526" s="88"/>
      <c r="I4526" s="88">
        <f t="shared" si="413"/>
        <v>3312.3600000000006</v>
      </c>
      <c r="J4526" s="62">
        <f t="shared" si="406"/>
        <v>-5687.6399999999994</v>
      </c>
      <c r="K4526" s="62"/>
      <c r="L4526" s="2">
        <f t="shared" si="411"/>
        <v>2</v>
      </c>
      <c r="M4526">
        <f t="shared" si="412"/>
        <v>0</v>
      </c>
      <c r="O4526" s="62"/>
      <c r="P4526" s="62"/>
    </row>
    <row r="4527" spans="1:16" x14ac:dyDescent="0.3">
      <c r="A4527" s="3">
        <f t="shared" si="383"/>
        <v>45740</v>
      </c>
      <c r="B4527" s="11" t="s">
        <v>7802</v>
      </c>
      <c r="C4527" s="65" t="s">
        <v>7803</v>
      </c>
      <c r="E4527" s="90" t="s">
        <v>2088</v>
      </c>
      <c r="F4527" s="11"/>
      <c r="G4527" s="88"/>
      <c r="H4527" s="88"/>
      <c r="I4527" s="88">
        <f t="shared" si="413"/>
        <v>3312.3600000000006</v>
      </c>
      <c r="J4527" s="62">
        <f t="shared" si="406"/>
        <v>-5687.6399999999994</v>
      </c>
      <c r="K4527" s="62"/>
      <c r="L4527" s="2">
        <f t="shared" si="411"/>
        <v>0</v>
      </c>
      <c r="M4527">
        <f t="shared" si="412"/>
        <v>5</v>
      </c>
      <c r="O4527" s="62"/>
      <c r="P4527" s="62"/>
    </row>
    <row r="4528" spans="1:16" x14ac:dyDescent="0.3">
      <c r="A4528" s="3">
        <f t="shared" si="383"/>
        <v>45740</v>
      </c>
      <c r="B4528" s="11" t="s">
        <v>2594</v>
      </c>
      <c r="C4528" s="65" t="s">
        <v>7951</v>
      </c>
      <c r="F4528" s="11"/>
      <c r="G4528" s="88">
        <v>300</v>
      </c>
      <c r="H4528" s="88"/>
      <c r="I4528" s="88">
        <f t="shared" si="413"/>
        <v>3612.3600000000006</v>
      </c>
      <c r="J4528" s="62">
        <f t="shared" si="406"/>
        <v>-5387.6399999999994</v>
      </c>
      <c r="K4528" s="62"/>
      <c r="L4528" s="2">
        <f t="shared" si="411"/>
        <v>1.2</v>
      </c>
      <c r="M4528">
        <f t="shared" si="412"/>
        <v>0</v>
      </c>
      <c r="O4528" s="62"/>
      <c r="P4528" s="62"/>
    </row>
    <row r="4529" spans="1:16" x14ac:dyDescent="0.3">
      <c r="A4529" s="3">
        <f t="shared" si="383"/>
        <v>45740</v>
      </c>
      <c r="B4529" s="11" t="s">
        <v>3915</v>
      </c>
      <c r="C4529" s="65" t="s">
        <v>5166</v>
      </c>
      <c r="F4529" s="11"/>
      <c r="G4529" s="88">
        <v>5000</v>
      </c>
      <c r="H4529" s="88"/>
      <c r="I4529" s="88">
        <f t="shared" si="413"/>
        <v>8612.36</v>
      </c>
      <c r="J4529" s="62">
        <f t="shared" si="406"/>
        <v>-387.63999999999942</v>
      </c>
      <c r="K4529" s="62"/>
      <c r="L4529" s="2">
        <f t="shared" si="411"/>
        <v>20</v>
      </c>
      <c r="M4529">
        <f t="shared" si="412"/>
        <v>0</v>
      </c>
      <c r="O4529" s="62"/>
      <c r="P4529" s="62"/>
    </row>
    <row r="4530" spans="1:16" x14ac:dyDescent="0.3">
      <c r="A4530" s="3">
        <v>45741</v>
      </c>
      <c r="B4530" s="11" t="s">
        <v>7619</v>
      </c>
      <c r="C4530" s="65" t="s">
        <v>984</v>
      </c>
      <c r="F4530" s="11"/>
      <c r="G4530" s="88">
        <v>3500</v>
      </c>
      <c r="H4530" s="88"/>
      <c r="I4530" s="88">
        <f t="shared" si="413"/>
        <v>12112.36</v>
      </c>
      <c r="J4530" s="62">
        <f t="shared" si="406"/>
        <v>3112.3600000000006</v>
      </c>
      <c r="K4530" s="62"/>
      <c r="L4530" s="2">
        <f t="shared" si="411"/>
        <v>14</v>
      </c>
      <c r="M4530">
        <f t="shared" si="412"/>
        <v>0</v>
      </c>
      <c r="O4530" s="62"/>
      <c r="P4530" s="62"/>
    </row>
    <row r="4531" spans="1:16" x14ac:dyDescent="0.3">
      <c r="A4531" s="3">
        <f t="shared" si="383"/>
        <v>45741</v>
      </c>
      <c r="B4531" s="11" t="s">
        <v>7619</v>
      </c>
      <c r="C4531" s="65" t="s">
        <v>984</v>
      </c>
      <c r="E4531" s="90" t="s">
        <v>2088</v>
      </c>
      <c r="F4531" s="11"/>
      <c r="G4531" s="88"/>
      <c r="H4531" s="88"/>
      <c r="I4531" s="88">
        <f t="shared" si="413"/>
        <v>12112.36</v>
      </c>
      <c r="J4531" s="62">
        <f t="shared" si="406"/>
        <v>3112.3600000000006</v>
      </c>
      <c r="K4531" s="62"/>
      <c r="L4531" s="2">
        <f t="shared" si="411"/>
        <v>0</v>
      </c>
      <c r="M4531">
        <f t="shared" si="412"/>
        <v>5</v>
      </c>
      <c r="O4531" s="62"/>
      <c r="P4531" s="62"/>
    </row>
    <row r="4532" spans="1:16" x14ac:dyDescent="0.3">
      <c r="A4532" s="3">
        <f t="shared" si="383"/>
        <v>45741</v>
      </c>
      <c r="B4532" s="11" t="s">
        <v>7953</v>
      </c>
      <c r="C4532" s="65" t="s">
        <v>7952</v>
      </c>
      <c r="F4532" s="11"/>
      <c r="G4532" s="88"/>
      <c r="H4532" s="88">
        <v>3000</v>
      </c>
      <c r="I4532" s="88">
        <f t="shared" si="413"/>
        <v>9112.36</v>
      </c>
      <c r="J4532" s="62">
        <f t="shared" si="406"/>
        <v>112.36000000000058</v>
      </c>
      <c r="K4532" s="62"/>
      <c r="L4532" s="2">
        <f t="shared" si="411"/>
        <v>12</v>
      </c>
      <c r="M4532">
        <f t="shared" si="412"/>
        <v>0</v>
      </c>
      <c r="O4532" s="62"/>
      <c r="P4532" s="62"/>
    </row>
    <row r="4533" spans="1:16" x14ac:dyDescent="0.3">
      <c r="A4533" s="3">
        <f t="shared" si="383"/>
        <v>45741</v>
      </c>
      <c r="B4533" s="11" t="s">
        <v>7955</v>
      </c>
      <c r="C4533" s="65" t="s">
        <v>7956</v>
      </c>
      <c r="E4533" s="90" t="s">
        <v>16</v>
      </c>
      <c r="F4533" s="11"/>
      <c r="G4533" s="88"/>
      <c r="H4533" s="88">
        <v>500</v>
      </c>
      <c r="I4533" s="88">
        <f t="shared" si="413"/>
        <v>8612.36</v>
      </c>
      <c r="J4533" s="62">
        <f t="shared" si="406"/>
        <v>-387.63999999999942</v>
      </c>
      <c r="K4533" s="62"/>
      <c r="L4533" s="2">
        <f t="shared" ref="L4533:L4551" si="414">IF((G4533+H4533)&lt;=5000,(H4533+G4533)*0.004,20)+IF(E4533="Y",25,0)</f>
        <v>27</v>
      </c>
      <c r="M4533">
        <f t="shared" ref="M4533:M4551" si="415">IF(E4533="p",5,0)</f>
        <v>0</v>
      </c>
      <c r="O4533" s="62"/>
      <c r="P4533" s="62"/>
    </row>
    <row r="4534" spans="1:16" x14ac:dyDescent="0.3">
      <c r="A4534" s="3">
        <f t="shared" si="383"/>
        <v>45741</v>
      </c>
      <c r="B4534" s="11" t="s">
        <v>7312</v>
      </c>
      <c r="C4534" s="65" t="s">
        <v>751</v>
      </c>
      <c r="F4534" s="11"/>
      <c r="G4534" s="88">
        <v>7500</v>
      </c>
      <c r="H4534" s="88"/>
      <c r="I4534" s="88">
        <f t="shared" si="413"/>
        <v>16112.36</v>
      </c>
      <c r="J4534" s="62">
        <f t="shared" si="406"/>
        <v>7112.3600000000006</v>
      </c>
      <c r="K4534" s="62"/>
      <c r="L4534" s="2">
        <f t="shared" si="414"/>
        <v>20</v>
      </c>
      <c r="M4534">
        <f t="shared" si="415"/>
        <v>0</v>
      </c>
      <c r="O4534" s="62"/>
      <c r="P4534" s="62"/>
    </row>
    <row r="4535" spans="1:16" x14ac:dyDescent="0.3">
      <c r="A4535" s="3">
        <f t="shared" si="383"/>
        <v>45741</v>
      </c>
      <c r="B4535" s="11" t="s">
        <v>7312</v>
      </c>
      <c r="C4535" s="65" t="s">
        <v>751</v>
      </c>
      <c r="D4535" s="50">
        <v>9583858473</v>
      </c>
      <c r="E4535" s="90" t="s">
        <v>7772</v>
      </c>
      <c r="F4535" s="11"/>
      <c r="G4535" s="88"/>
      <c r="H4535" s="88"/>
      <c r="I4535" s="88">
        <f t="shared" si="413"/>
        <v>16112.36</v>
      </c>
      <c r="J4535" s="62">
        <f t="shared" si="406"/>
        <v>7112.3600000000006</v>
      </c>
      <c r="K4535" s="62"/>
      <c r="L4535" s="2">
        <f t="shared" si="414"/>
        <v>0</v>
      </c>
      <c r="M4535">
        <f t="shared" si="415"/>
        <v>5</v>
      </c>
      <c r="O4535" s="62"/>
      <c r="P4535" s="62"/>
    </row>
    <row r="4536" spans="1:16" x14ac:dyDescent="0.3">
      <c r="A4536" s="3">
        <f t="shared" si="383"/>
        <v>45741</v>
      </c>
      <c r="B4536" s="11" t="s">
        <v>6260</v>
      </c>
      <c r="C4536" s="65" t="s">
        <v>7117</v>
      </c>
      <c r="F4536" s="11"/>
      <c r="G4536" s="88"/>
      <c r="H4536" s="88">
        <v>5000</v>
      </c>
      <c r="I4536" s="88">
        <f t="shared" si="413"/>
        <v>11112.36</v>
      </c>
      <c r="J4536" s="62">
        <f t="shared" si="406"/>
        <v>2112.3600000000006</v>
      </c>
      <c r="K4536" s="62"/>
      <c r="L4536" s="2">
        <f t="shared" si="414"/>
        <v>20</v>
      </c>
      <c r="M4536">
        <f t="shared" si="415"/>
        <v>0</v>
      </c>
      <c r="O4536" s="62"/>
      <c r="P4536" s="62"/>
    </row>
    <row r="4537" spans="1:16" x14ac:dyDescent="0.3">
      <c r="A4537" s="3">
        <f t="shared" si="383"/>
        <v>45741</v>
      </c>
      <c r="B4537" s="11" t="s">
        <v>1250</v>
      </c>
      <c r="C4537" s="65" t="s">
        <v>6985</v>
      </c>
      <c r="F4537" s="11"/>
      <c r="G4537" s="88">
        <v>2000</v>
      </c>
      <c r="H4537" s="88"/>
      <c r="I4537" s="88">
        <f t="shared" si="413"/>
        <v>13112.36</v>
      </c>
      <c r="J4537" s="62">
        <f t="shared" si="406"/>
        <v>4112.3600000000006</v>
      </c>
      <c r="K4537" s="62"/>
      <c r="L4537" s="2">
        <f t="shared" si="414"/>
        <v>8</v>
      </c>
      <c r="M4537">
        <f t="shared" si="415"/>
        <v>0</v>
      </c>
      <c r="O4537" s="62"/>
      <c r="P4537" s="62"/>
    </row>
    <row r="4538" spans="1:16" x14ac:dyDescent="0.3">
      <c r="A4538" s="3">
        <f t="shared" si="383"/>
        <v>45741</v>
      </c>
      <c r="B4538" s="11" t="s">
        <v>1160</v>
      </c>
      <c r="C4538" s="65" t="s">
        <v>5455</v>
      </c>
      <c r="D4538" s="50">
        <v>7633828175</v>
      </c>
      <c r="F4538" s="11"/>
      <c r="G4538" s="88">
        <v>2400</v>
      </c>
      <c r="H4538" s="88"/>
      <c r="I4538" s="88">
        <f t="shared" si="413"/>
        <v>15512.36</v>
      </c>
      <c r="J4538" s="62">
        <f t="shared" si="406"/>
        <v>6512.3600000000006</v>
      </c>
      <c r="K4538" s="62"/>
      <c r="L4538" s="2">
        <f t="shared" si="414"/>
        <v>9.6</v>
      </c>
      <c r="M4538">
        <f t="shared" si="415"/>
        <v>0</v>
      </c>
      <c r="O4538" s="62"/>
      <c r="P4538" s="62"/>
    </row>
    <row r="4539" spans="1:16" x14ac:dyDescent="0.3">
      <c r="A4539" s="3">
        <f t="shared" si="383"/>
        <v>45741</v>
      </c>
      <c r="B4539" s="11" t="s">
        <v>3524</v>
      </c>
      <c r="C4539" s="65" t="s">
        <v>3088</v>
      </c>
      <c r="F4539" s="11"/>
      <c r="G4539" s="88"/>
      <c r="H4539" s="147">
        <v>10000</v>
      </c>
      <c r="I4539" s="88">
        <f t="shared" si="413"/>
        <v>5512.3600000000006</v>
      </c>
      <c r="J4539" s="62">
        <f t="shared" si="406"/>
        <v>-3487.6399999999994</v>
      </c>
      <c r="K4539" s="62"/>
      <c r="L4539" s="2">
        <f t="shared" si="414"/>
        <v>20</v>
      </c>
      <c r="M4539">
        <f t="shared" si="415"/>
        <v>0</v>
      </c>
      <c r="O4539" s="62"/>
      <c r="P4539" s="62"/>
    </row>
    <row r="4540" spans="1:16" x14ac:dyDescent="0.3">
      <c r="A4540" s="3">
        <f t="shared" si="383"/>
        <v>45741</v>
      </c>
      <c r="B4540" s="11" t="s">
        <v>7923</v>
      </c>
      <c r="C4540" s="65" t="s">
        <v>7925</v>
      </c>
      <c r="E4540" s="90" t="s">
        <v>2088</v>
      </c>
      <c r="F4540" s="11"/>
      <c r="G4540" s="88"/>
      <c r="H4540" s="88"/>
      <c r="I4540" s="88">
        <f t="shared" si="413"/>
        <v>5512.3600000000006</v>
      </c>
      <c r="J4540" s="62">
        <f t="shared" si="406"/>
        <v>-3487.6399999999994</v>
      </c>
      <c r="K4540" s="62"/>
      <c r="L4540" s="2">
        <f t="shared" si="414"/>
        <v>0</v>
      </c>
      <c r="M4540">
        <f t="shared" si="415"/>
        <v>5</v>
      </c>
      <c r="O4540" s="62"/>
      <c r="P4540" s="62"/>
    </row>
    <row r="4541" spans="1:16" x14ac:dyDescent="0.3">
      <c r="A4541" s="3">
        <f t="shared" si="383"/>
        <v>45741</v>
      </c>
      <c r="B4541" s="11" t="s">
        <v>5042</v>
      </c>
      <c r="C4541" s="65" t="s">
        <v>7258</v>
      </c>
      <c r="F4541" s="11"/>
      <c r="G4541" s="88">
        <v>4000</v>
      </c>
      <c r="H4541" s="88"/>
      <c r="I4541" s="88">
        <f t="shared" si="413"/>
        <v>9512.36</v>
      </c>
      <c r="J4541" s="62">
        <f t="shared" si="406"/>
        <v>512.36000000000058</v>
      </c>
      <c r="K4541" s="62"/>
      <c r="L4541" s="2">
        <f t="shared" si="414"/>
        <v>16</v>
      </c>
      <c r="M4541">
        <f t="shared" si="415"/>
        <v>0</v>
      </c>
      <c r="O4541" s="62"/>
      <c r="P4541" s="62"/>
    </row>
    <row r="4542" spans="1:16" x14ac:dyDescent="0.3">
      <c r="A4542" s="3">
        <f t="shared" si="383"/>
        <v>45741</v>
      </c>
      <c r="B4542" s="11" t="s">
        <v>5042</v>
      </c>
      <c r="C4542" s="65" t="s">
        <v>7258</v>
      </c>
      <c r="E4542" s="90" t="s">
        <v>7772</v>
      </c>
      <c r="F4542" s="11"/>
      <c r="G4542" s="88"/>
      <c r="H4542" s="88"/>
      <c r="I4542" s="88">
        <f t="shared" si="413"/>
        <v>9512.36</v>
      </c>
      <c r="J4542" s="62">
        <f t="shared" si="406"/>
        <v>512.36000000000058</v>
      </c>
      <c r="K4542" s="62"/>
      <c r="L4542" s="2">
        <f t="shared" si="414"/>
        <v>0</v>
      </c>
      <c r="M4542">
        <f t="shared" si="415"/>
        <v>5</v>
      </c>
      <c r="O4542" s="62"/>
      <c r="P4542" s="62"/>
    </row>
    <row r="4543" spans="1:16" x14ac:dyDescent="0.3">
      <c r="A4543" s="3">
        <f t="shared" si="383"/>
        <v>45741</v>
      </c>
      <c r="B4543" s="11" t="s">
        <v>7962</v>
      </c>
      <c r="C4543" s="65" t="s">
        <v>7963</v>
      </c>
      <c r="E4543" s="90" t="s">
        <v>16</v>
      </c>
      <c r="F4543" s="11"/>
      <c r="G4543" s="88"/>
      <c r="H4543" s="88">
        <v>1000</v>
      </c>
      <c r="I4543" s="88">
        <f t="shared" si="413"/>
        <v>8512.36</v>
      </c>
      <c r="J4543" s="62">
        <f t="shared" si="406"/>
        <v>-487.63999999999942</v>
      </c>
      <c r="K4543" s="62"/>
      <c r="L4543" s="2">
        <f t="shared" si="414"/>
        <v>29</v>
      </c>
      <c r="M4543">
        <f t="shared" si="415"/>
        <v>0</v>
      </c>
      <c r="O4543" s="62"/>
      <c r="P4543" s="62"/>
    </row>
    <row r="4544" spans="1:16" x14ac:dyDescent="0.3">
      <c r="A4544" s="3">
        <f t="shared" si="383"/>
        <v>45741</v>
      </c>
      <c r="B4544" s="11" t="s">
        <v>7800</v>
      </c>
      <c r="C4544" s="65" t="s">
        <v>7284</v>
      </c>
      <c r="E4544" s="90" t="s">
        <v>2088</v>
      </c>
      <c r="F4544" s="11"/>
      <c r="G4544" s="88"/>
      <c r="H4544" s="88"/>
      <c r="I4544" s="88">
        <f t="shared" si="413"/>
        <v>8512.36</v>
      </c>
      <c r="J4544" s="62">
        <f t="shared" si="406"/>
        <v>-487.63999999999942</v>
      </c>
      <c r="K4544" s="62"/>
      <c r="L4544" s="2">
        <f t="shared" si="414"/>
        <v>0</v>
      </c>
      <c r="M4544">
        <f t="shared" si="415"/>
        <v>5</v>
      </c>
      <c r="O4544" s="62"/>
      <c r="P4544" s="62"/>
    </row>
    <row r="4545" spans="1:16" x14ac:dyDescent="0.3">
      <c r="A4545" s="3">
        <f t="shared" si="383"/>
        <v>45741</v>
      </c>
      <c r="B4545" s="11" t="s">
        <v>7800</v>
      </c>
      <c r="C4545" s="65" t="s">
        <v>7284</v>
      </c>
      <c r="F4545" s="11"/>
      <c r="G4545" s="88">
        <v>10000</v>
      </c>
      <c r="H4545" s="88"/>
      <c r="I4545" s="88">
        <f t="shared" si="413"/>
        <v>18512.36</v>
      </c>
      <c r="J4545" s="62">
        <f t="shared" si="406"/>
        <v>9512.36</v>
      </c>
      <c r="K4545" s="62"/>
      <c r="L4545" s="2">
        <f t="shared" si="414"/>
        <v>20</v>
      </c>
      <c r="M4545">
        <f t="shared" si="415"/>
        <v>0</v>
      </c>
      <c r="O4545" s="62"/>
      <c r="P4545" s="62"/>
    </row>
    <row r="4546" spans="1:16" x14ac:dyDescent="0.3">
      <c r="A4546" s="3">
        <f t="shared" si="383"/>
        <v>45741</v>
      </c>
      <c r="B4546" s="11" t="s">
        <v>7800</v>
      </c>
      <c r="C4546" s="65" t="s">
        <v>7284</v>
      </c>
      <c r="E4546" s="90" t="s">
        <v>2088</v>
      </c>
      <c r="F4546" s="11"/>
      <c r="G4546" s="88"/>
      <c r="H4546" s="88"/>
      <c r="I4546" s="88">
        <f t="shared" si="413"/>
        <v>18512.36</v>
      </c>
      <c r="J4546" s="62">
        <f t="shared" si="406"/>
        <v>9512.36</v>
      </c>
      <c r="K4546" s="62"/>
      <c r="L4546" s="2">
        <f t="shared" si="414"/>
        <v>0</v>
      </c>
      <c r="M4546">
        <f t="shared" si="415"/>
        <v>5</v>
      </c>
      <c r="O4546" s="62"/>
      <c r="P4546" s="62"/>
    </row>
    <row r="4547" spans="1:16" x14ac:dyDescent="0.3">
      <c r="A4547" s="3">
        <f t="shared" si="383"/>
        <v>45741</v>
      </c>
      <c r="B4547" s="11" t="s">
        <v>7310</v>
      </c>
      <c r="C4547" s="65" t="s">
        <v>7311</v>
      </c>
      <c r="E4547" s="90" t="s">
        <v>2088</v>
      </c>
      <c r="F4547" s="11"/>
      <c r="G4547" s="88"/>
      <c r="H4547" s="88"/>
      <c r="I4547" s="88">
        <f t="shared" si="413"/>
        <v>18512.36</v>
      </c>
      <c r="J4547" s="62">
        <f t="shared" si="406"/>
        <v>9512.36</v>
      </c>
      <c r="K4547" s="62"/>
      <c r="L4547" s="2">
        <f t="shared" si="414"/>
        <v>0</v>
      </c>
      <c r="M4547">
        <f t="shared" si="415"/>
        <v>5</v>
      </c>
      <c r="O4547" s="62"/>
      <c r="P4547" s="62"/>
    </row>
    <row r="4548" spans="1:16" x14ac:dyDescent="0.3">
      <c r="A4548" s="3">
        <v>45742</v>
      </c>
      <c r="B4548" s="11" t="s">
        <v>7947</v>
      </c>
      <c r="C4548" s="65" t="s">
        <v>7948</v>
      </c>
      <c r="E4548" s="90" t="s">
        <v>2088</v>
      </c>
      <c r="F4548" s="11"/>
      <c r="G4548" s="88"/>
      <c r="H4548" s="88"/>
      <c r="I4548" s="88">
        <f t="shared" si="413"/>
        <v>18512.36</v>
      </c>
      <c r="J4548" s="62">
        <f t="shared" si="406"/>
        <v>9512.36</v>
      </c>
      <c r="K4548" s="62"/>
      <c r="L4548" s="2">
        <f t="shared" si="414"/>
        <v>0</v>
      </c>
      <c r="M4548">
        <f t="shared" si="415"/>
        <v>5</v>
      </c>
      <c r="O4548" s="62"/>
      <c r="P4548" s="62"/>
    </row>
    <row r="4549" spans="1:16" x14ac:dyDescent="0.3">
      <c r="A4549" s="3">
        <f t="shared" si="383"/>
        <v>45742</v>
      </c>
      <c r="B4549" s="11" t="s">
        <v>7947</v>
      </c>
      <c r="C4549" s="65" t="s">
        <v>7948</v>
      </c>
      <c r="F4549" s="11"/>
      <c r="G4549" s="88"/>
      <c r="H4549" s="88">
        <v>4500</v>
      </c>
      <c r="I4549" s="88">
        <f t="shared" si="413"/>
        <v>14012.36</v>
      </c>
      <c r="J4549" s="62">
        <f t="shared" si="406"/>
        <v>5012.3600000000006</v>
      </c>
      <c r="K4549" s="62"/>
      <c r="L4549" s="2">
        <f t="shared" si="414"/>
        <v>18</v>
      </c>
      <c r="M4549">
        <f t="shared" si="415"/>
        <v>0</v>
      </c>
      <c r="O4549" s="62"/>
      <c r="P4549" s="62"/>
    </row>
    <row r="4550" spans="1:16" x14ac:dyDescent="0.3">
      <c r="A4550" s="3">
        <f t="shared" si="383"/>
        <v>45742</v>
      </c>
      <c r="B4550" s="11" t="s">
        <v>7947</v>
      </c>
      <c r="C4550" s="65" t="s">
        <v>7948</v>
      </c>
      <c r="E4550" s="90" t="s">
        <v>2088</v>
      </c>
      <c r="F4550" s="11"/>
      <c r="G4550" s="88"/>
      <c r="H4550" s="88"/>
      <c r="I4550" s="88">
        <f t="shared" si="413"/>
        <v>14012.36</v>
      </c>
      <c r="J4550" s="62">
        <f t="shared" si="406"/>
        <v>5012.3600000000006</v>
      </c>
      <c r="K4550" s="62"/>
      <c r="L4550" s="2">
        <f t="shared" si="414"/>
        <v>0</v>
      </c>
      <c r="M4550">
        <f t="shared" si="415"/>
        <v>5</v>
      </c>
      <c r="O4550" s="62"/>
      <c r="P4550" s="62"/>
    </row>
    <row r="4551" spans="1:16" x14ac:dyDescent="0.3">
      <c r="A4551" s="3">
        <f t="shared" si="383"/>
        <v>45742</v>
      </c>
      <c r="B4551" s="11" t="s">
        <v>7266</v>
      </c>
      <c r="C4551" s="65" t="s">
        <v>7267</v>
      </c>
      <c r="E4551" s="90" t="s">
        <v>2088</v>
      </c>
      <c r="F4551" s="11"/>
      <c r="G4551" s="88"/>
      <c r="H4551" s="88"/>
      <c r="I4551" s="88">
        <f t="shared" si="413"/>
        <v>14012.36</v>
      </c>
      <c r="J4551" s="62">
        <f t="shared" si="406"/>
        <v>5012.3600000000006</v>
      </c>
      <c r="K4551" s="62"/>
      <c r="L4551" s="2">
        <f t="shared" si="414"/>
        <v>0</v>
      </c>
      <c r="M4551">
        <f t="shared" si="415"/>
        <v>5</v>
      </c>
      <c r="O4551" s="62"/>
      <c r="P4551" s="62"/>
    </row>
    <row r="4552" spans="1:16" x14ac:dyDescent="0.3">
      <c r="A4552" s="3">
        <f t="shared" si="383"/>
        <v>45742</v>
      </c>
      <c r="B4552" s="11" t="s">
        <v>6231</v>
      </c>
      <c r="C4552" s="65" t="s">
        <v>6468</v>
      </c>
      <c r="F4552" s="11"/>
      <c r="G4552" s="88">
        <v>800</v>
      </c>
      <c r="H4552" s="88"/>
      <c r="I4552" s="88">
        <f t="shared" si="413"/>
        <v>14812.36</v>
      </c>
      <c r="J4552" s="62">
        <f t="shared" si="406"/>
        <v>5812.3600000000006</v>
      </c>
      <c r="K4552" s="62"/>
      <c r="L4552" s="2">
        <f t="shared" ref="L4552:L4570" si="416">IF((G4552+H4552)&lt;=5000,(H4552+G4552)*0.004,20)+IF(E4552="Y",25,0)</f>
        <v>3.2</v>
      </c>
      <c r="M4552">
        <f t="shared" ref="M4552:M4570" si="417">IF(E4552="p",5,0)</f>
        <v>0</v>
      </c>
      <c r="O4552" s="62"/>
      <c r="P4552" s="62"/>
    </row>
    <row r="4553" spans="1:16" x14ac:dyDescent="0.3">
      <c r="A4553" s="3">
        <f t="shared" si="383"/>
        <v>45742</v>
      </c>
      <c r="B4553" s="11" t="s">
        <v>5467</v>
      </c>
      <c r="C4553" s="65" t="s">
        <v>7973</v>
      </c>
      <c r="F4553" s="11"/>
      <c r="G4553" s="88"/>
      <c r="H4553" s="88">
        <v>1500</v>
      </c>
      <c r="I4553" s="88">
        <f t="shared" si="413"/>
        <v>13312.36</v>
      </c>
      <c r="J4553" s="62">
        <f t="shared" si="406"/>
        <v>4312.3600000000006</v>
      </c>
      <c r="K4553" s="62"/>
      <c r="L4553" s="2">
        <f t="shared" si="416"/>
        <v>6</v>
      </c>
      <c r="M4553">
        <f t="shared" si="417"/>
        <v>0</v>
      </c>
      <c r="O4553" s="62"/>
      <c r="P4553" s="62"/>
    </row>
    <row r="4554" spans="1:16" x14ac:dyDescent="0.3">
      <c r="A4554" s="3">
        <f t="shared" si="383"/>
        <v>45742</v>
      </c>
      <c r="B4554" s="11" t="s">
        <v>7968</v>
      </c>
      <c r="C4554" s="65" t="s">
        <v>7970</v>
      </c>
      <c r="E4554" s="90" t="s">
        <v>16</v>
      </c>
      <c r="F4554" s="11"/>
      <c r="G4554" s="88"/>
      <c r="H4554" s="88">
        <v>750</v>
      </c>
      <c r="I4554" s="88">
        <f t="shared" si="413"/>
        <v>12562.36</v>
      </c>
      <c r="J4554" s="62">
        <f t="shared" si="406"/>
        <v>3562.3600000000006</v>
      </c>
      <c r="K4554" s="62"/>
      <c r="L4554" s="2">
        <f t="shared" si="416"/>
        <v>28</v>
      </c>
      <c r="M4554">
        <f t="shared" si="417"/>
        <v>0</v>
      </c>
      <c r="O4554" s="62"/>
      <c r="P4554" s="62"/>
    </row>
    <row r="4555" spans="1:16" x14ac:dyDescent="0.3">
      <c r="A4555" s="3">
        <f t="shared" si="383"/>
        <v>45742</v>
      </c>
      <c r="B4555" s="11" t="s">
        <v>7969</v>
      </c>
      <c r="C4555" s="65" t="s">
        <v>7971</v>
      </c>
      <c r="E4555" s="90" t="s">
        <v>16</v>
      </c>
      <c r="F4555" s="11"/>
      <c r="G4555" s="88"/>
      <c r="H4555" s="88">
        <v>750</v>
      </c>
      <c r="I4555" s="88">
        <f t="shared" si="413"/>
        <v>11812.36</v>
      </c>
      <c r="J4555" s="62">
        <f t="shared" si="406"/>
        <v>2812.3600000000006</v>
      </c>
      <c r="K4555" s="62"/>
      <c r="L4555" s="2">
        <f t="shared" si="416"/>
        <v>28</v>
      </c>
      <c r="M4555">
        <f t="shared" si="417"/>
        <v>0</v>
      </c>
      <c r="O4555" s="62"/>
      <c r="P4555" s="62"/>
    </row>
    <row r="4556" spans="1:16" x14ac:dyDescent="0.3">
      <c r="A4556" s="3">
        <f t="shared" si="383"/>
        <v>45742</v>
      </c>
      <c r="B4556" s="11" t="s">
        <v>6260</v>
      </c>
      <c r="C4556" s="65" t="s">
        <v>7117</v>
      </c>
      <c r="F4556" s="11"/>
      <c r="G4556" s="88"/>
      <c r="H4556" s="88">
        <v>4500</v>
      </c>
      <c r="I4556" s="88">
        <f t="shared" si="413"/>
        <v>7312.3600000000006</v>
      </c>
      <c r="J4556" s="62">
        <f t="shared" si="406"/>
        <v>-1687.6399999999994</v>
      </c>
      <c r="K4556" s="62"/>
      <c r="L4556" s="2">
        <f t="shared" si="416"/>
        <v>18</v>
      </c>
      <c r="M4556">
        <f t="shared" si="417"/>
        <v>0</v>
      </c>
      <c r="O4556" s="62"/>
      <c r="P4556" s="62"/>
    </row>
    <row r="4557" spans="1:16" x14ac:dyDescent="0.3">
      <c r="A4557" s="3">
        <f t="shared" si="383"/>
        <v>45742</v>
      </c>
      <c r="B4557" s="11" t="s">
        <v>6369</v>
      </c>
      <c r="C4557" s="65" t="s">
        <v>7569</v>
      </c>
      <c r="F4557" s="11"/>
      <c r="G4557" s="88">
        <v>700</v>
      </c>
      <c r="H4557" s="88"/>
      <c r="I4557" s="88">
        <f t="shared" si="413"/>
        <v>8012.3600000000006</v>
      </c>
      <c r="J4557" s="62">
        <f t="shared" si="406"/>
        <v>-987.63999999999942</v>
      </c>
      <c r="K4557" s="62"/>
      <c r="L4557" s="2">
        <f t="shared" si="416"/>
        <v>2.8000000000000003</v>
      </c>
      <c r="M4557">
        <f t="shared" si="417"/>
        <v>0</v>
      </c>
      <c r="O4557" s="62"/>
      <c r="P4557" s="62"/>
    </row>
    <row r="4558" spans="1:16" x14ac:dyDescent="0.3">
      <c r="A4558" s="3">
        <f t="shared" si="383"/>
        <v>45742</v>
      </c>
      <c r="B4558" s="11" t="s">
        <v>6369</v>
      </c>
      <c r="C4558" s="65" t="s">
        <v>7569</v>
      </c>
      <c r="E4558" s="90" t="s">
        <v>2088</v>
      </c>
      <c r="F4558" s="11"/>
      <c r="G4558" s="88"/>
      <c r="H4558" s="88"/>
      <c r="I4558" s="88">
        <f t="shared" si="413"/>
        <v>8012.3600000000006</v>
      </c>
      <c r="J4558" s="62">
        <f t="shared" si="406"/>
        <v>-987.63999999999942</v>
      </c>
      <c r="K4558" s="62"/>
      <c r="L4558" s="2">
        <f t="shared" si="416"/>
        <v>0</v>
      </c>
      <c r="M4558">
        <f t="shared" si="417"/>
        <v>5</v>
      </c>
      <c r="O4558" s="62"/>
      <c r="P4558" s="62"/>
    </row>
    <row r="4559" spans="1:16" x14ac:dyDescent="0.3">
      <c r="A4559" s="3">
        <f t="shared" si="383"/>
        <v>45742</v>
      </c>
      <c r="B4559" s="11" t="s">
        <v>7975</v>
      </c>
      <c r="C4559" s="65" t="s">
        <v>7976</v>
      </c>
      <c r="E4559" s="90" t="s">
        <v>16</v>
      </c>
      <c r="F4559" s="11"/>
      <c r="G4559" s="88"/>
      <c r="H4559" s="88">
        <v>500</v>
      </c>
      <c r="I4559" s="88">
        <f t="shared" si="413"/>
        <v>7512.3600000000006</v>
      </c>
      <c r="J4559" s="62">
        <f t="shared" si="406"/>
        <v>-1487.6399999999994</v>
      </c>
      <c r="K4559" s="62"/>
      <c r="L4559" s="2">
        <f t="shared" si="416"/>
        <v>27</v>
      </c>
      <c r="M4559">
        <f t="shared" si="417"/>
        <v>0</v>
      </c>
      <c r="O4559" s="62"/>
      <c r="P4559" s="62"/>
    </row>
    <row r="4560" spans="1:16" x14ac:dyDescent="0.3">
      <c r="A4560" s="3">
        <f t="shared" si="383"/>
        <v>45742</v>
      </c>
      <c r="B4560" s="11" t="s">
        <v>1472</v>
      </c>
      <c r="C4560" s="65" t="s">
        <v>7919</v>
      </c>
      <c r="F4560" s="11"/>
      <c r="G4560" s="88">
        <v>2000</v>
      </c>
      <c r="H4560" s="88"/>
      <c r="I4560" s="88">
        <f t="shared" si="413"/>
        <v>9512.36</v>
      </c>
      <c r="J4560" s="62">
        <f t="shared" si="406"/>
        <v>512.36000000000058</v>
      </c>
      <c r="K4560" s="62"/>
      <c r="L4560" s="2">
        <f t="shared" si="416"/>
        <v>8</v>
      </c>
      <c r="M4560">
        <f t="shared" si="417"/>
        <v>0</v>
      </c>
      <c r="O4560" s="62"/>
      <c r="P4560" s="62"/>
    </row>
    <row r="4561" spans="1:16" x14ac:dyDescent="0.3">
      <c r="A4561" s="3">
        <f t="shared" si="383"/>
        <v>45742</v>
      </c>
      <c r="B4561" s="11" t="s">
        <v>5312</v>
      </c>
      <c r="C4561" s="65" t="s">
        <v>7810</v>
      </c>
      <c r="F4561" s="11"/>
      <c r="G4561" s="88">
        <v>5300</v>
      </c>
      <c r="H4561" s="88"/>
      <c r="I4561" s="88">
        <f t="shared" si="413"/>
        <v>14812.36</v>
      </c>
      <c r="J4561" s="62">
        <f t="shared" ref="J4561:J4607" si="418">I4561-9000</f>
        <v>5812.3600000000006</v>
      </c>
      <c r="K4561" s="62"/>
      <c r="L4561" s="2">
        <f t="shared" si="416"/>
        <v>20</v>
      </c>
      <c r="M4561">
        <f t="shared" si="417"/>
        <v>0</v>
      </c>
      <c r="O4561" s="62"/>
      <c r="P4561" s="62"/>
    </row>
    <row r="4562" spans="1:16" x14ac:dyDescent="0.3">
      <c r="A4562" s="3">
        <f t="shared" si="383"/>
        <v>45742</v>
      </c>
      <c r="B4562" s="11" t="s">
        <v>1160</v>
      </c>
      <c r="C4562" s="65" t="s">
        <v>3701</v>
      </c>
      <c r="F4562" s="11"/>
      <c r="G4562" s="88">
        <v>700</v>
      </c>
      <c r="H4562" s="88"/>
      <c r="I4562" s="88">
        <f t="shared" si="413"/>
        <v>15512.36</v>
      </c>
      <c r="J4562" s="62">
        <f t="shared" si="418"/>
        <v>6512.3600000000006</v>
      </c>
      <c r="K4562" s="62"/>
      <c r="L4562" s="2">
        <f t="shared" si="416"/>
        <v>2.8000000000000003</v>
      </c>
      <c r="M4562">
        <f t="shared" si="417"/>
        <v>0</v>
      </c>
      <c r="O4562" s="62"/>
      <c r="P4562" s="62"/>
    </row>
    <row r="4563" spans="1:16" x14ac:dyDescent="0.3">
      <c r="A4563" s="3">
        <f t="shared" si="383"/>
        <v>45742</v>
      </c>
      <c r="B4563" s="11" t="s">
        <v>2448</v>
      </c>
      <c r="C4563" s="65" t="s">
        <v>2289</v>
      </c>
      <c r="F4563" s="11"/>
      <c r="G4563" s="88"/>
      <c r="H4563" s="88">
        <v>5000</v>
      </c>
      <c r="I4563" s="88">
        <f t="shared" si="413"/>
        <v>10512.36</v>
      </c>
      <c r="J4563" s="62">
        <f t="shared" si="418"/>
        <v>1512.3600000000006</v>
      </c>
      <c r="K4563" s="62"/>
      <c r="L4563" s="2">
        <f t="shared" si="416"/>
        <v>20</v>
      </c>
      <c r="M4563">
        <f t="shared" si="417"/>
        <v>0</v>
      </c>
      <c r="O4563" s="62"/>
      <c r="P4563" s="62"/>
    </row>
    <row r="4564" spans="1:16" x14ac:dyDescent="0.3">
      <c r="A4564" s="3">
        <f t="shared" si="383"/>
        <v>45742</v>
      </c>
      <c r="B4564" s="11" t="s">
        <v>3543</v>
      </c>
      <c r="C4564" s="65" t="s">
        <v>3670</v>
      </c>
      <c r="F4564" s="11"/>
      <c r="G4564" s="88">
        <v>2000</v>
      </c>
      <c r="H4564" s="88"/>
      <c r="I4564" s="88">
        <f t="shared" si="413"/>
        <v>12512.36</v>
      </c>
      <c r="J4564" s="62">
        <f t="shared" si="418"/>
        <v>3512.3600000000006</v>
      </c>
      <c r="K4564" s="62"/>
      <c r="L4564" s="2">
        <f t="shared" si="416"/>
        <v>8</v>
      </c>
      <c r="M4564">
        <f t="shared" si="417"/>
        <v>0</v>
      </c>
      <c r="O4564" s="62"/>
      <c r="P4564" s="62"/>
    </row>
    <row r="4565" spans="1:16" x14ac:dyDescent="0.3">
      <c r="A4565" s="3">
        <f t="shared" si="383"/>
        <v>45742</v>
      </c>
      <c r="B4565" s="11" t="s">
        <v>7969</v>
      </c>
      <c r="C4565" s="65" t="s">
        <v>7982</v>
      </c>
      <c r="E4565" s="90" t="s">
        <v>2088</v>
      </c>
      <c r="F4565" s="11"/>
      <c r="G4565" s="88"/>
      <c r="H4565" s="88"/>
      <c r="I4565" s="88">
        <f t="shared" si="413"/>
        <v>12512.36</v>
      </c>
      <c r="J4565" s="62">
        <f t="shared" si="418"/>
        <v>3512.3600000000006</v>
      </c>
      <c r="K4565" s="62"/>
      <c r="L4565" s="2">
        <f t="shared" si="416"/>
        <v>0</v>
      </c>
      <c r="M4565">
        <f t="shared" si="417"/>
        <v>5</v>
      </c>
      <c r="O4565" s="62"/>
      <c r="P4565" s="62"/>
    </row>
    <row r="4566" spans="1:16" x14ac:dyDescent="0.3">
      <c r="A4566" s="3">
        <f t="shared" si="383"/>
        <v>45742</v>
      </c>
      <c r="B4566" s="11" t="s">
        <v>7983</v>
      </c>
      <c r="C4566" s="65" t="s">
        <v>7984</v>
      </c>
      <c r="E4566" s="90" t="s">
        <v>2088</v>
      </c>
      <c r="F4566" s="11"/>
      <c r="G4566" s="88"/>
      <c r="H4566" s="88"/>
      <c r="I4566" s="88">
        <f t="shared" si="413"/>
        <v>12512.36</v>
      </c>
      <c r="J4566" s="62">
        <f t="shared" si="418"/>
        <v>3512.3600000000006</v>
      </c>
      <c r="K4566" s="62"/>
      <c r="L4566" s="2">
        <f t="shared" si="416"/>
        <v>0</v>
      </c>
      <c r="M4566">
        <f t="shared" si="417"/>
        <v>5</v>
      </c>
      <c r="O4566" s="62"/>
      <c r="P4566" s="62"/>
    </row>
    <row r="4567" spans="1:16" x14ac:dyDescent="0.3">
      <c r="A4567" s="3">
        <f t="shared" si="383"/>
        <v>45742</v>
      </c>
      <c r="B4567" s="11" t="s">
        <v>7985</v>
      </c>
      <c r="C4567" s="65" t="s">
        <v>7986</v>
      </c>
      <c r="F4567" s="11"/>
      <c r="G4567" s="88">
        <v>5000</v>
      </c>
      <c r="H4567" s="88"/>
      <c r="I4567" s="88">
        <f t="shared" si="413"/>
        <v>17512.36</v>
      </c>
      <c r="J4567" s="62">
        <f t="shared" si="418"/>
        <v>8512.36</v>
      </c>
      <c r="K4567" s="62"/>
      <c r="L4567" s="2">
        <f t="shared" si="416"/>
        <v>20</v>
      </c>
      <c r="M4567">
        <f t="shared" si="417"/>
        <v>0</v>
      </c>
      <c r="O4567" s="62"/>
      <c r="P4567" s="62"/>
    </row>
    <row r="4568" spans="1:16" x14ac:dyDescent="0.3">
      <c r="A4568" s="3">
        <f t="shared" si="383"/>
        <v>45742</v>
      </c>
      <c r="B4568" s="11" t="s">
        <v>7985</v>
      </c>
      <c r="C4568" s="65" t="s">
        <v>7986</v>
      </c>
      <c r="E4568" s="90" t="s">
        <v>2088</v>
      </c>
      <c r="F4568" s="11"/>
      <c r="G4568" s="88"/>
      <c r="H4568" s="88"/>
      <c r="I4568" s="88">
        <f t="shared" si="413"/>
        <v>17512.36</v>
      </c>
      <c r="J4568" s="62">
        <f t="shared" si="418"/>
        <v>8512.36</v>
      </c>
      <c r="K4568" s="62"/>
      <c r="L4568" s="2">
        <f t="shared" si="416"/>
        <v>0</v>
      </c>
      <c r="M4568">
        <f t="shared" si="417"/>
        <v>5</v>
      </c>
      <c r="O4568" s="62"/>
      <c r="P4568" s="62"/>
    </row>
    <row r="4569" spans="1:16" x14ac:dyDescent="0.3">
      <c r="A4569" s="3">
        <v>45743</v>
      </c>
      <c r="B4569" s="11" t="s">
        <v>6428</v>
      </c>
      <c r="C4569" s="65" t="s">
        <v>7606</v>
      </c>
      <c r="F4569" s="11"/>
      <c r="G4569" s="88">
        <v>2000</v>
      </c>
      <c r="H4569" s="88"/>
      <c r="I4569" s="88">
        <f t="shared" si="413"/>
        <v>19512.36</v>
      </c>
      <c r="J4569" s="62">
        <f t="shared" si="418"/>
        <v>10512.36</v>
      </c>
      <c r="K4569" s="62"/>
      <c r="L4569" s="2">
        <f t="shared" si="416"/>
        <v>8</v>
      </c>
      <c r="M4569">
        <f t="shared" si="417"/>
        <v>0</v>
      </c>
      <c r="O4569" s="62"/>
      <c r="P4569" s="62"/>
    </row>
    <row r="4570" spans="1:16" x14ac:dyDescent="0.3">
      <c r="A4570" s="3">
        <f t="shared" si="383"/>
        <v>45743</v>
      </c>
      <c r="B4570" s="11" t="s">
        <v>1160</v>
      </c>
      <c r="C4570" s="65" t="s">
        <v>7268</v>
      </c>
      <c r="F4570" s="11"/>
      <c r="G4570" s="88"/>
      <c r="H4570" s="88">
        <v>900</v>
      </c>
      <c r="I4570" s="88">
        <f t="shared" si="413"/>
        <v>18612.36</v>
      </c>
      <c r="J4570" s="62">
        <f t="shared" si="418"/>
        <v>9612.36</v>
      </c>
      <c r="K4570" s="62"/>
      <c r="L4570" s="2">
        <f t="shared" si="416"/>
        <v>3.6</v>
      </c>
      <c r="M4570">
        <f t="shared" si="417"/>
        <v>0</v>
      </c>
      <c r="O4570" s="62"/>
      <c r="P4570" s="62"/>
    </row>
    <row r="4571" spans="1:16" x14ac:dyDescent="0.3">
      <c r="A4571" s="3">
        <f t="shared" si="383"/>
        <v>45743</v>
      </c>
      <c r="B4571" s="11" t="s">
        <v>6459</v>
      </c>
      <c r="C4571" s="65" t="s">
        <v>7528</v>
      </c>
      <c r="F4571" s="11"/>
      <c r="G4571" s="88"/>
      <c r="H4571" s="88">
        <v>2500</v>
      </c>
      <c r="I4571" s="88">
        <f t="shared" si="413"/>
        <v>16112.36</v>
      </c>
      <c r="J4571" s="62">
        <f t="shared" si="418"/>
        <v>7112.3600000000006</v>
      </c>
      <c r="K4571" s="62"/>
      <c r="L4571" s="2">
        <f t="shared" ref="L4571:L4581" si="419">IF((G4571+H4571)&lt;=5000,(H4571+G4571)*0.004,20)+IF(E4571="Y",25,0)</f>
        <v>10</v>
      </c>
      <c r="M4571">
        <f t="shared" ref="M4571:M4581" si="420">IF(E4571="p",5,0)</f>
        <v>0</v>
      </c>
      <c r="O4571" s="62"/>
      <c r="P4571" s="62"/>
    </row>
    <row r="4572" spans="1:16" x14ac:dyDescent="0.3">
      <c r="A4572" s="3">
        <f t="shared" si="383"/>
        <v>45743</v>
      </c>
      <c r="B4572" s="11" t="s">
        <v>3524</v>
      </c>
      <c r="C4572" s="65" t="s">
        <v>3088</v>
      </c>
      <c r="E4572" s="90" t="s">
        <v>2088</v>
      </c>
      <c r="F4572" s="11"/>
      <c r="G4572" s="88"/>
      <c r="H4572" s="88"/>
      <c r="I4572" s="88">
        <f t="shared" si="413"/>
        <v>16112.36</v>
      </c>
      <c r="J4572" s="62">
        <f t="shared" si="418"/>
        <v>7112.3600000000006</v>
      </c>
      <c r="K4572" s="62"/>
      <c r="L4572" s="2">
        <f t="shared" si="419"/>
        <v>0</v>
      </c>
      <c r="M4572">
        <f t="shared" si="420"/>
        <v>5</v>
      </c>
      <c r="O4572" s="62"/>
      <c r="P4572" s="62"/>
    </row>
    <row r="4573" spans="1:16" x14ac:dyDescent="0.3">
      <c r="A4573" s="3">
        <f t="shared" si="383"/>
        <v>45743</v>
      </c>
      <c r="B4573" s="11" t="s">
        <v>6522</v>
      </c>
      <c r="C4573" s="161" t="s">
        <v>7987</v>
      </c>
      <c r="D4573" s="132"/>
      <c r="E4573" s="127"/>
      <c r="F4573" s="149"/>
      <c r="G4573" s="136">
        <v>1400</v>
      </c>
      <c r="H4573" s="88"/>
      <c r="I4573" s="88">
        <f t="shared" si="413"/>
        <v>17512.36</v>
      </c>
      <c r="J4573" s="62">
        <f t="shared" si="418"/>
        <v>8512.36</v>
      </c>
      <c r="K4573" s="62"/>
      <c r="L4573" s="2">
        <f t="shared" si="419"/>
        <v>5.6000000000000005</v>
      </c>
      <c r="M4573">
        <f t="shared" si="420"/>
        <v>0</v>
      </c>
      <c r="O4573" s="62"/>
      <c r="P4573" s="62"/>
    </row>
    <row r="4574" spans="1:16" x14ac:dyDescent="0.3">
      <c r="A4574" s="3">
        <f t="shared" si="383"/>
        <v>45743</v>
      </c>
      <c r="B4574" s="11" t="s">
        <v>5186</v>
      </c>
      <c r="C4574" s="65" t="s">
        <v>5189</v>
      </c>
      <c r="F4574" s="11"/>
      <c r="G4574" s="88">
        <v>5000</v>
      </c>
      <c r="H4574" s="88"/>
      <c r="I4574" s="88">
        <f t="shared" si="413"/>
        <v>22512.36</v>
      </c>
      <c r="J4574" s="62">
        <f t="shared" si="418"/>
        <v>13512.36</v>
      </c>
      <c r="K4574" s="62"/>
      <c r="L4574" s="2">
        <f t="shared" si="419"/>
        <v>20</v>
      </c>
      <c r="M4574">
        <f t="shared" si="420"/>
        <v>0</v>
      </c>
      <c r="O4574" s="62"/>
      <c r="P4574" s="62"/>
    </row>
    <row r="4575" spans="1:16" x14ac:dyDescent="0.3">
      <c r="A4575" s="3">
        <f t="shared" si="383"/>
        <v>45743</v>
      </c>
      <c r="B4575" s="11" t="s">
        <v>5186</v>
      </c>
      <c r="C4575" s="65" t="s">
        <v>5189</v>
      </c>
      <c r="E4575" s="90" t="s">
        <v>2088</v>
      </c>
      <c r="F4575" s="11"/>
      <c r="G4575" s="88"/>
      <c r="H4575" s="88"/>
      <c r="I4575" s="88">
        <f t="shared" si="413"/>
        <v>22512.36</v>
      </c>
      <c r="J4575" s="62">
        <f t="shared" si="418"/>
        <v>13512.36</v>
      </c>
      <c r="K4575" s="62"/>
      <c r="L4575" s="2">
        <f t="shared" si="419"/>
        <v>0</v>
      </c>
      <c r="M4575">
        <f t="shared" si="420"/>
        <v>5</v>
      </c>
      <c r="O4575" s="62"/>
      <c r="P4575" s="62"/>
    </row>
    <row r="4576" spans="1:16" x14ac:dyDescent="0.3">
      <c r="A4576" s="3">
        <f t="shared" si="383"/>
        <v>45743</v>
      </c>
      <c r="B4576" s="11" t="s">
        <v>3524</v>
      </c>
      <c r="C4576" s="65" t="s">
        <v>3088</v>
      </c>
      <c r="F4576" s="11"/>
      <c r="G4576" s="88"/>
      <c r="H4576" s="147">
        <v>10000</v>
      </c>
      <c r="I4576" s="88">
        <f t="shared" si="413"/>
        <v>12512.36</v>
      </c>
      <c r="J4576" s="62">
        <f t="shared" si="418"/>
        <v>3512.3600000000006</v>
      </c>
      <c r="K4576" s="62"/>
      <c r="L4576" s="2">
        <f t="shared" si="419"/>
        <v>20</v>
      </c>
      <c r="M4576">
        <f t="shared" si="420"/>
        <v>0</v>
      </c>
      <c r="O4576" s="62"/>
      <c r="P4576" s="62"/>
    </row>
    <row r="4577" spans="1:16" x14ac:dyDescent="0.3">
      <c r="A4577" s="3">
        <f t="shared" si="383"/>
        <v>45743</v>
      </c>
      <c r="B4577" s="11" t="s">
        <v>3541</v>
      </c>
      <c r="C4577" s="65" t="s">
        <v>3542</v>
      </c>
      <c r="F4577" s="11"/>
      <c r="G4577" s="88">
        <v>2000</v>
      </c>
      <c r="H4577" s="88"/>
      <c r="I4577" s="88">
        <f t="shared" si="413"/>
        <v>14512.36</v>
      </c>
      <c r="J4577" s="62">
        <f t="shared" si="418"/>
        <v>5512.3600000000006</v>
      </c>
      <c r="K4577" s="62"/>
      <c r="L4577" s="2">
        <f t="shared" si="419"/>
        <v>8</v>
      </c>
      <c r="M4577">
        <f t="shared" si="420"/>
        <v>0</v>
      </c>
      <c r="O4577" s="62"/>
      <c r="P4577" s="62"/>
    </row>
    <row r="4578" spans="1:16" x14ac:dyDescent="0.3">
      <c r="A4578" s="3">
        <f t="shared" si="383"/>
        <v>45743</v>
      </c>
      <c r="B4578" s="11" t="s">
        <v>3541</v>
      </c>
      <c r="C4578" s="65" t="s">
        <v>3542</v>
      </c>
      <c r="E4578" s="90" t="s">
        <v>2088</v>
      </c>
      <c r="F4578" s="11"/>
      <c r="G4578" s="88"/>
      <c r="H4578" s="88"/>
      <c r="I4578" s="88">
        <f t="shared" si="413"/>
        <v>14512.36</v>
      </c>
      <c r="J4578" s="62">
        <f t="shared" si="418"/>
        <v>5512.3600000000006</v>
      </c>
      <c r="K4578" s="62"/>
      <c r="L4578" s="2">
        <f t="shared" si="419"/>
        <v>0</v>
      </c>
      <c r="M4578">
        <f t="shared" si="420"/>
        <v>5</v>
      </c>
      <c r="O4578" s="62"/>
      <c r="P4578" s="62"/>
    </row>
    <row r="4579" spans="1:16" x14ac:dyDescent="0.3">
      <c r="A4579" s="3">
        <f t="shared" si="383"/>
        <v>45743</v>
      </c>
      <c r="B4579" s="11" t="s">
        <v>7108</v>
      </c>
      <c r="C4579" s="65" t="s">
        <v>7109</v>
      </c>
      <c r="E4579" s="90" t="s">
        <v>2088</v>
      </c>
      <c r="F4579" s="11"/>
      <c r="G4579" s="88"/>
      <c r="H4579" s="88"/>
      <c r="I4579" s="88">
        <f t="shared" si="413"/>
        <v>14512.36</v>
      </c>
      <c r="J4579" s="62">
        <f t="shared" si="418"/>
        <v>5512.3600000000006</v>
      </c>
      <c r="K4579" s="62"/>
      <c r="L4579" s="2">
        <f t="shared" si="419"/>
        <v>0</v>
      </c>
      <c r="M4579">
        <f t="shared" si="420"/>
        <v>5</v>
      </c>
      <c r="O4579" s="62"/>
      <c r="P4579" s="62"/>
    </row>
    <row r="4580" spans="1:16" x14ac:dyDescent="0.3">
      <c r="A4580" s="3">
        <f t="shared" si="383"/>
        <v>45743</v>
      </c>
      <c r="B4580" s="11" t="s">
        <v>7962</v>
      </c>
      <c r="C4580" s="65" t="s">
        <v>7963</v>
      </c>
      <c r="E4580" s="90" t="s">
        <v>2088</v>
      </c>
      <c r="F4580" s="11"/>
      <c r="G4580" s="88"/>
      <c r="H4580" s="88"/>
      <c r="I4580" s="88">
        <f t="shared" si="413"/>
        <v>14512.36</v>
      </c>
      <c r="J4580" s="62">
        <f t="shared" si="418"/>
        <v>5512.3600000000006</v>
      </c>
      <c r="K4580" s="62"/>
      <c r="L4580" s="2">
        <f t="shared" si="419"/>
        <v>0</v>
      </c>
      <c r="M4580">
        <f t="shared" si="420"/>
        <v>5</v>
      </c>
      <c r="O4580" s="62"/>
      <c r="P4580" s="62"/>
    </row>
    <row r="4581" spans="1:16" x14ac:dyDescent="0.3">
      <c r="A4581" s="3">
        <v>45744</v>
      </c>
      <c r="B4581" s="11" t="s">
        <v>6260</v>
      </c>
      <c r="C4581" s="65" t="s">
        <v>7117</v>
      </c>
      <c r="F4581" s="11"/>
      <c r="G4581" s="88"/>
      <c r="H4581" s="88">
        <v>4000</v>
      </c>
      <c r="I4581" s="88">
        <f t="shared" si="413"/>
        <v>10512.36</v>
      </c>
      <c r="J4581" s="62">
        <f t="shared" si="418"/>
        <v>1512.3600000000006</v>
      </c>
      <c r="K4581" s="62"/>
      <c r="L4581" s="2">
        <f t="shared" si="419"/>
        <v>16</v>
      </c>
      <c r="M4581">
        <f t="shared" si="420"/>
        <v>0</v>
      </c>
      <c r="O4581" s="62"/>
      <c r="P4581" s="62"/>
    </row>
    <row r="4582" spans="1:16" x14ac:dyDescent="0.3">
      <c r="A4582" s="3">
        <f t="shared" si="383"/>
        <v>45744</v>
      </c>
      <c r="B4582" s="11" t="s">
        <v>2490</v>
      </c>
      <c r="C4582" s="65" t="s">
        <v>2857</v>
      </c>
      <c r="F4582" s="11"/>
      <c r="G4582" s="88"/>
      <c r="H4582" s="88">
        <v>10000</v>
      </c>
      <c r="I4582" s="88">
        <f t="shared" si="413"/>
        <v>512.36000000000058</v>
      </c>
      <c r="J4582" s="62">
        <f t="shared" si="418"/>
        <v>-8487.64</v>
      </c>
      <c r="K4582" s="62"/>
      <c r="L4582" s="2">
        <f t="shared" ref="L4582:L4596" si="421">IF((G4582+H4582)&lt;=5000,(H4582+G4582)*0.004,20)+IF(E4582="Y",25,0)</f>
        <v>20</v>
      </c>
      <c r="M4582">
        <f t="shared" ref="M4582:M4596" si="422">IF(E4582="p",5,0)</f>
        <v>0</v>
      </c>
      <c r="O4582" s="62"/>
      <c r="P4582" s="62"/>
    </row>
    <row r="4583" spans="1:16" x14ac:dyDescent="0.3">
      <c r="A4583" s="3">
        <f t="shared" si="383"/>
        <v>45744</v>
      </c>
      <c r="B4583" s="11" t="s">
        <v>7988</v>
      </c>
      <c r="C4583" s="65" t="s">
        <v>687</v>
      </c>
      <c r="F4583" s="11"/>
      <c r="G4583" s="88">
        <v>7000</v>
      </c>
      <c r="H4583" s="88"/>
      <c r="I4583" s="88">
        <f t="shared" si="413"/>
        <v>7512.3600000000006</v>
      </c>
      <c r="J4583" s="62">
        <f t="shared" si="418"/>
        <v>-1487.6399999999994</v>
      </c>
      <c r="K4583" s="62"/>
      <c r="L4583" s="2">
        <f t="shared" si="421"/>
        <v>20</v>
      </c>
      <c r="M4583">
        <f t="shared" si="422"/>
        <v>0</v>
      </c>
      <c r="O4583" s="62"/>
      <c r="P4583" s="62"/>
    </row>
    <row r="4584" spans="1:16" x14ac:dyDescent="0.3">
      <c r="A4584" s="3">
        <f t="shared" si="383"/>
        <v>45744</v>
      </c>
      <c r="B4584" s="11" t="s">
        <v>7988</v>
      </c>
      <c r="C4584" s="65" t="s">
        <v>687</v>
      </c>
      <c r="E4584" s="90" t="s">
        <v>2088</v>
      </c>
      <c r="F4584" s="11"/>
      <c r="G4584" s="88"/>
      <c r="H4584" s="88"/>
      <c r="I4584" s="88">
        <f t="shared" si="413"/>
        <v>7512.3600000000006</v>
      </c>
      <c r="J4584" s="62">
        <f t="shared" si="418"/>
        <v>-1487.6399999999994</v>
      </c>
      <c r="K4584" s="62"/>
      <c r="L4584" s="2">
        <f t="shared" si="421"/>
        <v>0</v>
      </c>
      <c r="M4584">
        <f t="shared" si="422"/>
        <v>5</v>
      </c>
      <c r="O4584" s="62"/>
      <c r="P4584" s="62"/>
    </row>
    <row r="4585" spans="1:16" x14ac:dyDescent="0.3">
      <c r="A4585" s="3">
        <f t="shared" si="383"/>
        <v>45744</v>
      </c>
      <c r="B4585" s="11" t="s">
        <v>3630</v>
      </c>
      <c r="C4585" s="65" t="s">
        <v>7989</v>
      </c>
      <c r="E4585" s="90" t="s">
        <v>2088</v>
      </c>
      <c r="F4585" s="11"/>
      <c r="G4585" s="88"/>
      <c r="H4585" s="88"/>
      <c r="I4585" s="88">
        <f t="shared" si="413"/>
        <v>7512.3600000000006</v>
      </c>
      <c r="J4585" s="62">
        <f t="shared" si="418"/>
        <v>-1487.6399999999994</v>
      </c>
      <c r="K4585" s="62"/>
      <c r="L4585" s="2">
        <f t="shared" si="421"/>
        <v>0</v>
      </c>
      <c r="M4585">
        <f t="shared" si="422"/>
        <v>5</v>
      </c>
      <c r="O4585" s="62"/>
      <c r="P4585" s="62"/>
    </row>
    <row r="4586" spans="1:16" x14ac:dyDescent="0.3">
      <c r="A4586" s="3">
        <f t="shared" si="383"/>
        <v>45744</v>
      </c>
      <c r="B4586" s="11" t="s">
        <v>1250</v>
      </c>
      <c r="C4586" s="65" t="s">
        <v>7990</v>
      </c>
      <c r="F4586" s="11"/>
      <c r="G4586" s="88">
        <v>2500</v>
      </c>
      <c r="H4586" s="88"/>
      <c r="I4586" s="88">
        <f t="shared" si="413"/>
        <v>10012.36</v>
      </c>
      <c r="J4586" s="62">
        <f t="shared" si="418"/>
        <v>1012.3600000000006</v>
      </c>
      <c r="K4586" s="62"/>
      <c r="L4586" s="2">
        <f t="shared" si="421"/>
        <v>10</v>
      </c>
      <c r="M4586">
        <f t="shared" si="422"/>
        <v>0</v>
      </c>
      <c r="O4586" s="62"/>
      <c r="P4586" s="62"/>
    </row>
    <row r="4587" spans="1:16" x14ac:dyDescent="0.3">
      <c r="A4587" s="3">
        <f t="shared" si="383"/>
        <v>45744</v>
      </c>
      <c r="B4587" s="11" t="s">
        <v>7329</v>
      </c>
      <c r="C4587" s="65" t="s">
        <v>7991</v>
      </c>
      <c r="F4587" s="11"/>
      <c r="G4587" s="88">
        <v>1500</v>
      </c>
      <c r="H4587" s="88"/>
      <c r="I4587" s="88">
        <f t="shared" ref="I4587:I4600" si="423">I4586+G4587-H4587</f>
        <v>11512.36</v>
      </c>
      <c r="J4587" s="62">
        <f t="shared" si="418"/>
        <v>2512.3600000000006</v>
      </c>
      <c r="K4587" s="62"/>
      <c r="L4587" s="2">
        <f t="shared" si="421"/>
        <v>6</v>
      </c>
      <c r="M4587">
        <f t="shared" si="422"/>
        <v>0</v>
      </c>
      <c r="O4587" s="62"/>
      <c r="P4587" s="62"/>
    </row>
    <row r="4588" spans="1:16" x14ac:dyDescent="0.3">
      <c r="A4588" s="3">
        <f t="shared" si="383"/>
        <v>45744</v>
      </c>
      <c r="B4588" s="11" t="s">
        <v>7996</v>
      </c>
      <c r="C4588" s="65" t="s">
        <v>7995</v>
      </c>
      <c r="E4588" s="90" t="s">
        <v>16</v>
      </c>
      <c r="F4588" s="11"/>
      <c r="G4588" s="88"/>
      <c r="H4588" s="88">
        <v>2000</v>
      </c>
      <c r="I4588" s="88">
        <f t="shared" si="423"/>
        <v>9512.36</v>
      </c>
      <c r="J4588" s="62">
        <f t="shared" si="418"/>
        <v>512.36000000000058</v>
      </c>
      <c r="K4588" s="62"/>
      <c r="L4588" s="2">
        <f t="shared" si="421"/>
        <v>33</v>
      </c>
      <c r="M4588">
        <f t="shared" si="422"/>
        <v>0</v>
      </c>
      <c r="O4588" s="62"/>
      <c r="P4588" s="62"/>
    </row>
    <row r="4589" spans="1:16" x14ac:dyDescent="0.3">
      <c r="A4589" s="3">
        <v>45745</v>
      </c>
      <c r="B4589" s="11" t="s">
        <v>6260</v>
      </c>
      <c r="C4589" s="65" t="s">
        <v>7117</v>
      </c>
      <c r="F4589" s="11"/>
      <c r="G4589" s="88"/>
      <c r="H4589" s="88">
        <v>6000</v>
      </c>
      <c r="I4589" s="88">
        <f t="shared" si="423"/>
        <v>3512.3600000000006</v>
      </c>
      <c r="J4589" s="62">
        <f t="shared" si="418"/>
        <v>-5487.6399999999994</v>
      </c>
      <c r="K4589" s="62"/>
      <c r="L4589" s="2">
        <f t="shared" si="421"/>
        <v>20</v>
      </c>
      <c r="M4589">
        <f t="shared" si="422"/>
        <v>0</v>
      </c>
      <c r="O4589" s="62"/>
      <c r="P4589" s="62"/>
    </row>
    <row r="4590" spans="1:16" x14ac:dyDescent="0.3">
      <c r="A4590" s="3">
        <f t="shared" si="383"/>
        <v>45745</v>
      </c>
      <c r="B4590" s="11" t="s">
        <v>2271</v>
      </c>
      <c r="C4590" s="65" t="s">
        <v>7997</v>
      </c>
      <c r="D4590" s="50">
        <v>7763991247</v>
      </c>
      <c r="F4590" s="11"/>
      <c r="G4590" s="88">
        <v>5000</v>
      </c>
      <c r="H4590" s="88"/>
      <c r="I4590" s="88">
        <f t="shared" si="423"/>
        <v>8512.36</v>
      </c>
      <c r="J4590" s="62">
        <f t="shared" si="418"/>
        <v>-487.63999999999942</v>
      </c>
      <c r="K4590" s="62"/>
      <c r="L4590" s="2">
        <f t="shared" si="421"/>
        <v>20</v>
      </c>
      <c r="M4590">
        <f t="shared" si="422"/>
        <v>0</v>
      </c>
      <c r="O4590" s="62"/>
      <c r="P4590" s="62"/>
    </row>
    <row r="4591" spans="1:16" x14ac:dyDescent="0.3">
      <c r="A4591" s="3">
        <f t="shared" si="383"/>
        <v>45745</v>
      </c>
      <c r="B4591" s="11" t="s">
        <v>1250</v>
      </c>
      <c r="C4591" s="65" t="s">
        <v>2490</v>
      </c>
      <c r="F4591" s="11"/>
      <c r="G4591" s="88">
        <v>10000</v>
      </c>
      <c r="H4591" s="88"/>
      <c r="I4591" s="88">
        <f t="shared" si="423"/>
        <v>18512.36</v>
      </c>
      <c r="J4591" s="62">
        <f t="shared" si="418"/>
        <v>9512.36</v>
      </c>
      <c r="K4591" s="62"/>
      <c r="L4591" s="2">
        <f t="shared" si="421"/>
        <v>20</v>
      </c>
      <c r="M4591">
        <f t="shared" si="422"/>
        <v>0</v>
      </c>
      <c r="O4591" s="62"/>
      <c r="P4591" s="62"/>
    </row>
    <row r="4592" spans="1:16" x14ac:dyDescent="0.3">
      <c r="A4592" s="3">
        <f t="shared" si="383"/>
        <v>45745</v>
      </c>
      <c r="B4592" s="11" t="s">
        <v>7998</v>
      </c>
      <c r="C4592" s="65" t="s">
        <v>7999</v>
      </c>
      <c r="F4592" s="11"/>
      <c r="G4592" s="88"/>
      <c r="H4592" s="88">
        <v>9000</v>
      </c>
      <c r="I4592" s="88">
        <f t="shared" si="423"/>
        <v>9512.36</v>
      </c>
      <c r="J4592" s="62">
        <f t="shared" si="418"/>
        <v>512.36000000000058</v>
      </c>
      <c r="K4592" s="62"/>
      <c r="L4592" s="2">
        <f t="shared" si="421"/>
        <v>20</v>
      </c>
      <c r="M4592">
        <f t="shared" si="422"/>
        <v>0</v>
      </c>
      <c r="O4592" s="62"/>
      <c r="P4592" s="62"/>
    </row>
    <row r="4593" spans="1:16" x14ac:dyDescent="0.3">
      <c r="A4593" s="3">
        <f t="shared" si="383"/>
        <v>45745</v>
      </c>
      <c r="B4593" s="11" t="s">
        <v>6726</v>
      </c>
      <c r="C4593" s="65" t="s">
        <v>7854</v>
      </c>
      <c r="F4593" s="11"/>
      <c r="G4593" s="88">
        <v>2400</v>
      </c>
      <c r="H4593" s="88"/>
      <c r="I4593" s="88">
        <f t="shared" si="423"/>
        <v>11912.36</v>
      </c>
      <c r="J4593" s="62">
        <f t="shared" si="418"/>
        <v>2912.3600000000006</v>
      </c>
      <c r="K4593" s="62"/>
      <c r="L4593" s="2">
        <f t="shared" si="421"/>
        <v>9.6</v>
      </c>
      <c r="M4593">
        <f t="shared" si="422"/>
        <v>0</v>
      </c>
      <c r="O4593" s="62"/>
      <c r="P4593" s="62"/>
    </row>
    <row r="4594" spans="1:16" x14ac:dyDescent="0.3">
      <c r="A4594" s="3">
        <f t="shared" si="383"/>
        <v>45745</v>
      </c>
      <c r="B4594" s="11" t="s">
        <v>6726</v>
      </c>
      <c r="C4594" s="65" t="s">
        <v>7854</v>
      </c>
      <c r="E4594" s="90" t="s">
        <v>2088</v>
      </c>
      <c r="F4594" s="11"/>
      <c r="G4594" s="88"/>
      <c r="H4594" s="88"/>
      <c r="I4594" s="88">
        <f t="shared" si="423"/>
        <v>11912.36</v>
      </c>
      <c r="J4594" s="62">
        <f t="shared" si="418"/>
        <v>2912.3600000000006</v>
      </c>
      <c r="K4594" s="62"/>
      <c r="L4594" s="2">
        <f t="shared" si="421"/>
        <v>0</v>
      </c>
      <c r="M4594">
        <f t="shared" si="422"/>
        <v>5</v>
      </c>
      <c r="O4594" s="62"/>
      <c r="P4594" s="62"/>
    </row>
    <row r="4595" spans="1:16" x14ac:dyDescent="0.3">
      <c r="A4595" s="3">
        <f t="shared" si="383"/>
        <v>45745</v>
      </c>
      <c r="B4595" s="11" t="s">
        <v>7942</v>
      </c>
      <c r="C4595" s="65" t="s">
        <v>7943</v>
      </c>
      <c r="E4595" s="90" t="s">
        <v>2088</v>
      </c>
      <c r="F4595" s="11"/>
      <c r="G4595" s="88"/>
      <c r="H4595" s="88"/>
      <c r="I4595" s="88">
        <f t="shared" si="423"/>
        <v>11912.36</v>
      </c>
      <c r="J4595" s="62">
        <f t="shared" si="418"/>
        <v>2912.3600000000006</v>
      </c>
      <c r="K4595" s="62"/>
      <c r="L4595" s="2">
        <f t="shared" si="421"/>
        <v>0</v>
      </c>
      <c r="M4595">
        <f t="shared" si="422"/>
        <v>5</v>
      </c>
      <c r="O4595" s="62"/>
      <c r="P4595" s="62"/>
    </row>
    <row r="4596" spans="1:16" x14ac:dyDescent="0.3">
      <c r="A4596" s="3">
        <f t="shared" si="383"/>
        <v>45745</v>
      </c>
      <c r="B4596" s="11" t="s">
        <v>1160</v>
      </c>
      <c r="C4596" s="65" t="s">
        <v>8001</v>
      </c>
      <c r="D4596" s="50">
        <v>7979941896</v>
      </c>
      <c r="F4596" s="11"/>
      <c r="G4596" s="88">
        <v>7000</v>
      </c>
      <c r="H4596" s="88"/>
      <c r="I4596" s="88">
        <f t="shared" si="423"/>
        <v>18912.36</v>
      </c>
      <c r="J4596" s="62">
        <f t="shared" si="418"/>
        <v>9912.36</v>
      </c>
      <c r="K4596" s="62"/>
      <c r="L4596" s="2">
        <f t="shared" si="421"/>
        <v>20</v>
      </c>
      <c r="M4596">
        <f t="shared" si="422"/>
        <v>0</v>
      </c>
      <c r="O4596" s="62"/>
      <c r="P4596" s="62"/>
    </row>
    <row r="4597" spans="1:16" x14ac:dyDescent="0.3">
      <c r="A4597" s="3">
        <f t="shared" si="383"/>
        <v>45745</v>
      </c>
      <c r="C4597" s="65" t="s">
        <v>2857</v>
      </c>
      <c r="F4597" s="11"/>
      <c r="G4597" s="88"/>
      <c r="H4597" s="88">
        <v>18500</v>
      </c>
      <c r="I4597" s="88">
        <f t="shared" si="423"/>
        <v>412.36000000000058</v>
      </c>
      <c r="J4597" s="62">
        <f t="shared" si="418"/>
        <v>-8587.64</v>
      </c>
      <c r="K4597" s="62"/>
      <c r="L4597" s="2">
        <f t="shared" ref="L4597:L4607" si="424">IF((G4597+H4597)&lt;=5000,(H4597+G4597)*0.004,20)+IF(E4597="Y",25,0)</f>
        <v>20</v>
      </c>
      <c r="M4597">
        <f t="shared" ref="M4597:M4607" si="425">IF(E4597="p",5,0)</f>
        <v>0</v>
      </c>
      <c r="O4597" s="62"/>
      <c r="P4597" s="62"/>
    </row>
    <row r="4598" spans="1:16" x14ac:dyDescent="0.3">
      <c r="A4598" s="3">
        <f t="shared" si="383"/>
        <v>45745</v>
      </c>
      <c r="B4598" s="11" t="s">
        <v>5771</v>
      </c>
      <c r="C4598" s="65" t="s">
        <v>7791</v>
      </c>
      <c r="F4598" s="11"/>
      <c r="G4598" s="88">
        <v>200</v>
      </c>
      <c r="H4598" s="88"/>
      <c r="I4598" s="88">
        <f t="shared" si="423"/>
        <v>612.36000000000058</v>
      </c>
      <c r="J4598" s="62">
        <f t="shared" si="418"/>
        <v>-8387.64</v>
      </c>
      <c r="K4598" s="62"/>
      <c r="L4598" s="2">
        <f t="shared" si="424"/>
        <v>0.8</v>
      </c>
      <c r="M4598">
        <f t="shared" si="425"/>
        <v>0</v>
      </c>
      <c r="O4598" s="62"/>
      <c r="P4598" s="62"/>
    </row>
    <row r="4599" spans="1:16" x14ac:dyDescent="0.3">
      <c r="A4599" s="3">
        <f t="shared" si="383"/>
        <v>45745</v>
      </c>
      <c r="B4599" s="11" t="s">
        <v>5771</v>
      </c>
      <c r="C4599" s="65" t="s">
        <v>7791</v>
      </c>
      <c r="E4599" s="90" t="s">
        <v>2088</v>
      </c>
      <c r="F4599" s="11"/>
      <c r="G4599" s="88"/>
      <c r="H4599" s="88"/>
      <c r="I4599" s="88">
        <f t="shared" si="423"/>
        <v>612.36000000000058</v>
      </c>
      <c r="J4599" s="62">
        <f t="shared" si="418"/>
        <v>-8387.64</v>
      </c>
      <c r="K4599" s="62"/>
      <c r="L4599" s="2">
        <f t="shared" si="424"/>
        <v>0</v>
      </c>
      <c r="M4599">
        <f t="shared" si="425"/>
        <v>5</v>
      </c>
      <c r="O4599" s="62"/>
      <c r="P4599" s="62"/>
    </row>
    <row r="4600" spans="1:16" x14ac:dyDescent="0.3">
      <c r="A4600" s="3">
        <v>45746</v>
      </c>
      <c r="B4600" s="11" t="s">
        <v>7975</v>
      </c>
      <c r="C4600" s="65" t="s">
        <v>7976</v>
      </c>
      <c r="E4600" s="90" t="s">
        <v>2088</v>
      </c>
      <c r="F4600" s="11"/>
      <c r="G4600" s="88"/>
      <c r="H4600" s="88"/>
      <c r="I4600" s="88">
        <f t="shared" si="423"/>
        <v>612.36000000000058</v>
      </c>
      <c r="J4600" s="62">
        <f t="shared" si="418"/>
        <v>-8387.64</v>
      </c>
      <c r="K4600" s="62"/>
      <c r="L4600" s="2">
        <f t="shared" si="424"/>
        <v>0</v>
      </c>
      <c r="M4600">
        <f t="shared" si="425"/>
        <v>5</v>
      </c>
      <c r="O4600" s="62"/>
      <c r="P4600" s="62"/>
    </row>
    <row r="4601" spans="1:16" x14ac:dyDescent="0.3">
      <c r="A4601" s="3">
        <v>45747</v>
      </c>
      <c r="B4601" s="11" t="s">
        <v>7053</v>
      </c>
      <c r="C4601" s="65" t="s">
        <v>3416</v>
      </c>
      <c r="F4601" s="11"/>
      <c r="G4601" s="88">
        <v>1500</v>
      </c>
      <c r="H4601" s="88"/>
      <c r="I4601" s="88">
        <f t="shared" ref="I4601:I4607" si="426">I4600+G4601-H4601</f>
        <v>2112.3600000000006</v>
      </c>
      <c r="J4601" s="62">
        <f t="shared" si="418"/>
        <v>-6887.6399999999994</v>
      </c>
      <c r="K4601" s="62"/>
      <c r="L4601" s="2">
        <f t="shared" si="424"/>
        <v>6</v>
      </c>
      <c r="M4601">
        <f t="shared" si="425"/>
        <v>0</v>
      </c>
      <c r="O4601" s="62"/>
      <c r="P4601" s="62"/>
    </row>
    <row r="4602" spans="1:16" x14ac:dyDescent="0.3">
      <c r="A4602" s="3">
        <f t="shared" si="383"/>
        <v>45747</v>
      </c>
      <c r="B4602" s="11" t="s">
        <v>7053</v>
      </c>
      <c r="C4602" s="65" t="s">
        <v>3416</v>
      </c>
      <c r="E4602" s="90" t="s">
        <v>2088</v>
      </c>
      <c r="F4602" s="11"/>
      <c r="G4602" s="88"/>
      <c r="H4602" s="88"/>
      <c r="I4602" s="88">
        <f t="shared" si="426"/>
        <v>2112.3600000000006</v>
      </c>
      <c r="J4602" s="62">
        <f t="shared" si="418"/>
        <v>-6887.6399999999994</v>
      </c>
      <c r="K4602" s="62"/>
      <c r="L4602" s="2">
        <f t="shared" si="424"/>
        <v>0</v>
      </c>
      <c r="M4602">
        <f t="shared" si="425"/>
        <v>5</v>
      </c>
      <c r="O4602" s="62"/>
      <c r="P4602" s="62"/>
    </row>
    <row r="4603" spans="1:16" x14ac:dyDescent="0.3">
      <c r="A4603" s="3">
        <f t="shared" si="383"/>
        <v>45747</v>
      </c>
      <c r="B4603" s="11" t="s">
        <v>7975</v>
      </c>
      <c r="C4603" s="65" t="s">
        <v>8003</v>
      </c>
      <c r="F4603" s="11"/>
      <c r="G4603" s="88"/>
      <c r="H4603" s="88">
        <v>1000</v>
      </c>
      <c r="I4603" s="88">
        <f t="shared" si="426"/>
        <v>1112.3600000000006</v>
      </c>
      <c r="J4603" s="62">
        <f t="shared" si="418"/>
        <v>-7887.6399999999994</v>
      </c>
      <c r="K4603" s="62"/>
      <c r="L4603" s="2">
        <f t="shared" si="424"/>
        <v>4</v>
      </c>
      <c r="M4603">
        <f t="shared" si="425"/>
        <v>0</v>
      </c>
      <c r="O4603" s="62"/>
      <c r="P4603" s="62"/>
    </row>
    <row r="4604" spans="1:16" x14ac:dyDescent="0.3">
      <c r="A4604" s="3">
        <f t="shared" si="383"/>
        <v>45747</v>
      </c>
      <c r="B4604" s="11" t="s">
        <v>8004</v>
      </c>
      <c r="C4604" s="65" t="s">
        <v>8005</v>
      </c>
      <c r="F4604" s="11"/>
      <c r="G4604" s="88">
        <v>2000</v>
      </c>
      <c r="H4604" s="88"/>
      <c r="I4604" s="88">
        <f t="shared" si="426"/>
        <v>3112.3600000000006</v>
      </c>
      <c r="J4604" s="62">
        <f t="shared" si="418"/>
        <v>-5887.6399999999994</v>
      </c>
      <c r="K4604" s="62"/>
      <c r="L4604" s="2">
        <f t="shared" si="424"/>
        <v>8</v>
      </c>
      <c r="M4604">
        <f t="shared" si="425"/>
        <v>0</v>
      </c>
      <c r="O4604" s="62"/>
      <c r="P4604" s="62"/>
    </row>
    <row r="4605" spans="1:16" x14ac:dyDescent="0.3">
      <c r="A4605" s="3">
        <f t="shared" si="383"/>
        <v>45747</v>
      </c>
      <c r="B4605" s="11" t="s">
        <v>8004</v>
      </c>
      <c r="C4605" s="65" t="s">
        <v>8005</v>
      </c>
      <c r="E4605" s="90" t="s">
        <v>2088</v>
      </c>
      <c r="F4605" s="11"/>
      <c r="G4605" s="88"/>
      <c r="H4605" s="88"/>
      <c r="I4605" s="88">
        <f t="shared" si="426"/>
        <v>3112.3600000000006</v>
      </c>
      <c r="J4605" s="62">
        <f t="shared" si="418"/>
        <v>-5887.6399999999994</v>
      </c>
      <c r="K4605" s="62"/>
      <c r="L4605" s="2">
        <f t="shared" si="424"/>
        <v>0</v>
      </c>
      <c r="M4605">
        <f t="shared" si="425"/>
        <v>5</v>
      </c>
      <c r="O4605" s="62"/>
      <c r="P4605" s="62"/>
    </row>
    <row r="4606" spans="1:16" x14ac:dyDescent="0.3">
      <c r="A4606" s="3">
        <f t="shared" si="383"/>
        <v>45747</v>
      </c>
      <c r="B4606" s="11" t="s">
        <v>7826</v>
      </c>
      <c r="C4606" s="50" t="s">
        <v>7827</v>
      </c>
      <c r="E4606" s="90" t="s">
        <v>2088</v>
      </c>
      <c r="F4606" s="11"/>
      <c r="G4606" s="88"/>
      <c r="H4606" s="88"/>
      <c r="I4606" s="88">
        <f t="shared" si="426"/>
        <v>3112.3600000000006</v>
      </c>
      <c r="J4606" s="62">
        <f t="shared" si="418"/>
        <v>-5887.6399999999994</v>
      </c>
      <c r="K4606" s="62"/>
      <c r="L4606" s="2">
        <f t="shared" si="424"/>
        <v>0</v>
      </c>
      <c r="M4606">
        <f t="shared" si="425"/>
        <v>5</v>
      </c>
      <c r="O4606" s="62"/>
      <c r="P4606" s="62"/>
    </row>
    <row r="4607" spans="1:16" x14ac:dyDescent="0.3">
      <c r="A4607" s="3">
        <f t="shared" si="383"/>
        <v>45747</v>
      </c>
      <c r="B4607" s="11" t="s">
        <v>5839</v>
      </c>
      <c r="C4607" s="65" t="s">
        <v>8008</v>
      </c>
      <c r="F4607" s="11"/>
      <c r="G4607" s="88">
        <v>1700</v>
      </c>
      <c r="H4607" s="88"/>
      <c r="I4607" s="88">
        <f t="shared" si="426"/>
        <v>4812.3600000000006</v>
      </c>
      <c r="J4607" s="62">
        <f t="shared" si="418"/>
        <v>-4187.6399999999994</v>
      </c>
      <c r="K4607" s="62"/>
      <c r="L4607" s="2">
        <f t="shared" si="424"/>
        <v>6.8</v>
      </c>
      <c r="M4607">
        <f t="shared" si="425"/>
        <v>0</v>
      </c>
      <c r="O4607" s="62"/>
      <c r="P4607" s="62"/>
    </row>
    <row r="4608" spans="1:16" x14ac:dyDescent="0.3">
      <c r="A4608" s="77">
        <f>COUNT(A4132:A4607)</f>
        <v>476</v>
      </c>
      <c r="B4608" s="80" t="s">
        <v>7120</v>
      </c>
      <c r="C4608" s="112">
        <v>292000</v>
      </c>
      <c r="D4608" s="112">
        <f>COUNTIF(E4132:E49384,"p")</f>
        <v>1713</v>
      </c>
      <c r="E4608" s="92">
        <f>COUNTIF(E4132:E4607,"Y")</f>
        <v>20</v>
      </c>
      <c r="F4608" s="80">
        <f>SUM(F4139)</f>
        <v>0</v>
      </c>
      <c r="G4608" s="121">
        <f>SUM(G4132:G4607)</f>
        <v>771600</v>
      </c>
      <c r="H4608" s="121">
        <f>SUM(H4132:H4607)-C4608</f>
        <v>480554.01</v>
      </c>
      <c r="I4608" s="121">
        <f>SUM(G4608:H4608)</f>
        <v>1252154.01</v>
      </c>
      <c r="J4608" s="122"/>
      <c r="K4608" s="122"/>
      <c r="L4608" s="121">
        <f>SUM(L4131:L4607)</f>
        <v>3963.4</v>
      </c>
      <c r="M4608" s="121">
        <f>SUM(M4131:M4607)</f>
        <v>960</v>
      </c>
      <c r="N4608" s="62">
        <f>M4608/5</f>
        <v>192</v>
      </c>
      <c r="O4608">
        <f>IF(D4608&gt;100,D4608*6,D4608*5)</f>
        <v>10278</v>
      </c>
    </row>
    <row r="4610" spans="1:16" x14ac:dyDescent="0.3">
      <c r="A4610" s="3">
        <v>45748</v>
      </c>
      <c r="C4610" s="65" t="s">
        <v>4613</v>
      </c>
      <c r="F4610" s="11"/>
      <c r="G4610" s="88">
        <f>I4607</f>
        <v>4812.3600000000006</v>
      </c>
      <c r="H4610" s="88"/>
      <c r="I4610" s="88">
        <f t="shared" ref="I4610" si="427">I4609+G4610-H4610</f>
        <v>4812.3600000000006</v>
      </c>
      <c r="K4610" s="62"/>
      <c r="M4610">
        <f t="shared" ref="M4610" si="428">IF(E4610="p",5,0)</f>
        <v>0</v>
      </c>
      <c r="O4610" s="62"/>
      <c r="P4610" s="62"/>
    </row>
    <row r="4611" spans="1:16" x14ac:dyDescent="0.3">
      <c r="A4611" s="3">
        <f>A4610</f>
        <v>45748</v>
      </c>
      <c r="B4611" s="11" t="s">
        <v>8009</v>
      </c>
      <c r="C4611" s="50" t="s">
        <v>8010</v>
      </c>
      <c r="E4611" s="90" t="s">
        <v>2088</v>
      </c>
      <c r="F4611" s="11"/>
      <c r="G4611" s="88"/>
      <c r="H4611" s="88"/>
      <c r="I4611" s="88">
        <f>I4610+G4611-H4611</f>
        <v>4812.3600000000006</v>
      </c>
      <c r="K4611" s="62"/>
      <c r="L4611" s="2">
        <f>IF((G4611+H4611)&lt;=5000,(H4611+G4611)*0.004,20)+IF(E4611="Y",25,0)</f>
        <v>0</v>
      </c>
      <c r="M4611">
        <f>IF(E4611="p",5,0)</f>
        <v>5</v>
      </c>
      <c r="O4611" s="62"/>
      <c r="P4611" s="62"/>
    </row>
    <row r="4612" spans="1:16" x14ac:dyDescent="0.3">
      <c r="A4612" s="3">
        <f t="shared" ref="A4612:A4713" si="429">A4611</f>
        <v>45748</v>
      </c>
      <c r="B4612" s="11" t="s">
        <v>8009</v>
      </c>
      <c r="C4612" s="50" t="s">
        <v>8010</v>
      </c>
      <c r="F4612" s="11"/>
      <c r="G4612" s="88">
        <v>3000</v>
      </c>
      <c r="H4612" s="88"/>
      <c r="I4612" s="88">
        <f>I4611+G4612-H4612</f>
        <v>7812.3600000000006</v>
      </c>
      <c r="K4612" s="62"/>
      <c r="L4612" s="2">
        <f>IF((G4612+H4612)&lt;=5000,(H4612+G4612)*0.004,20)+IF(E4612="Y",25,0)</f>
        <v>12</v>
      </c>
      <c r="M4612">
        <f>IF(E4612="p",5,0)</f>
        <v>0</v>
      </c>
      <c r="O4612" s="62"/>
      <c r="P4612" s="62"/>
    </row>
    <row r="4613" spans="1:16" x14ac:dyDescent="0.3">
      <c r="A4613" s="3">
        <f t="shared" si="429"/>
        <v>45748</v>
      </c>
      <c r="B4613" s="11" t="s">
        <v>8009</v>
      </c>
      <c r="C4613" s="50" t="s">
        <v>8010</v>
      </c>
      <c r="E4613" s="90" t="s">
        <v>2088</v>
      </c>
      <c r="F4613" s="11"/>
      <c r="G4613" s="88"/>
      <c r="H4613" s="88"/>
      <c r="I4613" s="88">
        <f t="shared" ref="I4613:I4626" si="430">I4612+G4613-H4613</f>
        <v>7812.3600000000006</v>
      </c>
      <c r="K4613" s="62"/>
      <c r="L4613" s="2">
        <f t="shared" ref="L4613:L4626" si="431">IF((G4613+H4613)&lt;=5000,(H4613+G4613)*0.004,20)+IF(E4613="Y",25,0)</f>
        <v>0</v>
      </c>
      <c r="M4613">
        <f t="shared" ref="M4613:M4626" si="432">IF(E4613="p",5,0)</f>
        <v>5</v>
      </c>
      <c r="O4613" s="62"/>
      <c r="P4613" s="62"/>
    </row>
    <row r="4614" spans="1:16" x14ac:dyDescent="0.3">
      <c r="A4614" s="3">
        <f t="shared" si="429"/>
        <v>45748</v>
      </c>
      <c r="B4614" s="11" t="s">
        <v>6766</v>
      </c>
      <c r="C4614" s="50" t="s">
        <v>1073</v>
      </c>
      <c r="E4614" s="90" t="s">
        <v>2088</v>
      </c>
      <c r="I4614" s="88">
        <f t="shared" si="430"/>
        <v>7812.3600000000006</v>
      </c>
      <c r="L4614" s="2">
        <f t="shared" si="431"/>
        <v>0</v>
      </c>
      <c r="M4614">
        <f t="shared" si="432"/>
        <v>5</v>
      </c>
      <c r="O4614" s="62"/>
      <c r="P4614" s="62"/>
    </row>
    <row r="4615" spans="1:16" x14ac:dyDescent="0.3">
      <c r="A4615" s="3">
        <f t="shared" si="429"/>
        <v>45748</v>
      </c>
      <c r="B4615" s="11" t="s">
        <v>6766</v>
      </c>
      <c r="C4615" s="50" t="s">
        <v>1073</v>
      </c>
      <c r="E4615" s="90" t="s">
        <v>2088</v>
      </c>
      <c r="I4615" s="88">
        <f t="shared" si="430"/>
        <v>7812.3600000000006</v>
      </c>
      <c r="L4615" s="2">
        <f t="shared" si="431"/>
        <v>0</v>
      </c>
      <c r="M4615">
        <f t="shared" si="432"/>
        <v>5</v>
      </c>
      <c r="O4615" s="62"/>
      <c r="P4615" s="62"/>
    </row>
    <row r="4616" spans="1:16" x14ac:dyDescent="0.3">
      <c r="A4616" s="3">
        <f t="shared" si="429"/>
        <v>45748</v>
      </c>
      <c r="B4616" s="11" t="s">
        <v>6766</v>
      </c>
      <c r="C4616" s="50" t="s">
        <v>1073</v>
      </c>
      <c r="F4616" s="11"/>
      <c r="G4616" s="88">
        <v>1000</v>
      </c>
      <c r="H4616" s="88"/>
      <c r="I4616" s="88">
        <f t="shared" si="430"/>
        <v>8812.36</v>
      </c>
      <c r="K4616" s="62"/>
      <c r="L4616" s="2">
        <f t="shared" si="431"/>
        <v>4</v>
      </c>
      <c r="M4616">
        <f t="shared" si="432"/>
        <v>0</v>
      </c>
      <c r="O4616" s="62"/>
      <c r="P4616" s="62"/>
    </row>
    <row r="4617" spans="1:16" x14ac:dyDescent="0.3">
      <c r="A4617" s="3">
        <f t="shared" si="429"/>
        <v>45748</v>
      </c>
      <c r="B4617" s="11" t="s">
        <v>6766</v>
      </c>
      <c r="C4617" s="50" t="s">
        <v>1073</v>
      </c>
      <c r="E4617" s="90" t="s">
        <v>2088</v>
      </c>
      <c r="F4617" s="11"/>
      <c r="G4617" s="88"/>
      <c r="H4617" s="88"/>
      <c r="I4617" s="88">
        <f t="shared" si="430"/>
        <v>8812.36</v>
      </c>
      <c r="K4617" s="62"/>
      <c r="L4617" s="2">
        <f t="shared" si="431"/>
        <v>0</v>
      </c>
      <c r="M4617">
        <f t="shared" si="432"/>
        <v>5</v>
      </c>
      <c r="O4617" s="62"/>
      <c r="P4617" s="62"/>
    </row>
    <row r="4618" spans="1:16" x14ac:dyDescent="0.3">
      <c r="A4618" s="3">
        <f t="shared" si="429"/>
        <v>45748</v>
      </c>
      <c r="B4618" s="11" t="s">
        <v>4306</v>
      </c>
      <c r="C4618" s="65" t="s">
        <v>4335</v>
      </c>
      <c r="F4618" s="11"/>
      <c r="G4618" s="88">
        <v>10000</v>
      </c>
      <c r="H4618" s="88"/>
      <c r="I4618" s="88">
        <f t="shared" si="430"/>
        <v>18812.36</v>
      </c>
      <c r="K4618" s="62"/>
      <c r="L4618" s="2">
        <f t="shared" si="431"/>
        <v>20</v>
      </c>
      <c r="M4618">
        <f t="shared" si="432"/>
        <v>0</v>
      </c>
      <c r="O4618" s="62"/>
      <c r="P4618" s="62"/>
    </row>
    <row r="4619" spans="1:16" x14ac:dyDescent="0.3">
      <c r="A4619" s="3">
        <f t="shared" si="429"/>
        <v>45748</v>
      </c>
      <c r="B4619" s="11" t="s">
        <v>6260</v>
      </c>
      <c r="C4619" s="65" t="s">
        <v>7117</v>
      </c>
      <c r="F4619" s="11"/>
      <c r="G4619" s="88"/>
      <c r="H4619" s="88">
        <v>6500</v>
      </c>
      <c r="I4619" s="88">
        <f t="shared" si="430"/>
        <v>12312.36</v>
      </c>
      <c r="K4619" s="62"/>
      <c r="L4619" s="2">
        <f t="shared" si="431"/>
        <v>20</v>
      </c>
      <c r="M4619">
        <f t="shared" si="432"/>
        <v>0</v>
      </c>
      <c r="O4619" s="62"/>
      <c r="P4619" s="62"/>
    </row>
    <row r="4620" spans="1:16" x14ac:dyDescent="0.3">
      <c r="A4620" s="3">
        <f t="shared" si="429"/>
        <v>45748</v>
      </c>
      <c r="B4620" s="11" t="s">
        <v>8011</v>
      </c>
      <c r="C4620" s="65" t="s">
        <v>5981</v>
      </c>
      <c r="F4620" s="11"/>
      <c r="G4620" s="88">
        <v>500</v>
      </c>
      <c r="H4620" s="88"/>
      <c r="I4620" s="88">
        <f t="shared" si="430"/>
        <v>12812.36</v>
      </c>
      <c r="K4620" s="62"/>
      <c r="L4620" s="2">
        <f t="shared" si="431"/>
        <v>2</v>
      </c>
      <c r="M4620">
        <f t="shared" si="432"/>
        <v>0</v>
      </c>
      <c r="O4620" s="62"/>
      <c r="P4620" s="62"/>
    </row>
    <row r="4621" spans="1:16" x14ac:dyDescent="0.3">
      <c r="A4621" s="3">
        <f t="shared" si="429"/>
        <v>45748</v>
      </c>
      <c r="B4621" s="11" t="s">
        <v>6522</v>
      </c>
      <c r="C4621" s="65" t="s">
        <v>8012</v>
      </c>
      <c r="F4621" s="11"/>
      <c r="G4621" s="88">
        <v>5000</v>
      </c>
      <c r="H4621" s="88"/>
      <c r="I4621" s="88">
        <f t="shared" si="430"/>
        <v>17812.36</v>
      </c>
      <c r="K4621" s="62"/>
      <c r="L4621" s="2">
        <f t="shared" si="431"/>
        <v>20</v>
      </c>
      <c r="M4621">
        <f t="shared" si="432"/>
        <v>0</v>
      </c>
      <c r="O4621" s="62"/>
      <c r="P4621" s="62"/>
    </row>
    <row r="4622" spans="1:16" x14ac:dyDescent="0.3">
      <c r="A4622" s="3">
        <f t="shared" si="429"/>
        <v>45748</v>
      </c>
      <c r="B4622" s="11" t="s">
        <v>3097</v>
      </c>
      <c r="C4622" s="65" t="s">
        <v>7047</v>
      </c>
      <c r="E4622" s="90" t="s">
        <v>2088</v>
      </c>
      <c r="F4622" s="11"/>
      <c r="G4622" s="88"/>
      <c r="H4622" s="88"/>
      <c r="I4622" s="88">
        <f t="shared" si="430"/>
        <v>17812.36</v>
      </c>
      <c r="K4622" s="62"/>
      <c r="L4622" s="2">
        <f t="shared" si="431"/>
        <v>0</v>
      </c>
      <c r="M4622">
        <f t="shared" si="432"/>
        <v>5</v>
      </c>
      <c r="O4622" s="62"/>
      <c r="P4622" s="62"/>
    </row>
    <row r="4623" spans="1:16" x14ac:dyDescent="0.3">
      <c r="A4623" s="3">
        <f t="shared" si="429"/>
        <v>45748</v>
      </c>
      <c r="B4623" s="11" t="s">
        <v>3097</v>
      </c>
      <c r="C4623" s="65" t="s">
        <v>7047</v>
      </c>
      <c r="F4623" s="11"/>
      <c r="G4623" s="88">
        <v>1000</v>
      </c>
      <c r="H4623" s="88"/>
      <c r="I4623" s="88">
        <f t="shared" si="430"/>
        <v>18812.36</v>
      </c>
      <c r="K4623" s="62"/>
      <c r="L4623" s="2">
        <f t="shared" si="431"/>
        <v>4</v>
      </c>
      <c r="M4623">
        <f t="shared" si="432"/>
        <v>0</v>
      </c>
      <c r="O4623" s="62"/>
      <c r="P4623" s="62"/>
    </row>
    <row r="4624" spans="1:16" x14ac:dyDescent="0.3">
      <c r="A4624" s="3">
        <f t="shared" si="429"/>
        <v>45748</v>
      </c>
      <c r="B4624" s="11" t="s">
        <v>3097</v>
      </c>
      <c r="C4624" s="65" t="s">
        <v>7047</v>
      </c>
      <c r="E4624" s="90" t="s">
        <v>2088</v>
      </c>
      <c r="F4624" s="11"/>
      <c r="G4624" s="88"/>
      <c r="H4624" s="88"/>
      <c r="I4624" s="88">
        <f t="shared" si="430"/>
        <v>18812.36</v>
      </c>
      <c r="K4624" s="62"/>
      <c r="L4624" s="2">
        <f t="shared" si="431"/>
        <v>0</v>
      </c>
      <c r="M4624">
        <f t="shared" si="432"/>
        <v>5</v>
      </c>
      <c r="O4624" s="62"/>
      <c r="P4624" s="62"/>
    </row>
    <row r="4625" spans="1:16" x14ac:dyDescent="0.3">
      <c r="A4625" s="3">
        <f t="shared" si="429"/>
        <v>45748</v>
      </c>
      <c r="B4625" s="11" t="s">
        <v>7651</v>
      </c>
      <c r="C4625" s="65" t="s">
        <v>8013</v>
      </c>
      <c r="E4625" s="90" t="s">
        <v>2088</v>
      </c>
      <c r="F4625" s="11"/>
      <c r="G4625" s="88"/>
      <c r="H4625" s="88"/>
      <c r="I4625" s="88">
        <f t="shared" si="430"/>
        <v>18812.36</v>
      </c>
      <c r="K4625" s="62"/>
      <c r="L4625" s="2">
        <f t="shared" si="431"/>
        <v>0</v>
      </c>
      <c r="M4625">
        <f t="shared" si="432"/>
        <v>5</v>
      </c>
      <c r="O4625" s="62"/>
      <c r="P4625" s="62"/>
    </row>
    <row r="4626" spans="1:16" x14ac:dyDescent="0.3">
      <c r="A4626" s="3">
        <f t="shared" si="429"/>
        <v>45748</v>
      </c>
      <c r="B4626" s="11" t="s">
        <v>7651</v>
      </c>
      <c r="C4626" s="65" t="s">
        <v>8013</v>
      </c>
      <c r="F4626" s="11"/>
      <c r="G4626" s="88">
        <v>500</v>
      </c>
      <c r="H4626" s="88"/>
      <c r="I4626" s="88">
        <f t="shared" si="430"/>
        <v>19312.36</v>
      </c>
      <c r="K4626" s="62"/>
      <c r="L4626" s="2">
        <f t="shared" si="431"/>
        <v>2</v>
      </c>
      <c r="M4626">
        <f t="shared" si="432"/>
        <v>0</v>
      </c>
      <c r="O4626" s="62"/>
      <c r="P4626" s="62"/>
    </row>
    <row r="4627" spans="1:16" x14ac:dyDescent="0.3">
      <c r="A4627" s="3">
        <f t="shared" si="429"/>
        <v>45748</v>
      </c>
      <c r="B4627" s="11" t="s">
        <v>7651</v>
      </c>
      <c r="C4627" s="65" t="s">
        <v>8013</v>
      </c>
      <c r="E4627" s="90" t="s">
        <v>2088</v>
      </c>
      <c r="F4627" s="11"/>
      <c r="G4627" s="88"/>
      <c r="H4627" s="88"/>
      <c r="I4627" s="88">
        <f t="shared" ref="I4627:I4631" si="433">I4626+G4627-H4627</f>
        <v>19312.36</v>
      </c>
      <c r="K4627" s="62"/>
      <c r="L4627" s="2">
        <f t="shared" ref="L4627:L4631" si="434">IF((G4627+H4627)&lt;=5000,(H4627+G4627)*0.004,20)+IF(E4627="Y",25,0)</f>
        <v>0</v>
      </c>
      <c r="M4627">
        <f t="shared" ref="M4627:M4631" si="435">IF(E4627="p",5,0)</f>
        <v>5</v>
      </c>
      <c r="O4627" s="62"/>
      <c r="P4627" s="62"/>
    </row>
    <row r="4628" spans="1:16" x14ac:dyDescent="0.3">
      <c r="A4628" s="3">
        <f t="shared" si="429"/>
        <v>45748</v>
      </c>
      <c r="B4628" s="11" t="s">
        <v>3524</v>
      </c>
      <c r="C4628" s="65" t="s">
        <v>3088</v>
      </c>
      <c r="F4628" s="11"/>
      <c r="G4628" s="88"/>
      <c r="H4628" s="147">
        <v>10000</v>
      </c>
      <c r="I4628" s="88">
        <f t="shared" si="433"/>
        <v>9312.36</v>
      </c>
      <c r="K4628" s="62"/>
      <c r="L4628" s="2">
        <f t="shared" si="434"/>
        <v>20</v>
      </c>
      <c r="M4628">
        <f t="shared" si="435"/>
        <v>0</v>
      </c>
      <c r="O4628" s="62"/>
      <c r="P4628" s="62"/>
    </row>
    <row r="4629" spans="1:16" x14ac:dyDescent="0.3">
      <c r="A4629" s="3">
        <f t="shared" si="429"/>
        <v>45748</v>
      </c>
      <c r="B4629" s="11" t="s">
        <v>7734</v>
      </c>
      <c r="C4629" s="65" t="s">
        <v>8014</v>
      </c>
      <c r="E4629" s="90" t="s">
        <v>2088</v>
      </c>
      <c r="F4629" s="11"/>
      <c r="G4629" s="88"/>
      <c r="H4629" s="88"/>
      <c r="I4629" s="88">
        <f t="shared" si="433"/>
        <v>9312.36</v>
      </c>
      <c r="K4629" s="62"/>
      <c r="L4629" s="2">
        <f t="shared" si="434"/>
        <v>0</v>
      </c>
      <c r="M4629">
        <f t="shared" si="435"/>
        <v>5</v>
      </c>
      <c r="O4629" s="62"/>
      <c r="P4629" s="62"/>
    </row>
    <row r="4630" spans="1:16" x14ac:dyDescent="0.3">
      <c r="A4630" s="3">
        <f t="shared" si="429"/>
        <v>45748</v>
      </c>
      <c r="B4630" s="11" t="s">
        <v>1250</v>
      </c>
      <c r="C4630" s="65" t="s">
        <v>2443</v>
      </c>
      <c r="F4630" s="11"/>
      <c r="G4630" s="88">
        <v>3000</v>
      </c>
      <c r="H4630" s="88"/>
      <c r="I4630" s="88">
        <f t="shared" si="433"/>
        <v>12312.36</v>
      </c>
      <c r="K4630" s="62">
        <v>50</v>
      </c>
      <c r="L4630" s="2">
        <f t="shared" si="434"/>
        <v>12</v>
      </c>
      <c r="M4630">
        <f t="shared" si="435"/>
        <v>0</v>
      </c>
      <c r="O4630" s="62"/>
      <c r="P4630" s="62"/>
    </row>
    <row r="4631" spans="1:16" x14ac:dyDescent="0.3">
      <c r="A4631" s="3">
        <v>45749</v>
      </c>
      <c r="B4631" s="11" t="s">
        <v>6260</v>
      </c>
      <c r="C4631" s="65" t="s">
        <v>7117</v>
      </c>
      <c r="F4631" s="11"/>
      <c r="G4631" s="88"/>
      <c r="H4631" s="88">
        <v>8000</v>
      </c>
      <c r="I4631" s="88">
        <f t="shared" si="433"/>
        <v>4312.3600000000006</v>
      </c>
      <c r="K4631" s="62"/>
      <c r="L4631" s="2">
        <f t="shared" si="434"/>
        <v>20</v>
      </c>
      <c r="M4631">
        <f t="shared" si="435"/>
        <v>0</v>
      </c>
      <c r="O4631" s="62"/>
      <c r="P4631" s="62"/>
    </row>
    <row r="4632" spans="1:16" x14ac:dyDescent="0.3">
      <c r="A4632" s="3">
        <f t="shared" si="429"/>
        <v>45749</v>
      </c>
      <c r="B4632" s="11" t="s">
        <v>5602</v>
      </c>
      <c r="C4632" s="65" t="s">
        <v>2987</v>
      </c>
      <c r="F4632" s="11"/>
      <c r="G4632" s="88"/>
      <c r="H4632" s="88">
        <v>500</v>
      </c>
      <c r="I4632" s="88">
        <f t="shared" ref="I4632:I4645" si="436">I4631+G4632-H4632</f>
        <v>3812.3600000000006</v>
      </c>
      <c r="K4632" s="62"/>
      <c r="L4632" s="2">
        <f t="shared" ref="L4632:L4645" si="437">IF((G4632+H4632)&lt;=5000,(H4632+G4632)*0.004,20)+IF(E4632="Y",25,0)</f>
        <v>2</v>
      </c>
      <c r="M4632">
        <f t="shared" ref="M4632:M4645" si="438">IF(E4632="p",5,0)</f>
        <v>0</v>
      </c>
      <c r="O4632" s="62"/>
      <c r="P4632" s="62"/>
    </row>
    <row r="4633" spans="1:16" x14ac:dyDescent="0.3">
      <c r="A4633" s="3">
        <f t="shared" si="429"/>
        <v>45749</v>
      </c>
      <c r="B4633" s="11" t="s">
        <v>1250</v>
      </c>
      <c r="C4633" s="65" t="s">
        <v>2884</v>
      </c>
      <c r="F4633" s="11"/>
      <c r="G4633" s="88">
        <v>400</v>
      </c>
      <c r="H4633" s="88"/>
      <c r="I4633" s="88">
        <f t="shared" si="436"/>
        <v>4212.3600000000006</v>
      </c>
      <c r="K4633" s="62"/>
      <c r="L4633" s="2">
        <f t="shared" si="437"/>
        <v>1.6</v>
      </c>
      <c r="M4633">
        <f t="shared" si="438"/>
        <v>0</v>
      </c>
      <c r="O4633" s="62"/>
      <c r="P4633" s="62"/>
    </row>
    <row r="4634" spans="1:16" x14ac:dyDescent="0.3">
      <c r="A4634" s="3">
        <f t="shared" si="429"/>
        <v>45749</v>
      </c>
      <c r="B4634" s="11" t="s">
        <v>1250</v>
      </c>
      <c r="C4634" s="65" t="s">
        <v>6435</v>
      </c>
      <c r="F4634" s="11"/>
      <c r="G4634" s="88">
        <v>400</v>
      </c>
      <c r="H4634" s="88"/>
      <c r="I4634" s="88">
        <f t="shared" si="436"/>
        <v>4612.3600000000006</v>
      </c>
      <c r="K4634" s="62"/>
      <c r="L4634" s="2">
        <f t="shared" si="437"/>
        <v>1.6</v>
      </c>
      <c r="M4634">
        <f t="shared" si="438"/>
        <v>0</v>
      </c>
      <c r="O4634" s="62"/>
      <c r="P4634" s="62"/>
    </row>
    <row r="4635" spans="1:16" x14ac:dyDescent="0.3">
      <c r="A4635" s="3">
        <f t="shared" si="429"/>
        <v>45749</v>
      </c>
      <c r="C4635" s="65"/>
      <c r="F4635" s="11"/>
      <c r="G4635" s="88">
        <v>550</v>
      </c>
      <c r="H4635" s="88"/>
      <c r="I4635" s="88">
        <f t="shared" si="436"/>
        <v>5162.3600000000006</v>
      </c>
      <c r="K4635" s="62"/>
      <c r="L4635" s="2">
        <f t="shared" si="437"/>
        <v>2.2000000000000002</v>
      </c>
      <c r="M4635">
        <f t="shared" si="438"/>
        <v>0</v>
      </c>
      <c r="O4635" s="62"/>
      <c r="P4635" s="62"/>
    </row>
    <row r="4636" spans="1:16" x14ac:dyDescent="0.3">
      <c r="A4636" s="3">
        <f>A4634</f>
        <v>45749</v>
      </c>
      <c r="B4636" s="11" t="s">
        <v>8016</v>
      </c>
      <c r="C4636" s="65" t="s">
        <v>5713</v>
      </c>
      <c r="E4636" s="11" t="s">
        <v>16</v>
      </c>
      <c r="G4636" s="88"/>
      <c r="H4636" s="88">
        <v>500</v>
      </c>
      <c r="I4636" s="88">
        <f t="shared" si="436"/>
        <v>4662.3600000000006</v>
      </c>
      <c r="K4636" s="62"/>
      <c r="L4636" s="2">
        <f>IF((G4636+H4636)&lt;=5000,(H4636+G4636)*0.004,20)+IF(C4636="Y",25,0)</f>
        <v>2</v>
      </c>
      <c r="M4636">
        <f t="shared" si="438"/>
        <v>0</v>
      </c>
      <c r="O4636" s="62"/>
      <c r="P4636" s="62"/>
    </row>
    <row r="4637" spans="1:16" x14ac:dyDescent="0.3">
      <c r="A4637" s="3">
        <f t="shared" si="429"/>
        <v>45749</v>
      </c>
      <c r="B4637" s="11" t="s">
        <v>8020</v>
      </c>
      <c r="C4637" s="65" t="s">
        <v>8021</v>
      </c>
      <c r="E4637" s="90" t="s">
        <v>2088</v>
      </c>
      <c r="F4637" s="11"/>
      <c r="G4637" s="88"/>
      <c r="H4637" s="88"/>
      <c r="I4637" s="88">
        <f t="shared" si="436"/>
        <v>4662.3600000000006</v>
      </c>
      <c r="K4637" s="62"/>
      <c r="L4637" s="2">
        <f t="shared" si="437"/>
        <v>0</v>
      </c>
      <c r="M4637">
        <f t="shared" si="438"/>
        <v>5</v>
      </c>
      <c r="O4637" s="62"/>
      <c r="P4637" s="62"/>
    </row>
    <row r="4638" spans="1:16" x14ac:dyDescent="0.3">
      <c r="A4638" s="3">
        <f t="shared" si="429"/>
        <v>45749</v>
      </c>
      <c r="B4638" s="11" t="s">
        <v>8020</v>
      </c>
      <c r="C4638" s="65" t="s">
        <v>8021</v>
      </c>
      <c r="F4638" s="11"/>
      <c r="G4638" s="88">
        <v>3000</v>
      </c>
      <c r="H4638" s="88"/>
      <c r="I4638" s="88">
        <f t="shared" si="436"/>
        <v>7662.3600000000006</v>
      </c>
      <c r="K4638" s="62"/>
      <c r="L4638" s="2">
        <f t="shared" si="437"/>
        <v>12</v>
      </c>
      <c r="M4638">
        <f t="shared" si="438"/>
        <v>0</v>
      </c>
      <c r="O4638" s="62"/>
      <c r="P4638" s="62"/>
    </row>
    <row r="4639" spans="1:16" x14ac:dyDescent="0.3">
      <c r="A4639" s="3">
        <f t="shared" si="429"/>
        <v>45749</v>
      </c>
      <c r="B4639" s="11" t="s">
        <v>8020</v>
      </c>
      <c r="C4639" s="65" t="s">
        <v>8021</v>
      </c>
      <c r="E4639" s="90" t="s">
        <v>2088</v>
      </c>
      <c r="F4639" s="11"/>
      <c r="G4639" s="88"/>
      <c r="H4639" s="88"/>
      <c r="I4639" s="88">
        <f t="shared" si="436"/>
        <v>7662.3600000000006</v>
      </c>
      <c r="K4639" s="62"/>
      <c r="L4639" s="2">
        <f t="shared" si="437"/>
        <v>0</v>
      </c>
      <c r="M4639">
        <f t="shared" si="438"/>
        <v>5</v>
      </c>
      <c r="O4639" s="62"/>
      <c r="P4639" s="62"/>
    </row>
    <row r="4640" spans="1:16" x14ac:dyDescent="0.3">
      <c r="A4640" s="3">
        <f t="shared" si="429"/>
        <v>45749</v>
      </c>
      <c r="B4640" s="11" t="s">
        <v>8023</v>
      </c>
      <c r="C4640" s="65" t="s">
        <v>8024</v>
      </c>
      <c r="F4640" s="11"/>
      <c r="G4640" s="88">
        <v>5000</v>
      </c>
      <c r="H4640" s="88"/>
      <c r="I4640" s="88">
        <f t="shared" si="436"/>
        <v>12662.36</v>
      </c>
      <c r="K4640" s="62"/>
      <c r="L4640" s="2">
        <f t="shared" si="437"/>
        <v>20</v>
      </c>
      <c r="M4640">
        <f t="shared" si="438"/>
        <v>0</v>
      </c>
      <c r="O4640" s="62"/>
      <c r="P4640" s="62"/>
    </row>
    <row r="4641" spans="1:16" x14ac:dyDescent="0.3">
      <c r="A4641" s="3">
        <f t="shared" si="429"/>
        <v>45749</v>
      </c>
      <c r="B4641" s="11" t="s">
        <v>8023</v>
      </c>
      <c r="C4641" s="65" t="s">
        <v>8024</v>
      </c>
      <c r="E4641" s="90" t="s">
        <v>2088</v>
      </c>
      <c r="F4641" s="11"/>
      <c r="G4641" s="88"/>
      <c r="H4641" s="88"/>
      <c r="I4641" s="88">
        <f t="shared" si="436"/>
        <v>12662.36</v>
      </c>
      <c r="K4641" s="62"/>
      <c r="L4641" s="2">
        <f t="shared" si="437"/>
        <v>0</v>
      </c>
      <c r="M4641">
        <f t="shared" si="438"/>
        <v>5</v>
      </c>
      <c r="O4641" s="62"/>
      <c r="P4641" s="62"/>
    </row>
    <row r="4642" spans="1:16" x14ac:dyDescent="0.3">
      <c r="A4642" s="3">
        <f t="shared" si="429"/>
        <v>45749</v>
      </c>
      <c r="B4642" s="11" t="s">
        <v>7174</v>
      </c>
      <c r="C4642" s="65" t="s">
        <v>7421</v>
      </c>
      <c r="F4642" s="11"/>
      <c r="G4642" s="88">
        <v>5000</v>
      </c>
      <c r="H4642" s="88"/>
      <c r="I4642" s="88">
        <f t="shared" si="436"/>
        <v>17662.36</v>
      </c>
      <c r="K4642" s="62"/>
      <c r="L4642" s="2">
        <f t="shared" si="437"/>
        <v>20</v>
      </c>
      <c r="M4642">
        <f t="shared" si="438"/>
        <v>0</v>
      </c>
      <c r="O4642" s="62"/>
      <c r="P4642" s="62"/>
    </row>
    <row r="4643" spans="1:16" x14ac:dyDescent="0.3">
      <c r="A4643" s="3">
        <f t="shared" si="429"/>
        <v>45749</v>
      </c>
      <c r="C4643" s="65" t="s">
        <v>2857</v>
      </c>
      <c r="E4643" s="90" t="s">
        <v>4721</v>
      </c>
      <c r="F4643" s="11"/>
      <c r="G4643" s="88"/>
      <c r="H4643" s="88">
        <v>15000</v>
      </c>
      <c r="I4643" s="88">
        <f t="shared" si="436"/>
        <v>2662.3600000000006</v>
      </c>
      <c r="K4643" s="62"/>
      <c r="L4643" s="2">
        <v>0</v>
      </c>
      <c r="M4643">
        <f t="shared" si="438"/>
        <v>0</v>
      </c>
      <c r="O4643" s="62"/>
      <c r="P4643" s="62"/>
    </row>
    <row r="4644" spans="1:16" x14ac:dyDescent="0.3">
      <c r="A4644" s="3">
        <f t="shared" si="429"/>
        <v>45749</v>
      </c>
      <c r="B4644" s="11" t="s">
        <v>1250</v>
      </c>
      <c r="C4644" s="65" t="s">
        <v>8025</v>
      </c>
      <c r="F4644" s="11"/>
      <c r="G4644" s="88">
        <v>500</v>
      </c>
      <c r="H4644" s="88"/>
      <c r="I4644" s="88">
        <f t="shared" si="436"/>
        <v>3162.3600000000006</v>
      </c>
      <c r="K4644" s="62"/>
      <c r="L4644" s="2">
        <f t="shared" si="437"/>
        <v>2</v>
      </c>
      <c r="M4644">
        <f t="shared" si="438"/>
        <v>0</v>
      </c>
      <c r="O4644" s="62"/>
      <c r="P4644" s="62"/>
    </row>
    <row r="4645" spans="1:16" x14ac:dyDescent="0.3">
      <c r="A4645" s="3">
        <f t="shared" si="429"/>
        <v>45749</v>
      </c>
      <c r="B4645" s="11" t="s">
        <v>5064</v>
      </c>
      <c r="C4645" s="65" t="s">
        <v>4684</v>
      </c>
      <c r="E4645" s="90" t="s">
        <v>2088</v>
      </c>
      <c r="F4645" s="11"/>
      <c r="G4645" s="88"/>
      <c r="H4645" s="88"/>
      <c r="I4645" s="88">
        <f t="shared" si="436"/>
        <v>3162.3600000000006</v>
      </c>
      <c r="K4645" s="62"/>
      <c r="L4645" s="2">
        <f t="shared" si="437"/>
        <v>0</v>
      </c>
      <c r="M4645">
        <f t="shared" si="438"/>
        <v>5</v>
      </c>
      <c r="O4645" s="62"/>
      <c r="P4645" s="62"/>
    </row>
    <row r="4646" spans="1:16" x14ac:dyDescent="0.3">
      <c r="A4646" s="3">
        <f t="shared" si="429"/>
        <v>45749</v>
      </c>
      <c r="B4646" s="11" t="s">
        <v>7514</v>
      </c>
      <c r="C4646" s="65" t="s">
        <v>6985</v>
      </c>
      <c r="F4646" s="11"/>
      <c r="G4646" s="88">
        <v>2000</v>
      </c>
      <c r="H4646" s="88"/>
      <c r="I4646" s="88">
        <f t="shared" ref="I4646:I4674" si="439">I4645+G4646-H4646</f>
        <v>5162.3600000000006</v>
      </c>
      <c r="K4646" s="62"/>
      <c r="L4646" s="2">
        <f t="shared" ref="L4646:L4654" si="440">IF((G4646+H4646)&lt;=5000,(H4646+G4646)*0.004,20)+IF(E4646="Y",25,0)</f>
        <v>8</v>
      </c>
      <c r="M4646">
        <f t="shared" ref="M4646:M4654" si="441">IF(E4646="p",5,0)</f>
        <v>0</v>
      </c>
      <c r="O4646" s="62"/>
      <c r="P4646" s="62"/>
    </row>
    <row r="4647" spans="1:16" x14ac:dyDescent="0.3">
      <c r="A4647" s="3">
        <f t="shared" si="429"/>
        <v>45749</v>
      </c>
      <c r="B4647" s="11" t="s">
        <v>4157</v>
      </c>
      <c r="C4647" s="65" t="s">
        <v>4162</v>
      </c>
      <c r="F4647" s="11"/>
      <c r="G4647" s="88"/>
      <c r="H4647" s="88">
        <v>5000</v>
      </c>
      <c r="I4647" s="88">
        <f t="shared" si="439"/>
        <v>162.36000000000058</v>
      </c>
      <c r="K4647" s="62"/>
      <c r="L4647" s="2">
        <f t="shared" si="440"/>
        <v>20</v>
      </c>
      <c r="M4647">
        <f t="shared" si="441"/>
        <v>0</v>
      </c>
      <c r="O4647" s="62"/>
      <c r="P4647" s="62"/>
    </row>
    <row r="4648" spans="1:16" x14ac:dyDescent="0.3">
      <c r="A4648" s="3">
        <f t="shared" si="429"/>
        <v>45749</v>
      </c>
      <c r="B4648" s="11" t="s">
        <v>1472</v>
      </c>
      <c r="C4648" s="65" t="s">
        <v>8026</v>
      </c>
      <c r="F4648" s="11"/>
      <c r="G4648" s="88">
        <v>2000</v>
      </c>
      <c r="H4648" s="88"/>
      <c r="I4648" s="88">
        <f t="shared" si="439"/>
        <v>2162.3600000000006</v>
      </c>
      <c r="K4648" s="62"/>
      <c r="L4648" s="2">
        <f t="shared" si="440"/>
        <v>8</v>
      </c>
      <c r="M4648">
        <f t="shared" si="441"/>
        <v>0</v>
      </c>
      <c r="O4648" s="62"/>
      <c r="P4648" s="62"/>
    </row>
    <row r="4649" spans="1:16" x14ac:dyDescent="0.3">
      <c r="A4649" s="3">
        <f t="shared" si="429"/>
        <v>45749</v>
      </c>
      <c r="B4649" s="11" t="s">
        <v>4622</v>
      </c>
      <c r="C4649" s="65" t="s">
        <v>7468</v>
      </c>
      <c r="F4649" s="11"/>
      <c r="G4649" s="88">
        <v>3000</v>
      </c>
      <c r="H4649" s="88"/>
      <c r="I4649" s="88">
        <f t="shared" si="439"/>
        <v>5162.3600000000006</v>
      </c>
      <c r="K4649" s="62"/>
      <c r="L4649" s="2">
        <f t="shared" si="440"/>
        <v>12</v>
      </c>
      <c r="M4649">
        <f t="shared" si="441"/>
        <v>0</v>
      </c>
      <c r="O4649" s="62"/>
      <c r="P4649" s="62"/>
    </row>
    <row r="4650" spans="1:16" x14ac:dyDescent="0.3">
      <c r="A4650" s="3">
        <f t="shared" si="429"/>
        <v>45749</v>
      </c>
      <c r="B4650" s="11" t="s">
        <v>4622</v>
      </c>
      <c r="C4650" s="65" t="s">
        <v>7468</v>
      </c>
      <c r="E4650" s="90" t="s">
        <v>2088</v>
      </c>
      <c r="F4650" s="11"/>
      <c r="G4650" s="88"/>
      <c r="H4650" s="88"/>
      <c r="I4650" s="88">
        <f t="shared" si="439"/>
        <v>5162.3600000000006</v>
      </c>
      <c r="K4650" s="62"/>
      <c r="L4650" s="2">
        <f t="shared" si="440"/>
        <v>0</v>
      </c>
      <c r="M4650">
        <f t="shared" si="441"/>
        <v>5</v>
      </c>
      <c r="O4650" s="62"/>
      <c r="P4650" s="62"/>
    </row>
    <row r="4651" spans="1:16" x14ac:dyDescent="0.3">
      <c r="A4651" s="3">
        <f t="shared" si="429"/>
        <v>45749</v>
      </c>
      <c r="B4651" s="11" t="s">
        <v>6726</v>
      </c>
      <c r="C4651" s="65" t="s">
        <v>8027</v>
      </c>
      <c r="F4651" s="11"/>
      <c r="G4651" s="88">
        <v>5000</v>
      </c>
      <c r="H4651" s="88"/>
      <c r="I4651" s="88">
        <f t="shared" si="439"/>
        <v>10162.36</v>
      </c>
      <c r="K4651" s="62"/>
      <c r="L4651" s="2">
        <f t="shared" si="440"/>
        <v>20</v>
      </c>
      <c r="M4651">
        <f t="shared" si="441"/>
        <v>0</v>
      </c>
      <c r="O4651" s="62"/>
      <c r="P4651" s="62"/>
    </row>
    <row r="4652" spans="1:16" x14ac:dyDescent="0.3">
      <c r="A4652" s="3">
        <f t="shared" si="429"/>
        <v>45749</v>
      </c>
      <c r="B4652" s="11" t="s">
        <v>7846</v>
      </c>
      <c r="C4652" s="65" t="s">
        <v>8028</v>
      </c>
      <c r="F4652" s="11"/>
      <c r="G4652" s="88">
        <v>5000</v>
      </c>
      <c r="H4652" s="88"/>
      <c r="I4652" s="88">
        <f t="shared" si="439"/>
        <v>15162.36</v>
      </c>
      <c r="K4652" s="62"/>
      <c r="L4652" s="2">
        <f t="shared" si="440"/>
        <v>20</v>
      </c>
      <c r="M4652">
        <f t="shared" si="441"/>
        <v>0</v>
      </c>
      <c r="O4652" s="62"/>
      <c r="P4652" s="62"/>
    </row>
    <row r="4653" spans="1:16" x14ac:dyDescent="0.3">
      <c r="A4653" s="3">
        <f t="shared" si="429"/>
        <v>45749</v>
      </c>
      <c r="B4653" s="11" t="s">
        <v>3541</v>
      </c>
      <c r="C4653" s="50" t="s">
        <v>3542</v>
      </c>
      <c r="E4653" s="90" t="s">
        <v>2088</v>
      </c>
      <c r="F4653" s="11"/>
      <c r="G4653" s="88"/>
      <c r="H4653" s="88"/>
      <c r="I4653" s="88">
        <f t="shared" si="439"/>
        <v>15162.36</v>
      </c>
      <c r="K4653" s="62"/>
      <c r="L4653" s="2">
        <f t="shared" si="440"/>
        <v>0</v>
      </c>
      <c r="M4653">
        <f t="shared" si="441"/>
        <v>5</v>
      </c>
      <c r="O4653" s="62"/>
      <c r="P4653" s="62"/>
    </row>
    <row r="4654" spans="1:16" x14ac:dyDescent="0.3">
      <c r="A4654" s="3">
        <f t="shared" si="429"/>
        <v>45749</v>
      </c>
      <c r="B4654" s="11" t="s">
        <v>3541</v>
      </c>
      <c r="C4654" s="50" t="s">
        <v>3542</v>
      </c>
      <c r="F4654" s="11"/>
      <c r="G4654" s="88">
        <v>3000</v>
      </c>
      <c r="H4654" s="88"/>
      <c r="I4654" s="88">
        <f t="shared" si="439"/>
        <v>18162.36</v>
      </c>
      <c r="K4654" s="62"/>
      <c r="L4654" s="2">
        <f t="shared" si="440"/>
        <v>12</v>
      </c>
      <c r="M4654">
        <f t="shared" si="441"/>
        <v>0</v>
      </c>
      <c r="O4654" s="62"/>
      <c r="P4654" s="62"/>
    </row>
    <row r="4655" spans="1:16" x14ac:dyDescent="0.3">
      <c r="A4655" s="3">
        <f t="shared" si="429"/>
        <v>45749</v>
      </c>
      <c r="B4655" s="11" t="s">
        <v>4678</v>
      </c>
      <c r="C4655" s="65" t="s">
        <v>8029</v>
      </c>
      <c r="F4655" s="11"/>
      <c r="G4655" s="88"/>
      <c r="H4655" s="88">
        <v>3000</v>
      </c>
      <c r="I4655" s="88">
        <f t="shared" si="439"/>
        <v>15162.36</v>
      </c>
      <c r="K4655" s="62"/>
      <c r="L4655" s="2">
        <f t="shared" ref="L4655:L4666" si="442">IF((G4655+H4655)&lt;=5000,(H4655+G4655)*0.004,20)+IF(E4655="Y",25,0)</f>
        <v>12</v>
      </c>
      <c r="M4655">
        <f t="shared" ref="M4655:M4666" si="443">IF(E4655="p",5,0)</f>
        <v>0</v>
      </c>
      <c r="O4655" s="62"/>
      <c r="P4655" s="62"/>
    </row>
    <row r="4656" spans="1:16" x14ac:dyDescent="0.3">
      <c r="A4656" s="3">
        <f t="shared" si="429"/>
        <v>45749</v>
      </c>
      <c r="B4656" s="11" t="s">
        <v>3541</v>
      </c>
      <c r="C4656" s="50" t="s">
        <v>3542</v>
      </c>
      <c r="E4656" s="90" t="s">
        <v>2088</v>
      </c>
      <c r="F4656" s="11"/>
      <c r="G4656" s="88"/>
      <c r="H4656" s="88">
        <v>0</v>
      </c>
      <c r="I4656" s="88">
        <f t="shared" si="439"/>
        <v>15162.36</v>
      </c>
      <c r="K4656" s="62"/>
      <c r="L4656" s="2">
        <f t="shared" si="442"/>
        <v>0</v>
      </c>
      <c r="M4656">
        <f t="shared" si="443"/>
        <v>5</v>
      </c>
      <c r="O4656" s="62"/>
      <c r="P4656" s="62"/>
    </row>
    <row r="4657" spans="1:16" x14ac:dyDescent="0.3">
      <c r="A4657" s="3">
        <f t="shared" si="429"/>
        <v>45749</v>
      </c>
      <c r="B4657" s="11" t="s">
        <v>8031</v>
      </c>
      <c r="C4657" s="65" t="s">
        <v>8032</v>
      </c>
      <c r="E4657" s="90" t="s">
        <v>16</v>
      </c>
      <c r="F4657" s="11"/>
      <c r="G4657" s="88"/>
      <c r="H4657" s="88">
        <v>500</v>
      </c>
      <c r="I4657" s="88">
        <f t="shared" si="439"/>
        <v>14662.36</v>
      </c>
      <c r="K4657" s="62"/>
      <c r="L4657" s="2">
        <f t="shared" si="442"/>
        <v>27</v>
      </c>
      <c r="M4657">
        <f t="shared" si="443"/>
        <v>0</v>
      </c>
      <c r="O4657" s="62"/>
      <c r="P4657" s="62"/>
    </row>
    <row r="4658" spans="1:16" x14ac:dyDescent="0.3">
      <c r="A4658" s="3">
        <v>45750</v>
      </c>
      <c r="B4658" s="11" t="s">
        <v>6260</v>
      </c>
      <c r="C4658" s="65" t="s">
        <v>7117</v>
      </c>
      <c r="F4658" s="11"/>
      <c r="G4658" s="88"/>
      <c r="H4658" s="88">
        <v>5500</v>
      </c>
      <c r="I4658" s="88">
        <f t="shared" si="439"/>
        <v>9162.36</v>
      </c>
      <c r="K4658" s="62"/>
      <c r="L4658" s="2">
        <f t="shared" si="442"/>
        <v>20</v>
      </c>
      <c r="M4658">
        <f t="shared" si="443"/>
        <v>0</v>
      </c>
      <c r="O4658" s="62"/>
      <c r="P4658" s="62"/>
    </row>
    <row r="4659" spans="1:16" x14ac:dyDescent="0.3">
      <c r="A4659" s="3">
        <f t="shared" si="429"/>
        <v>45750</v>
      </c>
      <c r="B4659" s="11" t="s">
        <v>4157</v>
      </c>
      <c r="C4659" s="65" t="s">
        <v>4162</v>
      </c>
      <c r="F4659" s="11"/>
      <c r="G4659" s="88"/>
      <c r="H4659" s="88">
        <v>2500</v>
      </c>
      <c r="I4659" s="88">
        <f t="shared" si="439"/>
        <v>6662.3600000000006</v>
      </c>
      <c r="K4659" s="62"/>
      <c r="L4659" s="2">
        <f t="shared" si="442"/>
        <v>10</v>
      </c>
      <c r="M4659">
        <f t="shared" si="443"/>
        <v>0</v>
      </c>
      <c r="O4659" s="62"/>
      <c r="P4659" s="62"/>
    </row>
    <row r="4660" spans="1:16" x14ac:dyDescent="0.3">
      <c r="A4660" s="3">
        <f t="shared" si="429"/>
        <v>45750</v>
      </c>
      <c r="B4660" s="11" t="s">
        <v>7660</v>
      </c>
      <c r="C4660" s="65" t="s">
        <v>7661</v>
      </c>
      <c r="F4660" s="11"/>
      <c r="G4660" s="88">
        <v>2000</v>
      </c>
      <c r="H4660" s="88"/>
      <c r="I4660" s="88">
        <f t="shared" si="439"/>
        <v>8662.36</v>
      </c>
      <c r="K4660" s="62"/>
      <c r="L4660" s="2">
        <f t="shared" si="442"/>
        <v>8</v>
      </c>
      <c r="M4660">
        <f t="shared" si="443"/>
        <v>0</v>
      </c>
      <c r="O4660" s="62"/>
      <c r="P4660" s="62"/>
    </row>
    <row r="4661" spans="1:16" x14ac:dyDescent="0.3">
      <c r="A4661" s="3">
        <f t="shared" si="429"/>
        <v>45750</v>
      </c>
      <c r="B4661" s="11" t="s">
        <v>7813</v>
      </c>
      <c r="C4661" s="65" t="s">
        <v>8034</v>
      </c>
      <c r="F4661" s="11"/>
      <c r="G4661" s="88">
        <v>1000</v>
      </c>
      <c r="H4661" s="88"/>
      <c r="I4661" s="88">
        <f t="shared" si="439"/>
        <v>9662.36</v>
      </c>
      <c r="K4661" s="62"/>
      <c r="L4661" s="2">
        <f t="shared" si="442"/>
        <v>4</v>
      </c>
      <c r="M4661">
        <f t="shared" si="443"/>
        <v>0</v>
      </c>
      <c r="O4661" s="62"/>
      <c r="P4661" s="62"/>
    </row>
    <row r="4662" spans="1:16" x14ac:dyDescent="0.3">
      <c r="A4662" s="3">
        <f t="shared" si="429"/>
        <v>45750</v>
      </c>
      <c r="B4662" s="11" t="s">
        <v>7813</v>
      </c>
      <c r="C4662" s="65" t="s">
        <v>8034</v>
      </c>
      <c r="E4662" s="90" t="s">
        <v>2088</v>
      </c>
      <c r="F4662" s="11"/>
      <c r="G4662" s="88"/>
      <c r="H4662" s="88"/>
      <c r="I4662" s="88">
        <f t="shared" si="439"/>
        <v>9662.36</v>
      </c>
      <c r="K4662" s="62"/>
      <c r="L4662" s="2">
        <f t="shared" si="442"/>
        <v>0</v>
      </c>
      <c r="M4662">
        <f t="shared" si="443"/>
        <v>5</v>
      </c>
      <c r="O4662" s="62"/>
      <c r="P4662" s="62"/>
    </row>
    <row r="4663" spans="1:16" x14ac:dyDescent="0.3">
      <c r="A4663" s="3">
        <f t="shared" si="429"/>
        <v>45750</v>
      </c>
      <c r="B4663" s="11" t="s">
        <v>7619</v>
      </c>
      <c r="C4663" s="65" t="s">
        <v>7620</v>
      </c>
      <c r="F4663" s="11"/>
      <c r="G4663" s="88">
        <v>4000</v>
      </c>
      <c r="H4663" s="88"/>
      <c r="I4663" s="88">
        <f t="shared" si="439"/>
        <v>13662.36</v>
      </c>
      <c r="K4663" s="62"/>
      <c r="L4663" s="2">
        <f t="shared" si="442"/>
        <v>16</v>
      </c>
      <c r="M4663">
        <f t="shared" si="443"/>
        <v>0</v>
      </c>
      <c r="O4663" s="62"/>
      <c r="P4663" s="62"/>
    </row>
    <row r="4664" spans="1:16" x14ac:dyDescent="0.3">
      <c r="A4664" s="3">
        <f t="shared" si="429"/>
        <v>45750</v>
      </c>
      <c r="C4664" s="65" t="s">
        <v>2857</v>
      </c>
      <c r="E4664" s="90" t="s">
        <v>4721</v>
      </c>
      <c r="F4664" s="11"/>
      <c r="G4664" s="88"/>
      <c r="H4664" s="88">
        <v>13000</v>
      </c>
      <c r="I4664" s="88">
        <f t="shared" si="439"/>
        <v>662.36000000000058</v>
      </c>
      <c r="K4664" s="62"/>
      <c r="L4664" s="2">
        <v>0</v>
      </c>
      <c r="M4664">
        <v>0</v>
      </c>
      <c r="O4664" s="62"/>
      <c r="P4664" s="62"/>
    </row>
    <row r="4665" spans="1:16" x14ac:dyDescent="0.3">
      <c r="A4665" s="3">
        <f>A4663</f>
        <v>45750</v>
      </c>
      <c r="B4665" s="11" t="s">
        <v>7619</v>
      </c>
      <c r="C4665" s="65" t="s">
        <v>7620</v>
      </c>
      <c r="E4665" s="90" t="s">
        <v>2088</v>
      </c>
      <c r="F4665" s="11"/>
      <c r="G4665" s="88"/>
      <c r="H4665" s="88"/>
      <c r="I4665" s="88">
        <f t="shared" si="439"/>
        <v>662.36000000000058</v>
      </c>
      <c r="K4665" s="62"/>
      <c r="L4665" s="2">
        <f t="shared" si="442"/>
        <v>0</v>
      </c>
      <c r="M4665">
        <f t="shared" si="443"/>
        <v>5</v>
      </c>
      <c r="O4665" s="62"/>
      <c r="P4665" s="62"/>
    </row>
    <row r="4666" spans="1:16" x14ac:dyDescent="0.3">
      <c r="A4666" s="3">
        <f t="shared" si="429"/>
        <v>45750</v>
      </c>
      <c r="B4666" s="11" t="s">
        <v>3148</v>
      </c>
      <c r="C4666" s="65" t="s">
        <v>2443</v>
      </c>
      <c r="F4666" s="11"/>
      <c r="G4666" s="88">
        <v>1700</v>
      </c>
      <c r="H4666" s="88"/>
      <c r="I4666" s="88">
        <f t="shared" si="439"/>
        <v>2362.3600000000006</v>
      </c>
      <c r="K4666" s="62"/>
      <c r="L4666" s="2">
        <f t="shared" si="442"/>
        <v>6.8</v>
      </c>
      <c r="M4666">
        <f t="shared" si="443"/>
        <v>0</v>
      </c>
      <c r="O4666" s="62"/>
      <c r="P4666" s="62"/>
    </row>
    <row r="4667" spans="1:16" x14ac:dyDescent="0.3">
      <c r="A4667" s="3">
        <f t="shared" si="429"/>
        <v>45750</v>
      </c>
      <c r="B4667" s="11" t="s">
        <v>7186</v>
      </c>
      <c r="C4667" s="65" t="s">
        <v>8039</v>
      </c>
      <c r="E4667" s="90" t="s">
        <v>2088</v>
      </c>
      <c r="F4667" s="11"/>
      <c r="G4667" s="88"/>
      <c r="H4667" s="88"/>
      <c r="I4667" s="88">
        <f t="shared" si="439"/>
        <v>2362.3600000000006</v>
      </c>
      <c r="K4667" s="62"/>
      <c r="L4667" s="2">
        <f t="shared" ref="L4667:L4674" si="444">IF((G4667+H4667)&lt;=5000,(H4667+G4667)*0.004,20)+IF(E4667="Y",25,0)</f>
        <v>0</v>
      </c>
      <c r="M4667">
        <f t="shared" ref="M4667:M4674" si="445">IF(E4667="p",5,0)</f>
        <v>5</v>
      </c>
      <c r="O4667" s="62"/>
      <c r="P4667" s="62"/>
    </row>
    <row r="4668" spans="1:16" x14ac:dyDescent="0.3">
      <c r="A4668" s="3">
        <f t="shared" si="429"/>
        <v>45750</v>
      </c>
      <c r="B4668" s="11" t="s">
        <v>7186</v>
      </c>
      <c r="C4668" s="65" t="s">
        <v>8039</v>
      </c>
      <c r="F4668" s="11"/>
      <c r="G4668" s="88">
        <v>5000</v>
      </c>
      <c r="H4668" s="88"/>
      <c r="I4668" s="88">
        <f t="shared" si="439"/>
        <v>7362.3600000000006</v>
      </c>
      <c r="K4668" s="62"/>
      <c r="L4668" s="2">
        <f t="shared" si="444"/>
        <v>20</v>
      </c>
      <c r="M4668">
        <f t="shared" si="445"/>
        <v>0</v>
      </c>
      <c r="O4668" s="62"/>
      <c r="P4668" s="62"/>
    </row>
    <row r="4669" spans="1:16" x14ac:dyDescent="0.3">
      <c r="A4669" s="3">
        <f t="shared" si="429"/>
        <v>45750</v>
      </c>
      <c r="B4669" s="11" t="s">
        <v>7186</v>
      </c>
      <c r="C4669" s="65" t="s">
        <v>8039</v>
      </c>
      <c r="E4669" s="90" t="s">
        <v>2088</v>
      </c>
      <c r="F4669" s="11"/>
      <c r="G4669" s="88"/>
      <c r="H4669" s="88"/>
      <c r="I4669" s="88">
        <f t="shared" si="439"/>
        <v>7362.3600000000006</v>
      </c>
      <c r="K4669" s="62"/>
      <c r="L4669" s="2">
        <f t="shared" si="444"/>
        <v>0</v>
      </c>
      <c r="M4669">
        <f t="shared" si="445"/>
        <v>5</v>
      </c>
      <c r="O4669" s="62"/>
      <c r="P4669" s="62"/>
    </row>
    <row r="4670" spans="1:16" x14ac:dyDescent="0.3">
      <c r="A4670" s="3">
        <f t="shared" si="429"/>
        <v>45750</v>
      </c>
      <c r="B4670" s="11" t="s">
        <v>5312</v>
      </c>
      <c r="C4670" s="65" t="s">
        <v>8038</v>
      </c>
      <c r="F4670" s="11"/>
      <c r="G4670" s="88"/>
      <c r="H4670" s="88">
        <v>1300</v>
      </c>
      <c r="I4670" s="88">
        <f t="shared" si="439"/>
        <v>6062.3600000000006</v>
      </c>
      <c r="K4670" s="62"/>
      <c r="L4670" s="2">
        <f t="shared" si="444"/>
        <v>5.2</v>
      </c>
      <c r="M4670">
        <f t="shared" si="445"/>
        <v>0</v>
      </c>
      <c r="O4670" s="62"/>
      <c r="P4670" s="62"/>
    </row>
    <row r="4671" spans="1:16" x14ac:dyDescent="0.3">
      <c r="A4671" s="3">
        <v>45751</v>
      </c>
      <c r="B4671" s="11" t="s">
        <v>3913</v>
      </c>
      <c r="C4671" s="50" t="s">
        <v>3608</v>
      </c>
      <c r="F4671" s="11"/>
      <c r="G4671" s="88"/>
      <c r="H4671" s="88">
        <v>3000</v>
      </c>
      <c r="I4671" s="88">
        <f t="shared" si="439"/>
        <v>3062.3600000000006</v>
      </c>
      <c r="K4671" s="62"/>
      <c r="L4671" s="2">
        <f t="shared" si="444"/>
        <v>12</v>
      </c>
      <c r="M4671">
        <f t="shared" si="445"/>
        <v>0</v>
      </c>
      <c r="O4671" s="62"/>
      <c r="P4671" s="62"/>
    </row>
    <row r="4672" spans="1:16" x14ac:dyDescent="0.3">
      <c r="A4672" s="3">
        <f t="shared" si="429"/>
        <v>45751</v>
      </c>
      <c r="B4672" s="11" t="s">
        <v>2594</v>
      </c>
      <c r="C4672" s="65" t="s">
        <v>7951</v>
      </c>
      <c r="F4672" s="11"/>
      <c r="G4672" s="88">
        <v>300</v>
      </c>
      <c r="H4672" s="88"/>
      <c r="I4672" s="88">
        <f t="shared" si="439"/>
        <v>3362.3600000000006</v>
      </c>
      <c r="K4672" s="62"/>
      <c r="L4672" s="2">
        <f t="shared" si="444"/>
        <v>1.2</v>
      </c>
      <c r="M4672">
        <f t="shared" si="445"/>
        <v>0</v>
      </c>
      <c r="O4672" s="62"/>
      <c r="P4672" s="62"/>
    </row>
    <row r="4673" spans="1:16" x14ac:dyDescent="0.3">
      <c r="A4673" s="3">
        <f t="shared" si="429"/>
        <v>45751</v>
      </c>
      <c r="B4673" s="11" t="s">
        <v>8016</v>
      </c>
      <c r="C4673" s="65" t="s">
        <v>5713</v>
      </c>
      <c r="E4673" s="90" t="s">
        <v>2088</v>
      </c>
      <c r="F4673" s="11"/>
      <c r="G4673" s="88"/>
      <c r="H4673" s="88"/>
      <c r="I4673" s="88">
        <f t="shared" si="439"/>
        <v>3362.3600000000006</v>
      </c>
      <c r="K4673" s="62"/>
      <c r="L4673" s="2">
        <f t="shared" si="444"/>
        <v>0</v>
      </c>
      <c r="M4673">
        <f t="shared" si="445"/>
        <v>5</v>
      </c>
      <c r="O4673" s="62"/>
      <c r="P4673" s="62"/>
    </row>
    <row r="4674" spans="1:16" x14ac:dyDescent="0.3">
      <c r="A4674" s="3">
        <f t="shared" si="429"/>
        <v>45751</v>
      </c>
      <c r="B4674" s="11" t="s">
        <v>6867</v>
      </c>
      <c r="C4674" s="65" t="s">
        <v>761</v>
      </c>
      <c r="F4674" s="11"/>
      <c r="G4674" s="88">
        <v>2500</v>
      </c>
      <c r="H4674" s="88"/>
      <c r="I4674" s="88">
        <f t="shared" si="439"/>
        <v>5862.3600000000006</v>
      </c>
      <c r="K4674" s="62"/>
      <c r="L4674" s="2">
        <f t="shared" si="444"/>
        <v>10</v>
      </c>
      <c r="M4674">
        <f t="shared" si="445"/>
        <v>0</v>
      </c>
      <c r="O4674" s="62"/>
      <c r="P4674" s="62"/>
    </row>
    <row r="4675" spans="1:16" x14ac:dyDescent="0.3">
      <c r="A4675" s="3">
        <f t="shared" si="429"/>
        <v>45751</v>
      </c>
      <c r="B4675" s="11" t="s">
        <v>8023</v>
      </c>
      <c r="C4675" s="65" t="s">
        <v>8024</v>
      </c>
      <c r="F4675" s="11"/>
      <c r="G4675" s="88">
        <v>5000</v>
      </c>
      <c r="H4675" s="88"/>
      <c r="I4675" s="88">
        <f t="shared" ref="I4675:I4685" si="446">I4674+G4675-H4675</f>
        <v>10862.36</v>
      </c>
      <c r="K4675" s="62"/>
      <c r="L4675" s="2">
        <f t="shared" ref="L4675:L4685" si="447">IF((G4675+H4675)&lt;=5000,(H4675+G4675)*0.004,20)+IF(E4675="Y",25,0)</f>
        <v>20</v>
      </c>
      <c r="M4675">
        <f t="shared" ref="M4675:M4685" si="448">IF(E4675="p",5,0)</f>
        <v>0</v>
      </c>
      <c r="O4675" s="62"/>
      <c r="P4675" s="62"/>
    </row>
    <row r="4676" spans="1:16" x14ac:dyDescent="0.3">
      <c r="A4676" s="3">
        <f t="shared" si="429"/>
        <v>45751</v>
      </c>
      <c r="B4676" s="11" t="s">
        <v>8023</v>
      </c>
      <c r="C4676" s="65" t="s">
        <v>8024</v>
      </c>
      <c r="D4676" s="50">
        <v>8839037103</v>
      </c>
      <c r="E4676" s="90" t="s">
        <v>2088</v>
      </c>
      <c r="F4676" s="11"/>
      <c r="G4676" s="88"/>
      <c r="H4676" s="88"/>
      <c r="I4676" s="88">
        <f t="shared" si="446"/>
        <v>10862.36</v>
      </c>
      <c r="K4676" s="62"/>
      <c r="L4676" s="2">
        <f t="shared" si="447"/>
        <v>0</v>
      </c>
      <c r="M4676">
        <f t="shared" si="448"/>
        <v>5</v>
      </c>
      <c r="O4676" s="62"/>
      <c r="P4676" s="62"/>
    </row>
    <row r="4677" spans="1:16" x14ac:dyDescent="0.3">
      <c r="A4677" s="3">
        <f t="shared" si="429"/>
        <v>45751</v>
      </c>
      <c r="B4677" s="11" t="s">
        <v>2797</v>
      </c>
      <c r="C4677" s="65" t="s">
        <v>8041</v>
      </c>
      <c r="D4677" s="50">
        <v>8102996303</v>
      </c>
      <c r="F4677" s="11"/>
      <c r="G4677" s="88"/>
      <c r="H4677" s="88">
        <v>5000</v>
      </c>
      <c r="I4677" s="88">
        <f t="shared" si="446"/>
        <v>5862.3600000000006</v>
      </c>
      <c r="K4677" s="62"/>
      <c r="L4677" s="2">
        <f t="shared" si="447"/>
        <v>20</v>
      </c>
      <c r="M4677">
        <f t="shared" si="448"/>
        <v>0</v>
      </c>
      <c r="O4677" s="62"/>
      <c r="P4677" s="62"/>
    </row>
    <row r="4678" spans="1:16" x14ac:dyDescent="0.3">
      <c r="A4678" s="3">
        <f t="shared" si="429"/>
        <v>45751</v>
      </c>
      <c r="B4678" s="11" t="s">
        <v>6718</v>
      </c>
      <c r="C4678" s="65" t="s">
        <v>8042</v>
      </c>
      <c r="E4678" s="90" t="s">
        <v>2088</v>
      </c>
      <c r="F4678" s="11"/>
      <c r="G4678" s="88"/>
      <c r="H4678" s="88"/>
      <c r="I4678" s="88">
        <f t="shared" si="446"/>
        <v>5862.3600000000006</v>
      </c>
      <c r="K4678" s="62"/>
      <c r="L4678" s="2">
        <f t="shared" si="447"/>
        <v>0</v>
      </c>
      <c r="M4678">
        <f t="shared" si="448"/>
        <v>5</v>
      </c>
      <c r="O4678" s="62"/>
      <c r="P4678" s="62"/>
    </row>
    <row r="4679" spans="1:16" x14ac:dyDescent="0.3">
      <c r="A4679" s="3">
        <f t="shared" si="429"/>
        <v>45751</v>
      </c>
      <c r="B4679" s="11" t="s">
        <v>6718</v>
      </c>
      <c r="C4679" s="65" t="s">
        <v>8042</v>
      </c>
      <c r="D4679" s="50">
        <v>7634849950</v>
      </c>
      <c r="F4679" s="11"/>
      <c r="G4679" s="88">
        <v>10000</v>
      </c>
      <c r="H4679" s="88"/>
      <c r="I4679" s="88">
        <f t="shared" si="446"/>
        <v>15862.36</v>
      </c>
      <c r="K4679" s="62"/>
      <c r="L4679" s="2">
        <f t="shared" si="447"/>
        <v>20</v>
      </c>
      <c r="M4679">
        <f t="shared" si="448"/>
        <v>0</v>
      </c>
      <c r="O4679" s="62"/>
      <c r="P4679" s="62"/>
    </row>
    <row r="4680" spans="1:16" x14ac:dyDescent="0.3">
      <c r="A4680" s="3">
        <f t="shared" si="429"/>
        <v>45751</v>
      </c>
      <c r="B4680" s="11" t="s">
        <v>6718</v>
      </c>
      <c r="C4680" s="65" t="s">
        <v>8042</v>
      </c>
      <c r="E4680" s="90" t="s">
        <v>2088</v>
      </c>
      <c r="F4680" s="11"/>
      <c r="G4680" s="88"/>
      <c r="H4680" s="88"/>
      <c r="I4680" s="88">
        <f t="shared" si="446"/>
        <v>15862.36</v>
      </c>
      <c r="K4680" s="62"/>
      <c r="L4680" s="2">
        <f t="shared" si="447"/>
        <v>0</v>
      </c>
      <c r="M4680">
        <f t="shared" si="448"/>
        <v>5</v>
      </c>
      <c r="O4680" s="62"/>
      <c r="P4680" s="62"/>
    </row>
    <row r="4681" spans="1:16" x14ac:dyDescent="0.3">
      <c r="A4681" s="3">
        <f t="shared" si="429"/>
        <v>45751</v>
      </c>
      <c r="C4681" s="50" t="s">
        <v>2857</v>
      </c>
      <c r="E4681" s="90" t="s">
        <v>4721</v>
      </c>
      <c r="F4681" s="11"/>
      <c r="G4681" s="88"/>
      <c r="H4681" s="88">
        <v>14000</v>
      </c>
      <c r="I4681" s="88">
        <f t="shared" si="446"/>
        <v>1862.3600000000006</v>
      </c>
      <c r="K4681" s="62"/>
      <c r="L4681" s="2">
        <f t="shared" si="447"/>
        <v>20</v>
      </c>
      <c r="M4681">
        <f t="shared" si="448"/>
        <v>0</v>
      </c>
      <c r="O4681" s="62"/>
      <c r="P4681" s="62"/>
    </row>
    <row r="4682" spans="1:16" x14ac:dyDescent="0.3">
      <c r="A4682" s="3">
        <f t="shared" si="429"/>
        <v>45751</v>
      </c>
      <c r="B4682" s="11" t="s">
        <v>6840</v>
      </c>
      <c r="C4682" s="65" t="s">
        <v>6841</v>
      </c>
      <c r="F4682" s="11"/>
      <c r="G4682" s="88">
        <v>1000</v>
      </c>
      <c r="H4682" s="88"/>
      <c r="I4682" s="88">
        <f t="shared" si="446"/>
        <v>2862.3600000000006</v>
      </c>
      <c r="K4682" s="62"/>
      <c r="L4682" s="2">
        <f t="shared" si="447"/>
        <v>4</v>
      </c>
      <c r="M4682">
        <f t="shared" si="448"/>
        <v>0</v>
      </c>
      <c r="O4682" s="62"/>
      <c r="P4682" s="62"/>
    </row>
    <row r="4683" spans="1:16" x14ac:dyDescent="0.3">
      <c r="A4683" s="3">
        <f t="shared" si="429"/>
        <v>45751</v>
      </c>
      <c r="B4683" s="11" t="s">
        <v>6840</v>
      </c>
      <c r="C4683" s="65" t="s">
        <v>6841</v>
      </c>
      <c r="E4683" s="90" t="s">
        <v>2088</v>
      </c>
      <c r="F4683" s="11"/>
      <c r="G4683" s="88"/>
      <c r="H4683" s="88"/>
      <c r="I4683" s="88">
        <f t="shared" si="446"/>
        <v>2862.3600000000006</v>
      </c>
      <c r="K4683" s="62"/>
      <c r="L4683" s="2">
        <f t="shared" si="447"/>
        <v>0</v>
      </c>
      <c r="M4683">
        <f t="shared" si="448"/>
        <v>5</v>
      </c>
      <c r="O4683" s="62"/>
      <c r="P4683" s="62"/>
    </row>
    <row r="4684" spans="1:16" x14ac:dyDescent="0.3">
      <c r="A4684" s="3">
        <f t="shared" si="429"/>
        <v>45751</v>
      </c>
      <c r="B4684" s="11" t="s">
        <v>7734</v>
      </c>
      <c r="C4684" s="65" t="s">
        <v>1388</v>
      </c>
      <c r="E4684" s="90" t="s">
        <v>2088</v>
      </c>
      <c r="F4684" s="11"/>
      <c r="G4684" s="88"/>
      <c r="H4684" s="88"/>
      <c r="I4684" s="88">
        <f t="shared" si="446"/>
        <v>2862.3600000000006</v>
      </c>
      <c r="K4684" s="62"/>
      <c r="L4684" s="2">
        <f t="shared" si="447"/>
        <v>0</v>
      </c>
      <c r="M4684">
        <f t="shared" si="448"/>
        <v>5</v>
      </c>
      <c r="O4684" s="62"/>
      <c r="P4684" s="62"/>
    </row>
    <row r="4685" spans="1:16" x14ac:dyDescent="0.3">
      <c r="A4685" s="3">
        <f t="shared" si="429"/>
        <v>45751</v>
      </c>
      <c r="B4685" s="11" t="s">
        <v>7329</v>
      </c>
      <c r="C4685" s="65" t="s">
        <v>7330</v>
      </c>
      <c r="F4685" s="11"/>
      <c r="G4685" s="88">
        <v>1000</v>
      </c>
      <c r="H4685" s="88"/>
      <c r="I4685" s="88">
        <f t="shared" si="446"/>
        <v>3862.3600000000006</v>
      </c>
      <c r="K4685" s="62"/>
      <c r="L4685" s="2">
        <f t="shared" si="447"/>
        <v>4</v>
      </c>
      <c r="M4685">
        <f t="shared" si="448"/>
        <v>0</v>
      </c>
      <c r="O4685" s="62"/>
      <c r="P4685" s="62"/>
    </row>
    <row r="4686" spans="1:16" x14ac:dyDescent="0.3">
      <c r="A4686" s="3">
        <f t="shared" si="429"/>
        <v>45751</v>
      </c>
      <c r="B4686" s="11" t="s">
        <v>7996</v>
      </c>
      <c r="C4686" s="65" t="s">
        <v>6418</v>
      </c>
      <c r="F4686" s="11"/>
      <c r="G4686" s="88">
        <v>5000</v>
      </c>
      <c r="H4686" s="88"/>
      <c r="I4686" s="88">
        <f t="shared" ref="I4686:I4696" si="449">I4685+G4686-H4686</f>
        <v>8862.36</v>
      </c>
      <c r="K4686" s="62"/>
      <c r="L4686" s="2">
        <f t="shared" ref="L4686:L4696" si="450">IF((G4686+H4686)&lt;=5000,(H4686+G4686)*0.004,20)+IF(E4686="Y",25,0)</f>
        <v>20</v>
      </c>
      <c r="M4686">
        <f t="shared" ref="M4686:M4696" si="451">IF(E4686="p",5,0)</f>
        <v>0</v>
      </c>
      <c r="O4686" s="62"/>
      <c r="P4686" s="62"/>
    </row>
    <row r="4687" spans="1:16" x14ac:dyDescent="0.3">
      <c r="A4687" s="3">
        <f t="shared" si="429"/>
        <v>45751</v>
      </c>
      <c r="B4687" s="11" t="s">
        <v>8044</v>
      </c>
      <c r="C4687" s="65" t="s">
        <v>8045</v>
      </c>
      <c r="E4687" s="90" t="s">
        <v>2088</v>
      </c>
      <c r="F4687" s="11"/>
      <c r="G4687" s="88"/>
      <c r="H4687" s="88">
        <v>500</v>
      </c>
      <c r="I4687" s="88">
        <f t="shared" si="449"/>
        <v>8362.36</v>
      </c>
      <c r="K4687" s="62"/>
      <c r="L4687" s="2">
        <f t="shared" si="450"/>
        <v>2</v>
      </c>
      <c r="M4687">
        <f t="shared" si="451"/>
        <v>5</v>
      </c>
      <c r="O4687" s="62"/>
      <c r="P4687" s="62"/>
    </row>
    <row r="4688" spans="1:16" x14ac:dyDescent="0.3">
      <c r="A4688" s="3">
        <f t="shared" si="429"/>
        <v>45751</v>
      </c>
      <c r="B4688" s="11" t="s">
        <v>3915</v>
      </c>
      <c r="C4688" s="65" t="s">
        <v>4067</v>
      </c>
      <c r="F4688" s="11"/>
      <c r="G4688" s="88">
        <v>5000</v>
      </c>
      <c r="H4688" s="88"/>
      <c r="I4688" s="88">
        <f t="shared" si="449"/>
        <v>13362.36</v>
      </c>
      <c r="K4688" s="62"/>
      <c r="L4688" s="2">
        <f t="shared" si="450"/>
        <v>20</v>
      </c>
      <c r="M4688">
        <f t="shared" si="451"/>
        <v>0</v>
      </c>
      <c r="O4688" s="62"/>
      <c r="P4688" s="62"/>
    </row>
    <row r="4689" spans="1:16" x14ac:dyDescent="0.3">
      <c r="A4689" s="3">
        <f t="shared" si="429"/>
        <v>45751</v>
      </c>
      <c r="B4689" s="11" t="s">
        <v>8031</v>
      </c>
      <c r="C4689" s="65" t="s">
        <v>8035</v>
      </c>
      <c r="E4689" s="90" t="s">
        <v>2088</v>
      </c>
      <c r="F4689" s="11"/>
      <c r="G4689" s="88"/>
      <c r="H4689" s="88"/>
      <c r="I4689" s="88">
        <f t="shared" si="449"/>
        <v>13362.36</v>
      </c>
      <c r="K4689" s="62"/>
      <c r="L4689" s="2">
        <f t="shared" si="450"/>
        <v>0</v>
      </c>
      <c r="M4689">
        <f t="shared" si="451"/>
        <v>5</v>
      </c>
      <c r="O4689" s="62"/>
      <c r="P4689" s="62"/>
    </row>
    <row r="4690" spans="1:16" x14ac:dyDescent="0.3">
      <c r="A4690" s="3">
        <v>45752</v>
      </c>
      <c r="B4690" s="11" t="s">
        <v>6260</v>
      </c>
      <c r="C4690" s="65" t="s">
        <v>7117</v>
      </c>
      <c r="F4690" s="11"/>
      <c r="G4690" s="88"/>
      <c r="H4690" s="88">
        <v>4500</v>
      </c>
      <c r="I4690" s="88">
        <f t="shared" si="449"/>
        <v>8862.36</v>
      </c>
      <c r="K4690" s="62"/>
      <c r="L4690" s="2">
        <f t="shared" si="450"/>
        <v>18</v>
      </c>
      <c r="M4690">
        <f t="shared" si="451"/>
        <v>0</v>
      </c>
      <c r="O4690" s="62"/>
      <c r="P4690" s="62"/>
    </row>
    <row r="4691" spans="1:16" x14ac:dyDescent="0.3">
      <c r="A4691" s="3">
        <f t="shared" si="429"/>
        <v>45752</v>
      </c>
      <c r="B4691" s="11" t="s">
        <v>7955</v>
      </c>
      <c r="C4691" s="65" t="s">
        <v>7956</v>
      </c>
      <c r="E4691" s="90" t="s">
        <v>2088</v>
      </c>
      <c r="F4691" s="11"/>
      <c r="G4691" s="88"/>
      <c r="H4691" s="88"/>
      <c r="I4691" s="88">
        <f t="shared" si="449"/>
        <v>8862.36</v>
      </c>
      <c r="K4691" s="62"/>
      <c r="L4691" s="2">
        <f t="shared" si="450"/>
        <v>0</v>
      </c>
      <c r="M4691">
        <f t="shared" si="451"/>
        <v>5</v>
      </c>
      <c r="O4691" s="62"/>
      <c r="P4691" s="62"/>
    </row>
    <row r="4692" spans="1:16" x14ac:dyDescent="0.3">
      <c r="A4692" s="3">
        <f t="shared" si="429"/>
        <v>45752</v>
      </c>
      <c r="B4692" s="11" t="s">
        <v>1160</v>
      </c>
      <c r="C4692" s="65" t="s">
        <v>8048</v>
      </c>
      <c r="F4692" s="11"/>
      <c r="G4692" s="88">
        <v>3000</v>
      </c>
      <c r="H4692" s="88"/>
      <c r="I4692" s="88">
        <f t="shared" si="449"/>
        <v>11862.36</v>
      </c>
      <c r="K4692" s="62"/>
      <c r="L4692" s="2">
        <f t="shared" si="450"/>
        <v>12</v>
      </c>
      <c r="M4692">
        <f t="shared" si="451"/>
        <v>0</v>
      </c>
      <c r="O4692" s="62"/>
      <c r="P4692" s="62"/>
    </row>
    <row r="4693" spans="1:16" x14ac:dyDescent="0.3">
      <c r="A4693" s="3">
        <f t="shared" si="429"/>
        <v>45752</v>
      </c>
      <c r="B4693" s="11" t="s">
        <v>3543</v>
      </c>
      <c r="C4693" s="65" t="s">
        <v>2626</v>
      </c>
      <c r="D4693" s="50">
        <v>-8000</v>
      </c>
      <c r="F4693" s="11"/>
      <c r="G4693" s="88">
        <v>10000</v>
      </c>
      <c r="H4693" s="88"/>
      <c r="I4693" s="88">
        <f t="shared" si="449"/>
        <v>21862.36</v>
      </c>
      <c r="K4693" s="62"/>
      <c r="L4693" s="2">
        <f t="shared" si="450"/>
        <v>20</v>
      </c>
      <c r="M4693">
        <f t="shared" si="451"/>
        <v>0</v>
      </c>
      <c r="O4693" s="62"/>
      <c r="P4693" s="62"/>
    </row>
    <row r="4694" spans="1:16" x14ac:dyDescent="0.3">
      <c r="A4694" s="3">
        <f t="shared" si="429"/>
        <v>45752</v>
      </c>
      <c r="B4694" s="11" t="s">
        <v>8049</v>
      </c>
      <c r="C4694" s="65" t="s">
        <v>8050</v>
      </c>
      <c r="D4694" s="50">
        <v>8252981071</v>
      </c>
      <c r="F4694" s="11"/>
      <c r="G4694" s="88">
        <v>9000</v>
      </c>
      <c r="H4694" s="88"/>
      <c r="I4694" s="88">
        <f t="shared" si="449"/>
        <v>30862.36</v>
      </c>
      <c r="K4694" s="62"/>
      <c r="L4694" s="2">
        <f t="shared" si="450"/>
        <v>20</v>
      </c>
      <c r="M4694">
        <f t="shared" si="451"/>
        <v>0</v>
      </c>
      <c r="O4694" s="62"/>
      <c r="P4694" s="62"/>
    </row>
    <row r="4695" spans="1:16" x14ac:dyDescent="0.3">
      <c r="A4695" s="3">
        <f t="shared" si="429"/>
        <v>45752</v>
      </c>
      <c r="C4695" s="65" t="s">
        <v>2857</v>
      </c>
      <c r="F4695" s="11"/>
      <c r="G4695" s="88"/>
      <c r="H4695" s="88">
        <v>30000</v>
      </c>
      <c r="I4695" s="88">
        <f t="shared" si="449"/>
        <v>862.36000000000058</v>
      </c>
      <c r="K4695" s="62"/>
      <c r="L4695" s="2">
        <f t="shared" si="450"/>
        <v>20</v>
      </c>
      <c r="M4695">
        <f t="shared" si="451"/>
        <v>0</v>
      </c>
      <c r="O4695" s="62"/>
      <c r="P4695" s="62"/>
    </row>
    <row r="4696" spans="1:16" x14ac:dyDescent="0.3">
      <c r="A4696" s="3">
        <f t="shared" si="429"/>
        <v>45752</v>
      </c>
      <c r="B4696" s="11" t="s">
        <v>5115</v>
      </c>
      <c r="C4696" s="65" t="s">
        <v>6704</v>
      </c>
      <c r="E4696" s="90" t="s">
        <v>2088</v>
      </c>
      <c r="F4696" s="11"/>
      <c r="G4696" s="88"/>
      <c r="H4696" s="88"/>
      <c r="I4696" s="88">
        <f t="shared" si="449"/>
        <v>862.36000000000058</v>
      </c>
      <c r="K4696" s="62"/>
      <c r="L4696" s="2">
        <f t="shared" si="450"/>
        <v>0</v>
      </c>
      <c r="M4696">
        <f t="shared" si="451"/>
        <v>5</v>
      </c>
      <c r="O4696" s="62"/>
      <c r="P4696" s="62"/>
    </row>
    <row r="4697" spans="1:16" x14ac:dyDescent="0.3">
      <c r="A4697" s="3">
        <f t="shared" si="429"/>
        <v>45752</v>
      </c>
      <c r="B4697" s="11" t="s">
        <v>7888</v>
      </c>
      <c r="C4697" s="65" t="s">
        <v>8051</v>
      </c>
      <c r="E4697" s="90" t="s">
        <v>2088</v>
      </c>
      <c r="F4697" s="11"/>
      <c r="G4697" s="88"/>
      <c r="H4697" s="88"/>
      <c r="I4697" s="88">
        <f t="shared" ref="I4697:I4712" si="452">I4696+G4697-H4697</f>
        <v>862.36000000000058</v>
      </c>
      <c r="K4697" s="62"/>
      <c r="L4697" s="2">
        <f t="shared" ref="L4697:L4712" si="453">IF((G4697+H4697)&lt;=5000,(H4697+G4697)*0.004,20)+IF(E4697="Y",25,0)</f>
        <v>0</v>
      </c>
      <c r="M4697">
        <f t="shared" ref="M4697:M4712" si="454">IF(E4697="p",5,0)</f>
        <v>5</v>
      </c>
      <c r="O4697" s="62"/>
      <c r="P4697" s="62"/>
    </row>
    <row r="4698" spans="1:16" x14ac:dyDescent="0.3">
      <c r="A4698" s="3">
        <f t="shared" si="429"/>
        <v>45752</v>
      </c>
      <c r="B4698" s="11" t="s">
        <v>7888</v>
      </c>
      <c r="C4698" s="65" t="s">
        <v>8051</v>
      </c>
      <c r="F4698" s="11"/>
      <c r="G4698" s="88">
        <v>1000</v>
      </c>
      <c r="H4698" s="88"/>
      <c r="I4698" s="88">
        <f t="shared" si="452"/>
        <v>1862.3600000000006</v>
      </c>
      <c r="K4698" s="62"/>
      <c r="L4698" s="2">
        <f t="shared" si="453"/>
        <v>4</v>
      </c>
      <c r="M4698">
        <f t="shared" si="454"/>
        <v>0</v>
      </c>
      <c r="O4698" s="62"/>
      <c r="P4698" s="62"/>
    </row>
    <row r="4699" spans="1:16" x14ac:dyDescent="0.3">
      <c r="A4699" s="3">
        <f t="shared" si="429"/>
        <v>45752</v>
      </c>
      <c r="B4699" s="11" t="s">
        <v>7888</v>
      </c>
      <c r="C4699" s="65" t="s">
        <v>8051</v>
      </c>
      <c r="E4699" s="90" t="s">
        <v>2088</v>
      </c>
      <c r="F4699" s="11"/>
      <c r="G4699" s="88"/>
      <c r="H4699" s="88"/>
      <c r="I4699" s="88">
        <f t="shared" si="452"/>
        <v>1862.3600000000006</v>
      </c>
      <c r="K4699" s="62"/>
      <c r="L4699" s="2">
        <f t="shared" si="453"/>
        <v>0</v>
      </c>
      <c r="M4699">
        <f t="shared" si="454"/>
        <v>5</v>
      </c>
      <c r="O4699" s="62"/>
      <c r="P4699" s="62"/>
    </row>
    <row r="4700" spans="1:16" x14ac:dyDescent="0.3">
      <c r="A4700" s="3">
        <f t="shared" si="429"/>
        <v>45752</v>
      </c>
      <c r="B4700" s="11" t="s">
        <v>5115</v>
      </c>
      <c r="C4700" s="65" t="s">
        <v>6704</v>
      </c>
      <c r="F4700" s="11"/>
      <c r="G4700" s="88"/>
      <c r="H4700" s="88">
        <v>1200</v>
      </c>
      <c r="I4700" s="88">
        <f t="shared" si="452"/>
        <v>662.36000000000058</v>
      </c>
      <c r="K4700" s="62"/>
      <c r="L4700" s="2">
        <f t="shared" si="453"/>
        <v>4.8</v>
      </c>
      <c r="M4700">
        <f t="shared" si="454"/>
        <v>0</v>
      </c>
      <c r="O4700" s="62"/>
      <c r="P4700" s="62"/>
    </row>
    <row r="4701" spans="1:16" x14ac:dyDescent="0.3">
      <c r="A4701" s="3">
        <f t="shared" si="429"/>
        <v>45752</v>
      </c>
      <c r="B4701" s="11" t="s">
        <v>5115</v>
      </c>
      <c r="C4701" s="65" t="s">
        <v>6704</v>
      </c>
      <c r="E4701" s="90" t="s">
        <v>2088</v>
      </c>
      <c r="F4701" s="11"/>
      <c r="G4701" s="88"/>
      <c r="H4701" s="88"/>
      <c r="I4701" s="88">
        <f t="shared" si="452"/>
        <v>662.36000000000058</v>
      </c>
      <c r="K4701" s="62"/>
      <c r="L4701" s="2">
        <f t="shared" si="453"/>
        <v>0</v>
      </c>
      <c r="M4701">
        <f t="shared" si="454"/>
        <v>5</v>
      </c>
      <c r="O4701" s="62"/>
      <c r="P4701" s="62"/>
    </row>
    <row r="4702" spans="1:16" x14ac:dyDescent="0.3">
      <c r="A4702" s="3">
        <f t="shared" si="429"/>
        <v>45752</v>
      </c>
      <c r="B4702" s="11" t="s">
        <v>5115</v>
      </c>
      <c r="C4702" s="65" t="s">
        <v>6704</v>
      </c>
      <c r="E4702" s="90" t="s">
        <v>2088</v>
      </c>
      <c r="F4702" s="11"/>
      <c r="G4702" s="88"/>
      <c r="H4702" s="88"/>
      <c r="I4702" s="88">
        <f t="shared" si="452"/>
        <v>662.36000000000058</v>
      </c>
      <c r="K4702" s="62"/>
      <c r="L4702" s="2">
        <f t="shared" si="453"/>
        <v>0</v>
      </c>
      <c r="M4702">
        <f t="shared" si="454"/>
        <v>5</v>
      </c>
      <c r="O4702" s="62"/>
      <c r="P4702" s="62"/>
    </row>
    <row r="4703" spans="1:16" x14ac:dyDescent="0.3">
      <c r="A4703" s="3">
        <f t="shared" si="429"/>
        <v>45752</v>
      </c>
      <c r="B4703" s="11" t="s">
        <v>6522</v>
      </c>
      <c r="C4703" s="65" t="s">
        <v>2504</v>
      </c>
      <c r="F4703" s="11"/>
      <c r="G4703" s="88">
        <v>600</v>
      </c>
      <c r="H4703" s="88"/>
      <c r="I4703" s="88">
        <f t="shared" si="452"/>
        <v>1262.3600000000006</v>
      </c>
      <c r="K4703" s="62"/>
      <c r="L4703" s="2">
        <f t="shared" si="453"/>
        <v>2.4</v>
      </c>
      <c r="M4703">
        <f t="shared" si="454"/>
        <v>0</v>
      </c>
      <c r="O4703" s="62"/>
      <c r="P4703" s="62"/>
    </row>
    <row r="4704" spans="1:16" x14ac:dyDescent="0.3">
      <c r="A4704" s="3">
        <f t="shared" si="429"/>
        <v>45752</v>
      </c>
      <c r="B4704" s="11" t="s">
        <v>6257</v>
      </c>
      <c r="C4704" s="65" t="s">
        <v>4437</v>
      </c>
      <c r="F4704" s="11"/>
      <c r="G4704" s="88">
        <v>2000</v>
      </c>
      <c r="H4704" s="88"/>
      <c r="I4704" s="88">
        <f t="shared" si="452"/>
        <v>3262.3600000000006</v>
      </c>
      <c r="K4704" s="62"/>
      <c r="L4704" s="2">
        <f t="shared" si="453"/>
        <v>8</v>
      </c>
      <c r="M4704">
        <f t="shared" si="454"/>
        <v>0</v>
      </c>
      <c r="O4704" s="62"/>
      <c r="P4704" s="62"/>
    </row>
    <row r="4705" spans="1:16" x14ac:dyDescent="0.3">
      <c r="A4705" s="3">
        <f t="shared" si="429"/>
        <v>45752</v>
      </c>
      <c r="B4705" s="11" t="s">
        <v>7649</v>
      </c>
      <c r="C4705" s="65" t="s">
        <v>7753</v>
      </c>
      <c r="F4705" s="11"/>
      <c r="G4705" s="88"/>
      <c r="H4705" s="88">
        <v>3000</v>
      </c>
      <c r="I4705" s="88">
        <f t="shared" si="452"/>
        <v>262.36000000000058</v>
      </c>
      <c r="K4705" s="62"/>
      <c r="L4705" s="2">
        <f t="shared" si="453"/>
        <v>12</v>
      </c>
      <c r="M4705">
        <f t="shared" si="454"/>
        <v>0</v>
      </c>
      <c r="O4705" s="62"/>
      <c r="P4705" s="62"/>
    </row>
    <row r="4706" spans="1:16" x14ac:dyDescent="0.3">
      <c r="A4706" s="3">
        <f t="shared" si="429"/>
        <v>45752</v>
      </c>
      <c r="B4706" s="11" t="s">
        <v>8052</v>
      </c>
      <c r="C4706" s="65" t="s">
        <v>8053</v>
      </c>
      <c r="F4706" s="11"/>
      <c r="G4706" s="88">
        <v>300</v>
      </c>
      <c r="H4706" s="88"/>
      <c r="I4706" s="88">
        <f t="shared" si="452"/>
        <v>562.36000000000058</v>
      </c>
      <c r="K4706" s="62"/>
      <c r="L4706" s="2">
        <f t="shared" si="453"/>
        <v>1.2</v>
      </c>
      <c r="M4706">
        <f t="shared" si="454"/>
        <v>0</v>
      </c>
      <c r="O4706" s="62"/>
      <c r="P4706" s="62"/>
    </row>
    <row r="4707" spans="1:16" x14ac:dyDescent="0.3">
      <c r="A4707" s="3">
        <f t="shared" si="429"/>
        <v>45752</v>
      </c>
      <c r="B4707" s="11" t="s">
        <v>8052</v>
      </c>
      <c r="C4707" s="65" t="s">
        <v>8053</v>
      </c>
      <c r="E4707" s="90" t="s">
        <v>2088</v>
      </c>
      <c r="F4707" s="11"/>
      <c r="G4707" s="88"/>
      <c r="H4707" s="88"/>
      <c r="I4707" s="88">
        <f t="shared" si="452"/>
        <v>562.36000000000058</v>
      </c>
      <c r="K4707" s="62"/>
      <c r="L4707" s="2">
        <f t="shared" si="453"/>
        <v>0</v>
      </c>
      <c r="M4707">
        <f t="shared" si="454"/>
        <v>5</v>
      </c>
      <c r="O4707" s="62"/>
      <c r="P4707" s="62"/>
    </row>
    <row r="4708" spans="1:16" x14ac:dyDescent="0.3">
      <c r="A4708" s="3">
        <f t="shared" si="429"/>
        <v>45752</v>
      </c>
      <c r="B4708" s="11" t="s">
        <v>7852</v>
      </c>
      <c r="C4708" s="65" t="s">
        <v>8054</v>
      </c>
      <c r="F4708" s="11"/>
      <c r="G4708" s="88">
        <v>2000</v>
      </c>
      <c r="H4708" s="88"/>
      <c r="I4708" s="88">
        <f t="shared" si="452"/>
        <v>2562.3600000000006</v>
      </c>
      <c r="K4708" s="62"/>
      <c r="L4708" s="2">
        <f t="shared" si="453"/>
        <v>8</v>
      </c>
      <c r="M4708">
        <f t="shared" si="454"/>
        <v>0</v>
      </c>
      <c r="O4708" s="62"/>
      <c r="P4708" s="62"/>
    </row>
    <row r="4709" spans="1:16" x14ac:dyDescent="0.3">
      <c r="A4709" s="3">
        <f t="shared" si="429"/>
        <v>45752</v>
      </c>
      <c r="B4709" s="11" t="s">
        <v>1160</v>
      </c>
      <c r="C4709" s="65" t="s">
        <v>1087</v>
      </c>
      <c r="F4709" s="11"/>
      <c r="G4709" s="88">
        <v>10000</v>
      </c>
      <c r="H4709" s="88"/>
      <c r="I4709" s="88">
        <f t="shared" si="452"/>
        <v>12562.36</v>
      </c>
      <c r="K4709" s="62"/>
      <c r="L4709" s="2">
        <f t="shared" si="453"/>
        <v>20</v>
      </c>
      <c r="M4709">
        <f t="shared" si="454"/>
        <v>0</v>
      </c>
      <c r="O4709" s="62"/>
      <c r="P4709" s="62"/>
    </row>
    <row r="4710" spans="1:16" x14ac:dyDescent="0.3">
      <c r="A4710" s="3">
        <f t="shared" si="429"/>
        <v>45752</v>
      </c>
      <c r="B4710" s="11" t="s">
        <v>3524</v>
      </c>
      <c r="C4710" s="65" t="s">
        <v>3088</v>
      </c>
      <c r="F4710" s="11"/>
      <c r="G4710" s="88"/>
      <c r="H4710" s="88">
        <v>10000</v>
      </c>
      <c r="I4710" s="88">
        <f t="shared" si="452"/>
        <v>2562.3600000000006</v>
      </c>
      <c r="K4710" s="62"/>
      <c r="L4710" s="2">
        <f t="shared" si="453"/>
        <v>20</v>
      </c>
      <c r="M4710">
        <f t="shared" si="454"/>
        <v>0</v>
      </c>
      <c r="O4710" s="62"/>
      <c r="P4710" s="62"/>
    </row>
    <row r="4711" spans="1:16" x14ac:dyDescent="0.3">
      <c r="A4711" s="3">
        <f t="shared" si="429"/>
        <v>45752</v>
      </c>
      <c r="B4711" s="11" t="s">
        <v>1250</v>
      </c>
      <c r="C4711" s="65" t="s">
        <v>2443</v>
      </c>
      <c r="F4711" s="11"/>
      <c r="G4711" s="88">
        <v>1700</v>
      </c>
      <c r="H4711" s="88"/>
      <c r="I4711" s="88">
        <f t="shared" si="452"/>
        <v>4262.3600000000006</v>
      </c>
      <c r="K4711" s="62"/>
      <c r="L4711" s="2">
        <f t="shared" si="453"/>
        <v>6.8</v>
      </c>
      <c r="M4711">
        <f t="shared" si="454"/>
        <v>0</v>
      </c>
      <c r="O4711" s="62"/>
      <c r="P4711" s="62"/>
    </row>
    <row r="4712" spans="1:16" x14ac:dyDescent="0.3">
      <c r="A4712" s="3">
        <v>45753</v>
      </c>
      <c r="B4712" s="11" t="s">
        <v>6260</v>
      </c>
      <c r="C4712" s="50" t="s">
        <v>7117</v>
      </c>
      <c r="H4712" s="2">
        <v>4000</v>
      </c>
      <c r="I4712" s="88">
        <f t="shared" si="452"/>
        <v>262.36000000000058</v>
      </c>
      <c r="K4712" s="62"/>
      <c r="L4712" s="2">
        <f t="shared" si="453"/>
        <v>16</v>
      </c>
      <c r="M4712">
        <f t="shared" si="454"/>
        <v>0</v>
      </c>
      <c r="O4712" s="62"/>
      <c r="P4712" s="62"/>
    </row>
    <row r="4713" spans="1:16" x14ac:dyDescent="0.3">
      <c r="A4713" s="3">
        <f t="shared" si="429"/>
        <v>45753</v>
      </c>
      <c r="B4713" s="11" t="s">
        <v>1250</v>
      </c>
      <c r="C4713" s="50" t="s">
        <v>8055</v>
      </c>
      <c r="G4713" s="2">
        <v>7100</v>
      </c>
      <c r="I4713" s="88">
        <f t="shared" ref="I4713:I4724" si="455">I4712+G4713-H4713</f>
        <v>7362.3600000000006</v>
      </c>
      <c r="K4713" s="62"/>
      <c r="L4713" s="2">
        <f t="shared" ref="L4713:L4724" si="456">IF((G4713+H4713)&lt;=5000,(H4713+G4713)*0.004,20)+IF(E4713="Y",25,0)</f>
        <v>20</v>
      </c>
      <c r="M4713">
        <f t="shared" ref="M4713:M4724" si="457">IF(E4713="p",5,0)</f>
        <v>0</v>
      </c>
      <c r="O4713" s="62"/>
      <c r="P4713" s="62"/>
    </row>
    <row r="4714" spans="1:16" x14ac:dyDescent="0.3">
      <c r="A4714" s="3">
        <f t="shared" ref="A4714:A4793" si="458">A4713</f>
        <v>45753</v>
      </c>
      <c r="B4714" s="11" t="s">
        <v>1472</v>
      </c>
      <c r="C4714" s="50" t="s">
        <v>8055</v>
      </c>
      <c r="G4714" s="2">
        <v>7100</v>
      </c>
      <c r="I4714" s="88">
        <f t="shared" si="455"/>
        <v>14462.36</v>
      </c>
      <c r="K4714" s="62"/>
      <c r="L4714" s="2">
        <f t="shared" si="456"/>
        <v>20</v>
      </c>
      <c r="M4714">
        <f t="shared" si="457"/>
        <v>0</v>
      </c>
      <c r="O4714" s="62"/>
      <c r="P4714" s="62"/>
    </row>
    <row r="4715" spans="1:16" x14ac:dyDescent="0.3">
      <c r="A4715" s="3">
        <f t="shared" si="458"/>
        <v>45753</v>
      </c>
      <c r="B4715" s="11" t="s">
        <v>7166</v>
      </c>
      <c r="C4715" s="50" t="s">
        <v>8055</v>
      </c>
      <c r="H4715" s="2">
        <v>14200</v>
      </c>
      <c r="I4715" s="88">
        <f t="shared" si="455"/>
        <v>262.36000000000058</v>
      </c>
      <c r="K4715" s="62"/>
      <c r="L4715" s="2">
        <f t="shared" si="456"/>
        <v>20</v>
      </c>
      <c r="M4715">
        <f t="shared" si="457"/>
        <v>0</v>
      </c>
      <c r="O4715" s="62"/>
      <c r="P4715" s="62"/>
    </row>
    <row r="4716" spans="1:16" x14ac:dyDescent="0.3">
      <c r="A4716" s="3">
        <f t="shared" si="458"/>
        <v>45753</v>
      </c>
      <c r="B4716" s="11" t="s">
        <v>7166</v>
      </c>
      <c r="C4716" s="50" t="s">
        <v>8055</v>
      </c>
      <c r="E4716" s="90" t="s">
        <v>2088</v>
      </c>
      <c r="I4716" s="88">
        <f t="shared" si="455"/>
        <v>262.36000000000058</v>
      </c>
      <c r="K4716" s="62"/>
      <c r="L4716" s="2">
        <f t="shared" si="456"/>
        <v>0</v>
      </c>
      <c r="M4716">
        <f t="shared" si="457"/>
        <v>5</v>
      </c>
      <c r="O4716" s="62"/>
      <c r="P4716" s="62"/>
    </row>
    <row r="4717" spans="1:16" x14ac:dyDescent="0.3">
      <c r="A4717" s="3">
        <v>45754</v>
      </c>
      <c r="B4717" s="11" t="s">
        <v>1170</v>
      </c>
      <c r="C4717" s="50" t="s">
        <v>8056</v>
      </c>
      <c r="D4717" s="50">
        <v>8406934598</v>
      </c>
      <c r="G4717" s="2">
        <v>4050</v>
      </c>
      <c r="I4717" s="88">
        <f t="shared" si="455"/>
        <v>4312.3600000000006</v>
      </c>
      <c r="K4717" s="62"/>
      <c r="L4717" s="2">
        <f t="shared" si="456"/>
        <v>16.2</v>
      </c>
      <c r="M4717">
        <f t="shared" si="457"/>
        <v>0</v>
      </c>
      <c r="O4717" s="62"/>
      <c r="P4717" s="62"/>
    </row>
    <row r="4718" spans="1:16" x14ac:dyDescent="0.3">
      <c r="A4718" s="3">
        <f t="shared" si="458"/>
        <v>45754</v>
      </c>
      <c r="B4718" s="11" t="s">
        <v>1250</v>
      </c>
      <c r="C4718" s="50" t="s">
        <v>2443</v>
      </c>
      <c r="G4718" s="2">
        <v>250</v>
      </c>
      <c r="I4718" s="88">
        <f t="shared" si="455"/>
        <v>4562.3600000000006</v>
      </c>
      <c r="K4718" s="62"/>
      <c r="L4718" s="2">
        <f t="shared" si="456"/>
        <v>1</v>
      </c>
      <c r="M4718">
        <f t="shared" si="457"/>
        <v>0</v>
      </c>
      <c r="O4718" s="62"/>
      <c r="P4718" s="62"/>
    </row>
    <row r="4719" spans="1:16" x14ac:dyDescent="0.3">
      <c r="A4719" s="3">
        <f t="shared" si="458"/>
        <v>45754</v>
      </c>
      <c r="B4719" s="11" t="s">
        <v>1472</v>
      </c>
      <c r="C4719" s="50" t="s">
        <v>8058</v>
      </c>
      <c r="D4719" s="50">
        <v>8002624438</v>
      </c>
      <c r="G4719" s="2">
        <v>3000</v>
      </c>
      <c r="I4719" s="88">
        <f t="shared" si="455"/>
        <v>7562.3600000000006</v>
      </c>
      <c r="K4719" s="62"/>
      <c r="L4719" s="2">
        <f t="shared" si="456"/>
        <v>12</v>
      </c>
      <c r="M4719">
        <f t="shared" si="457"/>
        <v>0</v>
      </c>
      <c r="O4719" s="62"/>
      <c r="P4719" s="62"/>
    </row>
    <row r="4720" spans="1:16" x14ac:dyDescent="0.3">
      <c r="A4720" s="3">
        <f t="shared" si="458"/>
        <v>45754</v>
      </c>
      <c r="B4720" s="11" t="s">
        <v>2448</v>
      </c>
      <c r="C4720" s="50" t="s">
        <v>2274</v>
      </c>
      <c r="H4720" s="2">
        <v>5000</v>
      </c>
      <c r="I4720" s="88">
        <f t="shared" si="455"/>
        <v>2562.3600000000006</v>
      </c>
      <c r="K4720" s="62"/>
      <c r="L4720" s="2">
        <f t="shared" si="456"/>
        <v>20</v>
      </c>
      <c r="M4720">
        <f t="shared" si="457"/>
        <v>0</v>
      </c>
      <c r="O4720" s="62"/>
      <c r="P4720" s="62"/>
    </row>
    <row r="4721" spans="1:16" x14ac:dyDescent="0.3">
      <c r="A4721" s="3">
        <f t="shared" si="458"/>
        <v>45754</v>
      </c>
      <c r="B4721" s="11" t="s">
        <v>8059</v>
      </c>
      <c r="C4721" s="50" t="s">
        <v>8060</v>
      </c>
      <c r="G4721" s="2">
        <v>1800</v>
      </c>
      <c r="I4721" s="88">
        <f t="shared" si="455"/>
        <v>4362.3600000000006</v>
      </c>
      <c r="K4721" s="62"/>
      <c r="L4721" s="2">
        <f t="shared" si="456"/>
        <v>7.2</v>
      </c>
      <c r="M4721">
        <f t="shared" si="457"/>
        <v>0</v>
      </c>
      <c r="O4721" s="62"/>
      <c r="P4721" s="62"/>
    </row>
    <row r="4722" spans="1:16" x14ac:dyDescent="0.3">
      <c r="A4722" s="3">
        <f t="shared" si="458"/>
        <v>45754</v>
      </c>
      <c r="B4722" s="11" t="s">
        <v>2140</v>
      </c>
      <c r="C4722" s="50" t="s">
        <v>1279</v>
      </c>
      <c r="H4722" s="2">
        <v>4300</v>
      </c>
      <c r="I4722" s="88">
        <f t="shared" si="455"/>
        <v>62.360000000000582</v>
      </c>
      <c r="K4722" s="62"/>
      <c r="L4722" s="2">
        <f t="shared" si="456"/>
        <v>17.2</v>
      </c>
      <c r="M4722">
        <f t="shared" si="457"/>
        <v>0</v>
      </c>
      <c r="O4722" s="62"/>
      <c r="P4722" s="62"/>
    </row>
    <row r="4723" spans="1:16" x14ac:dyDescent="0.3">
      <c r="A4723" s="3">
        <v>45755</v>
      </c>
      <c r="B4723" s="11" t="s">
        <v>6718</v>
      </c>
      <c r="C4723" s="50" t="s">
        <v>8042</v>
      </c>
      <c r="G4723" s="2">
        <v>10000</v>
      </c>
      <c r="I4723" s="88">
        <f t="shared" si="455"/>
        <v>10062.36</v>
      </c>
      <c r="K4723" s="62"/>
      <c r="L4723" s="2">
        <f t="shared" si="456"/>
        <v>20</v>
      </c>
      <c r="M4723">
        <f t="shared" si="457"/>
        <v>0</v>
      </c>
      <c r="O4723" s="62"/>
      <c r="P4723" s="62"/>
    </row>
    <row r="4724" spans="1:16" x14ac:dyDescent="0.3">
      <c r="A4724" s="3">
        <f t="shared" si="458"/>
        <v>45755</v>
      </c>
      <c r="B4724" s="11" t="s">
        <v>6718</v>
      </c>
      <c r="C4724" s="50" t="s">
        <v>8042</v>
      </c>
      <c r="E4724" s="90" t="s">
        <v>2088</v>
      </c>
      <c r="I4724" s="88">
        <f t="shared" si="455"/>
        <v>10062.36</v>
      </c>
      <c r="K4724" s="62"/>
      <c r="L4724" s="2">
        <f t="shared" si="456"/>
        <v>0</v>
      </c>
      <c r="M4724">
        <f t="shared" si="457"/>
        <v>5</v>
      </c>
      <c r="O4724" s="62"/>
      <c r="P4724" s="62"/>
    </row>
    <row r="4725" spans="1:16" x14ac:dyDescent="0.3">
      <c r="A4725" s="3">
        <f t="shared" si="458"/>
        <v>45755</v>
      </c>
      <c r="B4725" s="11" t="s">
        <v>6260</v>
      </c>
      <c r="C4725" s="50" t="s">
        <v>7117</v>
      </c>
      <c r="H4725" s="2">
        <v>4500</v>
      </c>
      <c r="I4725" s="88">
        <f t="shared" ref="I4725:I4745" si="459">I4724+G4725-H4725</f>
        <v>5562.3600000000006</v>
      </c>
      <c r="K4725" s="62"/>
      <c r="L4725" s="2">
        <f t="shared" ref="L4725:L4740" si="460">IF((G4725+H4725)&lt;=5000,(H4725+G4725)*0.004,20)+IF(E4725="Y",25,0)</f>
        <v>18</v>
      </c>
      <c r="M4725">
        <f t="shared" ref="M4725:M4740" si="461">IF(E4725="p",5,0)</f>
        <v>0</v>
      </c>
      <c r="O4725" s="62"/>
      <c r="P4725" s="62"/>
    </row>
    <row r="4726" spans="1:16" x14ac:dyDescent="0.3">
      <c r="A4726" s="3">
        <f t="shared" si="458"/>
        <v>45755</v>
      </c>
      <c r="B4726" s="11" t="s">
        <v>8063</v>
      </c>
      <c r="C4726" s="50" t="s">
        <v>8062</v>
      </c>
      <c r="E4726" s="90" t="s">
        <v>16</v>
      </c>
      <c r="H4726" s="2">
        <v>500</v>
      </c>
      <c r="I4726" s="88">
        <f t="shared" si="459"/>
        <v>5062.3600000000006</v>
      </c>
      <c r="K4726" s="62"/>
      <c r="L4726" s="2">
        <f t="shared" si="460"/>
        <v>27</v>
      </c>
      <c r="M4726">
        <f t="shared" si="461"/>
        <v>0</v>
      </c>
      <c r="O4726" s="62"/>
      <c r="P4726" s="62"/>
    </row>
    <row r="4727" spans="1:16" x14ac:dyDescent="0.3">
      <c r="A4727" s="3">
        <f t="shared" si="458"/>
        <v>45755</v>
      </c>
      <c r="B4727" s="11" t="s">
        <v>7264</v>
      </c>
      <c r="C4727" s="50" t="s">
        <v>8064</v>
      </c>
      <c r="E4727" s="90" t="s">
        <v>2088</v>
      </c>
      <c r="I4727" s="88">
        <f t="shared" si="459"/>
        <v>5062.3600000000006</v>
      </c>
      <c r="K4727" s="62"/>
      <c r="L4727" s="2">
        <f t="shared" si="460"/>
        <v>0</v>
      </c>
      <c r="M4727">
        <f t="shared" si="461"/>
        <v>5</v>
      </c>
      <c r="O4727" s="62"/>
      <c r="P4727" s="62"/>
    </row>
    <row r="4728" spans="1:16" x14ac:dyDescent="0.3">
      <c r="A4728" s="3">
        <f t="shared" si="458"/>
        <v>45755</v>
      </c>
      <c r="B4728" s="11" t="s">
        <v>6929</v>
      </c>
      <c r="C4728" s="50" t="s">
        <v>8065</v>
      </c>
      <c r="D4728" s="50">
        <v>9334882577</v>
      </c>
      <c r="G4728" s="2">
        <v>10000</v>
      </c>
      <c r="I4728" s="88">
        <f t="shared" si="459"/>
        <v>15062.36</v>
      </c>
      <c r="K4728" s="62"/>
      <c r="L4728" s="2">
        <f t="shared" si="460"/>
        <v>20</v>
      </c>
      <c r="M4728">
        <f t="shared" si="461"/>
        <v>0</v>
      </c>
      <c r="O4728" s="62"/>
      <c r="P4728" s="62"/>
    </row>
    <row r="4729" spans="1:16" x14ac:dyDescent="0.3">
      <c r="A4729" s="3">
        <v>45755</v>
      </c>
      <c r="B4729" s="11" t="s">
        <v>8066</v>
      </c>
      <c r="C4729" s="50" t="s">
        <v>8067</v>
      </c>
      <c r="E4729" s="90" t="s">
        <v>2088</v>
      </c>
      <c r="I4729" s="88">
        <f t="shared" si="459"/>
        <v>15062.36</v>
      </c>
      <c r="K4729" s="62"/>
      <c r="L4729" s="2">
        <f t="shared" si="460"/>
        <v>0</v>
      </c>
      <c r="M4729">
        <f t="shared" si="461"/>
        <v>5</v>
      </c>
      <c r="O4729" s="62"/>
      <c r="P4729" s="62"/>
    </row>
    <row r="4730" spans="1:16" x14ac:dyDescent="0.3">
      <c r="A4730" s="3">
        <v>45756</v>
      </c>
      <c r="B4730" s="11" t="s">
        <v>5042</v>
      </c>
      <c r="C4730" s="50" t="s">
        <v>5040</v>
      </c>
      <c r="E4730" s="90" t="s">
        <v>2088</v>
      </c>
      <c r="I4730" s="88">
        <f t="shared" si="459"/>
        <v>15062.36</v>
      </c>
      <c r="K4730" s="62"/>
      <c r="L4730" s="2">
        <f t="shared" si="460"/>
        <v>0</v>
      </c>
      <c r="M4730">
        <f t="shared" si="461"/>
        <v>5</v>
      </c>
      <c r="O4730" s="62"/>
      <c r="P4730" s="62"/>
    </row>
    <row r="4731" spans="1:16" x14ac:dyDescent="0.3">
      <c r="A4731" s="3">
        <f t="shared" si="458"/>
        <v>45756</v>
      </c>
      <c r="B4731" s="11" t="s">
        <v>5042</v>
      </c>
      <c r="C4731" s="50" t="s">
        <v>5040</v>
      </c>
      <c r="G4731" s="2">
        <v>9000</v>
      </c>
      <c r="I4731" s="88">
        <f t="shared" si="459"/>
        <v>24062.36</v>
      </c>
      <c r="K4731" s="62"/>
      <c r="L4731" s="2">
        <f t="shared" si="460"/>
        <v>20</v>
      </c>
      <c r="M4731">
        <f t="shared" si="461"/>
        <v>0</v>
      </c>
      <c r="O4731" s="62"/>
      <c r="P4731" s="62"/>
    </row>
    <row r="4732" spans="1:16" x14ac:dyDescent="0.3">
      <c r="A4732" s="3">
        <f t="shared" si="458"/>
        <v>45756</v>
      </c>
      <c r="B4732" s="11" t="s">
        <v>5042</v>
      </c>
      <c r="C4732" s="50" t="s">
        <v>5040</v>
      </c>
      <c r="E4732" s="90" t="s">
        <v>2088</v>
      </c>
      <c r="I4732" s="88">
        <f t="shared" si="459"/>
        <v>24062.36</v>
      </c>
      <c r="K4732" s="62"/>
      <c r="L4732" s="2">
        <f t="shared" si="460"/>
        <v>0</v>
      </c>
      <c r="M4732">
        <f t="shared" si="461"/>
        <v>5</v>
      </c>
      <c r="O4732" s="62"/>
      <c r="P4732" s="62"/>
    </row>
    <row r="4733" spans="1:16" x14ac:dyDescent="0.3">
      <c r="A4733" s="3">
        <f t="shared" si="458"/>
        <v>45756</v>
      </c>
      <c r="B4733" s="11" t="s">
        <v>6260</v>
      </c>
      <c r="C4733" s="50" t="s">
        <v>7117</v>
      </c>
      <c r="H4733" s="2">
        <v>4000</v>
      </c>
      <c r="I4733" s="88">
        <f t="shared" si="459"/>
        <v>20062.36</v>
      </c>
      <c r="K4733" s="62"/>
      <c r="L4733" s="2">
        <f t="shared" si="460"/>
        <v>16</v>
      </c>
      <c r="M4733">
        <f t="shared" si="461"/>
        <v>0</v>
      </c>
      <c r="O4733" s="62"/>
      <c r="P4733" s="62"/>
    </row>
    <row r="4734" spans="1:16" x14ac:dyDescent="0.3">
      <c r="A4734" s="3">
        <f t="shared" si="458"/>
        <v>45756</v>
      </c>
      <c r="B4734" s="11" t="s">
        <v>5312</v>
      </c>
      <c r="C4734" s="50" t="s">
        <v>8068</v>
      </c>
      <c r="H4734" s="2">
        <v>3000</v>
      </c>
      <c r="I4734" s="88">
        <f t="shared" si="459"/>
        <v>17062.36</v>
      </c>
      <c r="K4734" s="62"/>
      <c r="L4734" s="2">
        <f t="shared" si="460"/>
        <v>12</v>
      </c>
      <c r="M4734">
        <f t="shared" si="461"/>
        <v>0</v>
      </c>
      <c r="O4734" s="62"/>
      <c r="P4734" s="62"/>
    </row>
    <row r="4735" spans="1:16" x14ac:dyDescent="0.3">
      <c r="A4735" s="3">
        <f t="shared" si="458"/>
        <v>45756</v>
      </c>
      <c r="B4735" s="11" t="s">
        <v>7471</v>
      </c>
      <c r="C4735" s="50" t="s">
        <v>6612</v>
      </c>
      <c r="G4735" s="2">
        <v>2000</v>
      </c>
      <c r="I4735" s="88">
        <f t="shared" si="459"/>
        <v>19062.36</v>
      </c>
      <c r="K4735" s="62"/>
      <c r="L4735" s="2">
        <f t="shared" si="460"/>
        <v>8</v>
      </c>
      <c r="M4735">
        <f t="shared" si="461"/>
        <v>0</v>
      </c>
      <c r="O4735" s="62"/>
      <c r="P4735" s="62"/>
    </row>
    <row r="4736" spans="1:16" x14ac:dyDescent="0.3">
      <c r="A4736" s="3">
        <f t="shared" si="458"/>
        <v>45756</v>
      </c>
      <c r="B4736" s="11" t="s">
        <v>7471</v>
      </c>
      <c r="C4736" s="50" t="s">
        <v>6612</v>
      </c>
      <c r="E4736" s="90" t="s">
        <v>2088</v>
      </c>
      <c r="I4736" s="88">
        <f t="shared" si="459"/>
        <v>19062.36</v>
      </c>
      <c r="K4736" s="62"/>
      <c r="L4736" s="2">
        <f t="shared" si="460"/>
        <v>0</v>
      </c>
      <c r="M4736">
        <f t="shared" si="461"/>
        <v>5</v>
      </c>
      <c r="O4736" s="62"/>
      <c r="P4736" s="62"/>
    </row>
    <row r="4737" spans="1:16" x14ac:dyDescent="0.3">
      <c r="A4737" s="3">
        <f t="shared" si="458"/>
        <v>45756</v>
      </c>
      <c r="C4737" s="50" t="s">
        <v>2857</v>
      </c>
      <c r="E4737" s="90" t="s">
        <v>4721</v>
      </c>
      <c r="H4737" s="2">
        <v>19000</v>
      </c>
      <c r="I4737" s="88">
        <f t="shared" si="459"/>
        <v>62.360000000000582</v>
      </c>
      <c r="K4737" s="62"/>
      <c r="L4737" s="2">
        <f t="shared" si="460"/>
        <v>20</v>
      </c>
      <c r="M4737">
        <f t="shared" si="461"/>
        <v>0</v>
      </c>
      <c r="O4737" s="62"/>
      <c r="P4737" s="62"/>
    </row>
    <row r="4738" spans="1:16" x14ac:dyDescent="0.3">
      <c r="A4738" s="3">
        <f t="shared" si="458"/>
        <v>45756</v>
      </c>
      <c r="B4738" s="11" t="s">
        <v>1160</v>
      </c>
      <c r="C4738" s="50" t="s">
        <v>7794</v>
      </c>
      <c r="G4738" s="2">
        <v>5050</v>
      </c>
      <c r="I4738" s="88">
        <f t="shared" si="459"/>
        <v>5112.3600000000006</v>
      </c>
      <c r="K4738" s="62"/>
      <c r="L4738" s="2">
        <f t="shared" si="460"/>
        <v>20</v>
      </c>
      <c r="M4738">
        <f t="shared" si="461"/>
        <v>0</v>
      </c>
      <c r="O4738" s="62"/>
      <c r="P4738" s="62"/>
    </row>
    <row r="4739" spans="1:16" x14ac:dyDescent="0.3">
      <c r="A4739" s="3">
        <f t="shared" si="458"/>
        <v>45756</v>
      </c>
      <c r="B4739" s="11" t="s">
        <v>3915</v>
      </c>
      <c r="C4739" s="50" t="s">
        <v>4067</v>
      </c>
      <c r="G4739" s="2">
        <v>2600</v>
      </c>
      <c r="I4739" s="88">
        <f t="shared" si="459"/>
        <v>7712.3600000000006</v>
      </c>
      <c r="K4739" s="62"/>
      <c r="L4739" s="2">
        <f t="shared" si="460"/>
        <v>10.4</v>
      </c>
      <c r="M4739">
        <f t="shared" si="461"/>
        <v>0</v>
      </c>
      <c r="O4739" s="62"/>
      <c r="P4739" s="62"/>
    </row>
    <row r="4740" spans="1:16" x14ac:dyDescent="0.3">
      <c r="A4740" s="3">
        <f t="shared" si="458"/>
        <v>45756</v>
      </c>
      <c r="B4740" s="11" t="s">
        <v>1250</v>
      </c>
      <c r="C4740" s="50" t="s">
        <v>2443</v>
      </c>
      <c r="G4740" s="2">
        <v>1400</v>
      </c>
      <c r="I4740" s="88">
        <f t="shared" si="459"/>
        <v>9112.36</v>
      </c>
      <c r="K4740" s="62"/>
      <c r="L4740" s="2">
        <f t="shared" si="460"/>
        <v>5.6000000000000005</v>
      </c>
      <c r="M4740">
        <f t="shared" si="461"/>
        <v>0</v>
      </c>
      <c r="O4740" s="62"/>
      <c r="P4740" s="62"/>
    </row>
    <row r="4741" spans="1:16" x14ac:dyDescent="0.3">
      <c r="A4741" s="3">
        <f t="shared" si="458"/>
        <v>45756</v>
      </c>
      <c r="B4741" s="11" t="s">
        <v>2143</v>
      </c>
      <c r="C4741" s="50" t="s">
        <v>8070</v>
      </c>
      <c r="H4741" s="2">
        <v>5000</v>
      </c>
      <c r="I4741" s="88">
        <f t="shared" si="459"/>
        <v>4112.3600000000006</v>
      </c>
      <c r="K4741" s="62"/>
      <c r="L4741" s="2">
        <f t="shared" ref="L4741:L4745" si="462">IF((G4741+H4741)&lt;=5000,(H4741+G4741)*0.004,20)+IF(E4741="Y",25,0)</f>
        <v>20</v>
      </c>
      <c r="M4741">
        <f t="shared" ref="M4741:M4745" si="463">IF(E4741="p",5,0)</f>
        <v>0</v>
      </c>
      <c r="O4741" s="62"/>
      <c r="P4741" s="62"/>
    </row>
    <row r="4742" spans="1:16" x14ac:dyDescent="0.3">
      <c r="A4742" s="3">
        <v>45757</v>
      </c>
      <c r="B4742" s="11" t="s">
        <v>3541</v>
      </c>
      <c r="C4742" s="50" t="s">
        <v>3542</v>
      </c>
      <c r="E4742" s="90" t="s">
        <v>7772</v>
      </c>
      <c r="I4742" s="88">
        <f t="shared" si="459"/>
        <v>4112.3600000000006</v>
      </c>
      <c r="K4742" s="62"/>
      <c r="L4742" s="2">
        <f t="shared" si="462"/>
        <v>0</v>
      </c>
      <c r="M4742">
        <f t="shared" si="463"/>
        <v>5</v>
      </c>
      <c r="O4742" s="62"/>
      <c r="P4742" s="62"/>
    </row>
    <row r="4743" spans="1:16" x14ac:dyDescent="0.3">
      <c r="A4743" s="3">
        <f t="shared" si="458"/>
        <v>45757</v>
      </c>
      <c r="B4743" s="11" t="s">
        <v>3541</v>
      </c>
      <c r="C4743" s="50" t="s">
        <v>3542</v>
      </c>
      <c r="G4743" s="2">
        <v>3000</v>
      </c>
      <c r="I4743" s="88">
        <f t="shared" si="459"/>
        <v>7112.3600000000006</v>
      </c>
      <c r="K4743" s="62"/>
      <c r="L4743" s="2">
        <f t="shared" si="462"/>
        <v>12</v>
      </c>
      <c r="M4743">
        <f t="shared" si="463"/>
        <v>0</v>
      </c>
      <c r="O4743" s="62"/>
      <c r="P4743" s="62"/>
    </row>
    <row r="4744" spans="1:16" x14ac:dyDescent="0.3">
      <c r="A4744" s="3">
        <f t="shared" si="458"/>
        <v>45757</v>
      </c>
      <c r="B4744" s="11" t="s">
        <v>6260</v>
      </c>
      <c r="C4744" s="50" t="s">
        <v>7117</v>
      </c>
      <c r="H4744" s="2">
        <v>4500</v>
      </c>
      <c r="I4744" s="88">
        <f t="shared" si="459"/>
        <v>2612.3600000000006</v>
      </c>
      <c r="K4744" s="62"/>
      <c r="L4744" s="2">
        <f t="shared" si="462"/>
        <v>18</v>
      </c>
      <c r="M4744">
        <f t="shared" si="463"/>
        <v>0</v>
      </c>
      <c r="O4744" s="62"/>
      <c r="P4744" s="62"/>
    </row>
    <row r="4745" spans="1:16" x14ac:dyDescent="0.3">
      <c r="A4745" s="3">
        <f t="shared" si="458"/>
        <v>45757</v>
      </c>
      <c r="B4745" s="11" t="s">
        <v>7396</v>
      </c>
      <c r="C4745" s="50" t="s">
        <v>8071</v>
      </c>
      <c r="E4745" s="90" t="s">
        <v>2088</v>
      </c>
      <c r="I4745" s="88">
        <f t="shared" si="459"/>
        <v>2612.3600000000006</v>
      </c>
      <c r="K4745" s="62"/>
      <c r="L4745" s="2">
        <f t="shared" si="462"/>
        <v>0</v>
      </c>
      <c r="M4745">
        <f t="shared" si="463"/>
        <v>5</v>
      </c>
      <c r="O4745" s="62"/>
      <c r="P4745" s="62"/>
    </row>
    <row r="4746" spans="1:16" x14ac:dyDescent="0.3">
      <c r="A4746" s="3">
        <f t="shared" si="458"/>
        <v>45757</v>
      </c>
      <c r="B4746" s="11" t="s">
        <v>7396</v>
      </c>
      <c r="C4746" s="50" t="s">
        <v>8071</v>
      </c>
      <c r="G4746" s="2">
        <v>1000</v>
      </c>
      <c r="I4746" s="88">
        <f t="shared" ref="I4746:I4752" si="464">I4745+G4746-H4746</f>
        <v>3612.3600000000006</v>
      </c>
      <c r="K4746" s="62"/>
      <c r="L4746" s="2">
        <f t="shared" ref="L4746:L4752" si="465">IF((G4746+H4746)&lt;=5000,(H4746+G4746)*0.004,20)+IF(E4746="Y",25,0)</f>
        <v>4</v>
      </c>
      <c r="M4746">
        <f t="shared" ref="M4746:M4752" si="466">IF(E4746="p",5,0)</f>
        <v>0</v>
      </c>
      <c r="O4746" s="62"/>
      <c r="P4746" s="62"/>
    </row>
    <row r="4747" spans="1:16" x14ac:dyDescent="0.3">
      <c r="A4747" s="3">
        <f t="shared" si="458"/>
        <v>45757</v>
      </c>
      <c r="B4747" s="11" t="s">
        <v>2797</v>
      </c>
      <c r="C4747" s="50" t="s">
        <v>8041</v>
      </c>
      <c r="H4747" s="2">
        <v>2000</v>
      </c>
      <c r="I4747" s="88">
        <f t="shared" si="464"/>
        <v>1612.3600000000006</v>
      </c>
      <c r="K4747" s="62"/>
      <c r="L4747" s="2">
        <f t="shared" si="465"/>
        <v>8</v>
      </c>
      <c r="M4747">
        <f t="shared" si="466"/>
        <v>0</v>
      </c>
      <c r="O4747" s="62"/>
      <c r="P4747" s="62"/>
    </row>
    <row r="4748" spans="1:16" x14ac:dyDescent="0.3">
      <c r="A4748" s="3">
        <f t="shared" si="458"/>
        <v>45757</v>
      </c>
      <c r="B4748" s="11" t="s">
        <v>8063</v>
      </c>
      <c r="C4748" s="50" t="s">
        <v>8062</v>
      </c>
      <c r="E4748" s="90" t="s">
        <v>2088</v>
      </c>
      <c r="I4748" s="88">
        <f t="shared" si="464"/>
        <v>1612.3600000000006</v>
      </c>
      <c r="K4748" s="62"/>
      <c r="L4748" s="2">
        <f t="shared" si="465"/>
        <v>0</v>
      </c>
      <c r="M4748">
        <f t="shared" si="466"/>
        <v>5</v>
      </c>
      <c r="O4748" s="62"/>
      <c r="P4748" s="62"/>
    </row>
    <row r="4749" spans="1:16" x14ac:dyDescent="0.3">
      <c r="A4749" s="3">
        <f t="shared" si="458"/>
        <v>45757</v>
      </c>
      <c r="B4749" s="11" t="s">
        <v>8063</v>
      </c>
      <c r="C4749" s="50" t="s">
        <v>8062</v>
      </c>
      <c r="H4749" s="2">
        <v>1000</v>
      </c>
      <c r="I4749" s="88">
        <f t="shared" si="464"/>
        <v>612.36000000000058</v>
      </c>
      <c r="K4749" s="62"/>
      <c r="L4749" s="2">
        <f t="shared" si="465"/>
        <v>4</v>
      </c>
      <c r="M4749">
        <f t="shared" si="466"/>
        <v>0</v>
      </c>
      <c r="O4749" s="62"/>
      <c r="P4749" s="62"/>
    </row>
    <row r="4750" spans="1:16" x14ac:dyDescent="0.3">
      <c r="A4750" s="3">
        <f t="shared" si="458"/>
        <v>45757</v>
      </c>
      <c r="B4750" s="11" t="s">
        <v>8063</v>
      </c>
      <c r="C4750" s="50" t="s">
        <v>8062</v>
      </c>
      <c r="E4750" s="97" t="s">
        <v>2088</v>
      </c>
      <c r="I4750" s="88">
        <f t="shared" si="464"/>
        <v>612.36000000000058</v>
      </c>
      <c r="K4750" s="62"/>
      <c r="L4750" s="2">
        <f t="shared" si="465"/>
        <v>0</v>
      </c>
      <c r="M4750">
        <f t="shared" si="466"/>
        <v>5</v>
      </c>
      <c r="O4750" s="62"/>
      <c r="P4750" s="62"/>
    </row>
    <row r="4751" spans="1:16" x14ac:dyDescent="0.3">
      <c r="A4751" s="3">
        <f t="shared" si="458"/>
        <v>45757</v>
      </c>
      <c r="B4751" s="11" t="s">
        <v>8074</v>
      </c>
      <c r="C4751" s="65" t="s">
        <v>8075</v>
      </c>
      <c r="E4751" s="90" t="s">
        <v>16</v>
      </c>
      <c r="H4751" s="2">
        <v>500</v>
      </c>
      <c r="I4751" s="88">
        <f t="shared" si="464"/>
        <v>112.36000000000058</v>
      </c>
      <c r="K4751" s="62"/>
      <c r="L4751" s="2">
        <f t="shared" si="465"/>
        <v>27</v>
      </c>
      <c r="M4751">
        <f t="shared" si="466"/>
        <v>0</v>
      </c>
      <c r="O4751" s="62"/>
      <c r="P4751" s="62"/>
    </row>
    <row r="4752" spans="1:16" x14ac:dyDescent="0.3">
      <c r="A4752" s="3">
        <f t="shared" si="458"/>
        <v>45757</v>
      </c>
      <c r="B4752" s="11" t="s">
        <v>1472</v>
      </c>
      <c r="C4752" s="50" t="s">
        <v>8082</v>
      </c>
      <c r="G4752" s="2">
        <v>1000</v>
      </c>
      <c r="I4752" s="88">
        <f t="shared" si="464"/>
        <v>1112.3600000000006</v>
      </c>
      <c r="K4752" s="62"/>
      <c r="L4752" s="2">
        <f t="shared" si="465"/>
        <v>4</v>
      </c>
      <c r="M4752">
        <f t="shared" si="466"/>
        <v>0</v>
      </c>
      <c r="O4752" s="62"/>
      <c r="P4752" s="62"/>
    </row>
    <row r="4753" spans="1:16" x14ac:dyDescent="0.3">
      <c r="A4753" s="3">
        <f t="shared" si="458"/>
        <v>45757</v>
      </c>
      <c r="B4753" s="11" t="s">
        <v>8078</v>
      </c>
      <c r="C4753" s="50" t="s">
        <v>6157</v>
      </c>
      <c r="E4753" s="90" t="s">
        <v>16</v>
      </c>
      <c r="H4753" s="2">
        <v>500</v>
      </c>
      <c r="I4753" s="88">
        <f t="shared" ref="I4753:I4763" si="467">I4752+G4753-H4753</f>
        <v>612.36000000000058</v>
      </c>
      <c r="K4753" s="62"/>
      <c r="L4753" s="2">
        <f t="shared" ref="L4753:L4763" si="468">IF((G4753+H4753)&lt;=5000,(H4753+G4753)*0.004,20)+IF(E4753="Y",25,0)</f>
        <v>27</v>
      </c>
      <c r="M4753">
        <f t="shared" ref="M4753:M4763" si="469">IF(E4753="p",5,0)</f>
        <v>0</v>
      </c>
      <c r="O4753" s="62"/>
      <c r="P4753" s="62"/>
    </row>
    <row r="4754" spans="1:16" x14ac:dyDescent="0.3">
      <c r="A4754" s="3">
        <f t="shared" si="458"/>
        <v>45757</v>
      </c>
      <c r="B4754" s="11" t="s">
        <v>7514</v>
      </c>
      <c r="C4754" s="50" t="s">
        <v>7347</v>
      </c>
      <c r="G4754" s="2">
        <v>5000</v>
      </c>
      <c r="I4754" s="88">
        <f t="shared" si="467"/>
        <v>5612.3600000000006</v>
      </c>
      <c r="K4754" s="62"/>
      <c r="L4754" s="2">
        <f t="shared" si="468"/>
        <v>20</v>
      </c>
      <c r="M4754">
        <f t="shared" si="469"/>
        <v>0</v>
      </c>
      <c r="O4754" s="62"/>
      <c r="P4754" s="62"/>
    </row>
    <row r="4755" spans="1:16" x14ac:dyDescent="0.3">
      <c r="A4755" s="3">
        <f t="shared" si="458"/>
        <v>45757</v>
      </c>
      <c r="B4755" s="11" t="s">
        <v>8083</v>
      </c>
      <c r="C4755" s="50" t="s">
        <v>7728</v>
      </c>
      <c r="G4755" s="2">
        <v>1500</v>
      </c>
      <c r="I4755" s="88">
        <f t="shared" si="467"/>
        <v>7112.3600000000006</v>
      </c>
      <c r="K4755" s="62"/>
      <c r="L4755" s="2">
        <f t="shared" si="468"/>
        <v>6</v>
      </c>
      <c r="M4755">
        <f t="shared" si="469"/>
        <v>0</v>
      </c>
      <c r="O4755" s="62"/>
      <c r="P4755" s="62"/>
    </row>
    <row r="4756" spans="1:16" x14ac:dyDescent="0.3">
      <c r="A4756" s="3">
        <v>45758</v>
      </c>
      <c r="B4756" s="11" t="s">
        <v>2271</v>
      </c>
      <c r="C4756" s="50" t="s">
        <v>8084</v>
      </c>
      <c r="G4756" s="2">
        <v>3000</v>
      </c>
      <c r="I4756" s="88">
        <f t="shared" si="467"/>
        <v>10112.36</v>
      </c>
      <c r="K4756" s="62"/>
      <c r="L4756" s="2">
        <f t="shared" si="468"/>
        <v>12</v>
      </c>
      <c r="M4756">
        <f t="shared" si="469"/>
        <v>0</v>
      </c>
      <c r="O4756" s="62"/>
      <c r="P4756" s="62"/>
    </row>
    <row r="4757" spans="1:16" x14ac:dyDescent="0.3">
      <c r="A4757" s="3">
        <f t="shared" si="458"/>
        <v>45758</v>
      </c>
      <c r="B4757" s="11" t="s">
        <v>6260</v>
      </c>
      <c r="C4757" s="50" t="s">
        <v>7117</v>
      </c>
      <c r="H4757" s="2">
        <v>4500</v>
      </c>
      <c r="I4757" s="88">
        <f t="shared" si="467"/>
        <v>5612.3600000000006</v>
      </c>
      <c r="K4757" s="62"/>
      <c r="L4757" s="2">
        <f t="shared" si="468"/>
        <v>18</v>
      </c>
      <c r="M4757">
        <f t="shared" si="469"/>
        <v>0</v>
      </c>
      <c r="O4757" s="62"/>
      <c r="P4757" s="62"/>
    </row>
    <row r="4758" spans="1:16" x14ac:dyDescent="0.3">
      <c r="A4758" s="3">
        <f t="shared" si="458"/>
        <v>45758</v>
      </c>
      <c r="B4758" s="11" t="s">
        <v>3871</v>
      </c>
      <c r="C4758" s="50" t="s">
        <v>2870</v>
      </c>
      <c r="H4758" s="2">
        <v>3050</v>
      </c>
      <c r="I4758" s="88">
        <f t="shared" si="467"/>
        <v>2562.3600000000006</v>
      </c>
      <c r="K4758" s="62"/>
      <c r="L4758" s="2">
        <f t="shared" si="468"/>
        <v>12.200000000000001</v>
      </c>
      <c r="M4758">
        <f t="shared" si="469"/>
        <v>0</v>
      </c>
      <c r="O4758" s="62"/>
      <c r="P4758" s="62"/>
    </row>
    <row r="4759" spans="1:16" x14ac:dyDescent="0.3">
      <c r="A4759" s="3">
        <f t="shared" si="458"/>
        <v>45758</v>
      </c>
      <c r="B4759" s="11" t="s">
        <v>8044</v>
      </c>
      <c r="C4759" s="50" t="s">
        <v>8045</v>
      </c>
      <c r="E4759" s="90" t="s">
        <v>7772</v>
      </c>
      <c r="I4759" s="88">
        <f t="shared" si="467"/>
        <v>2562.3600000000006</v>
      </c>
      <c r="K4759" s="62"/>
      <c r="L4759" s="2">
        <f t="shared" si="468"/>
        <v>0</v>
      </c>
      <c r="M4759">
        <f t="shared" si="469"/>
        <v>5</v>
      </c>
      <c r="O4759" s="62"/>
      <c r="P4759" s="62"/>
    </row>
    <row r="4760" spans="1:16" x14ac:dyDescent="0.3">
      <c r="A4760" s="3">
        <v>45759</v>
      </c>
      <c r="B4760" s="11" t="s">
        <v>8083</v>
      </c>
      <c r="C4760" s="50" t="s">
        <v>7728</v>
      </c>
      <c r="G4760" s="2">
        <v>2000</v>
      </c>
      <c r="I4760" s="88">
        <f t="shared" si="467"/>
        <v>4562.3600000000006</v>
      </c>
      <c r="K4760" s="62"/>
      <c r="L4760" s="2">
        <f t="shared" si="468"/>
        <v>8</v>
      </c>
      <c r="M4760">
        <f t="shared" si="469"/>
        <v>0</v>
      </c>
      <c r="O4760" s="62"/>
      <c r="P4760" s="62"/>
    </row>
    <row r="4761" spans="1:16" x14ac:dyDescent="0.3">
      <c r="A4761" s="3">
        <f t="shared" si="458"/>
        <v>45759</v>
      </c>
      <c r="B4761" s="11" t="s">
        <v>7174</v>
      </c>
      <c r="C4761" s="50" t="s">
        <v>7421</v>
      </c>
      <c r="D4761" s="50" t="s">
        <v>8122</v>
      </c>
      <c r="G4761" s="2">
        <v>8000</v>
      </c>
      <c r="I4761" s="88">
        <f t="shared" si="467"/>
        <v>12562.36</v>
      </c>
      <c r="K4761" s="62"/>
      <c r="L4761" s="2">
        <f t="shared" si="468"/>
        <v>20</v>
      </c>
      <c r="M4761">
        <f t="shared" si="469"/>
        <v>0</v>
      </c>
      <c r="O4761" s="62"/>
      <c r="P4761" s="62"/>
    </row>
    <row r="4762" spans="1:16" x14ac:dyDescent="0.3">
      <c r="A4762" s="3">
        <f t="shared" si="458"/>
        <v>45759</v>
      </c>
      <c r="B4762" s="11" t="s">
        <v>8091</v>
      </c>
      <c r="C4762" s="50" t="s">
        <v>220</v>
      </c>
      <c r="E4762" s="90" t="s">
        <v>16</v>
      </c>
      <c r="H4762" s="2">
        <v>500</v>
      </c>
      <c r="I4762" s="88">
        <f t="shared" si="467"/>
        <v>12062.36</v>
      </c>
      <c r="K4762" s="62"/>
      <c r="L4762" s="2">
        <f t="shared" si="468"/>
        <v>27</v>
      </c>
      <c r="M4762">
        <f t="shared" si="469"/>
        <v>0</v>
      </c>
      <c r="O4762" s="62"/>
      <c r="P4762" s="62"/>
    </row>
    <row r="4763" spans="1:16" x14ac:dyDescent="0.3">
      <c r="A4763" s="3">
        <f t="shared" si="458"/>
        <v>45759</v>
      </c>
      <c r="B4763" s="11" t="s">
        <v>6522</v>
      </c>
      <c r="C4763" s="50" t="s">
        <v>8092</v>
      </c>
      <c r="G4763" s="2">
        <v>1000</v>
      </c>
      <c r="I4763" s="88">
        <f t="shared" si="467"/>
        <v>13062.36</v>
      </c>
      <c r="K4763" s="62"/>
      <c r="L4763" s="2">
        <f t="shared" si="468"/>
        <v>4</v>
      </c>
      <c r="M4763">
        <f t="shared" si="469"/>
        <v>0</v>
      </c>
      <c r="O4763" s="62"/>
      <c r="P4763" s="62"/>
    </row>
    <row r="4764" spans="1:16" x14ac:dyDescent="0.3">
      <c r="A4764" s="3">
        <f t="shared" si="458"/>
        <v>45759</v>
      </c>
      <c r="B4764" s="11" t="s">
        <v>6434</v>
      </c>
      <c r="C4764" s="50" t="s">
        <v>7117</v>
      </c>
      <c r="H4764" s="2">
        <v>6000</v>
      </c>
      <c r="I4764" s="88">
        <f t="shared" ref="I4764:I4769" si="470">I4763+G4764-H4764</f>
        <v>7062.3600000000006</v>
      </c>
      <c r="K4764" s="62"/>
      <c r="L4764" s="2">
        <f t="shared" ref="L4764:L4769" si="471">IF((G4764+H4764)&lt;=5000,(H4764+G4764)*0.004,20)+IF(E4764="Y",25,0)</f>
        <v>20</v>
      </c>
      <c r="M4764">
        <f t="shared" ref="M4764:M4769" si="472">IF(E4764="p",5,0)</f>
        <v>0</v>
      </c>
      <c r="O4764" s="62"/>
      <c r="P4764" s="62"/>
    </row>
    <row r="4765" spans="1:16" x14ac:dyDescent="0.3">
      <c r="A4765" s="3">
        <v>45760</v>
      </c>
      <c r="B4765" s="11" t="s">
        <v>8093</v>
      </c>
      <c r="C4765" s="50" t="s">
        <v>8094</v>
      </c>
      <c r="E4765" s="90" t="s">
        <v>2088</v>
      </c>
      <c r="I4765" s="88">
        <f t="shared" si="470"/>
        <v>7062.3600000000006</v>
      </c>
      <c r="K4765" s="62"/>
      <c r="L4765" s="2">
        <f t="shared" si="471"/>
        <v>0</v>
      </c>
      <c r="M4765">
        <f t="shared" si="472"/>
        <v>5</v>
      </c>
      <c r="O4765" s="62"/>
      <c r="P4765" s="62"/>
    </row>
    <row r="4766" spans="1:16" x14ac:dyDescent="0.3">
      <c r="A4766" s="3">
        <f t="shared" si="458"/>
        <v>45760</v>
      </c>
      <c r="B4766" s="11" t="s">
        <v>7734</v>
      </c>
      <c r="C4766" s="50" t="s">
        <v>1388</v>
      </c>
      <c r="E4766" s="90" t="s">
        <v>2088</v>
      </c>
      <c r="I4766" s="88">
        <f t="shared" si="470"/>
        <v>7062.3600000000006</v>
      </c>
      <c r="K4766" s="62"/>
      <c r="L4766" s="2">
        <f t="shared" si="471"/>
        <v>0</v>
      </c>
      <c r="M4766">
        <f t="shared" si="472"/>
        <v>5</v>
      </c>
      <c r="O4766" s="62"/>
      <c r="P4766" s="62"/>
    </row>
    <row r="4767" spans="1:16" x14ac:dyDescent="0.3">
      <c r="A4767" s="3">
        <f t="shared" si="458"/>
        <v>45760</v>
      </c>
      <c r="B4767" s="11" t="s">
        <v>3524</v>
      </c>
      <c r="C4767" s="50" t="s">
        <v>3088</v>
      </c>
      <c r="E4767" s="90" t="s">
        <v>2088</v>
      </c>
      <c r="I4767" s="88">
        <f t="shared" si="470"/>
        <v>7062.3600000000006</v>
      </c>
      <c r="K4767" s="62"/>
      <c r="L4767" s="2">
        <f t="shared" si="471"/>
        <v>0</v>
      </c>
      <c r="M4767">
        <f t="shared" si="472"/>
        <v>5</v>
      </c>
      <c r="O4767" s="62"/>
      <c r="P4767" s="62"/>
    </row>
    <row r="4768" spans="1:16" x14ac:dyDescent="0.3">
      <c r="A4768" s="3">
        <v>45761</v>
      </c>
      <c r="B4768" s="11" t="s">
        <v>8091</v>
      </c>
      <c r="C4768" s="65" t="s">
        <v>8095</v>
      </c>
      <c r="E4768" s="90" t="s">
        <v>16</v>
      </c>
      <c r="H4768" s="2">
        <v>500</v>
      </c>
      <c r="I4768" s="88">
        <f t="shared" si="470"/>
        <v>6562.3600000000006</v>
      </c>
      <c r="K4768" s="62"/>
      <c r="L4768" s="2">
        <f t="shared" si="471"/>
        <v>27</v>
      </c>
      <c r="M4768">
        <f t="shared" si="472"/>
        <v>0</v>
      </c>
      <c r="O4768" s="62"/>
      <c r="P4768" s="62"/>
    </row>
    <row r="4769" spans="1:16" x14ac:dyDescent="0.3">
      <c r="A4769" s="3">
        <f t="shared" si="458"/>
        <v>45761</v>
      </c>
      <c r="B4769" s="11" t="s">
        <v>6260</v>
      </c>
      <c r="C4769" s="50" t="s">
        <v>7117</v>
      </c>
      <c r="H4769" s="2">
        <v>5500</v>
      </c>
      <c r="I4769" s="88">
        <f t="shared" si="470"/>
        <v>1062.3600000000006</v>
      </c>
      <c r="K4769" s="62"/>
      <c r="L4769" s="2">
        <f t="shared" si="471"/>
        <v>20</v>
      </c>
      <c r="M4769">
        <f t="shared" si="472"/>
        <v>0</v>
      </c>
      <c r="O4769" s="62"/>
      <c r="P4769" s="62"/>
    </row>
    <row r="4770" spans="1:16" x14ac:dyDescent="0.3">
      <c r="A4770" s="3">
        <f t="shared" si="458"/>
        <v>45761</v>
      </c>
      <c r="B4770" s="11" t="s">
        <v>8097</v>
      </c>
      <c r="C4770" s="50" t="s">
        <v>8098</v>
      </c>
      <c r="G4770" s="2">
        <v>5000</v>
      </c>
      <c r="I4770" s="88">
        <f t="shared" ref="I4770:I4777" si="473">I4769+G4770-H4770</f>
        <v>6062.3600000000006</v>
      </c>
      <c r="K4770" s="62"/>
      <c r="L4770" s="2">
        <f t="shared" ref="L4770:L4777" si="474">IF((G4770+H4770)&lt;=5000,(H4770+G4770)*0.004,20)+IF(E4770="Y",25,0)</f>
        <v>20</v>
      </c>
      <c r="M4770">
        <f t="shared" ref="M4770:M4777" si="475">IF(E4770="p",5,0)</f>
        <v>0</v>
      </c>
      <c r="O4770" s="62"/>
      <c r="P4770" s="62"/>
    </row>
    <row r="4771" spans="1:16" x14ac:dyDescent="0.3">
      <c r="A4771" s="3">
        <f t="shared" si="458"/>
        <v>45761</v>
      </c>
      <c r="B4771" s="11" t="s">
        <v>2143</v>
      </c>
      <c r="H4771" s="2">
        <v>5000</v>
      </c>
      <c r="I4771" s="88">
        <f t="shared" si="473"/>
        <v>1062.3600000000006</v>
      </c>
      <c r="K4771" s="62"/>
      <c r="L4771" s="2">
        <f t="shared" si="474"/>
        <v>20</v>
      </c>
      <c r="M4771">
        <f t="shared" si="475"/>
        <v>0</v>
      </c>
      <c r="O4771" s="62"/>
      <c r="P4771" s="62"/>
    </row>
    <row r="4772" spans="1:16" x14ac:dyDescent="0.3">
      <c r="A4772" s="3">
        <f t="shared" si="458"/>
        <v>45761</v>
      </c>
      <c r="B4772" s="11" t="s">
        <v>3543</v>
      </c>
      <c r="C4772" s="50" t="s">
        <v>2626</v>
      </c>
      <c r="G4772" s="2">
        <v>8200</v>
      </c>
      <c r="I4772" s="88">
        <f t="shared" si="473"/>
        <v>9262.36</v>
      </c>
      <c r="K4772" s="62"/>
      <c r="L4772" s="2">
        <f t="shared" si="474"/>
        <v>20</v>
      </c>
      <c r="M4772">
        <f t="shared" si="475"/>
        <v>0</v>
      </c>
      <c r="O4772" s="62"/>
      <c r="P4772" s="62"/>
    </row>
    <row r="4773" spans="1:16" x14ac:dyDescent="0.3">
      <c r="A4773" s="3">
        <f t="shared" si="458"/>
        <v>45761</v>
      </c>
      <c r="B4773" s="11" t="s">
        <v>8100</v>
      </c>
      <c r="C4773" s="50" t="s">
        <v>8101</v>
      </c>
      <c r="E4773" s="90" t="s">
        <v>16</v>
      </c>
      <c r="H4773" s="2">
        <v>500</v>
      </c>
      <c r="I4773" s="88">
        <f t="shared" si="473"/>
        <v>8762.36</v>
      </c>
      <c r="K4773" s="62"/>
      <c r="L4773" s="2">
        <f t="shared" si="474"/>
        <v>27</v>
      </c>
      <c r="M4773">
        <f t="shared" si="475"/>
        <v>0</v>
      </c>
      <c r="O4773" s="62"/>
      <c r="P4773" s="62"/>
    </row>
    <row r="4774" spans="1:16" x14ac:dyDescent="0.3">
      <c r="A4774" s="3" t="s">
        <v>8102</v>
      </c>
      <c r="B4774" s="11" t="s">
        <v>2490</v>
      </c>
      <c r="C4774" s="50" t="s">
        <v>2857</v>
      </c>
      <c r="H4774" s="2">
        <v>8000</v>
      </c>
      <c r="I4774" s="88">
        <f t="shared" si="473"/>
        <v>762.36000000000058</v>
      </c>
      <c r="K4774" s="62"/>
      <c r="L4774" s="2">
        <f t="shared" si="474"/>
        <v>20</v>
      </c>
      <c r="M4774">
        <f t="shared" si="475"/>
        <v>0</v>
      </c>
      <c r="O4774" s="62"/>
      <c r="P4774" s="62"/>
    </row>
    <row r="4775" spans="1:16" x14ac:dyDescent="0.3">
      <c r="A4775" s="3" t="str">
        <f t="shared" si="458"/>
        <v>15-0-2025</v>
      </c>
      <c r="B4775" s="11" t="s">
        <v>6778</v>
      </c>
      <c r="C4775" s="50" t="s">
        <v>8103</v>
      </c>
      <c r="E4775" s="90" t="s">
        <v>2088</v>
      </c>
      <c r="I4775" s="88">
        <f t="shared" si="473"/>
        <v>762.36000000000058</v>
      </c>
      <c r="K4775" s="62"/>
      <c r="L4775" s="2">
        <f t="shared" si="474"/>
        <v>0</v>
      </c>
      <c r="M4775">
        <f t="shared" si="475"/>
        <v>5</v>
      </c>
      <c r="O4775" s="62"/>
      <c r="P4775" s="62"/>
    </row>
    <row r="4776" spans="1:16" x14ac:dyDescent="0.3">
      <c r="A4776" s="3" t="str">
        <f t="shared" si="458"/>
        <v>15-0-2025</v>
      </c>
      <c r="B4776" s="11" t="s">
        <v>7262</v>
      </c>
      <c r="C4776" s="50" t="s">
        <v>8104</v>
      </c>
      <c r="E4776" s="90" t="s">
        <v>2088</v>
      </c>
      <c r="I4776" s="88">
        <f t="shared" si="473"/>
        <v>762.36000000000058</v>
      </c>
      <c r="K4776" s="62"/>
      <c r="L4776" s="2">
        <f t="shared" si="474"/>
        <v>0</v>
      </c>
      <c r="M4776">
        <f t="shared" si="475"/>
        <v>5</v>
      </c>
      <c r="O4776" s="62"/>
      <c r="P4776" s="62"/>
    </row>
    <row r="4777" spans="1:16" x14ac:dyDescent="0.3">
      <c r="A4777" s="3" t="str">
        <f t="shared" si="458"/>
        <v>15-0-2025</v>
      </c>
      <c r="B4777" s="11" t="s">
        <v>7262</v>
      </c>
      <c r="C4777" s="50" t="s">
        <v>8104</v>
      </c>
      <c r="G4777" s="2">
        <v>5000</v>
      </c>
      <c r="I4777" s="88">
        <f t="shared" si="473"/>
        <v>5762.3600000000006</v>
      </c>
      <c r="K4777" s="62"/>
      <c r="L4777" s="2">
        <f t="shared" si="474"/>
        <v>20</v>
      </c>
      <c r="M4777">
        <f t="shared" si="475"/>
        <v>0</v>
      </c>
      <c r="O4777" s="62"/>
      <c r="P4777" s="62"/>
    </row>
    <row r="4778" spans="1:16" x14ac:dyDescent="0.3">
      <c r="A4778" s="3" t="str">
        <f t="shared" si="458"/>
        <v>15-0-2025</v>
      </c>
      <c r="B4778" s="11" t="s">
        <v>7262</v>
      </c>
      <c r="C4778" s="50" t="s">
        <v>8104</v>
      </c>
      <c r="E4778" s="90" t="s">
        <v>2088</v>
      </c>
      <c r="I4778" s="88">
        <f t="shared" ref="I4778:I4784" si="476">I4777+G4778-H4778</f>
        <v>5762.3600000000006</v>
      </c>
      <c r="K4778" s="62"/>
      <c r="L4778" s="2">
        <f t="shared" ref="L4778:L4784" si="477">IF((G4778+H4778)&lt;=5000,(H4778+G4778)*0.004,20)+IF(E4778="Y",25,0)</f>
        <v>0</v>
      </c>
      <c r="M4778">
        <f t="shared" ref="M4778:M4784" si="478">IF(E4778="p",5,0)</f>
        <v>5</v>
      </c>
      <c r="O4778" s="62"/>
      <c r="P4778" s="62"/>
    </row>
    <row r="4779" spans="1:16" x14ac:dyDescent="0.3">
      <c r="A4779" s="3" t="str">
        <f t="shared" si="458"/>
        <v>15-0-2025</v>
      </c>
      <c r="B4779" s="11" t="s">
        <v>2448</v>
      </c>
      <c r="C4779" s="50" t="s">
        <v>2289</v>
      </c>
      <c r="H4779" s="2">
        <v>5000</v>
      </c>
      <c r="I4779" s="88">
        <f t="shared" si="476"/>
        <v>762.36000000000058</v>
      </c>
      <c r="K4779" s="62"/>
      <c r="L4779" s="2">
        <f t="shared" si="477"/>
        <v>20</v>
      </c>
      <c r="M4779">
        <f t="shared" si="478"/>
        <v>0</v>
      </c>
      <c r="O4779" s="62"/>
      <c r="P4779" s="62"/>
    </row>
    <row r="4780" spans="1:16" x14ac:dyDescent="0.3">
      <c r="A4780" s="3">
        <v>45763</v>
      </c>
      <c r="B4780" s="11" t="s">
        <v>3541</v>
      </c>
      <c r="C4780" s="50" t="s">
        <v>3542</v>
      </c>
      <c r="E4780" s="90" t="s">
        <v>2088</v>
      </c>
      <c r="I4780" s="88">
        <f t="shared" si="476"/>
        <v>762.36000000000058</v>
      </c>
      <c r="K4780" s="62"/>
      <c r="L4780" s="2">
        <f t="shared" si="477"/>
        <v>0</v>
      </c>
      <c r="M4780">
        <f t="shared" si="478"/>
        <v>5</v>
      </c>
      <c r="O4780" s="62"/>
      <c r="P4780" s="62"/>
    </row>
    <row r="4781" spans="1:16" x14ac:dyDescent="0.3">
      <c r="A4781" s="3">
        <f t="shared" si="458"/>
        <v>45763</v>
      </c>
      <c r="B4781" s="11" t="s">
        <v>3541</v>
      </c>
      <c r="C4781" s="50" t="s">
        <v>3542</v>
      </c>
      <c r="G4781" s="2">
        <v>1500</v>
      </c>
      <c r="I4781" s="88">
        <f t="shared" si="476"/>
        <v>2262.3600000000006</v>
      </c>
      <c r="K4781" s="62"/>
      <c r="L4781" s="2">
        <f t="shared" si="477"/>
        <v>6</v>
      </c>
      <c r="M4781">
        <f t="shared" si="478"/>
        <v>0</v>
      </c>
      <c r="O4781" s="62"/>
      <c r="P4781" s="62"/>
    </row>
    <row r="4782" spans="1:16" x14ac:dyDescent="0.3">
      <c r="A4782" s="3">
        <f t="shared" si="458"/>
        <v>45763</v>
      </c>
      <c r="B4782" s="11" t="s">
        <v>3541</v>
      </c>
      <c r="C4782" s="50" t="s">
        <v>3542</v>
      </c>
      <c r="E4782" s="90" t="s">
        <v>2088</v>
      </c>
      <c r="I4782" s="88">
        <f t="shared" si="476"/>
        <v>2262.3600000000006</v>
      </c>
      <c r="K4782" s="62"/>
      <c r="L4782" s="2">
        <f t="shared" si="477"/>
        <v>0</v>
      </c>
      <c r="M4782">
        <f t="shared" si="478"/>
        <v>5</v>
      </c>
      <c r="O4782" s="62"/>
      <c r="P4782" s="62"/>
    </row>
    <row r="4783" spans="1:16" x14ac:dyDescent="0.3">
      <c r="A4783" s="3">
        <f t="shared" si="458"/>
        <v>45763</v>
      </c>
      <c r="B4783" s="11" t="s">
        <v>7514</v>
      </c>
      <c r="C4783" s="50" t="s">
        <v>6985</v>
      </c>
      <c r="G4783" s="2">
        <v>3000</v>
      </c>
      <c r="I4783" s="88">
        <f t="shared" si="476"/>
        <v>5262.3600000000006</v>
      </c>
      <c r="K4783" s="62"/>
      <c r="L4783" s="2">
        <f t="shared" si="477"/>
        <v>12</v>
      </c>
      <c r="M4783">
        <f t="shared" si="478"/>
        <v>0</v>
      </c>
      <c r="O4783" s="62"/>
      <c r="P4783" s="62"/>
    </row>
    <row r="4784" spans="1:16" x14ac:dyDescent="0.3">
      <c r="A4784" s="3">
        <f t="shared" si="458"/>
        <v>45763</v>
      </c>
      <c r="B4784" s="11" t="s">
        <v>4752</v>
      </c>
      <c r="C4784" s="50" t="s">
        <v>5806</v>
      </c>
      <c r="G4784" s="2">
        <v>1000</v>
      </c>
      <c r="I4784" s="88">
        <f t="shared" si="476"/>
        <v>6262.3600000000006</v>
      </c>
      <c r="K4784" s="62"/>
      <c r="L4784" s="2">
        <f t="shared" si="477"/>
        <v>4</v>
      </c>
      <c r="M4784">
        <f t="shared" si="478"/>
        <v>0</v>
      </c>
      <c r="O4784" s="62"/>
      <c r="P4784" s="62"/>
    </row>
    <row r="4785" spans="1:16" x14ac:dyDescent="0.3">
      <c r="A4785" s="3">
        <f t="shared" si="458"/>
        <v>45763</v>
      </c>
      <c r="B4785" s="11" t="s">
        <v>3232</v>
      </c>
      <c r="C4785" s="50" t="s">
        <v>8106</v>
      </c>
      <c r="G4785" s="2">
        <v>2000</v>
      </c>
      <c r="I4785" s="88">
        <f t="shared" ref="I4785:I4792" si="479">I4784+G4785-H4785</f>
        <v>8262.36</v>
      </c>
      <c r="K4785" s="62"/>
      <c r="L4785" s="2">
        <f t="shared" ref="L4785:L4792" si="480">IF((G4785+H4785)&lt;=5000,(H4785+G4785)*0.004,20)+IF(E4785="Y",25,0)</f>
        <v>8</v>
      </c>
      <c r="M4785">
        <f t="shared" ref="M4785:M4792" si="481">IF(E4785="p",5,0)</f>
        <v>0</v>
      </c>
      <c r="O4785" s="62"/>
      <c r="P4785" s="62"/>
    </row>
    <row r="4786" spans="1:16" x14ac:dyDescent="0.3">
      <c r="A4786" s="3">
        <f t="shared" si="458"/>
        <v>45763</v>
      </c>
      <c r="B4786" s="11" t="s">
        <v>2448</v>
      </c>
      <c r="C4786" s="50" t="s">
        <v>8105</v>
      </c>
      <c r="H4786" s="2">
        <v>4000</v>
      </c>
      <c r="I4786" s="88">
        <f t="shared" si="479"/>
        <v>4262.3600000000006</v>
      </c>
      <c r="K4786" s="62"/>
      <c r="L4786" s="2">
        <f t="shared" si="480"/>
        <v>16</v>
      </c>
      <c r="M4786">
        <f t="shared" si="481"/>
        <v>0</v>
      </c>
      <c r="O4786" s="62"/>
      <c r="P4786" s="62"/>
    </row>
    <row r="4787" spans="1:16" x14ac:dyDescent="0.3">
      <c r="A4787" s="3">
        <f t="shared" si="458"/>
        <v>45763</v>
      </c>
      <c r="B4787" s="11" t="s">
        <v>5186</v>
      </c>
      <c r="C4787" s="50" t="s">
        <v>5189</v>
      </c>
      <c r="E4787" s="90" t="s">
        <v>2088</v>
      </c>
      <c r="I4787" s="88">
        <f t="shared" si="479"/>
        <v>4262.3600000000006</v>
      </c>
      <c r="K4787" s="62"/>
      <c r="L4787" s="2">
        <f t="shared" si="480"/>
        <v>0</v>
      </c>
      <c r="M4787">
        <f t="shared" si="481"/>
        <v>5</v>
      </c>
      <c r="O4787" s="62"/>
      <c r="P4787" s="62"/>
    </row>
    <row r="4788" spans="1:16" x14ac:dyDescent="0.3">
      <c r="A4788" s="3">
        <f t="shared" si="458"/>
        <v>45763</v>
      </c>
      <c r="B4788" s="11" t="s">
        <v>3915</v>
      </c>
      <c r="C4788" s="50" t="s">
        <v>5166</v>
      </c>
      <c r="D4788" s="50" t="s">
        <v>8107</v>
      </c>
      <c r="G4788" s="2">
        <v>5000</v>
      </c>
      <c r="I4788" s="88">
        <f t="shared" si="479"/>
        <v>9262.36</v>
      </c>
      <c r="K4788" s="62"/>
      <c r="L4788" s="2">
        <f t="shared" si="480"/>
        <v>20</v>
      </c>
      <c r="M4788">
        <f t="shared" si="481"/>
        <v>0</v>
      </c>
      <c r="O4788" s="62"/>
      <c r="P4788" s="62"/>
    </row>
    <row r="4789" spans="1:16" x14ac:dyDescent="0.3">
      <c r="A4789" s="3">
        <f t="shared" si="458"/>
        <v>45763</v>
      </c>
      <c r="B4789" s="11" t="s">
        <v>5186</v>
      </c>
      <c r="C4789" s="50" t="s">
        <v>5189</v>
      </c>
      <c r="G4789" s="2">
        <v>2000</v>
      </c>
      <c r="I4789" s="88">
        <f t="shared" si="479"/>
        <v>11262.36</v>
      </c>
      <c r="K4789" s="62"/>
      <c r="L4789" s="2">
        <f t="shared" si="480"/>
        <v>8</v>
      </c>
      <c r="M4789">
        <f t="shared" si="481"/>
        <v>0</v>
      </c>
      <c r="O4789" s="62"/>
      <c r="P4789" s="62"/>
    </row>
    <row r="4790" spans="1:16" x14ac:dyDescent="0.3">
      <c r="A4790" s="3">
        <f t="shared" si="458"/>
        <v>45763</v>
      </c>
      <c r="B4790" s="11" t="s">
        <v>7649</v>
      </c>
      <c r="C4790" s="50" t="s">
        <v>7753</v>
      </c>
      <c r="E4790" s="90" t="s">
        <v>7772</v>
      </c>
      <c r="I4790" s="88">
        <f t="shared" si="479"/>
        <v>11262.36</v>
      </c>
      <c r="K4790" s="62"/>
      <c r="L4790" s="2">
        <f t="shared" si="480"/>
        <v>0</v>
      </c>
      <c r="M4790">
        <f t="shared" si="481"/>
        <v>5</v>
      </c>
      <c r="O4790" s="62"/>
      <c r="P4790" s="62"/>
    </row>
    <row r="4791" spans="1:16" x14ac:dyDescent="0.3">
      <c r="A4791" s="3">
        <f t="shared" si="458"/>
        <v>45763</v>
      </c>
      <c r="B4791" s="11" t="s">
        <v>7649</v>
      </c>
      <c r="C4791" s="50" t="s">
        <v>7753</v>
      </c>
      <c r="H4791" s="2">
        <v>3000</v>
      </c>
      <c r="I4791" s="88">
        <f t="shared" si="479"/>
        <v>8262.36</v>
      </c>
      <c r="K4791" s="62"/>
      <c r="L4791" s="2">
        <f t="shared" si="480"/>
        <v>12</v>
      </c>
      <c r="M4791">
        <f t="shared" si="481"/>
        <v>0</v>
      </c>
      <c r="O4791" s="62"/>
      <c r="P4791" s="62"/>
    </row>
    <row r="4792" spans="1:16" x14ac:dyDescent="0.3">
      <c r="A4792" s="3">
        <f t="shared" si="458"/>
        <v>45763</v>
      </c>
      <c r="B4792" s="11" t="s">
        <v>8109</v>
      </c>
      <c r="C4792" s="65" t="s">
        <v>8110</v>
      </c>
      <c r="E4792" s="90" t="s">
        <v>14</v>
      </c>
      <c r="H4792" s="2">
        <v>500</v>
      </c>
      <c r="I4792" s="88">
        <f t="shared" si="479"/>
        <v>7762.3600000000006</v>
      </c>
      <c r="K4792" s="62"/>
      <c r="L4792" s="2">
        <f t="shared" si="480"/>
        <v>27</v>
      </c>
      <c r="M4792">
        <f t="shared" si="481"/>
        <v>0</v>
      </c>
      <c r="O4792" s="62"/>
      <c r="P4792" s="62"/>
    </row>
    <row r="4793" spans="1:16" x14ac:dyDescent="0.3">
      <c r="A4793" s="3">
        <f t="shared" si="458"/>
        <v>45763</v>
      </c>
      <c r="B4793" s="11" t="s">
        <v>6840</v>
      </c>
      <c r="C4793" s="50" t="s">
        <v>7350</v>
      </c>
      <c r="G4793" s="2">
        <v>1000</v>
      </c>
      <c r="I4793" s="88">
        <f t="shared" ref="I4793:I4799" si="482">I4792+G4793-H4793</f>
        <v>8762.36</v>
      </c>
      <c r="K4793" s="62"/>
      <c r="L4793" s="2">
        <f t="shared" ref="L4793:L4799" si="483">IF((G4793+H4793)&lt;=5000,(H4793+G4793)*0.004,20)+IF(E4793="Y",25,0)</f>
        <v>4</v>
      </c>
      <c r="M4793">
        <f t="shared" ref="M4793:M4799" si="484">IF(E4793="p",5,0)</f>
        <v>0</v>
      </c>
      <c r="O4793" s="62"/>
      <c r="P4793" s="62"/>
    </row>
    <row r="4794" spans="1:16" x14ac:dyDescent="0.3">
      <c r="A4794" s="3">
        <f t="shared" ref="A4794:A4856" si="485">A4793</f>
        <v>45763</v>
      </c>
      <c r="B4794" s="11" t="s">
        <v>6840</v>
      </c>
      <c r="C4794" s="50" t="s">
        <v>7350</v>
      </c>
      <c r="E4794" s="90" t="s">
        <v>2088</v>
      </c>
      <c r="I4794" s="88">
        <f t="shared" si="482"/>
        <v>8762.36</v>
      </c>
      <c r="K4794" s="62"/>
      <c r="L4794" s="2">
        <f t="shared" si="483"/>
        <v>0</v>
      </c>
      <c r="M4794">
        <f t="shared" si="484"/>
        <v>5</v>
      </c>
      <c r="O4794" s="62"/>
      <c r="P4794" s="62"/>
    </row>
    <row r="4795" spans="1:16" x14ac:dyDescent="0.3">
      <c r="A4795" s="3">
        <f t="shared" si="485"/>
        <v>45763</v>
      </c>
      <c r="B4795" s="11" t="s">
        <v>7108</v>
      </c>
      <c r="C4795" s="50" t="s">
        <v>7109</v>
      </c>
      <c r="E4795" s="90" t="s">
        <v>2088</v>
      </c>
      <c r="I4795" s="88">
        <f t="shared" si="482"/>
        <v>8762.36</v>
      </c>
      <c r="K4795" s="62"/>
      <c r="L4795" s="2">
        <f t="shared" si="483"/>
        <v>0</v>
      </c>
      <c r="M4795">
        <f t="shared" si="484"/>
        <v>5</v>
      </c>
      <c r="O4795" s="62"/>
      <c r="P4795" s="62"/>
    </row>
    <row r="4796" spans="1:16" x14ac:dyDescent="0.3">
      <c r="A4796" s="3">
        <f t="shared" si="485"/>
        <v>45763</v>
      </c>
      <c r="B4796" s="11" t="s">
        <v>7108</v>
      </c>
      <c r="C4796" s="50" t="s">
        <v>7109</v>
      </c>
      <c r="G4796" s="2">
        <v>2500</v>
      </c>
      <c r="I4796" s="88">
        <f t="shared" si="482"/>
        <v>11262.36</v>
      </c>
      <c r="K4796" s="62"/>
      <c r="L4796" s="2">
        <f t="shared" si="483"/>
        <v>10</v>
      </c>
      <c r="M4796">
        <f t="shared" si="484"/>
        <v>0</v>
      </c>
      <c r="O4796" s="62"/>
      <c r="P4796" s="62"/>
    </row>
    <row r="4797" spans="1:16" x14ac:dyDescent="0.3">
      <c r="A4797" s="3">
        <f t="shared" si="485"/>
        <v>45763</v>
      </c>
      <c r="B4797" s="11" t="s">
        <v>7108</v>
      </c>
      <c r="C4797" s="50" t="s">
        <v>7109</v>
      </c>
      <c r="E4797" s="90" t="s">
        <v>2088</v>
      </c>
      <c r="I4797" s="88">
        <f t="shared" si="482"/>
        <v>11262.36</v>
      </c>
      <c r="K4797" s="62"/>
      <c r="L4797" s="2">
        <f t="shared" si="483"/>
        <v>0</v>
      </c>
      <c r="M4797">
        <f t="shared" si="484"/>
        <v>5</v>
      </c>
      <c r="O4797" s="62"/>
      <c r="P4797" s="62"/>
    </row>
    <row r="4798" spans="1:16" x14ac:dyDescent="0.3">
      <c r="A4798" s="3">
        <f t="shared" si="485"/>
        <v>45763</v>
      </c>
      <c r="B4798" s="11" t="s">
        <v>4798</v>
      </c>
      <c r="C4798" s="65" t="s">
        <v>8113</v>
      </c>
      <c r="E4798" s="90" t="s">
        <v>16</v>
      </c>
      <c r="H4798" s="2">
        <v>500</v>
      </c>
      <c r="I4798" s="88">
        <f t="shared" si="482"/>
        <v>10762.36</v>
      </c>
      <c r="K4798" s="62"/>
      <c r="L4798" s="2">
        <f>IF((G4798+H4798)&lt;=5000,(H4798+G4798)*0.004,20)+IF(C4798="Y",25,0)</f>
        <v>2</v>
      </c>
      <c r="M4798">
        <f>IF(C4798="p",5,0)</f>
        <v>0</v>
      </c>
      <c r="O4798" s="62"/>
      <c r="P4798" s="62"/>
    </row>
    <row r="4799" spans="1:16" x14ac:dyDescent="0.3">
      <c r="A4799" s="3">
        <v>45764</v>
      </c>
      <c r="B4799" s="11" t="s">
        <v>8100</v>
      </c>
      <c r="C4799" s="50" t="s">
        <v>8121</v>
      </c>
      <c r="E4799" s="90" t="s">
        <v>2088</v>
      </c>
      <c r="I4799" s="88">
        <f t="shared" si="482"/>
        <v>10762.36</v>
      </c>
      <c r="K4799" s="62"/>
      <c r="L4799" s="2">
        <f t="shared" si="483"/>
        <v>0</v>
      </c>
      <c r="M4799">
        <f t="shared" si="484"/>
        <v>5</v>
      </c>
      <c r="O4799" s="62"/>
      <c r="P4799" s="62"/>
    </row>
    <row r="4800" spans="1:16" x14ac:dyDescent="0.3">
      <c r="A4800" s="3">
        <f t="shared" si="485"/>
        <v>45764</v>
      </c>
      <c r="B4800" s="11" t="s">
        <v>7405</v>
      </c>
      <c r="C4800" s="50" t="s">
        <v>7407</v>
      </c>
      <c r="H4800" s="2">
        <v>3000</v>
      </c>
      <c r="I4800" s="88">
        <f t="shared" ref="I4800:I4809" si="486">I4799+G4800-H4800</f>
        <v>7762.3600000000006</v>
      </c>
      <c r="K4800" s="62"/>
      <c r="L4800" s="2">
        <f t="shared" ref="L4800:L4809" si="487">IF((G4800+H4800)&lt;=5000,(H4800+G4800)*0.004,20)+IF(E4800="Y",25,0)</f>
        <v>12</v>
      </c>
      <c r="M4800">
        <f t="shared" ref="M4800:M4809" si="488">IF(E4800="p",5,0)</f>
        <v>0</v>
      </c>
      <c r="O4800" s="62"/>
      <c r="P4800" s="62"/>
    </row>
    <row r="4801" spans="1:16" x14ac:dyDescent="0.3">
      <c r="A4801" s="3">
        <f t="shared" si="485"/>
        <v>45764</v>
      </c>
      <c r="B4801" s="11" t="s">
        <v>6260</v>
      </c>
      <c r="C4801" s="50" t="s">
        <v>7117</v>
      </c>
      <c r="H4801" s="2">
        <v>2500</v>
      </c>
      <c r="I4801" s="88">
        <f t="shared" si="486"/>
        <v>5262.3600000000006</v>
      </c>
      <c r="K4801" s="62"/>
      <c r="L4801" s="2">
        <f t="shared" si="487"/>
        <v>10</v>
      </c>
      <c r="M4801">
        <f t="shared" si="488"/>
        <v>0</v>
      </c>
      <c r="O4801" s="62"/>
      <c r="P4801" s="62"/>
    </row>
    <row r="4802" spans="1:16" x14ac:dyDescent="0.3">
      <c r="A4802" s="3">
        <f t="shared" si="485"/>
        <v>45764</v>
      </c>
      <c r="B4802" s="11" t="s">
        <v>3812</v>
      </c>
      <c r="C4802" s="50" t="s">
        <v>3416</v>
      </c>
      <c r="G4802" s="2">
        <v>6000</v>
      </c>
      <c r="I4802" s="88">
        <f t="shared" si="486"/>
        <v>11262.36</v>
      </c>
      <c r="K4802" s="62"/>
      <c r="L4802" s="2">
        <f t="shared" si="487"/>
        <v>20</v>
      </c>
      <c r="M4802">
        <f t="shared" si="488"/>
        <v>0</v>
      </c>
      <c r="O4802" s="62"/>
      <c r="P4802" s="62"/>
    </row>
    <row r="4803" spans="1:16" x14ac:dyDescent="0.3">
      <c r="A4803" s="3">
        <f t="shared" si="485"/>
        <v>45764</v>
      </c>
      <c r="B4803" s="11" t="s">
        <v>7405</v>
      </c>
      <c r="C4803" s="50" t="s">
        <v>7407</v>
      </c>
      <c r="E4803" s="90" t="s">
        <v>2088</v>
      </c>
      <c r="I4803" s="88">
        <f t="shared" si="486"/>
        <v>11262.36</v>
      </c>
      <c r="K4803" s="62"/>
      <c r="L4803" s="2">
        <f t="shared" si="487"/>
        <v>0</v>
      </c>
      <c r="M4803">
        <f t="shared" si="488"/>
        <v>5</v>
      </c>
      <c r="O4803" s="62"/>
      <c r="P4803" s="62"/>
    </row>
    <row r="4804" spans="1:16" x14ac:dyDescent="0.3">
      <c r="A4804" s="3">
        <f t="shared" si="485"/>
        <v>45764</v>
      </c>
      <c r="B4804" s="11" t="s">
        <v>5042</v>
      </c>
      <c r="C4804" s="50" t="s">
        <v>5040</v>
      </c>
      <c r="G4804" s="2">
        <v>500</v>
      </c>
      <c r="I4804" s="88">
        <f t="shared" si="486"/>
        <v>11762.36</v>
      </c>
      <c r="K4804" s="62"/>
      <c r="L4804" s="2">
        <f t="shared" si="487"/>
        <v>2</v>
      </c>
      <c r="M4804">
        <f t="shared" si="488"/>
        <v>0</v>
      </c>
      <c r="O4804" s="62"/>
      <c r="P4804" s="62"/>
    </row>
    <row r="4805" spans="1:16" x14ac:dyDescent="0.3">
      <c r="A4805" s="3">
        <f t="shared" si="485"/>
        <v>45764</v>
      </c>
      <c r="B4805" s="11" t="s">
        <v>5042</v>
      </c>
      <c r="C4805" s="50" t="s">
        <v>5040</v>
      </c>
      <c r="E4805" s="90" t="s">
        <v>2088</v>
      </c>
      <c r="I4805" s="88">
        <f t="shared" si="486"/>
        <v>11762.36</v>
      </c>
      <c r="K4805" s="62"/>
      <c r="L4805" s="2">
        <f t="shared" si="487"/>
        <v>0</v>
      </c>
      <c r="M4805">
        <f t="shared" si="488"/>
        <v>5</v>
      </c>
      <c r="O4805" s="62"/>
      <c r="P4805" s="62"/>
    </row>
    <row r="4806" spans="1:16" x14ac:dyDescent="0.3">
      <c r="A4806" s="3">
        <f t="shared" si="485"/>
        <v>45764</v>
      </c>
      <c r="B4806" s="11" t="s">
        <v>4798</v>
      </c>
      <c r="C4806" s="50" t="s">
        <v>8113</v>
      </c>
      <c r="E4806" s="90" t="s">
        <v>2088</v>
      </c>
      <c r="I4806" s="88">
        <f t="shared" si="486"/>
        <v>11762.36</v>
      </c>
      <c r="K4806" s="62"/>
      <c r="L4806" s="2">
        <f t="shared" si="487"/>
        <v>0</v>
      </c>
      <c r="M4806">
        <f t="shared" si="488"/>
        <v>5</v>
      </c>
      <c r="O4806" s="62"/>
      <c r="P4806" s="62"/>
    </row>
    <row r="4807" spans="1:16" x14ac:dyDescent="0.3">
      <c r="A4807" s="3">
        <f t="shared" si="485"/>
        <v>45764</v>
      </c>
      <c r="B4807" s="11" t="s">
        <v>2689</v>
      </c>
      <c r="C4807" s="50" t="s">
        <v>1279</v>
      </c>
      <c r="H4807" s="2">
        <v>5000</v>
      </c>
      <c r="I4807" s="88">
        <f t="shared" si="486"/>
        <v>6762.3600000000006</v>
      </c>
      <c r="K4807" s="62"/>
      <c r="L4807" s="2">
        <f t="shared" si="487"/>
        <v>20</v>
      </c>
      <c r="M4807">
        <f t="shared" si="488"/>
        <v>0</v>
      </c>
      <c r="O4807" s="62"/>
      <c r="P4807" s="62"/>
    </row>
    <row r="4808" spans="1:16" x14ac:dyDescent="0.3">
      <c r="A4808" s="3">
        <v>45765</v>
      </c>
      <c r="B4808" s="11" t="s">
        <v>6260</v>
      </c>
      <c r="C4808" s="50" t="s">
        <v>7117</v>
      </c>
      <c r="H4808" s="2">
        <v>3000</v>
      </c>
      <c r="I4808" s="88">
        <f t="shared" si="486"/>
        <v>3762.3600000000006</v>
      </c>
      <c r="K4808" s="62"/>
      <c r="L4808" s="2">
        <f t="shared" si="487"/>
        <v>12</v>
      </c>
      <c r="M4808">
        <f t="shared" si="488"/>
        <v>0</v>
      </c>
      <c r="O4808" s="62"/>
      <c r="P4808" s="62"/>
    </row>
    <row r="4809" spans="1:16" x14ac:dyDescent="0.3">
      <c r="A4809" s="3">
        <f t="shared" si="485"/>
        <v>45765</v>
      </c>
      <c r="B4809" s="11" t="s">
        <v>6743</v>
      </c>
      <c r="C4809" s="50" t="s">
        <v>419</v>
      </c>
      <c r="G4809" s="2">
        <v>5500</v>
      </c>
      <c r="I4809" s="88">
        <f t="shared" si="486"/>
        <v>9262.36</v>
      </c>
      <c r="K4809" s="62"/>
      <c r="L4809" s="2">
        <f t="shared" si="487"/>
        <v>20</v>
      </c>
      <c r="M4809">
        <f t="shared" si="488"/>
        <v>0</v>
      </c>
      <c r="O4809" s="62"/>
      <c r="P4809" s="62"/>
    </row>
    <row r="4810" spans="1:16" x14ac:dyDescent="0.3">
      <c r="A4810" s="3">
        <f t="shared" si="485"/>
        <v>45765</v>
      </c>
      <c r="B4810" s="11" t="s">
        <v>6743</v>
      </c>
      <c r="C4810" s="50" t="s">
        <v>419</v>
      </c>
      <c r="E4810" s="90" t="s">
        <v>2088</v>
      </c>
      <c r="I4810" s="88">
        <f t="shared" ref="I4810:I4857" si="489">I4809+G4810-H4810</f>
        <v>9262.36</v>
      </c>
      <c r="K4810" s="62"/>
      <c r="L4810" s="2">
        <f t="shared" ref="L4810:L4873" si="490">IF((G4810+H4810)&lt;=5000,(H4810+G4810)*0.004,20)+IF(E4810="Y",25,0)</f>
        <v>0</v>
      </c>
      <c r="M4810">
        <f t="shared" ref="M4810:M4818" si="491">IF(E4810="p",5,0)</f>
        <v>5</v>
      </c>
      <c r="O4810" s="62"/>
      <c r="P4810" s="62"/>
    </row>
    <row r="4811" spans="1:16" x14ac:dyDescent="0.3">
      <c r="A4811" s="3">
        <f t="shared" si="485"/>
        <v>45765</v>
      </c>
      <c r="B4811" s="11" t="s">
        <v>7649</v>
      </c>
      <c r="C4811" s="50" t="s">
        <v>8126</v>
      </c>
      <c r="H4811" s="2">
        <v>1300</v>
      </c>
      <c r="I4811" s="88">
        <f t="shared" si="489"/>
        <v>7962.3600000000006</v>
      </c>
      <c r="K4811" s="62"/>
      <c r="L4811" s="2">
        <f t="shared" si="490"/>
        <v>5.2</v>
      </c>
      <c r="M4811">
        <f t="shared" si="491"/>
        <v>0</v>
      </c>
      <c r="O4811" s="62"/>
      <c r="P4811" s="62"/>
    </row>
    <row r="4812" spans="1:16" x14ac:dyDescent="0.3">
      <c r="A4812" s="3">
        <f t="shared" si="485"/>
        <v>45765</v>
      </c>
      <c r="B4812" s="11" t="s">
        <v>8129</v>
      </c>
      <c r="C4812" s="50" t="s">
        <v>5743</v>
      </c>
      <c r="G4812" s="2">
        <v>1000</v>
      </c>
      <c r="I4812" s="88">
        <f t="shared" si="489"/>
        <v>8962.36</v>
      </c>
      <c r="K4812" s="62"/>
      <c r="L4812" s="2">
        <f t="shared" si="490"/>
        <v>4</v>
      </c>
      <c r="M4812">
        <f t="shared" si="491"/>
        <v>0</v>
      </c>
      <c r="O4812" s="62"/>
      <c r="P4812" s="62"/>
    </row>
    <row r="4813" spans="1:16" x14ac:dyDescent="0.3">
      <c r="A4813" s="3">
        <f t="shared" si="485"/>
        <v>45765</v>
      </c>
      <c r="B4813" s="11" t="s">
        <v>1250</v>
      </c>
      <c r="C4813" s="50" t="s">
        <v>2443</v>
      </c>
      <c r="G4813" s="2">
        <v>400</v>
      </c>
      <c r="I4813" s="88">
        <f t="shared" si="489"/>
        <v>9362.36</v>
      </c>
      <c r="K4813" s="62"/>
      <c r="L4813" s="2">
        <f t="shared" si="490"/>
        <v>1.6</v>
      </c>
      <c r="M4813">
        <f t="shared" si="491"/>
        <v>0</v>
      </c>
      <c r="O4813" s="62"/>
      <c r="P4813" s="62"/>
    </row>
    <row r="4814" spans="1:16" x14ac:dyDescent="0.3">
      <c r="A4814" s="3">
        <f t="shared" si="485"/>
        <v>45765</v>
      </c>
      <c r="B4814" s="11" t="s">
        <v>2634</v>
      </c>
      <c r="C4814" s="50" t="s">
        <v>2233</v>
      </c>
      <c r="H4814" s="2">
        <v>1000</v>
      </c>
      <c r="I4814" s="88">
        <f t="shared" si="489"/>
        <v>8362.36</v>
      </c>
      <c r="K4814" s="62"/>
      <c r="L4814" s="2">
        <f t="shared" si="490"/>
        <v>4</v>
      </c>
      <c r="M4814">
        <f t="shared" si="491"/>
        <v>0</v>
      </c>
      <c r="O4814" s="62"/>
      <c r="P4814" s="62"/>
    </row>
    <row r="4815" spans="1:16" x14ac:dyDescent="0.3">
      <c r="A4815" s="3">
        <f t="shared" si="485"/>
        <v>45765</v>
      </c>
      <c r="B4815" s="11" t="s">
        <v>8124</v>
      </c>
      <c r="C4815" s="65" t="s">
        <v>8127</v>
      </c>
      <c r="E4815" s="90" t="s">
        <v>16</v>
      </c>
      <c r="H4815" s="2">
        <v>500</v>
      </c>
      <c r="I4815" s="88">
        <f t="shared" si="489"/>
        <v>7862.3600000000006</v>
      </c>
      <c r="K4815" s="62"/>
      <c r="L4815" s="2">
        <f t="shared" si="490"/>
        <v>27</v>
      </c>
      <c r="M4815">
        <f t="shared" si="491"/>
        <v>0</v>
      </c>
      <c r="O4815" s="62"/>
      <c r="P4815" s="62"/>
    </row>
    <row r="4816" spans="1:16" x14ac:dyDescent="0.3">
      <c r="A4816" s="3">
        <f t="shared" si="485"/>
        <v>45765</v>
      </c>
      <c r="B4816" s="11" t="s">
        <v>2143</v>
      </c>
      <c r="C4816" s="50" t="s">
        <v>1279</v>
      </c>
      <c r="H4816" s="2">
        <v>5000</v>
      </c>
      <c r="I4816" s="88">
        <f t="shared" si="489"/>
        <v>2862.3600000000006</v>
      </c>
      <c r="K4816" s="62"/>
      <c r="L4816" s="2">
        <f t="shared" si="490"/>
        <v>20</v>
      </c>
      <c r="M4816">
        <f t="shared" si="491"/>
        <v>0</v>
      </c>
      <c r="O4816" s="62"/>
      <c r="P4816" s="62"/>
    </row>
    <row r="4817" spans="1:16" x14ac:dyDescent="0.3">
      <c r="A4817" s="3">
        <f t="shared" si="485"/>
        <v>45765</v>
      </c>
      <c r="B4817" s="11" t="s">
        <v>8130</v>
      </c>
      <c r="C4817" s="50" t="s">
        <v>2466</v>
      </c>
      <c r="E4817" s="90" t="s">
        <v>2088</v>
      </c>
      <c r="I4817" s="88">
        <f t="shared" si="489"/>
        <v>2862.3600000000006</v>
      </c>
      <c r="K4817" s="62"/>
      <c r="L4817" s="2">
        <f t="shared" si="490"/>
        <v>0</v>
      </c>
      <c r="M4817">
        <f t="shared" si="491"/>
        <v>5</v>
      </c>
      <c r="O4817" s="62"/>
      <c r="P4817" s="62"/>
    </row>
    <row r="4818" spans="1:16" x14ac:dyDescent="0.3">
      <c r="A4818" s="3">
        <f t="shared" si="485"/>
        <v>45765</v>
      </c>
      <c r="B4818" s="11" t="s">
        <v>8130</v>
      </c>
      <c r="C4818" s="50" t="s">
        <v>2466</v>
      </c>
      <c r="G4818" s="2">
        <v>5000</v>
      </c>
      <c r="I4818" s="88">
        <f t="shared" si="489"/>
        <v>7862.3600000000006</v>
      </c>
      <c r="K4818" s="62"/>
      <c r="L4818" s="2">
        <f t="shared" si="490"/>
        <v>20</v>
      </c>
      <c r="M4818">
        <f t="shared" si="491"/>
        <v>0</v>
      </c>
      <c r="O4818" s="62"/>
      <c r="P4818" s="62"/>
    </row>
    <row r="4819" spans="1:16" x14ac:dyDescent="0.3">
      <c r="A4819" s="3">
        <f t="shared" si="485"/>
        <v>45765</v>
      </c>
      <c r="B4819" s="11" t="s">
        <v>8091</v>
      </c>
      <c r="C4819" s="50" t="s">
        <v>220</v>
      </c>
      <c r="E4819" s="90" t="s">
        <v>2088</v>
      </c>
      <c r="I4819" s="88">
        <f t="shared" si="489"/>
        <v>7862.3600000000006</v>
      </c>
      <c r="K4819" s="62"/>
      <c r="L4819" s="2">
        <f t="shared" si="490"/>
        <v>0</v>
      </c>
      <c r="M4819">
        <f t="shared" ref="M4819:M4825" si="492">IF(E4819="p",5,0)</f>
        <v>5</v>
      </c>
      <c r="O4819" s="62"/>
      <c r="P4819" s="62"/>
    </row>
    <row r="4820" spans="1:16" x14ac:dyDescent="0.3">
      <c r="A4820" s="3">
        <f t="shared" si="485"/>
        <v>45765</v>
      </c>
      <c r="B4820" s="11" t="s">
        <v>3204</v>
      </c>
      <c r="C4820" s="50" t="s">
        <v>8132</v>
      </c>
      <c r="G4820" s="2">
        <v>350</v>
      </c>
      <c r="I4820" s="88">
        <f t="shared" si="489"/>
        <v>8212.36</v>
      </c>
      <c r="K4820" s="62"/>
      <c r="L4820" s="2">
        <f t="shared" si="490"/>
        <v>1.4000000000000001</v>
      </c>
      <c r="M4820">
        <f t="shared" si="492"/>
        <v>0</v>
      </c>
      <c r="O4820" s="62"/>
      <c r="P4820" s="62"/>
    </row>
    <row r="4821" spans="1:16" x14ac:dyDescent="0.3">
      <c r="A4821" s="3">
        <f t="shared" si="485"/>
        <v>45765</v>
      </c>
      <c r="B4821" s="11" t="s">
        <v>6582</v>
      </c>
      <c r="C4821" s="50" t="s">
        <v>8133</v>
      </c>
      <c r="E4821" s="90" t="s">
        <v>2088</v>
      </c>
      <c r="I4821" s="88">
        <f t="shared" si="489"/>
        <v>8212.36</v>
      </c>
      <c r="K4821" s="62"/>
      <c r="L4821" s="2">
        <f t="shared" si="490"/>
        <v>0</v>
      </c>
      <c r="M4821">
        <f t="shared" si="492"/>
        <v>5</v>
      </c>
      <c r="O4821" s="62"/>
      <c r="P4821" s="62"/>
    </row>
    <row r="4822" spans="1:16" x14ac:dyDescent="0.3">
      <c r="A4822" s="3">
        <v>45766</v>
      </c>
      <c r="B4822" s="11" t="s">
        <v>1472</v>
      </c>
      <c r="C4822" s="50" t="s">
        <v>8135</v>
      </c>
      <c r="G4822" s="2">
        <v>1000</v>
      </c>
      <c r="I4822" s="88">
        <f t="shared" si="489"/>
        <v>9212.36</v>
      </c>
      <c r="K4822" s="62"/>
      <c r="L4822" s="2">
        <f t="shared" si="490"/>
        <v>4</v>
      </c>
      <c r="M4822">
        <f t="shared" si="492"/>
        <v>0</v>
      </c>
      <c r="O4822" s="62"/>
      <c r="P4822" s="62"/>
    </row>
    <row r="4823" spans="1:16" x14ac:dyDescent="0.3">
      <c r="A4823" s="3">
        <f t="shared" si="485"/>
        <v>45766</v>
      </c>
      <c r="B4823" s="11" t="s">
        <v>2448</v>
      </c>
      <c r="C4823" s="50" t="s">
        <v>8134</v>
      </c>
      <c r="H4823" s="2">
        <v>5000</v>
      </c>
      <c r="I4823" s="88">
        <f t="shared" si="489"/>
        <v>4212.3600000000006</v>
      </c>
      <c r="K4823" s="62"/>
      <c r="L4823" s="2">
        <f t="shared" si="490"/>
        <v>20</v>
      </c>
      <c r="M4823">
        <f t="shared" si="492"/>
        <v>0</v>
      </c>
      <c r="O4823" s="62"/>
      <c r="P4823" s="62"/>
    </row>
    <row r="4824" spans="1:16" x14ac:dyDescent="0.3">
      <c r="A4824" s="3">
        <f t="shared" si="485"/>
        <v>45766</v>
      </c>
      <c r="B4824" s="11" t="s">
        <v>5355</v>
      </c>
      <c r="C4824" s="50" t="s">
        <v>5357</v>
      </c>
      <c r="E4824" s="90" t="s">
        <v>7772</v>
      </c>
      <c r="I4824" s="88">
        <f t="shared" si="489"/>
        <v>4212.3600000000006</v>
      </c>
      <c r="K4824" s="62"/>
      <c r="L4824" s="2">
        <f t="shared" si="490"/>
        <v>0</v>
      </c>
      <c r="M4824">
        <f t="shared" si="492"/>
        <v>5</v>
      </c>
      <c r="O4824" s="62"/>
      <c r="P4824" s="62"/>
    </row>
    <row r="4825" spans="1:16" x14ac:dyDescent="0.3">
      <c r="A4825" s="3">
        <f t="shared" si="485"/>
        <v>45766</v>
      </c>
      <c r="B4825" s="11" t="s">
        <v>5771</v>
      </c>
      <c r="C4825" s="50" t="s">
        <v>5772</v>
      </c>
      <c r="E4825" s="90" t="s">
        <v>7772</v>
      </c>
      <c r="I4825" s="88">
        <f t="shared" si="489"/>
        <v>4212.3600000000006</v>
      </c>
      <c r="K4825" s="62"/>
      <c r="L4825" s="2">
        <f t="shared" si="490"/>
        <v>0</v>
      </c>
      <c r="M4825">
        <f t="shared" si="492"/>
        <v>5</v>
      </c>
      <c r="O4825" s="62"/>
      <c r="P4825" s="62"/>
    </row>
    <row r="4826" spans="1:16" x14ac:dyDescent="0.3">
      <c r="A4826" s="3">
        <f t="shared" si="485"/>
        <v>45766</v>
      </c>
      <c r="B4826" s="11" t="s">
        <v>5771</v>
      </c>
      <c r="C4826" s="50" t="s">
        <v>5772</v>
      </c>
      <c r="G4826" s="2">
        <v>5000</v>
      </c>
      <c r="I4826" s="88">
        <f t="shared" si="489"/>
        <v>9212.36</v>
      </c>
      <c r="K4826" s="62"/>
      <c r="L4826" s="2">
        <f t="shared" si="490"/>
        <v>20</v>
      </c>
      <c r="M4826">
        <f t="shared" ref="M4826:M4831" si="493">IF(E4826="p",5,0)</f>
        <v>0</v>
      </c>
      <c r="O4826" s="62"/>
      <c r="P4826" s="62"/>
    </row>
    <row r="4827" spans="1:16" x14ac:dyDescent="0.3">
      <c r="A4827" s="3">
        <f t="shared" si="485"/>
        <v>45766</v>
      </c>
      <c r="B4827" s="11" t="s">
        <v>6728</v>
      </c>
      <c r="C4827" s="50" t="s">
        <v>268</v>
      </c>
      <c r="G4827" s="2">
        <v>5000</v>
      </c>
      <c r="I4827" s="88">
        <f t="shared" si="489"/>
        <v>14212.36</v>
      </c>
      <c r="K4827" s="62"/>
      <c r="L4827" s="2">
        <f t="shared" si="490"/>
        <v>20</v>
      </c>
      <c r="M4827">
        <f t="shared" si="493"/>
        <v>0</v>
      </c>
      <c r="O4827" s="62"/>
      <c r="P4827" s="62"/>
    </row>
    <row r="4828" spans="1:16" x14ac:dyDescent="0.3">
      <c r="A4828" s="3">
        <f t="shared" si="485"/>
        <v>45766</v>
      </c>
      <c r="B4828" s="11" t="s">
        <v>6728</v>
      </c>
      <c r="C4828" s="50" t="s">
        <v>268</v>
      </c>
      <c r="E4828" s="90" t="s">
        <v>2088</v>
      </c>
      <c r="I4828" s="88">
        <f t="shared" si="489"/>
        <v>14212.36</v>
      </c>
      <c r="K4828" s="62"/>
      <c r="L4828" s="2">
        <f t="shared" si="490"/>
        <v>0</v>
      </c>
      <c r="M4828">
        <f t="shared" si="493"/>
        <v>5</v>
      </c>
      <c r="O4828" s="62"/>
      <c r="P4828" s="62"/>
    </row>
    <row r="4829" spans="1:16" x14ac:dyDescent="0.3">
      <c r="A4829" s="3">
        <f t="shared" si="485"/>
        <v>45766</v>
      </c>
      <c r="B4829" s="11" t="s">
        <v>8124</v>
      </c>
      <c r="C4829" s="50" t="s">
        <v>8127</v>
      </c>
      <c r="E4829" s="90" t="s">
        <v>2088</v>
      </c>
      <c r="I4829" s="88">
        <f t="shared" si="489"/>
        <v>14212.36</v>
      </c>
      <c r="K4829" s="62"/>
      <c r="L4829" s="2">
        <f t="shared" si="490"/>
        <v>0</v>
      </c>
      <c r="M4829">
        <f t="shared" si="493"/>
        <v>5</v>
      </c>
      <c r="O4829" s="62"/>
      <c r="P4829" s="62"/>
    </row>
    <row r="4830" spans="1:16" x14ac:dyDescent="0.3">
      <c r="A4830" s="3">
        <v>45767</v>
      </c>
      <c r="B4830" s="11" t="s">
        <v>6260</v>
      </c>
      <c r="C4830" s="50" t="s">
        <v>7117</v>
      </c>
      <c r="H4830" s="2">
        <v>4000</v>
      </c>
      <c r="I4830" s="88">
        <f t="shared" si="489"/>
        <v>10212.36</v>
      </c>
      <c r="K4830" s="62"/>
      <c r="L4830" s="2">
        <f t="shared" si="490"/>
        <v>16</v>
      </c>
      <c r="M4830">
        <f t="shared" si="493"/>
        <v>0</v>
      </c>
      <c r="O4830" s="62"/>
      <c r="P4830" s="62"/>
    </row>
    <row r="4831" spans="1:16" x14ac:dyDescent="0.3">
      <c r="A4831" s="3">
        <f t="shared" si="485"/>
        <v>45767</v>
      </c>
      <c r="B4831" s="11" t="s">
        <v>7166</v>
      </c>
      <c r="C4831" s="50" t="s">
        <v>7254</v>
      </c>
      <c r="E4831" s="90" t="s">
        <v>2088</v>
      </c>
      <c r="I4831" s="88">
        <f t="shared" si="489"/>
        <v>10212.36</v>
      </c>
      <c r="K4831" s="62"/>
      <c r="L4831" s="2">
        <f t="shared" si="490"/>
        <v>0</v>
      </c>
      <c r="M4831">
        <f t="shared" si="493"/>
        <v>5</v>
      </c>
      <c r="O4831" s="62"/>
      <c r="P4831" s="62"/>
    </row>
    <row r="4832" spans="1:16" x14ac:dyDescent="0.3">
      <c r="A4832" s="3">
        <f t="shared" si="485"/>
        <v>45767</v>
      </c>
      <c r="B4832" s="11" t="s">
        <v>7166</v>
      </c>
      <c r="C4832" s="50" t="s">
        <v>7254</v>
      </c>
      <c r="H4832" s="2">
        <v>5000</v>
      </c>
      <c r="I4832" s="88">
        <f t="shared" si="489"/>
        <v>5212.3600000000006</v>
      </c>
      <c r="K4832" s="62"/>
      <c r="L4832" s="2">
        <f t="shared" si="490"/>
        <v>20</v>
      </c>
      <c r="M4832">
        <f t="shared" ref="M4832:M4842" si="494">IF(E4832="p",5,0)</f>
        <v>0</v>
      </c>
      <c r="O4832" s="62"/>
      <c r="P4832" s="62"/>
    </row>
    <row r="4833" spans="1:16" x14ac:dyDescent="0.3">
      <c r="A4833" s="3">
        <v>45768</v>
      </c>
      <c r="B4833" s="11" t="s">
        <v>1250</v>
      </c>
      <c r="C4833" s="50" t="s">
        <v>3670</v>
      </c>
      <c r="G4833" s="2">
        <v>1300</v>
      </c>
      <c r="I4833" s="88">
        <f t="shared" si="489"/>
        <v>6512.3600000000006</v>
      </c>
      <c r="K4833" s="62"/>
      <c r="L4833" s="2">
        <f t="shared" si="490"/>
        <v>5.2</v>
      </c>
      <c r="M4833">
        <f t="shared" si="494"/>
        <v>0</v>
      </c>
      <c r="O4833" s="62"/>
      <c r="P4833" s="62"/>
    </row>
    <row r="4834" spans="1:16" x14ac:dyDescent="0.3">
      <c r="A4834" s="3">
        <f t="shared" si="485"/>
        <v>45768</v>
      </c>
      <c r="B4834" s="11" t="s">
        <v>4311</v>
      </c>
      <c r="C4834" s="50" t="s">
        <v>8137</v>
      </c>
      <c r="G4834" s="2">
        <v>1800</v>
      </c>
      <c r="I4834" s="88">
        <f t="shared" si="489"/>
        <v>8312.36</v>
      </c>
      <c r="K4834" s="62"/>
      <c r="L4834" s="2">
        <f t="shared" si="490"/>
        <v>7.2</v>
      </c>
      <c r="M4834">
        <f t="shared" si="494"/>
        <v>0</v>
      </c>
      <c r="O4834" s="62"/>
      <c r="P4834" s="62"/>
    </row>
    <row r="4835" spans="1:16" x14ac:dyDescent="0.3">
      <c r="A4835" s="3">
        <f t="shared" si="485"/>
        <v>45768</v>
      </c>
      <c r="B4835" s="11" t="s">
        <v>5186</v>
      </c>
      <c r="C4835" s="50" t="s">
        <v>5189</v>
      </c>
      <c r="E4835" s="90" t="s">
        <v>2088</v>
      </c>
      <c r="I4835" s="88">
        <f t="shared" si="489"/>
        <v>8312.36</v>
      </c>
      <c r="K4835" s="62"/>
      <c r="L4835" s="2">
        <f t="shared" si="490"/>
        <v>0</v>
      </c>
      <c r="M4835">
        <f t="shared" si="494"/>
        <v>5</v>
      </c>
      <c r="O4835" s="62"/>
      <c r="P4835" s="62"/>
    </row>
    <row r="4836" spans="1:16" x14ac:dyDescent="0.3">
      <c r="A4836" s="3">
        <f t="shared" si="485"/>
        <v>45768</v>
      </c>
      <c r="B4836" s="11" t="s">
        <v>5186</v>
      </c>
      <c r="C4836" s="50" t="s">
        <v>5189</v>
      </c>
      <c r="G4836" s="2">
        <v>6000</v>
      </c>
      <c r="I4836" s="88">
        <f t="shared" si="489"/>
        <v>14312.36</v>
      </c>
      <c r="K4836" s="62"/>
      <c r="L4836" s="2">
        <f t="shared" si="490"/>
        <v>20</v>
      </c>
      <c r="M4836">
        <f t="shared" si="494"/>
        <v>0</v>
      </c>
      <c r="O4836" s="62"/>
      <c r="P4836" s="62"/>
    </row>
    <row r="4837" spans="1:16" x14ac:dyDescent="0.3">
      <c r="A4837" s="3">
        <f t="shared" si="485"/>
        <v>45768</v>
      </c>
      <c r="B4837" s="11" t="s">
        <v>5186</v>
      </c>
      <c r="C4837" s="50" t="s">
        <v>5189</v>
      </c>
      <c r="E4837" s="90" t="s">
        <v>2088</v>
      </c>
      <c r="I4837" s="88">
        <f t="shared" si="489"/>
        <v>14312.36</v>
      </c>
      <c r="K4837" s="62"/>
      <c r="L4837" s="2">
        <f t="shared" si="490"/>
        <v>0</v>
      </c>
      <c r="M4837">
        <f t="shared" si="494"/>
        <v>5</v>
      </c>
      <c r="O4837" s="62"/>
      <c r="P4837" s="62"/>
    </row>
    <row r="4838" spans="1:16" x14ac:dyDescent="0.3">
      <c r="A4838" s="3">
        <f t="shared" si="485"/>
        <v>45768</v>
      </c>
      <c r="B4838" s="11" t="s">
        <v>6947</v>
      </c>
      <c r="C4838" s="50" t="s">
        <v>546</v>
      </c>
      <c r="E4838" s="90" t="s">
        <v>2088</v>
      </c>
      <c r="I4838" s="88">
        <f t="shared" si="489"/>
        <v>14312.36</v>
      </c>
      <c r="K4838" s="62"/>
      <c r="L4838" s="2">
        <f t="shared" si="490"/>
        <v>0</v>
      </c>
      <c r="M4838">
        <f t="shared" si="494"/>
        <v>5</v>
      </c>
      <c r="O4838" s="62"/>
      <c r="P4838" s="62"/>
    </row>
    <row r="4839" spans="1:16" x14ac:dyDescent="0.3">
      <c r="A4839" s="3">
        <f t="shared" si="485"/>
        <v>45768</v>
      </c>
      <c r="B4839" s="11" t="s">
        <v>6947</v>
      </c>
      <c r="C4839" s="50" t="s">
        <v>546</v>
      </c>
      <c r="G4839" s="2">
        <v>7100</v>
      </c>
      <c r="I4839" s="88">
        <f t="shared" si="489"/>
        <v>21412.36</v>
      </c>
      <c r="K4839" s="62"/>
      <c r="L4839" s="2">
        <f t="shared" si="490"/>
        <v>20</v>
      </c>
      <c r="M4839">
        <f t="shared" si="494"/>
        <v>0</v>
      </c>
      <c r="O4839" s="62"/>
      <c r="P4839" s="62"/>
    </row>
    <row r="4840" spans="1:16" x14ac:dyDescent="0.3">
      <c r="A4840" s="3">
        <f t="shared" si="485"/>
        <v>45768</v>
      </c>
      <c r="B4840" s="11" t="s">
        <v>6947</v>
      </c>
      <c r="C4840" s="50" t="s">
        <v>546</v>
      </c>
      <c r="E4840" s="90" t="s">
        <v>2088</v>
      </c>
      <c r="I4840" s="88">
        <f t="shared" si="489"/>
        <v>21412.36</v>
      </c>
      <c r="K4840" s="62"/>
      <c r="L4840" s="2">
        <f t="shared" si="490"/>
        <v>0</v>
      </c>
      <c r="M4840">
        <f t="shared" si="494"/>
        <v>5</v>
      </c>
      <c r="O4840" s="62"/>
      <c r="P4840" s="62"/>
    </row>
    <row r="4841" spans="1:16" x14ac:dyDescent="0.3">
      <c r="A4841" s="3">
        <f t="shared" si="485"/>
        <v>45768</v>
      </c>
      <c r="B4841" s="11" t="s">
        <v>2143</v>
      </c>
      <c r="C4841" s="50" t="s">
        <v>3615</v>
      </c>
      <c r="H4841" s="2">
        <v>10000</v>
      </c>
      <c r="I4841" s="88">
        <f t="shared" si="489"/>
        <v>11412.36</v>
      </c>
      <c r="K4841" s="62"/>
      <c r="L4841" s="2">
        <f t="shared" si="490"/>
        <v>20</v>
      </c>
      <c r="M4841">
        <f t="shared" si="494"/>
        <v>0</v>
      </c>
      <c r="O4841" s="62"/>
      <c r="P4841" s="62"/>
    </row>
    <row r="4842" spans="1:16" x14ac:dyDescent="0.3">
      <c r="A4842" s="3">
        <f t="shared" si="485"/>
        <v>45768</v>
      </c>
      <c r="B4842" s="11" t="s">
        <v>7476</v>
      </c>
      <c r="C4842" s="50" t="s">
        <v>8138</v>
      </c>
      <c r="E4842" s="90" t="s">
        <v>2088</v>
      </c>
      <c r="I4842" s="88">
        <f t="shared" si="489"/>
        <v>11412.36</v>
      </c>
      <c r="K4842" s="62"/>
      <c r="L4842" s="2">
        <f t="shared" si="490"/>
        <v>0</v>
      </c>
      <c r="M4842">
        <f t="shared" si="494"/>
        <v>5</v>
      </c>
      <c r="O4842" s="62"/>
      <c r="P4842" s="62"/>
    </row>
    <row r="4843" spans="1:16" x14ac:dyDescent="0.3">
      <c r="A4843" s="3">
        <f t="shared" si="485"/>
        <v>45768</v>
      </c>
      <c r="C4843" s="50" t="s">
        <v>2857</v>
      </c>
      <c r="H4843" s="2">
        <v>11000</v>
      </c>
      <c r="I4843" s="88">
        <f t="shared" si="489"/>
        <v>412.36000000000058</v>
      </c>
      <c r="K4843" s="62"/>
      <c r="L4843" s="2">
        <f t="shared" si="490"/>
        <v>20</v>
      </c>
      <c r="M4843">
        <f t="shared" ref="M4843" si="495">IF(E4843="p",5,0)</f>
        <v>0</v>
      </c>
      <c r="O4843" s="62"/>
      <c r="P4843" s="62"/>
    </row>
    <row r="4844" spans="1:16" x14ac:dyDescent="0.3">
      <c r="A4844" s="3">
        <f>A4842</f>
        <v>45768</v>
      </c>
      <c r="B4844" s="11" t="s">
        <v>7762</v>
      </c>
      <c r="C4844" s="50" t="s">
        <v>472</v>
      </c>
      <c r="H4844" s="2">
        <v>200</v>
      </c>
      <c r="I4844" s="88">
        <f t="shared" si="489"/>
        <v>212.36000000000058</v>
      </c>
      <c r="K4844" s="62"/>
      <c r="L4844" s="2">
        <f t="shared" si="490"/>
        <v>0.8</v>
      </c>
      <c r="M4844">
        <f t="shared" ref="M4844" si="496">IF(E4844="p",5,0)</f>
        <v>0</v>
      </c>
      <c r="O4844" s="62"/>
      <c r="P4844" s="62"/>
    </row>
    <row r="4845" spans="1:16" x14ac:dyDescent="0.3">
      <c r="A4845" s="3">
        <f t="shared" si="485"/>
        <v>45768</v>
      </c>
      <c r="B4845" s="11" t="s">
        <v>7762</v>
      </c>
      <c r="C4845" s="50" t="s">
        <v>472</v>
      </c>
      <c r="E4845" s="90" t="s">
        <v>2088</v>
      </c>
      <c r="I4845" s="88">
        <f t="shared" si="489"/>
        <v>212.36000000000058</v>
      </c>
      <c r="K4845" s="62"/>
      <c r="L4845" s="2">
        <f t="shared" si="490"/>
        <v>0</v>
      </c>
      <c r="M4845">
        <f t="shared" ref="M4845:M4851" si="497">IF(E4845="p",5,0)</f>
        <v>5</v>
      </c>
      <c r="O4845" s="62"/>
      <c r="P4845" s="62"/>
    </row>
    <row r="4846" spans="1:16" x14ac:dyDescent="0.3">
      <c r="A4846" s="3">
        <f t="shared" si="485"/>
        <v>45768</v>
      </c>
      <c r="B4846" s="11" t="s">
        <v>6805</v>
      </c>
      <c r="C4846" s="50" t="s">
        <v>8139</v>
      </c>
      <c r="G4846" s="2">
        <v>2000</v>
      </c>
      <c r="H4846" s="2">
        <v>0</v>
      </c>
      <c r="I4846" s="88">
        <f t="shared" si="489"/>
        <v>2212.3600000000006</v>
      </c>
      <c r="K4846" s="62"/>
      <c r="L4846" s="2">
        <f t="shared" si="490"/>
        <v>8</v>
      </c>
      <c r="M4846">
        <f t="shared" si="497"/>
        <v>0</v>
      </c>
      <c r="O4846" s="62"/>
      <c r="P4846" s="62"/>
    </row>
    <row r="4847" spans="1:16" x14ac:dyDescent="0.3">
      <c r="A4847" s="3">
        <f t="shared" si="485"/>
        <v>45768</v>
      </c>
      <c r="B4847" s="11" t="s">
        <v>6805</v>
      </c>
      <c r="C4847" s="50" t="s">
        <v>8139</v>
      </c>
      <c r="E4847" s="90" t="s">
        <v>2088</v>
      </c>
      <c r="I4847" s="88">
        <f t="shared" si="489"/>
        <v>2212.3600000000006</v>
      </c>
      <c r="K4847" s="62"/>
      <c r="L4847" s="2">
        <f t="shared" si="490"/>
        <v>0</v>
      </c>
      <c r="M4847">
        <f t="shared" si="497"/>
        <v>5</v>
      </c>
      <c r="O4847" s="62"/>
      <c r="P4847" s="62"/>
    </row>
    <row r="4848" spans="1:16" x14ac:dyDescent="0.3">
      <c r="A4848" s="3">
        <f t="shared" si="485"/>
        <v>45768</v>
      </c>
      <c r="B4848" s="11" t="s">
        <v>2761</v>
      </c>
      <c r="C4848" s="50" t="s">
        <v>2766</v>
      </c>
      <c r="G4848" s="2">
        <v>2000</v>
      </c>
      <c r="I4848" s="88">
        <f t="shared" si="489"/>
        <v>4212.3600000000006</v>
      </c>
      <c r="K4848" s="62"/>
      <c r="L4848" s="2">
        <f t="shared" si="490"/>
        <v>8</v>
      </c>
      <c r="M4848">
        <f t="shared" si="497"/>
        <v>0</v>
      </c>
      <c r="O4848" s="62"/>
      <c r="P4848" s="62"/>
    </row>
    <row r="4849" spans="1:16" x14ac:dyDescent="0.3">
      <c r="A4849" s="3">
        <f t="shared" si="485"/>
        <v>45768</v>
      </c>
      <c r="B4849" s="11" t="s">
        <v>7262</v>
      </c>
      <c r="C4849" s="50" t="s">
        <v>8104</v>
      </c>
      <c r="G4849" s="2">
        <v>3000</v>
      </c>
      <c r="I4849" s="88">
        <f t="shared" si="489"/>
        <v>7212.3600000000006</v>
      </c>
      <c r="K4849" s="62"/>
      <c r="L4849" s="2">
        <f t="shared" si="490"/>
        <v>12</v>
      </c>
      <c r="M4849">
        <f t="shared" si="497"/>
        <v>0</v>
      </c>
      <c r="O4849" s="62"/>
      <c r="P4849" s="62"/>
    </row>
    <row r="4850" spans="1:16" x14ac:dyDescent="0.3">
      <c r="A4850" s="3">
        <f t="shared" si="485"/>
        <v>45768</v>
      </c>
      <c r="B4850" s="11" t="s">
        <v>7262</v>
      </c>
      <c r="C4850" s="50" t="s">
        <v>8104</v>
      </c>
      <c r="E4850" s="90" t="s">
        <v>2088</v>
      </c>
      <c r="I4850" s="88">
        <f t="shared" si="489"/>
        <v>7212.3600000000006</v>
      </c>
      <c r="K4850" s="62"/>
      <c r="L4850" s="2">
        <f t="shared" si="490"/>
        <v>0</v>
      </c>
      <c r="M4850">
        <f t="shared" si="497"/>
        <v>5</v>
      </c>
      <c r="O4850" s="62"/>
      <c r="P4850" s="62"/>
    </row>
    <row r="4851" spans="1:16" x14ac:dyDescent="0.3">
      <c r="A4851" s="3">
        <v>45769</v>
      </c>
      <c r="B4851" s="11" t="s">
        <v>5771</v>
      </c>
      <c r="C4851" s="50" t="s">
        <v>5772</v>
      </c>
      <c r="G4851" s="2">
        <v>2000</v>
      </c>
      <c r="I4851" s="88">
        <f t="shared" si="489"/>
        <v>9212.36</v>
      </c>
      <c r="K4851" s="62"/>
      <c r="L4851" s="2">
        <f t="shared" si="490"/>
        <v>8</v>
      </c>
      <c r="M4851">
        <f t="shared" si="497"/>
        <v>0</v>
      </c>
      <c r="O4851" s="62"/>
      <c r="P4851" s="62"/>
    </row>
    <row r="4852" spans="1:16" x14ac:dyDescent="0.3">
      <c r="A4852" s="3">
        <f t="shared" si="485"/>
        <v>45769</v>
      </c>
      <c r="B4852" s="11" t="s">
        <v>5771</v>
      </c>
      <c r="C4852" s="50" t="s">
        <v>5772</v>
      </c>
      <c r="E4852" s="90" t="s">
        <v>2088</v>
      </c>
      <c r="I4852" s="88">
        <f t="shared" si="489"/>
        <v>9212.36</v>
      </c>
      <c r="K4852" s="62"/>
      <c r="L4852" s="2">
        <f t="shared" si="490"/>
        <v>0</v>
      </c>
      <c r="M4852">
        <f t="shared" ref="M4852:M4857" si="498">IF(E4852="p",5,0)</f>
        <v>5</v>
      </c>
      <c r="O4852" s="62"/>
      <c r="P4852" s="62"/>
    </row>
    <row r="4853" spans="1:16" x14ac:dyDescent="0.3">
      <c r="A4853" s="3">
        <f t="shared" si="485"/>
        <v>45769</v>
      </c>
      <c r="B4853" s="11" t="s">
        <v>1472</v>
      </c>
      <c r="C4853" s="50" t="s">
        <v>8026</v>
      </c>
      <c r="G4853" s="2">
        <v>900</v>
      </c>
      <c r="I4853" s="88">
        <f t="shared" si="489"/>
        <v>10112.36</v>
      </c>
      <c r="K4853" s="62"/>
      <c r="L4853" s="2">
        <f t="shared" si="490"/>
        <v>3.6</v>
      </c>
      <c r="M4853">
        <f t="shared" si="498"/>
        <v>0</v>
      </c>
      <c r="O4853" s="62"/>
      <c r="P4853" s="62"/>
    </row>
    <row r="4854" spans="1:16" x14ac:dyDescent="0.3">
      <c r="A4854" s="3">
        <f t="shared" si="485"/>
        <v>45769</v>
      </c>
      <c r="B4854" s="11" t="s">
        <v>1160</v>
      </c>
      <c r="C4854" s="50" t="s">
        <v>8140</v>
      </c>
      <c r="G4854" s="2">
        <v>5000</v>
      </c>
      <c r="I4854" s="88">
        <f t="shared" si="489"/>
        <v>15112.36</v>
      </c>
      <c r="K4854" s="62"/>
      <c r="L4854" s="2">
        <f t="shared" si="490"/>
        <v>20</v>
      </c>
      <c r="M4854">
        <f t="shared" si="498"/>
        <v>0</v>
      </c>
      <c r="O4854" s="62"/>
      <c r="P4854" s="62"/>
    </row>
    <row r="4855" spans="1:16" x14ac:dyDescent="0.3">
      <c r="A4855" s="3">
        <f t="shared" si="485"/>
        <v>45769</v>
      </c>
      <c r="B4855" s="11" t="s">
        <v>8142</v>
      </c>
      <c r="C4855" s="65" t="s">
        <v>8144</v>
      </c>
      <c r="E4855" s="90" t="s">
        <v>16</v>
      </c>
      <c r="H4855" s="2">
        <v>500</v>
      </c>
      <c r="I4855" s="88">
        <f t="shared" si="489"/>
        <v>14612.36</v>
      </c>
      <c r="K4855" s="62"/>
      <c r="L4855" s="2">
        <f t="shared" si="490"/>
        <v>27</v>
      </c>
      <c r="M4855">
        <f t="shared" si="498"/>
        <v>0</v>
      </c>
      <c r="O4855" s="62"/>
      <c r="P4855" s="62"/>
    </row>
    <row r="4856" spans="1:16" x14ac:dyDescent="0.3">
      <c r="A4856" s="3">
        <f t="shared" si="485"/>
        <v>45769</v>
      </c>
      <c r="B4856" s="11" t="s">
        <v>6466</v>
      </c>
      <c r="C4856" s="50" t="s">
        <v>5601</v>
      </c>
      <c r="G4856" s="2">
        <v>1000</v>
      </c>
      <c r="I4856" s="88">
        <f t="shared" si="489"/>
        <v>15612.36</v>
      </c>
      <c r="K4856" s="62"/>
      <c r="L4856" s="2">
        <f t="shared" si="490"/>
        <v>4</v>
      </c>
      <c r="M4856">
        <f t="shared" si="498"/>
        <v>0</v>
      </c>
      <c r="O4856" s="62"/>
      <c r="P4856" s="62"/>
    </row>
    <row r="4857" spans="1:16" x14ac:dyDescent="0.3">
      <c r="A4857" s="3">
        <v>45770</v>
      </c>
      <c r="B4857" s="11" t="s">
        <v>8049</v>
      </c>
      <c r="C4857" s="50" t="s">
        <v>314</v>
      </c>
      <c r="G4857" s="2">
        <v>1500</v>
      </c>
      <c r="I4857" s="88">
        <f t="shared" si="489"/>
        <v>17112.36</v>
      </c>
      <c r="K4857" s="62"/>
      <c r="L4857" s="2">
        <f t="shared" si="490"/>
        <v>6</v>
      </c>
      <c r="M4857">
        <f t="shared" si="498"/>
        <v>0</v>
      </c>
      <c r="O4857" s="62"/>
      <c r="P4857" s="62"/>
    </row>
    <row r="4858" spans="1:16" x14ac:dyDescent="0.3">
      <c r="A4858" s="3">
        <v>45770</v>
      </c>
      <c r="B4858" s="11" t="s">
        <v>1250</v>
      </c>
      <c r="C4858" s="50" t="s">
        <v>8145</v>
      </c>
      <c r="G4858" s="2">
        <v>5000</v>
      </c>
      <c r="I4858" s="88">
        <f t="shared" ref="I4858:I4865" si="499">I4857+G4858-H4858</f>
        <v>22112.36</v>
      </c>
      <c r="K4858" s="62"/>
      <c r="L4858" s="2">
        <f t="shared" si="490"/>
        <v>20</v>
      </c>
      <c r="M4858">
        <f t="shared" ref="M4858:M4865" si="500">IF(E4858="p",5,0)</f>
        <v>0</v>
      </c>
      <c r="O4858" s="62"/>
      <c r="P4858" s="62"/>
    </row>
    <row r="4859" spans="1:16" x14ac:dyDescent="0.3">
      <c r="A4859" s="3">
        <v>45770</v>
      </c>
      <c r="B4859" s="11" t="s">
        <v>2490</v>
      </c>
      <c r="C4859" s="50" t="s">
        <v>2362</v>
      </c>
      <c r="E4859" s="90" t="s">
        <v>4721</v>
      </c>
      <c r="H4859" s="2">
        <v>22000</v>
      </c>
      <c r="I4859" s="88">
        <f t="shared" si="499"/>
        <v>112.36000000000058</v>
      </c>
      <c r="K4859" s="62"/>
      <c r="L4859" s="2">
        <v>0</v>
      </c>
      <c r="M4859">
        <f t="shared" si="500"/>
        <v>0</v>
      </c>
      <c r="O4859" s="62"/>
      <c r="P4859" s="62"/>
    </row>
    <row r="4860" spans="1:16" x14ac:dyDescent="0.3">
      <c r="A4860" s="3">
        <v>45770</v>
      </c>
      <c r="B4860" s="11" t="s">
        <v>3541</v>
      </c>
      <c r="C4860" s="50" t="s">
        <v>3542</v>
      </c>
      <c r="E4860" s="90" t="s">
        <v>2088</v>
      </c>
      <c r="I4860" s="88">
        <f t="shared" si="499"/>
        <v>112.36000000000058</v>
      </c>
      <c r="K4860" s="62"/>
      <c r="L4860" s="2">
        <f t="shared" si="490"/>
        <v>0</v>
      </c>
      <c r="M4860">
        <f t="shared" si="500"/>
        <v>5</v>
      </c>
      <c r="O4860" s="62"/>
      <c r="P4860" s="62"/>
    </row>
    <row r="4861" spans="1:16" x14ac:dyDescent="0.3">
      <c r="A4861" s="3">
        <v>45770</v>
      </c>
      <c r="B4861" s="11" t="s">
        <v>3541</v>
      </c>
      <c r="C4861" s="50" t="s">
        <v>3542</v>
      </c>
      <c r="G4861" s="2">
        <v>1300</v>
      </c>
      <c r="I4861" s="88">
        <f t="shared" si="499"/>
        <v>1412.3600000000006</v>
      </c>
      <c r="K4861" s="62"/>
      <c r="L4861" s="2">
        <f t="shared" si="490"/>
        <v>5.2</v>
      </c>
      <c r="M4861">
        <f t="shared" si="500"/>
        <v>0</v>
      </c>
      <c r="O4861" s="62"/>
      <c r="P4861" s="62"/>
    </row>
    <row r="4862" spans="1:16" x14ac:dyDescent="0.3">
      <c r="A4862" s="3">
        <v>45770</v>
      </c>
      <c r="B4862" s="11" t="s">
        <v>3541</v>
      </c>
      <c r="C4862" s="50" t="s">
        <v>3542</v>
      </c>
      <c r="E4862" s="90" t="s">
        <v>2088</v>
      </c>
      <c r="I4862" s="88">
        <f t="shared" si="499"/>
        <v>1412.3600000000006</v>
      </c>
      <c r="K4862" s="62"/>
      <c r="L4862" s="2">
        <f t="shared" si="490"/>
        <v>0</v>
      </c>
      <c r="M4862">
        <f t="shared" si="500"/>
        <v>5</v>
      </c>
      <c r="O4862" s="62"/>
      <c r="P4862" s="62"/>
    </row>
    <row r="4863" spans="1:16" x14ac:dyDescent="0.3">
      <c r="A4863" s="3">
        <v>45770</v>
      </c>
      <c r="B4863" s="11" t="s">
        <v>8142</v>
      </c>
      <c r="C4863" s="50" t="s">
        <v>8144</v>
      </c>
      <c r="E4863" s="90" t="s">
        <v>2088</v>
      </c>
      <c r="I4863" s="88">
        <f t="shared" si="499"/>
        <v>1412.3600000000006</v>
      </c>
      <c r="K4863" s="62"/>
      <c r="L4863" s="2">
        <f t="shared" si="490"/>
        <v>0</v>
      </c>
      <c r="M4863">
        <f t="shared" si="500"/>
        <v>5</v>
      </c>
      <c r="O4863" s="62"/>
      <c r="P4863" s="62"/>
    </row>
    <row r="4864" spans="1:16" x14ac:dyDescent="0.3">
      <c r="A4864" s="3">
        <v>45770</v>
      </c>
      <c r="B4864" s="11" t="s">
        <v>6557</v>
      </c>
      <c r="C4864" s="50" t="s">
        <v>8147</v>
      </c>
      <c r="E4864" s="90" t="s">
        <v>2088</v>
      </c>
      <c r="I4864" s="88">
        <f t="shared" si="499"/>
        <v>1412.3600000000006</v>
      </c>
      <c r="K4864" s="62"/>
      <c r="L4864" s="2">
        <f t="shared" si="490"/>
        <v>0</v>
      </c>
      <c r="M4864">
        <f t="shared" si="500"/>
        <v>5</v>
      </c>
      <c r="O4864" s="62"/>
      <c r="P4864" s="62"/>
    </row>
    <row r="4865" spans="1:16" x14ac:dyDescent="0.3">
      <c r="A4865" s="3">
        <v>45770</v>
      </c>
      <c r="B4865" s="11" t="s">
        <v>6557</v>
      </c>
      <c r="C4865" s="50" t="s">
        <v>8147</v>
      </c>
      <c r="G4865" s="2">
        <v>5000</v>
      </c>
      <c r="I4865" s="88">
        <f t="shared" si="499"/>
        <v>6412.3600000000006</v>
      </c>
      <c r="K4865" s="62"/>
      <c r="L4865" s="2">
        <f t="shared" si="490"/>
        <v>20</v>
      </c>
      <c r="M4865">
        <f t="shared" si="500"/>
        <v>0</v>
      </c>
      <c r="O4865" s="62"/>
      <c r="P4865" s="62"/>
    </row>
    <row r="4866" spans="1:16" x14ac:dyDescent="0.3">
      <c r="A4866" s="3">
        <v>45770</v>
      </c>
      <c r="B4866" s="11" t="s">
        <v>6557</v>
      </c>
      <c r="C4866" s="50" t="s">
        <v>8147</v>
      </c>
      <c r="E4866" s="90" t="s">
        <v>2088</v>
      </c>
      <c r="I4866" s="88">
        <f t="shared" ref="I4866:I4896" si="501">I4865+G4866-H4866</f>
        <v>6412.3600000000006</v>
      </c>
      <c r="K4866" s="62"/>
      <c r="L4866" s="2">
        <f t="shared" si="490"/>
        <v>0</v>
      </c>
      <c r="M4866">
        <f t="shared" ref="M4866:M4896" si="502">IF(E4866="p",5,0)</f>
        <v>5</v>
      </c>
      <c r="O4866" s="62"/>
      <c r="P4866" s="62"/>
    </row>
    <row r="4867" spans="1:16" x14ac:dyDescent="0.3">
      <c r="A4867" s="3">
        <v>45770</v>
      </c>
      <c r="B4867" s="11" t="s">
        <v>6260</v>
      </c>
      <c r="C4867" s="50" t="s">
        <v>7117</v>
      </c>
      <c r="H4867" s="2">
        <v>2000</v>
      </c>
      <c r="I4867" s="88">
        <f t="shared" si="501"/>
        <v>4412.3600000000006</v>
      </c>
      <c r="K4867" s="62"/>
      <c r="L4867" s="2">
        <f t="shared" si="490"/>
        <v>8</v>
      </c>
      <c r="M4867">
        <f t="shared" si="502"/>
        <v>0</v>
      </c>
      <c r="O4867" s="62"/>
      <c r="P4867" s="62"/>
    </row>
    <row r="4868" spans="1:16" x14ac:dyDescent="0.3">
      <c r="A4868" s="3">
        <v>45770</v>
      </c>
      <c r="B4868" s="11" t="s">
        <v>3097</v>
      </c>
      <c r="C4868" s="50" t="s">
        <v>3096</v>
      </c>
      <c r="E4868" s="90" t="s">
        <v>2088</v>
      </c>
      <c r="I4868" s="88">
        <f t="shared" si="501"/>
        <v>4412.3600000000006</v>
      </c>
      <c r="K4868" s="62"/>
      <c r="L4868" s="2">
        <f t="shared" si="490"/>
        <v>0</v>
      </c>
      <c r="M4868">
        <f t="shared" si="502"/>
        <v>5</v>
      </c>
      <c r="O4868" s="62"/>
      <c r="P4868" s="62"/>
    </row>
    <row r="4869" spans="1:16" x14ac:dyDescent="0.3">
      <c r="A4869" s="3">
        <v>45770</v>
      </c>
      <c r="B4869" s="11" t="s">
        <v>3097</v>
      </c>
      <c r="C4869" s="50" t="s">
        <v>3096</v>
      </c>
      <c r="G4869" s="2">
        <v>1500</v>
      </c>
      <c r="I4869" s="88">
        <f t="shared" si="501"/>
        <v>5912.3600000000006</v>
      </c>
      <c r="K4869" s="62"/>
      <c r="L4869" s="2">
        <f t="shared" si="490"/>
        <v>6</v>
      </c>
      <c r="M4869">
        <f t="shared" si="502"/>
        <v>0</v>
      </c>
      <c r="O4869" s="62"/>
      <c r="P4869" s="62"/>
    </row>
    <row r="4870" spans="1:16" x14ac:dyDescent="0.3">
      <c r="A4870" s="3">
        <v>45770</v>
      </c>
      <c r="B4870" s="11" t="s">
        <v>3097</v>
      </c>
      <c r="C4870" s="50" t="s">
        <v>3096</v>
      </c>
      <c r="E4870" s="90" t="s">
        <v>2088</v>
      </c>
      <c r="I4870" s="88">
        <f t="shared" si="501"/>
        <v>5912.3600000000006</v>
      </c>
      <c r="K4870" s="62"/>
      <c r="L4870" s="2">
        <f t="shared" si="490"/>
        <v>0</v>
      </c>
      <c r="M4870">
        <f t="shared" si="502"/>
        <v>5</v>
      </c>
      <c r="O4870" s="62"/>
      <c r="P4870" s="62"/>
    </row>
    <row r="4871" spans="1:16" x14ac:dyDescent="0.3">
      <c r="A4871" s="3">
        <v>45770</v>
      </c>
      <c r="B4871" s="11" t="s">
        <v>8149</v>
      </c>
      <c r="C4871" s="65" t="s">
        <v>8151</v>
      </c>
      <c r="E4871" s="90" t="s">
        <v>16</v>
      </c>
      <c r="H4871" s="2">
        <v>500</v>
      </c>
      <c r="I4871" s="88">
        <f t="shared" si="501"/>
        <v>5412.3600000000006</v>
      </c>
      <c r="K4871" s="62"/>
      <c r="L4871" s="2">
        <f t="shared" si="490"/>
        <v>27</v>
      </c>
      <c r="M4871">
        <f t="shared" si="502"/>
        <v>0</v>
      </c>
      <c r="O4871" s="62"/>
      <c r="P4871" s="62"/>
    </row>
    <row r="4872" spans="1:16" x14ac:dyDescent="0.3">
      <c r="A4872" s="3">
        <v>45770</v>
      </c>
      <c r="B4872" s="11" t="s">
        <v>7846</v>
      </c>
      <c r="C4872" s="50" t="s">
        <v>8028</v>
      </c>
      <c r="G4872" s="2">
        <v>3000</v>
      </c>
      <c r="I4872" s="88">
        <f t="shared" si="501"/>
        <v>8412.36</v>
      </c>
      <c r="K4872" s="62"/>
      <c r="L4872" s="2">
        <f t="shared" si="490"/>
        <v>12</v>
      </c>
      <c r="M4872">
        <f t="shared" si="502"/>
        <v>0</v>
      </c>
      <c r="O4872" s="62"/>
      <c r="P4872" s="62"/>
    </row>
    <row r="4873" spans="1:16" x14ac:dyDescent="0.3">
      <c r="A4873" s="3">
        <v>45771</v>
      </c>
      <c r="B4873" s="11" t="s">
        <v>2165</v>
      </c>
      <c r="C4873" s="50" t="s">
        <v>2166</v>
      </c>
      <c r="G4873" s="2">
        <v>500</v>
      </c>
      <c r="I4873" s="88">
        <f t="shared" si="501"/>
        <v>8912.36</v>
      </c>
      <c r="K4873" s="62"/>
      <c r="L4873" s="2">
        <f t="shared" si="490"/>
        <v>2</v>
      </c>
      <c r="M4873">
        <f t="shared" si="502"/>
        <v>0</v>
      </c>
      <c r="O4873" s="62"/>
      <c r="P4873" s="62"/>
    </row>
    <row r="4874" spans="1:16" x14ac:dyDescent="0.3">
      <c r="A4874" s="3">
        <v>45770</v>
      </c>
      <c r="B4874" s="11" t="s">
        <v>2143</v>
      </c>
      <c r="C4874" s="50" t="s">
        <v>3457</v>
      </c>
      <c r="H4874" s="2">
        <v>8000</v>
      </c>
      <c r="I4874" s="88">
        <f t="shared" si="501"/>
        <v>912.36000000000058</v>
      </c>
      <c r="K4874" s="62"/>
      <c r="L4874" s="2">
        <f t="shared" ref="L4874:L4896" si="503">IF((G4874+H4874)&lt;=5000,(H4874+G4874)*0.004,20)+IF(E4874="Y",25,0)</f>
        <v>20</v>
      </c>
      <c r="M4874">
        <f t="shared" si="502"/>
        <v>0</v>
      </c>
      <c r="O4874" s="62"/>
      <c r="P4874" s="62"/>
    </row>
    <row r="4875" spans="1:16" x14ac:dyDescent="0.3">
      <c r="A4875" s="3">
        <v>45770</v>
      </c>
      <c r="B4875" s="11" t="s">
        <v>7142</v>
      </c>
      <c r="C4875" s="50" t="s">
        <v>7246</v>
      </c>
      <c r="G4875" s="2">
        <v>2500</v>
      </c>
      <c r="I4875" s="88">
        <f t="shared" si="501"/>
        <v>3412.3600000000006</v>
      </c>
      <c r="K4875" s="62"/>
      <c r="L4875" s="2">
        <f t="shared" si="503"/>
        <v>10</v>
      </c>
      <c r="M4875">
        <f t="shared" si="502"/>
        <v>0</v>
      </c>
      <c r="O4875" s="62"/>
      <c r="P4875" s="62"/>
    </row>
    <row r="4876" spans="1:16" x14ac:dyDescent="0.3">
      <c r="A4876" s="3">
        <v>45770</v>
      </c>
      <c r="B4876" s="11" t="s">
        <v>6549</v>
      </c>
      <c r="C4876" s="50" t="s">
        <v>8152</v>
      </c>
      <c r="E4876" s="90" t="s">
        <v>2088</v>
      </c>
      <c r="I4876" s="88">
        <f t="shared" si="501"/>
        <v>3412.3600000000006</v>
      </c>
      <c r="K4876" s="62"/>
      <c r="L4876" s="2">
        <f t="shared" si="503"/>
        <v>0</v>
      </c>
      <c r="M4876">
        <f t="shared" si="502"/>
        <v>5</v>
      </c>
      <c r="O4876" s="62"/>
      <c r="P4876" s="62"/>
    </row>
    <row r="4877" spans="1:16" x14ac:dyDescent="0.3">
      <c r="A4877" s="3">
        <v>45770</v>
      </c>
      <c r="B4877" s="11" t="s">
        <v>6549</v>
      </c>
      <c r="C4877" s="50" t="s">
        <v>8152</v>
      </c>
      <c r="G4877" s="2">
        <v>500</v>
      </c>
      <c r="I4877" s="88">
        <f t="shared" si="501"/>
        <v>3912.3600000000006</v>
      </c>
      <c r="K4877" s="62"/>
      <c r="L4877" s="2">
        <f t="shared" si="503"/>
        <v>2</v>
      </c>
      <c r="M4877">
        <f t="shared" si="502"/>
        <v>0</v>
      </c>
      <c r="O4877" s="62"/>
      <c r="P4877" s="62"/>
    </row>
    <row r="4878" spans="1:16" x14ac:dyDescent="0.3">
      <c r="A4878" s="3">
        <v>45770</v>
      </c>
      <c r="B4878" s="11" t="s">
        <v>6549</v>
      </c>
      <c r="C4878" s="50" t="s">
        <v>8152</v>
      </c>
      <c r="E4878" s="90" t="s">
        <v>2088</v>
      </c>
      <c r="I4878" s="88">
        <f t="shared" si="501"/>
        <v>3912.3600000000006</v>
      </c>
      <c r="K4878" s="62"/>
      <c r="L4878" s="2">
        <f t="shared" si="503"/>
        <v>0</v>
      </c>
      <c r="M4878">
        <f t="shared" si="502"/>
        <v>5</v>
      </c>
      <c r="O4878" s="62"/>
      <c r="P4878" s="62"/>
    </row>
    <row r="4879" spans="1:16" x14ac:dyDescent="0.3">
      <c r="A4879" s="3">
        <v>45770</v>
      </c>
      <c r="B4879" s="11" t="s">
        <v>7170</v>
      </c>
      <c r="C4879" s="50" t="s">
        <v>7171</v>
      </c>
      <c r="E4879" s="90" t="s">
        <v>2088</v>
      </c>
      <c r="I4879" s="88">
        <f t="shared" si="501"/>
        <v>3912.3600000000006</v>
      </c>
      <c r="K4879" s="62"/>
      <c r="L4879" s="2">
        <f t="shared" si="503"/>
        <v>0</v>
      </c>
      <c r="M4879">
        <f t="shared" si="502"/>
        <v>5</v>
      </c>
      <c r="O4879" s="62"/>
      <c r="P4879" s="62"/>
    </row>
    <row r="4880" spans="1:16" x14ac:dyDescent="0.3">
      <c r="A4880" s="3">
        <v>45770</v>
      </c>
      <c r="B4880" s="11" t="s">
        <v>8154</v>
      </c>
      <c r="C4880" s="65" t="s">
        <v>4125</v>
      </c>
      <c r="E4880" s="90" t="s">
        <v>16</v>
      </c>
      <c r="H4880" s="2">
        <v>500</v>
      </c>
      <c r="I4880" s="88">
        <f t="shared" si="501"/>
        <v>3412.3600000000006</v>
      </c>
      <c r="K4880" s="62"/>
      <c r="L4880" s="2">
        <f t="shared" si="503"/>
        <v>27</v>
      </c>
      <c r="M4880">
        <f t="shared" si="502"/>
        <v>0</v>
      </c>
      <c r="O4880" s="62"/>
      <c r="P4880" s="62"/>
    </row>
    <row r="4881" spans="1:16" x14ac:dyDescent="0.3">
      <c r="A4881" s="3">
        <v>45406</v>
      </c>
      <c r="B4881" s="11" t="s">
        <v>7186</v>
      </c>
      <c r="C4881" s="50" t="s">
        <v>8039</v>
      </c>
      <c r="E4881" s="90" t="s">
        <v>2088</v>
      </c>
      <c r="I4881" s="88">
        <f t="shared" si="501"/>
        <v>3412.3600000000006</v>
      </c>
      <c r="K4881" s="62"/>
      <c r="L4881" s="2">
        <f t="shared" si="503"/>
        <v>0</v>
      </c>
      <c r="M4881">
        <f t="shared" si="502"/>
        <v>5</v>
      </c>
      <c r="O4881" s="62"/>
      <c r="P4881" s="62"/>
    </row>
    <row r="4882" spans="1:16" x14ac:dyDescent="0.3">
      <c r="A4882" s="3">
        <v>45406</v>
      </c>
      <c r="B4882" s="11" t="s">
        <v>7186</v>
      </c>
      <c r="C4882" s="50" t="s">
        <v>8039</v>
      </c>
      <c r="G4882" s="2">
        <v>4000</v>
      </c>
      <c r="I4882" s="88">
        <f t="shared" si="501"/>
        <v>7412.3600000000006</v>
      </c>
      <c r="K4882" s="62"/>
      <c r="L4882" s="2">
        <f t="shared" si="503"/>
        <v>16</v>
      </c>
      <c r="M4882">
        <f t="shared" si="502"/>
        <v>0</v>
      </c>
      <c r="O4882" s="62"/>
      <c r="P4882" s="62"/>
    </row>
    <row r="4883" spans="1:16" x14ac:dyDescent="0.3">
      <c r="A4883" s="3">
        <v>45406</v>
      </c>
      <c r="B4883" s="11" t="s">
        <v>7186</v>
      </c>
      <c r="C4883" s="50" t="s">
        <v>8039</v>
      </c>
      <c r="E4883" s="90" t="s">
        <v>2088</v>
      </c>
      <c r="I4883" s="88">
        <f t="shared" si="501"/>
        <v>7412.3600000000006</v>
      </c>
      <c r="K4883" s="62"/>
      <c r="L4883" s="2">
        <f t="shared" si="503"/>
        <v>0</v>
      </c>
      <c r="M4883">
        <f t="shared" si="502"/>
        <v>5</v>
      </c>
      <c r="O4883" s="62"/>
      <c r="P4883" s="62"/>
    </row>
    <row r="4884" spans="1:16" x14ac:dyDescent="0.3">
      <c r="A4884" s="3">
        <v>45406</v>
      </c>
      <c r="B4884" s="11" t="s">
        <v>8156</v>
      </c>
      <c r="C4884" s="50" t="s">
        <v>8157</v>
      </c>
      <c r="G4884" s="2">
        <v>4000</v>
      </c>
      <c r="I4884" s="88">
        <f t="shared" si="501"/>
        <v>11412.36</v>
      </c>
      <c r="K4884" s="62"/>
      <c r="L4884" s="2">
        <f t="shared" si="503"/>
        <v>16</v>
      </c>
      <c r="M4884">
        <f t="shared" si="502"/>
        <v>0</v>
      </c>
      <c r="O4884" s="62"/>
      <c r="P4884" s="62"/>
    </row>
    <row r="4885" spans="1:16" x14ac:dyDescent="0.3">
      <c r="A4885" s="3">
        <v>45406</v>
      </c>
      <c r="B4885" s="11" t="s">
        <v>7005</v>
      </c>
      <c r="C4885" s="50" t="s">
        <v>7316</v>
      </c>
      <c r="G4885" s="2">
        <v>500</v>
      </c>
      <c r="I4885" s="88">
        <f t="shared" si="501"/>
        <v>11912.36</v>
      </c>
      <c r="K4885" s="62"/>
      <c r="L4885" s="2">
        <f t="shared" si="503"/>
        <v>2</v>
      </c>
      <c r="M4885">
        <f t="shared" si="502"/>
        <v>0</v>
      </c>
      <c r="O4885" s="62"/>
      <c r="P4885" s="62"/>
    </row>
    <row r="4886" spans="1:16" x14ac:dyDescent="0.3">
      <c r="A4886" s="3">
        <v>45406</v>
      </c>
      <c r="B4886" s="11" t="s">
        <v>7005</v>
      </c>
      <c r="C4886" s="50" t="s">
        <v>7316</v>
      </c>
      <c r="E4886" s="90" t="s">
        <v>2088</v>
      </c>
      <c r="I4886" s="88">
        <f t="shared" si="501"/>
        <v>11912.36</v>
      </c>
      <c r="K4886" s="62"/>
      <c r="L4886" s="2">
        <f t="shared" si="503"/>
        <v>0</v>
      </c>
      <c r="M4886">
        <f t="shared" si="502"/>
        <v>5</v>
      </c>
      <c r="O4886" s="62"/>
      <c r="P4886" s="62"/>
    </row>
    <row r="4887" spans="1:16" x14ac:dyDescent="0.3">
      <c r="A4887" s="3">
        <v>45772</v>
      </c>
      <c r="B4887" s="11" t="s">
        <v>6260</v>
      </c>
      <c r="C4887" s="50" t="s">
        <v>7117</v>
      </c>
      <c r="H4887" s="2">
        <v>10000</v>
      </c>
      <c r="I4887" s="88">
        <f t="shared" si="501"/>
        <v>1912.3600000000006</v>
      </c>
      <c r="K4887" s="62"/>
      <c r="L4887" s="2">
        <f t="shared" si="503"/>
        <v>20</v>
      </c>
      <c r="M4887">
        <f t="shared" si="502"/>
        <v>0</v>
      </c>
      <c r="O4887" s="62"/>
      <c r="P4887" s="62"/>
    </row>
    <row r="4888" spans="1:16" x14ac:dyDescent="0.3">
      <c r="A4888" s="3">
        <f>A4887</f>
        <v>45772</v>
      </c>
      <c r="B4888" s="11" t="s">
        <v>5444</v>
      </c>
      <c r="C4888" s="50" t="s">
        <v>8158</v>
      </c>
      <c r="G4888" s="2">
        <v>1800</v>
      </c>
      <c r="I4888" s="88">
        <f t="shared" si="501"/>
        <v>3712.3600000000006</v>
      </c>
      <c r="K4888" s="62"/>
      <c r="L4888" s="2">
        <f t="shared" si="503"/>
        <v>7.2</v>
      </c>
      <c r="M4888">
        <f t="shared" si="502"/>
        <v>0</v>
      </c>
      <c r="O4888" s="62"/>
      <c r="P4888" s="62"/>
    </row>
    <row r="4889" spans="1:16" x14ac:dyDescent="0.3">
      <c r="A4889" s="3">
        <f t="shared" ref="A4889:A4953" si="504">A4888</f>
        <v>45772</v>
      </c>
      <c r="B4889" s="11" t="s">
        <v>8163</v>
      </c>
      <c r="C4889" s="65" t="s">
        <v>8160</v>
      </c>
      <c r="E4889" s="90" t="s">
        <v>16</v>
      </c>
      <c r="H4889" s="2">
        <v>500</v>
      </c>
      <c r="I4889" s="88">
        <f t="shared" si="501"/>
        <v>3212.3600000000006</v>
      </c>
      <c r="K4889" s="62"/>
      <c r="L4889" s="2">
        <f t="shared" si="503"/>
        <v>27</v>
      </c>
      <c r="M4889">
        <f t="shared" si="502"/>
        <v>0</v>
      </c>
      <c r="O4889" s="62"/>
      <c r="P4889" s="62"/>
    </row>
    <row r="4890" spans="1:16" x14ac:dyDescent="0.3">
      <c r="A4890" s="3">
        <f t="shared" si="504"/>
        <v>45772</v>
      </c>
      <c r="B4890" s="11" t="s">
        <v>5306</v>
      </c>
      <c r="C4890" s="50" t="s">
        <v>5309</v>
      </c>
      <c r="G4890" s="2">
        <v>4000</v>
      </c>
      <c r="I4890" s="88">
        <f t="shared" si="501"/>
        <v>7212.3600000000006</v>
      </c>
      <c r="K4890" s="62"/>
      <c r="L4890" s="2">
        <f t="shared" si="503"/>
        <v>16</v>
      </c>
      <c r="M4890">
        <f t="shared" si="502"/>
        <v>0</v>
      </c>
      <c r="O4890" s="62"/>
      <c r="P4890" s="62"/>
    </row>
    <row r="4891" spans="1:16" x14ac:dyDescent="0.3">
      <c r="A4891" s="3">
        <f t="shared" si="504"/>
        <v>45772</v>
      </c>
      <c r="B4891" s="11" t="s">
        <v>5306</v>
      </c>
      <c r="C4891" s="50" t="s">
        <v>5309</v>
      </c>
      <c r="E4891" s="90" t="s">
        <v>2088</v>
      </c>
      <c r="I4891" s="88">
        <f t="shared" si="501"/>
        <v>7212.3600000000006</v>
      </c>
      <c r="K4891" s="62"/>
      <c r="L4891" s="2">
        <f t="shared" si="503"/>
        <v>0</v>
      </c>
      <c r="M4891">
        <f t="shared" si="502"/>
        <v>5</v>
      </c>
      <c r="O4891" s="62"/>
      <c r="P4891" s="62"/>
    </row>
    <row r="4892" spans="1:16" x14ac:dyDescent="0.3">
      <c r="A4892" s="3">
        <f t="shared" si="504"/>
        <v>45772</v>
      </c>
      <c r="B4892" s="11" t="s">
        <v>5888</v>
      </c>
      <c r="C4892" s="50" t="s">
        <v>8167</v>
      </c>
      <c r="G4892" s="2">
        <v>300</v>
      </c>
      <c r="I4892" s="88">
        <f t="shared" si="501"/>
        <v>7512.3600000000006</v>
      </c>
      <c r="K4892" s="62"/>
      <c r="L4892" s="2">
        <f t="shared" si="503"/>
        <v>1.2</v>
      </c>
      <c r="M4892">
        <f t="shared" si="502"/>
        <v>0</v>
      </c>
      <c r="O4892" s="62"/>
      <c r="P4892" s="62"/>
    </row>
    <row r="4893" spans="1:16" x14ac:dyDescent="0.3">
      <c r="A4893" s="3">
        <f t="shared" si="504"/>
        <v>45772</v>
      </c>
      <c r="B4893" s="11" t="s">
        <v>5888</v>
      </c>
      <c r="C4893" s="50" t="s">
        <v>8167</v>
      </c>
      <c r="E4893" s="90" t="s">
        <v>2088</v>
      </c>
      <c r="I4893" s="88">
        <f t="shared" si="501"/>
        <v>7512.3600000000006</v>
      </c>
      <c r="K4893" s="62"/>
      <c r="L4893" s="2">
        <f t="shared" si="503"/>
        <v>0</v>
      </c>
      <c r="M4893">
        <f t="shared" si="502"/>
        <v>5</v>
      </c>
      <c r="O4893" s="62"/>
      <c r="P4893" s="62"/>
    </row>
    <row r="4894" spans="1:16" x14ac:dyDescent="0.3">
      <c r="A4894" s="3">
        <f t="shared" si="504"/>
        <v>45772</v>
      </c>
      <c r="B4894" s="11" t="s">
        <v>5883</v>
      </c>
      <c r="C4894" s="50" t="s">
        <v>8168</v>
      </c>
      <c r="G4894" s="2">
        <v>200</v>
      </c>
      <c r="I4894" s="88">
        <f t="shared" si="501"/>
        <v>7712.3600000000006</v>
      </c>
      <c r="K4894" s="62"/>
      <c r="L4894" s="2">
        <f t="shared" si="503"/>
        <v>0.8</v>
      </c>
      <c r="M4894">
        <f t="shared" si="502"/>
        <v>0</v>
      </c>
      <c r="O4894" s="62"/>
      <c r="P4894" s="62"/>
    </row>
    <row r="4895" spans="1:16" x14ac:dyDescent="0.3">
      <c r="A4895" s="3">
        <f t="shared" si="504"/>
        <v>45772</v>
      </c>
      <c r="B4895" s="11" t="s">
        <v>5883</v>
      </c>
      <c r="C4895" s="50" t="s">
        <v>8168</v>
      </c>
      <c r="E4895" s="90" t="s">
        <v>2088</v>
      </c>
      <c r="I4895" s="88">
        <f t="shared" si="501"/>
        <v>7712.3600000000006</v>
      </c>
      <c r="K4895" s="62"/>
      <c r="L4895" s="2">
        <f t="shared" si="503"/>
        <v>0</v>
      </c>
      <c r="M4895">
        <f t="shared" si="502"/>
        <v>5</v>
      </c>
      <c r="O4895" s="62"/>
      <c r="P4895" s="62"/>
    </row>
    <row r="4896" spans="1:16" x14ac:dyDescent="0.3">
      <c r="A4896" s="3">
        <f t="shared" si="504"/>
        <v>45772</v>
      </c>
      <c r="B4896" s="11" t="s">
        <v>7975</v>
      </c>
      <c r="C4896" s="50" t="s">
        <v>8169</v>
      </c>
      <c r="G4896" s="2">
        <v>1500</v>
      </c>
      <c r="I4896" s="88">
        <f t="shared" si="501"/>
        <v>9212.36</v>
      </c>
      <c r="K4896" s="62"/>
      <c r="L4896" s="2">
        <f t="shared" si="503"/>
        <v>6</v>
      </c>
      <c r="M4896">
        <f t="shared" si="502"/>
        <v>0</v>
      </c>
      <c r="O4896" s="62"/>
      <c r="P4896" s="62"/>
    </row>
    <row r="4897" spans="1:16" x14ac:dyDescent="0.3">
      <c r="A4897" s="3">
        <f t="shared" si="504"/>
        <v>45772</v>
      </c>
      <c r="B4897" s="11" t="s">
        <v>7975</v>
      </c>
      <c r="C4897" s="50" t="s">
        <v>8169</v>
      </c>
      <c r="E4897" s="90" t="s">
        <v>2088</v>
      </c>
      <c r="I4897" s="88">
        <f t="shared" ref="I4897:I4906" si="505">I4896+G4897-H4897</f>
        <v>9212.36</v>
      </c>
      <c r="K4897" s="62"/>
      <c r="L4897" s="2">
        <f t="shared" ref="L4897:L4906" si="506">IF((G4897+H4897)&lt;=5000,(H4897+G4897)*0.004,20)+IF(E4897="Y",25,0)</f>
        <v>0</v>
      </c>
      <c r="M4897">
        <f t="shared" ref="M4897:M4906" si="507">IF(E4897="p",5,0)</f>
        <v>5</v>
      </c>
      <c r="O4897" s="62"/>
      <c r="P4897" s="62"/>
    </row>
    <row r="4898" spans="1:16" x14ac:dyDescent="0.3">
      <c r="A4898" s="3">
        <f t="shared" si="504"/>
        <v>45772</v>
      </c>
      <c r="B4898" s="11" t="s">
        <v>1250</v>
      </c>
      <c r="C4898" s="50" t="s">
        <v>2857</v>
      </c>
      <c r="E4898" s="90" t="s">
        <v>4721</v>
      </c>
      <c r="H4898" s="2">
        <v>9000</v>
      </c>
      <c r="I4898" s="88">
        <f t="shared" si="505"/>
        <v>212.36000000000058</v>
      </c>
      <c r="K4898" s="62"/>
      <c r="L4898" s="2">
        <f t="shared" si="506"/>
        <v>20</v>
      </c>
      <c r="M4898">
        <f t="shared" si="507"/>
        <v>0</v>
      </c>
      <c r="O4898" s="62"/>
      <c r="P4898" s="62"/>
    </row>
    <row r="4899" spans="1:16" x14ac:dyDescent="0.3">
      <c r="A4899" s="3">
        <f t="shared" si="504"/>
        <v>45772</v>
      </c>
      <c r="B4899" s="11" t="s">
        <v>1250</v>
      </c>
      <c r="C4899" s="50" t="s">
        <v>6985</v>
      </c>
      <c r="G4899" s="2">
        <v>2000</v>
      </c>
      <c r="I4899" s="88">
        <f t="shared" si="505"/>
        <v>2212.3600000000006</v>
      </c>
      <c r="K4899" s="62"/>
      <c r="L4899" s="2">
        <f t="shared" si="506"/>
        <v>8</v>
      </c>
      <c r="M4899">
        <f t="shared" si="507"/>
        <v>0</v>
      </c>
      <c r="O4899" s="62"/>
      <c r="P4899" s="62"/>
    </row>
    <row r="4900" spans="1:16" x14ac:dyDescent="0.3">
      <c r="A4900" s="3">
        <f t="shared" si="504"/>
        <v>45772</v>
      </c>
      <c r="B4900" s="11" t="s">
        <v>8171</v>
      </c>
      <c r="C4900" s="65" t="s">
        <v>8172</v>
      </c>
      <c r="E4900" s="90" t="s">
        <v>14</v>
      </c>
      <c r="H4900" s="2">
        <v>500</v>
      </c>
      <c r="I4900" s="88">
        <f t="shared" si="505"/>
        <v>1712.3600000000006</v>
      </c>
      <c r="K4900" s="62"/>
      <c r="L4900" s="2">
        <f t="shared" si="506"/>
        <v>27</v>
      </c>
      <c r="M4900">
        <f t="shared" si="507"/>
        <v>0</v>
      </c>
      <c r="O4900" s="62"/>
      <c r="P4900" s="62"/>
    </row>
    <row r="4901" spans="1:16" x14ac:dyDescent="0.3">
      <c r="A4901" s="3">
        <f t="shared" si="504"/>
        <v>45772</v>
      </c>
      <c r="B4901" s="11" t="s">
        <v>8142</v>
      </c>
      <c r="C4901" s="50" t="s">
        <v>8144</v>
      </c>
      <c r="G4901" s="2">
        <v>500</v>
      </c>
      <c r="I4901" s="88">
        <f t="shared" si="505"/>
        <v>2212.3600000000006</v>
      </c>
      <c r="K4901" s="62"/>
      <c r="L4901" s="2">
        <f t="shared" si="506"/>
        <v>2</v>
      </c>
      <c r="M4901">
        <f t="shared" si="507"/>
        <v>0</v>
      </c>
      <c r="O4901" s="62"/>
      <c r="P4901" s="62"/>
    </row>
    <row r="4902" spans="1:16" x14ac:dyDescent="0.3">
      <c r="A4902" s="3">
        <f t="shared" si="504"/>
        <v>45772</v>
      </c>
      <c r="B4902" s="11" t="s">
        <v>8142</v>
      </c>
      <c r="C4902" s="50" t="s">
        <v>8144</v>
      </c>
      <c r="E4902" s="90" t="s">
        <v>2088</v>
      </c>
      <c r="I4902" s="88">
        <f t="shared" si="505"/>
        <v>2212.3600000000006</v>
      </c>
      <c r="K4902" s="62"/>
      <c r="L4902" s="2">
        <f t="shared" si="506"/>
        <v>0</v>
      </c>
      <c r="M4902">
        <f t="shared" si="507"/>
        <v>5</v>
      </c>
      <c r="O4902" s="62"/>
      <c r="P4902" s="62"/>
    </row>
    <row r="4903" spans="1:16" x14ac:dyDescent="0.3">
      <c r="A4903" s="3">
        <f t="shared" si="504"/>
        <v>45772</v>
      </c>
      <c r="B4903" s="11" t="s">
        <v>8154</v>
      </c>
      <c r="C4903" s="65" t="s">
        <v>4125</v>
      </c>
      <c r="E4903" s="90" t="s">
        <v>2088</v>
      </c>
      <c r="I4903" s="88">
        <f t="shared" si="505"/>
        <v>2212.3600000000006</v>
      </c>
      <c r="K4903" s="62"/>
      <c r="L4903" s="2">
        <f t="shared" si="506"/>
        <v>0</v>
      </c>
      <c r="M4903">
        <f t="shared" si="507"/>
        <v>5</v>
      </c>
      <c r="O4903" s="62"/>
      <c r="P4903" s="62"/>
    </row>
    <row r="4904" spans="1:16" x14ac:dyDescent="0.3">
      <c r="A4904" s="3">
        <f t="shared" si="504"/>
        <v>45772</v>
      </c>
      <c r="B4904" s="11" t="s">
        <v>8074</v>
      </c>
      <c r="C4904" s="50" t="s">
        <v>8176</v>
      </c>
      <c r="E4904" s="90" t="s">
        <v>2088</v>
      </c>
      <c r="I4904" s="88">
        <f t="shared" si="505"/>
        <v>2212.3600000000006</v>
      </c>
      <c r="K4904" s="62"/>
      <c r="L4904" s="2">
        <f t="shared" si="506"/>
        <v>0</v>
      </c>
      <c r="M4904">
        <f t="shared" si="507"/>
        <v>5</v>
      </c>
      <c r="O4904" s="62"/>
      <c r="P4904" s="62"/>
    </row>
    <row r="4905" spans="1:16" x14ac:dyDescent="0.3">
      <c r="A4905" s="3">
        <v>45773</v>
      </c>
      <c r="B4905" s="11" t="s">
        <v>2528</v>
      </c>
      <c r="C4905" s="50" t="s">
        <v>6436</v>
      </c>
      <c r="G4905" s="2">
        <v>5000</v>
      </c>
      <c r="I4905" s="88">
        <f t="shared" si="505"/>
        <v>7212.3600000000006</v>
      </c>
      <c r="K4905" s="62"/>
      <c r="L4905" s="2">
        <f t="shared" si="506"/>
        <v>20</v>
      </c>
      <c r="M4905">
        <f t="shared" si="507"/>
        <v>0</v>
      </c>
      <c r="O4905" s="62"/>
      <c r="P4905" s="62"/>
    </row>
    <row r="4906" spans="1:16" x14ac:dyDescent="0.3">
      <c r="A4906" s="3">
        <f t="shared" si="504"/>
        <v>45773</v>
      </c>
      <c r="B4906" s="11" t="s">
        <v>2528</v>
      </c>
      <c r="C4906" s="50" t="s">
        <v>6436</v>
      </c>
      <c r="E4906" s="90" t="s">
        <v>2088</v>
      </c>
      <c r="I4906" s="88">
        <f t="shared" si="505"/>
        <v>7212.3600000000006</v>
      </c>
      <c r="K4906" s="62"/>
      <c r="L4906" s="2">
        <f t="shared" si="506"/>
        <v>0</v>
      </c>
      <c r="M4906">
        <f t="shared" si="507"/>
        <v>5</v>
      </c>
      <c r="O4906" s="62"/>
      <c r="P4906" s="62"/>
    </row>
    <row r="4907" spans="1:16" x14ac:dyDescent="0.3">
      <c r="A4907" s="3">
        <f t="shared" si="504"/>
        <v>45773</v>
      </c>
      <c r="B4907" s="11" t="s">
        <v>2448</v>
      </c>
      <c r="C4907" s="50" t="s">
        <v>4745</v>
      </c>
      <c r="H4907" s="2">
        <v>6000</v>
      </c>
      <c r="I4907" s="88">
        <f t="shared" ref="I4907:I4931" si="508">I4906+G4907-H4907</f>
        <v>1212.3600000000006</v>
      </c>
      <c r="K4907" s="62"/>
      <c r="L4907" s="2">
        <f t="shared" ref="L4907:L4931" si="509">IF((G4907+H4907)&lt;=5000,(H4907+G4907)*0.004,20)+IF(E4907="Y",25,0)</f>
        <v>20</v>
      </c>
      <c r="M4907">
        <f t="shared" ref="M4907:M4931" si="510">IF(E4907="p",5,0)</f>
        <v>0</v>
      </c>
      <c r="O4907" s="62"/>
      <c r="P4907" s="62"/>
    </row>
    <row r="4908" spans="1:16" x14ac:dyDescent="0.3">
      <c r="A4908" s="3">
        <f t="shared" si="504"/>
        <v>45773</v>
      </c>
      <c r="B4908" s="11" t="s">
        <v>2581</v>
      </c>
      <c r="C4908" s="50" t="s">
        <v>8177</v>
      </c>
      <c r="G4908" s="2">
        <v>5000</v>
      </c>
      <c r="I4908" s="88">
        <f t="shared" si="508"/>
        <v>6212.3600000000006</v>
      </c>
      <c r="K4908" s="62"/>
      <c r="L4908" s="2">
        <f t="shared" si="509"/>
        <v>20</v>
      </c>
      <c r="M4908">
        <f t="shared" si="510"/>
        <v>0</v>
      </c>
      <c r="O4908" s="62"/>
      <c r="P4908" s="62"/>
    </row>
    <row r="4909" spans="1:16" x14ac:dyDescent="0.3">
      <c r="A4909" s="3">
        <f t="shared" si="504"/>
        <v>45773</v>
      </c>
      <c r="B4909" s="11" t="s">
        <v>6840</v>
      </c>
      <c r="C4909" s="50" t="s">
        <v>7513</v>
      </c>
      <c r="G4909" s="2">
        <v>5000</v>
      </c>
      <c r="I4909" s="88">
        <f t="shared" si="508"/>
        <v>11212.36</v>
      </c>
      <c r="K4909" s="62"/>
      <c r="L4909" s="2">
        <f t="shared" si="509"/>
        <v>20</v>
      </c>
      <c r="M4909">
        <f t="shared" si="510"/>
        <v>0</v>
      </c>
      <c r="O4909" s="62"/>
      <c r="P4909" s="62"/>
    </row>
    <row r="4910" spans="1:16" x14ac:dyDescent="0.3">
      <c r="A4910" s="3">
        <f t="shared" si="504"/>
        <v>45773</v>
      </c>
      <c r="B4910" s="11" t="s">
        <v>6840</v>
      </c>
      <c r="C4910" s="50" t="s">
        <v>7513</v>
      </c>
      <c r="E4910" s="90" t="s">
        <v>2088</v>
      </c>
      <c r="I4910" s="88">
        <f t="shared" si="508"/>
        <v>11212.36</v>
      </c>
      <c r="K4910" s="62"/>
      <c r="L4910" s="2">
        <f t="shared" si="509"/>
        <v>0</v>
      </c>
      <c r="M4910">
        <f t="shared" si="510"/>
        <v>5</v>
      </c>
      <c r="O4910" s="62"/>
      <c r="P4910" s="62"/>
    </row>
    <row r="4911" spans="1:16" x14ac:dyDescent="0.3">
      <c r="A4911" s="3">
        <f t="shared" si="504"/>
        <v>45773</v>
      </c>
      <c r="B4911" s="11" t="s">
        <v>7005</v>
      </c>
      <c r="C4911" s="50" t="s">
        <v>7316</v>
      </c>
      <c r="G4911" s="2">
        <v>2000</v>
      </c>
      <c r="I4911" s="88">
        <f t="shared" si="508"/>
        <v>13212.36</v>
      </c>
      <c r="K4911" s="62"/>
      <c r="L4911" s="2">
        <f t="shared" si="509"/>
        <v>8</v>
      </c>
      <c r="M4911">
        <f t="shared" si="510"/>
        <v>0</v>
      </c>
      <c r="O4911" s="62"/>
      <c r="P4911" s="62"/>
    </row>
    <row r="4912" spans="1:16" x14ac:dyDescent="0.3">
      <c r="A4912" s="3">
        <f t="shared" si="504"/>
        <v>45773</v>
      </c>
      <c r="B4912" s="11" t="s">
        <v>7005</v>
      </c>
      <c r="C4912" s="50" t="s">
        <v>7316</v>
      </c>
      <c r="E4912" s="90" t="s">
        <v>2088</v>
      </c>
      <c r="I4912" s="88">
        <f t="shared" si="508"/>
        <v>13212.36</v>
      </c>
      <c r="K4912" s="62"/>
      <c r="L4912" s="2">
        <f t="shared" si="509"/>
        <v>0</v>
      </c>
      <c r="M4912">
        <f t="shared" si="510"/>
        <v>5</v>
      </c>
      <c r="O4912" s="62"/>
      <c r="P4912" s="62"/>
    </row>
    <row r="4913" spans="1:16" x14ac:dyDescent="0.3">
      <c r="A4913" s="3">
        <f t="shared" si="504"/>
        <v>45773</v>
      </c>
      <c r="B4913" s="11" t="s">
        <v>2797</v>
      </c>
      <c r="C4913" s="65" t="s">
        <v>2794</v>
      </c>
      <c r="G4913" s="2">
        <v>2000</v>
      </c>
      <c r="I4913" s="88">
        <f t="shared" si="508"/>
        <v>15212.36</v>
      </c>
      <c r="K4913" s="62"/>
      <c r="L4913" s="2">
        <f t="shared" si="509"/>
        <v>8</v>
      </c>
      <c r="M4913">
        <f t="shared" si="510"/>
        <v>0</v>
      </c>
      <c r="O4913" s="62"/>
      <c r="P4913" s="62"/>
    </row>
    <row r="4914" spans="1:16" x14ac:dyDescent="0.3">
      <c r="A4914" s="3">
        <f t="shared" si="504"/>
        <v>45773</v>
      </c>
      <c r="B4914" s="11" t="s">
        <v>5312</v>
      </c>
      <c r="C4914" s="50" t="s">
        <v>8068</v>
      </c>
      <c r="H4914" s="2">
        <v>700</v>
      </c>
      <c r="I4914" s="88">
        <f t="shared" si="508"/>
        <v>14512.36</v>
      </c>
      <c r="K4914" s="62"/>
      <c r="L4914" s="2">
        <f t="shared" si="509"/>
        <v>2.8000000000000003</v>
      </c>
      <c r="M4914">
        <f t="shared" si="510"/>
        <v>0</v>
      </c>
      <c r="O4914" s="62"/>
      <c r="P4914" s="62"/>
    </row>
    <row r="4915" spans="1:16" x14ac:dyDescent="0.3">
      <c r="A4915" s="3">
        <f t="shared" si="504"/>
        <v>45773</v>
      </c>
      <c r="B4915" s="11" t="s">
        <v>5935</v>
      </c>
      <c r="C4915" s="50" t="s">
        <v>115</v>
      </c>
      <c r="G4915" s="2">
        <v>10000</v>
      </c>
      <c r="I4915" s="88">
        <f t="shared" si="508"/>
        <v>24512.36</v>
      </c>
      <c r="K4915" s="62"/>
      <c r="L4915" s="2">
        <f t="shared" si="509"/>
        <v>20</v>
      </c>
      <c r="M4915">
        <f t="shared" si="510"/>
        <v>0</v>
      </c>
      <c r="O4915" s="62"/>
      <c r="P4915" s="62"/>
    </row>
    <row r="4916" spans="1:16" x14ac:dyDescent="0.3">
      <c r="A4916" s="3">
        <f t="shared" si="504"/>
        <v>45773</v>
      </c>
      <c r="B4916" s="11" t="s">
        <v>5935</v>
      </c>
      <c r="C4916" s="50" t="s">
        <v>115</v>
      </c>
      <c r="E4916" s="90" t="s">
        <v>2088</v>
      </c>
      <c r="I4916" s="88">
        <f t="shared" si="508"/>
        <v>24512.36</v>
      </c>
      <c r="K4916" s="62"/>
      <c r="L4916" s="2">
        <f t="shared" si="509"/>
        <v>0</v>
      </c>
      <c r="M4916">
        <f t="shared" si="510"/>
        <v>5</v>
      </c>
      <c r="O4916" s="62"/>
      <c r="P4916" s="62"/>
    </row>
    <row r="4917" spans="1:16" x14ac:dyDescent="0.3">
      <c r="A4917" s="3">
        <f t="shared" si="504"/>
        <v>45773</v>
      </c>
      <c r="B4917" s="11" t="s">
        <v>2143</v>
      </c>
      <c r="C4917" s="50" t="s">
        <v>1279</v>
      </c>
      <c r="H4917" s="2">
        <v>10000</v>
      </c>
      <c r="I4917" s="88">
        <f t="shared" si="508"/>
        <v>14512.36</v>
      </c>
      <c r="K4917" s="62"/>
      <c r="L4917" s="2">
        <f t="shared" si="509"/>
        <v>20</v>
      </c>
      <c r="M4917">
        <f t="shared" si="510"/>
        <v>0</v>
      </c>
      <c r="O4917" s="62"/>
      <c r="P4917" s="62"/>
    </row>
    <row r="4918" spans="1:16" x14ac:dyDescent="0.3">
      <c r="A4918" s="3">
        <f t="shared" si="504"/>
        <v>45773</v>
      </c>
      <c r="B4918" s="11" t="s">
        <v>7051</v>
      </c>
      <c r="C4918" s="50" t="s">
        <v>8182</v>
      </c>
      <c r="G4918" s="2">
        <v>5000</v>
      </c>
      <c r="I4918" s="88">
        <f t="shared" si="508"/>
        <v>19512.36</v>
      </c>
      <c r="K4918" s="62"/>
      <c r="L4918" s="2">
        <f t="shared" si="509"/>
        <v>20</v>
      </c>
      <c r="M4918">
        <f t="shared" si="510"/>
        <v>0</v>
      </c>
      <c r="O4918" s="62"/>
      <c r="P4918" s="62"/>
    </row>
    <row r="4919" spans="1:16" x14ac:dyDescent="0.3">
      <c r="A4919" s="3">
        <f t="shared" si="504"/>
        <v>45773</v>
      </c>
      <c r="B4919" s="11" t="s">
        <v>7051</v>
      </c>
      <c r="C4919" s="50" t="s">
        <v>8182</v>
      </c>
      <c r="E4919" s="90" t="s">
        <v>2088</v>
      </c>
      <c r="I4919" s="88">
        <f t="shared" si="508"/>
        <v>19512.36</v>
      </c>
      <c r="K4919" s="62"/>
      <c r="L4919" s="2">
        <f t="shared" si="509"/>
        <v>0</v>
      </c>
      <c r="M4919">
        <f t="shared" si="510"/>
        <v>5</v>
      </c>
      <c r="O4919" s="62"/>
      <c r="P4919" s="62"/>
    </row>
    <row r="4920" spans="1:16" x14ac:dyDescent="0.3">
      <c r="A4920" s="3">
        <f t="shared" si="504"/>
        <v>45773</v>
      </c>
      <c r="B4920" s="11" t="s">
        <v>7800</v>
      </c>
      <c r="C4920" s="50" t="s">
        <v>3698</v>
      </c>
      <c r="G4920" s="2">
        <v>2000</v>
      </c>
      <c r="I4920" s="88">
        <f t="shared" si="508"/>
        <v>21512.36</v>
      </c>
      <c r="K4920" s="62"/>
      <c r="L4920" s="2">
        <f t="shared" si="509"/>
        <v>8</v>
      </c>
      <c r="M4920">
        <f t="shared" si="510"/>
        <v>0</v>
      </c>
      <c r="O4920" s="62"/>
      <c r="P4920" s="62"/>
    </row>
    <row r="4921" spans="1:16" x14ac:dyDescent="0.3">
      <c r="A4921" s="3">
        <f t="shared" si="504"/>
        <v>45773</v>
      </c>
      <c r="B4921" s="11" t="s">
        <v>7800</v>
      </c>
      <c r="C4921" s="50" t="s">
        <v>3698</v>
      </c>
      <c r="E4921" s="90" t="s">
        <v>2088</v>
      </c>
      <c r="I4921" s="88">
        <f t="shared" si="508"/>
        <v>21512.36</v>
      </c>
      <c r="K4921" s="62"/>
      <c r="L4921" s="2">
        <f t="shared" si="509"/>
        <v>0</v>
      </c>
      <c r="M4921">
        <f t="shared" si="510"/>
        <v>5</v>
      </c>
      <c r="O4921" s="62"/>
      <c r="P4921" s="62"/>
    </row>
    <row r="4922" spans="1:16" x14ac:dyDescent="0.3">
      <c r="A4922" s="3">
        <f t="shared" si="504"/>
        <v>45773</v>
      </c>
      <c r="B4922" s="11" t="s">
        <v>3812</v>
      </c>
      <c r="C4922" s="50" t="s">
        <v>8183</v>
      </c>
      <c r="G4922" s="2">
        <v>10000</v>
      </c>
      <c r="I4922" s="88">
        <f t="shared" si="508"/>
        <v>31512.36</v>
      </c>
      <c r="K4922" s="62"/>
      <c r="L4922" s="2">
        <f t="shared" si="509"/>
        <v>20</v>
      </c>
      <c r="M4922">
        <f t="shared" si="510"/>
        <v>0</v>
      </c>
      <c r="O4922" s="62"/>
      <c r="P4922" s="62"/>
    </row>
    <row r="4923" spans="1:16" x14ac:dyDescent="0.3">
      <c r="A4923" s="3">
        <f t="shared" si="504"/>
        <v>45773</v>
      </c>
      <c r="B4923" s="11" t="s">
        <v>8184</v>
      </c>
      <c r="C4923" s="50" t="s">
        <v>8185</v>
      </c>
      <c r="H4923" s="2">
        <v>10000</v>
      </c>
      <c r="I4923" s="88">
        <f t="shared" si="508"/>
        <v>21512.36</v>
      </c>
      <c r="K4923" s="62"/>
      <c r="L4923" s="2">
        <f t="shared" si="509"/>
        <v>20</v>
      </c>
      <c r="M4923">
        <f t="shared" si="510"/>
        <v>0</v>
      </c>
      <c r="O4923" s="62"/>
      <c r="P4923" s="62"/>
    </row>
    <row r="4924" spans="1:16" x14ac:dyDescent="0.3">
      <c r="A4924" s="3">
        <f t="shared" si="504"/>
        <v>45773</v>
      </c>
      <c r="B4924" s="11" t="s">
        <v>8163</v>
      </c>
      <c r="C4924" s="50" t="s">
        <v>8160</v>
      </c>
      <c r="E4924" s="90" t="s">
        <v>2088</v>
      </c>
      <c r="I4924" s="88">
        <f t="shared" si="508"/>
        <v>21512.36</v>
      </c>
      <c r="K4924" s="62"/>
      <c r="L4924" s="2">
        <f t="shared" si="509"/>
        <v>0</v>
      </c>
      <c r="M4924">
        <f t="shared" si="510"/>
        <v>5</v>
      </c>
      <c r="O4924" s="62"/>
      <c r="P4924" s="62"/>
    </row>
    <row r="4925" spans="1:16" x14ac:dyDescent="0.3">
      <c r="A4925" s="3">
        <f t="shared" si="504"/>
        <v>45773</v>
      </c>
      <c r="B4925" s="11" t="s">
        <v>8179</v>
      </c>
      <c r="C4925" s="65" t="s">
        <v>8180</v>
      </c>
      <c r="E4925" s="90" t="s">
        <v>16</v>
      </c>
      <c r="H4925" s="2">
        <v>500</v>
      </c>
      <c r="I4925" s="88">
        <f t="shared" si="508"/>
        <v>21012.36</v>
      </c>
      <c r="K4925" s="62"/>
      <c r="L4925" s="2">
        <f t="shared" si="509"/>
        <v>27</v>
      </c>
      <c r="M4925">
        <f t="shared" si="510"/>
        <v>0</v>
      </c>
      <c r="O4925" s="62"/>
      <c r="P4925" s="62"/>
    </row>
    <row r="4926" spans="1:16" x14ac:dyDescent="0.3">
      <c r="A4926" s="3">
        <v>45774</v>
      </c>
      <c r="B4926" s="11" t="s">
        <v>7269</v>
      </c>
      <c r="C4926" s="50" t="s">
        <v>8187</v>
      </c>
      <c r="G4926" s="2">
        <v>500</v>
      </c>
      <c r="I4926" s="88">
        <f t="shared" si="508"/>
        <v>21512.36</v>
      </c>
      <c r="K4926" s="62"/>
      <c r="L4926" s="2">
        <f t="shared" si="509"/>
        <v>2</v>
      </c>
      <c r="M4926">
        <f t="shared" si="510"/>
        <v>0</v>
      </c>
      <c r="O4926" s="62"/>
      <c r="P4926" s="62"/>
    </row>
    <row r="4927" spans="1:16" x14ac:dyDescent="0.3">
      <c r="A4927" s="3">
        <f t="shared" si="504"/>
        <v>45774</v>
      </c>
      <c r="B4927" s="11" t="s">
        <v>7269</v>
      </c>
      <c r="C4927" s="50" t="s">
        <v>8187</v>
      </c>
      <c r="E4927" s="90" t="s">
        <v>7772</v>
      </c>
      <c r="I4927" s="88">
        <f t="shared" si="508"/>
        <v>21512.36</v>
      </c>
      <c r="K4927" s="62"/>
      <c r="L4927" s="2">
        <f t="shared" si="509"/>
        <v>0</v>
      </c>
      <c r="M4927">
        <f t="shared" si="510"/>
        <v>5</v>
      </c>
      <c r="O4927" s="62"/>
      <c r="P4927" s="62"/>
    </row>
    <row r="4928" spans="1:16" x14ac:dyDescent="0.3">
      <c r="A4928" s="3">
        <f t="shared" si="504"/>
        <v>45774</v>
      </c>
      <c r="B4928" s="11" t="s">
        <v>6355</v>
      </c>
      <c r="C4928" s="50" t="s">
        <v>8187</v>
      </c>
      <c r="I4928" s="88">
        <f t="shared" si="508"/>
        <v>21512.36</v>
      </c>
      <c r="K4928" s="62"/>
      <c r="L4928" s="2">
        <f t="shared" si="509"/>
        <v>0</v>
      </c>
      <c r="M4928">
        <f t="shared" si="510"/>
        <v>0</v>
      </c>
      <c r="O4928" s="62"/>
      <c r="P4928" s="62"/>
    </row>
    <row r="4929" spans="1:16" x14ac:dyDescent="0.3">
      <c r="A4929" s="3">
        <f t="shared" si="504"/>
        <v>45774</v>
      </c>
      <c r="B4929" s="11" t="s">
        <v>2143</v>
      </c>
      <c r="C4929" s="50" t="s">
        <v>1279</v>
      </c>
      <c r="H4929" s="2">
        <v>10000</v>
      </c>
      <c r="I4929" s="88">
        <f t="shared" si="508"/>
        <v>11512.36</v>
      </c>
      <c r="K4929" s="62"/>
      <c r="L4929" s="2">
        <f t="shared" si="509"/>
        <v>20</v>
      </c>
      <c r="M4929">
        <f t="shared" si="510"/>
        <v>0</v>
      </c>
      <c r="O4929" s="62"/>
      <c r="P4929" s="62"/>
    </row>
    <row r="4930" spans="1:16" x14ac:dyDescent="0.3">
      <c r="A4930" s="3">
        <v>45775</v>
      </c>
      <c r="B4930" s="11" t="s">
        <v>6260</v>
      </c>
      <c r="C4930" s="50" t="s">
        <v>7117</v>
      </c>
      <c r="H4930" s="2">
        <v>5500</v>
      </c>
      <c r="I4930" s="88">
        <f t="shared" si="508"/>
        <v>6012.3600000000006</v>
      </c>
      <c r="K4930" s="62"/>
      <c r="L4930" s="2">
        <f t="shared" si="509"/>
        <v>20</v>
      </c>
      <c r="M4930">
        <f t="shared" si="510"/>
        <v>0</v>
      </c>
      <c r="O4930" s="62"/>
      <c r="P4930" s="62"/>
    </row>
    <row r="4931" spans="1:16" x14ac:dyDescent="0.3">
      <c r="A4931" s="3">
        <f t="shared" si="504"/>
        <v>45775</v>
      </c>
      <c r="B4931" s="11" t="s">
        <v>1160</v>
      </c>
      <c r="C4931" s="50" t="s">
        <v>7155</v>
      </c>
      <c r="D4931" s="50">
        <v>8235427912</v>
      </c>
      <c r="G4931" s="2">
        <v>7600</v>
      </c>
      <c r="I4931" s="88">
        <f t="shared" si="508"/>
        <v>13612.36</v>
      </c>
      <c r="K4931" s="62"/>
      <c r="L4931" s="2">
        <f t="shared" si="509"/>
        <v>20</v>
      </c>
      <c r="M4931">
        <f t="shared" si="510"/>
        <v>0</v>
      </c>
      <c r="O4931" s="62"/>
      <c r="P4931" s="62"/>
    </row>
    <row r="4932" spans="1:16" x14ac:dyDescent="0.3">
      <c r="A4932" s="3">
        <f t="shared" si="504"/>
        <v>45775</v>
      </c>
      <c r="B4932" s="11" t="s">
        <v>5935</v>
      </c>
      <c r="C4932" s="50" t="s">
        <v>115</v>
      </c>
      <c r="G4932" s="2">
        <v>10000</v>
      </c>
      <c r="I4932" s="88">
        <f t="shared" ref="I4932:I4946" si="511">I4931+G4932-H4932</f>
        <v>23612.36</v>
      </c>
      <c r="K4932" s="62"/>
      <c r="L4932" s="2">
        <f t="shared" ref="L4932:L4946" si="512">IF((G4932+H4932)&lt;=5000,(H4932+G4932)*0.004,20)+IF(E4932="Y",25,0)</f>
        <v>20</v>
      </c>
      <c r="M4932">
        <f t="shared" ref="M4932:M4946" si="513">IF(E4932="p",5,0)</f>
        <v>0</v>
      </c>
      <c r="O4932" s="62"/>
      <c r="P4932" s="62"/>
    </row>
    <row r="4933" spans="1:16" x14ac:dyDescent="0.3">
      <c r="A4933" s="3">
        <f t="shared" si="504"/>
        <v>45775</v>
      </c>
      <c r="B4933" s="11" t="s">
        <v>5935</v>
      </c>
      <c r="C4933" s="50" t="s">
        <v>115</v>
      </c>
      <c r="E4933" s="90" t="s">
        <v>2088</v>
      </c>
      <c r="I4933" s="88">
        <f t="shared" si="511"/>
        <v>23612.36</v>
      </c>
      <c r="K4933" s="62"/>
      <c r="L4933" s="2">
        <f t="shared" si="512"/>
        <v>0</v>
      </c>
      <c r="M4933">
        <f t="shared" si="513"/>
        <v>5</v>
      </c>
      <c r="O4933" s="62"/>
      <c r="P4933" s="62"/>
    </row>
    <row r="4934" spans="1:16" x14ac:dyDescent="0.3">
      <c r="A4934" s="3">
        <f t="shared" si="504"/>
        <v>45775</v>
      </c>
      <c r="B4934" s="11" t="s">
        <v>8188</v>
      </c>
      <c r="C4934" s="50" t="s">
        <v>4085</v>
      </c>
      <c r="G4934" s="2">
        <v>10000</v>
      </c>
      <c r="I4934" s="88">
        <f t="shared" si="511"/>
        <v>33612.36</v>
      </c>
      <c r="K4934" s="62"/>
      <c r="L4934" s="2">
        <f t="shared" si="512"/>
        <v>20</v>
      </c>
      <c r="M4934">
        <f t="shared" si="513"/>
        <v>0</v>
      </c>
      <c r="O4934" s="62"/>
      <c r="P4934" s="62"/>
    </row>
    <row r="4935" spans="1:16" x14ac:dyDescent="0.3">
      <c r="A4935" s="3">
        <f t="shared" si="504"/>
        <v>45775</v>
      </c>
      <c r="C4935" s="50" t="s">
        <v>2857</v>
      </c>
      <c r="E4935" s="90" t="s">
        <v>4721</v>
      </c>
      <c r="H4935" s="2">
        <v>33000</v>
      </c>
      <c r="I4935" s="88">
        <f t="shared" si="511"/>
        <v>612.36000000000058</v>
      </c>
      <c r="K4935" s="62"/>
      <c r="L4935" s="2">
        <f t="shared" si="512"/>
        <v>20</v>
      </c>
      <c r="M4935">
        <f t="shared" si="513"/>
        <v>0</v>
      </c>
      <c r="O4935" s="62"/>
      <c r="P4935" s="62"/>
    </row>
    <row r="4936" spans="1:16" x14ac:dyDescent="0.3">
      <c r="A4936" s="3">
        <f t="shared" si="504"/>
        <v>45775</v>
      </c>
      <c r="B4936" s="11" t="s">
        <v>1250</v>
      </c>
      <c r="C4936" s="50" t="s">
        <v>8189</v>
      </c>
      <c r="G4936" s="2">
        <v>5000</v>
      </c>
      <c r="I4936" s="88">
        <f t="shared" si="511"/>
        <v>5612.3600000000006</v>
      </c>
      <c r="K4936" s="62"/>
      <c r="L4936" s="2">
        <f t="shared" si="512"/>
        <v>20</v>
      </c>
      <c r="M4936">
        <f t="shared" si="513"/>
        <v>0</v>
      </c>
      <c r="O4936" s="62"/>
      <c r="P4936" s="62"/>
    </row>
    <row r="4937" spans="1:16" x14ac:dyDescent="0.3">
      <c r="A4937" s="3">
        <f t="shared" si="504"/>
        <v>45775</v>
      </c>
      <c r="B4937" s="11" t="s">
        <v>4311</v>
      </c>
      <c r="C4937" s="50" t="s">
        <v>8135</v>
      </c>
      <c r="G4937" s="2">
        <v>2000</v>
      </c>
      <c r="I4937" s="88">
        <f t="shared" si="511"/>
        <v>7612.3600000000006</v>
      </c>
      <c r="K4937" s="62"/>
      <c r="L4937" s="2">
        <f t="shared" si="512"/>
        <v>8</v>
      </c>
      <c r="M4937">
        <f t="shared" si="513"/>
        <v>0</v>
      </c>
      <c r="O4937" s="62"/>
      <c r="P4937" s="62"/>
    </row>
    <row r="4938" spans="1:16" x14ac:dyDescent="0.3">
      <c r="A4938" s="3">
        <f t="shared" si="504"/>
        <v>45775</v>
      </c>
      <c r="B4938" s="11" t="s">
        <v>5312</v>
      </c>
      <c r="C4938" s="50" t="s">
        <v>8068</v>
      </c>
      <c r="E4938" s="90" t="s">
        <v>2088</v>
      </c>
      <c r="I4938" s="88">
        <f t="shared" si="511"/>
        <v>7612.3600000000006</v>
      </c>
      <c r="K4938" s="62"/>
      <c r="L4938" s="2">
        <f t="shared" si="512"/>
        <v>0</v>
      </c>
      <c r="M4938">
        <f t="shared" si="513"/>
        <v>5</v>
      </c>
      <c r="O4938" s="62"/>
      <c r="P4938" s="62"/>
    </row>
    <row r="4939" spans="1:16" x14ac:dyDescent="0.3">
      <c r="A4939" s="3">
        <f t="shared" si="504"/>
        <v>45775</v>
      </c>
      <c r="B4939" s="11" t="s">
        <v>5312</v>
      </c>
      <c r="C4939" s="50" t="s">
        <v>8068</v>
      </c>
      <c r="G4939" s="2">
        <v>1000</v>
      </c>
      <c r="I4939" s="88">
        <f t="shared" si="511"/>
        <v>8612.36</v>
      </c>
      <c r="K4939" s="62"/>
      <c r="L4939" s="2">
        <f t="shared" si="512"/>
        <v>4</v>
      </c>
      <c r="M4939">
        <f t="shared" si="513"/>
        <v>0</v>
      </c>
      <c r="O4939" s="62"/>
      <c r="P4939" s="62"/>
    </row>
    <row r="4940" spans="1:16" x14ac:dyDescent="0.3">
      <c r="A4940" s="3">
        <f t="shared" si="504"/>
        <v>45775</v>
      </c>
      <c r="B4940" s="11" t="s">
        <v>5312</v>
      </c>
      <c r="C4940" s="50" t="s">
        <v>8068</v>
      </c>
      <c r="E4940" s="90" t="s">
        <v>2088</v>
      </c>
      <c r="I4940" s="88">
        <f t="shared" si="511"/>
        <v>8612.36</v>
      </c>
      <c r="K4940" s="62"/>
      <c r="L4940" s="2">
        <f t="shared" si="512"/>
        <v>0</v>
      </c>
      <c r="M4940">
        <f t="shared" si="513"/>
        <v>5</v>
      </c>
      <c r="O4940" s="62"/>
      <c r="P4940" s="62"/>
    </row>
    <row r="4941" spans="1:16" x14ac:dyDescent="0.3">
      <c r="A4941" s="3">
        <f t="shared" si="504"/>
        <v>45775</v>
      </c>
      <c r="B4941" s="11" t="s">
        <v>8004</v>
      </c>
      <c r="C4941" s="50" t="s">
        <v>8190</v>
      </c>
      <c r="G4941" s="2">
        <v>1000</v>
      </c>
      <c r="I4941" s="88">
        <f t="shared" si="511"/>
        <v>9612.36</v>
      </c>
      <c r="K4941" s="62"/>
      <c r="L4941" s="2">
        <f t="shared" si="512"/>
        <v>4</v>
      </c>
      <c r="M4941">
        <f t="shared" si="513"/>
        <v>0</v>
      </c>
      <c r="O4941" s="62"/>
      <c r="P4941" s="62"/>
    </row>
    <row r="4942" spans="1:16" x14ac:dyDescent="0.3">
      <c r="A4942" s="3">
        <f t="shared" si="504"/>
        <v>45775</v>
      </c>
      <c r="B4942" s="11" t="s">
        <v>8004</v>
      </c>
      <c r="C4942" s="50" t="s">
        <v>8190</v>
      </c>
      <c r="E4942" s="90" t="s">
        <v>2088</v>
      </c>
      <c r="I4942" s="88">
        <f t="shared" si="511"/>
        <v>9612.36</v>
      </c>
      <c r="K4942" s="62"/>
      <c r="L4942" s="2">
        <f t="shared" si="512"/>
        <v>0</v>
      </c>
      <c r="M4942">
        <f t="shared" si="513"/>
        <v>5</v>
      </c>
      <c r="O4942" s="62"/>
      <c r="P4942" s="62"/>
    </row>
    <row r="4943" spans="1:16" x14ac:dyDescent="0.3">
      <c r="A4943" s="3">
        <f t="shared" si="504"/>
        <v>45775</v>
      </c>
      <c r="B4943" s="11" t="s">
        <v>8192</v>
      </c>
      <c r="C4943" s="65" t="s">
        <v>8194</v>
      </c>
      <c r="E4943" s="90" t="s">
        <v>16</v>
      </c>
      <c r="H4943" s="2">
        <v>500</v>
      </c>
      <c r="I4943" s="88">
        <f t="shared" si="511"/>
        <v>9112.36</v>
      </c>
      <c r="K4943" s="62"/>
      <c r="L4943" s="2">
        <f t="shared" si="512"/>
        <v>27</v>
      </c>
      <c r="M4943">
        <f t="shared" si="513"/>
        <v>0</v>
      </c>
      <c r="O4943" s="62"/>
      <c r="P4943" s="62"/>
    </row>
    <row r="4944" spans="1:16" x14ac:dyDescent="0.3">
      <c r="A4944" s="3">
        <f t="shared" si="504"/>
        <v>45775</v>
      </c>
      <c r="B4944" s="11" t="s">
        <v>6105</v>
      </c>
      <c r="C4944" s="50" t="s">
        <v>7274</v>
      </c>
      <c r="H4944" s="2">
        <v>6500</v>
      </c>
      <c r="I4944" s="88">
        <f t="shared" si="511"/>
        <v>2612.3600000000006</v>
      </c>
      <c r="K4944" s="62"/>
      <c r="L4944" s="2">
        <f t="shared" si="512"/>
        <v>20</v>
      </c>
      <c r="M4944">
        <f t="shared" si="513"/>
        <v>0</v>
      </c>
      <c r="O4944" s="62"/>
      <c r="P4944" s="62"/>
    </row>
    <row r="4945" spans="1:16" x14ac:dyDescent="0.3">
      <c r="A4945" s="3">
        <v>45776</v>
      </c>
      <c r="B4945" s="11" t="s">
        <v>2241</v>
      </c>
      <c r="C4945" s="50" t="s">
        <v>8195</v>
      </c>
      <c r="G4945" s="2">
        <v>3000</v>
      </c>
      <c r="I4945" s="88">
        <f t="shared" si="511"/>
        <v>5612.3600000000006</v>
      </c>
      <c r="K4945" s="62"/>
      <c r="L4945" s="2">
        <f t="shared" si="512"/>
        <v>12</v>
      </c>
      <c r="M4945">
        <f t="shared" si="513"/>
        <v>0</v>
      </c>
      <c r="O4945" s="62"/>
      <c r="P4945" s="62"/>
    </row>
    <row r="4946" spans="1:16" x14ac:dyDescent="0.3">
      <c r="A4946" s="3">
        <f t="shared" si="504"/>
        <v>45776</v>
      </c>
      <c r="B4946" s="11" t="s">
        <v>6260</v>
      </c>
      <c r="C4946" s="50" t="s">
        <v>7117</v>
      </c>
      <c r="H4946" s="2">
        <v>5500</v>
      </c>
      <c r="I4946" s="88">
        <f t="shared" si="511"/>
        <v>112.36000000000058</v>
      </c>
      <c r="K4946" s="62"/>
      <c r="L4946" s="2">
        <f t="shared" si="512"/>
        <v>20</v>
      </c>
      <c r="M4946">
        <f t="shared" si="513"/>
        <v>0</v>
      </c>
      <c r="O4946" s="62"/>
      <c r="P4946" s="62"/>
    </row>
    <row r="4947" spans="1:16" x14ac:dyDescent="0.3">
      <c r="A4947" s="3">
        <f t="shared" si="504"/>
        <v>45776</v>
      </c>
      <c r="B4947" s="11" t="s">
        <v>1160</v>
      </c>
      <c r="C4947" s="50" t="s">
        <v>8196</v>
      </c>
      <c r="G4947" s="2">
        <v>5000</v>
      </c>
      <c r="I4947" s="88">
        <f t="shared" ref="I4947:I4952" si="514">I4946+G4947-H4947</f>
        <v>5112.3600000000006</v>
      </c>
      <c r="K4947" s="62"/>
      <c r="L4947" s="2">
        <f t="shared" ref="L4947:L4952" si="515">IF((G4947+H4947)&lt;=5000,(H4947+G4947)*0.004,20)+IF(E4947="Y",25,0)</f>
        <v>20</v>
      </c>
      <c r="M4947">
        <f t="shared" ref="M4947:M4952" si="516">IF(E4947="p",5,0)</f>
        <v>0</v>
      </c>
      <c r="O4947" s="62"/>
      <c r="P4947" s="62"/>
    </row>
    <row r="4948" spans="1:16" x14ac:dyDescent="0.3">
      <c r="A4948" s="3">
        <f t="shared" si="504"/>
        <v>45776</v>
      </c>
      <c r="B4948" s="11" t="s">
        <v>7264</v>
      </c>
      <c r="C4948" s="50" t="s">
        <v>8064</v>
      </c>
      <c r="E4948" s="90" t="s">
        <v>2088</v>
      </c>
      <c r="I4948" s="88">
        <f t="shared" si="514"/>
        <v>5112.3600000000006</v>
      </c>
      <c r="K4948" s="62"/>
      <c r="L4948" s="2">
        <f t="shared" si="515"/>
        <v>0</v>
      </c>
      <c r="M4948">
        <f t="shared" si="516"/>
        <v>5</v>
      </c>
      <c r="O4948" s="62"/>
      <c r="P4948" s="62"/>
    </row>
    <row r="4949" spans="1:16" x14ac:dyDescent="0.3">
      <c r="A4949" s="3">
        <f t="shared" si="504"/>
        <v>45776</v>
      </c>
      <c r="B4949" s="11" t="s">
        <v>7264</v>
      </c>
      <c r="C4949" s="50" t="s">
        <v>8064</v>
      </c>
      <c r="G4949" s="2">
        <v>7500</v>
      </c>
      <c r="I4949" s="88">
        <f t="shared" si="514"/>
        <v>12612.36</v>
      </c>
      <c r="K4949" s="62"/>
      <c r="L4949" s="2">
        <f t="shared" si="515"/>
        <v>20</v>
      </c>
      <c r="M4949">
        <f t="shared" si="516"/>
        <v>0</v>
      </c>
      <c r="O4949" s="62"/>
      <c r="P4949" s="62"/>
    </row>
    <row r="4950" spans="1:16" x14ac:dyDescent="0.3">
      <c r="A4950" s="3">
        <f t="shared" si="504"/>
        <v>45776</v>
      </c>
      <c r="B4950" s="11" t="s">
        <v>7264</v>
      </c>
      <c r="C4950" s="50" t="s">
        <v>8064</v>
      </c>
      <c r="E4950" s="90" t="s">
        <v>2088</v>
      </c>
      <c r="I4950" s="88">
        <f t="shared" si="514"/>
        <v>12612.36</v>
      </c>
      <c r="K4950" s="62"/>
      <c r="L4950" s="2">
        <f t="shared" si="515"/>
        <v>0</v>
      </c>
      <c r="M4950">
        <f t="shared" si="516"/>
        <v>5</v>
      </c>
      <c r="O4950" s="62"/>
      <c r="P4950" s="62"/>
    </row>
    <row r="4951" spans="1:16" x14ac:dyDescent="0.3">
      <c r="A4951" s="3">
        <f>A4950</f>
        <v>45776</v>
      </c>
      <c r="B4951" s="11" t="s">
        <v>4975</v>
      </c>
      <c r="C4951" s="50" t="s">
        <v>225</v>
      </c>
      <c r="G4951" s="2">
        <v>3000</v>
      </c>
      <c r="I4951" s="88">
        <f>I4950+G4951-H4951</f>
        <v>15612.36</v>
      </c>
      <c r="K4951" s="62"/>
      <c r="L4951" s="2">
        <f t="shared" si="515"/>
        <v>12</v>
      </c>
      <c r="M4951">
        <f t="shared" si="516"/>
        <v>0</v>
      </c>
      <c r="O4951" s="62"/>
      <c r="P4951" s="62"/>
    </row>
    <row r="4952" spans="1:16" x14ac:dyDescent="0.3">
      <c r="A4952" s="3">
        <f t="shared" si="504"/>
        <v>45776</v>
      </c>
      <c r="B4952" s="11" t="s">
        <v>4975</v>
      </c>
      <c r="C4952" s="50" t="s">
        <v>225</v>
      </c>
      <c r="E4952" s="90" t="s">
        <v>2088</v>
      </c>
      <c r="I4952" s="88">
        <f t="shared" si="514"/>
        <v>15612.36</v>
      </c>
      <c r="K4952" s="62"/>
      <c r="L4952" s="2">
        <f t="shared" si="515"/>
        <v>0</v>
      </c>
      <c r="M4952">
        <f t="shared" si="516"/>
        <v>5</v>
      </c>
      <c r="O4952" s="62"/>
      <c r="P4952" s="62"/>
    </row>
    <row r="4953" spans="1:16" x14ac:dyDescent="0.3">
      <c r="A4953" s="3">
        <f t="shared" si="504"/>
        <v>45776</v>
      </c>
      <c r="B4953" s="11" t="s">
        <v>1250</v>
      </c>
      <c r="C4953" s="50" t="s">
        <v>2865</v>
      </c>
      <c r="G4953" s="2">
        <v>2000</v>
      </c>
      <c r="I4953" s="88">
        <f t="shared" ref="I4953:I4973" si="517">I4952+G4953-H4953</f>
        <v>17612.36</v>
      </c>
      <c r="K4953" s="62"/>
      <c r="L4953" s="2">
        <f t="shared" ref="L4953:L4973" si="518">IF((G4953+H4953)&lt;=5000,(H4953+G4953)*0.004,20)+IF(E4953="Y",25,0)</f>
        <v>8</v>
      </c>
      <c r="M4953">
        <f t="shared" ref="M4953:M4973" si="519">IF(E4953="p",5,0)</f>
        <v>0</v>
      </c>
      <c r="O4953" s="62"/>
      <c r="P4953" s="62"/>
    </row>
    <row r="4954" spans="1:16" x14ac:dyDescent="0.3">
      <c r="A4954" s="3">
        <f>A4952</f>
        <v>45776</v>
      </c>
      <c r="B4954" s="11" t="s">
        <v>2581</v>
      </c>
      <c r="C4954" s="50" t="s">
        <v>8177</v>
      </c>
      <c r="G4954" s="2">
        <v>10000</v>
      </c>
      <c r="I4954" s="88">
        <f t="shared" si="517"/>
        <v>27612.36</v>
      </c>
      <c r="K4954" s="62"/>
      <c r="L4954" s="2">
        <f t="shared" si="518"/>
        <v>20</v>
      </c>
      <c r="M4954">
        <f t="shared" si="519"/>
        <v>0</v>
      </c>
      <c r="O4954" s="62"/>
      <c r="P4954" s="62"/>
    </row>
    <row r="4955" spans="1:16" x14ac:dyDescent="0.3">
      <c r="A4955" s="3">
        <f t="shared" ref="A4955:A4983" si="520">A4954</f>
        <v>45776</v>
      </c>
      <c r="B4955" s="11" t="s">
        <v>6844</v>
      </c>
      <c r="C4955" s="50" t="s">
        <v>8198</v>
      </c>
      <c r="H4955" s="2">
        <v>4000</v>
      </c>
      <c r="I4955" s="88">
        <f t="shared" si="517"/>
        <v>23612.36</v>
      </c>
      <c r="K4955" s="62"/>
      <c r="L4955" s="2">
        <f t="shared" si="518"/>
        <v>16</v>
      </c>
      <c r="M4955">
        <f t="shared" si="519"/>
        <v>0</v>
      </c>
      <c r="O4955" s="62"/>
      <c r="P4955" s="62"/>
    </row>
    <row r="4956" spans="1:16" x14ac:dyDescent="0.3">
      <c r="A4956" s="3">
        <f t="shared" si="520"/>
        <v>45776</v>
      </c>
      <c r="B4956" s="11" t="s">
        <v>7682</v>
      </c>
      <c r="C4956" s="50" t="s">
        <v>2345</v>
      </c>
      <c r="E4956" s="90" t="s">
        <v>2088</v>
      </c>
      <c r="I4956" s="88">
        <f t="shared" si="517"/>
        <v>23612.36</v>
      </c>
      <c r="K4956" s="62"/>
      <c r="L4956" s="2">
        <f t="shared" si="518"/>
        <v>0</v>
      </c>
      <c r="M4956">
        <f t="shared" si="519"/>
        <v>5</v>
      </c>
      <c r="O4956" s="62"/>
      <c r="P4956" s="62"/>
    </row>
    <row r="4957" spans="1:16" x14ac:dyDescent="0.3">
      <c r="A4957" s="3">
        <f t="shared" si="520"/>
        <v>45776</v>
      </c>
      <c r="B4957" s="11" t="s">
        <v>7682</v>
      </c>
      <c r="C4957" s="50" t="s">
        <v>2345</v>
      </c>
      <c r="G4957" s="2">
        <v>1000</v>
      </c>
      <c r="I4957" s="88">
        <f t="shared" si="517"/>
        <v>24612.36</v>
      </c>
      <c r="K4957" s="62"/>
      <c r="L4957" s="2">
        <f t="shared" si="518"/>
        <v>4</v>
      </c>
      <c r="M4957">
        <f t="shared" si="519"/>
        <v>0</v>
      </c>
      <c r="O4957" s="62"/>
      <c r="P4957" s="62"/>
    </row>
    <row r="4958" spans="1:16" x14ac:dyDescent="0.3">
      <c r="A4958" s="3">
        <f t="shared" si="520"/>
        <v>45776</v>
      </c>
      <c r="C4958" s="50" t="s">
        <v>2857</v>
      </c>
      <c r="E4958" s="90" t="s">
        <v>4721</v>
      </c>
      <c r="H4958" s="2">
        <v>20000</v>
      </c>
      <c r="I4958" s="88">
        <f t="shared" si="517"/>
        <v>4612.3600000000006</v>
      </c>
      <c r="K4958" s="62"/>
      <c r="L4958" s="2">
        <f t="shared" si="518"/>
        <v>20</v>
      </c>
      <c r="M4958">
        <f t="shared" si="519"/>
        <v>0</v>
      </c>
      <c r="O4958" s="62"/>
      <c r="P4958" s="62"/>
    </row>
    <row r="4959" spans="1:16" x14ac:dyDescent="0.3">
      <c r="A4959" s="3">
        <f t="shared" si="520"/>
        <v>45776</v>
      </c>
      <c r="B4959" s="11" t="s">
        <v>4772</v>
      </c>
      <c r="C4959" s="50" t="s">
        <v>8199</v>
      </c>
      <c r="G4959" s="2">
        <v>2000</v>
      </c>
      <c r="I4959" s="88">
        <f t="shared" si="517"/>
        <v>6612.3600000000006</v>
      </c>
      <c r="K4959" s="62"/>
      <c r="L4959" s="2">
        <f t="shared" si="518"/>
        <v>8</v>
      </c>
      <c r="M4959">
        <f t="shared" si="519"/>
        <v>0</v>
      </c>
      <c r="O4959" s="62"/>
      <c r="P4959" s="62"/>
    </row>
    <row r="4960" spans="1:16" x14ac:dyDescent="0.3">
      <c r="A4960" s="3">
        <f t="shared" si="520"/>
        <v>45776</v>
      </c>
      <c r="B4960" s="11" t="s">
        <v>2351</v>
      </c>
      <c r="C4960" s="50" t="s">
        <v>8200</v>
      </c>
      <c r="G4960" s="2">
        <v>10000</v>
      </c>
      <c r="I4960" s="88">
        <f t="shared" si="517"/>
        <v>16612.36</v>
      </c>
      <c r="K4960" s="62"/>
      <c r="L4960" s="2">
        <f t="shared" si="518"/>
        <v>20</v>
      </c>
      <c r="M4960">
        <f t="shared" si="519"/>
        <v>0</v>
      </c>
      <c r="O4960" s="62"/>
      <c r="P4960" s="62"/>
    </row>
    <row r="4961" spans="1:16" x14ac:dyDescent="0.3">
      <c r="A4961" s="3">
        <f t="shared" si="520"/>
        <v>45776</v>
      </c>
      <c r="B4961" s="11" t="s">
        <v>2448</v>
      </c>
      <c r="C4961" s="50" t="s">
        <v>2274</v>
      </c>
      <c r="H4961" s="2">
        <v>10000</v>
      </c>
      <c r="I4961" s="88">
        <f t="shared" si="517"/>
        <v>6612.3600000000006</v>
      </c>
      <c r="K4961" s="62"/>
      <c r="L4961" s="2">
        <f t="shared" si="518"/>
        <v>20</v>
      </c>
      <c r="M4961">
        <f t="shared" si="519"/>
        <v>0</v>
      </c>
      <c r="O4961" s="62"/>
      <c r="P4961" s="62"/>
    </row>
    <row r="4962" spans="1:16" x14ac:dyDescent="0.3">
      <c r="A4962" s="3">
        <f t="shared" si="520"/>
        <v>45776</v>
      </c>
      <c r="B4962" s="11" t="s">
        <v>7834</v>
      </c>
      <c r="C4962" s="50" t="s">
        <v>8201</v>
      </c>
      <c r="E4962" s="90" t="s">
        <v>2088</v>
      </c>
      <c r="I4962" s="88">
        <f t="shared" si="517"/>
        <v>6612.3600000000006</v>
      </c>
      <c r="K4962" s="62"/>
      <c r="L4962" s="2">
        <f t="shared" si="518"/>
        <v>0</v>
      </c>
      <c r="M4962">
        <f t="shared" si="519"/>
        <v>5</v>
      </c>
      <c r="O4962" s="62"/>
      <c r="P4962" s="62"/>
    </row>
    <row r="4963" spans="1:16" x14ac:dyDescent="0.3">
      <c r="A4963" s="3">
        <f t="shared" si="520"/>
        <v>45776</v>
      </c>
      <c r="B4963" s="11" t="s">
        <v>7834</v>
      </c>
      <c r="C4963" s="50" t="s">
        <v>8201</v>
      </c>
      <c r="G4963" s="2">
        <v>300</v>
      </c>
      <c r="I4963" s="88">
        <f t="shared" si="517"/>
        <v>6912.3600000000006</v>
      </c>
      <c r="K4963" s="62"/>
      <c r="L4963" s="2">
        <f t="shared" si="518"/>
        <v>1.2</v>
      </c>
      <c r="M4963">
        <f t="shared" si="519"/>
        <v>0</v>
      </c>
      <c r="O4963" s="62"/>
      <c r="P4963" s="62"/>
    </row>
    <row r="4964" spans="1:16" x14ac:dyDescent="0.3">
      <c r="A4964" s="3">
        <f t="shared" si="520"/>
        <v>45776</v>
      </c>
      <c r="B4964" s="11" t="s">
        <v>7834</v>
      </c>
      <c r="C4964" s="50" t="s">
        <v>8201</v>
      </c>
      <c r="E4964" s="90" t="s">
        <v>2088</v>
      </c>
      <c r="I4964" s="88">
        <f t="shared" si="517"/>
        <v>6912.3600000000006</v>
      </c>
      <c r="K4964" s="62"/>
      <c r="L4964" s="2">
        <f t="shared" si="518"/>
        <v>0</v>
      </c>
      <c r="M4964">
        <f t="shared" si="519"/>
        <v>5</v>
      </c>
      <c r="O4964" s="62"/>
      <c r="P4964" s="62"/>
    </row>
    <row r="4965" spans="1:16" x14ac:dyDescent="0.3">
      <c r="A4965" s="3">
        <f t="shared" si="520"/>
        <v>45776</v>
      </c>
      <c r="B4965" s="11" t="s">
        <v>7509</v>
      </c>
      <c r="C4965" s="50" t="s">
        <v>8204</v>
      </c>
      <c r="H4965" s="2">
        <v>1000</v>
      </c>
      <c r="I4965" s="88">
        <f t="shared" si="517"/>
        <v>5912.3600000000006</v>
      </c>
      <c r="K4965" s="62"/>
      <c r="L4965" s="2">
        <f t="shared" si="518"/>
        <v>4</v>
      </c>
      <c r="M4965">
        <f t="shared" si="519"/>
        <v>0</v>
      </c>
      <c r="O4965" s="62"/>
      <c r="P4965" s="62"/>
    </row>
    <row r="4966" spans="1:16" x14ac:dyDescent="0.3">
      <c r="A4966" s="3">
        <f t="shared" si="520"/>
        <v>45776</v>
      </c>
      <c r="B4966" s="11" t="s">
        <v>8203</v>
      </c>
      <c r="C4966" s="50" t="s">
        <v>8205</v>
      </c>
      <c r="E4966" s="90" t="s">
        <v>16</v>
      </c>
      <c r="H4966" s="2">
        <v>500</v>
      </c>
      <c r="I4966" s="88">
        <f t="shared" si="517"/>
        <v>5412.3600000000006</v>
      </c>
      <c r="K4966" s="62"/>
      <c r="L4966" s="2">
        <f t="shared" si="518"/>
        <v>27</v>
      </c>
      <c r="M4966">
        <f t="shared" si="519"/>
        <v>0</v>
      </c>
      <c r="O4966" s="62"/>
      <c r="P4966" s="62"/>
    </row>
    <row r="4967" spans="1:16" x14ac:dyDescent="0.3">
      <c r="A4967" s="3">
        <f t="shared" si="520"/>
        <v>45776</v>
      </c>
      <c r="B4967" s="11" t="s">
        <v>8206</v>
      </c>
      <c r="C4967" s="50" t="s">
        <v>8207</v>
      </c>
      <c r="G4967" s="2">
        <v>900</v>
      </c>
      <c r="I4967" s="88">
        <f t="shared" si="517"/>
        <v>6312.3600000000006</v>
      </c>
      <c r="K4967" s="62"/>
      <c r="L4967" s="2">
        <f t="shared" si="518"/>
        <v>3.6</v>
      </c>
      <c r="M4967">
        <f t="shared" si="519"/>
        <v>0</v>
      </c>
      <c r="O4967" s="62"/>
      <c r="P4967" s="62"/>
    </row>
    <row r="4968" spans="1:16" x14ac:dyDescent="0.3">
      <c r="A4968" s="3">
        <f t="shared" si="520"/>
        <v>45776</v>
      </c>
      <c r="B4968" s="11" t="s">
        <v>8206</v>
      </c>
      <c r="C4968" s="50" t="s">
        <v>8207</v>
      </c>
      <c r="E4968" s="90" t="s">
        <v>2088</v>
      </c>
      <c r="I4968" s="88">
        <f t="shared" si="517"/>
        <v>6312.3600000000006</v>
      </c>
      <c r="K4968" s="62"/>
      <c r="L4968" s="2">
        <f t="shared" si="518"/>
        <v>0</v>
      </c>
      <c r="M4968">
        <f t="shared" si="519"/>
        <v>5</v>
      </c>
      <c r="O4968" s="62"/>
      <c r="P4968" s="62"/>
    </row>
    <row r="4969" spans="1:16" x14ac:dyDescent="0.3">
      <c r="A4969" s="3">
        <f t="shared" si="520"/>
        <v>45776</v>
      </c>
      <c r="B4969" s="11" t="s">
        <v>3415</v>
      </c>
      <c r="C4969" s="50" t="s">
        <v>6310</v>
      </c>
      <c r="G4969" s="2">
        <v>2000</v>
      </c>
      <c r="I4969" s="88">
        <f t="shared" si="517"/>
        <v>8312.36</v>
      </c>
      <c r="K4969" s="62"/>
      <c r="L4969" s="2">
        <f t="shared" si="518"/>
        <v>8</v>
      </c>
      <c r="M4969">
        <f t="shared" si="519"/>
        <v>0</v>
      </c>
      <c r="O4969" s="62"/>
      <c r="P4969" s="62"/>
    </row>
    <row r="4970" spans="1:16" x14ac:dyDescent="0.3">
      <c r="A4970" s="3">
        <v>45777</v>
      </c>
      <c r="B4970" s="11" t="s">
        <v>3541</v>
      </c>
      <c r="C4970" s="50" t="s">
        <v>3542</v>
      </c>
      <c r="E4970" s="90" t="s">
        <v>2088</v>
      </c>
      <c r="I4970" s="88">
        <f t="shared" si="517"/>
        <v>8312.36</v>
      </c>
      <c r="K4970" s="62"/>
      <c r="L4970" s="2">
        <f t="shared" si="518"/>
        <v>0</v>
      </c>
      <c r="M4970">
        <f t="shared" si="519"/>
        <v>5</v>
      </c>
      <c r="O4970" s="62"/>
      <c r="P4970" s="62"/>
    </row>
    <row r="4971" spans="1:16" x14ac:dyDescent="0.3">
      <c r="A4971" s="3">
        <f t="shared" si="520"/>
        <v>45777</v>
      </c>
      <c r="B4971" s="11" t="s">
        <v>3541</v>
      </c>
      <c r="C4971" s="50" t="s">
        <v>3542</v>
      </c>
      <c r="G4971" s="2">
        <v>10000</v>
      </c>
      <c r="I4971" s="88">
        <f t="shared" si="517"/>
        <v>18312.36</v>
      </c>
      <c r="K4971" s="62"/>
      <c r="L4971" s="2">
        <f t="shared" si="518"/>
        <v>20</v>
      </c>
      <c r="M4971">
        <f t="shared" si="519"/>
        <v>0</v>
      </c>
      <c r="O4971" s="62"/>
      <c r="P4971" s="62"/>
    </row>
    <row r="4972" spans="1:16" x14ac:dyDescent="0.3">
      <c r="A4972" s="3">
        <f t="shared" si="520"/>
        <v>45777</v>
      </c>
      <c r="B4972" s="11" t="s">
        <v>4678</v>
      </c>
      <c r="C4972" s="50" t="s">
        <v>8029</v>
      </c>
      <c r="H4972" s="2">
        <v>5000</v>
      </c>
      <c r="I4972" s="88">
        <f t="shared" si="517"/>
        <v>13312.36</v>
      </c>
      <c r="K4972" s="62"/>
      <c r="L4972" s="2">
        <f t="shared" si="518"/>
        <v>20</v>
      </c>
      <c r="M4972">
        <f t="shared" si="519"/>
        <v>0</v>
      </c>
      <c r="O4972" s="62"/>
      <c r="P4972" s="62"/>
    </row>
    <row r="4973" spans="1:16" x14ac:dyDescent="0.3">
      <c r="A4973" s="3">
        <f t="shared" si="520"/>
        <v>45777</v>
      </c>
      <c r="B4973" s="11" t="s">
        <v>7400</v>
      </c>
      <c r="C4973" s="50" t="s">
        <v>8208</v>
      </c>
      <c r="G4973" s="2">
        <v>5000</v>
      </c>
      <c r="I4973" s="88">
        <f t="shared" si="517"/>
        <v>18312.36</v>
      </c>
      <c r="K4973" s="62"/>
      <c r="L4973" s="2">
        <f t="shared" si="518"/>
        <v>20</v>
      </c>
      <c r="M4973">
        <f t="shared" si="519"/>
        <v>0</v>
      </c>
      <c r="O4973" s="62"/>
      <c r="P4973" s="62"/>
    </row>
    <row r="4974" spans="1:16" x14ac:dyDescent="0.3">
      <c r="A4974" s="3">
        <f t="shared" si="520"/>
        <v>45777</v>
      </c>
      <c r="B4974" s="11" t="s">
        <v>7400</v>
      </c>
      <c r="C4974" s="50" t="s">
        <v>8208</v>
      </c>
      <c r="E4974" s="90" t="s">
        <v>2088</v>
      </c>
      <c r="I4974" s="88">
        <f t="shared" ref="I4974:I4983" si="521">I4973+G4974-H4974</f>
        <v>18312.36</v>
      </c>
      <c r="K4974" s="62"/>
      <c r="L4974" s="2">
        <f t="shared" ref="L4974:L4983" si="522">IF((G4974+H4974)&lt;=5000,(H4974+G4974)*0.004,20)+IF(E4974="Y",25,0)</f>
        <v>0</v>
      </c>
      <c r="M4974">
        <f t="shared" ref="M4974:M4983" si="523">IF(E4974="p",5,0)</f>
        <v>5</v>
      </c>
      <c r="O4974" s="62"/>
      <c r="P4974" s="62"/>
    </row>
    <row r="4975" spans="1:16" x14ac:dyDescent="0.3">
      <c r="A4975" s="3">
        <f t="shared" si="520"/>
        <v>45777</v>
      </c>
      <c r="B4975" s="11" t="s">
        <v>2448</v>
      </c>
      <c r="C4975" s="50" t="s">
        <v>4108</v>
      </c>
      <c r="H4975" s="2">
        <v>7000</v>
      </c>
      <c r="I4975" s="88">
        <f t="shared" si="521"/>
        <v>11312.36</v>
      </c>
      <c r="K4975" s="62"/>
      <c r="L4975" s="2">
        <f t="shared" si="522"/>
        <v>20</v>
      </c>
      <c r="M4975">
        <f t="shared" si="523"/>
        <v>0</v>
      </c>
      <c r="O4975" s="62"/>
      <c r="P4975" s="62"/>
    </row>
    <row r="4976" spans="1:16" x14ac:dyDescent="0.3">
      <c r="A4976" s="3">
        <f t="shared" si="520"/>
        <v>45777</v>
      </c>
      <c r="B4976" s="11" t="s">
        <v>6260</v>
      </c>
      <c r="C4976" s="50" t="s">
        <v>7117</v>
      </c>
      <c r="H4976" s="2">
        <v>3000</v>
      </c>
      <c r="I4976" s="88">
        <f t="shared" si="521"/>
        <v>8312.36</v>
      </c>
      <c r="K4976" s="62"/>
      <c r="L4976" s="2">
        <f t="shared" si="522"/>
        <v>12</v>
      </c>
      <c r="M4976">
        <f t="shared" si="523"/>
        <v>0</v>
      </c>
      <c r="O4976" s="62"/>
      <c r="P4976" s="62"/>
    </row>
    <row r="4977" spans="1:16" x14ac:dyDescent="0.3">
      <c r="A4977" s="3">
        <f t="shared" si="520"/>
        <v>45777</v>
      </c>
      <c r="B4977" s="11" t="s">
        <v>5312</v>
      </c>
      <c r="C4977" s="50" t="s">
        <v>8068</v>
      </c>
      <c r="H4977" s="2">
        <v>3000</v>
      </c>
      <c r="I4977" s="88">
        <f t="shared" si="521"/>
        <v>5312.3600000000006</v>
      </c>
      <c r="K4977" s="62"/>
      <c r="L4977" s="2">
        <f t="shared" si="522"/>
        <v>12</v>
      </c>
      <c r="M4977">
        <f t="shared" si="523"/>
        <v>0</v>
      </c>
      <c r="O4977" s="62"/>
      <c r="P4977" s="62"/>
    </row>
    <row r="4978" spans="1:16" x14ac:dyDescent="0.3">
      <c r="A4978" s="3">
        <f t="shared" si="520"/>
        <v>45777</v>
      </c>
      <c r="B4978" s="11" t="s">
        <v>5312</v>
      </c>
      <c r="C4978" s="50" t="s">
        <v>8068</v>
      </c>
      <c r="E4978" s="90" t="s">
        <v>2088</v>
      </c>
      <c r="I4978" s="88">
        <f t="shared" si="521"/>
        <v>5312.3600000000006</v>
      </c>
      <c r="K4978" s="62"/>
      <c r="L4978" s="2">
        <f t="shared" si="522"/>
        <v>0</v>
      </c>
      <c r="M4978">
        <f t="shared" si="523"/>
        <v>5</v>
      </c>
      <c r="O4978" s="62"/>
      <c r="P4978" s="62"/>
    </row>
    <row r="4979" spans="1:16" x14ac:dyDescent="0.3">
      <c r="A4979" s="3">
        <f t="shared" si="520"/>
        <v>45777</v>
      </c>
      <c r="B4979" s="11" t="s">
        <v>2291</v>
      </c>
      <c r="C4979" s="50" t="s">
        <v>2292</v>
      </c>
      <c r="H4979" s="2">
        <v>3300</v>
      </c>
      <c r="I4979" s="88">
        <f t="shared" si="521"/>
        <v>2012.3600000000006</v>
      </c>
      <c r="K4979" s="62"/>
      <c r="L4979" s="2">
        <f t="shared" si="522"/>
        <v>13.200000000000001</v>
      </c>
      <c r="M4979">
        <f t="shared" si="523"/>
        <v>0</v>
      </c>
      <c r="O4979" s="62"/>
      <c r="P4979" s="62"/>
    </row>
    <row r="4980" spans="1:16" x14ac:dyDescent="0.3">
      <c r="A4980" s="3">
        <f t="shared" si="520"/>
        <v>45777</v>
      </c>
      <c r="B4980" s="11" t="s">
        <v>6369</v>
      </c>
      <c r="C4980" s="50" t="s">
        <v>8209</v>
      </c>
      <c r="G4980" s="2">
        <v>400</v>
      </c>
      <c r="I4980" s="88">
        <f t="shared" si="521"/>
        <v>2412.3600000000006</v>
      </c>
      <c r="K4980" s="62"/>
      <c r="L4980" s="2">
        <f t="shared" si="522"/>
        <v>1.6</v>
      </c>
      <c r="M4980">
        <f t="shared" si="523"/>
        <v>0</v>
      </c>
      <c r="O4980" s="62"/>
      <c r="P4980" s="62"/>
    </row>
    <row r="4981" spans="1:16" x14ac:dyDescent="0.3">
      <c r="A4981" s="3">
        <f t="shared" si="520"/>
        <v>45777</v>
      </c>
      <c r="B4981" s="11" t="s">
        <v>6369</v>
      </c>
      <c r="C4981" s="50" t="s">
        <v>8209</v>
      </c>
      <c r="E4981" s="90" t="s">
        <v>2088</v>
      </c>
      <c r="I4981" s="88">
        <f t="shared" si="521"/>
        <v>2412.3600000000006</v>
      </c>
      <c r="K4981" s="62"/>
      <c r="L4981" s="2">
        <f t="shared" si="522"/>
        <v>0</v>
      </c>
      <c r="M4981">
        <f t="shared" si="523"/>
        <v>5</v>
      </c>
      <c r="O4981" s="62"/>
      <c r="P4981" s="62"/>
    </row>
    <row r="4982" spans="1:16" x14ac:dyDescent="0.3">
      <c r="A4982" s="3">
        <f t="shared" si="520"/>
        <v>45777</v>
      </c>
      <c r="B4982" s="11" t="s">
        <v>3543</v>
      </c>
      <c r="C4982" s="50" t="s">
        <v>2442</v>
      </c>
      <c r="G4982" s="2">
        <v>2000</v>
      </c>
      <c r="I4982" s="88">
        <f t="shared" si="521"/>
        <v>4412.3600000000006</v>
      </c>
      <c r="K4982" s="62"/>
      <c r="L4982" s="2">
        <f t="shared" si="522"/>
        <v>8</v>
      </c>
      <c r="M4982">
        <f t="shared" si="523"/>
        <v>0</v>
      </c>
      <c r="O4982" s="62"/>
      <c r="P4982" s="62"/>
    </row>
    <row r="4983" spans="1:16" x14ac:dyDescent="0.3">
      <c r="A4983" s="3">
        <f t="shared" si="520"/>
        <v>45777</v>
      </c>
      <c r="B4983" s="11" t="s">
        <v>3543</v>
      </c>
      <c r="C4983" s="50" t="s">
        <v>2442</v>
      </c>
      <c r="E4983" s="90" t="s">
        <v>2088</v>
      </c>
      <c r="I4983" s="88">
        <f t="shared" si="521"/>
        <v>4412.3600000000006</v>
      </c>
      <c r="K4983" s="62"/>
      <c r="L4983" s="2">
        <f t="shared" si="522"/>
        <v>0</v>
      </c>
      <c r="M4983">
        <f t="shared" si="523"/>
        <v>5</v>
      </c>
      <c r="O4983" s="62"/>
      <c r="P4983" s="62"/>
    </row>
    <row r="4984" spans="1:16" x14ac:dyDescent="0.3">
      <c r="A4984" s="77">
        <f>COUNT(A4611:A4983)</f>
        <v>367</v>
      </c>
      <c r="B4984" s="80" t="s">
        <v>7120</v>
      </c>
      <c r="C4984" s="112">
        <f>SUMIF(E4611:E4983,"S",H4611:H4983)</f>
        <v>145000</v>
      </c>
      <c r="D4984" s="112">
        <f>COUNTIF(E4611:E49389,"p")</f>
        <v>1521</v>
      </c>
      <c r="E4984" s="92">
        <f>COUNTIF(E4611:E4983,"Y")</f>
        <v>19</v>
      </c>
      <c r="F4984" s="80">
        <f>SUM(F4144)</f>
        <v>0</v>
      </c>
      <c r="G4984" s="121">
        <f>SUM(G4612:G4983)</f>
        <v>515650</v>
      </c>
      <c r="H4984" s="121">
        <f>SUM(H4612:H4983)-C4984</f>
        <v>371050</v>
      </c>
      <c r="I4984" s="121">
        <f>SUM(G4984:H4984)</f>
        <v>886700</v>
      </c>
      <c r="J4984" s="122"/>
      <c r="K4984" s="122"/>
      <c r="L4984" s="121">
        <f>SUM(L4611:L4983)</f>
        <v>3306.3999999999996</v>
      </c>
      <c r="M4984" s="121">
        <f>SUM(M4611:M4983)</f>
        <v>635</v>
      </c>
      <c r="N4984" s="62">
        <f>M4984/5</f>
        <v>127</v>
      </c>
      <c r="O4984">
        <f>IF(D4611&gt;100,D4984*6,D4984*5)</f>
        <v>7605</v>
      </c>
    </row>
    <row r="4986" spans="1:16" x14ac:dyDescent="0.3">
      <c r="A4986" s="3">
        <v>45778</v>
      </c>
      <c r="C4986" s="50" t="s">
        <v>2832</v>
      </c>
      <c r="G4986" s="88">
        <f>I4983</f>
        <v>4412.3600000000006</v>
      </c>
      <c r="I4986" s="88">
        <f t="shared" ref="I4986:I4988" si="524">I4985+G4986-H4986</f>
        <v>4412.3600000000006</v>
      </c>
      <c r="K4986" s="62"/>
      <c r="L4986" s="2">
        <v>0</v>
      </c>
      <c r="M4986">
        <f t="shared" ref="M4986" si="525">IF(E4986="p",5,0)</f>
        <v>0</v>
      </c>
      <c r="O4986" s="62"/>
      <c r="P4986" s="62"/>
    </row>
    <row r="4987" spans="1:16" x14ac:dyDescent="0.3">
      <c r="A4987" s="3">
        <f>A4986</f>
        <v>45778</v>
      </c>
      <c r="B4987" s="11" t="s">
        <v>8192</v>
      </c>
      <c r="C4987" s="50" t="s">
        <v>8194</v>
      </c>
      <c r="E4987" s="90" t="s">
        <v>2088</v>
      </c>
      <c r="I4987" s="88">
        <f t="shared" si="524"/>
        <v>4412.3600000000006</v>
      </c>
      <c r="K4987" s="62"/>
      <c r="L4987" s="2">
        <f t="shared" ref="L4987:L4988" si="526">IF((G4987+H4987)&lt;=5000,(H4987+G4987)*0.004,20)+IF(E4987="Y",25,0)</f>
        <v>0</v>
      </c>
      <c r="M4987">
        <f t="shared" ref="M4987:M4988" si="527">IF(E4987="p",5,0)</f>
        <v>5</v>
      </c>
      <c r="O4987" s="62"/>
      <c r="P4987" s="62"/>
    </row>
    <row r="4988" spans="1:16" x14ac:dyDescent="0.3">
      <c r="A4988" s="3">
        <f t="shared" ref="A4988:A5051" si="528">A4987</f>
        <v>45778</v>
      </c>
      <c r="B4988" s="11" t="s">
        <v>1472</v>
      </c>
      <c r="C4988" s="50" t="s">
        <v>8135</v>
      </c>
      <c r="G4988" s="2">
        <v>4500</v>
      </c>
      <c r="I4988" s="88">
        <f t="shared" si="524"/>
        <v>8912.36</v>
      </c>
      <c r="K4988" s="62"/>
      <c r="L4988" s="2">
        <f t="shared" si="526"/>
        <v>18</v>
      </c>
      <c r="M4988">
        <f t="shared" si="527"/>
        <v>0</v>
      </c>
      <c r="O4988" s="62"/>
      <c r="P4988" s="62"/>
    </row>
    <row r="4989" spans="1:16" x14ac:dyDescent="0.3">
      <c r="A4989" s="3">
        <f t="shared" si="528"/>
        <v>45778</v>
      </c>
      <c r="B4989" s="11" t="s">
        <v>7196</v>
      </c>
      <c r="C4989" s="50" t="s">
        <v>8212</v>
      </c>
      <c r="H4989" s="2">
        <v>2500</v>
      </c>
      <c r="I4989" s="88">
        <f t="shared" ref="I4989:I4998" si="529">I4988+G4989-H4989</f>
        <v>6412.3600000000006</v>
      </c>
      <c r="K4989" s="62"/>
      <c r="L4989" s="2">
        <f t="shared" ref="L4989:L4998" si="530">IF((G4989+H4989)&lt;=5000,(H4989+G4989)*0.004,20)+IF(E4989="Y",25,0)</f>
        <v>10</v>
      </c>
      <c r="M4989">
        <f t="shared" ref="M4989:M4998" si="531">IF(E4989="p",5,0)</f>
        <v>0</v>
      </c>
      <c r="O4989" s="62"/>
      <c r="P4989" s="62"/>
    </row>
    <row r="4990" spans="1:16" x14ac:dyDescent="0.3">
      <c r="A4990" s="3">
        <f t="shared" si="528"/>
        <v>45778</v>
      </c>
      <c r="B4990" s="11" t="s">
        <v>8214</v>
      </c>
      <c r="C4990" s="65" t="s">
        <v>8215</v>
      </c>
      <c r="E4990" s="90" t="s">
        <v>16</v>
      </c>
      <c r="H4990" s="2">
        <v>400</v>
      </c>
      <c r="I4990" s="88">
        <f t="shared" si="529"/>
        <v>6012.3600000000006</v>
      </c>
      <c r="K4990" s="62"/>
      <c r="L4990" s="2">
        <f t="shared" si="530"/>
        <v>26.6</v>
      </c>
      <c r="M4990">
        <f t="shared" si="531"/>
        <v>0</v>
      </c>
      <c r="O4990" s="62"/>
      <c r="P4990" s="62"/>
    </row>
    <row r="4991" spans="1:16" x14ac:dyDescent="0.3">
      <c r="A4991" s="3">
        <f t="shared" si="528"/>
        <v>45778</v>
      </c>
      <c r="B4991" s="11" t="s">
        <v>8219</v>
      </c>
      <c r="C4991" s="51"/>
      <c r="D4991" s="7"/>
      <c r="E4991" s="90" t="s">
        <v>16</v>
      </c>
      <c r="H4991" s="2">
        <v>400</v>
      </c>
      <c r="I4991" s="88">
        <f t="shared" si="529"/>
        <v>5612.3600000000006</v>
      </c>
      <c r="K4991" s="62"/>
      <c r="L4991" s="2">
        <f t="shared" si="530"/>
        <v>26.6</v>
      </c>
      <c r="M4991">
        <f t="shared" si="531"/>
        <v>0</v>
      </c>
      <c r="O4991" s="62"/>
      <c r="P4991" s="62"/>
    </row>
    <row r="4992" spans="1:16" x14ac:dyDescent="0.3">
      <c r="A4992" s="3">
        <f t="shared" si="528"/>
        <v>45778</v>
      </c>
      <c r="B4992" s="11" t="s">
        <v>8163</v>
      </c>
      <c r="C4992" s="50" t="s">
        <v>8160</v>
      </c>
      <c r="H4992" s="2">
        <v>4000</v>
      </c>
      <c r="I4992" s="88">
        <f t="shared" si="529"/>
        <v>1612.3600000000006</v>
      </c>
      <c r="K4992" s="62"/>
      <c r="L4992" s="2">
        <f t="shared" si="530"/>
        <v>16</v>
      </c>
      <c r="M4992">
        <f t="shared" si="531"/>
        <v>0</v>
      </c>
      <c r="O4992" s="62"/>
      <c r="P4992" s="62"/>
    </row>
    <row r="4993" spans="1:16" x14ac:dyDescent="0.3">
      <c r="A4993" s="3">
        <f t="shared" si="528"/>
        <v>45778</v>
      </c>
      <c r="B4993" s="11" t="s">
        <v>8163</v>
      </c>
      <c r="C4993" s="50" t="s">
        <v>8160</v>
      </c>
      <c r="E4993" s="90" t="s">
        <v>2088</v>
      </c>
      <c r="I4993" s="88">
        <f t="shared" si="529"/>
        <v>1612.3600000000006</v>
      </c>
      <c r="K4993" s="62"/>
      <c r="L4993" s="2">
        <f t="shared" si="530"/>
        <v>0</v>
      </c>
      <c r="M4993">
        <f t="shared" si="531"/>
        <v>5</v>
      </c>
      <c r="O4993" s="62"/>
      <c r="P4993" s="62"/>
    </row>
    <row r="4994" spans="1:16" x14ac:dyDescent="0.3">
      <c r="A4994" s="3">
        <f t="shared" si="528"/>
        <v>45778</v>
      </c>
      <c r="B4994" s="11" t="s">
        <v>6840</v>
      </c>
      <c r="C4994" s="50" t="s">
        <v>7350</v>
      </c>
      <c r="G4994" s="2">
        <v>5000</v>
      </c>
      <c r="I4994" s="88">
        <f t="shared" si="529"/>
        <v>6612.3600000000006</v>
      </c>
      <c r="K4994" s="62"/>
      <c r="L4994" s="2">
        <f t="shared" si="530"/>
        <v>20</v>
      </c>
      <c r="M4994">
        <f t="shared" si="531"/>
        <v>0</v>
      </c>
      <c r="O4994" s="62"/>
      <c r="P4994" s="62"/>
    </row>
    <row r="4995" spans="1:16" x14ac:dyDescent="0.3">
      <c r="A4995" s="3">
        <f t="shared" si="528"/>
        <v>45778</v>
      </c>
      <c r="B4995" s="11" t="s">
        <v>6840</v>
      </c>
      <c r="C4995" s="50" t="s">
        <v>7350</v>
      </c>
      <c r="E4995" s="90" t="s">
        <v>2088</v>
      </c>
      <c r="I4995" s="88">
        <f t="shared" si="529"/>
        <v>6612.3600000000006</v>
      </c>
      <c r="K4995" s="62"/>
      <c r="L4995" s="2">
        <f t="shared" si="530"/>
        <v>0</v>
      </c>
      <c r="M4995">
        <f t="shared" si="531"/>
        <v>5</v>
      </c>
      <c r="O4995" s="62"/>
      <c r="P4995" s="62"/>
    </row>
    <row r="4996" spans="1:16" x14ac:dyDescent="0.3">
      <c r="A4996" s="3">
        <f t="shared" si="528"/>
        <v>45778</v>
      </c>
      <c r="B4996" s="11" t="s">
        <v>6466</v>
      </c>
      <c r="C4996" s="50" t="s">
        <v>5601</v>
      </c>
      <c r="G4996" s="2">
        <v>1200</v>
      </c>
      <c r="I4996" s="88">
        <f t="shared" si="529"/>
        <v>7812.3600000000006</v>
      </c>
      <c r="K4996" s="62"/>
      <c r="L4996" s="2">
        <f t="shared" si="530"/>
        <v>4.8</v>
      </c>
      <c r="M4996">
        <f t="shared" si="531"/>
        <v>0</v>
      </c>
      <c r="O4996" s="62"/>
      <c r="P4996" s="62"/>
    </row>
    <row r="4997" spans="1:16" x14ac:dyDescent="0.3">
      <c r="A4997" s="3">
        <f t="shared" si="528"/>
        <v>45778</v>
      </c>
      <c r="B4997" s="11" t="s">
        <v>3148</v>
      </c>
      <c r="C4997" s="50" t="s">
        <v>8220</v>
      </c>
      <c r="G4997" s="2">
        <v>5000</v>
      </c>
      <c r="I4997" s="88">
        <f t="shared" si="529"/>
        <v>12812.36</v>
      </c>
      <c r="K4997" s="62"/>
      <c r="L4997" s="2">
        <f t="shared" si="530"/>
        <v>20</v>
      </c>
      <c r="M4997">
        <f t="shared" si="531"/>
        <v>0</v>
      </c>
      <c r="O4997" s="62"/>
      <c r="P4997" s="62"/>
    </row>
    <row r="4998" spans="1:16" x14ac:dyDescent="0.3">
      <c r="A4998" s="3">
        <f t="shared" si="528"/>
        <v>45778</v>
      </c>
      <c r="B4998" s="11" t="s">
        <v>8221</v>
      </c>
      <c r="C4998" s="50" t="s">
        <v>7117</v>
      </c>
      <c r="H4998" s="2">
        <v>4000</v>
      </c>
      <c r="I4998" s="88">
        <f t="shared" si="529"/>
        <v>8812.36</v>
      </c>
      <c r="K4998" s="62"/>
      <c r="L4998" s="2">
        <f t="shared" si="530"/>
        <v>16</v>
      </c>
      <c r="M4998">
        <f t="shared" si="531"/>
        <v>0</v>
      </c>
      <c r="O4998" s="62"/>
      <c r="P4998" s="62"/>
    </row>
    <row r="4999" spans="1:16" x14ac:dyDescent="0.3">
      <c r="A4999" s="3">
        <f t="shared" si="528"/>
        <v>45778</v>
      </c>
      <c r="B4999" s="11" t="s">
        <v>7800</v>
      </c>
      <c r="C4999" s="50" t="s">
        <v>6424</v>
      </c>
      <c r="G4999" s="2">
        <v>4000</v>
      </c>
      <c r="I4999" s="88">
        <f t="shared" ref="I4999:I5012" si="532">I4998+G4999-H4999</f>
        <v>12812.36</v>
      </c>
      <c r="K4999" s="62"/>
      <c r="L4999" s="2">
        <f t="shared" ref="L4999:L5012" si="533">IF((G4999+H4999)&lt;=5000,(H4999+G4999)*0.004,20)+IF(E4999="Y",25,0)</f>
        <v>16</v>
      </c>
      <c r="M4999">
        <f t="shared" ref="M4999:M5012" si="534">IF(E4999="p",5,0)</f>
        <v>0</v>
      </c>
      <c r="O4999" s="62"/>
      <c r="P4999" s="62"/>
    </row>
    <row r="5000" spans="1:16" x14ac:dyDescent="0.3">
      <c r="A5000" s="3">
        <f t="shared" si="528"/>
        <v>45778</v>
      </c>
      <c r="B5000" s="11" t="s">
        <v>7800</v>
      </c>
      <c r="C5000" s="50" t="s">
        <v>6424</v>
      </c>
      <c r="E5000" s="90" t="s">
        <v>2088</v>
      </c>
      <c r="I5000" s="88">
        <f t="shared" si="532"/>
        <v>12812.36</v>
      </c>
      <c r="K5000" s="62"/>
      <c r="L5000" s="2">
        <f t="shared" si="533"/>
        <v>0</v>
      </c>
      <c r="M5000">
        <f t="shared" si="534"/>
        <v>5</v>
      </c>
      <c r="O5000" s="62"/>
      <c r="P5000" s="62"/>
    </row>
    <row r="5001" spans="1:16" x14ac:dyDescent="0.3">
      <c r="A5001" s="3">
        <f t="shared" si="528"/>
        <v>45778</v>
      </c>
      <c r="B5001" s="11" t="s">
        <v>1250</v>
      </c>
      <c r="C5001" s="50" t="s">
        <v>6581</v>
      </c>
      <c r="G5001" s="2">
        <v>3500</v>
      </c>
      <c r="I5001" s="88">
        <f t="shared" si="532"/>
        <v>16312.36</v>
      </c>
      <c r="K5001" s="62"/>
      <c r="L5001" s="2">
        <f t="shared" si="533"/>
        <v>14</v>
      </c>
      <c r="M5001">
        <f t="shared" si="534"/>
        <v>0</v>
      </c>
      <c r="O5001" s="62"/>
      <c r="P5001" s="62"/>
    </row>
    <row r="5002" spans="1:16" x14ac:dyDescent="0.3">
      <c r="A5002" s="3">
        <f t="shared" si="528"/>
        <v>45778</v>
      </c>
      <c r="B5002" s="11" t="s">
        <v>8149</v>
      </c>
      <c r="C5002" s="50" t="s">
        <v>8223</v>
      </c>
      <c r="E5002" s="90" t="s">
        <v>2088</v>
      </c>
      <c r="I5002" s="88">
        <f t="shared" si="532"/>
        <v>16312.36</v>
      </c>
      <c r="K5002" s="62"/>
      <c r="L5002" s="2">
        <f t="shared" si="533"/>
        <v>0</v>
      </c>
      <c r="M5002">
        <f t="shared" si="534"/>
        <v>5</v>
      </c>
      <c r="O5002" s="62"/>
      <c r="P5002" s="62"/>
    </row>
    <row r="5003" spans="1:16" x14ac:dyDescent="0.3">
      <c r="A5003" s="3">
        <f t="shared" si="528"/>
        <v>45778</v>
      </c>
      <c r="B5003" s="11" t="s">
        <v>3524</v>
      </c>
      <c r="C5003" s="50" t="s">
        <v>2679</v>
      </c>
      <c r="H5003" s="2">
        <v>4000</v>
      </c>
      <c r="I5003" s="88">
        <f t="shared" si="532"/>
        <v>12312.36</v>
      </c>
      <c r="K5003" s="62"/>
      <c r="L5003" s="2">
        <f t="shared" si="533"/>
        <v>16</v>
      </c>
      <c r="M5003">
        <f t="shared" si="534"/>
        <v>0</v>
      </c>
      <c r="O5003" s="62"/>
      <c r="P5003" s="62"/>
    </row>
    <row r="5004" spans="1:16" x14ac:dyDescent="0.3">
      <c r="A5004" s="3">
        <f t="shared" si="528"/>
        <v>45778</v>
      </c>
      <c r="B5004" s="11" t="s">
        <v>5123</v>
      </c>
      <c r="C5004" s="50" t="s">
        <v>8224</v>
      </c>
      <c r="G5004" s="2">
        <v>6000</v>
      </c>
      <c r="I5004" s="88">
        <f t="shared" si="532"/>
        <v>18312.36</v>
      </c>
      <c r="K5004" s="62"/>
      <c r="L5004" s="2">
        <f t="shared" si="533"/>
        <v>20</v>
      </c>
      <c r="M5004">
        <f t="shared" si="534"/>
        <v>0</v>
      </c>
      <c r="O5004" s="62"/>
      <c r="P5004" s="62"/>
    </row>
    <row r="5005" spans="1:16" x14ac:dyDescent="0.3">
      <c r="A5005" s="3">
        <v>45779</v>
      </c>
      <c r="C5005" s="50" t="s">
        <v>8225</v>
      </c>
      <c r="H5005" s="2">
        <v>10000</v>
      </c>
      <c r="I5005" s="88">
        <f t="shared" si="532"/>
        <v>8312.36</v>
      </c>
      <c r="K5005" s="62"/>
      <c r="L5005" s="2">
        <f t="shared" si="533"/>
        <v>20</v>
      </c>
      <c r="M5005">
        <f t="shared" si="534"/>
        <v>0</v>
      </c>
      <c r="O5005" s="62"/>
      <c r="P5005" s="62"/>
    </row>
    <row r="5006" spans="1:16" x14ac:dyDescent="0.3">
      <c r="A5006" s="3">
        <f t="shared" si="528"/>
        <v>45779</v>
      </c>
      <c r="B5006" s="11" t="s">
        <v>3232</v>
      </c>
      <c r="C5006" s="50" t="s">
        <v>8226</v>
      </c>
      <c r="G5006" s="2">
        <v>500</v>
      </c>
      <c r="I5006" s="88">
        <f t="shared" si="532"/>
        <v>8812.36</v>
      </c>
      <c r="K5006" s="62"/>
      <c r="L5006" s="2">
        <f t="shared" si="533"/>
        <v>2</v>
      </c>
      <c r="M5006">
        <f t="shared" si="534"/>
        <v>0</v>
      </c>
      <c r="O5006" s="62"/>
      <c r="P5006" s="62"/>
    </row>
    <row r="5007" spans="1:16" x14ac:dyDescent="0.3">
      <c r="A5007" s="3">
        <f t="shared" si="528"/>
        <v>45779</v>
      </c>
      <c r="B5007" s="11" t="s">
        <v>8227</v>
      </c>
      <c r="C5007" s="50" t="s">
        <v>8228</v>
      </c>
      <c r="E5007" s="90" t="s">
        <v>2088</v>
      </c>
      <c r="I5007" s="88">
        <f t="shared" si="532"/>
        <v>8812.36</v>
      </c>
      <c r="K5007" s="62"/>
      <c r="L5007" s="2">
        <f t="shared" si="533"/>
        <v>0</v>
      </c>
      <c r="M5007">
        <f t="shared" si="534"/>
        <v>5</v>
      </c>
      <c r="O5007" s="62"/>
      <c r="P5007" s="62"/>
    </row>
    <row r="5008" spans="1:16" x14ac:dyDescent="0.3">
      <c r="A5008" s="3">
        <f t="shared" si="528"/>
        <v>45779</v>
      </c>
      <c r="B5008" s="11" t="s">
        <v>8227</v>
      </c>
      <c r="C5008" s="50" t="s">
        <v>8228</v>
      </c>
      <c r="G5008" s="2">
        <v>2000</v>
      </c>
      <c r="I5008" s="88">
        <f t="shared" si="532"/>
        <v>10812.36</v>
      </c>
      <c r="K5008" s="62"/>
      <c r="L5008" s="2">
        <f t="shared" si="533"/>
        <v>8</v>
      </c>
      <c r="M5008">
        <f t="shared" si="534"/>
        <v>0</v>
      </c>
      <c r="O5008" s="62"/>
      <c r="P5008" s="62"/>
    </row>
    <row r="5009" spans="1:16" x14ac:dyDescent="0.3">
      <c r="A5009" s="3">
        <f t="shared" si="528"/>
        <v>45779</v>
      </c>
      <c r="B5009" s="11" t="s">
        <v>8227</v>
      </c>
      <c r="C5009" s="50" t="s">
        <v>8228</v>
      </c>
      <c r="E5009" s="90" t="s">
        <v>2088</v>
      </c>
      <c r="I5009" s="88">
        <f t="shared" si="532"/>
        <v>10812.36</v>
      </c>
      <c r="K5009" s="62"/>
      <c r="L5009" s="2">
        <f t="shared" si="533"/>
        <v>0</v>
      </c>
      <c r="M5009">
        <f t="shared" si="534"/>
        <v>5</v>
      </c>
      <c r="O5009" s="62"/>
      <c r="P5009" s="62"/>
    </row>
    <row r="5010" spans="1:16" x14ac:dyDescent="0.3">
      <c r="A5010" s="3">
        <f t="shared" si="528"/>
        <v>45779</v>
      </c>
      <c r="B5010" s="11" t="s">
        <v>5482</v>
      </c>
      <c r="C5010" s="50" t="s">
        <v>8229</v>
      </c>
      <c r="H5010" s="2">
        <v>2400</v>
      </c>
      <c r="I5010" s="88">
        <f t="shared" si="532"/>
        <v>8412.36</v>
      </c>
      <c r="K5010" s="62"/>
      <c r="L5010" s="2">
        <f t="shared" si="533"/>
        <v>9.6</v>
      </c>
      <c r="M5010">
        <f t="shared" si="534"/>
        <v>0</v>
      </c>
      <c r="O5010" s="62"/>
      <c r="P5010" s="62"/>
    </row>
    <row r="5011" spans="1:16" x14ac:dyDescent="0.3">
      <c r="A5011" s="3">
        <f t="shared" si="528"/>
        <v>45779</v>
      </c>
      <c r="B5011" s="11" t="s">
        <v>7709</v>
      </c>
      <c r="C5011" s="50" t="s">
        <v>7372</v>
      </c>
      <c r="G5011" s="2">
        <v>5000</v>
      </c>
      <c r="I5011" s="88">
        <f t="shared" si="532"/>
        <v>13412.36</v>
      </c>
      <c r="K5011" s="62"/>
      <c r="L5011" s="2">
        <f t="shared" si="533"/>
        <v>20</v>
      </c>
      <c r="M5011">
        <f t="shared" si="534"/>
        <v>0</v>
      </c>
      <c r="O5011" s="62"/>
      <c r="P5011" s="62"/>
    </row>
    <row r="5012" spans="1:16" x14ac:dyDescent="0.3">
      <c r="A5012" s="3">
        <f t="shared" si="528"/>
        <v>45779</v>
      </c>
      <c r="B5012" s="11" t="s">
        <v>6582</v>
      </c>
      <c r="C5012" s="50" t="s">
        <v>8133</v>
      </c>
      <c r="G5012" s="2">
        <v>3000</v>
      </c>
      <c r="I5012" s="88">
        <f t="shared" si="532"/>
        <v>16412.36</v>
      </c>
      <c r="K5012" s="62"/>
      <c r="L5012" s="2">
        <f t="shared" si="533"/>
        <v>12</v>
      </c>
      <c r="M5012">
        <f t="shared" si="534"/>
        <v>0</v>
      </c>
      <c r="O5012" s="62"/>
      <c r="P5012" s="62"/>
    </row>
    <row r="5013" spans="1:16" x14ac:dyDescent="0.3">
      <c r="A5013" s="3">
        <v>45780</v>
      </c>
      <c r="B5013" s="11" t="s">
        <v>3915</v>
      </c>
      <c r="C5013" s="50" t="s">
        <v>4085</v>
      </c>
      <c r="G5013" s="2">
        <v>10000</v>
      </c>
      <c r="I5013" s="88">
        <f t="shared" ref="I5013:I5025" si="535">I5012+G5013-H5013</f>
        <v>26412.36</v>
      </c>
      <c r="K5013" s="62"/>
      <c r="L5013" s="2">
        <f t="shared" ref="L5013:L5014" si="536">IF((G5013+H5013)&lt;=5000,(H5013+G5013)*0.004,20)+IF(E5013="Y",25,0)</f>
        <v>20</v>
      </c>
      <c r="M5013">
        <f t="shared" ref="M5013:M5014" si="537">IF(E5013="p",5,0)</f>
        <v>0</v>
      </c>
      <c r="O5013" s="62"/>
      <c r="P5013" s="62"/>
    </row>
    <row r="5014" spans="1:16" x14ac:dyDescent="0.3">
      <c r="A5014" s="3">
        <f t="shared" si="528"/>
        <v>45780</v>
      </c>
      <c r="B5014" s="11" t="s">
        <v>8203</v>
      </c>
      <c r="C5014" s="50" t="s">
        <v>8205</v>
      </c>
      <c r="E5014" s="90" t="s">
        <v>16</v>
      </c>
      <c r="I5014" s="88">
        <f t="shared" si="535"/>
        <v>26412.36</v>
      </c>
      <c r="K5014" s="62"/>
      <c r="L5014" s="2">
        <f t="shared" si="536"/>
        <v>25</v>
      </c>
      <c r="M5014">
        <f t="shared" si="537"/>
        <v>0</v>
      </c>
      <c r="O5014" s="62"/>
      <c r="P5014" s="62"/>
    </row>
    <row r="5015" spans="1:16" x14ac:dyDescent="0.3">
      <c r="A5015" s="3">
        <f t="shared" si="528"/>
        <v>45780</v>
      </c>
      <c r="C5015" s="50" t="s">
        <v>2857</v>
      </c>
      <c r="E5015" s="90" t="s">
        <v>4721</v>
      </c>
      <c r="H5015" s="2">
        <v>25000</v>
      </c>
      <c r="I5015" s="88">
        <f t="shared" si="535"/>
        <v>1412.3600000000006</v>
      </c>
      <c r="K5015" s="62"/>
      <c r="L5015" s="2">
        <v>0</v>
      </c>
      <c r="M5015">
        <f t="shared" ref="M5015:M5025" si="538">IF(E5015="p",5,0)</f>
        <v>0</v>
      </c>
      <c r="O5015" s="62"/>
      <c r="P5015" s="62"/>
    </row>
    <row r="5016" spans="1:16" x14ac:dyDescent="0.3">
      <c r="A5016" s="3">
        <f t="shared" si="528"/>
        <v>45780</v>
      </c>
      <c r="B5016" s="11" t="s">
        <v>5323</v>
      </c>
      <c r="C5016" s="50" t="s">
        <v>8231</v>
      </c>
      <c r="E5016" s="90" t="s">
        <v>2088</v>
      </c>
      <c r="I5016" s="88">
        <f t="shared" si="535"/>
        <v>1412.3600000000006</v>
      </c>
      <c r="K5016" s="62"/>
      <c r="L5016" s="2">
        <f t="shared" ref="L5016:L5025" si="539">IF((G5016+H5016)&lt;=5000,(H5016+G5016)*0.004,20)+IF(E5016="Y",25,0)</f>
        <v>0</v>
      </c>
      <c r="M5016">
        <f t="shared" si="538"/>
        <v>5</v>
      </c>
      <c r="O5016" s="62"/>
      <c r="P5016" s="62"/>
    </row>
    <row r="5017" spans="1:16" x14ac:dyDescent="0.3">
      <c r="A5017" s="3">
        <f t="shared" si="528"/>
        <v>45780</v>
      </c>
      <c r="B5017" s="11" t="s">
        <v>5323</v>
      </c>
      <c r="C5017" s="50" t="s">
        <v>8231</v>
      </c>
      <c r="G5017" s="2">
        <v>1500</v>
      </c>
      <c r="I5017" s="88">
        <f t="shared" si="535"/>
        <v>2912.3600000000006</v>
      </c>
      <c r="K5017" s="62"/>
      <c r="L5017" s="2">
        <f t="shared" si="539"/>
        <v>6</v>
      </c>
      <c r="M5017">
        <f t="shared" si="538"/>
        <v>0</v>
      </c>
      <c r="O5017" s="62"/>
      <c r="P5017" s="62"/>
    </row>
    <row r="5018" spans="1:16" x14ac:dyDescent="0.3">
      <c r="A5018" s="3">
        <f t="shared" si="528"/>
        <v>45780</v>
      </c>
      <c r="B5018" s="11" t="s">
        <v>5323</v>
      </c>
      <c r="C5018" s="50" t="s">
        <v>8231</v>
      </c>
      <c r="E5018" s="90" t="s">
        <v>2088</v>
      </c>
      <c r="I5018" s="88">
        <f t="shared" si="535"/>
        <v>2912.3600000000006</v>
      </c>
      <c r="K5018" s="62"/>
      <c r="L5018" s="2">
        <f t="shared" si="539"/>
        <v>0</v>
      </c>
      <c r="M5018">
        <f t="shared" si="538"/>
        <v>5</v>
      </c>
      <c r="O5018" s="62"/>
      <c r="P5018" s="62"/>
    </row>
    <row r="5019" spans="1:16" x14ac:dyDescent="0.3">
      <c r="A5019" s="3">
        <f t="shared" si="528"/>
        <v>45780</v>
      </c>
      <c r="B5019" s="11" t="s">
        <v>8232</v>
      </c>
      <c r="C5019" s="50" t="s">
        <v>8233</v>
      </c>
      <c r="G5019" s="2">
        <v>3600</v>
      </c>
      <c r="I5019" s="88">
        <f t="shared" si="535"/>
        <v>6512.3600000000006</v>
      </c>
      <c r="K5019" s="62"/>
      <c r="L5019" s="2">
        <f t="shared" si="539"/>
        <v>14.4</v>
      </c>
      <c r="M5019">
        <f t="shared" si="538"/>
        <v>0</v>
      </c>
      <c r="O5019" s="62"/>
      <c r="P5019" s="62"/>
    </row>
    <row r="5020" spans="1:16" x14ac:dyDescent="0.3">
      <c r="A5020" s="3">
        <f t="shared" si="528"/>
        <v>45780</v>
      </c>
      <c r="B5020" s="11" t="s">
        <v>3541</v>
      </c>
      <c r="C5020" s="50" t="s">
        <v>541</v>
      </c>
      <c r="G5020" s="2">
        <v>2600</v>
      </c>
      <c r="I5020" s="88">
        <f t="shared" si="535"/>
        <v>9112.36</v>
      </c>
      <c r="K5020" s="62"/>
      <c r="L5020" s="2">
        <f t="shared" si="539"/>
        <v>10.4</v>
      </c>
      <c r="M5020">
        <f t="shared" si="538"/>
        <v>0</v>
      </c>
      <c r="O5020" s="62"/>
      <c r="P5020" s="62"/>
    </row>
    <row r="5021" spans="1:16" x14ac:dyDescent="0.3">
      <c r="A5021" s="3">
        <f t="shared" si="528"/>
        <v>45780</v>
      </c>
      <c r="B5021" s="11" t="s">
        <v>4678</v>
      </c>
      <c r="C5021" s="50" t="s">
        <v>8029</v>
      </c>
      <c r="H5021" s="2">
        <v>4100</v>
      </c>
      <c r="I5021" s="88">
        <f t="shared" si="535"/>
        <v>5012.3600000000006</v>
      </c>
      <c r="K5021" s="62"/>
      <c r="L5021" s="2">
        <f t="shared" si="539"/>
        <v>16.399999999999999</v>
      </c>
      <c r="M5021">
        <f t="shared" si="538"/>
        <v>0</v>
      </c>
      <c r="O5021" s="62"/>
      <c r="P5021" s="62"/>
    </row>
    <row r="5022" spans="1:16" x14ac:dyDescent="0.3">
      <c r="A5022" s="3">
        <v>45781</v>
      </c>
      <c r="B5022" s="11" t="s">
        <v>7186</v>
      </c>
      <c r="C5022" s="50" t="s">
        <v>8039</v>
      </c>
      <c r="E5022" s="90" t="s">
        <v>2088</v>
      </c>
      <c r="I5022" s="88">
        <f t="shared" si="535"/>
        <v>5012.3600000000006</v>
      </c>
      <c r="K5022" s="62"/>
      <c r="L5022" s="2">
        <f t="shared" si="539"/>
        <v>0</v>
      </c>
      <c r="M5022">
        <f t="shared" si="538"/>
        <v>5</v>
      </c>
      <c r="O5022" s="62"/>
      <c r="P5022" s="62"/>
    </row>
    <row r="5023" spans="1:16" x14ac:dyDescent="0.3">
      <c r="A5023" s="3">
        <f t="shared" si="528"/>
        <v>45781</v>
      </c>
      <c r="B5023" s="11" t="s">
        <v>7186</v>
      </c>
      <c r="C5023" s="50" t="s">
        <v>8039</v>
      </c>
      <c r="G5023" s="2">
        <v>5000</v>
      </c>
      <c r="I5023" s="88">
        <f t="shared" si="535"/>
        <v>10012.36</v>
      </c>
      <c r="K5023" s="62"/>
      <c r="L5023" s="2">
        <f t="shared" si="539"/>
        <v>20</v>
      </c>
      <c r="M5023">
        <f t="shared" si="538"/>
        <v>0</v>
      </c>
      <c r="O5023" s="62"/>
      <c r="P5023" s="62"/>
    </row>
    <row r="5024" spans="1:16" x14ac:dyDescent="0.3">
      <c r="A5024" s="3">
        <f t="shared" si="528"/>
        <v>45781</v>
      </c>
      <c r="B5024" s="11" t="s">
        <v>7186</v>
      </c>
      <c r="C5024" s="50" t="s">
        <v>8039</v>
      </c>
      <c r="E5024" s="90" t="s">
        <v>2088</v>
      </c>
      <c r="I5024" s="88">
        <f t="shared" si="535"/>
        <v>10012.36</v>
      </c>
      <c r="K5024" s="62"/>
      <c r="L5024" s="2">
        <f t="shared" si="539"/>
        <v>0</v>
      </c>
      <c r="M5024">
        <f t="shared" si="538"/>
        <v>5</v>
      </c>
      <c r="O5024" s="62"/>
      <c r="P5024" s="62"/>
    </row>
    <row r="5025" spans="1:16" x14ac:dyDescent="0.3">
      <c r="A5025" s="3">
        <f t="shared" si="528"/>
        <v>45781</v>
      </c>
      <c r="B5025" s="11" t="s">
        <v>6260</v>
      </c>
      <c r="C5025" s="50" t="s">
        <v>7117</v>
      </c>
      <c r="H5025" s="2">
        <v>5000</v>
      </c>
      <c r="I5025" s="88">
        <f t="shared" si="535"/>
        <v>5012.3600000000006</v>
      </c>
      <c r="K5025" s="62"/>
      <c r="L5025" s="2">
        <f t="shared" si="539"/>
        <v>20</v>
      </c>
      <c r="M5025">
        <f t="shared" si="538"/>
        <v>0</v>
      </c>
      <c r="O5025" s="62"/>
      <c r="P5025" s="62"/>
    </row>
    <row r="5026" spans="1:16" x14ac:dyDescent="0.3">
      <c r="A5026" s="3">
        <f t="shared" si="528"/>
        <v>45781</v>
      </c>
      <c r="B5026" s="11" t="s">
        <v>3415</v>
      </c>
      <c r="C5026" s="50" t="s">
        <v>6246</v>
      </c>
      <c r="H5026" s="2">
        <v>1500</v>
      </c>
      <c r="I5026" s="88">
        <f t="shared" ref="I5026:I5038" si="540">I5025+G5026-H5026</f>
        <v>3512.3600000000006</v>
      </c>
      <c r="K5026" s="62"/>
      <c r="L5026" s="2">
        <f t="shared" ref="L5026:L5038" si="541">IF((G5026+H5026)&lt;=5000,(H5026+G5026)*0.004,20)+IF(E5026="Y",25,0)</f>
        <v>6</v>
      </c>
      <c r="M5026">
        <f t="shared" ref="M5026:M5038" si="542">IF(E5026="p",5,0)</f>
        <v>0</v>
      </c>
      <c r="O5026" s="62"/>
      <c r="P5026" s="62"/>
    </row>
    <row r="5027" spans="1:16" x14ac:dyDescent="0.3">
      <c r="A5027" s="3">
        <f t="shared" si="528"/>
        <v>45781</v>
      </c>
      <c r="B5027" s="11" t="s">
        <v>5482</v>
      </c>
      <c r="C5027" s="50" t="s">
        <v>8229</v>
      </c>
      <c r="E5027" s="90" t="s">
        <v>2088</v>
      </c>
      <c r="I5027" s="88">
        <f t="shared" si="540"/>
        <v>3512.3600000000006</v>
      </c>
      <c r="K5027" s="62"/>
      <c r="L5027" s="2">
        <f t="shared" si="541"/>
        <v>0</v>
      </c>
      <c r="M5027">
        <f t="shared" si="542"/>
        <v>5</v>
      </c>
      <c r="O5027" s="62"/>
      <c r="P5027" s="62"/>
    </row>
    <row r="5028" spans="1:16" x14ac:dyDescent="0.3">
      <c r="A5028" s="3">
        <f t="shared" si="528"/>
        <v>45781</v>
      </c>
      <c r="B5028" s="11" t="s">
        <v>3148</v>
      </c>
      <c r="C5028" s="50" t="s">
        <v>4853</v>
      </c>
      <c r="G5028" s="2">
        <v>1700</v>
      </c>
      <c r="I5028" s="88">
        <f t="shared" si="540"/>
        <v>5212.3600000000006</v>
      </c>
      <c r="K5028" s="62"/>
      <c r="L5028" s="2">
        <f t="shared" si="541"/>
        <v>6.8</v>
      </c>
      <c r="M5028">
        <f t="shared" si="542"/>
        <v>0</v>
      </c>
      <c r="O5028" s="62"/>
      <c r="P5028" s="62"/>
    </row>
    <row r="5029" spans="1:16" x14ac:dyDescent="0.3">
      <c r="A5029" s="3">
        <f t="shared" si="528"/>
        <v>45781</v>
      </c>
      <c r="B5029" s="11">
        <v>45781</v>
      </c>
      <c r="C5029" s="65" t="s">
        <v>8235</v>
      </c>
      <c r="D5029" s="11"/>
      <c r="E5029" s="90" t="s">
        <v>14</v>
      </c>
      <c r="H5029" s="2">
        <v>500</v>
      </c>
      <c r="I5029" s="88">
        <f t="shared" si="540"/>
        <v>4712.3600000000006</v>
      </c>
      <c r="K5029" s="62"/>
      <c r="L5029" s="2">
        <f>IF((G5029+H5029)&lt;=5000,(H5029+G5029)*0.004,20)+IF(C5029="Y",25,0)</f>
        <v>2</v>
      </c>
      <c r="M5029">
        <f>IF(C5029="p",5,0)</f>
        <v>0</v>
      </c>
      <c r="O5029" s="62"/>
      <c r="P5029" s="62"/>
    </row>
    <row r="5030" spans="1:16" x14ac:dyDescent="0.3">
      <c r="A5030" s="3">
        <f t="shared" si="528"/>
        <v>45781</v>
      </c>
      <c r="B5030" s="11" t="s">
        <v>1472</v>
      </c>
      <c r="C5030" s="50" t="s">
        <v>8135</v>
      </c>
      <c r="G5030" s="2">
        <v>3000</v>
      </c>
      <c r="I5030" s="88">
        <f t="shared" si="540"/>
        <v>7712.3600000000006</v>
      </c>
      <c r="K5030" s="62"/>
      <c r="L5030" s="2">
        <f t="shared" si="541"/>
        <v>12</v>
      </c>
      <c r="M5030">
        <f t="shared" si="542"/>
        <v>0</v>
      </c>
      <c r="O5030" s="62"/>
      <c r="P5030" s="62"/>
    </row>
    <row r="5031" spans="1:16" x14ac:dyDescent="0.3">
      <c r="A5031" s="3">
        <v>45782</v>
      </c>
      <c r="B5031" s="11" t="s">
        <v>1160</v>
      </c>
      <c r="C5031" s="50" t="s">
        <v>7155</v>
      </c>
      <c r="G5031" s="2">
        <v>10000</v>
      </c>
      <c r="I5031" s="88">
        <f t="shared" si="540"/>
        <v>17712.36</v>
      </c>
      <c r="K5031" s="62"/>
      <c r="L5031" s="2">
        <f t="shared" si="541"/>
        <v>20</v>
      </c>
      <c r="M5031">
        <f t="shared" si="542"/>
        <v>0</v>
      </c>
      <c r="O5031" s="62"/>
      <c r="P5031" s="62"/>
    </row>
    <row r="5032" spans="1:16" x14ac:dyDescent="0.3">
      <c r="A5032" s="3">
        <f t="shared" si="528"/>
        <v>45782</v>
      </c>
      <c r="B5032" s="11" t="s">
        <v>3504</v>
      </c>
      <c r="C5032" s="50" t="s">
        <v>2487</v>
      </c>
      <c r="H5032" s="2">
        <v>1200</v>
      </c>
      <c r="I5032" s="88">
        <f t="shared" si="540"/>
        <v>16512.36</v>
      </c>
      <c r="K5032" s="62"/>
      <c r="L5032" s="2">
        <f t="shared" si="541"/>
        <v>4.8</v>
      </c>
      <c r="M5032">
        <f t="shared" si="542"/>
        <v>0</v>
      </c>
      <c r="O5032" s="62"/>
      <c r="P5032" s="62"/>
    </row>
    <row r="5033" spans="1:16" x14ac:dyDescent="0.3">
      <c r="A5033" s="3">
        <f t="shared" si="528"/>
        <v>45782</v>
      </c>
      <c r="B5033" s="11" t="s">
        <v>6260</v>
      </c>
      <c r="C5033" s="50" t="s">
        <v>7117</v>
      </c>
      <c r="H5033" s="2">
        <v>4500</v>
      </c>
      <c r="I5033" s="88">
        <f t="shared" si="540"/>
        <v>12012.36</v>
      </c>
      <c r="K5033" s="62"/>
      <c r="L5033" s="2">
        <f t="shared" si="541"/>
        <v>18</v>
      </c>
      <c r="M5033">
        <f t="shared" si="542"/>
        <v>0</v>
      </c>
      <c r="O5033" s="62"/>
      <c r="P5033" s="62"/>
    </row>
    <row r="5034" spans="1:16" x14ac:dyDescent="0.3">
      <c r="A5034" s="3">
        <f t="shared" si="528"/>
        <v>45782</v>
      </c>
      <c r="B5034" s="11" t="s">
        <v>8086</v>
      </c>
      <c r="C5034" s="50" t="s">
        <v>8238</v>
      </c>
      <c r="E5034" s="90" t="s">
        <v>2088</v>
      </c>
      <c r="I5034" s="88">
        <f t="shared" si="540"/>
        <v>12012.36</v>
      </c>
      <c r="K5034" s="62"/>
      <c r="L5034" s="2">
        <f t="shared" si="541"/>
        <v>0</v>
      </c>
      <c r="M5034">
        <f t="shared" si="542"/>
        <v>5</v>
      </c>
      <c r="O5034" s="62"/>
      <c r="P5034" s="62"/>
    </row>
    <row r="5035" spans="1:16" x14ac:dyDescent="0.3">
      <c r="A5035" s="3">
        <f t="shared" si="528"/>
        <v>45782</v>
      </c>
      <c r="B5035" s="11" t="s">
        <v>2143</v>
      </c>
      <c r="C5035" s="50" t="s">
        <v>8239</v>
      </c>
      <c r="H5035" s="2">
        <v>10000</v>
      </c>
      <c r="I5035" s="88">
        <f t="shared" si="540"/>
        <v>2012.3600000000006</v>
      </c>
      <c r="K5035" s="62"/>
      <c r="L5035" s="2">
        <f t="shared" si="541"/>
        <v>20</v>
      </c>
      <c r="M5035">
        <f t="shared" si="542"/>
        <v>0</v>
      </c>
      <c r="O5035" s="62"/>
      <c r="P5035" s="62"/>
    </row>
    <row r="5036" spans="1:16" x14ac:dyDescent="0.3">
      <c r="A5036" s="3">
        <f t="shared" si="528"/>
        <v>45782</v>
      </c>
      <c r="B5036" s="11" t="s">
        <v>7400</v>
      </c>
      <c r="C5036" s="50" t="s">
        <v>7401</v>
      </c>
      <c r="E5036" s="90" t="s">
        <v>2088</v>
      </c>
      <c r="I5036" s="88">
        <f t="shared" si="540"/>
        <v>2012.3600000000006</v>
      </c>
      <c r="K5036" s="62"/>
      <c r="L5036" s="2">
        <f t="shared" si="541"/>
        <v>0</v>
      </c>
      <c r="M5036">
        <f t="shared" si="542"/>
        <v>5</v>
      </c>
      <c r="O5036" s="62"/>
      <c r="P5036" s="62"/>
    </row>
    <row r="5037" spans="1:16" x14ac:dyDescent="0.3">
      <c r="A5037" s="3">
        <f t="shared" si="528"/>
        <v>45782</v>
      </c>
      <c r="B5037" s="11" t="s">
        <v>7400</v>
      </c>
      <c r="C5037" s="50" t="s">
        <v>7401</v>
      </c>
      <c r="G5037" s="2">
        <v>2500</v>
      </c>
      <c r="I5037" s="88">
        <f t="shared" si="540"/>
        <v>4512.3600000000006</v>
      </c>
      <c r="K5037" s="62"/>
      <c r="L5037" s="2">
        <f t="shared" si="541"/>
        <v>10</v>
      </c>
      <c r="M5037">
        <f t="shared" si="542"/>
        <v>0</v>
      </c>
      <c r="O5037" s="62"/>
      <c r="P5037" s="62"/>
    </row>
    <row r="5038" spans="1:16" x14ac:dyDescent="0.3">
      <c r="A5038" s="3">
        <f t="shared" si="528"/>
        <v>45782</v>
      </c>
      <c r="B5038" s="11" t="s">
        <v>7400</v>
      </c>
      <c r="C5038" s="50" t="s">
        <v>7401</v>
      </c>
      <c r="E5038" s="90" t="s">
        <v>2088</v>
      </c>
      <c r="I5038" s="88">
        <f t="shared" si="540"/>
        <v>4512.3600000000006</v>
      </c>
      <c r="K5038" s="62"/>
      <c r="L5038" s="2">
        <f t="shared" si="541"/>
        <v>0</v>
      </c>
      <c r="M5038">
        <f t="shared" si="542"/>
        <v>5</v>
      </c>
      <c r="O5038" s="62"/>
      <c r="P5038" s="62"/>
    </row>
    <row r="5039" spans="1:16" x14ac:dyDescent="0.3">
      <c r="A5039" s="3">
        <f t="shared" si="528"/>
        <v>45782</v>
      </c>
      <c r="B5039" s="11" t="s">
        <v>6260</v>
      </c>
      <c r="C5039" s="50" t="s">
        <v>8240</v>
      </c>
      <c r="H5039" s="2">
        <v>2000</v>
      </c>
      <c r="I5039" s="88">
        <f t="shared" ref="I5039:I5049" si="543">I5038+G5039-H5039</f>
        <v>2512.3600000000006</v>
      </c>
      <c r="K5039" s="62"/>
      <c r="L5039" s="2">
        <f t="shared" ref="L5039:L5049" si="544">IF((G5039+H5039)&lt;=5000,(H5039+G5039)*0.004,20)+IF(E5039="Y",25,0)</f>
        <v>8</v>
      </c>
      <c r="M5039">
        <f t="shared" ref="M5039:M5049" si="545">IF(E5039="p",5,0)</f>
        <v>0</v>
      </c>
      <c r="O5039" s="62"/>
      <c r="P5039" s="62"/>
    </row>
    <row r="5040" spans="1:16" x14ac:dyDescent="0.3">
      <c r="A5040" s="3">
        <f t="shared" si="528"/>
        <v>45782</v>
      </c>
      <c r="B5040" s="11" t="s">
        <v>1250</v>
      </c>
      <c r="C5040" s="50" t="s">
        <v>4853</v>
      </c>
      <c r="G5040" s="2">
        <v>1700</v>
      </c>
      <c r="I5040" s="88">
        <f t="shared" si="543"/>
        <v>4212.3600000000006</v>
      </c>
      <c r="K5040" s="62"/>
      <c r="L5040" s="2">
        <f t="shared" si="544"/>
        <v>6.8</v>
      </c>
      <c r="M5040">
        <f t="shared" si="545"/>
        <v>0</v>
      </c>
      <c r="O5040" s="62"/>
      <c r="P5040" s="62"/>
    </row>
    <row r="5041" spans="1:16" x14ac:dyDescent="0.3">
      <c r="A5041" s="3">
        <v>45783</v>
      </c>
      <c r="B5041" s="11" t="s">
        <v>3543</v>
      </c>
      <c r="C5041" s="50" t="s">
        <v>2858</v>
      </c>
      <c r="G5041" s="2">
        <v>10000</v>
      </c>
      <c r="I5041" s="88">
        <f t="shared" si="543"/>
        <v>14212.36</v>
      </c>
      <c r="K5041" s="62"/>
      <c r="L5041" s="2">
        <f t="shared" si="544"/>
        <v>20</v>
      </c>
      <c r="M5041">
        <f t="shared" si="545"/>
        <v>0</v>
      </c>
      <c r="O5041" s="62"/>
      <c r="P5041" s="62"/>
    </row>
    <row r="5042" spans="1:16" x14ac:dyDescent="0.3">
      <c r="A5042" s="3">
        <f t="shared" si="528"/>
        <v>45783</v>
      </c>
      <c r="B5042" s="11" t="s">
        <v>8243</v>
      </c>
      <c r="C5042" s="65" t="s">
        <v>8244</v>
      </c>
      <c r="E5042" s="90" t="s">
        <v>16</v>
      </c>
      <c r="H5042" s="2">
        <v>2000</v>
      </c>
      <c r="I5042" s="88">
        <f t="shared" si="543"/>
        <v>12212.36</v>
      </c>
      <c r="K5042" s="62"/>
      <c r="L5042" s="2">
        <f t="shared" si="544"/>
        <v>33</v>
      </c>
      <c r="M5042">
        <f t="shared" si="545"/>
        <v>0</v>
      </c>
      <c r="O5042" s="62"/>
      <c r="P5042" s="62"/>
    </row>
    <row r="5043" spans="1:16" x14ac:dyDescent="0.3">
      <c r="A5043" s="3">
        <f t="shared" si="528"/>
        <v>45783</v>
      </c>
      <c r="B5043" s="11" t="s">
        <v>8247</v>
      </c>
      <c r="C5043" s="50" t="s">
        <v>8248</v>
      </c>
      <c r="G5043" s="2">
        <v>4000</v>
      </c>
      <c r="I5043" s="88">
        <f t="shared" si="543"/>
        <v>16212.36</v>
      </c>
      <c r="K5043" s="62"/>
      <c r="L5043" s="2">
        <f t="shared" si="544"/>
        <v>16</v>
      </c>
      <c r="M5043">
        <f t="shared" si="545"/>
        <v>0</v>
      </c>
      <c r="O5043" s="62"/>
      <c r="P5043" s="62"/>
    </row>
    <row r="5044" spans="1:16" x14ac:dyDescent="0.3">
      <c r="A5044" s="3">
        <f t="shared" si="528"/>
        <v>45783</v>
      </c>
      <c r="B5044" s="11" t="s">
        <v>8247</v>
      </c>
      <c r="C5044" s="50" t="s">
        <v>8248</v>
      </c>
      <c r="E5044" s="90" t="s">
        <v>7772</v>
      </c>
      <c r="I5044" s="88">
        <f t="shared" si="543"/>
        <v>16212.36</v>
      </c>
      <c r="K5044" s="62"/>
      <c r="L5044" s="2">
        <f t="shared" si="544"/>
        <v>0</v>
      </c>
      <c r="M5044">
        <f t="shared" si="545"/>
        <v>5</v>
      </c>
      <c r="O5044" s="62"/>
      <c r="P5044" s="62"/>
    </row>
    <row r="5045" spans="1:16" x14ac:dyDescent="0.3">
      <c r="A5045" s="3">
        <f t="shared" si="528"/>
        <v>45783</v>
      </c>
      <c r="C5045" s="50" t="s">
        <v>2857</v>
      </c>
      <c r="G5045" s="55">
        <v>100</v>
      </c>
      <c r="H5045" s="2">
        <v>16000</v>
      </c>
      <c r="I5045" s="88">
        <f t="shared" si="543"/>
        <v>312.36000000000058</v>
      </c>
      <c r="K5045" s="62"/>
      <c r="L5045" s="2">
        <f t="shared" si="544"/>
        <v>20</v>
      </c>
      <c r="M5045">
        <f t="shared" si="545"/>
        <v>0</v>
      </c>
      <c r="O5045" s="62"/>
      <c r="P5045" s="62"/>
    </row>
    <row r="5046" spans="1:16" x14ac:dyDescent="0.3">
      <c r="A5046" s="3">
        <f t="shared" si="528"/>
        <v>45783</v>
      </c>
      <c r="B5046" s="11" t="s">
        <v>1250</v>
      </c>
      <c r="C5046" s="50" t="s">
        <v>2348</v>
      </c>
      <c r="G5046" s="2">
        <v>1500</v>
      </c>
      <c r="I5046" s="88">
        <f t="shared" si="543"/>
        <v>1812.3600000000006</v>
      </c>
      <c r="K5046" s="62"/>
      <c r="L5046" s="2">
        <f t="shared" si="544"/>
        <v>6</v>
      </c>
      <c r="M5046">
        <f t="shared" si="545"/>
        <v>0</v>
      </c>
      <c r="O5046" s="62"/>
      <c r="P5046" s="62"/>
    </row>
    <row r="5047" spans="1:16" x14ac:dyDescent="0.3">
      <c r="A5047" s="3">
        <f t="shared" si="528"/>
        <v>45783</v>
      </c>
      <c r="B5047" s="11" t="s">
        <v>5716</v>
      </c>
      <c r="C5047" s="50" t="s">
        <v>3519</v>
      </c>
      <c r="G5047" s="2">
        <v>3000</v>
      </c>
      <c r="I5047" s="88">
        <f t="shared" si="543"/>
        <v>4812.3600000000006</v>
      </c>
      <c r="K5047" s="62"/>
      <c r="L5047" s="2">
        <f t="shared" si="544"/>
        <v>12</v>
      </c>
      <c r="M5047">
        <f t="shared" si="545"/>
        <v>0</v>
      </c>
      <c r="O5047" s="62"/>
      <c r="P5047" s="62"/>
    </row>
    <row r="5048" spans="1:16" x14ac:dyDescent="0.3">
      <c r="A5048" s="3">
        <f t="shared" si="528"/>
        <v>45783</v>
      </c>
      <c r="B5048" s="11" t="s">
        <v>8171</v>
      </c>
      <c r="C5048" s="50" t="s">
        <v>8250</v>
      </c>
      <c r="E5048" s="90" t="s">
        <v>2088</v>
      </c>
      <c r="I5048" s="88">
        <f t="shared" si="543"/>
        <v>4812.3600000000006</v>
      </c>
      <c r="K5048" s="62"/>
      <c r="L5048" s="2">
        <f t="shared" si="544"/>
        <v>0</v>
      </c>
      <c r="M5048">
        <f t="shared" si="545"/>
        <v>5</v>
      </c>
      <c r="O5048" s="62"/>
      <c r="P5048" s="62"/>
    </row>
    <row r="5049" spans="1:16" x14ac:dyDescent="0.3">
      <c r="A5049" s="3">
        <f t="shared" si="528"/>
        <v>45783</v>
      </c>
      <c r="B5049" s="11" t="s">
        <v>6260</v>
      </c>
      <c r="C5049" s="50" t="s">
        <v>7117</v>
      </c>
      <c r="H5049" s="2">
        <v>4500</v>
      </c>
      <c r="I5049" s="88">
        <f t="shared" si="543"/>
        <v>312.36000000000058</v>
      </c>
      <c r="K5049" s="62"/>
      <c r="L5049" s="2">
        <f t="shared" si="544"/>
        <v>18</v>
      </c>
      <c r="M5049">
        <f t="shared" si="545"/>
        <v>0</v>
      </c>
      <c r="O5049" s="62"/>
      <c r="P5049" s="62"/>
    </row>
    <row r="5050" spans="1:16" x14ac:dyDescent="0.3">
      <c r="A5050" s="3">
        <v>45784</v>
      </c>
      <c r="C5050" s="50" t="s">
        <v>2886</v>
      </c>
      <c r="E5050" s="90" t="s">
        <v>4721</v>
      </c>
      <c r="G5050" s="2">
        <v>20000</v>
      </c>
      <c r="I5050" s="88">
        <f t="shared" ref="I5050:I5060" si="546">I5049+G5050-H5050</f>
        <v>20312.36</v>
      </c>
      <c r="K5050" s="62"/>
      <c r="L5050" s="2">
        <f t="shared" ref="L5050:L5060" si="547">IF((G5050+H5050)&lt;=5000,(H5050+G5050)*0.004,20)+IF(E5050="Y",25,0)</f>
        <v>20</v>
      </c>
      <c r="M5050">
        <f t="shared" ref="M5050:M5060" si="548">IF(E5050="p",5,0)</f>
        <v>0</v>
      </c>
      <c r="O5050" s="62"/>
      <c r="P5050" s="62"/>
    </row>
    <row r="5051" spans="1:16" x14ac:dyDescent="0.3">
      <c r="A5051" s="3">
        <f t="shared" si="528"/>
        <v>45784</v>
      </c>
      <c r="B5051" s="11" t="s">
        <v>2634</v>
      </c>
      <c r="C5051" s="50" t="s">
        <v>3251</v>
      </c>
      <c r="H5051" s="2">
        <v>20000</v>
      </c>
      <c r="I5051" s="88">
        <f t="shared" si="546"/>
        <v>312.36000000000058</v>
      </c>
      <c r="K5051" s="62"/>
      <c r="L5051" s="2">
        <f t="shared" si="547"/>
        <v>20</v>
      </c>
      <c r="M5051">
        <f t="shared" si="548"/>
        <v>0</v>
      </c>
      <c r="O5051" s="62"/>
      <c r="P5051" s="62"/>
    </row>
    <row r="5052" spans="1:16" x14ac:dyDescent="0.3">
      <c r="A5052" s="3">
        <f t="shared" ref="A5052:A5115" si="549">A5051</f>
        <v>45784</v>
      </c>
      <c r="C5052" s="50" t="s">
        <v>8251</v>
      </c>
      <c r="G5052" s="2">
        <v>4000</v>
      </c>
      <c r="I5052" s="88">
        <f t="shared" si="546"/>
        <v>4312.3600000000006</v>
      </c>
      <c r="K5052" s="62"/>
      <c r="L5052" s="2">
        <f t="shared" si="547"/>
        <v>16</v>
      </c>
      <c r="M5052">
        <f t="shared" si="548"/>
        <v>0</v>
      </c>
      <c r="O5052" s="62"/>
      <c r="P5052" s="62"/>
    </row>
    <row r="5053" spans="1:16" x14ac:dyDescent="0.3">
      <c r="A5053" s="3">
        <f t="shared" si="549"/>
        <v>45784</v>
      </c>
      <c r="B5053" s="11" t="s">
        <v>7605</v>
      </c>
      <c r="C5053" s="50" t="s">
        <v>8252</v>
      </c>
      <c r="E5053" s="90" t="s">
        <v>2088</v>
      </c>
      <c r="I5053" s="88">
        <f t="shared" si="546"/>
        <v>4312.3600000000006</v>
      </c>
      <c r="K5053" s="62"/>
      <c r="L5053" s="2">
        <f t="shared" si="547"/>
        <v>0</v>
      </c>
      <c r="M5053">
        <f t="shared" si="548"/>
        <v>5</v>
      </c>
      <c r="O5053" s="62"/>
      <c r="P5053" s="62"/>
    </row>
    <row r="5054" spans="1:16" x14ac:dyDescent="0.3">
      <c r="A5054" s="3">
        <f t="shared" si="549"/>
        <v>45784</v>
      </c>
      <c r="B5054" s="11" t="s">
        <v>7605</v>
      </c>
      <c r="C5054" s="50" t="s">
        <v>8252</v>
      </c>
      <c r="G5054" s="2">
        <v>7800</v>
      </c>
      <c r="I5054" s="88">
        <f t="shared" si="546"/>
        <v>12112.36</v>
      </c>
      <c r="K5054" s="62"/>
      <c r="L5054" s="2">
        <f t="shared" si="547"/>
        <v>20</v>
      </c>
      <c r="M5054">
        <f t="shared" si="548"/>
        <v>0</v>
      </c>
      <c r="O5054" s="62"/>
      <c r="P5054" s="62"/>
    </row>
    <row r="5055" spans="1:16" x14ac:dyDescent="0.3">
      <c r="A5055" s="3">
        <f t="shared" si="549"/>
        <v>45784</v>
      </c>
      <c r="B5055" s="11" t="s">
        <v>7605</v>
      </c>
      <c r="C5055" s="50" t="s">
        <v>8252</v>
      </c>
      <c r="E5055" s="90" t="s">
        <v>2088</v>
      </c>
      <c r="I5055" s="88">
        <f t="shared" si="546"/>
        <v>12112.36</v>
      </c>
      <c r="K5055" s="62"/>
      <c r="L5055" s="2">
        <f t="shared" si="547"/>
        <v>0</v>
      </c>
      <c r="M5055">
        <f t="shared" si="548"/>
        <v>5</v>
      </c>
      <c r="O5055" s="62"/>
      <c r="P5055" s="62"/>
    </row>
    <row r="5056" spans="1:16" x14ac:dyDescent="0.3">
      <c r="A5056" s="3">
        <f t="shared" si="549"/>
        <v>45784</v>
      </c>
      <c r="B5056" s="11" t="s">
        <v>8253</v>
      </c>
      <c r="C5056" s="50" t="s">
        <v>8254</v>
      </c>
      <c r="E5056" s="90" t="s">
        <v>2088</v>
      </c>
      <c r="I5056" s="88">
        <f t="shared" si="546"/>
        <v>12112.36</v>
      </c>
      <c r="K5056" s="62"/>
      <c r="L5056" s="2">
        <f t="shared" si="547"/>
        <v>0</v>
      </c>
      <c r="M5056">
        <f t="shared" si="548"/>
        <v>5</v>
      </c>
      <c r="O5056" s="62"/>
      <c r="P5056" s="62"/>
    </row>
    <row r="5057" spans="1:16" x14ac:dyDescent="0.3">
      <c r="A5057" s="3">
        <f t="shared" si="549"/>
        <v>45784</v>
      </c>
      <c r="B5057" s="11" t="s">
        <v>8256</v>
      </c>
      <c r="C5057" s="50" t="s">
        <v>8257</v>
      </c>
      <c r="H5057" s="2">
        <v>1000</v>
      </c>
      <c r="I5057" s="88">
        <f t="shared" si="546"/>
        <v>11112.36</v>
      </c>
      <c r="K5057" s="62"/>
      <c r="L5057" s="2">
        <f t="shared" si="547"/>
        <v>4</v>
      </c>
      <c r="M5057">
        <f t="shared" si="548"/>
        <v>0</v>
      </c>
      <c r="O5057" s="62"/>
      <c r="P5057" s="62"/>
    </row>
    <row r="5058" spans="1:16" x14ac:dyDescent="0.3">
      <c r="A5058" s="3">
        <f t="shared" si="549"/>
        <v>45784</v>
      </c>
      <c r="B5058" s="11" t="s">
        <v>8256</v>
      </c>
      <c r="C5058" s="50" t="s">
        <v>8257</v>
      </c>
      <c r="E5058" s="90" t="s">
        <v>2088</v>
      </c>
      <c r="I5058" s="88">
        <f t="shared" si="546"/>
        <v>11112.36</v>
      </c>
      <c r="K5058" s="62"/>
      <c r="L5058" s="2">
        <f t="shared" si="547"/>
        <v>0</v>
      </c>
      <c r="M5058">
        <f t="shared" si="548"/>
        <v>5</v>
      </c>
      <c r="O5058" s="62"/>
      <c r="P5058" s="62"/>
    </row>
    <row r="5059" spans="1:16" x14ac:dyDescent="0.3">
      <c r="A5059" s="3">
        <f t="shared" si="549"/>
        <v>45784</v>
      </c>
      <c r="B5059" s="11" t="s">
        <v>6687</v>
      </c>
      <c r="C5059" s="50" t="s">
        <v>6688</v>
      </c>
      <c r="G5059" s="2">
        <v>5000</v>
      </c>
      <c r="I5059" s="88">
        <f t="shared" si="546"/>
        <v>16112.36</v>
      </c>
      <c r="K5059" s="62"/>
      <c r="L5059" s="2">
        <f t="shared" si="547"/>
        <v>20</v>
      </c>
      <c r="M5059">
        <f t="shared" si="548"/>
        <v>0</v>
      </c>
      <c r="O5059" s="62"/>
      <c r="P5059" s="62"/>
    </row>
    <row r="5060" spans="1:16" x14ac:dyDescent="0.3">
      <c r="A5060" s="3">
        <f t="shared" si="549"/>
        <v>45784</v>
      </c>
      <c r="B5060" s="11" t="s">
        <v>8109</v>
      </c>
      <c r="C5060" s="50" t="s">
        <v>8110</v>
      </c>
      <c r="E5060" s="90" t="s">
        <v>2088</v>
      </c>
      <c r="I5060" s="88">
        <f t="shared" si="546"/>
        <v>16112.36</v>
      </c>
      <c r="K5060" s="62"/>
      <c r="L5060" s="2">
        <f t="shared" si="547"/>
        <v>0</v>
      </c>
      <c r="M5060">
        <f t="shared" si="548"/>
        <v>5</v>
      </c>
      <c r="O5060" s="62"/>
      <c r="P5060" s="62"/>
    </row>
    <row r="5061" spans="1:16" x14ac:dyDescent="0.3">
      <c r="A5061" s="3">
        <f t="shared" si="549"/>
        <v>45784</v>
      </c>
      <c r="B5061" s="11" t="s">
        <v>8259</v>
      </c>
      <c r="C5061" s="65" t="s">
        <v>8260</v>
      </c>
      <c r="E5061" s="90" t="s">
        <v>16</v>
      </c>
      <c r="H5061" s="2">
        <v>500</v>
      </c>
      <c r="I5061" s="88">
        <f t="shared" ref="I5061:I5068" si="550">I5060+G5061-H5061</f>
        <v>15612.36</v>
      </c>
      <c r="K5061" s="62"/>
      <c r="L5061" s="2">
        <f t="shared" ref="L5061:L5062" si="551">IF((G5061+H5061)&lt;=5000,(H5061+G5061)*0.004,20)+IF(E5061="Y",25,0)</f>
        <v>27</v>
      </c>
      <c r="M5061">
        <f t="shared" ref="M5061:M5062" si="552">IF(E5061="p",5,0)</f>
        <v>0</v>
      </c>
      <c r="O5061" s="62"/>
      <c r="P5061" s="62"/>
    </row>
    <row r="5062" spans="1:16" x14ac:dyDescent="0.3">
      <c r="A5062" s="3">
        <f t="shared" si="549"/>
        <v>45784</v>
      </c>
      <c r="B5062" s="11" t="s">
        <v>8221</v>
      </c>
      <c r="C5062" s="50" t="s">
        <v>7117</v>
      </c>
      <c r="H5062" s="2">
        <v>2000</v>
      </c>
      <c r="I5062" s="88">
        <f t="shared" si="550"/>
        <v>13612.36</v>
      </c>
      <c r="K5062" s="62"/>
      <c r="L5062" s="2">
        <f t="shared" si="551"/>
        <v>8</v>
      </c>
      <c r="M5062">
        <f t="shared" si="552"/>
        <v>0</v>
      </c>
      <c r="O5062" s="62"/>
      <c r="P5062" s="62"/>
    </row>
    <row r="5063" spans="1:16" x14ac:dyDescent="0.3">
      <c r="A5063" s="3">
        <f t="shared" si="549"/>
        <v>45784</v>
      </c>
      <c r="B5063" s="11" t="s">
        <v>1250</v>
      </c>
      <c r="C5063" s="50" t="s">
        <v>4853</v>
      </c>
      <c r="G5063" s="2">
        <v>1400</v>
      </c>
      <c r="I5063" s="88">
        <f t="shared" si="550"/>
        <v>15012.36</v>
      </c>
      <c r="K5063" s="62"/>
      <c r="L5063" s="2">
        <f t="shared" ref="L5063:L5068" si="553">IF((G5063+H5063)&lt;=5000,(H5063+G5063)*0.004,20)+IF(E5063="Y",25,0)</f>
        <v>5.6000000000000005</v>
      </c>
      <c r="M5063">
        <f t="shared" ref="M5063:M5068" si="554">IF(E5063="p",5,0)</f>
        <v>0</v>
      </c>
      <c r="O5063" s="62"/>
      <c r="P5063" s="62"/>
    </row>
    <row r="5064" spans="1:16" x14ac:dyDescent="0.3">
      <c r="A5064" s="3">
        <v>45785</v>
      </c>
      <c r="B5064" s="11" t="s">
        <v>2448</v>
      </c>
      <c r="C5064" s="50" t="s">
        <v>2274</v>
      </c>
      <c r="H5064" s="2">
        <v>4000</v>
      </c>
      <c r="I5064" s="88">
        <f t="shared" si="550"/>
        <v>11012.36</v>
      </c>
      <c r="K5064" s="62"/>
      <c r="L5064" s="2">
        <f t="shared" si="553"/>
        <v>16</v>
      </c>
      <c r="M5064">
        <f t="shared" si="554"/>
        <v>0</v>
      </c>
      <c r="O5064" s="62"/>
      <c r="P5064" s="62"/>
    </row>
    <row r="5065" spans="1:16" x14ac:dyDescent="0.3">
      <c r="A5065" s="3">
        <f t="shared" si="549"/>
        <v>45785</v>
      </c>
      <c r="B5065" s="11" t="s">
        <v>2338</v>
      </c>
      <c r="C5065" s="50" t="s">
        <v>1279</v>
      </c>
      <c r="H5065" s="2">
        <v>4000</v>
      </c>
      <c r="I5065" s="88">
        <f t="shared" si="550"/>
        <v>7012.3600000000006</v>
      </c>
      <c r="K5065" s="62"/>
      <c r="L5065" s="2">
        <f t="shared" si="553"/>
        <v>16</v>
      </c>
      <c r="M5065">
        <f t="shared" si="554"/>
        <v>0</v>
      </c>
      <c r="O5065" s="62"/>
      <c r="P5065" s="62"/>
    </row>
    <row r="5066" spans="1:16" x14ac:dyDescent="0.3">
      <c r="A5066" s="3">
        <f t="shared" si="549"/>
        <v>45785</v>
      </c>
      <c r="B5066" s="11" t="s">
        <v>6766</v>
      </c>
      <c r="C5066" s="50" t="s">
        <v>8262</v>
      </c>
      <c r="E5066" s="90" t="s">
        <v>2088</v>
      </c>
      <c r="I5066" s="88">
        <f t="shared" si="550"/>
        <v>7012.3600000000006</v>
      </c>
      <c r="K5066" s="62"/>
      <c r="L5066" s="2">
        <f t="shared" si="553"/>
        <v>0</v>
      </c>
      <c r="M5066">
        <f t="shared" si="554"/>
        <v>5</v>
      </c>
      <c r="O5066" s="62"/>
      <c r="P5066" s="62"/>
    </row>
    <row r="5067" spans="1:16" x14ac:dyDescent="0.3">
      <c r="A5067" s="3">
        <f t="shared" si="549"/>
        <v>45785</v>
      </c>
      <c r="B5067" s="11" t="s">
        <v>5042</v>
      </c>
      <c r="C5067" s="50" t="s">
        <v>8263</v>
      </c>
      <c r="G5067" s="2">
        <v>5000</v>
      </c>
      <c r="I5067" s="88">
        <f t="shared" si="550"/>
        <v>12012.36</v>
      </c>
      <c r="K5067" s="62"/>
      <c r="L5067" s="2">
        <f t="shared" si="553"/>
        <v>20</v>
      </c>
      <c r="M5067">
        <f t="shared" si="554"/>
        <v>0</v>
      </c>
      <c r="O5067" s="62"/>
      <c r="P5067" s="62"/>
    </row>
    <row r="5068" spans="1:16" x14ac:dyDescent="0.3">
      <c r="A5068" s="3">
        <f t="shared" si="549"/>
        <v>45785</v>
      </c>
      <c r="B5068" s="11" t="s">
        <v>5042</v>
      </c>
      <c r="C5068" s="50" t="s">
        <v>8263</v>
      </c>
      <c r="E5068" s="90" t="s">
        <v>2088</v>
      </c>
      <c r="I5068" s="88">
        <f t="shared" si="550"/>
        <v>12012.36</v>
      </c>
      <c r="K5068" s="62"/>
      <c r="L5068" s="2">
        <f t="shared" si="553"/>
        <v>0</v>
      </c>
      <c r="M5068">
        <f t="shared" si="554"/>
        <v>5</v>
      </c>
      <c r="O5068" s="62"/>
      <c r="P5068" s="62"/>
    </row>
    <row r="5069" spans="1:16" x14ac:dyDescent="0.3">
      <c r="A5069" s="3">
        <f t="shared" si="549"/>
        <v>45785</v>
      </c>
      <c r="B5069" s="11" t="s">
        <v>1160</v>
      </c>
      <c r="C5069" s="50" t="s">
        <v>8264</v>
      </c>
      <c r="G5069" s="2">
        <v>6000</v>
      </c>
      <c r="I5069" s="88">
        <f t="shared" ref="I5069:I5078" si="555">I5068+G5069-H5069</f>
        <v>18012.36</v>
      </c>
      <c r="K5069" s="62"/>
      <c r="L5069" s="2">
        <f t="shared" ref="L5069:L5078" si="556">IF((G5069+H5069)&lt;=5000,(H5069+G5069)*0.004,20)+IF(E5069="Y",25,0)</f>
        <v>20</v>
      </c>
      <c r="M5069">
        <f t="shared" ref="M5069:M5078" si="557">IF(E5069="p",5,0)</f>
        <v>0</v>
      </c>
      <c r="O5069" s="62"/>
      <c r="P5069" s="62"/>
    </row>
    <row r="5070" spans="1:16" x14ac:dyDescent="0.3">
      <c r="A5070" s="3">
        <f t="shared" si="549"/>
        <v>45785</v>
      </c>
      <c r="B5070" s="11" t="s">
        <v>6844</v>
      </c>
      <c r="C5070" s="50" t="s">
        <v>8265</v>
      </c>
      <c r="H5070" s="2">
        <v>1000</v>
      </c>
      <c r="I5070" s="88">
        <f t="shared" si="555"/>
        <v>17012.36</v>
      </c>
      <c r="K5070" s="62"/>
      <c r="L5070" s="2">
        <f t="shared" si="556"/>
        <v>4</v>
      </c>
      <c r="M5070">
        <f t="shared" si="557"/>
        <v>0</v>
      </c>
      <c r="O5070" s="62"/>
      <c r="P5070" s="62"/>
    </row>
    <row r="5071" spans="1:16" x14ac:dyDescent="0.3">
      <c r="A5071" s="3">
        <f t="shared" si="549"/>
        <v>45785</v>
      </c>
      <c r="B5071" s="11" t="s">
        <v>8242</v>
      </c>
      <c r="E5071" s="90" t="s">
        <v>2088</v>
      </c>
      <c r="I5071" s="88">
        <f t="shared" si="555"/>
        <v>17012.36</v>
      </c>
      <c r="K5071" s="62"/>
      <c r="L5071" s="2">
        <f t="shared" si="556"/>
        <v>0</v>
      </c>
      <c r="M5071">
        <f t="shared" si="557"/>
        <v>5</v>
      </c>
      <c r="O5071" s="62"/>
      <c r="P5071" s="62"/>
    </row>
    <row r="5072" spans="1:16" x14ac:dyDescent="0.3">
      <c r="A5072" s="3">
        <f t="shared" si="549"/>
        <v>45785</v>
      </c>
      <c r="C5072" s="50" t="s">
        <v>2857</v>
      </c>
      <c r="E5072" s="90" t="s">
        <v>8332</v>
      </c>
      <c r="H5072" s="2">
        <v>17000</v>
      </c>
      <c r="I5072" s="88">
        <f t="shared" si="555"/>
        <v>12.360000000000582</v>
      </c>
      <c r="K5072" s="62"/>
      <c r="L5072" s="2">
        <f t="shared" si="556"/>
        <v>20</v>
      </c>
      <c r="M5072">
        <f t="shared" si="557"/>
        <v>0</v>
      </c>
      <c r="O5072" s="62"/>
      <c r="P5072" s="62"/>
    </row>
    <row r="5073" spans="1:16" x14ac:dyDescent="0.3">
      <c r="A5073" s="3">
        <f t="shared" si="549"/>
        <v>45785</v>
      </c>
      <c r="B5073" s="11" t="s">
        <v>8259</v>
      </c>
      <c r="C5073" s="50" t="s">
        <v>7278</v>
      </c>
      <c r="E5073" s="90" t="s">
        <v>2088</v>
      </c>
      <c r="I5073" s="88">
        <f t="shared" si="555"/>
        <v>12.360000000000582</v>
      </c>
      <c r="K5073" s="62"/>
      <c r="L5073" s="2">
        <f t="shared" si="556"/>
        <v>0</v>
      </c>
      <c r="M5073">
        <f t="shared" si="557"/>
        <v>5</v>
      </c>
      <c r="O5073" s="62"/>
      <c r="P5073" s="62"/>
    </row>
    <row r="5074" spans="1:16" x14ac:dyDescent="0.3">
      <c r="A5074" s="3">
        <v>45786</v>
      </c>
      <c r="B5074" s="11" t="s">
        <v>8016</v>
      </c>
      <c r="C5074" s="50" t="s">
        <v>8268</v>
      </c>
      <c r="G5074" s="2">
        <v>600</v>
      </c>
      <c r="I5074" s="88">
        <f t="shared" si="555"/>
        <v>612.36000000000058</v>
      </c>
      <c r="K5074" s="62"/>
      <c r="L5074" s="2">
        <f t="shared" si="556"/>
        <v>2.4</v>
      </c>
      <c r="M5074">
        <f t="shared" si="557"/>
        <v>0</v>
      </c>
      <c r="O5074" s="62"/>
      <c r="P5074" s="62"/>
    </row>
    <row r="5075" spans="1:16" x14ac:dyDescent="0.3">
      <c r="A5075" s="3">
        <f t="shared" si="549"/>
        <v>45786</v>
      </c>
      <c r="B5075" s="11" t="s">
        <v>8016</v>
      </c>
      <c r="C5075" s="50" t="s">
        <v>8268</v>
      </c>
      <c r="E5075" s="90" t="s">
        <v>2088</v>
      </c>
      <c r="I5075" s="88">
        <f t="shared" si="555"/>
        <v>612.36000000000058</v>
      </c>
      <c r="K5075" s="62"/>
      <c r="L5075" s="2">
        <f t="shared" si="556"/>
        <v>0</v>
      </c>
      <c r="M5075">
        <f t="shared" si="557"/>
        <v>5</v>
      </c>
      <c r="O5075" s="62"/>
      <c r="P5075" s="62"/>
    </row>
    <row r="5076" spans="1:16" x14ac:dyDescent="0.3">
      <c r="A5076" s="3">
        <f t="shared" si="549"/>
        <v>45786</v>
      </c>
      <c r="B5076" s="11" t="s">
        <v>2581</v>
      </c>
      <c r="C5076" s="50" t="s">
        <v>6866</v>
      </c>
      <c r="G5076" s="2">
        <v>5000</v>
      </c>
      <c r="I5076" s="88">
        <f t="shared" si="555"/>
        <v>5612.3600000000006</v>
      </c>
      <c r="K5076" s="62"/>
      <c r="L5076" s="2">
        <f t="shared" si="556"/>
        <v>20</v>
      </c>
      <c r="M5076">
        <f t="shared" si="557"/>
        <v>0</v>
      </c>
      <c r="O5076" s="62"/>
      <c r="P5076" s="62"/>
    </row>
    <row r="5077" spans="1:16" x14ac:dyDescent="0.3">
      <c r="A5077" s="3">
        <f t="shared" si="549"/>
        <v>45786</v>
      </c>
      <c r="B5077" s="11" t="s">
        <v>6260</v>
      </c>
      <c r="C5077" s="50" t="s">
        <v>7117</v>
      </c>
      <c r="H5077" s="2">
        <v>2500</v>
      </c>
      <c r="I5077" s="88">
        <f t="shared" si="555"/>
        <v>3112.3600000000006</v>
      </c>
      <c r="K5077" s="62"/>
      <c r="L5077" s="2">
        <f t="shared" si="556"/>
        <v>10</v>
      </c>
      <c r="M5077">
        <f t="shared" si="557"/>
        <v>0</v>
      </c>
      <c r="O5077" s="62"/>
      <c r="P5077" s="62"/>
    </row>
    <row r="5078" spans="1:16" x14ac:dyDescent="0.3">
      <c r="A5078" s="3">
        <f t="shared" si="549"/>
        <v>45786</v>
      </c>
      <c r="B5078" s="11" t="s">
        <v>1250</v>
      </c>
      <c r="C5078" s="50" t="s">
        <v>5909</v>
      </c>
      <c r="G5078" s="2">
        <v>5000</v>
      </c>
      <c r="I5078" s="88">
        <f t="shared" si="555"/>
        <v>8112.3600000000006</v>
      </c>
      <c r="K5078" s="62"/>
      <c r="L5078" s="2">
        <f t="shared" si="556"/>
        <v>20</v>
      </c>
      <c r="M5078">
        <f t="shared" si="557"/>
        <v>0</v>
      </c>
      <c r="O5078" s="62"/>
      <c r="P5078" s="62"/>
    </row>
    <row r="5079" spans="1:16" x14ac:dyDescent="0.3">
      <c r="A5079" s="3">
        <f t="shared" si="549"/>
        <v>45786</v>
      </c>
      <c r="B5079" s="11" t="s">
        <v>2634</v>
      </c>
      <c r="C5079" s="50" t="s">
        <v>3251</v>
      </c>
      <c r="H5079" s="2">
        <v>150</v>
      </c>
      <c r="I5079" s="88">
        <f t="shared" ref="I5079:I5087" si="558">I5078+G5079-H5079</f>
        <v>7962.3600000000006</v>
      </c>
      <c r="K5079" s="62"/>
      <c r="L5079" s="2">
        <f t="shared" ref="L5079:L5087" si="559">IF((G5079+H5079)&lt;=5000,(H5079+G5079)*0.004,20)+IF(E5079="Y",25,0)</f>
        <v>0.6</v>
      </c>
      <c r="M5079">
        <f t="shared" ref="M5079:M5087" si="560">IF(E5079="p",5,0)</f>
        <v>0</v>
      </c>
      <c r="O5079" s="62"/>
      <c r="P5079" s="62"/>
    </row>
    <row r="5080" spans="1:16" x14ac:dyDescent="0.3">
      <c r="A5080" s="3">
        <f t="shared" si="549"/>
        <v>45786</v>
      </c>
      <c r="B5080" s="11" t="s">
        <v>2241</v>
      </c>
      <c r="C5080" s="50" t="s">
        <v>8269</v>
      </c>
      <c r="G5080" s="2">
        <v>700</v>
      </c>
      <c r="I5080" s="88">
        <f t="shared" si="558"/>
        <v>8662.36</v>
      </c>
      <c r="K5080" s="62"/>
      <c r="L5080" s="2">
        <f t="shared" si="559"/>
        <v>2.8000000000000003</v>
      </c>
      <c r="M5080">
        <f t="shared" si="560"/>
        <v>0</v>
      </c>
      <c r="O5080" s="62"/>
      <c r="P5080" s="62"/>
    </row>
    <row r="5081" spans="1:16" x14ac:dyDescent="0.3">
      <c r="A5081" s="3">
        <f t="shared" si="549"/>
        <v>45786</v>
      </c>
      <c r="B5081" s="11" t="s">
        <v>8271</v>
      </c>
      <c r="C5081" s="51" t="s">
        <v>8272</v>
      </c>
      <c r="E5081" s="90" t="s">
        <v>16</v>
      </c>
      <c r="H5081" s="2">
        <v>1900</v>
      </c>
      <c r="I5081" s="88">
        <f t="shared" si="558"/>
        <v>6762.3600000000006</v>
      </c>
      <c r="K5081" s="62"/>
      <c r="L5081" s="2">
        <f t="shared" si="559"/>
        <v>32.6</v>
      </c>
      <c r="M5081">
        <f t="shared" si="560"/>
        <v>0</v>
      </c>
      <c r="O5081" s="62"/>
      <c r="P5081" s="62"/>
    </row>
    <row r="5082" spans="1:16" x14ac:dyDescent="0.3">
      <c r="A5082" s="3">
        <v>45787</v>
      </c>
      <c r="B5082" s="11" t="s">
        <v>8004</v>
      </c>
      <c r="C5082" s="50" t="s">
        <v>8273</v>
      </c>
      <c r="H5082" s="2">
        <v>2500</v>
      </c>
      <c r="I5082" s="88">
        <f t="shared" si="558"/>
        <v>4262.3600000000006</v>
      </c>
      <c r="K5082" s="62"/>
      <c r="L5082" s="2">
        <f t="shared" si="559"/>
        <v>10</v>
      </c>
      <c r="M5082">
        <f t="shared" si="560"/>
        <v>0</v>
      </c>
      <c r="O5082" s="62"/>
      <c r="P5082" s="62"/>
    </row>
    <row r="5083" spans="1:16" x14ac:dyDescent="0.3">
      <c r="A5083" s="3">
        <f t="shared" si="549"/>
        <v>45787</v>
      </c>
      <c r="B5083" s="11" t="s">
        <v>1250</v>
      </c>
      <c r="C5083" s="50" t="s">
        <v>4853</v>
      </c>
      <c r="G5083" s="2">
        <v>1400</v>
      </c>
      <c r="I5083" s="88">
        <f t="shared" si="558"/>
        <v>5662.3600000000006</v>
      </c>
      <c r="K5083" s="62">
        <v>40</v>
      </c>
      <c r="L5083" s="2">
        <f t="shared" si="559"/>
        <v>5.6000000000000005</v>
      </c>
      <c r="M5083">
        <f t="shared" si="560"/>
        <v>0</v>
      </c>
      <c r="O5083" s="62"/>
      <c r="P5083" s="62"/>
    </row>
    <row r="5084" spans="1:16" x14ac:dyDescent="0.3">
      <c r="A5084" s="3">
        <f t="shared" si="549"/>
        <v>45787</v>
      </c>
      <c r="B5084" s="11" t="s">
        <v>3669</v>
      </c>
      <c r="C5084" s="50" t="s">
        <v>8274</v>
      </c>
      <c r="G5084" s="2">
        <v>10000</v>
      </c>
      <c r="I5084" s="88">
        <f t="shared" si="558"/>
        <v>15662.36</v>
      </c>
      <c r="K5084" s="62"/>
      <c r="L5084" s="2">
        <f t="shared" si="559"/>
        <v>20</v>
      </c>
      <c r="M5084">
        <f t="shared" si="560"/>
        <v>0</v>
      </c>
      <c r="O5084" s="62"/>
      <c r="P5084" s="62"/>
    </row>
    <row r="5085" spans="1:16" x14ac:dyDescent="0.3">
      <c r="A5085" s="3">
        <f t="shared" si="549"/>
        <v>45787</v>
      </c>
      <c r="B5085" s="11" t="s">
        <v>1250</v>
      </c>
      <c r="C5085" s="50" t="s">
        <v>2491</v>
      </c>
      <c r="G5085" s="2">
        <v>10000</v>
      </c>
      <c r="I5085" s="88">
        <f t="shared" si="558"/>
        <v>25662.36</v>
      </c>
      <c r="K5085" s="62"/>
      <c r="L5085" s="2">
        <f t="shared" si="559"/>
        <v>20</v>
      </c>
      <c r="M5085">
        <f t="shared" si="560"/>
        <v>0</v>
      </c>
      <c r="O5085" s="62"/>
      <c r="P5085" s="62"/>
    </row>
    <row r="5086" spans="1:16" x14ac:dyDescent="0.3">
      <c r="A5086" s="3">
        <f t="shared" si="549"/>
        <v>45787</v>
      </c>
      <c r="B5086" s="11" t="s">
        <v>1472</v>
      </c>
      <c r="C5086" s="50" t="s">
        <v>7773</v>
      </c>
      <c r="G5086" s="2">
        <v>3000</v>
      </c>
      <c r="I5086" s="88">
        <f t="shared" si="558"/>
        <v>28662.36</v>
      </c>
      <c r="K5086" s="62"/>
      <c r="L5086" s="2">
        <f t="shared" si="559"/>
        <v>12</v>
      </c>
      <c r="M5086">
        <f t="shared" si="560"/>
        <v>0</v>
      </c>
      <c r="O5086" s="62"/>
      <c r="P5086" s="62"/>
    </row>
    <row r="5087" spans="1:16" x14ac:dyDescent="0.3">
      <c r="A5087" s="3">
        <f t="shared" si="549"/>
        <v>45787</v>
      </c>
      <c r="B5087" s="11" t="s">
        <v>8275</v>
      </c>
      <c r="C5087" s="50" t="s">
        <v>8276</v>
      </c>
      <c r="H5087" s="2">
        <v>10000</v>
      </c>
      <c r="I5087" s="88">
        <f t="shared" si="558"/>
        <v>18662.36</v>
      </c>
      <c r="K5087" s="62"/>
      <c r="L5087" s="2">
        <f t="shared" si="559"/>
        <v>20</v>
      </c>
      <c r="M5087">
        <f t="shared" si="560"/>
        <v>0</v>
      </c>
      <c r="O5087" s="62"/>
      <c r="P5087" s="62"/>
    </row>
    <row r="5088" spans="1:16" x14ac:dyDescent="0.3">
      <c r="A5088" s="3">
        <f t="shared" si="549"/>
        <v>45787</v>
      </c>
      <c r="B5088" s="11" t="s">
        <v>8277</v>
      </c>
      <c r="H5088" s="2">
        <v>10000</v>
      </c>
      <c r="I5088" s="88">
        <f t="shared" ref="I5088:I5098" si="561">I5087+G5088-H5088</f>
        <v>8662.36</v>
      </c>
      <c r="K5088" s="62"/>
      <c r="L5088" s="2">
        <f t="shared" ref="L5088:L5098" si="562">IF((G5088+H5088)&lt;=5000,(H5088+G5088)*0.004,20)+IF(E5088="Y",25,0)</f>
        <v>20</v>
      </c>
      <c r="M5088">
        <f t="shared" ref="M5088:M5098" si="563">IF(E5088="p",5,0)</f>
        <v>0</v>
      </c>
      <c r="O5088" s="62"/>
      <c r="P5088" s="62"/>
    </row>
    <row r="5089" spans="1:16" x14ac:dyDescent="0.3">
      <c r="A5089" s="3">
        <f t="shared" si="549"/>
        <v>45787</v>
      </c>
      <c r="B5089" s="11" t="s">
        <v>6428</v>
      </c>
      <c r="C5089" s="50" t="s">
        <v>7761</v>
      </c>
      <c r="G5089" s="2">
        <v>1600</v>
      </c>
      <c r="I5089" s="88">
        <f t="shared" si="561"/>
        <v>10262.36</v>
      </c>
      <c r="K5089" s="62"/>
      <c r="L5089" s="2">
        <f t="shared" si="562"/>
        <v>6.4</v>
      </c>
      <c r="M5089">
        <f t="shared" si="563"/>
        <v>0</v>
      </c>
      <c r="O5089" s="62"/>
      <c r="P5089" s="62"/>
    </row>
    <row r="5090" spans="1:16" x14ac:dyDescent="0.3">
      <c r="A5090" s="3">
        <f t="shared" si="549"/>
        <v>45787</v>
      </c>
      <c r="B5090" s="11" t="s">
        <v>6428</v>
      </c>
      <c r="C5090" s="50" t="s">
        <v>7761</v>
      </c>
      <c r="E5090" s="90" t="s">
        <v>2088</v>
      </c>
      <c r="I5090" s="88">
        <f t="shared" si="561"/>
        <v>10262.36</v>
      </c>
      <c r="K5090" s="62"/>
      <c r="L5090" s="2">
        <f t="shared" si="562"/>
        <v>0</v>
      </c>
      <c r="M5090">
        <f t="shared" si="563"/>
        <v>5</v>
      </c>
      <c r="O5090" s="62"/>
      <c r="P5090" s="62"/>
    </row>
    <row r="5091" spans="1:16" x14ac:dyDescent="0.3">
      <c r="A5091" s="3">
        <v>45787</v>
      </c>
      <c r="B5091" s="11" t="s">
        <v>2689</v>
      </c>
      <c r="C5091" s="50" t="s">
        <v>3615</v>
      </c>
      <c r="H5091" s="2">
        <v>10000</v>
      </c>
      <c r="I5091" s="88">
        <f t="shared" si="561"/>
        <v>262.36000000000058</v>
      </c>
      <c r="K5091" s="62"/>
      <c r="L5091" s="2">
        <f t="shared" si="562"/>
        <v>20</v>
      </c>
      <c r="M5091">
        <f t="shared" si="563"/>
        <v>0</v>
      </c>
      <c r="O5091" s="62"/>
      <c r="P5091" s="62"/>
    </row>
    <row r="5092" spans="1:16" x14ac:dyDescent="0.3">
      <c r="A5092" s="3">
        <v>45791</v>
      </c>
      <c r="B5092" s="11" t="s">
        <v>2241</v>
      </c>
      <c r="C5092" s="50" t="s">
        <v>8278</v>
      </c>
      <c r="G5092" s="2">
        <v>2000</v>
      </c>
      <c r="I5092" s="88">
        <f t="shared" si="561"/>
        <v>2262.3600000000006</v>
      </c>
      <c r="K5092" s="62"/>
      <c r="L5092" s="2">
        <f t="shared" si="562"/>
        <v>8</v>
      </c>
      <c r="M5092">
        <f t="shared" si="563"/>
        <v>0</v>
      </c>
      <c r="O5092" s="62"/>
      <c r="P5092" s="62"/>
    </row>
    <row r="5093" spans="1:16" x14ac:dyDescent="0.3">
      <c r="A5093" s="3">
        <f t="shared" si="549"/>
        <v>45791</v>
      </c>
      <c r="B5093" s="11" t="s">
        <v>5186</v>
      </c>
      <c r="C5093" s="50" t="s">
        <v>5189</v>
      </c>
      <c r="E5093" s="90" t="s">
        <v>2088</v>
      </c>
      <c r="I5093" s="88">
        <f t="shared" si="561"/>
        <v>2262.3600000000006</v>
      </c>
      <c r="K5093" s="62"/>
      <c r="L5093" s="2">
        <f t="shared" si="562"/>
        <v>0</v>
      </c>
      <c r="M5093">
        <f t="shared" si="563"/>
        <v>5</v>
      </c>
      <c r="O5093" s="62"/>
      <c r="P5093" s="62"/>
    </row>
    <row r="5094" spans="1:16" x14ac:dyDescent="0.3">
      <c r="A5094" s="3">
        <f t="shared" si="549"/>
        <v>45791</v>
      </c>
      <c r="B5094" s="11" t="s">
        <v>5186</v>
      </c>
      <c r="C5094" s="50" t="s">
        <v>5189</v>
      </c>
      <c r="G5094" s="2">
        <v>9000</v>
      </c>
      <c r="I5094" s="88">
        <f t="shared" si="561"/>
        <v>11262.36</v>
      </c>
      <c r="K5094" s="62"/>
      <c r="L5094" s="2">
        <f t="shared" si="562"/>
        <v>20</v>
      </c>
      <c r="M5094">
        <f t="shared" si="563"/>
        <v>0</v>
      </c>
      <c r="O5094" s="62"/>
      <c r="P5094" s="62"/>
    </row>
    <row r="5095" spans="1:16" x14ac:dyDescent="0.3">
      <c r="A5095" s="3">
        <f t="shared" si="549"/>
        <v>45791</v>
      </c>
      <c r="B5095" s="11" t="s">
        <v>1250</v>
      </c>
      <c r="C5095" s="50" t="s">
        <v>8279</v>
      </c>
      <c r="G5095" s="2">
        <v>6000</v>
      </c>
      <c r="I5095" s="88">
        <f t="shared" si="561"/>
        <v>17262.36</v>
      </c>
      <c r="K5095" s="62"/>
      <c r="L5095" s="2">
        <f t="shared" si="562"/>
        <v>20</v>
      </c>
      <c r="M5095">
        <f t="shared" si="563"/>
        <v>0</v>
      </c>
      <c r="O5095" s="62"/>
      <c r="P5095" s="62"/>
    </row>
    <row r="5096" spans="1:16" x14ac:dyDescent="0.3">
      <c r="A5096" s="3">
        <f t="shared" si="549"/>
        <v>45791</v>
      </c>
      <c r="B5096" s="11" t="s">
        <v>3232</v>
      </c>
      <c r="C5096" s="50" t="s">
        <v>8280</v>
      </c>
      <c r="G5096" s="2">
        <v>4000</v>
      </c>
      <c r="I5096" s="88">
        <f t="shared" si="561"/>
        <v>21262.36</v>
      </c>
      <c r="K5096" s="62"/>
      <c r="L5096" s="2">
        <f t="shared" si="562"/>
        <v>16</v>
      </c>
      <c r="M5096">
        <f t="shared" si="563"/>
        <v>0</v>
      </c>
      <c r="O5096" s="62"/>
      <c r="P5096" s="62"/>
    </row>
    <row r="5097" spans="1:16" x14ac:dyDescent="0.3">
      <c r="A5097" s="3">
        <f t="shared" si="549"/>
        <v>45791</v>
      </c>
      <c r="B5097" s="11" t="s">
        <v>6676</v>
      </c>
      <c r="C5097" s="50" t="s">
        <v>7675</v>
      </c>
      <c r="H5097" s="2">
        <v>1500</v>
      </c>
      <c r="I5097" s="88">
        <f t="shared" si="561"/>
        <v>19762.36</v>
      </c>
      <c r="K5097" s="62"/>
      <c r="L5097" s="2">
        <f t="shared" si="562"/>
        <v>6</v>
      </c>
      <c r="M5097">
        <f t="shared" si="563"/>
        <v>0</v>
      </c>
      <c r="O5097" s="62"/>
      <c r="P5097" s="62"/>
    </row>
    <row r="5098" spans="1:16" x14ac:dyDescent="0.3">
      <c r="A5098" s="3">
        <f t="shared" si="549"/>
        <v>45791</v>
      </c>
      <c r="B5098" s="11" t="s">
        <v>6773</v>
      </c>
      <c r="C5098" s="50" t="s">
        <v>8281</v>
      </c>
      <c r="H5098" s="2">
        <v>500</v>
      </c>
      <c r="I5098" s="88">
        <f t="shared" si="561"/>
        <v>19262.36</v>
      </c>
      <c r="K5098" s="62"/>
      <c r="L5098" s="2">
        <f t="shared" si="562"/>
        <v>2</v>
      </c>
      <c r="M5098">
        <f t="shared" si="563"/>
        <v>0</v>
      </c>
      <c r="O5098" s="62"/>
      <c r="P5098" s="62"/>
    </row>
    <row r="5099" spans="1:16" x14ac:dyDescent="0.3">
      <c r="A5099" s="3">
        <f t="shared" si="549"/>
        <v>45791</v>
      </c>
      <c r="B5099" s="11" t="s">
        <v>6840</v>
      </c>
      <c r="C5099" s="50" t="s">
        <v>7350</v>
      </c>
      <c r="G5099" s="2">
        <v>1500</v>
      </c>
      <c r="I5099" s="88">
        <f t="shared" ref="I5099:I5106" si="564">I5098+G5099-H5099</f>
        <v>20762.36</v>
      </c>
      <c r="K5099" s="62"/>
      <c r="L5099" s="2">
        <f t="shared" ref="L5099:L5106" si="565">IF((G5099+H5099)&lt;=5000,(H5099+G5099)*0.004,20)+IF(E5099="Y",25,0)</f>
        <v>6</v>
      </c>
      <c r="M5099">
        <f t="shared" ref="M5099:M5106" si="566">IF(E5099="p",5,0)</f>
        <v>0</v>
      </c>
      <c r="O5099" s="62"/>
      <c r="P5099" s="62"/>
    </row>
    <row r="5100" spans="1:16" x14ac:dyDescent="0.3">
      <c r="A5100" s="3">
        <f t="shared" si="549"/>
        <v>45791</v>
      </c>
      <c r="B5100" s="11" t="s">
        <v>6840</v>
      </c>
      <c r="C5100" s="50" t="s">
        <v>7350</v>
      </c>
      <c r="E5100" s="90" t="s">
        <v>2088</v>
      </c>
      <c r="I5100" s="88">
        <f t="shared" si="564"/>
        <v>20762.36</v>
      </c>
      <c r="K5100" s="62"/>
      <c r="L5100" s="2">
        <f t="shared" si="565"/>
        <v>0</v>
      </c>
      <c r="M5100">
        <f t="shared" si="566"/>
        <v>5</v>
      </c>
      <c r="O5100" s="62"/>
      <c r="P5100" s="62"/>
    </row>
    <row r="5101" spans="1:16" x14ac:dyDescent="0.3">
      <c r="A5101" s="3">
        <f t="shared" si="549"/>
        <v>45791</v>
      </c>
      <c r="B5101" s="11" t="s">
        <v>2594</v>
      </c>
      <c r="C5101" s="50" t="s">
        <v>8282</v>
      </c>
      <c r="G5101" s="2">
        <v>600</v>
      </c>
      <c r="I5101" s="88">
        <f t="shared" si="564"/>
        <v>21362.36</v>
      </c>
      <c r="K5101" s="62"/>
      <c r="L5101" s="2">
        <f t="shared" si="565"/>
        <v>2.4</v>
      </c>
      <c r="M5101">
        <f t="shared" si="566"/>
        <v>0</v>
      </c>
      <c r="O5101" s="62"/>
      <c r="P5101" s="62"/>
    </row>
    <row r="5102" spans="1:16" x14ac:dyDescent="0.3">
      <c r="A5102" s="3">
        <f t="shared" si="549"/>
        <v>45791</v>
      </c>
      <c r="B5102" s="11" t="s">
        <v>5306</v>
      </c>
      <c r="C5102" s="50" t="s">
        <v>7359</v>
      </c>
      <c r="G5102" s="2">
        <v>2000</v>
      </c>
      <c r="I5102" s="88">
        <f t="shared" si="564"/>
        <v>23362.36</v>
      </c>
      <c r="K5102" s="62"/>
      <c r="L5102" s="2">
        <f t="shared" si="565"/>
        <v>8</v>
      </c>
      <c r="M5102">
        <f t="shared" si="566"/>
        <v>0</v>
      </c>
      <c r="O5102" s="62"/>
      <c r="P5102" s="62"/>
    </row>
    <row r="5103" spans="1:16" x14ac:dyDescent="0.3">
      <c r="A5103" s="3">
        <f t="shared" si="549"/>
        <v>45791</v>
      </c>
      <c r="B5103" s="11" t="s">
        <v>8078</v>
      </c>
      <c r="C5103" s="50" t="s">
        <v>6157</v>
      </c>
      <c r="E5103" s="90" t="s">
        <v>2088</v>
      </c>
      <c r="I5103" s="88">
        <f t="shared" si="564"/>
        <v>23362.36</v>
      </c>
      <c r="K5103" s="62"/>
      <c r="L5103" s="2">
        <f t="shared" si="565"/>
        <v>0</v>
      </c>
      <c r="M5103">
        <f t="shared" si="566"/>
        <v>5</v>
      </c>
      <c r="O5103" s="62"/>
      <c r="P5103" s="62"/>
    </row>
    <row r="5104" spans="1:16" x14ac:dyDescent="0.3">
      <c r="A5104" s="3">
        <f t="shared" si="549"/>
        <v>45791</v>
      </c>
      <c r="B5104" s="11" t="s">
        <v>8284</v>
      </c>
      <c r="C5104" s="50" t="s">
        <v>7492</v>
      </c>
      <c r="G5104" s="2">
        <v>2000</v>
      </c>
      <c r="I5104" s="88">
        <f t="shared" si="564"/>
        <v>25362.36</v>
      </c>
      <c r="K5104" s="62"/>
      <c r="L5104" s="2">
        <f t="shared" si="565"/>
        <v>8</v>
      </c>
      <c r="M5104">
        <f t="shared" si="566"/>
        <v>0</v>
      </c>
      <c r="O5104" s="62"/>
      <c r="P5104" s="62"/>
    </row>
    <row r="5105" spans="1:16" x14ac:dyDescent="0.3">
      <c r="A5105" s="3">
        <f t="shared" si="549"/>
        <v>45791</v>
      </c>
      <c r="B5105" s="11" t="s">
        <v>6522</v>
      </c>
      <c r="C5105" s="50" t="s">
        <v>8092</v>
      </c>
      <c r="G5105" s="2">
        <v>1200</v>
      </c>
      <c r="I5105" s="88">
        <f t="shared" si="564"/>
        <v>26562.36</v>
      </c>
      <c r="K5105" s="62"/>
      <c r="L5105" s="2">
        <f t="shared" si="565"/>
        <v>4.8</v>
      </c>
      <c r="M5105">
        <f t="shared" si="566"/>
        <v>0</v>
      </c>
      <c r="O5105" s="62"/>
      <c r="P5105" s="62"/>
    </row>
    <row r="5106" spans="1:16" x14ac:dyDescent="0.3">
      <c r="A5106" s="3">
        <f t="shared" si="549"/>
        <v>45791</v>
      </c>
      <c r="B5106" s="11" t="s">
        <v>7800</v>
      </c>
      <c r="C5106" s="50" t="s">
        <v>6424</v>
      </c>
      <c r="G5106" s="2">
        <v>3000</v>
      </c>
      <c r="I5106" s="88">
        <f t="shared" si="564"/>
        <v>29562.36</v>
      </c>
      <c r="K5106" s="62"/>
      <c r="L5106" s="2">
        <f t="shared" si="565"/>
        <v>12</v>
      </c>
      <c r="M5106">
        <f t="shared" si="566"/>
        <v>0</v>
      </c>
      <c r="O5106" s="62"/>
      <c r="P5106" s="62"/>
    </row>
    <row r="5107" spans="1:16" x14ac:dyDescent="0.3">
      <c r="A5107" s="3">
        <f t="shared" si="549"/>
        <v>45791</v>
      </c>
      <c r="B5107" s="11" t="s">
        <v>1472</v>
      </c>
      <c r="C5107" s="50" t="s">
        <v>8026</v>
      </c>
      <c r="G5107" s="2">
        <v>1500</v>
      </c>
      <c r="I5107" s="88">
        <f t="shared" ref="I5107:I5118" si="567">I5106+G5107-H5107</f>
        <v>31062.36</v>
      </c>
      <c r="K5107" s="62"/>
      <c r="L5107" s="2">
        <f t="shared" ref="L5107:L5118" si="568">IF((G5107+H5107)&lt;=5000,(H5107+G5107)*0.004,20)+IF(E5107="Y",25,0)</f>
        <v>6</v>
      </c>
      <c r="M5107">
        <f t="shared" ref="M5107:M5118" si="569">IF(E5107="p",5,0)</f>
        <v>0</v>
      </c>
      <c r="O5107" s="62"/>
      <c r="P5107" s="62"/>
    </row>
    <row r="5108" spans="1:16" x14ac:dyDescent="0.3">
      <c r="A5108" s="3">
        <f t="shared" si="549"/>
        <v>45791</v>
      </c>
      <c r="C5108" s="50" t="s">
        <v>2857</v>
      </c>
      <c r="H5108" s="2">
        <v>30000</v>
      </c>
      <c r="I5108" s="88">
        <f t="shared" si="567"/>
        <v>1062.3600000000006</v>
      </c>
      <c r="K5108" s="62"/>
      <c r="L5108" s="2">
        <f t="shared" si="568"/>
        <v>20</v>
      </c>
      <c r="M5108">
        <f t="shared" si="569"/>
        <v>0</v>
      </c>
      <c r="O5108" s="62"/>
      <c r="P5108" s="62"/>
    </row>
    <row r="5109" spans="1:16" x14ac:dyDescent="0.3">
      <c r="A5109" s="3">
        <f t="shared" si="549"/>
        <v>45791</v>
      </c>
      <c r="B5109" s="11" t="s">
        <v>1250</v>
      </c>
      <c r="C5109" s="50" t="s">
        <v>7036</v>
      </c>
      <c r="G5109" s="2">
        <v>10000</v>
      </c>
      <c r="I5109" s="88">
        <f t="shared" si="567"/>
        <v>11062.36</v>
      </c>
      <c r="K5109" s="62"/>
      <c r="L5109" s="2">
        <f t="shared" si="568"/>
        <v>20</v>
      </c>
      <c r="M5109">
        <f t="shared" si="569"/>
        <v>0</v>
      </c>
      <c r="O5109" s="62"/>
      <c r="P5109" s="62"/>
    </row>
    <row r="5110" spans="1:16" x14ac:dyDescent="0.3">
      <c r="A5110" s="3">
        <f t="shared" si="549"/>
        <v>45791</v>
      </c>
      <c r="B5110" s="11" t="s">
        <v>8286</v>
      </c>
      <c r="E5110" s="90" t="s">
        <v>14</v>
      </c>
      <c r="H5110" s="2">
        <v>500</v>
      </c>
      <c r="I5110" s="88">
        <f t="shared" si="567"/>
        <v>10562.36</v>
      </c>
      <c r="K5110" s="62"/>
      <c r="L5110" s="2">
        <f t="shared" si="568"/>
        <v>27</v>
      </c>
      <c r="M5110">
        <f t="shared" si="569"/>
        <v>0</v>
      </c>
      <c r="O5110" s="62"/>
      <c r="P5110" s="62"/>
    </row>
    <row r="5111" spans="1:16" x14ac:dyDescent="0.3">
      <c r="A5111" s="3">
        <f t="shared" si="549"/>
        <v>45791</v>
      </c>
      <c r="B5111" s="11" t="s">
        <v>7813</v>
      </c>
      <c r="C5111" s="50" t="s">
        <v>7814</v>
      </c>
      <c r="G5111" s="2">
        <v>3500</v>
      </c>
      <c r="I5111" s="88">
        <f t="shared" si="567"/>
        <v>14062.36</v>
      </c>
      <c r="K5111" s="62"/>
      <c r="L5111" s="2">
        <f t="shared" si="568"/>
        <v>14</v>
      </c>
      <c r="M5111">
        <f t="shared" si="569"/>
        <v>0</v>
      </c>
      <c r="O5111" s="62"/>
      <c r="P5111" s="62"/>
    </row>
    <row r="5112" spans="1:16" x14ac:dyDescent="0.3">
      <c r="A5112" s="3">
        <f t="shared" si="549"/>
        <v>45791</v>
      </c>
      <c r="B5112" s="11" t="s">
        <v>7813</v>
      </c>
      <c r="C5112" s="50" t="s">
        <v>7814</v>
      </c>
      <c r="E5112" s="90" t="s">
        <v>2088</v>
      </c>
      <c r="I5112" s="88">
        <f t="shared" si="567"/>
        <v>14062.36</v>
      </c>
      <c r="K5112" s="62"/>
      <c r="L5112" s="2">
        <f t="shared" si="568"/>
        <v>0</v>
      </c>
      <c r="M5112">
        <f t="shared" si="569"/>
        <v>5</v>
      </c>
      <c r="O5112" s="62"/>
      <c r="P5112" s="62"/>
    </row>
    <row r="5113" spans="1:16" x14ac:dyDescent="0.3">
      <c r="A5113" s="3">
        <f t="shared" si="549"/>
        <v>45791</v>
      </c>
      <c r="B5113" s="11" t="s">
        <v>8016</v>
      </c>
      <c r="C5113" s="50" t="s">
        <v>8268</v>
      </c>
      <c r="G5113" s="2">
        <v>400</v>
      </c>
      <c r="I5113" s="88">
        <f t="shared" si="567"/>
        <v>14462.36</v>
      </c>
      <c r="K5113" s="62"/>
      <c r="L5113" s="2">
        <f t="shared" si="568"/>
        <v>1.6</v>
      </c>
      <c r="M5113">
        <f t="shared" si="569"/>
        <v>0</v>
      </c>
      <c r="O5113" s="62"/>
      <c r="P5113" s="62"/>
    </row>
    <row r="5114" spans="1:16" x14ac:dyDescent="0.3">
      <c r="A5114" s="3">
        <f t="shared" si="549"/>
        <v>45791</v>
      </c>
      <c r="B5114" s="11" t="s">
        <v>8016</v>
      </c>
      <c r="C5114" s="50" t="s">
        <v>8268</v>
      </c>
      <c r="E5114" s="90" t="s">
        <v>2088</v>
      </c>
      <c r="I5114" s="88">
        <f t="shared" si="567"/>
        <v>14462.36</v>
      </c>
      <c r="K5114" s="62"/>
      <c r="L5114" s="2">
        <f t="shared" si="568"/>
        <v>0</v>
      </c>
      <c r="M5114">
        <f t="shared" si="569"/>
        <v>5</v>
      </c>
      <c r="O5114" s="62"/>
      <c r="P5114" s="62"/>
    </row>
    <row r="5115" spans="1:16" x14ac:dyDescent="0.3">
      <c r="A5115" s="3">
        <f t="shared" si="549"/>
        <v>45791</v>
      </c>
      <c r="B5115" s="11" t="s">
        <v>5467</v>
      </c>
      <c r="C5115" s="50" t="s">
        <v>5468</v>
      </c>
      <c r="H5115" s="2">
        <v>500</v>
      </c>
      <c r="I5115" s="88">
        <f t="shared" si="567"/>
        <v>13962.36</v>
      </c>
      <c r="K5115" s="62"/>
      <c r="L5115" s="2">
        <f t="shared" si="568"/>
        <v>2</v>
      </c>
      <c r="M5115">
        <f t="shared" si="569"/>
        <v>0</v>
      </c>
      <c r="O5115" s="62"/>
      <c r="P5115" s="62"/>
    </row>
    <row r="5116" spans="1:16" x14ac:dyDescent="0.3">
      <c r="A5116" s="3">
        <f t="shared" ref="A5116:A5179" si="570">A5115</f>
        <v>45791</v>
      </c>
      <c r="B5116" s="11" t="s">
        <v>5467</v>
      </c>
      <c r="C5116" s="50" t="s">
        <v>5468</v>
      </c>
      <c r="E5116" s="90" t="s">
        <v>2088</v>
      </c>
      <c r="I5116" s="88">
        <f t="shared" si="567"/>
        <v>13962.36</v>
      </c>
      <c r="K5116" s="62"/>
      <c r="L5116" s="2">
        <f t="shared" si="568"/>
        <v>0</v>
      </c>
      <c r="M5116">
        <f t="shared" si="569"/>
        <v>5</v>
      </c>
      <c r="O5116" s="62"/>
      <c r="P5116" s="62"/>
    </row>
    <row r="5117" spans="1:16" x14ac:dyDescent="0.3">
      <c r="A5117" s="3">
        <f t="shared" si="570"/>
        <v>45791</v>
      </c>
      <c r="B5117" s="11" t="s">
        <v>8004</v>
      </c>
      <c r="C5117" s="50" t="s">
        <v>397</v>
      </c>
      <c r="G5117" s="2">
        <v>4000</v>
      </c>
      <c r="I5117" s="88">
        <f t="shared" si="567"/>
        <v>17962.36</v>
      </c>
      <c r="K5117" s="62"/>
      <c r="L5117" s="2">
        <f t="shared" si="568"/>
        <v>16</v>
      </c>
      <c r="M5117">
        <f t="shared" si="569"/>
        <v>0</v>
      </c>
      <c r="O5117" s="62"/>
      <c r="P5117" s="62"/>
    </row>
    <row r="5118" spans="1:16" x14ac:dyDescent="0.3">
      <c r="A5118" s="3">
        <f t="shared" si="570"/>
        <v>45791</v>
      </c>
      <c r="B5118" s="11" t="s">
        <v>7009</v>
      </c>
      <c r="C5118" s="50" t="s">
        <v>7010</v>
      </c>
      <c r="G5118" s="2">
        <v>2500</v>
      </c>
      <c r="I5118" s="88">
        <f t="shared" si="567"/>
        <v>20462.36</v>
      </c>
      <c r="K5118" s="62"/>
      <c r="L5118" s="2">
        <f t="shared" si="568"/>
        <v>10</v>
      </c>
      <c r="M5118">
        <f t="shared" si="569"/>
        <v>0</v>
      </c>
      <c r="O5118" s="62"/>
      <c r="P5118" s="62"/>
    </row>
    <row r="5119" spans="1:16" x14ac:dyDescent="0.3">
      <c r="A5119" s="3">
        <f t="shared" si="570"/>
        <v>45791</v>
      </c>
      <c r="B5119" s="11" t="s">
        <v>7009</v>
      </c>
      <c r="C5119" s="50" t="s">
        <v>7010</v>
      </c>
      <c r="E5119" s="90" t="s">
        <v>2088</v>
      </c>
      <c r="I5119" s="88">
        <f t="shared" ref="I5119:I5128" si="571">I5118+G5119-H5119</f>
        <v>20462.36</v>
      </c>
      <c r="K5119" s="62"/>
      <c r="L5119" s="2">
        <f t="shared" ref="L5119:L5128" si="572">IF((G5119+H5119)&lt;=5000,(H5119+G5119)*0.004,20)+IF(E5119="Y",25,0)</f>
        <v>0</v>
      </c>
      <c r="M5119">
        <f t="shared" ref="M5119:M5128" si="573">IF(E5119="p",5,0)</f>
        <v>5</v>
      </c>
      <c r="O5119" s="62"/>
      <c r="P5119" s="62"/>
    </row>
    <row r="5120" spans="1:16" x14ac:dyDescent="0.3">
      <c r="A5120" s="3">
        <v>45792</v>
      </c>
      <c r="B5120" s="11" t="s">
        <v>3543</v>
      </c>
      <c r="C5120" s="50" t="s">
        <v>2858</v>
      </c>
      <c r="G5120" s="2">
        <v>7000</v>
      </c>
      <c r="I5120" s="88">
        <f t="shared" si="571"/>
        <v>27462.36</v>
      </c>
      <c r="K5120" s="62">
        <v>-4000</v>
      </c>
      <c r="L5120" s="2">
        <f t="shared" si="572"/>
        <v>20</v>
      </c>
      <c r="M5120">
        <f t="shared" si="573"/>
        <v>0</v>
      </c>
      <c r="O5120" s="62"/>
      <c r="P5120" s="62"/>
    </row>
    <row r="5121" spans="1:16" x14ac:dyDescent="0.3">
      <c r="A5121" s="3">
        <f t="shared" si="570"/>
        <v>45792</v>
      </c>
      <c r="B5121" s="11" t="s">
        <v>6459</v>
      </c>
      <c r="C5121" s="50" t="s">
        <v>8288</v>
      </c>
      <c r="H5121" s="2">
        <v>2000</v>
      </c>
      <c r="I5121" s="88">
        <f t="shared" si="571"/>
        <v>25462.36</v>
      </c>
      <c r="K5121" s="62"/>
      <c r="L5121" s="2">
        <f t="shared" si="572"/>
        <v>8</v>
      </c>
      <c r="M5121">
        <f t="shared" si="573"/>
        <v>0</v>
      </c>
      <c r="O5121" s="62"/>
      <c r="P5121" s="62"/>
    </row>
    <row r="5122" spans="1:16" x14ac:dyDescent="0.3">
      <c r="A5122" s="3">
        <f t="shared" si="570"/>
        <v>45792</v>
      </c>
      <c r="B5122" s="11" t="s">
        <v>5323</v>
      </c>
      <c r="C5122" s="50" t="s">
        <v>8231</v>
      </c>
      <c r="E5122" s="90" t="s">
        <v>2088</v>
      </c>
      <c r="I5122" s="88">
        <f t="shared" si="571"/>
        <v>25462.36</v>
      </c>
      <c r="K5122" s="62"/>
      <c r="L5122" s="2">
        <f t="shared" si="572"/>
        <v>0</v>
      </c>
      <c r="M5122">
        <f t="shared" si="573"/>
        <v>5</v>
      </c>
      <c r="O5122" s="62"/>
      <c r="P5122" s="62"/>
    </row>
    <row r="5123" spans="1:16" x14ac:dyDescent="0.3">
      <c r="A5123" s="3">
        <f t="shared" si="570"/>
        <v>45792</v>
      </c>
      <c r="B5123" s="11" t="s">
        <v>5323</v>
      </c>
      <c r="C5123" s="50" t="s">
        <v>8231</v>
      </c>
      <c r="G5123" s="2">
        <v>3000</v>
      </c>
      <c r="I5123" s="88">
        <f t="shared" si="571"/>
        <v>28462.36</v>
      </c>
      <c r="K5123" s="62"/>
      <c r="L5123" s="2">
        <f t="shared" si="572"/>
        <v>12</v>
      </c>
      <c r="M5123">
        <f t="shared" si="573"/>
        <v>0</v>
      </c>
      <c r="O5123" s="62"/>
      <c r="P5123" s="62"/>
    </row>
    <row r="5124" spans="1:16" x14ac:dyDescent="0.3">
      <c r="A5124" s="3">
        <f t="shared" si="570"/>
        <v>45792</v>
      </c>
      <c r="C5124" s="50" t="s">
        <v>2857</v>
      </c>
      <c r="E5124" s="90" t="s">
        <v>8332</v>
      </c>
      <c r="H5124" s="2">
        <v>20000</v>
      </c>
      <c r="I5124" s="88">
        <f t="shared" si="571"/>
        <v>8462.36</v>
      </c>
      <c r="K5124" s="62"/>
      <c r="L5124" s="2">
        <v>0</v>
      </c>
      <c r="M5124">
        <f t="shared" si="573"/>
        <v>0</v>
      </c>
      <c r="O5124" s="62"/>
      <c r="P5124" s="62"/>
    </row>
    <row r="5125" spans="1:16" x14ac:dyDescent="0.3">
      <c r="A5125" s="3">
        <f t="shared" si="570"/>
        <v>45792</v>
      </c>
      <c r="B5125" s="11" t="s">
        <v>8286</v>
      </c>
      <c r="C5125" s="65" t="s">
        <v>8290</v>
      </c>
      <c r="E5125" s="90" t="s">
        <v>2088</v>
      </c>
      <c r="I5125" s="88">
        <f t="shared" si="571"/>
        <v>8462.36</v>
      </c>
      <c r="K5125" s="62"/>
      <c r="L5125" s="2">
        <f t="shared" si="572"/>
        <v>0</v>
      </c>
      <c r="M5125">
        <f t="shared" si="573"/>
        <v>5</v>
      </c>
      <c r="O5125" s="62"/>
      <c r="P5125" s="62"/>
    </row>
    <row r="5126" spans="1:16" x14ac:dyDescent="0.3">
      <c r="A5126" s="3">
        <f t="shared" si="570"/>
        <v>45792</v>
      </c>
      <c r="B5126" s="11" t="s">
        <v>3456</v>
      </c>
      <c r="C5126" s="50" t="s">
        <v>3459</v>
      </c>
      <c r="E5126" s="90" t="s">
        <v>2088</v>
      </c>
      <c r="I5126" s="88">
        <f t="shared" si="571"/>
        <v>8462.36</v>
      </c>
      <c r="K5126" s="62"/>
      <c r="L5126" s="2">
        <f t="shared" si="572"/>
        <v>0</v>
      </c>
      <c r="M5126">
        <f t="shared" si="573"/>
        <v>5</v>
      </c>
      <c r="O5126" s="62"/>
      <c r="P5126" s="62"/>
    </row>
    <row r="5127" spans="1:16" x14ac:dyDescent="0.3">
      <c r="A5127" s="3">
        <f t="shared" si="570"/>
        <v>45792</v>
      </c>
      <c r="B5127" s="11" t="s">
        <v>3456</v>
      </c>
      <c r="C5127" s="50" t="s">
        <v>3459</v>
      </c>
      <c r="G5127" s="2">
        <v>500</v>
      </c>
      <c r="I5127" s="88">
        <f t="shared" si="571"/>
        <v>8962.36</v>
      </c>
      <c r="K5127" s="62"/>
      <c r="L5127" s="2">
        <f t="shared" si="572"/>
        <v>2</v>
      </c>
      <c r="M5127">
        <f t="shared" si="573"/>
        <v>0</v>
      </c>
      <c r="O5127" s="62"/>
      <c r="P5127" s="62"/>
    </row>
    <row r="5128" spans="1:16" x14ac:dyDescent="0.3">
      <c r="A5128" s="3">
        <f t="shared" si="570"/>
        <v>45792</v>
      </c>
      <c r="B5128" s="11" t="s">
        <v>3456</v>
      </c>
      <c r="C5128" s="50" t="s">
        <v>3459</v>
      </c>
      <c r="E5128" s="90" t="s">
        <v>2088</v>
      </c>
      <c r="I5128" s="88">
        <f t="shared" si="571"/>
        <v>8962.36</v>
      </c>
      <c r="K5128" s="62"/>
      <c r="L5128" s="2">
        <f t="shared" si="572"/>
        <v>0</v>
      </c>
      <c r="M5128">
        <f t="shared" si="573"/>
        <v>5</v>
      </c>
      <c r="O5128" s="62"/>
      <c r="P5128" s="62"/>
    </row>
    <row r="5129" spans="1:16" x14ac:dyDescent="0.3">
      <c r="A5129" s="3">
        <f t="shared" si="570"/>
        <v>45792</v>
      </c>
      <c r="B5129" s="11" t="s">
        <v>5042</v>
      </c>
      <c r="C5129" s="50" t="s">
        <v>6176</v>
      </c>
      <c r="G5129" s="2">
        <v>800</v>
      </c>
      <c r="I5129" s="88">
        <f t="shared" ref="I5129:I5136" si="574">I5128+G5129-H5129</f>
        <v>9762.36</v>
      </c>
      <c r="K5129" s="62"/>
      <c r="L5129" s="2">
        <f t="shared" ref="L5129:L5136" si="575">IF((G5129+H5129)&lt;=5000,(H5129+G5129)*0.004,20)+IF(E5129="Y",25,0)</f>
        <v>3.2</v>
      </c>
      <c r="M5129">
        <f t="shared" ref="M5129:M5136" si="576">IF(E5129="p",5,0)</f>
        <v>0</v>
      </c>
      <c r="O5129" s="62"/>
      <c r="P5129" s="62"/>
    </row>
    <row r="5130" spans="1:16" x14ac:dyDescent="0.3">
      <c r="A5130" s="3">
        <f t="shared" si="570"/>
        <v>45792</v>
      </c>
      <c r="B5130" s="11" t="s">
        <v>5042</v>
      </c>
      <c r="C5130" s="50" t="s">
        <v>6176</v>
      </c>
      <c r="E5130" s="90" t="s">
        <v>2088</v>
      </c>
      <c r="I5130" s="88">
        <f t="shared" si="574"/>
        <v>9762.36</v>
      </c>
      <c r="K5130" s="62"/>
      <c r="L5130" s="2">
        <f t="shared" si="575"/>
        <v>0</v>
      </c>
      <c r="M5130">
        <f t="shared" si="576"/>
        <v>5</v>
      </c>
      <c r="O5130" s="62"/>
      <c r="P5130" s="62"/>
    </row>
    <row r="5131" spans="1:16" x14ac:dyDescent="0.3">
      <c r="A5131" s="3">
        <f t="shared" si="570"/>
        <v>45792</v>
      </c>
      <c r="B5131" s="11" t="s">
        <v>8292</v>
      </c>
      <c r="C5131" s="50" t="s">
        <v>8293</v>
      </c>
      <c r="H5131" s="2">
        <v>4000</v>
      </c>
      <c r="I5131" s="88">
        <f t="shared" si="574"/>
        <v>5762.3600000000006</v>
      </c>
      <c r="K5131" s="62"/>
      <c r="L5131" s="2">
        <f t="shared" si="575"/>
        <v>16</v>
      </c>
      <c r="M5131">
        <f t="shared" si="576"/>
        <v>0</v>
      </c>
      <c r="O5131" s="62"/>
      <c r="P5131" s="62"/>
    </row>
    <row r="5132" spans="1:16" x14ac:dyDescent="0.3">
      <c r="A5132" s="3">
        <v>45793</v>
      </c>
      <c r="B5132" s="11" t="s">
        <v>8294</v>
      </c>
      <c r="C5132" s="50" t="s">
        <v>8295</v>
      </c>
      <c r="G5132" s="2">
        <v>10000</v>
      </c>
      <c r="I5132" s="88">
        <f t="shared" si="574"/>
        <v>15762.36</v>
      </c>
      <c r="K5132" s="62"/>
      <c r="L5132" s="2">
        <f t="shared" si="575"/>
        <v>20</v>
      </c>
      <c r="M5132">
        <f t="shared" si="576"/>
        <v>0</v>
      </c>
      <c r="O5132" s="62"/>
      <c r="P5132" s="62"/>
    </row>
    <row r="5133" spans="1:16" x14ac:dyDescent="0.3">
      <c r="A5133" s="3">
        <f t="shared" si="570"/>
        <v>45793</v>
      </c>
      <c r="B5133" s="11" t="s">
        <v>6260</v>
      </c>
      <c r="C5133" s="50" t="s">
        <v>7117</v>
      </c>
      <c r="H5133" s="2">
        <v>10000</v>
      </c>
      <c r="I5133" s="88">
        <f t="shared" si="574"/>
        <v>5762.3600000000006</v>
      </c>
      <c r="K5133" s="62"/>
      <c r="L5133" s="2">
        <f t="shared" si="575"/>
        <v>20</v>
      </c>
      <c r="M5133">
        <f t="shared" si="576"/>
        <v>0</v>
      </c>
      <c r="O5133" s="62"/>
      <c r="P5133" s="62"/>
    </row>
    <row r="5134" spans="1:16" x14ac:dyDescent="0.3">
      <c r="A5134" s="3">
        <f t="shared" si="570"/>
        <v>45793</v>
      </c>
      <c r="B5134" s="11" t="s">
        <v>1160</v>
      </c>
      <c r="C5134" s="50" t="s">
        <v>8296</v>
      </c>
      <c r="G5134" s="2">
        <v>1000</v>
      </c>
      <c r="I5134" s="88">
        <f t="shared" si="574"/>
        <v>6762.3600000000006</v>
      </c>
      <c r="K5134" s="62"/>
      <c r="L5134" s="2">
        <f t="shared" si="575"/>
        <v>4</v>
      </c>
      <c r="M5134">
        <f t="shared" si="576"/>
        <v>0</v>
      </c>
      <c r="O5134" s="62"/>
      <c r="P5134" s="62"/>
    </row>
    <row r="5135" spans="1:16" x14ac:dyDescent="0.3">
      <c r="A5135" s="3">
        <f t="shared" si="570"/>
        <v>45793</v>
      </c>
      <c r="B5135" s="11" t="s">
        <v>4505</v>
      </c>
      <c r="C5135" s="50" t="s">
        <v>3599</v>
      </c>
      <c r="G5135" s="2">
        <v>100</v>
      </c>
      <c r="I5135" s="88">
        <f t="shared" si="574"/>
        <v>6862.3600000000006</v>
      </c>
      <c r="K5135" s="62"/>
      <c r="L5135" s="2">
        <f t="shared" si="575"/>
        <v>0.4</v>
      </c>
      <c r="M5135">
        <f t="shared" si="576"/>
        <v>0</v>
      </c>
      <c r="O5135" s="62"/>
      <c r="P5135" s="62"/>
    </row>
    <row r="5136" spans="1:16" x14ac:dyDescent="0.3">
      <c r="A5136" s="3">
        <f t="shared" si="570"/>
        <v>45793</v>
      </c>
      <c r="B5136" s="11" t="s">
        <v>4505</v>
      </c>
      <c r="C5136" s="50" t="s">
        <v>3599</v>
      </c>
      <c r="E5136" s="90" t="s">
        <v>2088</v>
      </c>
      <c r="I5136" s="88">
        <f t="shared" si="574"/>
        <v>6862.3600000000006</v>
      </c>
      <c r="K5136" s="62"/>
      <c r="L5136" s="2">
        <f t="shared" si="575"/>
        <v>0</v>
      </c>
      <c r="M5136">
        <f t="shared" si="576"/>
        <v>5</v>
      </c>
      <c r="O5136" s="62"/>
      <c r="P5136" s="62"/>
    </row>
    <row r="5137" spans="1:16" x14ac:dyDescent="0.3">
      <c r="A5137" s="3">
        <f t="shared" si="570"/>
        <v>45793</v>
      </c>
      <c r="C5137" s="50" t="s">
        <v>2887</v>
      </c>
      <c r="E5137" s="90" t="s">
        <v>8332</v>
      </c>
      <c r="G5137" s="2">
        <v>10000</v>
      </c>
      <c r="I5137" s="88">
        <f t="shared" ref="I5137:I5145" si="577">I5136+G5137-H5137</f>
        <v>16862.36</v>
      </c>
      <c r="K5137" s="62"/>
      <c r="L5137" s="2">
        <f t="shared" ref="L5137:L5145" si="578">IF((G5137+H5137)&lt;=5000,(H5137+G5137)*0.004,20)+IF(E5137="Y",25,0)</f>
        <v>20</v>
      </c>
      <c r="M5137">
        <f t="shared" ref="M5137:M5145" si="579">IF(E5137="p",5,0)</f>
        <v>0</v>
      </c>
      <c r="O5137" s="62"/>
      <c r="P5137" s="62"/>
    </row>
    <row r="5138" spans="1:16" x14ac:dyDescent="0.3">
      <c r="A5138" s="3">
        <f t="shared" si="570"/>
        <v>45793</v>
      </c>
      <c r="B5138" s="11" t="s">
        <v>7649</v>
      </c>
      <c r="C5138" s="50" t="s">
        <v>8299</v>
      </c>
      <c r="H5138" s="2">
        <v>8000</v>
      </c>
      <c r="I5138" s="88">
        <f t="shared" si="577"/>
        <v>8862.36</v>
      </c>
      <c r="K5138" s="62"/>
      <c r="L5138" s="2">
        <f t="shared" si="578"/>
        <v>20</v>
      </c>
      <c r="M5138">
        <f t="shared" si="579"/>
        <v>0</v>
      </c>
      <c r="O5138" s="62"/>
      <c r="P5138" s="62"/>
    </row>
    <row r="5139" spans="1:16" x14ac:dyDescent="0.3">
      <c r="A5139" s="3">
        <f t="shared" si="570"/>
        <v>45793</v>
      </c>
      <c r="B5139" s="11" t="s">
        <v>6867</v>
      </c>
      <c r="C5139" s="50" t="s">
        <v>8300</v>
      </c>
      <c r="G5139" s="2">
        <v>500</v>
      </c>
      <c r="I5139" s="88">
        <f t="shared" si="577"/>
        <v>9362.36</v>
      </c>
      <c r="K5139" s="62"/>
      <c r="L5139" s="2">
        <f t="shared" si="578"/>
        <v>2</v>
      </c>
      <c r="M5139">
        <f t="shared" si="579"/>
        <v>0</v>
      </c>
      <c r="O5139" s="62"/>
      <c r="P5139" s="62"/>
    </row>
    <row r="5140" spans="1:16" x14ac:dyDescent="0.3">
      <c r="A5140" s="3">
        <f t="shared" si="570"/>
        <v>45793</v>
      </c>
      <c r="B5140" s="11" t="s">
        <v>6867</v>
      </c>
      <c r="C5140" s="50" t="s">
        <v>8300</v>
      </c>
      <c r="E5140" s="90" t="s">
        <v>2088</v>
      </c>
      <c r="I5140" s="88">
        <f t="shared" si="577"/>
        <v>9362.36</v>
      </c>
      <c r="K5140" s="62"/>
      <c r="L5140" s="2">
        <f t="shared" si="578"/>
        <v>0</v>
      </c>
      <c r="M5140">
        <f t="shared" si="579"/>
        <v>5</v>
      </c>
      <c r="O5140" s="62"/>
      <c r="P5140" s="62"/>
    </row>
    <row r="5141" spans="1:16" x14ac:dyDescent="0.3">
      <c r="A5141" s="3">
        <f t="shared" si="570"/>
        <v>45793</v>
      </c>
      <c r="B5141" s="11" t="s">
        <v>8302</v>
      </c>
      <c r="C5141" s="65" t="s">
        <v>8303</v>
      </c>
      <c r="E5141" s="90" t="s">
        <v>16</v>
      </c>
      <c r="H5141" s="2">
        <v>500</v>
      </c>
      <c r="I5141" s="88">
        <f t="shared" si="577"/>
        <v>8862.36</v>
      </c>
      <c r="K5141" s="62"/>
      <c r="L5141" s="2">
        <f t="shared" si="578"/>
        <v>27</v>
      </c>
      <c r="M5141">
        <f t="shared" si="579"/>
        <v>0</v>
      </c>
      <c r="O5141" s="62"/>
      <c r="P5141" s="62"/>
    </row>
    <row r="5142" spans="1:16" x14ac:dyDescent="0.3">
      <c r="A5142" s="3">
        <f t="shared" si="570"/>
        <v>45793</v>
      </c>
      <c r="B5142" s="11" t="s">
        <v>2291</v>
      </c>
      <c r="C5142" s="50" t="s">
        <v>2292</v>
      </c>
      <c r="G5142" s="2">
        <v>500</v>
      </c>
      <c r="I5142" s="88">
        <f t="shared" si="577"/>
        <v>9362.36</v>
      </c>
      <c r="K5142" s="62"/>
      <c r="L5142" s="2">
        <f t="shared" si="578"/>
        <v>2</v>
      </c>
      <c r="M5142">
        <f t="shared" si="579"/>
        <v>0</v>
      </c>
      <c r="O5142" s="62"/>
      <c r="P5142" s="62"/>
    </row>
    <row r="5143" spans="1:16" x14ac:dyDescent="0.3">
      <c r="A5143" s="3">
        <f t="shared" si="570"/>
        <v>45793</v>
      </c>
      <c r="B5143" s="11" t="s">
        <v>6582</v>
      </c>
      <c r="C5143" s="50" t="s">
        <v>6583</v>
      </c>
      <c r="G5143" s="2">
        <v>4000</v>
      </c>
      <c r="I5143" s="88">
        <f t="shared" si="577"/>
        <v>13362.36</v>
      </c>
      <c r="K5143" s="62"/>
      <c r="L5143" s="2">
        <f t="shared" si="578"/>
        <v>16</v>
      </c>
      <c r="M5143">
        <f t="shared" si="579"/>
        <v>0</v>
      </c>
      <c r="O5143" s="62"/>
      <c r="P5143" s="62"/>
    </row>
    <row r="5144" spans="1:16" x14ac:dyDescent="0.3">
      <c r="A5144" s="3">
        <f t="shared" si="570"/>
        <v>45793</v>
      </c>
      <c r="C5144" s="50" t="s">
        <v>2857</v>
      </c>
      <c r="E5144" s="90" t="s">
        <v>8332</v>
      </c>
      <c r="H5144" s="2">
        <v>10000</v>
      </c>
      <c r="I5144" s="88">
        <f t="shared" si="577"/>
        <v>3362.3600000000006</v>
      </c>
      <c r="K5144" s="62"/>
      <c r="L5144" s="2">
        <f t="shared" si="578"/>
        <v>20</v>
      </c>
      <c r="M5144">
        <f t="shared" si="579"/>
        <v>0</v>
      </c>
      <c r="O5144" s="62"/>
      <c r="P5144" s="62"/>
    </row>
    <row r="5145" spans="1:16" x14ac:dyDescent="0.3">
      <c r="A5145" s="3">
        <f t="shared" si="570"/>
        <v>45793</v>
      </c>
      <c r="B5145" s="11" t="s">
        <v>2761</v>
      </c>
      <c r="C5145" s="50" t="s">
        <v>5717</v>
      </c>
      <c r="G5145" s="2">
        <v>2000</v>
      </c>
      <c r="I5145" s="88">
        <f t="shared" si="577"/>
        <v>5362.3600000000006</v>
      </c>
      <c r="K5145" s="62"/>
      <c r="L5145" s="2">
        <f t="shared" si="578"/>
        <v>8</v>
      </c>
      <c r="M5145">
        <f t="shared" si="579"/>
        <v>0</v>
      </c>
      <c r="O5145" s="62"/>
      <c r="P5145" s="62"/>
    </row>
    <row r="5146" spans="1:16" x14ac:dyDescent="0.3">
      <c r="A5146" s="3">
        <f t="shared" si="570"/>
        <v>45793</v>
      </c>
      <c r="B5146" s="11" t="s">
        <v>3232</v>
      </c>
      <c r="C5146" s="50" t="s">
        <v>8280</v>
      </c>
      <c r="G5146" s="2">
        <v>10000</v>
      </c>
      <c r="I5146" s="88">
        <f t="shared" ref="I5146:I5159" si="580">I5145+G5146-H5146</f>
        <v>15362.36</v>
      </c>
      <c r="K5146" s="62"/>
      <c r="L5146" s="2">
        <f t="shared" ref="L5146:L5159" si="581">IF((G5146+H5146)&lt;=5000,(H5146+G5146)*0.004,20)+IF(E5146="Y",25,0)</f>
        <v>20</v>
      </c>
      <c r="M5146">
        <f t="shared" ref="M5146:M5159" si="582">IF(E5146="p",5,0)</f>
        <v>0</v>
      </c>
      <c r="O5146" s="62"/>
      <c r="P5146" s="62"/>
    </row>
    <row r="5147" spans="1:16" x14ac:dyDescent="0.3">
      <c r="A5147" s="3">
        <f t="shared" si="570"/>
        <v>45793</v>
      </c>
      <c r="B5147" s="11" t="s">
        <v>8256</v>
      </c>
      <c r="C5147" s="50" t="s">
        <v>8257</v>
      </c>
      <c r="H5147" s="2">
        <v>2000</v>
      </c>
      <c r="I5147" s="88">
        <f t="shared" si="580"/>
        <v>13362.36</v>
      </c>
      <c r="K5147" s="62"/>
      <c r="L5147" s="2">
        <f t="shared" si="581"/>
        <v>8</v>
      </c>
      <c r="M5147">
        <f t="shared" si="582"/>
        <v>0</v>
      </c>
      <c r="O5147" s="62"/>
      <c r="P5147" s="62"/>
    </row>
    <row r="5148" spans="1:16" x14ac:dyDescent="0.3">
      <c r="A5148" s="3">
        <f t="shared" si="570"/>
        <v>45793</v>
      </c>
      <c r="B5148" s="11" t="s">
        <v>8256</v>
      </c>
      <c r="C5148" s="50" t="s">
        <v>8257</v>
      </c>
      <c r="E5148" s="90" t="s">
        <v>2088</v>
      </c>
      <c r="I5148" s="88">
        <f t="shared" si="580"/>
        <v>13362.36</v>
      </c>
      <c r="K5148" s="62"/>
      <c r="L5148" s="2">
        <f t="shared" si="581"/>
        <v>0</v>
      </c>
      <c r="M5148">
        <f t="shared" si="582"/>
        <v>5</v>
      </c>
      <c r="O5148" s="62"/>
      <c r="P5148" s="62"/>
    </row>
    <row r="5149" spans="1:16" x14ac:dyDescent="0.3">
      <c r="A5149" s="3">
        <f t="shared" si="570"/>
        <v>45793</v>
      </c>
      <c r="B5149" s="11" t="s">
        <v>8271</v>
      </c>
      <c r="C5149" s="65" t="s">
        <v>8308</v>
      </c>
      <c r="E5149" s="90" t="s">
        <v>2088</v>
      </c>
      <c r="I5149" s="88">
        <f t="shared" si="580"/>
        <v>13362.36</v>
      </c>
      <c r="K5149" s="62"/>
      <c r="L5149" s="2">
        <f t="shared" si="581"/>
        <v>0</v>
      </c>
      <c r="M5149">
        <f t="shared" si="582"/>
        <v>5</v>
      </c>
      <c r="O5149" s="62"/>
      <c r="P5149" s="62"/>
    </row>
    <row r="5150" spans="1:16" x14ac:dyDescent="0.3">
      <c r="A5150" s="3">
        <v>45794</v>
      </c>
      <c r="B5150" s="11" t="s">
        <v>8312</v>
      </c>
      <c r="C5150" s="50" t="s">
        <v>8313</v>
      </c>
      <c r="E5150" s="90" t="s">
        <v>16</v>
      </c>
      <c r="H5150" s="2">
        <v>2000</v>
      </c>
      <c r="I5150" s="88">
        <f t="shared" si="580"/>
        <v>11362.36</v>
      </c>
      <c r="K5150" s="62"/>
      <c r="L5150" s="2">
        <f t="shared" si="581"/>
        <v>33</v>
      </c>
      <c r="M5150">
        <f t="shared" si="582"/>
        <v>0</v>
      </c>
      <c r="O5150" s="62"/>
      <c r="P5150" s="62"/>
    </row>
    <row r="5151" spans="1:16" x14ac:dyDescent="0.3">
      <c r="A5151" s="3">
        <f t="shared" si="570"/>
        <v>45794</v>
      </c>
      <c r="B5151" s="11" t="s">
        <v>3148</v>
      </c>
      <c r="C5151" s="50" t="s">
        <v>8311</v>
      </c>
      <c r="G5151" s="2">
        <v>4100</v>
      </c>
      <c r="I5151" s="88">
        <f t="shared" si="580"/>
        <v>15462.36</v>
      </c>
      <c r="K5151" s="62"/>
      <c r="L5151" s="2">
        <f t="shared" si="581"/>
        <v>16.399999999999999</v>
      </c>
      <c r="M5151">
        <f t="shared" si="582"/>
        <v>0</v>
      </c>
      <c r="O5151" s="62"/>
      <c r="P5151" s="62"/>
    </row>
    <row r="5152" spans="1:16" x14ac:dyDescent="0.3">
      <c r="A5152" s="3">
        <f t="shared" si="570"/>
        <v>45794</v>
      </c>
      <c r="B5152" s="11" t="s">
        <v>5503</v>
      </c>
      <c r="C5152" s="50" t="s">
        <v>8315</v>
      </c>
      <c r="E5152" s="90" t="s">
        <v>2088</v>
      </c>
      <c r="I5152" s="88">
        <f t="shared" si="580"/>
        <v>15462.36</v>
      </c>
      <c r="K5152" s="62"/>
      <c r="L5152" s="2">
        <f t="shared" si="581"/>
        <v>0</v>
      </c>
      <c r="M5152">
        <f t="shared" si="582"/>
        <v>5</v>
      </c>
      <c r="O5152" s="62"/>
      <c r="P5152" s="62"/>
    </row>
    <row r="5153" spans="1:16" x14ac:dyDescent="0.3">
      <c r="A5153" s="3">
        <f t="shared" si="570"/>
        <v>45794</v>
      </c>
      <c r="B5153" s="11" t="s">
        <v>5503</v>
      </c>
      <c r="C5153" s="50" t="s">
        <v>8315</v>
      </c>
      <c r="G5153" s="2">
        <v>5000</v>
      </c>
      <c r="I5153" s="88">
        <f t="shared" si="580"/>
        <v>20462.36</v>
      </c>
      <c r="K5153" s="62"/>
      <c r="L5153" s="2">
        <f t="shared" si="581"/>
        <v>20</v>
      </c>
      <c r="M5153">
        <f t="shared" si="582"/>
        <v>0</v>
      </c>
      <c r="O5153" s="62"/>
      <c r="P5153" s="62"/>
    </row>
    <row r="5154" spans="1:16" x14ac:dyDescent="0.3">
      <c r="A5154" s="3">
        <f t="shared" si="570"/>
        <v>45794</v>
      </c>
      <c r="B5154" s="11" t="s">
        <v>5503</v>
      </c>
      <c r="C5154" s="50" t="s">
        <v>8315</v>
      </c>
      <c r="E5154" s="90" t="s">
        <v>2088</v>
      </c>
      <c r="I5154" s="88">
        <f t="shared" si="580"/>
        <v>20462.36</v>
      </c>
      <c r="K5154" s="62"/>
      <c r="L5154" s="2">
        <f t="shared" si="581"/>
        <v>0</v>
      </c>
      <c r="M5154">
        <f t="shared" si="582"/>
        <v>5</v>
      </c>
      <c r="O5154" s="62"/>
      <c r="P5154" s="62"/>
    </row>
    <row r="5155" spans="1:16" x14ac:dyDescent="0.3">
      <c r="A5155" s="3">
        <f t="shared" si="570"/>
        <v>45794</v>
      </c>
      <c r="B5155" s="11" t="s">
        <v>4195</v>
      </c>
      <c r="C5155" s="50" t="s">
        <v>4202</v>
      </c>
      <c r="G5155" s="2">
        <v>600</v>
      </c>
      <c r="I5155" s="88">
        <f t="shared" si="580"/>
        <v>21062.36</v>
      </c>
      <c r="K5155" s="62"/>
      <c r="L5155" s="2">
        <f t="shared" si="581"/>
        <v>2.4</v>
      </c>
      <c r="M5155">
        <f t="shared" si="582"/>
        <v>0</v>
      </c>
      <c r="O5155" s="62"/>
      <c r="P5155" s="62"/>
    </row>
    <row r="5156" spans="1:16" x14ac:dyDescent="0.3">
      <c r="A5156" s="3">
        <f t="shared" si="570"/>
        <v>45794</v>
      </c>
      <c r="B5156" s="11" t="s">
        <v>7651</v>
      </c>
      <c r="C5156" s="50" t="s">
        <v>7654</v>
      </c>
      <c r="G5156" s="2">
        <v>500</v>
      </c>
      <c r="I5156" s="88">
        <f t="shared" si="580"/>
        <v>21562.36</v>
      </c>
      <c r="K5156" s="62"/>
      <c r="L5156" s="2">
        <f t="shared" si="581"/>
        <v>2</v>
      </c>
      <c r="M5156">
        <f t="shared" si="582"/>
        <v>0</v>
      </c>
      <c r="O5156" s="62"/>
      <c r="P5156" s="62"/>
    </row>
    <row r="5157" spans="1:16" x14ac:dyDescent="0.3">
      <c r="A5157" s="3">
        <f t="shared" si="570"/>
        <v>45794</v>
      </c>
      <c r="B5157" s="11" t="s">
        <v>7651</v>
      </c>
      <c r="C5157" s="50" t="s">
        <v>7654</v>
      </c>
      <c r="E5157" s="90" t="s">
        <v>2088</v>
      </c>
      <c r="I5157" s="88">
        <f t="shared" si="580"/>
        <v>21562.36</v>
      </c>
      <c r="K5157" s="62"/>
      <c r="L5157" s="2">
        <f t="shared" si="581"/>
        <v>0</v>
      </c>
      <c r="M5157">
        <f t="shared" si="582"/>
        <v>5</v>
      </c>
      <c r="O5157" s="62"/>
      <c r="P5157" s="62"/>
    </row>
    <row r="5158" spans="1:16" x14ac:dyDescent="0.3">
      <c r="A5158" s="3">
        <v>45795</v>
      </c>
      <c r="B5158" s="11" t="s">
        <v>6260</v>
      </c>
      <c r="C5158" s="50" t="s">
        <v>7117</v>
      </c>
      <c r="H5158" s="2">
        <v>5000</v>
      </c>
      <c r="I5158" s="88">
        <f t="shared" si="580"/>
        <v>16562.36</v>
      </c>
      <c r="K5158" s="62"/>
      <c r="L5158" s="2">
        <f t="shared" si="581"/>
        <v>20</v>
      </c>
      <c r="M5158">
        <f t="shared" si="582"/>
        <v>0</v>
      </c>
      <c r="O5158" s="62"/>
      <c r="P5158" s="62"/>
    </row>
    <row r="5159" spans="1:16" x14ac:dyDescent="0.3">
      <c r="A5159" s="3">
        <f t="shared" si="570"/>
        <v>45795</v>
      </c>
      <c r="B5159" s="11" t="s">
        <v>1250</v>
      </c>
      <c r="C5159" s="50" t="s">
        <v>6288</v>
      </c>
      <c r="G5159" s="2">
        <v>400</v>
      </c>
      <c r="I5159" s="88">
        <f t="shared" si="580"/>
        <v>16962.36</v>
      </c>
      <c r="K5159" s="62"/>
      <c r="L5159" s="2">
        <f t="shared" si="581"/>
        <v>1.6</v>
      </c>
      <c r="M5159">
        <f t="shared" si="582"/>
        <v>0</v>
      </c>
      <c r="O5159" s="62"/>
      <c r="P5159" s="62"/>
    </row>
    <row r="5160" spans="1:16" x14ac:dyDescent="0.3">
      <c r="A5160" s="3">
        <f t="shared" si="570"/>
        <v>45795</v>
      </c>
      <c r="B5160" s="11" t="s">
        <v>1472</v>
      </c>
      <c r="C5160" s="50" t="s">
        <v>8316</v>
      </c>
      <c r="G5160" s="2">
        <v>2000</v>
      </c>
      <c r="I5160" s="88">
        <f t="shared" ref="I5160:I5171" si="583">I5159+G5160-H5160</f>
        <v>18962.36</v>
      </c>
      <c r="K5160" s="62"/>
      <c r="L5160" s="2">
        <f t="shared" ref="L5160:L5169" si="584">IF((G5160+H5160)&lt;=5000,(H5160+G5160)*0.004,20)+IF(E5160="Y",25,0)</f>
        <v>8</v>
      </c>
      <c r="M5160">
        <f t="shared" ref="M5160:M5171" si="585">IF(E5160="p",5,0)</f>
        <v>0</v>
      </c>
      <c r="O5160" s="62"/>
      <c r="P5160" s="62"/>
    </row>
    <row r="5161" spans="1:16" x14ac:dyDescent="0.3">
      <c r="A5161" s="3">
        <f t="shared" si="570"/>
        <v>45795</v>
      </c>
      <c r="B5161" s="11" t="s">
        <v>8318</v>
      </c>
      <c r="C5161" s="50" t="s">
        <v>8319</v>
      </c>
      <c r="E5161" s="90" t="s">
        <v>14</v>
      </c>
      <c r="H5161" s="2">
        <v>2000</v>
      </c>
      <c r="I5161" s="88">
        <f t="shared" si="583"/>
        <v>16962.36</v>
      </c>
      <c r="K5161" s="62"/>
      <c r="L5161" s="2">
        <f t="shared" si="584"/>
        <v>33</v>
      </c>
      <c r="M5161">
        <f t="shared" si="585"/>
        <v>0</v>
      </c>
      <c r="O5161" s="62"/>
      <c r="P5161" s="62"/>
    </row>
    <row r="5162" spans="1:16" x14ac:dyDescent="0.3">
      <c r="A5162" s="3">
        <f t="shared" si="570"/>
        <v>45795</v>
      </c>
      <c r="B5162" s="11" t="s">
        <v>8320</v>
      </c>
      <c r="C5162" s="50" t="s">
        <v>8321</v>
      </c>
      <c r="E5162" s="90" t="s">
        <v>4720</v>
      </c>
      <c r="G5162" s="2">
        <v>6000</v>
      </c>
      <c r="I5162" s="88">
        <f t="shared" si="583"/>
        <v>22962.36</v>
      </c>
      <c r="K5162" s="62"/>
      <c r="L5162" s="2">
        <f t="shared" si="584"/>
        <v>20</v>
      </c>
      <c r="M5162">
        <f t="shared" si="585"/>
        <v>0</v>
      </c>
      <c r="O5162" s="62"/>
      <c r="P5162" s="62"/>
    </row>
    <row r="5163" spans="1:16" x14ac:dyDescent="0.3">
      <c r="A5163" s="3">
        <f t="shared" si="570"/>
        <v>45795</v>
      </c>
      <c r="B5163" s="11" t="s">
        <v>6515</v>
      </c>
      <c r="C5163" s="50" t="s">
        <v>8325</v>
      </c>
      <c r="E5163" s="90" t="s">
        <v>4720</v>
      </c>
      <c r="G5163" s="2">
        <v>1200</v>
      </c>
      <c r="I5163" s="88">
        <f t="shared" si="583"/>
        <v>24162.36</v>
      </c>
      <c r="K5163" s="62"/>
      <c r="L5163" s="2">
        <f t="shared" si="584"/>
        <v>4.8</v>
      </c>
      <c r="M5163">
        <f t="shared" si="585"/>
        <v>0</v>
      </c>
      <c r="O5163" s="62"/>
      <c r="P5163" s="62"/>
    </row>
    <row r="5164" spans="1:16" x14ac:dyDescent="0.3">
      <c r="A5164" s="3">
        <f t="shared" si="570"/>
        <v>45795</v>
      </c>
      <c r="B5164" s="11" t="s">
        <v>6515</v>
      </c>
      <c r="C5164" s="50" t="s">
        <v>8325</v>
      </c>
      <c r="E5164" s="90" t="s">
        <v>2088</v>
      </c>
      <c r="I5164" s="88">
        <f t="shared" si="583"/>
        <v>24162.36</v>
      </c>
      <c r="K5164" s="62"/>
      <c r="L5164" s="2">
        <f t="shared" si="584"/>
        <v>0</v>
      </c>
      <c r="M5164">
        <f t="shared" si="585"/>
        <v>5</v>
      </c>
      <c r="O5164" s="62"/>
      <c r="P5164" s="62"/>
    </row>
    <row r="5165" spans="1:16" x14ac:dyDescent="0.3">
      <c r="A5165" s="3">
        <f t="shared" si="570"/>
        <v>45795</v>
      </c>
      <c r="B5165" s="11" t="s">
        <v>1250</v>
      </c>
      <c r="C5165" s="50" t="s">
        <v>2443</v>
      </c>
      <c r="E5165" s="90" t="s">
        <v>4720</v>
      </c>
      <c r="G5165" s="2">
        <v>1300</v>
      </c>
      <c r="I5165" s="88">
        <f t="shared" si="583"/>
        <v>25462.36</v>
      </c>
      <c r="K5165" s="62"/>
      <c r="L5165" s="2">
        <f t="shared" si="584"/>
        <v>5.2</v>
      </c>
      <c r="M5165">
        <f t="shared" si="585"/>
        <v>0</v>
      </c>
      <c r="O5165" s="62"/>
      <c r="P5165" s="62"/>
    </row>
    <row r="5166" spans="1:16" x14ac:dyDescent="0.3">
      <c r="A5166" s="3">
        <f t="shared" si="570"/>
        <v>45795</v>
      </c>
      <c r="B5166" s="11" t="s">
        <v>8219</v>
      </c>
      <c r="C5166" s="50" t="s">
        <v>8329</v>
      </c>
      <c r="E5166" s="90" t="s">
        <v>2088</v>
      </c>
      <c r="I5166" s="88">
        <f t="shared" si="583"/>
        <v>25462.36</v>
      </c>
      <c r="K5166" s="62"/>
      <c r="L5166" s="2">
        <f t="shared" si="584"/>
        <v>0</v>
      </c>
      <c r="M5166">
        <f t="shared" si="585"/>
        <v>5</v>
      </c>
      <c r="O5166" s="62"/>
      <c r="P5166" s="62"/>
    </row>
    <row r="5167" spans="1:16" x14ac:dyDescent="0.3">
      <c r="A5167" s="3">
        <f t="shared" si="570"/>
        <v>45795</v>
      </c>
      <c r="B5167" s="11" t="s">
        <v>8214</v>
      </c>
      <c r="C5167" s="50" t="s">
        <v>8330</v>
      </c>
      <c r="E5167" s="90" t="s">
        <v>2088</v>
      </c>
      <c r="I5167" s="88">
        <f t="shared" si="583"/>
        <v>25462.36</v>
      </c>
      <c r="K5167" s="62"/>
      <c r="L5167" s="2">
        <f t="shared" si="584"/>
        <v>0</v>
      </c>
      <c r="M5167">
        <f t="shared" si="585"/>
        <v>5</v>
      </c>
      <c r="O5167" s="62"/>
      <c r="P5167" s="62"/>
    </row>
    <row r="5168" spans="1:16" x14ac:dyDescent="0.3">
      <c r="A5168" s="3">
        <f t="shared" si="570"/>
        <v>45795</v>
      </c>
      <c r="B5168" s="11" t="s">
        <v>5082</v>
      </c>
      <c r="C5168" s="50" t="s">
        <v>7412</v>
      </c>
      <c r="E5168" s="90" t="s">
        <v>4720</v>
      </c>
      <c r="G5168" s="2">
        <v>2700</v>
      </c>
      <c r="I5168" s="88">
        <f t="shared" si="583"/>
        <v>28162.36</v>
      </c>
      <c r="K5168" s="62"/>
      <c r="L5168" s="2">
        <f t="shared" si="584"/>
        <v>10.8</v>
      </c>
      <c r="M5168">
        <f t="shared" si="585"/>
        <v>0</v>
      </c>
      <c r="O5168" s="62"/>
      <c r="P5168" s="62"/>
    </row>
    <row r="5169" spans="1:16" x14ac:dyDescent="0.3">
      <c r="A5169" s="3">
        <f t="shared" si="570"/>
        <v>45795</v>
      </c>
      <c r="B5169" s="11" t="s">
        <v>1250</v>
      </c>
      <c r="C5169" s="50" t="s">
        <v>2462</v>
      </c>
      <c r="E5169" s="90" t="s">
        <v>4720</v>
      </c>
      <c r="G5169" s="2">
        <v>1300</v>
      </c>
      <c r="I5169" s="88">
        <f t="shared" si="583"/>
        <v>29462.36</v>
      </c>
      <c r="K5169" s="62"/>
      <c r="L5169" s="2">
        <f t="shared" si="584"/>
        <v>5.2</v>
      </c>
      <c r="M5169">
        <f t="shared" si="585"/>
        <v>0</v>
      </c>
      <c r="O5169" s="62"/>
      <c r="P5169" s="62"/>
    </row>
    <row r="5170" spans="1:16" x14ac:dyDescent="0.3">
      <c r="A5170" s="3">
        <v>45796</v>
      </c>
      <c r="C5170" s="50" t="s">
        <v>2857</v>
      </c>
      <c r="E5170" s="90" t="s">
        <v>8332</v>
      </c>
      <c r="H5170" s="2">
        <v>25000</v>
      </c>
      <c r="I5170" s="88">
        <f t="shared" si="583"/>
        <v>4462.3600000000006</v>
      </c>
      <c r="K5170" s="62"/>
      <c r="L5170" s="2">
        <f>IF(E5170="C",0,IF((G5170+H5170)&lt;=5000,(H5170+G5170)*0.004,20)+IF(E5170="Y",25,IF(E5170="YY",75,IF(E5170="P",5,0))))</f>
        <v>0</v>
      </c>
      <c r="M5170">
        <f t="shared" si="585"/>
        <v>0</v>
      </c>
      <c r="O5170" s="62"/>
      <c r="P5170" s="62"/>
    </row>
    <row r="5171" spans="1:16" x14ac:dyDescent="0.3">
      <c r="A5171" s="3">
        <f t="shared" si="570"/>
        <v>45796</v>
      </c>
      <c r="B5171" s="11" t="s">
        <v>8312</v>
      </c>
      <c r="C5171" s="50" t="s">
        <v>8313</v>
      </c>
      <c r="E5171" s="90" t="s">
        <v>2088</v>
      </c>
      <c r="I5171" s="88">
        <f t="shared" si="583"/>
        <v>4462.3600000000006</v>
      </c>
      <c r="K5171" s="62"/>
      <c r="L5171" s="2">
        <f>IF((G5171+H5171)&lt;=5000,(H5171+G5171)*0.004,20)+IF(E5171="Y",25,IF(E5171="YY",75,IF(E5171="P",5,IF(E5171="S",0,0))))</f>
        <v>5</v>
      </c>
      <c r="M5171">
        <f t="shared" si="585"/>
        <v>5</v>
      </c>
      <c r="O5171" s="62"/>
      <c r="P5171" s="62"/>
    </row>
    <row r="5172" spans="1:16" x14ac:dyDescent="0.3">
      <c r="A5172" s="3">
        <v>45800</v>
      </c>
      <c r="B5172" s="11" t="s">
        <v>8333</v>
      </c>
      <c r="C5172" s="50" t="s">
        <v>4437</v>
      </c>
      <c r="E5172" s="90" t="s">
        <v>4720</v>
      </c>
      <c r="G5172" s="2">
        <v>2200</v>
      </c>
      <c r="I5172" s="88">
        <f t="shared" ref="I5172:I5181" si="586">I5171+G5172-H5172</f>
        <v>6662.3600000000006</v>
      </c>
      <c r="L5172" s="2">
        <f t="shared" ref="L5172:L5175" si="587">IF((G5172+H5172)&lt;=5000,(H5172+G5172)*0.004,20)+IF(E5172="Y",25,IF(E5172="YY",75,IF(E5172="P",5,0)))</f>
        <v>8.8000000000000007</v>
      </c>
      <c r="M5172">
        <f t="shared" ref="M5172:M5181" si="588">IF(E5172="p",5,0)</f>
        <v>0</v>
      </c>
      <c r="O5172" s="62"/>
      <c r="P5172" s="62"/>
    </row>
    <row r="5173" spans="1:16" x14ac:dyDescent="0.3">
      <c r="A5173" s="3">
        <f t="shared" si="570"/>
        <v>45800</v>
      </c>
      <c r="B5173" s="11" t="s">
        <v>2143</v>
      </c>
      <c r="C5173" s="50" t="s">
        <v>1279</v>
      </c>
      <c r="E5173" s="90" t="s">
        <v>4720</v>
      </c>
      <c r="H5173" s="2">
        <v>6000</v>
      </c>
      <c r="I5173" s="88">
        <f t="shared" si="586"/>
        <v>662.36000000000058</v>
      </c>
      <c r="K5173" s="62"/>
      <c r="L5173" s="2">
        <f t="shared" si="587"/>
        <v>20</v>
      </c>
      <c r="M5173">
        <f t="shared" si="588"/>
        <v>0</v>
      </c>
      <c r="O5173" s="62"/>
      <c r="P5173" s="62"/>
    </row>
    <row r="5174" spans="1:16" x14ac:dyDescent="0.3">
      <c r="A5174" s="3">
        <f t="shared" si="570"/>
        <v>45800</v>
      </c>
      <c r="B5174" s="11" t="s">
        <v>7669</v>
      </c>
      <c r="C5174" s="50" t="s">
        <v>6581</v>
      </c>
      <c r="E5174" s="90" t="s">
        <v>4720</v>
      </c>
      <c r="G5174" s="2">
        <v>3000</v>
      </c>
      <c r="I5174" s="88">
        <f t="shared" si="586"/>
        <v>3662.3600000000006</v>
      </c>
      <c r="K5174" s="62"/>
      <c r="L5174" s="2">
        <f t="shared" si="587"/>
        <v>12</v>
      </c>
      <c r="M5174">
        <f t="shared" si="588"/>
        <v>0</v>
      </c>
      <c r="O5174" s="62"/>
      <c r="P5174" s="62"/>
    </row>
    <row r="5175" spans="1:16" x14ac:dyDescent="0.3">
      <c r="A5175" s="3">
        <f t="shared" si="570"/>
        <v>45800</v>
      </c>
      <c r="B5175" s="11" t="s">
        <v>1472</v>
      </c>
      <c r="C5175" s="50" t="s">
        <v>8026</v>
      </c>
      <c r="E5175" s="90" t="s">
        <v>4720</v>
      </c>
      <c r="G5175" s="2">
        <v>2000</v>
      </c>
      <c r="I5175" s="88">
        <f t="shared" si="586"/>
        <v>5662.3600000000006</v>
      </c>
      <c r="K5175" s="62"/>
      <c r="L5175" s="2">
        <f t="shared" si="587"/>
        <v>8</v>
      </c>
      <c r="M5175">
        <f t="shared" si="588"/>
        <v>0</v>
      </c>
      <c r="O5175" s="62"/>
      <c r="P5175" s="62"/>
    </row>
    <row r="5176" spans="1:16" x14ac:dyDescent="0.3">
      <c r="A5176" s="3">
        <f t="shared" si="570"/>
        <v>45800</v>
      </c>
      <c r="B5176" s="11" t="s">
        <v>6260</v>
      </c>
      <c r="C5176" s="50" t="s">
        <v>7117</v>
      </c>
      <c r="E5176" s="90" t="s">
        <v>4720</v>
      </c>
      <c r="H5176" s="2">
        <v>5000</v>
      </c>
      <c r="I5176" s="88">
        <f t="shared" si="586"/>
        <v>662.36000000000058</v>
      </c>
      <c r="K5176" s="62"/>
      <c r="L5176" s="2">
        <f>IF((G5176+H5176)&lt;=5000,(H5176+G5176)*0.004,20)+IF(E5176="Y",25,IF(E5176="YY",75,IF(E5176="P",5,0)))</f>
        <v>20</v>
      </c>
      <c r="M5176">
        <f t="shared" si="588"/>
        <v>0</v>
      </c>
      <c r="O5176" s="62"/>
      <c r="P5176" s="62"/>
    </row>
    <row r="5177" spans="1:16" x14ac:dyDescent="0.3">
      <c r="A5177" s="3">
        <f t="shared" si="570"/>
        <v>45800</v>
      </c>
      <c r="B5177" s="11" t="s">
        <v>1472</v>
      </c>
      <c r="C5177" s="50" t="s">
        <v>8082</v>
      </c>
      <c r="E5177" s="90" t="s">
        <v>4720</v>
      </c>
      <c r="G5177" s="2">
        <v>2000</v>
      </c>
      <c r="I5177" s="88">
        <f t="shared" si="586"/>
        <v>2662.3600000000006</v>
      </c>
      <c r="L5177" s="2">
        <f t="shared" ref="L5177:L5181" si="589">IF((G5177+H5177)&lt;=5000,(H5177+G5177)*0.004,20)+IF(E5177="Y",25,0)</f>
        <v>8</v>
      </c>
      <c r="M5177">
        <f t="shared" si="588"/>
        <v>0</v>
      </c>
      <c r="O5177" s="62"/>
      <c r="P5177" s="62"/>
    </row>
    <row r="5178" spans="1:16" x14ac:dyDescent="0.3">
      <c r="A5178" s="3">
        <f t="shared" si="570"/>
        <v>45800</v>
      </c>
      <c r="B5178" s="11" t="s">
        <v>2241</v>
      </c>
      <c r="C5178" s="50" t="s">
        <v>6347</v>
      </c>
      <c r="E5178" s="90" t="s">
        <v>4720</v>
      </c>
      <c r="G5178" s="2">
        <v>3100</v>
      </c>
      <c r="I5178" s="88">
        <f t="shared" si="586"/>
        <v>5762.3600000000006</v>
      </c>
      <c r="K5178" s="62"/>
      <c r="L5178" s="2">
        <f t="shared" si="589"/>
        <v>12.4</v>
      </c>
      <c r="M5178">
        <f t="shared" si="588"/>
        <v>0</v>
      </c>
      <c r="O5178" s="62"/>
      <c r="P5178" s="62"/>
    </row>
    <row r="5179" spans="1:16" x14ac:dyDescent="0.3">
      <c r="A5179" s="3">
        <f t="shared" si="570"/>
        <v>45800</v>
      </c>
      <c r="B5179" s="11" t="s">
        <v>6687</v>
      </c>
      <c r="C5179" s="50" t="s">
        <v>8335</v>
      </c>
      <c r="E5179" s="90" t="s">
        <v>4720</v>
      </c>
      <c r="G5179" s="2">
        <v>7000</v>
      </c>
      <c r="I5179" s="88">
        <f t="shared" si="586"/>
        <v>12762.36</v>
      </c>
      <c r="K5179" s="62"/>
      <c r="L5179" s="2">
        <f t="shared" si="589"/>
        <v>20</v>
      </c>
      <c r="M5179">
        <f t="shared" si="588"/>
        <v>0</v>
      </c>
      <c r="O5179" s="62"/>
      <c r="P5179" s="62"/>
    </row>
    <row r="5180" spans="1:16" x14ac:dyDescent="0.3">
      <c r="A5180" s="3">
        <f t="shared" ref="A5180:A5235" si="590">A5179</f>
        <v>45800</v>
      </c>
      <c r="B5180" s="11" t="s">
        <v>2448</v>
      </c>
      <c r="C5180" s="50" t="s">
        <v>8334</v>
      </c>
      <c r="E5180" s="90" t="s">
        <v>4720</v>
      </c>
      <c r="H5180" s="2">
        <v>6000</v>
      </c>
      <c r="I5180" s="88">
        <f t="shared" si="586"/>
        <v>6762.3600000000006</v>
      </c>
      <c r="K5180" s="62">
        <f>20+30+50+20+20+30+10</f>
        <v>180</v>
      </c>
      <c r="L5180" s="2">
        <f t="shared" si="589"/>
        <v>20</v>
      </c>
      <c r="M5180">
        <f t="shared" si="588"/>
        <v>0</v>
      </c>
      <c r="O5180" s="62"/>
      <c r="P5180" s="62"/>
    </row>
    <row r="5181" spans="1:16" x14ac:dyDescent="0.3">
      <c r="A5181" s="3">
        <v>45801</v>
      </c>
      <c r="B5181" s="11" t="s">
        <v>1250</v>
      </c>
      <c r="C5181" s="50" t="s">
        <v>2884</v>
      </c>
      <c r="E5181" s="90" t="s">
        <v>4720</v>
      </c>
      <c r="G5181" s="2">
        <v>400</v>
      </c>
      <c r="I5181" s="88">
        <f t="shared" si="586"/>
        <v>7162.3600000000006</v>
      </c>
      <c r="K5181" s="62"/>
      <c r="L5181" s="2">
        <f t="shared" si="589"/>
        <v>1.6</v>
      </c>
      <c r="M5181">
        <f t="shared" si="588"/>
        <v>0</v>
      </c>
      <c r="O5181" s="62"/>
      <c r="P5181" s="62"/>
    </row>
    <row r="5182" spans="1:16" x14ac:dyDescent="0.3">
      <c r="A5182" s="3">
        <f t="shared" si="590"/>
        <v>45801</v>
      </c>
      <c r="B5182" s="11" t="s">
        <v>1250</v>
      </c>
      <c r="C5182" s="50" t="s">
        <v>3393</v>
      </c>
      <c r="E5182" s="90" t="s">
        <v>4720</v>
      </c>
      <c r="G5182" s="2">
        <v>400</v>
      </c>
      <c r="I5182" s="88">
        <f t="shared" ref="I5182:I5191" si="591">I5181+G5182-H5182</f>
        <v>7562.3600000000006</v>
      </c>
      <c r="L5182" s="2">
        <f t="shared" ref="L5182:L5191" si="592">IF((G5182+H5182)&lt;=5000,(H5182+G5182)*0.004,20)+IF(E5182="Y",25,0)</f>
        <v>1.6</v>
      </c>
      <c r="M5182">
        <f t="shared" ref="M5182:M5191" si="593">IF(E5182="p",5,0)</f>
        <v>0</v>
      </c>
      <c r="O5182" s="62"/>
      <c r="P5182" s="62"/>
    </row>
    <row r="5183" spans="1:16" x14ac:dyDescent="0.3">
      <c r="A5183" s="3">
        <f t="shared" si="590"/>
        <v>45801</v>
      </c>
      <c r="B5183" s="11" t="s">
        <v>2743</v>
      </c>
      <c r="C5183" s="50" t="s">
        <v>8337</v>
      </c>
      <c r="E5183" s="90" t="s">
        <v>4720</v>
      </c>
      <c r="G5183" s="2">
        <v>1700</v>
      </c>
      <c r="I5183" s="88">
        <f t="shared" si="591"/>
        <v>9262.36</v>
      </c>
      <c r="K5183" s="62"/>
      <c r="L5183" s="2">
        <f t="shared" si="592"/>
        <v>6.8</v>
      </c>
      <c r="M5183">
        <f t="shared" si="593"/>
        <v>0</v>
      </c>
      <c r="O5183" s="62"/>
      <c r="P5183" s="62"/>
    </row>
    <row r="5184" spans="1:16" x14ac:dyDescent="0.3">
      <c r="A5184" s="3">
        <f t="shared" si="590"/>
        <v>45801</v>
      </c>
      <c r="B5184" s="11" t="s">
        <v>3669</v>
      </c>
      <c r="C5184" s="50" t="s">
        <v>8338</v>
      </c>
      <c r="E5184" s="90" t="s">
        <v>4720</v>
      </c>
      <c r="G5184" s="2">
        <v>3000</v>
      </c>
      <c r="I5184" s="88">
        <f t="shared" si="591"/>
        <v>12262.36</v>
      </c>
      <c r="L5184" s="2">
        <f t="shared" si="592"/>
        <v>12</v>
      </c>
      <c r="M5184">
        <f t="shared" si="593"/>
        <v>0</v>
      </c>
      <c r="O5184" s="62"/>
      <c r="P5184" s="62"/>
    </row>
    <row r="5185" spans="1:16" x14ac:dyDescent="0.3">
      <c r="A5185" s="3">
        <f t="shared" si="590"/>
        <v>45801</v>
      </c>
      <c r="B5185" s="11" t="s">
        <v>7649</v>
      </c>
      <c r="C5185" s="50" t="s">
        <v>8336</v>
      </c>
      <c r="E5185" s="90" t="s">
        <v>4720</v>
      </c>
      <c r="H5185" s="2">
        <v>10700</v>
      </c>
      <c r="I5185" s="88">
        <f t="shared" si="591"/>
        <v>1562.3600000000006</v>
      </c>
      <c r="L5185" s="2">
        <f t="shared" si="592"/>
        <v>20</v>
      </c>
      <c r="M5185">
        <f t="shared" si="593"/>
        <v>0</v>
      </c>
      <c r="O5185" s="62"/>
      <c r="P5185" s="62"/>
    </row>
    <row r="5186" spans="1:16" x14ac:dyDescent="0.3">
      <c r="A5186" s="3">
        <f t="shared" si="590"/>
        <v>45801</v>
      </c>
      <c r="B5186" s="11" t="s">
        <v>3232</v>
      </c>
      <c r="C5186" s="50" t="s">
        <v>8280</v>
      </c>
      <c r="E5186" s="90" t="s">
        <v>4720</v>
      </c>
      <c r="G5186" s="2">
        <v>5000</v>
      </c>
      <c r="I5186" s="88">
        <f t="shared" si="591"/>
        <v>6562.3600000000006</v>
      </c>
      <c r="K5186" s="62"/>
      <c r="L5186" s="2">
        <f t="shared" si="592"/>
        <v>20</v>
      </c>
      <c r="M5186">
        <f t="shared" si="593"/>
        <v>0</v>
      </c>
      <c r="O5186" s="62"/>
      <c r="P5186" s="62"/>
    </row>
    <row r="5187" spans="1:16" x14ac:dyDescent="0.3">
      <c r="A5187" s="3">
        <f t="shared" si="590"/>
        <v>45801</v>
      </c>
      <c r="B5187" s="11" t="s">
        <v>1250</v>
      </c>
      <c r="C5187" s="50" t="s">
        <v>6985</v>
      </c>
      <c r="E5187" s="90" t="s">
        <v>4720</v>
      </c>
      <c r="G5187" s="2">
        <v>2000</v>
      </c>
      <c r="I5187" s="88">
        <f t="shared" si="591"/>
        <v>8562.36</v>
      </c>
      <c r="K5187" s="62"/>
      <c r="L5187" s="2">
        <f t="shared" si="592"/>
        <v>8</v>
      </c>
      <c r="M5187">
        <f t="shared" si="593"/>
        <v>0</v>
      </c>
      <c r="O5187" s="62"/>
      <c r="P5187" s="62"/>
    </row>
    <row r="5188" spans="1:16" x14ac:dyDescent="0.3">
      <c r="A5188" s="3">
        <f t="shared" si="590"/>
        <v>45801</v>
      </c>
      <c r="B5188" s="11" t="s">
        <v>1250</v>
      </c>
      <c r="C5188" s="50" t="s">
        <v>2443</v>
      </c>
      <c r="E5188" s="90" t="s">
        <v>4720</v>
      </c>
      <c r="G5188" s="2">
        <v>1500</v>
      </c>
      <c r="I5188" s="88">
        <f t="shared" si="591"/>
        <v>10062.36</v>
      </c>
      <c r="L5188" s="2">
        <f t="shared" si="592"/>
        <v>6</v>
      </c>
      <c r="M5188">
        <f t="shared" si="593"/>
        <v>0</v>
      </c>
      <c r="O5188" s="62"/>
      <c r="P5188" s="62"/>
    </row>
    <row r="5189" spans="1:16" x14ac:dyDescent="0.3">
      <c r="A5189" s="3">
        <f t="shared" si="590"/>
        <v>45801</v>
      </c>
      <c r="B5189" s="11" t="s">
        <v>3713</v>
      </c>
      <c r="C5189" s="50" t="s">
        <v>8339</v>
      </c>
      <c r="E5189" s="90" t="s">
        <v>2088</v>
      </c>
      <c r="G5189" s="2">
        <v>200</v>
      </c>
      <c r="I5189" s="88">
        <f t="shared" si="591"/>
        <v>10262.36</v>
      </c>
      <c r="L5189" s="2">
        <f t="shared" si="592"/>
        <v>0.8</v>
      </c>
      <c r="M5189">
        <f t="shared" si="593"/>
        <v>5</v>
      </c>
      <c r="O5189" s="62"/>
      <c r="P5189" s="62"/>
    </row>
    <row r="5190" spans="1:16" x14ac:dyDescent="0.3">
      <c r="A5190" s="3">
        <f t="shared" si="590"/>
        <v>45801</v>
      </c>
      <c r="B5190" s="11" t="s">
        <v>1250</v>
      </c>
      <c r="E5190" s="90" t="s">
        <v>4720</v>
      </c>
      <c r="G5190" s="2">
        <v>1000</v>
      </c>
      <c r="I5190" s="88">
        <f t="shared" si="591"/>
        <v>11262.36</v>
      </c>
      <c r="K5190" s="62"/>
      <c r="L5190" s="2">
        <f t="shared" si="592"/>
        <v>4</v>
      </c>
      <c r="M5190">
        <f t="shared" si="593"/>
        <v>0</v>
      </c>
      <c r="O5190" s="62"/>
      <c r="P5190" s="62"/>
    </row>
    <row r="5191" spans="1:16" x14ac:dyDescent="0.3">
      <c r="A5191" s="3">
        <f t="shared" si="590"/>
        <v>45801</v>
      </c>
      <c r="B5191" s="11" t="s">
        <v>4622</v>
      </c>
      <c r="C5191" s="50" t="s">
        <v>8340</v>
      </c>
      <c r="E5191" s="90" t="s">
        <v>4720</v>
      </c>
      <c r="G5191" s="2">
        <v>10000</v>
      </c>
      <c r="I5191" s="88">
        <f t="shared" si="591"/>
        <v>21262.36</v>
      </c>
      <c r="K5191" s="62">
        <f>20+20+30+50+20+20+10+50+10</f>
        <v>230</v>
      </c>
      <c r="L5191" s="2">
        <f t="shared" si="592"/>
        <v>20</v>
      </c>
      <c r="M5191">
        <f t="shared" si="593"/>
        <v>0</v>
      </c>
      <c r="O5191" s="62"/>
      <c r="P5191" s="62"/>
    </row>
    <row r="5192" spans="1:16" x14ac:dyDescent="0.3">
      <c r="A5192" s="3">
        <v>45802</v>
      </c>
      <c r="B5192" s="11" t="s">
        <v>1250</v>
      </c>
      <c r="C5192" s="50" t="s">
        <v>7036</v>
      </c>
      <c r="E5192" s="90" t="s">
        <v>4720</v>
      </c>
      <c r="G5192" s="2">
        <v>5100</v>
      </c>
      <c r="I5192" s="88">
        <f t="shared" ref="I5192:I5203" si="594">I5191+G5192-H5192</f>
        <v>26362.36</v>
      </c>
      <c r="L5192" s="2">
        <f t="shared" ref="L5192" si="595">IF((G5192+H5192)&lt;=5000,(H5192+G5192)*0.004,20)+IF(E5192="Y",25,0)</f>
        <v>20</v>
      </c>
      <c r="M5192">
        <f t="shared" ref="M5192:M5203" si="596">IF(E5192="p",5,0)</f>
        <v>0</v>
      </c>
      <c r="O5192" s="62"/>
      <c r="P5192" s="62"/>
    </row>
    <row r="5193" spans="1:16" x14ac:dyDescent="0.3">
      <c r="A5193" s="3">
        <f t="shared" si="590"/>
        <v>45802</v>
      </c>
      <c r="B5193" s="11" t="s">
        <v>8341</v>
      </c>
      <c r="C5193" s="50" t="s">
        <v>8342</v>
      </c>
      <c r="E5193" s="90" t="s">
        <v>4720</v>
      </c>
      <c r="H5193" s="2">
        <v>500</v>
      </c>
      <c r="I5193" s="88">
        <f t="shared" si="594"/>
        <v>25862.36</v>
      </c>
      <c r="K5193" s="62"/>
      <c r="L5193" s="2">
        <f t="shared" ref="L5193:L5203" si="597">IF(E5193="P",5,IF(E5193="Y",15,IF(E5193="YY",25,IF(E5193="c",0,+IF((G5193+H5193)&lt;=5000,(G5193+H5193)*0.004,20)))))</f>
        <v>2</v>
      </c>
      <c r="M5193">
        <f t="shared" si="596"/>
        <v>0</v>
      </c>
      <c r="O5193" s="62"/>
      <c r="P5193" s="62"/>
    </row>
    <row r="5194" spans="1:16" x14ac:dyDescent="0.3">
      <c r="A5194" s="3">
        <f t="shared" si="590"/>
        <v>45802</v>
      </c>
      <c r="B5194" s="11" t="s">
        <v>1160</v>
      </c>
      <c r="C5194" s="50" t="s">
        <v>8343</v>
      </c>
      <c r="E5194" s="90" t="s">
        <v>4720</v>
      </c>
      <c r="G5194" s="2">
        <v>1000</v>
      </c>
      <c r="I5194" s="88">
        <f t="shared" si="594"/>
        <v>26862.36</v>
      </c>
      <c r="K5194" s="62"/>
      <c r="L5194" s="2">
        <f t="shared" si="597"/>
        <v>4</v>
      </c>
      <c r="M5194">
        <f t="shared" si="596"/>
        <v>0</v>
      </c>
      <c r="O5194" s="62"/>
      <c r="P5194" s="62"/>
    </row>
    <row r="5195" spans="1:16" x14ac:dyDescent="0.3">
      <c r="A5195" s="3">
        <f t="shared" si="590"/>
        <v>45802</v>
      </c>
      <c r="B5195" s="11" t="s">
        <v>1250</v>
      </c>
      <c r="C5195" s="50" t="s">
        <v>7372</v>
      </c>
      <c r="E5195" s="90" t="s">
        <v>4720</v>
      </c>
      <c r="G5195" s="2">
        <v>2000</v>
      </c>
      <c r="I5195" s="88">
        <f t="shared" si="594"/>
        <v>28862.36</v>
      </c>
      <c r="K5195" s="62">
        <f>50+10+20</f>
        <v>80</v>
      </c>
      <c r="L5195" s="2">
        <f t="shared" si="597"/>
        <v>8</v>
      </c>
      <c r="M5195">
        <f t="shared" si="596"/>
        <v>0</v>
      </c>
      <c r="O5195" s="62"/>
      <c r="P5195" s="62"/>
    </row>
    <row r="5196" spans="1:16" x14ac:dyDescent="0.3">
      <c r="A5196" s="3">
        <f t="shared" si="590"/>
        <v>45802</v>
      </c>
      <c r="B5196" s="11" t="s">
        <v>2689</v>
      </c>
      <c r="C5196" s="50" t="s">
        <v>1279</v>
      </c>
      <c r="E5196" s="90" t="s">
        <v>4720</v>
      </c>
      <c r="H5196" s="2">
        <v>10000</v>
      </c>
      <c r="I5196" s="88">
        <f t="shared" si="594"/>
        <v>18862.36</v>
      </c>
      <c r="K5196" s="62"/>
      <c r="L5196" s="2">
        <f t="shared" si="597"/>
        <v>20</v>
      </c>
      <c r="M5196">
        <f t="shared" si="596"/>
        <v>0</v>
      </c>
      <c r="O5196" s="62"/>
      <c r="P5196" s="62"/>
    </row>
    <row r="5197" spans="1:16" x14ac:dyDescent="0.3">
      <c r="A5197" s="3">
        <f t="shared" si="590"/>
        <v>45802</v>
      </c>
      <c r="B5197" s="11" t="s">
        <v>3524</v>
      </c>
      <c r="C5197" s="50" t="s">
        <v>3088</v>
      </c>
      <c r="E5197" s="90" t="s">
        <v>4720</v>
      </c>
      <c r="H5197" s="2">
        <v>10000</v>
      </c>
      <c r="I5197" s="88">
        <f t="shared" si="594"/>
        <v>8862.36</v>
      </c>
      <c r="K5197" s="62"/>
      <c r="L5197" s="2">
        <f t="shared" si="597"/>
        <v>20</v>
      </c>
      <c r="M5197">
        <f t="shared" si="596"/>
        <v>0</v>
      </c>
      <c r="O5197" s="62"/>
      <c r="P5197" s="62"/>
    </row>
    <row r="5198" spans="1:16" x14ac:dyDescent="0.3">
      <c r="A5198" s="3">
        <v>45803</v>
      </c>
      <c r="B5198" s="11" t="s">
        <v>7802</v>
      </c>
      <c r="C5198" s="50" t="s">
        <v>8344</v>
      </c>
      <c r="E5198" s="90" t="s">
        <v>4720</v>
      </c>
      <c r="G5198" s="2">
        <v>600</v>
      </c>
      <c r="I5198" s="88">
        <f t="shared" si="594"/>
        <v>9462.36</v>
      </c>
      <c r="K5198" s="62"/>
      <c r="L5198" s="2">
        <f t="shared" si="597"/>
        <v>2.4</v>
      </c>
      <c r="M5198">
        <f t="shared" si="596"/>
        <v>0</v>
      </c>
      <c r="O5198" s="62"/>
      <c r="P5198" s="62"/>
    </row>
    <row r="5199" spans="1:16" x14ac:dyDescent="0.3">
      <c r="A5199" s="3">
        <v>45804</v>
      </c>
      <c r="B5199" s="11" t="s">
        <v>6260</v>
      </c>
      <c r="C5199" s="50" t="s">
        <v>7117</v>
      </c>
      <c r="E5199" s="90" t="s">
        <v>4720</v>
      </c>
      <c r="H5199" s="2">
        <v>7000</v>
      </c>
      <c r="I5199" s="88">
        <f t="shared" si="594"/>
        <v>2462.3600000000006</v>
      </c>
      <c r="K5199" s="62"/>
      <c r="L5199" s="2">
        <f t="shared" si="597"/>
        <v>20</v>
      </c>
      <c r="M5199">
        <f t="shared" si="596"/>
        <v>0</v>
      </c>
      <c r="O5199" s="62"/>
      <c r="P5199" s="62"/>
    </row>
    <row r="5200" spans="1:16" x14ac:dyDescent="0.3">
      <c r="A5200" s="3">
        <f t="shared" si="590"/>
        <v>45804</v>
      </c>
      <c r="B5200" s="11" t="s">
        <v>8345</v>
      </c>
      <c r="C5200" s="50" t="s">
        <v>8265</v>
      </c>
      <c r="E5200" s="90" t="s">
        <v>4720</v>
      </c>
      <c r="H5200" s="2">
        <v>1600</v>
      </c>
      <c r="I5200" s="88">
        <f t="shared" si="594"/>
        <v>862.36000000000058</v>
      </c>
      <c r="K5200" s="62"/>
      <c r="L5200" s="2">
        <f t="shared" si="597"/>
        <v>6.4</v>
      </c>
      <c r="M5200">
        <f t="shared" si="596"/>
        <v>0</v>
      </c>
      <c r="O5200" s="62"/>
      <c r="P5200" s="62"/>
    </row>
    <row r="5201" spans="1:16" x14ac:dyDescent="0.3">
      <c r="A5201" s="3">
        <f t="shared" si="590"/>
        <v>45804</v>
      </c>
      <c r="B5201" s="11" t="s">
        <v>5312</v>
      </c>
      <c r="C5201" s="50" t="s">
        <v>8068</v>
      </c>
      <c r="E5201" s="90" t="s">
        <v>4720</v>
      </c>
      <c r="G5201" s="2">
        <v>5000</v>
      </c>
      <c r="I5201" s="88">
        <f t="shared" si="594"/>
        <v>5862.3600000000006</v>
      </c>
      <c r="K5201" s="62"/>
      <c r="L5201" s="2">
        <f t="shared" si="597"/>
        <v>20</v>
      </c>
      <c r="M5201">
        <f t="shared" si="596"/>
        <v>0</v>
      </c>
      <c r="O5201" s="62"/>
      <c r="P5201" s="62"/>
    </row>
    <row r="5202" spans="1:16" x14ac:dyDescent="0.3">
      <c r="A5202" s="3">
        <f t="shared" si="590"/>
        <v>45804</v>
      </c>
      <c r="B5202" s="11" t="s">
        <v>5312</v>
      </c>
      <c r="C5202" s="50" t="s">
        <v>8068</v>
      </c>
      <c r="E5202" s="90" t="s">
        <v>2088</v>
      </c>
      <c r="I5202" s="88">
        <f t="shared" si="594"/>
        <v>5862.3600000000006</v>
      </c>
      <c r="K5202" s="62"/>
      <c r="L5202" s="2">
        <f t="shared" si="597"/>
        <v>5</v>
      </c>
      <c r="M5202">
        <f t="shared" si="596"/>
        <v>5</v>
      </c>
      <c r="O5202" s="62"/>
      <c r="P5202" s="62"/>
    </row>
    <row r="5203" spans="1:16" x14ac:dyDescent="0.3">
      <c r="A5203" s="3">
        <f t="shared" si="590"/>
        <v>45804</v>
      </c>
      <c r="B5203" s="11" t="s">
        <v>7186</v>
      </c>
      <c r="C5203" s="50" t="s">
        <v>8039</v>
      </c>
      <c r="E5203" s="90" t="s">
        <v>4720</v>
      </c>
      <c r="G5203" s="2">
        <v>10000</v>
      </c>
      <c r="I5203" s="88">
        <f t="shared" si="594"/>
        <v>15862.36</v>
      </c>
      <c r="K5203" s="62">
        <v>-6000</v>
      </c>
      <c r="L5203" s="2">
        <f t="shared" si="597"/>
        <v>20</v>
      </c>
      <c r="M5203">
        <f t="shared" si="596"/>
        <v>0</v>
      </c>
      <c r="O5203" s="62"/>
      <c r="P5203" s="62"/>
    </row>
    <row r="5204" spans="1:16" x14ac:dyDescent="0.3">
      <c r="A5204" s="3">
        <f t="shared" si="590"/>
        <v>45804</v>
      </c>
      <c r="B5204" s="11" t="s">
        <v>2143</v>
      </c>
      <c r="E5204" s="90" t="s">
        <v>4720</v>
      </c>
      <c r="H5204" s="2">
        <v>10000</v>
      </c>
      <c r="I5204" s="88">
        <f t="shared" ref="I5204:I5217" si="598">I5203+G5204-H5204</f>
        <v>5862.3600000000006</v>
      </c>
      <c r="K5204" s="62"/>
      <c r="L5204" s="2">
        <f t="shared" ref="L5204:L5217" si="599">IF(E5204="P",5,IF(E5204="Y",15,IF(E5204="YY",25,IF(E5204="c",0,+IF((G5204+H5204)&lt;=5000,(G5204+H5204)*0.004,20)))))</f>
        <v>20</v>
      </c>
      <c r="M5204">
        <f t="shared" ref="M5204:M5217" si="600">IF(E5204="p",5,0)</f>
        <v>0</v>
      </c>
      <c r="O5204" s="62"/>
      <c r="P5204" s="62"/>
    </row>
    <row r="5205" spans="1:16" x14ac:dyDescent="0.3">
      <c r="A5205" s="3">
        <f t="shared" si="590"/>
        <v>45804</v>
      </c>
      <c r="B5205" s="11" t="s">
        <v>6728</v>
      </c>
      <c r="C5205" s="50" t="s">
        <v>8346</v>
      </c>
      <c r="E5205" s="90" t="s">
        <v>4720</v>
      </c>
      <c r="G5205" s="2">
        <v>1800</v>
      </c>
      <c r="I5205" s="88">
        <f t="shared" si="598"/>
        <v>7662.3600000000006</v>
      </c>
      <c r="K5205" s="62"/>
      <c r="L5205" s="2">
        <f t="shared" si="599"/>
        <v>7.2</v>
      </c>
      <c r="M5205">
        <f t="shared" si="600"/>
        <v>0</v>
      </c>
      <c r="O5205" s="62"/>
      <c r="P5205" s="62"/>
    </row>
    <row r="5206" spans="1:16" x14ac:dyDescent="0.3">
      <c r="A5206" s="3">
        <f t="shared" si="590"/>
        <v>45804</v>
      </c>
      <c r="B5206" s="11" t="s">
        <v>6728</v>
      </c>
      <c r="C5206" s="50" t="s">
        <v>268</v>
      </c>
      <c r="E5206" s="90" t="s">
        <v>2088</v>
      </c>
      <c r="I5206" s="88">
        <f t="shared" si="598"/>
        <v>7662.3600000000006</v>
      </c>
      <c r="K5206" s="62"/>
      <c r="L5206" s="2">
        <f t="shared" si="599"/>
        <v>5</v>
      </c>
      <c r="M5206">
        <f t="shared" si="600"/>
        <v>5</v>
      </c>
      <c r="O5206" s="62"/>
      <c r="P5206" s="62"/>
    </row>
    <row r="5207" spans="1:16" x14ac:dyDescent="0.3">
      <c r="A5207" s="3">
        <f t="shared" si="590"/>
        <v>45804</v>
      </c>
      <c r="B5207" s="11" t="s">
        <v>8348</v>
      </c>
      <c r="E5207" s="90" t="s">
        <v>14</v>
      </c>
      <c r="H5207" s="2">
        <v>500</v>
      </c>
      <c r="I5207" s="88">
        <f t="shared" si="598"/>
        <v>7162.3600000000006</v>
      </c>
      <c r="K5207" s="62"/>
      <c r="L5207" s="2">
        <f t="shared" si="599"/>
        <v>15</v>
      </c>
      <c r="M5207">
        <f t="shared" si="600"/>
        <v>0</v>
      </c>
      <c r="O5207" s="62"/>
      <c r="P5207" s="62"/>
    </row>
    <row r="5208" spans="1:16" x14ac:dyDescent="0.3">
      <c r="A5208" s="3">
        <f t="shared" si="590"/>
        <v>45804</v>
      </c>
      <c r="B5208" s="11" t="s">
        <v>3812</v>
      </c>
      <c r="C5208" s="50" t="s">
        <v>7492</v>
      </c>
      <c r="E5208" s="90" t="s">
        <v>4720</v>
      </c>
      <c r="G5208" s="2">
        <v>4000</v>
      </c>
      <c r="I5208" s="88">
        <f t="shared" si="598"/>
        <v>11162.36</v>
      </c>
      <c r="K5208" s="62">
        <f>40</f>
        <v>40</v>
      </c>
      <c r="L5208" s="2">
        <f t="shared" si="599"/>
        <v>16</v>
      </c>
      <c r="M5208">
        <f t="shared" si="600"/>
        <v>0</v>
      </c>
      <c r="O5208" s="62"/>
      <c r="P5208" s="62"/>
    </row>
    <row r="5209" spans="1:16" x14ac:dyDescent="0.3">
      <c r="A5209" s="3">
        <f t="shared" si="590"/>
        <v>45804</v>
      </c>
      <c r="B5209" s="11" t="s">
        <v>1250</v>
      </c>
      <c r="C5209" s="50" t="s">
        <v>2727</v>
      </c>
      <c r="E5209" s="90" t="s">
        <v>4720</v>
      </c>
      <c r="G5209" s="2">
        <v>500</v>
      </c>
      <c r="I5209" s="88">
        <f t="shared" si="598"/>
        <v>11662.36</v>
      </c>
      <c r="K5209" s="62"/>
      <c r="L5209" s="2">
        <f t="shared" si="599"/>
        <v>2</v>
      </c>
      <c r="M5209">
        <f t="shared" si="600"/>
        <v>0</v>
      </c>
      <c r="O5209" s="62"/>
      <c r="P5209" s="62"/>
    </row>
    <row r="5210" spans="1:16" x14ac:dyDescent="0.3">
      <c r="A5210" s="3">
        <v>45805</v>
      </c>
      <c r="B5210" s="11" t="s">
        <v>4306</v>
      </c>
      <c r="C5210" s="50" t="s">
        <v>8349</v>
      </c>
      <c r="E5210" s="90" t="s">
        <v>4720</v>
      </c>
      <c r="G5210" s="2">
        <v>1000</v>
      </c>
      <c r="H5210" s="2">
        <v>10000</v>
      </c>
      <c r="I5210" s="88">
        <f t="shared" si="598"/>
        <v>2662.3600000000006</v>
      </c>
      <c r="K5210" s="62"/>
      <c r="L5210" s="2">
        <f t="shared" si="599"/>
        <v>20</v>
      </c>
      <c r="M5210">
        <f t="shared" si="600"/>
        <v>0</v>
      </c>
      <c r="O5210" s="62"/>
      <c r="P5210" s="62"/>
    </row>
    <row r="5211" spans="1:16" x14ac:dyDescent="0.3">
      <c r="A5211" s="3">
        <f t="shared" si="590"/>
        <v>45805</v>
      </c>
      <c r="B5211" s="11" t="s">
        <v>5312</v>
      </c>
      <c r="C5211" s="50" t="s">
        <v>6580</v>
      </c>
      <c r="E5211" s="90" t="s">
        <v>4720</v>
      </c>
      <c r="H5211" s="2">
        <v>1000</v>
      </c>
      <c r="I5211" s="88">
        <f t="shared" si="598"/>
        <v>1662.3600000000006</v>
      </c>
      <c r="K5211" s="62"/>
      <c r="L5211" s="2">
        <f t="shared" si="599"/>
        <v>4</v>
      </c>
      <c r="M5211">
        <f t="shared" si="600"/>
        <v>0</v>
      </c>
      <c r="O5211" s="62"/>
      <c r="P5211" s="62"/>
    </row>
    <row r="5212" spans="1:16" x14ac:dyDescent="0.3">
      <c r="A5212" s="3">
        <f t="shared" si="590"/>
        <v>45805</v>
      </c>
      <c r="B5212" s="11" t="s">
        <v>8348</v>
      </c>
      <c r="C5212" s="65" t="s">
        <v>8350</v>
      </c>
      <c r="E5212" s="90" t="s">
        <v>2088</v>
      </c>
      <c r="I5212" s="88">
        <f t="shared" si="598"/>
        <v>1662.3600000000006</v>
      </c>
      <c r="K5212" s="62"/>
      <c r="L5212" s="2">
        <f t="shared" si="599"/>
        <v>5</v>
      </c>
      <c r="M5212">
        <f t="shared" si="600"/>
        <v>5</v>
      </c>
      <c r="O5212" s="62"/>
      <c r="P5212" s="62"/>
    </row>
    <row r="5213" spans="1:16" x14ac:dyDescent="0.3">
      <c r="A5213" s="3">
        <f t="shared" si="590"/>
        <v>45805</v>
      </c>
      <c r="B5213" s="11" t="s">
        <v>4752</v>
      </c>
      <c r="C5213" s="50" t="s">
        <v>5806</v>
      </c>
      <c r="E5213" s="90" t="s">
        <v>4720</v>
      </c>
      <c r="G5213" s="2">
        <v>1500</v>
      </c>
      <c r="I5213" s="88">
        <f t="shared" si="598"/>
        <v>3162.3600000000006</v>
      </c>
      <c r="K5213" s="62"/>
      <c r="L5213" s="2">
        <f t="shared" si="599"/>
        <v>6</v>
      </c>
      <c r="M5213">
        <f t="shared" si="600"/>
        <v>0</v>
      </c>
      <c r="O5213" s="62"/>
      <c r="P5213" s="62"/>
    </row>
    <row r="5214" spans="1:16" x14ac:dyDescent="0.3">
      <c r="A5214" s="3">
        <f t="shared" si="590"/>
        <v>45805</v>
      </c>
      <c r="B5214" s="11" t="s">
        <v>5839</v>
      </c>
      <c r="C5214" s="50" t="s">
        <v>8233</v>
      </c>
      <c r="E5214" s="90" t="s">
        <v>4720</v>
      </c>
      <c r="G5214" s="2">
        <v>10000</v>
      </c>
      <c r="I5214" s="88">
        <f t="shared" si="598"/>
        <v>13162.36</v>
      </c>
      <c r="K5214" s="62">
        <f>80</f>
        <v>80</v>
      </c>
      <c r="L5214" s="2">
        <f t="shared" si="599"/>
        <v>20</v>
      </c>
      <c r="M5214">
        <f t="shared" si="600"/>
        <v>0</v>
      </c>
      <c r="O5214" s="62"/>
      <c r="P5214" s="62"/>
    </row>
    <row r="5215" spans="1:16" x14ac:dyDescent="0.3">
      <c r="A5215" s="3">
        <f t="shared" si="590"/>
        <v>45805</v>
      </c>
      <c r="B5215" s="11" t="s">
        <v>1250</v>
      </c>
      <c r="E5215" s="90" t="s">
        <v>4720</v>
      </c>
      <c r="G5215" s="2">
        <v>4500</v>
      </c>
      <c r="I5215" s="88">
        <f t="shared" si="598"/>
        <v>17662.36</v>
      </c>
      <c r="K5215" s="62"/>
      <c r="L5215" s="2">
        <f t="shared" si="599"/>
        <v>18</v>
      </c>
      <c r="M5215">
        <f t="shared" si="600"/>
        <v>0</v>
      </c>
      <c r="O5215" s="62"/>
      <c r="P5215" s="62"/>
    </row>
    <row r="5216" spans="1:16" x14ac:dyDescent="0.3">
      <c r="A5216" s="3">
        <v>45806</v>
      </c>
      <c r="B5216" s="11" t="s">
        <v>1250</v>
      </c>
      <c r="C5216" s="50" t="s">
        <v>6418</v>
      </c>
      <c r="E5216" s="90" t="s">
        <v>4720</v>
      </c>
      <c r="G5216" s="2">
        <v>9300</v>
      </c>
      <c r="I5216" s="88">
        <f t="shared" si="598"/>
        <v>26962.36</v>
      </c>
      <c r="K5216" s="62"/>
      <c r="L5216" s="2">
        <f t="shared" si="599"/>
        <v>20</v>
      </c>
      <c r="M5216">
        <f t="shared" si="600"/>
        <v>0</v>
      </c>
      <c r="O5216" s="62"/>
      <c r="P5216" s="62"/>
    </row>
    <row r="5217" spans="1:16" x14ac:dyDescent="0.3">
      <c r="A5217" s="3">
        <f t="shared" si="590"/>
        <v>45806</v>
      </c>
      <c r="B5217" s="11" t="s">
        <v>3232</v>
      </c>
      <c r="C5217" s="50" t="s">
        <v>8280</v>
      </c>
      <c r="E5217" s="90" t="s">
        <v>4720</v>
      </c>
      <c r="G5217" s="2">
        <v>2000</v>
      </c>
      <c r="I5217" s="88">
        <f t="shared" si="598"/>
        <v>28962.36</v>
      </c>
      <c r="K5217" s="62">
        <f>20</f>
        <v>20</v>
      </c>
      <c r="L5217" s="2">
        <f t="shared" si="599"/>
        <v>8</v>
      </c>
      <c r="M5217">
        <f t="shared" si="600"/>
        <v>0</v>
      </c>
      <c r="O5217" s="62"/>
      <c r="P5217" s="62"/>
    </row>
    <row r="5218" spans="1:16" x14ac:dyDescent="0.3">
      <c r="A5218" s="3">
        <f t="shared" si="590"/>
        <v>45806</v>
      </c>
      <c r="B5218" s="11" t="s">
        <v>5961</v>
      </c>
      <c r="C5218" s="50" t="s">
        <v>3923</v>
      </c>
      <c r="E5218" s="90" t="s">
        <v>7772</v>
      </c>
      <c r="I5218" s="88">
        <f t="shared" ref="I5218:I5224" si="601">I5217+G5218-H5218</f>
        <v>28962.36</v>
      </c>
      <c r="K5218" s="62"/>
      <c r="L5218" s="2">
        <f t="shared" ref="L5218:L5224" si="602">IF(E5218="P",5,IF(E5218="Y",15,IF(E5218="YY",25,IF(E5218="c",0,+IF((G5218+H5218)&lt;=5000,(G5218+H5218)*0.004,20)))))</f>
        <v>5</v>
      </c>
      <c r="M5218">
        <f t="shared" ref="M5218:M5224" si="603">IF(E5218="p",5,0)</f>
        <v>5</v>
      </c>
      <c r="O5218" s="62"/>
      <c r="P5218" s="62"/>
    </row>
    <row r="5219" spans="1:16" x14ac:dyDescent="0.3">
      <c r="A5219" s="3">
        <f t="shared" si="590"/>
        <v>45806</v>
      </c>
      <c r="B5219" s="11" t="s">
        <v>1250</v>
      </c>
      <c r="C5219" s="50" t="s">
        <v>7372</v>
      </c>
      <c r="E5219" s="90" t="s">
        <v>4720</v>
      </c>
      <c r="G5219" s="2">
        <v>7000</v>
      </c>
      <c r="I5219" s="88">
        <f t="shared" si="601"/>
        <v>35962.36</v>
      </c>
      <c r="K5219" s="62"/>
      <c r="L5219" s="2">
        <f t="shared" si="602"/>
        <v>20</v>
      </c>
      <c r="M5219">
        <f t="shared" si="603"/>
        <v>0</v>
      </c>
      <c r="O5219" s="62"/>
      <c r="P5219" s="62"/>
    </row>
    <row r="5220" spans="1:16" x14ac:dyDescent="0.3">
      <c r="A5220" s="3">
        <f t="shared" si="590"/>
        <v>45806</v>
      </c>
      <c r="B5220" s="11" t="s">
        <v>8353</v>
      </c>
      <c r="C5220" s="50" t="s">
        <v>8354</v>
      </c>
      <c r="D5220" s="50">
        <v>9142194392</v>
      </c>
      <c r="E5220" s="90" t="s">
        <v>4720</v>
      </c>
      <c r="G5220" s="2">
        <v>3000</v>
      </c>
      <c r="I5220" s="88">
        <f t="shared" si="601"/>
        <v>38962.36</v>
      </c>
      <c r="K5220" s="62"/>
      <c r="L5220" s="2">
        <f t="shared" si="602"/>
        <v>12</v>
      </c>
      <c r="M5220">
        <f t="shared" si="603"/>
        <v>0</v>
      </c>
      <c r="O5220" s="62"/>
      <c r="P5220" s="62"/>
    </row>
    <row r="5221" spans="1:16" x14ac:dyDescent="0.3">
      <c r="A5221" s="3">
        <f t="shared" si="590"/>
        <v>45806</v>
      </c>
      <c r="B5221" s="11" t="s">
        <v>7649</v>
      </c>
      <c r="C5221" s="50" t="s">
        <v>8355</v>
      </c>
      <c r="E5221" s="90" t="s">
        <v>4720</v>
      </c>
      <c r="H5221" s="2">
        <v>11000</v>
      </c>
      <c r="I5221" s="88">
        <f t="shared" si="601"/>
        <v>27962.36</v>
      </c>
      <c r="K5221" s="62"/>
      <c r="L5221" s="2">
        <f t="shared" si="602"/>
        <v>20</v>
      </c>
      <c r="M5221">
        <f t="shared" si="603"/>
        <v>0</v>
      </c>
      <c r="O5221" s="62"/>
      <c r="P5221" s="62"/>
    </row>
    <row r="5222" spans="1:16" x14ac:dyDescent="0.3">
      <c r="A5222" s="3">
        <f t="shared" si="590"/>
        <v>45806</v>
      </c>
      <c r="B5222" s="11" t="s">
        <v>7886</v>
      </c>
      <c r="C5222" s="50" t="s">
        <v>8356</v>
      </c>
      <c r="E5222" s="90" t="s">
        <v>4720</v>
      </c>
      <c r="G5222" s="2">
        <v>1000</v>
      </c>
      <c r="I5222" s="88">
        <f t="shared" si="601"/>
        <v>28962.36</v>
      </c>
      <c r="K5222" s="62"/>
      <c r="L5222" s="2">
        <f t="shared" si="602"/>
        <v>4</v>
      </c>
      <c r="M5222">
        <f t="shared" si="603"/>
        <v>0</v>
      </c>
      <c r="O5222" s="62"/>
      <c r="P5222" s="62"/>
    </row>
    <row r="5223" spans="1:16" x14ac:dyDescent="0.3">
      <c r="A5223" s="3">
        <v>45807</v>
      </c>
      <c r="B5223" s="11" t="s">
        <v>1160</v>
      </c>
      <c r="C5223" s="50" t="s">
        <v>8358</v>
      </c>
      <c r="E5223" s="90" t="s">
        <v>4720</v>
      </c>
      <c r="G5223" s="2">
        <v>1000</v>
      </c>
      <c r="I5223" s="88">
        <f t="shared" si="601"/>
        <v>29962.36</v>
      </c>
      <c r="K5223" s="62"/>
      <c r="L5223" s="2">
        <f t="shared" si="602"/>
        <v>4</v>
      </c>
      <c r="M5223">
        <f t="shared" si="603"/>
        <v>0</v>
      </c>
      <c r="O5223" s="62"/>
      <c r="P5223" s="62"/>
    </row>
    <row r="5224" spans="1:16" x14ac:dyDescent="0.3">
      <c r="A5224" s="3">
        <f t="shared" si="590"/>
        <v>45807</v>
      </c>
      <c r="B5224" s="11" t="s">
        <v>1160</v>
      </c>
      <c r="C5224" s="50" t="s">
        <v>8359</v>
      </c>
      <c r="E5224" s="90" t="s">
        <v>4720</v>
      </c>
      <c r="G5224" s="2">
        <v>3000</v>
      </c>
      <c r="I5224" s="88">
        <f t="shared" si="601"/>
        <v>32962.36</v>
      </c>
      <c r="K5224" s="62">
        <f>30+10</f>
        <v>40</v>
      </c>
      <c r="L5224" s="2">
        <f t="shared" si="602"/>
        <v>12</v>
      </c>
      <c r="M5224">
        <f t="shared" si="603"/>
        <v>0</v>
      </c>
      <c r="O5224" s="62"/>
      <c r="P5224" s="62"/>
    </row>
    <row r="5225" spans="1:16" x14ac:dyDescent="0.3">
      <c r="A5225" s="3">
        <f t="shared" si="590"/>
        <v>45807</v>
      </c>
      <c r="B5225" s="11" t="s">
        <v>1160</v>
      </c>
      <c r="C5225" s="50" t="s">
        <v>8360</v>
      </c>
      <c r="E5225" s="90" t="s">
        <v>4720</v>
      </c>
      <c r="G5225" s="2">
        <v>1300</v>
      </c>
      <c r="I5225" s="88">
        <f t="shared" ref="I5225:I5234" si="604">I5224+G5225-H5225</f>
        <v>34262.36</v>
      </c>
      <c r="K5225" s="62"/>
      <c r="L5225" s="2">
        <f t="shared" ref="L5225:L5234" si="605">IF(E5225="P",5,IF(E5225="Y",15,IF(E5225="YY",25,IF(E5225="c",0,+IF((G5225+H5225)&lt;=5000,(G5225+H5225)*0.004,20)))))</f>
        <v>5.2</v>
      </c>
      <c r="M5225">
        <f t="shared" ref="M5225:M5234" si="606">IF(E5225="p",5,0)</f>
        <v>0</v>
      </c>
      <c r="O5225" s="62"/>
      <c r="P5225" s="62"/>
    </row>
    <row r="5226" spans="1:16" x14ac:dyDescent="0.3">
      <c r="A5226" s="3">
        <f t="shared" si="590"/>
        <v>45807</v>
      </c>
      <c r="B5226" s="11" t="s">
        <v>8361</v>
      </c>
      <c r="C5226" s="65" t="s">
        <v>8362</v>
      </c>
      <c r="E5226" s="90" t="s">
        <v>8364</v>
      </c>
      <c r="H5226" s="2">
        <v>2000</v>
      </c>
      <c r="I5226" s="88">
        <f t="shared" si="604"/>
        <v>32262.36</v>
      </c>
      <c r="K5226" s="62"/>
      <c r="L5226" s="2">
        <f t="shared" si="605"/>
        <v>25</v>
      </c>
      <c r="M5226">
        <f t="shared" si="606"/>
        <v>0</v>
      </c>
      <c r="O5226" s="62"/>
      <c r="P5226" s="62"/>
    </row>
    <row r="5227" spans="1:16" x14ac:dyDescent="0.3">
      <c r="A5227" s="3">
        <f t="shared" si="590"/>
        <v>45807</v>
      </c>
      <c r="C5227" s="50" t="s">
        <v>2857</v>
      </c>
      <c r="E5227" s="90" t="s">
        <v>8332</v>
      </c>
      <c r="H5227" s="2">
        <v>25000</v>
      </c>
      <c r="I5227" s="88">
        <f t="shared" si="604"/>
        <v>7262.3600000000006</v>
      </c>
      <c r="K5227" s="62"/>
      <c r="L5227" s="2">
        <f t="shared" si="605"/>
        <v>0</v>
      </c>
      <c r="M5227">
        <f t="shared" si="606"/>
        <v>0</v>
      </c>
      <c r="O5227" s="62"/>
      <c r="P5227" s="62"/>
    </row>
    <row r="5228" spans="1:16" x14ac:dyDescent="0.3">
      <c r="A5228" s="3">
        <f t="shared" si="590"/>
        <v>45807</v>
      </c>
      <c r="B5228" s="11" t="s">
        <v>7005</v>
      </c>
      <c r="C5228" s="50" t="s">
        <v>7004</v>
      </c>
      <c r="E5228" s="90" t="s">
        <v>4720</v>
      </c>
      <c r="G5228" s="2">
        <v>1000</v>
      </c>
      <c r="I5228" s="88">
        <f t="shared" si="604"/>
        <v>8262.36</v>
      </c>
      <c r="K5228" s="62"/>
      <c r="L5228" s="2">
        <f t="shared" si="605"/>
        <v>4</v>
      </c>
      <c r="M5228">
        <f t="shared" si="606"/>
        <v>0</v>
      </c>
      <c r="O5228" s="62"/>
      <c r="P5228" s="62"/>
    </row>
    <row r="5229" spans="1:16" x14ac:dyDescent="0.3">
      <c r="A5229" s="3">
        <f t="shared" si="590"/>
        <v>45807</v>
      </c>
      <c r="B5229" s="11" t="s">
        <v>7005</v>
      </c>
      <c r="C5229" s="50" t="s">
        <v>7004</v>
      </c>
      <c r="E5229" s="90" t="s">
        <v>2088</v>
      </c>
      <c r="I5229" s="88">
        <f t="shared" si="604"/>
        <v>8262.36</v>
      </c>
      <c r="K5229" s="62"/>
      <c r="L5229" s="2">
        <f t="shared" si="605"/>
        <v>5</v>
      </c>
      <c r="M5229">
        <f t="shared" si="606"/>
        <v>5</v>
      </c>
      <c r="O5229" s="62"/>
      <c r="P5229" s="62"/>
    </row>
    <row r="5230" spans="1:16" x14ac:dyDescent="0.3">
      <c r="A5230" s="3">
        <v>45808</v>
      </c>
      <c r="B5230" s="11" t="s">
        <v>8366</v>
      </c>
      <c r="C5230" s="65" t="s">
        <v>8367</v>
      </c>
      <c r="E5230" s="90" t="s">
        <v>8364</v>
      </c>
      <c r="H5230" s="2">
        <v>2000</v>
      </c>
      <c r="I5230" s="88">
        <f t="shared" si="604"/>
        <v>6262.3600000000006</v>
      </c>
      <c r="K5230" s="62"/>
      <c r="L5230" s="2">
        <f t="shared" si="605"/>
        <v>25</v>
      </c>
      <c r="M5230">
        <f t="shared" si="606"/>
        <v>0</v>
      </c>
      <c r="O5230" s="62"/>
      <c r="P5230" s="62"/>
    </row>
    <row r="5231" spans="1:16" x14ac:dyDescent="0.3">
      <c r="A5231" s="3">
        <f t="shared" si="590"/>
        <v>45808</v>
      </c>
      <c r="B5231" s="11" t="s">
        <v>8366</v>
      </c>
      <c r="C5231" s="65" t="s">
        <v>8367</v>
      </c>
      <c r="E5231" s="90" t="s">
        <v>4720</v>
      </c>
      <c r="H5231" s="2">
        <v>1000</v>
      </c>
      <c r="I5231" s="88">
        <f t="shared" si="604"/>
        <v>5262.3600000000006</v>
      </c>
      <c r="J5231" s="62"/>
      <c r="K5231" s="62"/>
      <c r="L5231" s="2">
        <f t="shared" si="605"/>
        <v>4</v>
      </c>
      <c r="M5231">
        <f t="shared" si="606"/>
        <v>0</v>
      </c>
      <c r="O5231" s="62"/>
      <c r="P5231" s="62"/>
    </row>
    <row r="5232" spans="1:16" x14ac:dyDescent="0.3">
      <c r="A5232" s="3">
        <f t="shared" si="590"/>
        <v>45808</v>
      </c>
      <c r="B5232" s="11" t="s">
        <v>5186</v>
      </c>
      <c r="C5232" s="50" t="s">
        <v>5189</v>
      </c>
      <c r="E5232" s="90" t="s">
        <v>2088</v>
      </c>
      <c r="I5232" s="88">
        <f t="shared" si="604"/>
        <v>5262.3600000000006</v>
      </c>
      <c r="K5232" s="62"/>
      <c r="L5232" s="2">
        <f t="shared" si="605"/>
        <v>5</v>
      </c>
      <c r="M5232">
        <f t="shared" si="606"/>
        <v>5</v>
      </c>
      <c r="O5232" s="62"/>
      <c r="P5232" s="62"/>
    </row>
    <row r="5233" spans="1:16" x14ac:dyDescent="0.3">
      <c r="A5233" s="3">
        <f t="shared" si="590"/>
        <v>45808</v>
      </c>
      <c r="B5233" s="11" t="s">
        <v>8370</v>
      </c>
      <c r="C5233" s="50" t="s">
        <v>8207</v>
      </c>
      <c r="E5233" s="90" t="s">
        <v>4720</v>
      </c>
      <c r="G5233" s="2">
        <v>2000</v>
      </c>
      <c r="I5233" s="88">
        <f t="shared" si="604"/>
        <v>7262.3600000000006</v>
      </c>
      <c r="K5233" s="62"/>
      <c r="L5233" s="2">
        <f t="shared" si="605"/>
        <v>8</v>
      </c>
      <c r="M5233">
        <f t="shared" si="606"/>
        <v>0</v>
      </c>
      <c r="O5233" s="62"/>
      <c r="P5233" s="62"/>
    </row>
    <row r="5234" spans="1:16" x14ac:dyDescent="0.3">
      <c r="A5234" s="3">
        <f t="shared" si="590"/>
        <v>45808</v>
      </c>
      <c r="B5234" s="11" t="s">
        <v>8370</v>
      </c>
      <c r="C5234" s="50" t="s">
        <v>8207</v>
      </c>
      <c r="E5234" s="90" t="s">
        <v>2088</v>
      </c>
      <c r="I5234" s="88">
        <f t="shared" si="604"/>
        <v>7262.3600000000006</v>
      </c>
      <c r="K5234" s="62"/>
      <c r="L5234" s="2">
        <f t="shared" si="605"/>
        <v>5</v>
      </c>
      <c r="M5234">
        <f t="shared" si="606"/>
        <v>5</v>
      </c>
      <c r="O5234" s="62"/>
      <c r="P5234" s="62"/>
    </row>
    <row r="5235" spans="1:16" x14ac:dyDescent="0.3">
      <c r="A5235" s="3">
        <f t="shared" si="590"/>
        <v>45808</v>
      </c>
      <c r="B5235" s="11" t="s">
        <v>1250</v>
      </c>
      <c r="C5235" s="50" t="s">
        <v>5721</v>
      </c>
      <c r="G5235" s="2">
        <v>4500</v>
      </c>
      <c r="I5235" s="88">
        <f t="shared" ref="I5235" si="607">I5234+G5235-H5235</f>
        <v>11762.36</v>
      </c>
      <c r="K5235" s="62"/>
      <c r="L5235" s="2">
        <f t="shared" ref="L5235" si="608">IF(E5235="P",5,IF(E5235="Y",15,IF(E5235="YY",25,IF(E5235="c",0,+IF((G5235+H5235)&lt;=5000,(G5235+H5235)*0.004,20)))))</f>
        <v>18</v>
      </c>
      <c r="M5235">
        <f t="shared" ref="M5235" si="609">IF(E5235="p",5,0)</f>
        <v>0</v>
      </c>
      <c r="O5235" s="62"/>
      <c r="P5235" s="62"/>
    </row>
    <row r="5236" spans="1:16" x14ac:dyDescent="0.3">
      <c r="A5236" s="77">
        <f>COUNT(A4987:A5235)</f>
        <v>249</v>
      </c>
      <c r="B5236" s="80" t="s">
        <v>7120</v>
      </c>
      <c r="C5236" s="112">
        <f>SUMIF(E4987:E5235,"C",H4987:H5235)+SUMIF(E4987:E5235,"S",G4987:G5235)</f>
        <v>117000</v>
      </c>
      <c r="D5236" s="112">
        <f>COUNTIF(E4987:E49393,"p")</f>
        <v>1394</v>
      </c>
      <c r="E5236" s="92">
        <f>COUNTIF(E4987:E5235,"Y")</f>
        <v>12</v>
      </c>
      <c r="F5236" s="80">
        <f>SUM(F4148)</f>
        <v>0</v>
      </c>
      <c r="G5236" s="121">
        <f>SUM(G4987:G5235)</f>
        <v>440700</v>
      </c>
      <c r="H5236" s="121">
        <f>SUM(H4987:H5235)</f>
        <v>433350</v>
      </c>
      <c r="I5236" s="121">
        <f>SUM(G5236:H5236)-C5236</f>
        <v>757050</v>
      </c>
      <c r="J5236" s="122"/>
      <c r="K5236" s="122"/>
      <c r="L5236" s="121">
        <f>SUM(L4987:L5235)</f>
        <v>2517.1999999999998</v>
      </c>
      <c r="M5236" s="121">
        <f>SUM(M4987:M5235)</f>
        <v>295</v>
      </c>
      <c r="N5236" s="62">
        <f>M5236/5</f>
        <v>59</v>
      </c>
      <c r="O5236">
        <f>IF(D4615&gt;100,D5236*6,D5236*5)</f>
        <v>6970</v>
      </c>
    </row>
    <row r="5239" spans="1:16" x14ac:dyDescent="0.3">
      <c r="A5239" s="3">
        <v>45809</v>
      </c>
      <c r="C5239" s="50" t="s">
        <v>8371</v>
      </c>
      <c r="E5239" s="90" t="s">
        <v>8332</v>
      </c>
      <c r="G5239" s="88">
        <f>I5235</f>
        <v>11762.36</v>
      </c>
      <c r="I5239" s="88">
        <f>I5238+G5239-H5239</f>
        <v>11762.36</v>
      </c>
      <c r="K5239" s="62"/>
      <c r="L5239" s="2">
        <f>IF(E5239="C",0,IF((G5239+H5239)&lt;=5000,(G5239+H5239)*0.004,20)+IF(E5239="P",5,IF(E5239="Y",15,IF(E5239="YY",25))))</f>
        <v>0</v>
      </c>
      <c r="M5239">
        <f t="shared" ref="M5239:M5240" si="610">IF(E5239="p",5,0)</f>
        <v>0</v>
      </c>
      <c r="O5239" s="62"/>
      <c r="P5239" s="62"/>
    </row>
    <row r="5240" spans="1:16" x14ac:dyDescent="0.3">
      <c r="A5240" s="3">
        <f>A5239</f>
        <v>45809</v>
      </c>
      <c r="B5240" s="11" t="s">
        <v>1472</v>
      </c>
      <c r="C5240" s="50" t="s">
        <v>8372</v>
      </c>
      <c r="E5240" s="90" t="s">
        <v>4720</v>
      </c>
      <c r="G5240" s="2">
        <v>1000</v>
      </c>
      <c r="I5240" s="88">
        <f t="shared" ref="I5240" si="611">I5239+G5240-H5240</f>
        <v>12762.36</v>
      </c>
      <c r="K5240" s="62">
        <v>10</v>
      </c>
      <c r="L5240" s="2">
        <f t="shared" ref="L5240:L5254" si="612">IF(E5240="C",0,IF((G5240+H5240)&lt;=5000,(G5240+H5240)*0.004,20)+IF(E5240="P",5,IF(E5240="Y",15,IF(E5240="YY",25))))</f>
        <v>4</v>
      </c>
      <c r="M5240">
        <f t="shared" si="610"/>
        <v>0</v>
      </c>
      <c r="O5240" s="62"/>
      <c r="P5240" s="62"/>
    </row>
    <row r="5241" spans="1:16" x14ac:dyDescent="0.3">
      <c r="A5241" s="3">
        <f t="shared" ref="A5241:A5304" si="613">A5240</f>
        <v>45809</v>
      </c>
      <c r="B5241" s="11" t="s">
        <v>6522</v>
      </c>
      <c r="C5241" s="50" t="s">
        <v>8373</v>
      </c>
      <c r="E5241" s="90" t="s">
        <v>4720</v>
      </c>
      <c r="G5241" s="2">
        <v>3000</v>
      </c>
      <c r="I5241" s="88">
        <f t="shared" ref="I5241:I5275" si="614">I5240+G5241-H5241</f>
        <v>15762.36</v>
      </c>
      <c r="K5241" s="62">
        <v>30</v>
      </c>
      <c r="L5241" s="2">
        <f t="shared" si="612"/>
        <v>12</v>
      </c>
      <c r="M5241">
        <f t="shared" ref="M5241:M5254" si="615">IF(E5241="p",5,0)</f>
        <v>0</v>
      </c>
      <c r="O5241" s="62"/>
      <c r="P5241" s="62"/>
    </row>
    <row r="5242" spans="1:16" x14ac:dyDescent="0.3">
      <c r="A5242" s="3">
        <f t="shared" si="613"/>
        <v>45809</v>
      </c>
      <c r="B5242" s="11" t="s">
        <v>3543</v>
      </c>
      <c r="C5242" s="50" t="s">
        <v>2626</v>
      </c>
      <c r="E5242" s="90" t="s">
        <v>4720</v>
      </c>
      <c r="G5242" s="2">
        <v>10000</v>
      </c>
      <c r="I5242" s="88">
        <f t="shared" si="614"/>
        <v>25762.36</v>
      </c>
      <c r="K5242" s="62">
        <v>0</v>
      </c>
      <c r="L5242" s="2">
        <f t="shared" si="612"/>
        <v>20</v>
      </c>
      <c r="M5242">
        <f t="shared" si="615"/>
        <v>0</v>
      </c>
      <c r="O5242" s="62"/>
      <c r="P5242" s="62"/>
    </row>
    <row r="5243" spans="1:16" x14ac:dyDescent="0.3">
      <c r="A5243" s="3">
        <f t="shared" si="613"/>
        <v>45809</v>
      </c>
      <c r="B5243" s="11" t="s">
        <v>6522</v>
      </c>
      <c r="C5243" s="50" t="s">
        <v>8092</v>
      </c>
      <c r="E5243" s="90" t="s">
        <v>4720</v>
      </c>
      <c r="G5243" s="2">
        <v>500</v>
      </c>
      <c r="I5243" s="88">
        <f t="shared" si="614"/>
        <v>26262.36</v>
      </c>
      <c r="K5243" s="62">
        <v>10</v>
      </c>
      <c r="L5243" s="2">
        <f t="shared" si="612"/>
        <v>2</v>
      </c>
      <c r="M5243">
        <f t="shared" si="615"/>
        <v>0</v>
      </c>
      <c r="O5243" s="62"/>
      <c r="P5243" s="62"/>
    </row>
    <row r="5244" spans="1:16" x14ac:dyDescent="0.3">
      <c r="A5244" s="3">
        <f t="shared" si="613"/>
        <v>45809</v>
      </c>
      <c r="B5244" s="11" t="s">
        <v>1160</v>
      </c>
      <c r="C5244" s="50" t="s">
        <v>8374</v>
      </c>
      <c r="E5244" s="90" t="s">
        <v>4720</v>
      </c>
      <c r="G5244" s="2">
        <v>5000</v>
      </c>
      <c r="I5244" s="88">
        <f t="shared" si="614"/>
        <v>31262.36</v>
      </c>
      <c r="K5244" s="62">
        <v>50</v>
      </c>
      <c r="L5244" s="2">
        <f t="shared" si="612"/>
        <v>20</v>
      </c>
      <c r="M5244">
        <f t="shared" si="615"/>
        <v>0</v>
      </c>
      <c r="O5244" s="62"/>
      <c r="P5244" s="62"/>
    </row>
    <row r="5245" spans="1:16" x14ac:dyDescent="0.3">
      <c r="A5245" s="3">
        <f t="shared" si="613"/>
        <v>45809</v>
      </c>
      <c r="B5245" s="11" t="s">
        <v>5639</v>
      </c>
      <c r="C5245" s="50" t="s">
        <v>6043</v>
      </c>
      <c r="E5245" s="90" t="s">
        <v>4720</v>
      </c>
      <c r="H5245" s="2">
        <v>7500</v>
      </c>
      <c r="I5245" s="88">
        <f t="shared" si="614"/>
        <v>23762.36</v>
      </c>
      <c r="K5245" s="62">
        <v>0</v>
      </c>
      <c r="L5245" s="2">
        <f t="shared" si="612"/>
        <v>20</v>
      </c>
      <c r="M5245">
        <f t="shared" si="615"/>
        <v>0</v>
      </c>
      <c r="O5245" s="62"/>
      <c r="P5245" s="62"/>
    </row>
    <row r="5246" spans="1:16" x14ac:dyDescent="0.3">
      <c r="A5246" s="3">
        <f t="shared" si="613"/>
        <v>45809</v>
      </c>
      <c r="B5246" s="11" t="s">
        <v>6231</v>
      </c>
      <c r="C5246" s="50" t="s">
        <v>6468</v>
      </c>
      <c r="E5246" s="90" t="s">
        <v>4720</v>
      </c>
      <c r="G5246" s="2">
        <v>3000</v>
      </c>
      <c r="I5246" s="88">
        <f t="shared" si="614"/>
        <v>26762.36</v>
      </c>
      <c r="K5246" s="62">
        <v>30</v>
      </c>
      <c r="L5246" s="2">
        <f t="shared" si="612"/>
        <v>12</v>
      </c>
      <c r="M5246">
        <f t="shared" si="615"/>
        <v>0</v>
      </c>
      <c r="O5246" s="62"/>
      <c r="P5246" s="62"/>
    </row>
    <row r="5247" spans="1:16" x14ac:dyDescent="0.3">
      <c r="A5247" s="3">
        <f t="shared" si="613"/>
        <v>45809</v>
      </c>
      <c r="B5247" s="11" t="s">
        <v>1250</v>
      </c>
      <c r="C5247" s="50" t="s">
        <v>3840</v>
      </c>
      <c r="E5247" s="90" t="s">
        <v>4720</v>
      </c>
      <c r="G5247" s="2">
        <v>10000</v>
      </c>
      <c r="I5247" s="88">
        <f t="shared" si="614"/>
        <v>36762.36</v>
      </c>
      <c r="K5247" s="62">
        <v>100</v>
      </c>
      <c r="L5247" s="2">
        <f t="shared" si="612"/>
        <v>20</v>
      </c>
      <c r="M5247">
        <f t="shared" si="615"/>
        <v>0</v>
      </c>
      <c r="O5247" s="62"/>
      <c r="P5247" s="62"/>
    </row>
    <row r="5248" spans="1:16" x14ac:dyDescent="0.3">
      <c r="A5248" s="3">
        <f t="shared" si="613"/>
        <v>45809</v>
      </c>
      <c r="B5248" s="11" t="s">
        <v>1160</v>
      </c>
      <c r="C5248" s="50" t="s">
        <v>4662</v>
      </c>
      <c r="E5248" s="90" t="s">
        <v>4720</v>
      </c>
      <c r="G5248" s="2">
        <v>200</v>
      </c>
      <c r="I5248" s="88">
        <f t="shared" si="614"/>
        <v>36962.36</v>
      </c>
      <c r="K5248" s="62">
        <v>10</v>
      </c>
      <c r="L5248" s="2">
        <f t="shared" si="612"/>
        <v>0.8</v>
      </c>
      <c r="M5248">
        <f t="shared" si="615"/>
        <v>0</v>
      </c>
      <c r="O5248" s="62"/>
      <c r="P5248" s="62"/>
    </row>
    <row r="5249" spans="1:16" x14ac:dyDescent="0.3">
      <c r="A5249" s="3">
        <f t="shared" si="613"/>
        <v>45809</v>
      </c>
      <c r="B5249" s="11" t="s">
        <v>6237</v>
      </c>
      <c r="C5249" s="50" t="s">
        <v>8376</v>
      </c>
      <c r="E5249" s="90" t="s">
        <v>4720</v>
      </c>
      <c r="H5249" s="2">
        <v>500</v>
      </c>
      <c r="I5249" s="88">
        <f t="shared" si="614"/>
        <v>36462.36</v>
      </c>
      <c r="K5249" s="62"/>
      <c r="L5249" s="2">
        <f t="shared" si="612"/>
        <v>2</v>
      </c>
      <c r="M5249">
        <f t="shared" si="615"/>
        <v>0</v>
      </c>
      <c r="O5249" s="62"/>
      <c r="P5249" s="62"/>
    </row>
    <row r="5250" spans="1:16" x14ac:dyDescent="0.3">
      <c r="A5250" s="3">
        <f t="shared" si="613"/>
        <v>45809</v>
      </c>
      <c r="B5250" s="11" t="s">
        <v>5839</v>
      </c>
      <c r="C5250" s="50" t="s">
        <v>8233</v>
      </c>
      <c r="E5250" s="90" t="s">
        <v>4720</v>
      </c>
      <c r="G5250" s="2">
        <v>5000</v>
      </c>
      <c r="I5250" s="88">
        <f t="shared" si="614"/>
        <v>41462.36</v>
      </c>
      <c r="K5250" s="62"/>
      <c r="L5250" s="2">
        <f t="shared" si="612"/>
        <v>20</v>
      </c>
      <c r="M5250">
        <f t="shared" si="615"/>
        <v>0</v>
      </c>
      <c r="O5250" s="62"/>
      <c r="P5250" s="62"/>
    </row>
    <row r="5251" spans="1:16" x14ac:dyDescent="0.3">
      <c r="A5251" s="3">
        <v>45812</v>
      </c>
      <c r="C5251" s="50" t="s">
        <v>2857</v>
      </c>
      <c r="E5251" s="90" t="s">
        <v>8332</v>
      </c>
      <c r="H5251" s="2">
        <v>25000</v>
      </c>
      <c r="I5251" s="88">
        <f t="shared" si="614"/>
        <v>16462.36</v>
      </c>
      <c r="K5251" s="62"/>
      <c r="L5251" s="2">
        <f t="shared" si="612"/>
        <v>0</v>
      </c>
      <c r="M5251">
        <f t="shared" si="615"/>
        <v>0</v>
      </c>
      <c r="O5251" s="62"/>
      <c r="P5251" s="62"/>
    </row>
    <row r="5252" spans="1:16" x14ac:dyDescent="0.3">
      <c r="A5252" s="3">
        <f t="shared" si="613"/>
        <v>45812</v>
      </c>
      <c r="B5252" s="11" t="s">
        <v>7174</v>
      </c>
      <c r="C5252" s="50" t="s">
        <v>7175</v>
      </c>
      <c r="E5252" s="90" t="s">
        <v>2088</v>
      </c>
      <c r="G5252" s="2">
        <v>2500</v>
      </c>
      <c r="I5252" s="88">
        <f t="shared" si="614"/>
        <v>18962.36</v>
      </c>
      <c r="K5252" s="62"/>
      <c r="L5252" s="2">
        <f t="shared" si="612"/>
        <v>15</v>
      </c>
      <c r="M5252">
        <f t="shared" si="615"/>
        <v>5</v>
      </c>
      <c r="O5252" s="62"/>
      <c r="P5252" s="62"/>
    </row>
    <row r="5253" spans="1:16" x14ac:dyDescent="0.3">
      <c r="A5253" s="3">
        <f t="shared" si="613"/>
        <v>45812</v>
      </c>
      <c r="B5253" s="11" t="s">
        <v>7243</v>
      </c>
      <c r="C5253" s="50" t="s">
        <v>8377</v>
      </c>
      <c r="E5253" s="90" t="s">
        <v>4720</v>
      </c>
      <c r="G5253" s="2">
        <v>1500</v>
      </c>
      <c r="I5253" s="88">
        <f t="shared" si="614"/>
        <v>20462.36</v>
      </c>
      <c r="K5253" s="62"/>
      <c r="L5253" s="2">
        <f t="shared" si="612"/>
        <v>6</v>
      </c>
      <c r="M5253">
        <f t="shared" si="615"/>
        <v>0</v>
      </c>
      <c r="O5253" s="62"/>
      <c r="P5253" s="62"/>
    </row>
    <row r="5254" spans="1:16" x14ac:dyDescent="0.3">
      <c r="A5254" s="3">
        <f t="shared" si="613"/>
        <v>45812</v>
      </c>
      <c r="B5254" s="11" t="s">
        <v>7649</v>
      </c>
      <c r="C5254" s="50" t="s">
        <v>8378</v>
      </c>
      <c r="E5254" s="90" t="s">
        <v>4720</v>
      </c>
      <c r="H5254" s="2">
        <v>1500</v>
      </c>
      <c r="I5254" s="88">
        <f t="shared" si="614"/>
        <v>18962.36</v>
      </c>
      <c r="K5254" s="62"/>
      <c r="L5254" s="2">
        <f t="shared" si="612"/>
        <v>6</v>
      </c>
      <c r="M5254">
        <f t="shared" si="615"/>
        <v>0</v>
      </c>
      <c r="O5254" s="62"/>
      <c r="P5254" s="62"/>
    </row>
    <row r="5255" spans="1:16" x14ac:dyDescent="0.3">
      <c r="A5255" s="3">
        <f t="shared" si="613"/>
        <v>45812</v>
      </c>
      <c r="B5255" s="11" t="s">
        <v>1472</v>
      </c>
      <c r="E5255" s="90" t="s">
        <v>4720</v>
      </c>
      <c r="G5255" s="2">
        <v>500</v>
      </c>
      <c r="I5255" s="88">
        <f t="shared" si="614"/>
        <v>19462.36</v>
      </c>
      <c r="K5255" s="62"/>
      <c r="L5255" s="2">
        <f t="shared" ref="L5255:L5262" si="616">IF(E5255="C",0,IF((G5255+H5255)&lt;=5000,(G5255+H5255)*0.004,20)+IF(E5255="P",5,IF(E5255="Y",15,IF(E5255="YY",25))))</f>
        <v>2</v>
      </c>
      <c r="M5255">
        <f t="shared" ref="M5255:M5262" si="617">IF(E5255="p",5,0)</f>
        <v>0</v>
      </c>
      <c r="O5255" s="62"/>
      <c r="P5255" s="62"/>
    </row>
    <row r="5256" spans="1:16" x14ac:dyDescent="0.3">
      <c r="A5256" s="3">
        <f t="shared" si="613"/>
        <v>45812</v>
      </c>
      <c r="B5256" s="11" t="s">
        <v>1472</v>
      </c>
      <c r="C5256" s="50" t="s">
        <v>8135</v>
      </c>
      <c r="E5256" s="90" t="s">
        <v>4720</v>
      </c>
      <c r="G5256" s="2">
        <v>2000</v>
      </c>
      <c r="I5256" s="88">
        <f t="shared" si="614"/>
        <v>21462.36</v>
      </c>
      <c r="K5256" s="62"/>
      <c r="L5256" s="2">
        <f t="shared" si="616"/>
        <v>8</v>
      </c>
      <c r="M5256">
        <f t="shared" si="617"/>
        <v>0</v>
      </c>
      <c r="O5256" s="62"/>
      <c r="P5256" s="62"/>
    </row>
    <row r="5257" spans="1:16" x14ac:dyDescent="0.3">
      <c r="A5257" s="3">
        <f t="shared" si="613"/>
        <v>45812</v>
      </c>
      <c r="B5257" s="11" t="s">
        <v>6105</v>
      </c>
      <c r="C5257" s="50" t="s">
        <v>8379</v>
      </c>
      <c r="E5257" s="90" t="s">
        <v>4720</v>
      </c>
      <c r="G5257" s="2">
        <v>600</v>
      </c>
      <c r="I5257" s="88">
        <f t="shared" si="614"/>
        <v>22062.36</v>
      </c>
      <c r="K5257" s="62"/>
      <c r="L5257" s="2">
        <f t="shared" si="616"/>
        <v>2.4</v>
      </c>
      <c r="M5257">
        <f t="shared" si="617"/>
        <v>0</v>
      </c>
      <c r="O5257" s="62"/>
      <c r="P5257" s="62"/>
    </row>
    <row r="5258" spans="1:16" x14ac:dyDescent="0.3">
      <c r="A5258" s="3">
        <f t="shared" si="613"/>
        <v>45812</v>
      </c>
      <c r="B5258" s="11" t="s">
        <v>7870</v>
      </c>
      <c r="C5258" s="50" t="s">
        <v>8380</v>
      </c>
      <c r="E5258" s="90" t="s">
        <v>4720</v>
      </c>
      <c r="G5258" s="2">
        <v>700</v>
      </c>
      <c r="I5258" s="88">
        <f t="shared" si="614"/>
        <v>22762.36</v>
      </c>
      <c r="K5258" s="62"/>
      <c r="L5258" s="2">
        <f t="shared" si="616"/>
        <v>2.8000000000000003</v>
      </c>
      <c r="M5258">
        <f t="shared" si="617"/>
        <v>0</v>
      </c>
      <c r="O5258" s="62"/>
      <c r="P5258" s="62"/>
    </row>
    <row r="5259" spans="1:16" x14ac:dyDescent="0.3">
      <c r="A5259" s="3">
        <f t="shared" si="613"/>
        <v>45812</v>
      </c>
      <c r="B5259" s="11" t="s">
        <v>2140</v>
      </c>
      <c r="C5259" s="50" t="s">
        <v>1279</v>
      </c>
      <c r="E5259" s="90" t="s">
        <v>4720</v>
      </c>
      <c r="H5259" s="2">
        <v>2000</v>
      </c>
      <c r="I5259" s="88">
        <f t="shared" si="614"/>
        <v>20762.36</v>
      </c>
      <c r="K5259" s="62"/>
      <c r="M5259">
        <f t="shared" si="617"/>
        <v>0</v>
      </c>
      <c r="O5259" s="62"/>
      <c r="P5259" s="62"/>
    </row>
    <row r="5260" spans="1:16" x14ac:dyDescent="0.3">
      <c r="A5260" s="3">
        <f>A5258</f>
        <v>45812</v>
      </c>
      <c r="B5260" s="11" t="s">
        <v>1160</v>
      </c>
      <c r="C5260" s="50" t="s">
        <v>8381</v>
      </c>
      <c r="E5260" s="90" t="s">
        <v>4720</v>
      </c>
      <c r="G5260" s="2">
        <v>550</v>
      </c>
      <c r="I5260" s="88">
        <f t="shared" si="614"/>
        <v>21312.36</v>
      </c>
      <c r="K5260" s="62"/>
      <c r="L5260" s="2">
        <f t="shared" si="616"/>
        <v>2.2000000000000002</v>
      </c>
      <c r="M5260">
        <f t="shared" si="617"/>
        <v>0</v>
      </c>
      <c r="O5260" s="62"/>
      <c r="P5260" s="62"/>
    </row>
    <row r="5261" spans="1:16" x14ac:dyDescent="0.3">
      <c r="A5261" s="3">
        <v>45813</v>
      </c>
      <c r="B5261" s="11" t="s">
        <v>1160</v>
      </c>
      <c r="C5261" s="50" t="s">
        <v>7155</v>
      </c>
      <c r="D5261" s="50">
        <v>8235427912</v>
      </c>
      <c r="E5261" s="90" t="s">
        <v>4720</v>
      </c>
      <c r="G5261" s="2">
        <v>2000</v>
      </c>
      <c r="I5261" s="88">
        <f t="shared" si="614"/>
        <v>23312.36</v>
      </c>
      <c r="K5261" s="62"/>
      <c r="L5261" s="2">
        <f t="shared" si="616"/>
        <v>8</v>
      </c>
      <c r="M5261">
        <f t="shared" si="617"/>
        <v>0</v>
      </c>
      <c r="O5261" s="62"/>
      <c r="P5261" s="62"/>
    </row>
    <row r="5262" spans="1:16" x14ac:dyDescent="0.3">
      <c r="A5262" s="3">
        <f t="shared" si="613"/>
        <v>45813</v>
      </c>
      <c r="B5262" s="11" t="s">
        <v>4652</v>
      </c>
      <c r="C5262" s="50" t="s">
        <v>8382</v>
      </c>
      <c r="E5262" s="90" t="s">
        <v>2088</v>
      </c>
      <c r="H5262" s="2">
        <v>2000</v>
      </c>
      <c r="I5262" s="88">
        <f t="shared" si="614"/>
        <v>21312.36</v>
      </c>
      <c r="K5262" s="62"/>
      <c r="L5262" s="2">
        <f t="shared" si="616"/>
        <v>13</v>
      </c>
      <c r="M5262">
        <f t="shared" si="617"/>
        <v>5</v>
      </c>
      <c r="O5262" s="62"/>
      <c r="P5262" s="62"/>
    </row>
    <row r="5263" spans="1:16" x14ac:dyDescent="0.3">
      <c r="A5263" s="3">
        <f t="shared" si="613"/>
        <v>45813</v>
      </c>
      <c r="B5263" s="11" t="s">
        <v>4520</v>
      </c>
      <c r="C5263" s="50" t="s">
        <v>8383</v>
      </c>
      <c r="E5263" s="90" t="s">
        <v>2088</v>
      </c>
      <c r="I5263" s="88">
        <f t="shared" si="614"/>
        <v>21312.36</v>
      </c>
      <c r="K5263" s="62"/>
      <c r="L5263" s="2">
        <f t="shared" ref="L5263:L5275" si="618">IF(E5263="C",0,IF((G5263+H5263)&lt;=5000,(G5263+H5263)*0.004,20)+IF(E5263="P",5,IF(E5263="Y",15,IF(E5263="YY",25))))</f>
        <v>5</v>
      </c>
      <c r="M5263">
        <f t="shared" ref="M5263:M5275" si="619">IF(E5263="p",5,0)</f>
        <v>5</v>
      </c>
      <c r="O5263" s="62"/>
      <c r="P5263" s="62"/>
    </row>
    <row r="5264" spans="1:16" x14ac:dyDescent="0.3">
      <c r="A5264" s="3">
        <f t="shared" si="613"/>
        <v>45813</v>
      </c>
      <c r="B5264" s="11" t="s">
        <v>8348</v>
      </c>
      <c r="C5264" s="50" t="s">
        <v>8384</v>
      </c>
      <c r="E5264" s="90" t="s">
        <v>2088</v>
      </c>
      <c r="G5264" s="2">
        <v>10000</v>
      </c>
      <c r="I5264" s="88">
        <f t="shared" si="614"/>
        <v>31312.36</v>
      </c>
      <c r="K5264" s="62"/>
      <c r="L5264" s="2">
        <f t="shared" si="618"/>
        <v>25</v>
      </c>
      <c r="M5264">
        <f t="shared" si="619"/>
        <v>5</v>
      </c>
      <c r="O5264" s="62"/>
      <c r="P5264" s="62"/>
    </row>
    <row r="5265" spans="1:16" x14ac:dyDescent="0.3">
      <c r="A5265" s="3">
        <f t="shared" si="613"/>
        <v>45813</v>
      </c>
      <c r="B5265" s="11" t="s">
        <v>8361</v>
      </c>
      <c r="C5265" s="50" t="s">
        <v>8362</v>
      </c>
      <c r="E5265" s="90" t="s">
        <v>2088</v>
      </c>
      <c r="I5265" s="88">
        <f t="shared" si="614"/>
        <v>31312.36</v>
      </c>
      <c r="K5265" s="62"/>
      <c r="L5265" s="2">
        <f t="shared" si="618"/>
        <v>5</v>
      </c>
      <c r="M5265">
        <f t="shared" si="619"/>
        <v>5</v>
      </c>
      <c r="O5265" s="62"/>
      <c r="P5265" s="62"/>
    </row>
    <row r="5266" spans="1:16" x14ac:dyDescent="0.3">
      <c r="A5266" s="3">
        <f t="shared" si="613"/>
        <v>45813</v>
      </c>
      <c r="B5266" s="11" t="s">
        <v>6522</v>
      </c>
      <c r="C5266" s="50" t="s">
        <v>2504</v>
      </c>
      <c r="E5266" s="90" t="s">
        <v>4720</v>
      </c>
      <c r="G5266" s="2">
        <v>200</v>
      </c>
      <c r="I5266" s="88">
        <f t="shared" si="614"/>
        <v>31512.36</v>
      </c>
      <c r="K5266" s="62"/>
      <c r="L5266" s="2">
        <f t="shared" si="618"/>
        <v>0.8</v>
      </c>
      <c r="M5266">
        <f t="shared" si="619"/>
        <v>0</v>
      </c>
      <c r="O5266" s="62"/>
      <c r="P5266" s="62"/>
    </row>
    <row r="5267" spans="1:16" x14ac:dyDescent="0.3">
      <c r="A5267" s="3">
        <f t="shared" si="613"/>
        <v>45813</v>
      </c>
      <c r="B5267" s="11" t="s">
        <v>1160</v>
      </c>
      <c r="C5267" s="50" t="s">
        <v>8386</v>
      </c>
      <c r="E5267" s="90" t="s">
        <v>4720</v>
      </c>
      <c r="G5267" s="2">
        <v>4200</v>
      </c>
      <c r="I5267" s="88">
        <f t="shared" si="614"/>
        <v>35712.36</v>
      </c>
      <c r="K5267" s="62"/>
      <c r="L5267" s="2">
        <f t="shared" si="618"/>
        <v>16.8</v>
      </c>
      <c r="M5267">
        <f t="shared" si="619"/>
        <v>0</v>
      </c>
      <c r="O5267" s="62"/>
      <c r="P5267" s="62"/>
    </row>
    <row r="5268" spans="1:16" x14ac:dyDescent="0.3">
      <c r="A5268" s="3">
        <f t="shared" si="613"/>
        <v>45813</v>
      </c>
      <c r="B5268" s="11" t="s">
        <v>8388</v>
      </c>
      <c r="E5268" s="90" t="s">
        <v>16</v>
      </c>
      <c r="H5268" s="2">
        <v>500</v>
      </c>
      <c r="I5268" s="88">
        <f t="shared" si="614"/>
        <v>35212.36</v>
      </c>
      <c r="K5268" s="62"/>
      <c r="L5268" s="2">
        <f t="shared" si="618"/>
        <v>17</v>
      </c>
      <c r="M5268">
        <f t="shared" si="619"/>
        <v>0</v>
      </c>
      <c r="O5268" s="62"/>
      <c r="P5268" s="62"/>
    </row>
    <row r="5269" spans="1:16" x14ac:dyDescent="0.3">
      <c r="A5269" s="3">
        <f t="shared" si="613"/>
        <v>45813</v>
      </c>
      <c r="C5269" s="50" t="s">
        <v>2857</v>
      </c>
      <c r="E5269" s="90" t="s">
        <v>8332</v>
      </c>
      <c r="H5269" s="2">
        <v>30000</v>
      </c>
      <c r="I5269" s="88">
        <f t="shared" si="614"/>
        <v>5212.3600000000006</v>
      </c>
      <c r="K5269" s="62"/>
      <c r="L5269" s="2">
        <f t="shared" si="618"/>
        <v>0</v>
      </c>
      <c r="M5269">
        <f t="shared" si="619"/>
        <v>0</v>
      </c>
      <c r="O5269" s="62"/>
      <c r="P5269" s="62"/>
    </row>
    <row r="5270" spans="1:16" x14ac:dyDescent="0.3">
      <c r="A5270" s="3">
        <f t="shared" si="613"/>
        <v>45813</v>
      </c>
      <c r="B5270" s="11" t="s">
        <v>7886</v>
      </c>
      <c r="C5270" s="50" t="s">
        <v>7887</v>
      </c>
      <c r="E5270" s="90" t="s">
        <v>2088</v>
      </c>
      <c r="G5270" s="2">
        <v>7000</v>
      </c>
      <c r="I5270" s="88">
        <f t="shared" si="614"/>
        <v>12212.36</v>
      </c>
      <c r="K5270" s="62"/>
      <c r="L5270" s="2">
        <f t="shared" si="618"/>
        <v>25</v>
      </c>
      <c r="M5270">
        <f t="shared" si="619"/>
        <v>5</v>
      </c>
      <c r="O5270" s="62"/>
      <c r="P5270" s="62"/>
    </row>
    <row r="5271" spans="1:16" x14ac:dyDescent="0.3">
      <c r="A5271" s="3">
        <v>45814</v>
      </c>
      <c r="B5271" s="11" t="s">
        <v>2528</v>
      </c>
      <c r="C5271" s="50" t="s">
        <v>4207</v>
      </c>
      <c r="E5271" s="90" t="s">
        <v>2088</v>
      </c>
      <c r="G5271" s="2">
        <v>3000</v>
      </c>
      <c r="I5271" s="88">
        <f t="shared" si="614"/>
        <v>15212.36</v>
      </c>
      <c r="K5271" s="62"/>
      <c r="L5271" s="2">
        <f t="shared" si="618"/>
        <v>17</v>
      </c>
      <c r="M5271">
        <f t="shared" si="619"/>
        <v>5</v>
      </c>
      <c r="O5271" s="62"/>
      <c r="P5271" s="62"/>
    </row>
    <row r="5272" spans="1:16" x14ac:dyDescent="0.3">
      <c r="A5272" s="3">
        <f t="shared" si="613"/>
        <v>45814</v>
      </c>
      <c r="B5272" s="11" t="s">
        <v>5115</v>
      </c>
      <c r="C5272" s="50" t="s">
        <v>6574</v>
      </c>
      <c r="E5272" s="90" t="s">
        <v>2088</v>
      </c>
      <c r="G5272" s="2">
        <v>1000</v>
      </c>
      <c r="I5272" s="88">
        <f t="shared" si="614"/>
        <v>16212.36</v>
      </c>
      <c r="K5272" s="62"/>
      <c r="L5272" s="2">
        <f t="shared" si="618"/>
        <v>9</v>
      </c>
      <c r="M5272">
        <f t="shared" si="619"/>
        <v>5</v>
      </c>
      <c r="O5272" s="62"/>
      <c r="P5272" s="62"/>
    </row>
    <row r="5273" spans="1:16" x14ac:dyDescent="0.3">
      <c r="A5273" s="3">
        <f t="shared" si="613"/>
        <v>45814</v>
      </c>
      <c r="B5273" s="11" t="s">
        <v>8388</v>
      </c>
      <c r="C5273" s="50" t="s">
        <v>8391</v>
      </c>
      <c r="E5273" s="90" t="s">
        <v>2088</v>
      </c>
      <c r="I5273" s="88">
        <f t="shared" si="614"/>
        <v>16212.36</v>
      </c>
      <c r="K5273" s="62"/>
      <c r="L5273" s="2">
        <f t="shared" si="618"/>
        <v>5</v>
      </c>
      <c r="M5273">
        <f t="shared" si="619"/>
        <v>5</v>
      </c>
      <c r="O5273" s="62"/>
      <c r="P5273" s="62"/>
    </row>
    <row r="5274" spans="1:16" x14ac:dyDescent="0.3">
      <c r="A5274" s="3">
        <f t="shared" si="613"/>
        <v>45814</v>
      </c>
      <c r="B5274" s="11" t="s">
        <v>8392</v>
      </c>
      <c r="C5274" s="50" t="s">
        <v>8393</v>
      </c>
      <c r="E5274" s="90" t="s">
        <v>4720</v>
      </c>
      <c r="H5274" s="2">
        <v>3800</v>
      </c>
      <c r="I5274" s="88">
        <f t="shared" si="614"/>
        <v>12412.36</v>
      </c>
      <c r="K5274" s="62"/>
      <c r="L5274" s="2">
        <f t="shared" si="618"/>
        <v>15.200000000000001</v>
      </c>
      <c r="M5274">
        <f t="shared" si="619"/>
        <v>0</v>
      </c>
      <c r="O5274" s="62"/>
      <c r="P5274" s="62"/>
    </row>
    <row r="5275" spans="1:16" x14ac:dyDescent="0.3">
      <c r="A5275" s="3">
        <f t="shared" si="613"/>
        <v>45814</v>
      </c>
      <c r="B5275" s="11" t="s">
        <v>8348</v>
      </c>
      <c r="C5275" s="50" t="s">
        <v>8394</v>
      </c>
      <c r="E5275" s="90" t="s">
        <v>2088</v>
      </c>
      <c r="G5275" s="2">
        <v>10000</v>
      </c>
      <c r="I5275" s="88">
        <f t="shared" si="614"/>
        <v>22412.36</v>
      </c>
      <c r="K5275" s="62"/>
      <c r="L5275" s="2">
        <f t="shared" si="618"/>
        <v>25</v>
      </c>
      <c r="M5275">
        <f t="shared" si="619"/>
        <v>5</v>
      </c>
      <c r="O5275" s="62"/>
      <c r="P5275" s="62"/>
    </row>
    <row r="5276" spans="1:16" x14ac:dyDescent="0.3">
      <c r="A5276" s="3">
        <f t="shared" si="613"/>
        <v>45814</v>
      </c>
      <c r="B5276" s="11" t="s">
        <v>8286</v>
      </c>
      <c r="C5276" s="50" t="s">
        <v>8395</v>
      </c>
      <c r="E5276" s="90" t="s">
        <v>7772</v>
      </c>
      <c r="G5276" s="2">
        <v>4200</v>
      </c>
      <c r="I5276" s="88">
        <f t="shared" ref="I5276:I5287" si="620">I5275+G5276-H5276</f>
        <v>26612.36</v>
      </c>
      <c r="K5276" s="62"/>
      <c r="L5276" s="2">
        <f t="shared" ref="L5276:L5287" si="621">IF(E5276="C",0,IF((G5276+H5276)&lt;=5000,(G5276+H5276)*0.004,20)+IF(E5276="P",5,IF(E5276="Y",15,IF(E5276="YY",25))))</f>
        <v>21.8</v>
      </c>
      <c r="M5276">
        <f t="shared" ref="M5276:M5287" si="622">IF(E5276="p",5,0)</f>
        <v>5</v>
      </c>
      <c r="O5276" s="62"/>
      <c r="P5276" s="62"/>
    </row>
    <row r="5277" spans="1:16" x14ac:dyDescent="0.3">
      <c r="A5277" s="3">
        <f t="shared" si="613"/>
        <v>45814</v>
      </c>
      <c r="B5277" s="11" t="s">
        <v>2241</v>
      </c>
      <c r="C5277" s="50" t="s">
        <v>8396</v>
      </c>
      <c r="E5277" s="90" t="s">
        <v>4720</v>
      </c>
      <c r="G5277" s="2">
        <v>2000</v>
      </c>
      <c r="I5277" s="88">
        <f t="shared" si="620"/>
        <v>28612.36</v>
      </c>
      <c r="K5277" s="62"/>
      <c r="L5277" s="2">
        <f t="shared" si="621"/>
        <v>8</v>
      </c>
      <c r="M5277">
        <f t="shared" si="622"/>
        <v>0</v>
      </c>
      <c r="O5277" s="62"/>
      <c r="P5277" s="62"/>
    </row>
    <row r="5278" spans="1:16" x14ac:dyDescent="0.3">
      <c r="A5278" s="3">
        <v>45815</v>
      </c>
      <c r="B5278" s="11" t="s">
        <v>6260</v>
      </c>
      <c r="C5278" s="50" t="s">
        <v>8398</v>
      </c>
      <c r="E5278" s="90" t="s">
        <v>4720</v>
      </c>
      <c r="H5278" s="2">
        <v>9000</v>
      </c>
      <c r="I5278" s="88">
        <f t="shared" si="620"/>
        <v>19612.36</v>
      </c>
      <c r="K5278" s="62"/>
      <c r="L5278" s="2">
        <f t="shared" si="621"/>
        <v>20</v>
      </c>
      <c r="M5278">
        <f t="shared" si="622"/>
        <v>0</v>
      </c>
      <c r="O5278" s="62"/>
      <c r="P5278" s="62"/>
    </row>
    <row r="5279" spans="1:16" x14ac:dyDescent="0.3">
      <c r="A5279" s="3">
        <f t="shared" si="613"/>
        <v>45815</v>
      </c>
      <c r="B5279" s="11" t="s">
        <v>1250</v>
      </c>
      <c r="C5279" s="50" t="s">
        <v>8399</v>
      </c>
      <c r="E5279" s="90" t="s">
        <v>4720</v>
      </c>
      <c r="G5279" s="2">
        <v>2000</v>
      </c>
      <c r="I5279" s="88">
        <f t="shared" si="620"/>
        <v>21612.36</v>
      </c>
      <c r="K5279" s="62"/>
      <c r="L5279" s="2">
        <f t="shared" si="621"/>
        <v>8</v>
      </c>
      <c r="M5279">
        <f t="shared" si="622"/>
        <v>0</v>
      </c>
      <c r="O5279" s="62"/>
      <c r="P5279" s="62"/>
    </row>
    <row r="5280" spans="1:16" x14ac:dyDescent="0.3">
      <c r="A5280" s="3">
        <f t="shared" si="613"/>
        <v>45815</v>
      </c>
      <c r="B5280" s="11" t="s">
        <v>1472</v>
      </c>
      <c r="C5280" s="50" t="s">
        <v>8135</v>
      </c>
      <c r="E5280" s="90" t="s">
        <v>4720</v>
      </c>
      <c r="G5280" s="2">
        <v>1000</v>
      </c>
      <c r="I5280" s="88">
        <f t="shared" si="620"/>
        <v>22612.36</v>
      </c>
      <c r="K5280" s="62"/>
      <c r="L5280" s="2">
        <f t="shared" si="621"/>
        <v>4</v>
      </c>
      <c r="M5280">
        <f t="shared" si="622"/>
        <v>0</v>
      </c>
      <c r="O5280" s="62"/>
      <c r="P5280" s="62"/>
    </row>
    <row r="5281" spans="1:16" x14ac:dyDescent="0.3">
      <c r="A5281" s="3">
        <f t="shared" si="613"/>
        <v>45815</v>
      </c>
      <c r="B5281" s="11" t="s">
        <v>8400</v>
      </c>
      <c r="C5281" s="50" t="s">
        <v>8401</v>
      </c>
      <c r="E5281" s="90" t="s">
        <v>4720</v>
      </c>
      <c r="G5281" s="2">
        <v>4000</v>
      </c>
      <c r="I5281" s="88">
        <f t="shared" si="620"/>
        <v>26612.36</v>
      </c>
      <c r="K5281" s="62"/>
      <c r="L5281" s="2">
        <f t="shared" si="621"/>
        <v>16</v>
      </c>
      <c r="M5281">
        <f t="shared" si="622"/>
        <v>0</v>
      </c>
      <c r="O5281" s="62"/>
      <c r="P5281" s="62"/>
    </row>
    <row r="5282" spans="1:16" x14ac:dyDescent="0.3">
      <c r="A5282" s="3">
        <f t="shared" si="613"/>
        <v>45815</v>
      </c>
      <c r="B5282" s="11" t="s">
        <v>8402</v>
      </c>
      <c r="C5282" s="50" t="s">
        <v>8403</v>
      </c>
      <c r="E5282" s="90" t="s">
        <v>4720</v>
      </c>
      <c r="G5282" s="2">
        <v>5000</v>
      </c>
      <c r="I5282" s="88">
        <f t="shared" si="620"/>
        <v>31612.36</v>
      </c>
      <c r="K5282" s="62"/>
      <c r="L5282" s="2">
        <f t="shared" si="621"/>
        <v>20</v>
      </c>
      <c r="M5282">
        <f t="shared" si="622"/>
        <v>0</v>
      </c>
      <c r="O5282" s="62"/>
      <c r="P5282" s="62"/>
    </row>
    <row r="5283" spans="1:16" x14ac:dyDescent="0.3">
      <c r="A5283" s="3">
        <v>45816</v>
      </c>
      <c r="B5283" s="11" t="s">
        <v>3915</v>
      </c>
      <c r="C5283" s="50" t="s">
        <v>8404</v>
      </c>
      <c r="E5283" s="90" t="s">
        <v>4720</v>
      </c>
      <c r="G5283" s="2">
        <v>300</v>
      </c>
      <c r="I5283" s="88">
        <f t="shared" si="620"/>
        <v>31912.36</v>
      </c>
      <c r="K5283" s="62"/>
      <c r="L5283" s="2">
        <f t="shared" si="621"/>
        <v>1.2</v>
      </c>
      <c r="M5283">
        <f t="shared" si="622"/>
        <v>0</v>
      </c>
      <c r="O5283" s="62"/>
      <c r="P5283" s="62"/>
    </row>
    <row r="5284" spans="1:16" x14ac:dyDescent="0.3">
      <c r="A5284" s="3">
        <f t="shared" si="613"/>
        <v>45816</v>
      </c>
      <c r="B5284" s="11" t="s">
        <v>7649</v>
      </c>
      <c r="C5284" s="50" t="s">
        <v>8405</v>
      </c>
      <c r="E5284" s="90" t="s">
        <v>4720</v>
      </c>
      <c r="H5284" s="2">
        <v>2200</v>
      </c>
      <c r="I5284" s="88">
        <f t="shared" si="620"/>
        <v>29712.36</v>
      </c>
      <c r="K5284" s="62"/>
      <c r="L5284" s="2">
        <f t="shared" si="621"/>
        <v>8.8000000000000007</v>
      </c>
      <c r="M5284">
        <f t="shared" si="622"/>
        <v>0</v>
      </c>
      <c r="O5284" s="62"/>
      <c r="P5284" s="62"/>
    </row>
    <row r="5285" spans="1:16" x14ac:dyDescent="0.3">
      <c r="A5285" s="3">
        <f t="shared" si="613"/>
        <v>45816</v>
      </c>
      <c r="B5285" s="11" t="s">
        <v>8348</v>
      </c>
      <c r="C5285" s="50" t="s">
        <v>8406</v>
      </c>
      <c r="E5285" s="90" t="s">
        <v>2088</v>
      </c>
      <c r="G5285" s="2">
        <v>10000</v>
      </c>
      <c r="I5285" s="88">
        <f t="shared" si="620"/>
        <v>39712.36</v>
      </c>
      <c r="K5285" s="62"/>
      <c r="L5285" s="2">
        <f t="shared" si="621"/>
        <v>25</v>
      </c>
      <c r="M5285">
        <f t="shared" si="622"/>
        <v>5</v>
      </c>
      <c r="O5285" s="62"/>
      <c r="P5285" s="62"/>
    </row>
    <row r="5286" spans="1:16" x14ac:dyDescent="0.3">
      <c r="A5286" s="3">
        <f t="shared" si="613"/>
        <v>45816</v>
      </c>
      <c r="B5286" s="11" t="s">
        <v>3524</v>
      </c>
      <c r="C5286" s="50" t="s">
        <v>3088</v>
      </c>
      <c r="E5286" s="90" t="s">
        <v>4720</v>
      </c>
      <c r="H5286" s="2">
        <v>10000</v>
      </c>
      <c r="I5286" s="88">
        <f t="shared" si="620"/>
        <v>29712.36</v>
      </c>
      <c r="K5286" s="62"/>
      <c r="L5286" s="2">
        <f t="shared" si="621"/>
        <v>20</v>
      </c>
      <c r="M5286">
        <f t="shared" si="622"/>
        <v>0</v>
      </c>
      <c r="O5286" s="62"/>
      <c r="P5286" s="62"/>
    </row>
    <row r="5287" spans="1:16" x14ac:dyDescent="0.3">
      <c r="A5287" s="3">
        <f t="shared" si="613"/>
        <v>45816</v>
      </c>
      <c r="B5287" s="11" t="s">
        <v>4297</v>
      </c>
      <c r="C5287" s="50" t="s">
        <v>3826</v>
      </c>
      <c r="E5287" s="90" t="s">
        <v>4720</v>
      </c>
      <c r="H5287" s="2">
        <v>10000</v>
      </c>
      <c r="I5287" s="88">
        <f t="shared" si="620"/>
        <v>19712.36</v>
      </c>
      <c r="K5287" s="62"/>
      <c r="L5287" s="2">
        <f t="shared" si="621"/>
        <v>20</v>
      </c>
      <c r="M5287">
        <f t="shared" si="622"/>
        <v>0</v>
      </c>
      <c r="O5287" s="62"/>
      <c r="P5287" s="62"/>
    </row>
    <row r="5288" spans="1:16" x14ac:dyDescent="0.3">
      <c r="A5288" s="3">
        <f t="shared" si="613"/>
        <v>45816</v>
      </c>
      <c r="B5288" s="11" t="s">
        <v>3543</v>
      </c>
      <c r="C5288" s="50" t="s">
        <v>2626</v>
      </c>
      <c r="E5288" s="90" t="s">
        <v>4720</v>
      </c>
      <c r="G5288" s="2">
        <v>10000</v>
      </c>
      <c r="I5288" s="88">
        <f t="shared" ref="I5288:I5291" si="623">I5287+G5288-H5288</f>
        <v>29712.36</v>
      </c>
      <c r="K5288" s="62"/>
      <c r="L5288" s="2">
        <f t="shared" ref="L5288:L5291" si="624">IF(E5288="C",0,IF((G5288+H5288)&lt;=5000,(G5288+H5288)*0.004,20)+IF(E5288="P",5,IF(E5288="Y",15,IF(E5288="YY",25))))</f>
        <v>20</v>
      </c>
      <c r="M5288">
        <f t="shared" ref="M5288:M5291" si="625">IF(E5288="p",5,0)</f>
        <v>0</v>
      </c>
      <c r="O5288" s="62"/>
      <c r="P5288" s="62"/>
    </row>
    <row r="5289" spans="1:16" x14ac:dyDescent="0.3">
      <c r="A5289" s="3">
        <v>45817</v>
      </c>
      <c r="B5289" s="11" t="s">
        <v>6260</v>
      </c>
      <c r="C5289" s="50" t="s">
        <v>8398</v>
      </c>
      <c r="E5289" s="90" t="s">
        <v>4720</v>
      </c>
      <c r="H5289" s="2">
        <v>4000</v>
      </c>
      <c r="I5289" s="88">
        <f t="shared" si="623"/>
        <v>25712.36</v>
      </c>
      <c r="K5289" s="62"/>
      <c r="L5289" s="2">
        <f t="shared" si="624"/>
        <v>16</v>
      </c>
      <c r="M5289">
        <f t="shared" si="625"/>
        <v>0</v>
      </c>
      <c r="O5289" s="62"/>
      <c r="P5289" s="62"/>
    </row>
    <row r="5290" spans="1:16" x14ac:dyDescent="0.3">
      <c r="A5290" s="3">
        <f t="shared" si="613"/>
        <v>45817</v>
      </c>
      <c r="B5290" s="11" t="s">
        <v>5042</v>
      </c>
      <c r="C5290" s="50" t="s">
        <v>6176</v>
      </c>
      <c r="E5290" s="90" t="s">
        <v>2088</v>
      </c>
      <c r="G5290" s="2">
        <v>6000</v>
      </c>
      <c r="I5290" s="88">
        <f t="shared" si="623"/>
        <v>31712.36</v>
      </c>
      <c r="K5290" s="62"/>
      <c r="L5290" s="2">
        <f t="shared" si="624"/>
        <v>25</v>
      </c>
      <c r="M5290">
        <f t="shared" si="625"/>
        <v>5</v>
      </c>
      <c r="O5290" s="62"/>
      <c r="P5290" s="62"/>
    </row>
    <row r="5291" spans="1:16" x14ac:dyDescent="0.3">
      <c r="A5291" s="3">
        <f t="shared" si="613"/>
        <v>45817</v>
      </c>
      <c r="B5291" s="11" t="s">
        <v>5508</v>
      </c>
      <c r="C5291" s="50" t="s">
        <v>6157</v>
      </c>
      <c r="E5291" s="90" t="s">
        <v>2088</v>
      </c>
      <c r="G5291" s="2">
        <v>500</v>
      </c>
      <c r="I5291" s="88">
        <f t="shared" si="623"/>
        <v>32212.36</v>
      </c>
      <c r="K5291" s="62"/>
      <c r="L5291" s="2">
        <f t="shared" si="624"/>
        <v>7</v>
      </c>
      <c r="M5291">
        <f t="shared" si="625"/>
        <v>5</v>
      </c>
      <c r="O5291" s="62"/>
      <c r="P5291" s="62"/>
    </row>
    <row r="5292" spans="1:16" x14ac:dyDescent="0.3">
      <c r="A5292" s="3">
        <f t="shared" si="613"/>
        <v>45817</v>
      </c>
      <c r="B5292" s="11" t="s">
        <v>1170</v>
      </c>
      <c r="C5292" s="50" t="s">
        <v>7773</v>
      </c>
      <c r="E5292" s="90" t="s">
        <v>4720</v>
      </c>
      <c r="G5292" s="2">
        <v>4050</v>
      </c>
      <c r="I5292" s="88">
        <f t="shared" ref="I5292:I5306" si="626">I5291+G5292-H5292</f>
        <v>36262.36</v>
      </c>
      <c r="K5292" s="62"/>
      <c r="L5292" s="2">
        <f t="shared" ref="L5292:L5306" si="627">IF(E5292="C",0,IF((G5292+H5292)&lt;=5000,(G5292+H5292)*0.004,20)+IF(E5292="P",5,IF(E5292="Y",15,IF(E5292="YY",25))))</f>
        <v>16.2</v>
      </c>
      <c r="M5292">
        <f t="shared" ref="M5292:M5306" si="628">IF(E5292="p",5,0)</f>
        <v>0</v>
      </c>
      <c r="O5292" s="62"/>
      <c r="P5292" s="62"/>
    </row>
    <row r="5293" spans="1:16" x14ac:dyDescent="0.3">
      <c r="A5293" s="3">
        <f t="shared" si="613"/>
        <v>45817</v>
      </c>
      <c r="E5293" s="90" t="s">
        <v>8332</v>
      </c>
      <c r="H5293" s="2">
        <v>30000</v>
      </c>
      <c r="I5293" s="88">
        <f t="shared" si="626"/>
        <v>6262.3600000000006</v>
      </c>
      <c r="K5293" s="62"/>
      <c r="L5293" s="2">
        <f t="shared" si="627"/>
        <v>0</v>
      </c>
      <c r="M5293">
        <f t="shared" si="628"/>
        <v>0</v>
      </c>
      <c r="O5293" s="62"/>
      <c r="P5293" s="62"/>
    </row>
    <row r="5294" spans="1:16" x14ac:dyDescent="0.3">
      <c r="A5294" s="3">
        <f t="shared" si="613"/>
        <v>45817</v>
      </c>
      <c r="B5294" s="11" t="s">
        <v>1160</v>
      </c>
      <c r="C5294" s="50" t="s">
        <v>7155</v>
      </c>
      <c r="E5294" s="90" t="s">
        <v>4720</v>
      </c>
      <c r="G5294" s="2">
        <v>8500</v>
      </c>
      <c r="I5294" s="88">
        <f t="shared" si="626"/>
        <v>14762.36</v>
      </c>
      <c r="K5294" s="62"/>
      <c r="L5294" s="2">
        <f t="shared" si="627"/>
        <v>20</v>
      </c>
      <c r="M5294">
        <f t="shared" si="628"/>
        <v>0</v>
      </c>
      <c r="O5294" s="62"/>
      <c r="P5294" s="62"/>
    </row>
    <row r="5295" spans="1:16" x14ac:dyDescent="0.3">
      <c r="A5295" s="3">
        <f t="shared" si="613"/>
        <v>45817</v>
      </c>
      <c r="B5295" s="11" t="s">
        <v>8348</v>
      </c>
      <c r="C5295" s="50" t="s">
        <v>8384</v>
      </c>
      <c r="E5295" s="90" t="s">
        <v>2088</v>
      </c>
      <c r="G5295" s="2">
        <v>9500</v>
      </c>
      <c r="I5295" s="88">
        <f t="shared" si="626"/>
        <v>24262.36</v>
      </c>
      <c r="K5295" s="62"/>
      <c r="L5295" s="2">
        <f t="shared" si="627"/>
        <v>25</v>
      </c>
      <c r="M5295">
        <f t="shared" si="628"/>
        <v>5</v>
      </c>
      <c r="O5295" s="62"/>
      <c r="P5295" s="62"/>
    </row>
    <row r="5296" spans="1:16" x14ac:dyDescent="0.3">
      <c r="A5296" s="3">
        <f t="shared" si="613"/>
        <v>45817</v>
      </c>
      <c r="B5296" s="11" t="s">
        <v>6718</v>
      </c>
      <c r="C5296" s="50" t="s">
        <v>8042</v>
      </c>
      <c r="E5296" s="90" t="s">
        <v>2088</v>
      </c>
      <c r="G5296" s="2">
        <v>10000</v>
      </c>
      <c r="I5296" s="88">
        <f t="shared" si="626"/>
        <v>34262.36</v>
      </c>
      <c r="K5296" s="62"/>
      <c r="L5296" s="2">
        <f t="shared" si="627"/>
        <v>25</v>
      </c>
      <c r="M5296">
        <f t="shared" si="628"/>
        <v>5</v>
      </c>
      <c r="O5296" s="62"/>
      <c r="P5296" s="62"/>
    </row>
    <row r="5297" spans="1:16" x14ac:dyDescent="0.3">
      <c r="A5297" s="3">
        <f t="shared" si="613"/>
        <v>45817</v>
      </c>
      <c r="C5297" s="50" t="s">
        <v>2857</v>
      </c>
      <c r="E5297" s="90" t="s">
        <v>8332</v>
      </c>
      <c r="H5297" s="2">
        <v>30000</v>
      </c>
      <c r="I5297" s="88">
        <f t="shared" si="626"/>
        <v>4262.3600000000006</v>
      </c>
      <c r="K5297" s="62"/>
      <c r="L5297" s="2">
        <f t="shared" si="627"/>
        <v>0</v>
      </c>
      <c r="M5297">
        <f t="shared" si="628"/>
        <v>0</v>
      </c>
      <c r="O5297" s="62"/>
      <c r="P5297" s="62"/>
    </row>
    <row r="5298" spans="1:16" x14ac:dyDescent="0.3">
      <c r="A5298" s="3">
        <f t="shared" si="613"/>
        <v>45817</v>
      </c>
      <c r="B5298" s="11" t="s">
        <v>2416</v>
      </c>
      <c r="C5298" s="50" t="s">
        <v>8401</v>
      </c>
      <c r="E5298" s="90" t="s">
        <v>4720</v>
      </c>
      <c r="G5298" s="2">
        <v>3000</v>
      </c>
      <c r="I5298" s="88">
        <f t="shared" si="626"/>
        <v>7262.3600000000006</v>
      </c>
      <c r="K5298" s="62"/>
      <c r="L5298" s="2">
        <f t="shared" si="627"/>
        <v>12</v>
      </c>
      <c r="M5298">
        <f t="shared" si="628"/>
        <v>0</v>
      </c>
      <c r="O5298" s="62"/>
      <c r="P5298" s="62"/>
    </row>
    <row r="5299" spans="1:16" x14ac:dyDescent="0.3">
      <c r="A5299" s="3">
        <f t="shared" si="613"/>
        <v>45817</v>
      </c>
      <c r="B5299" s="11" t="s">
        <v>5123</v>
      </c>
      <c r="C5299" s="50" t="s">
        <v>7326</v>
      </c>
      <c r="E5299" s="90" t="s">
        <v>4720</v>
      </c>
      <c r="G5299" s="2">
        <v>9000</v>
      </c>
      <c r="I5299" s="88">
        <f t="shared" si="626"/>
        <v>16262.36</v>
      </c>
      <c r="K5299" s="62"/>
      <c r="L5299" s="2">
        <f t="shared" si="627"/>
        <v>20</v>
      </c>
      <c r="M5299">
        <f t="shared" si="628"/>
        <v>0</v>
      </c>
      <c r="O5299" s="62"/>
      <c r="P5299" s="62"/>
    </row>
    <row r="5300" spans="1:16" x14ac:dyDescent="0.3">
      <c r="A5300" s="3">
        <f t="shared" si="613"/>
        <v>45817</v>
      </c>
      <c r="B5300" s="11" t="s">
        <v>5230</v>
      </c>
      <c r="C5300" s="50" t="s">
        <v>6762</v>
      </c>
      <c r="E5300" s="90" t="s">
        <v>2088</v>
      </c>
      <c r="H5300" s="2">
        <v>4000</v>
      </c>
      <c r="I5300" s="88">
        <f t="shared" si="626"/>
        <v>12262.36</v>
      </c>
      <c r="K5300" s="62"/>
      <c r="L5300" s="2">
        <f t="shared" si="627"/>
        <v>21</v>
      </c>
      <c r="M5300">
        <f t="shared" si="628"/>
        <v>5</v>
      </c>
      <c r="O5300" s="62"/>
      <c r="P5300" s="62"/>
    </row>
    <row r="5301" spans="1:16" x14ac:dyDescent="0.3">
      <c r="A5301" s="3">
        <f t="shared" si="613"/>
        <v>45817</v>
      </c>
      <c r="B5301" s="11" t="s">
        <v>7262</v>
      </c>
      <c r="C5301" s="50" t="s">
        <v>7263</v>
      </c>
      <c r="E5301" s="90" t="s">
        <v>2088</v>
      </c>
      <c r="G5301" s="2">
        <v>1300</v>
      </c>
      <c r="I5301" s="88">
        <f t="shared" si="626"/>
        <v>13562.36</v>
      </c>
      <c r="K5301" s="62"/>
      <c r="L5301" s="2">
        <f t="shared" si="627"/>
        <v>10.199999999999999</v>
      </c>
      <c r="M5301">
        <f t="shared" si="628"/>
        <v>5</v>
      </c>
      <c r="O5301" s="62"/>
      <c r="P5301" s="62"/>
    </row>
    <row r="5302" spans="1:16" x14ac:dyDescent="0.3">
      <c r="A5302" s="3">
        <v>45818</v>
      </c>
      <c r="B5302" s="11" t="s">
        <v>8409</v>
      </c>
      <c r="E5302" s="90" t="s">
        <v>16</v>
      </c>
      <c r="H5302" s="2">
        <v>500</v>
      </c>
      <c r="I5302" s="88">
        <f t="shared" si="626"/>
        <v>13062.36</v>
      </c>
      <c r="K5302" s="62"/>
      <c r="L5302" s="2">
        <f t="shared" si="627"/>
        <v>17</v>
      </c>
      <c r="M5302">
        <f t="shared" si="628"/>
        <v>0</v>
      </c>
      <c r="O5302" s="62"/>
      <c r="P5302" s="62"/>
    </row>
    <row r="5303" spans="1:16" x14ac:dyDescent="0.3">
      <c r="A5303" s="3">
        <f t="shared" si="613"/>
        <v>45818</v>
      </c>
      <c r="B5303" s="11" t="s">
        <v>8130</v>
      </c>
      <c r="C5303" s="50" t="s">
        <v>8410</v>
      </c>
      <c r="E5303" s="90" t="s">
        <v>2088</v>
      </c>
      <c r="G5303" s="2">
        <v>4000</v>
      </c>
      <c r="I5303" s="88">
        <f t="shared" si="626"/>
        <v>17062.36</v>
      </c>
      <c r="K5303" s="62"/>
      <c r="L5303" s="2">
        <f t="shared" si="627"/>
        <v>21</v>
      </c>
      <c r="M5303">
        <f t="shared" si="628"/>
        <v>5</v>
      </c>
      <c r="O5303" s="62"/>
      <c r="P5303" s="62"/>
    </row>
    <row r="5304" spans="1:16" x14ac:dyDescent="0.3">
      <c r="A5304" s="3">
        <f t="shared" si="613"/>
        <v>45818</v>
      </c>
      <c r="B5304" s="11" t="s">
        <v>2241</v>
      </c>
      <c r="C5304" s="50" t="s">
        <v>8195</v>
      </c>
      <c r="E5304" s="90" t="s">
        <v>4720</v>
      </c>
      <c r="G5304" s="2">
        <v>5000</v>
      </c>
      <c r="I5304" s="88">
        <f t="shared" si="626"/>
        <v>22062.36</v>
      </c>
      <c r="K5304" s="62"/>
      <c r="L5304" s="2">
        <f t="shared" si="627"/>
        <v>20</v>
      </c>
      <c r="M5304">
        <f t="shared" si="628"/>
        <v>0</v>
      </c>
      <c r="O5304" s="62"/>
      <c r="P5304" s="62"/>
    </row>
    <row r="5305" spans="1:16" x14ac:dyDescent="0.3">
      <c r="A5305" s="3">
        <f t="shared" ref="A5305:A5370" si="629">A5304</f>
        <v>45818</v>
      </c>
      <c r="B5305" s="11" t="s">
        <v>2448</v>
      </c>
      <c r="C5305" s="50" t="s">
        <v>2274</v>
      </c>
      <c r="E5305" s="90" t="s">
        <v>4720</v>
      </c>
      <c r="H5305" s="2">
        <v>6000</v>
      </c>
      <c r="I5305" s="88">
        <f t="shared" si="626"/>
        <v>16062.36</v>
      </c>
      <c r="K5305" s="62"/>
      <c r="L5305" s="2">
        <f t="shared" si="627"/>
        <v>20</v>
      </c>
      <c r="M5305">
        <f t="shared" si="628"/>
        <v>0</v>
      </c>
      <c r="O5305" s="62"/>
      <c r="P5305" s="62"/>
    </row>
    <row r="5306" spans="1:16" x14ac:dyDescent="0.3">
      <c r="A5306" s="3">
        <f t="shared" si="629"/>
        <v>45818</v>
      </c>
      <c r="B5306" s="11" t="s">
        <v>1250</v>
      </c>
      <c r="C5306" s="50" t="s">
        <v>8411</v>
      </c>
      <c r="E5306" s="90" t="s">
        <v>4720</v>
      </c>
      <c r="G5306" s="2">
        <v>4000</v>
      </c>
      <c r="I5306" s="88">
        <f t="shared" si="626"/>
        <v>20062.36</v>
      </c>
      <c r="K5306" s="62"/>
      <c r="L5306" s="2">
        <f t="shared" si="627"/>
        <v>16</v>
      </c>
      <c r="M5306">
        <f t="shared" si="628"/>
        <v>0</v>
      </c>
      <c r="O5306" s="62"/>
      <c r="P5306" s="62"/>
    </row>
    <row r="5307" spans="1:16" x14ac:dyDescent="0.3">
      <c r="A5307" s="3">
        <f t="shared" si="629"/>
        <v>45818</v>
      </c>
      <c r="B5307" s="11" t="s">
        <v>3918</v>
      </c>
      <c r="C5307" s="50" t="s">
        <v>8412</v>
      </c>
      <c r="E5307" s="90" t="s">
        <v>4720</v>
      </c>
      <c r="G5307" s="2">
        <v>1500</v>
      </c>
      <c r="I5307" s="88">
        <f t="shared" ref="I5307:I5318" si="630">I5306+G5307-H5307</f>
        <v>21562.36</v>
      </c>
      <c r="K5307" s="62"/>
      <c r="L5307" s="2">
        <f t="shared" ref="L5307:L5318" si="631">IF(E5307="C",0,IF((G5307+H5307)&lt;=5000,(G5307+H5307)*0.004,20)+IF(E5307="P",5,IF(E5307="Y",15,IF(E5307="YY",25))))</f>
        <v>6</v>
      </c>
      <c r="M5307">
        <f t="shared" ref="M5307:M5318" si="632">IF(E5307="p",5,0)</f>
        <v>0</v>
      </c>
      <c r="O5307" s="62"/>
      <c r="P5307" s="62"/>
    </row>
    <row r="5308" spans="1:16" x14ac:dyDescent="0.3">
      <c r="A5308" s="3">
        <f t="shared" si="629"/>
        <v>45818</v>
      </c>
      <c r="B5308" s="11" t="s">
        <v>8413</v>
      </c>
      <c r="C5308" s="50" t="s">
        <v>8414</v>
      </c>
      <c r="E5308" s="90" t="s">
        <v>4720</v>
      </c>
      <c r="G5308" s="2">
        <v>2500</v>
      </c>
      <c r="I5308" s="88">
        <f t="shared" si="630"/>
        <v>24062.36</v>
      </c>
      <c r="K5308" s="62"/>
      <c r="L5308" s="2">
        <f t="shared" si="631"/>
        <v>10</v>
      </c>
      <c r="M5308">
        <f t="shared" si="632"/>
        <v>0</v>
      </c>
      <c r="O5308" s="62"/>
      <c r="P5308" s="62"/>
    </row>
    <row r="5309" spans="1:16" x14ac:dyDescent="0.3">
      <c r="A5309" s="3">
        <f t="shared" si="629"/>
        <v>45818</v>
      </c>
      <c r="B5309" s="11" t="s">
        <v>5908</v>
      </c>
      <c r="C5309" s="50" t="s">
        <v>5909</v>
      </c>
      <c r="E5309" s="90" t="s">
        <v>4720</v>
      </c>
      <c r="G5309" s="2">
        <v>3500</v>
      </c>
      <c r="I5309" s="88">
        <f t="shared" si="630"/>
        <v>27562.36</v>
      </c>
      <c r="K5309" s="62"/>
      <c r="L5309" s="2">
        <f t="shared" si="631"/>
        <v>14</v>
      </c>
      <c r="M5309">
        <f t="shared" si="632"/>
        <v>0</v>
      </c>
      <c r="O5309" s="62"/>
      <c r="P5309" s="62"/>
    </row>
    <row r="5310" spans="1:16" x14ac:dyDescent="0.3">
      <c r="A5310" s="3">
        <v>45819</v>
      </c>
      <c r="B5310" s="11" t="s">
        <v>8416</v>
      </c>
      <c r="C5310" s="65" t="s">
        <v>8417</v>
      </c>
      <c r="E5310" s="90" t="s">
        <v>16</v>
      </c>
      <c r="H5310" s="2">
        <v>500</v>
      </c>
      <c r="I5310" s="88">
        <f t="shared" si="630"/>
        <v>27062.36</v>
      </c>
      <c r="K5310" s="62"/>
      <c r="L5310" s="2">
        <f t="shared" si="631"/>
        <v>17</v>
      </c>
      <c r="M5310">
        <f t="shared" si="632"/>
        <v>0</v>
      </c>
      <c r="O5310" s="62"/>
      <c r="P5310" s="62"/>
    </row>
    <row r="5311" spans="1:16" x14ac:dyDescent="0.3">
      <c r="A5311" s="3">
        <f t="shared" si="629"/>
        <v>45819</v>
      </c>
      <c r="B5311" s="11" t="s">
        <v>2942</v>
      </c>
      <c r="C5311" s="50" t="s">
        <v>8420</v>
      </c>
      <c r="E5311" s="90" t="s">
        <v>4720</v>
      </c>
      <c r="G5311" s="2">
        <v>5000</v>
      </c>
      <c r="I5311" s="88">
        <f t="shared" si="630"/>
        <v>32062.36</v>
      </c>
      <c r="K5311" s="62"/>
      <c r="L5311" s="2">
        <f t="shared" si="631"/>
        <v>20</v>
      </c>
      <c r="M5311">
        <f t="shared" si="632"/>
        <v>0</v>
      </c>
      <c r="O5311" s="62"/>
      <c r="P5311" s="62"/>
    </row>
    <row r="5312" spans="1:16" x14ac:dyDescent="0.3">
      <c r="A5312" s="3">
        <f t="shared" si="629"/>
        <v>45819</v>
      </c>
      <c r="B5312" s="11" t="s">
        <v>2581</v>
      </c>
      <c r="C5312" s="50" t="s">
        <v>8421</v>
      </c>
      <c r="E5312" s="90" t="s">
        <v>2088</v>
      </c>
      <c r="G5312" s="2">
        <v>1000</v>
      </c>
      <c r="I5312" s="88">
        <f t="shared" si="630"/>
        <v>33062.36</v>
      </c>
      <c r="K5312" s="62"/>
      <c r="L5312" s="2">
        <f t="shared" si="631"/>
        <v>9</v>
      </c>
      <c r="M5312">
        <f t="shared" si="632"/>
        <v>5</v>
      </c>
      <c r="O5312" s="62"/>
      <c r="P5312" s="62"/>
    </row>
    <row r="5313" spans="1:16" x14ac:dyDescent="0.3">
      <c r="A5313" s="3">
        <f t="shared" si="629"/>
        <v>45819</v>
      </c>
      <c r="C5313" s="50" t="s">
        <v>2857</v>
      </c>
      <c r="E5313" s="90" t="s">
        <v>8332</v>
      </c>
      <c r="H5313" s="2">
        <v>25000</v>
      </c>
      <c r="I5313" s="88">
        <f t="shared" si="630"/>
        <v>8062.3600000000006</v>
      </c>
      <c r="K5313" s="62"/>
      <c r="L5313" s="2">
        <f t="shared" si="631"/>
        <v>0</v>
      </c>
      <c r="M5313">
        <f t="shared" si="632"/>
        <v>0</v>
      </c>
      <c r="O5313" s="62"/>
      <c r="P5313" s="62"/>
    </row>
    <row r="5314" spans="1:16" x14ac:dyDescent="0.3">
      <c r="A5314" s="3">
        <f t="shared" si="629"/>
        <v>45819</v>
      </c>
      <c r="B5314" s="11" t="s">
        <v>4652</v>
      </c>
      <c r="C5314" s="50" t="s">
        <v>4658</v>
      </c>
      <c r="E5314" s="90" t="s">
        <v>4720</v>
      </c>
      <c r="H5314" s="2">
        <v>5000</v>
      </c>
      <c r="I5314" s="88">
        <f t="shared" si="630"/>
        <v>3062.3600000000006</v>
      </c>
      <c r="K5314" s="62"/>
      <c r="L5314" s="2">
        <f t="shared" si="631"/>
        <v>20</v>
      </c>
      <c r="M5314">
        <f t="shared" si="632"/>
        <v>0</v>
      </c>
      <c r="O5314" s="62"/>
      <c r="P5314" s="62"/>
    </row>
    <row r="5315" spans="1:16" x14ac:dyDescent="0.3">
      <c r="A5315" s="3">
        <f t="shared" si="629"/>
        <v>45819</v>
      </c>
      <c r="B5315" s="11" t="s">
        <v>8424</v>
      </c>
      <c r="C5315" s="50" t="s">
        <v>2348</v>
      </c>
      <c r="E5315" s="90" t="s">
        <v>4720</v>
      </c>
      <c r="G5315" s="2">
        <v>3000</v>
      </c>
      <c r="I5315" s="88">
        <f t="shared" si="630"/>
        <v>6062.3600000000006</v>
      </c>
      <c r="K5315" s="62"/>
      <c r="L5315" s="2">
        <f t="shared" si="631"/>
        <v>12</v>
      </c>
      <c r="M5315">
        <f t="shared" si="632"/>
        <v>0</v>
      </c>
      <c r="O5315" s="62"/>
      <c r="P5315" s="62"/>
    </row>
    <row r="5316" spans="1:16" x14ac:dyDescent="0.3">
      <c r="A5316" s="3">
        <f t="shared" si="629"/>
        <v>45819</v>
      </c>
      <c r="B5316" s="11" t="s">
        <v>7547</v>
      </c>
      <c r="C5316" s="50" t="s">
        <v>6685</v>
      </c>
      <c r="E5316" s="90" t="s">
        <v>4720</v>
      </c>
      <c r="G5316" s="2">
        <v>1000</v>
      </c>
      <c r="I5316" s="88">
        <f t="shared" si="630"/>
        <v>7062.3600000000006</v>
      </c>
      <c r="K5316" s="62"/>
      <c r="L5316" s="2">
        <f t="shared" si="631"/>
        <v>4</v>
      </c>
      <c r="M5316">
        <f t="shared" si="632"/>
        <v>0</v>
      </c>
      <c r="O5316" s="62"/>
      <c r="P5316" s="62"/>
    </row>
    <row r="5317" spans="1:16" x14ac:dyDescent="0.3">
      <c r="A5317" s="3">
        <f t="shared" si="629"/>
        <v>45819</v>
      </c>
      <c r="B5317" s="11" t="s">
        <v>5312</v>
      </c>
      <c r="C5317" s="50" t="s">
        <v>8425</v>
      </c>
      <c r="E5317" s="90" t="s">
        <v>4720</v>
      </c>
      <c r="G5317" s="2">
        <v>4000</v>
      </c>
      <c r="I5317" s="88">
        <f t="shared" si="630"/>
        <v>11062.36</v>
      </c>
      <c r="K5317" s="62"/>
      <c r="L5317" s="2">
        <f t="shared" si="631"/>
        <v>16</v>
      </c>
      <c r="M5317">
        <f t="shared" si="632"/>
        <v>0</v>
      </c>
      <c r="O5317" s="62"/>
      <c r="P5317" s="62"/>
    </row>
    <row r="5318" spans="1:16" x14ac:dyDescent="0.3">
      <c r="A5318" s="3">
        <f t="shared" si="629"/>
        <v>45819</v>
      </c>
      <c r="B5318" s="11" t="s">
        <v>1472</v>
      </c>
      <c r="C5318" s="50" t="s">
        <v>8082</v>
      </c>
      <c r="E5318" s="90" t="s">
        <v>4720</v>
      </c>
      <c r="G5318" s="2">
        <v>2000</v>
      </c>
      <c r="I5318" s="88">
        <f t="shared" si="630"/>
        <v>13062.36</v>
      </c>
      <c r="K5318" s="62"/>
      <c r="L5318" s="2">
        <f t="shared" si="631"/>
        <v>8</v>
      </c>
      <c r="M5318">
        <f t="shared" si="632"/>
        <v>0</v>
      </c>
      <c r="O5318" s="62"/>
      <c r="P5318" s="62"/>
    </row>
    <row r="5319" spans="1:16" x14ac:dyDescent="0.3">
      <c r="A5319" s="3">
        <f t="shared" si="629"/>
        <v>45819</v>
      </c>
      <c r="B5319" s="11" t="s">
        <v>1472</v>
      </c>
      <c r="C5319" s="50" t="s">
        <v>8135</v>
      </c>
      <c r="E5319" s="90" t="s">
        <v>4720</v>
      </c>
      <c r="G5319" s="2">
        <v>2000</v>
      </c>
      <c r="I5319" s="88">
        <f t="shared" ref="I5319:I5335" si="633">I5318+G5319-H5319</f>
        <v>15062.36</v>
      </c>
      <c r="K5319" s="62"/>
      <c r="L5319" s="2">
        <f t="shared" ref="L5319:L5335" si="634">IF(E5319="C",0,IF((G5319+H5319)&lt;=5000,(G5319+H5319)*0.004,20)+IF(E5319="P",5,IF(E5319="Y",15,IF(E5319="YY",25))))</f>
        <v>8</v>
      </c>
      <c r="M5319">
        <f t="shared" ref="M5319:M5335" si="635">IF(E5319="p",5,0)</f>
        <v>0</v>
      </c>
      <c r="O5319" s="62"/>
      <c r="P5319" s="62"/>
    </row>
    <row r="5320" spans="1:16" x14ac:dyDescent="0.3">
      <c r="A5320" s="3">
        <f t="shared" si="629"/>
        <v>45819</v>
      </c>
      <c r="B5320" s="11" t="s">
        <v>5318</v>
      </c>
      <c r="C5320" s="50" t="s">
        <v>8426</v>
      </c>
      <c r="E5320" s="90" t="s">
        <v>7772</v>
      </c>
      <c r="G5320" s="2">
        <v>0</v>
      </c>
      <c r="H5320" s="2">
        <v>0</v>
      </c>
      <c r="I5320" s="88">
        <f t="shared" si="633"/>
        <v>15062.36</v>
      </c>
      <c r="K5320" s="62"/>
      <c r="L5320" s="2">
        <f t="shared" si="634"/>
        <v>5</v>
      </c>
      <c r="M5320">
        <f t="shared" si="635"/>
        <v>5</v>
      </c>
      <c r="O5320" s="62"/>
      <c r="P5320" s="62"/>
    </row>
    <row r="5321" spans="1:16" x14ac:dyDescent="0.3">
      <c r="A5321" s="3">
        <v>45820</v>
      </c>
      <c r="B5321" s="11" t="s">
        <v>6844</v>
      </c>
      <c r="C5321" s="50" t="s">
        <v>7588</v>
      </c>
      <c r="E5321" s="90" t="s">
        <v>4720</v>
      </c>
      <c r="H5321" s="2">
        <v>3500</v>
      </c>
      <c r="I5321" s="88">
        <f t="shared" si="633"/>
        <v>11562.36</v>
      </c>
      <c r="K5321" s="62"/>
      <c r="L5321" s="2">
        <f t="shared" si="634"/>
        <v>14</v>
      </c>
      <c r="M5321">
        <f t="shared" si="635"/>
        <v>0</v>
      </c>
      <c r="O5321" s="62"/>
      <c r="P5321" s="62"/>
    </row>
    <row r="5322" spans="1:16" x14ac:dyDescent="0.3">
      <c r="A5322" s="3">
        <f t="shared" si="629"/>
        <v>45820</v>
      </c>
      <c r="B5322" s="11" t="s">
        <v>4506</v>
      </c>
      <c r="C5322" s="50" t="s">
        <v>3598</v>
      </c>
      <c r="E5322" s="90" t="s">
        <v>2088</v>
      </c>
      <c r="G5322" s="2">
        <v>100</v>
      </c>
      <c r="I5322" s="88">
        <f t="shared" si="633"/>
        <v>11662.36</v>
      </c>
      <c r="K5322" s="62"/>
      <c r="L5322" s="2">
        <f t="shared" si="634"/>
        <v>5.4</v>
      </c>
      <c r="M5322">
        <f t="shared" si="635"/>
        <v>5</v>
      </c>
      <c r="O5322" s="62"/>
      <c r="P5322" s="62"/>
    </row>
    <row r="5323" spans="1:16" x14ac:dyDescent="0.3">
      <c r="A5323" s="3">
        <f t="shared" si="629"/>
        <v>45820</v>
      </c>
      <c r="B5323" s="11" t="s">
        <v>1160</v>
      </c>
      <c r="C5323" s="50" t="s">
        <v>3896</v>
      </c>
      <c r="E5323" s="90" t="s">
        <v>4720</v>
      </c>
      <c r="G5323" s="2">
        <v>2050</v>
      </c>
      <c r="I5323" s="88">
        <f t="shared" si="633"/>
        <v>13712.36</v>
      </c>
      <c r="K5323" s="62"/>
      <c r="L5323" s="2">
        <f t="shared" si="634"/>
        <v>8.1999999999999993</v>
      </c>
      <c r="M5323">
        <f t="shared" si="635"/>
        <v>0</v>
      </c>
      <c r="O5323" s="62"/>
      <c r="P5323" s="62"/>
    </row>
    <row r="5324" spans="1:16" x14ac:dyDescent="0.3">
      <c r="A5324" s="3">
        <f t="shared" si="629"/>
        <v>45820</v>
      </c>
      <c r="B5324" s="11" t="s">
        <v>7279</v>
      </c>
      <c r="C5324" s="50" t="s">
        <v>8427</v>
      </c>
      <c r="E5324" s="90" t="s">
        <v>2088</v>
      </c>
      <c r="G5324" s="2">
        <v>5000</v>
      </c>
      <c r="I5324" s="88">
        <f t="shared" si="633"/>
        <v>18712.36</v>
      </c>
      <c r="K5324" s="62"/>
      <c r="L5324" s="2">
        <f t="shared" si="634"/>
        <v>25</v>
      </c>
      <c r="M5324">
        <f t="shared" si="635"/>
        <v>5</v>
      </c>
      <c r="O5324" s="62"/>
      <c r="P5324" s="62"/>
    </row>
    <row r="5325" spans="1:16" x14ac:dyDescent="0.3">
      <c r="A5325" s="3">
        <f t="shared" si="629"/>
        <v>45820</v>
      </c>
      <c r="B5325" s="11" t="s">
        <v>1250</v>
      </c>
      <c r="C5325" s="50" t="s">
        <v>4437</v>
      </c>
      <c r="E5325" s="90" t="s">
        <v>4720</v>
      </c>
      <c r="G5325" s="2">
        <v>2000</v>
      </c>
      <c r="I5325" s="88">
        <f t="shared" si="633"/>
        <v>20712.36</v>
      </c>
      <c r="K5325" s="62"/>
      <c r="L5325" s="2">
        <f t="shared" si="634"/>
        <v>8</v>
      </c>
      <c r="M5325">
        <f t="shared" si="635"/>
        <v>0</v>
      </c>
      <c r="O5325" s="62"/>
      <c r="P5325" s="62"/>
    </row>
    <row r="5326" spans="1:16" x14ac:dyDescent="0.3">
      <c r="A5326" s="3">
        <f t="shared" si="629"/>
        <v>45820</v>
      </c>
      <c r="B5326" s="11" t="s">
        <v>1250</v>
      </c>
      <c r="C5326" s="50" t="s">
        <v>8428</v>
      </c>
      <c r="E5326" s="90" t="s">
        <v>4720</v>
      </c>
      <c r="G5326" s="2">
        <v>3000</v>
      </c>
      <c r="I5326" s="88">
        <f t="shared" si="633"/>
        <v>23712.36</v>
      </c>
      <c r="K5326" s="62"/>
      <c r="L5326" s="2">
        <f t="shared" si="634"/>
        <v>12</v>
      </c>
      <c r="M5326">
        <f t="shared" si="635"/>
        <v>0</v>
      </c>
      <c r="O5326" s="62"/>
      <c r="P5326" s="62"/>
    </row>
    <row r="5327" spans="1:16" x14ac:dyDescent="0.3">
      <c r="A5327" s="3">
        <f t="shared" si="629"/>
        <v>45820</v>
      </c>
      <c r="B5327" s="11" t="s">
        <v>8429</v>
      </c>
      <c r="C5327" s="50" t="s">
        <v>8430</v>
      </c>
      <c r="E5327" s="90" t="s">
        <v>2088</v>
      </c>
      <c r="H5327" s="2">
        <v>500</v>
      </c>
      <c r="I5327" s="88">
        <f t="shared" si="633"/>
        <v>23212.36</v>
      </c>
      <c r="K5327" s="62"/>
      <c r="L5327" s="2">
        <f t="shared" si="634"/>
        <v>7</v>
      </c>
      <c r="M5327">
        <f t="shared" si="635"/>
        <v>5</v>
      </c>
      <c r="O5327" s="62"/>
      <c r="P5327" s="62"/>
    </row>
    <row r="5328" spans="1:16" x14ac:dyDescent="0.3">
      <c r="A5328" s="3">
        <f t="shared" si="629"/>
        <v>45820</v>
      </c>
      <c r="B5328" s="11" t="s">
        <v>7852</v>
      </c>
      <c r="C5328" s="50" t="s">
        <v>8435</v>
      </c>
      <c r="E5328" s="90" t="s">
        <v>4720</v>
      </c>
      <c r="G5328" s="2">
        <v>2500</v>
      </c>
      <c r="I5328" s="88">
        <f t="shared" si="633"/>
        <v>25712.36</v>
      </c>
      <c r="K5328" s="62"/>
      <c r="L5328" s="2">
        <f t="shared" si="634"/>
        <v>10</v>
      </c>
      <c r="M5328">
        <f t="shared" si="635"/>
        <v>0</v>
      </c>
      <c r="O5328" s="62"/>
      <c r="P5328" s="62"/>
    </row>
    <row r="5329" spans="1:16" x14ac:dyDescent="0.3">
      <c r="A5329" s="3">
        <f t="shared" si="629"/>
        <v>45820</v>
      </c>
      <c r="B5329" s="11" t="s">
        <v>8436</v>
      </c>
      <c r="C5329" s="50" t="s">
        <v>6985</v>
      </c>
      <c r="E5329" s="90" t="s">
        <v>4720</v>
      </c>
      <c r="H5329" s="2">
        <v>4000</v>
      </c>
      <c r="I5329" s="88">
        <f t="shared" si="633"/>
        <v>21712.36</v>
      </c>
      <c r="K5329" s="62"/>
      <c r="L5329" s="2">
        <f t="shared" si="634"/>
        <v>16</v>
      </c>
      <c r="M5329">
        <f t="shared" si="635"/>
        <v>0</v>
      </c>
      <c r="O5329" s="62"/>
      <c r="P5329" s="62"/>
    </row>
    <row r="5330" spans="1:16" x14ac:dyDescent="0.3">
      <c r="A5330" s="3">
        <f t="shared" si="629"/>
        <v>45820</v>
      </c>
      <c r="B5330" s="11" t="s">
        <v>1160</v>
      </c>
      <c r="C5330" s="50" t="s">
        <v>4662</v>
      </c>
      <c r="E5330" s="90" t="s">
        <v>4720</v>
      </c>
      <c r="G5330" s="2">
        <v>4000</v>
      </c>
      <c r="I5330" s="88">
        <f t="shared" si="633"/>
        <v>25712.36</v>
      </c>
      <c r="K5330" s="62"/>
      <c r="L5330" s="2">
        <f t="shared" si="634"/>
        <v>16</v>
      </c>
      <c r="M5330">
        <f t="shared" si="635"/>
        <v>0</v>
      </c>
      <c r="O5330" s="62"/>
      <c r="P5330" s="62"/>
    </row>
    <row r="5331" spans="1:16" x14ac:dyDescent="0.3">
      <c r="A5331" s="3">
        <f t="shared" si="629"/>
        <v>45820</v>
      </c>
      <c r="B5331" s="11" t="s">
        <v>1250</v>
      </c>
      <c r="C5331" s="50" t="s">
        <v>6424</v>
      </c>
      <c r="E5331" s="90" t="s">
        <v>2088</v>
      </c>
      <c r="G5331" s="2">
        <v>2000</v>
      </c>
      <c r="I5331" s="88">
        <f t="shared" si="633"/>
        <v>27712.36</v>
      </c>
      <c r="K5331" s="62"/>
      <c r="L5331" s="2">
        <f t="shared" si="634"/>
        <v>13</v>
      </c>
      <c r="M5331">
        <f t="shared" si="635"/>
        <v>5</v>
      </c>
      <c r="O5331" s="62"/>
      <c r="P5331" s="62"/>
    </row>
    <row r="5332" spans="1:16" x14ac:dyDescent="0.3">
      <c r="A5332" s="3">
        <f t="shared" si="629"/>
        <v>45820</v>
      </c>
      <c r="B5332" s="11" t="s">
        <v>1250</v>
      </c>
      <c r="C5332" s="50" t="s">
        <v>2443</v>
      </c>
      <c r="E5332" s="90" t="s">
        <v>4720</v>
      </c>
      <c r="G5332" s="2">
        <v>1000</v>
      </c>
      <c r="I5332" s="88">
        <f t="shared" si="633"/>
        <v>28712.36</v>
      </c>
      <c r="K5332" s="62"/>
      <c r="L5332" s="2">
        <f t="shared" si="634"/>
        <v>4</v>
      </c>
      <c r="M5332">
        <f t="shared" si="635"/>
        <v>0</v>
      </c>
      <c r="O5332" s="62"/>
      <c r="P5332" s="62"/>
    </row>
    <row r="5333" spans="1:16" x14ac:dyDescent="0.3">
      <c r="A5333" s="3">
        <v>45821</v>
      </c>
      <c r="B5333" s="11" t="s">
        <v>8416</v>
      </c>
      <c r="C5333" s="50" t="s">
        <v>8417</v>
      </c>
      <c r="E5333" s="90" t="s">
        <v>2088</v>
      </c>
      <c r="G5333" s="2">
        <v>0</v>
      </c>
      <c r="H5333" s="2">
        <v>0</v>
      </c>
      <c r="I5333" s="88">
        <f t="shared" si="633"/>
        <v>28712.36</v>
      </c>
      <c r="K5333" s="62"/>
      <c r="L5333" s="2">
        <f t="shared" si="634"/>
        <v>5</v>
      </c>
      <c r="M5333">
        <f t="shared" si="635"/>
        <v>5</v>
      </c>
      <c r="O5333" s="62"/>
      <c r="P5333" s="62"/>
    </row>
    <row r="5334" spans="1:16" x14ac:dyDescent="0.3">
      <c r="A5334" s="3">
        <f t="shared" si="629"/>
        <v>45821</v>
      </c>
      <c r="B5334" s="11" t="s">
        <v>6522</v>
      </c>
      <c r="C5334" s="50" t="s">
        <v>4335</v>
      </c>
      <c r="E5334" s="90" t="s">
        <v>4720</v>
      </c>
      <c r="G5334" s="2">
        <v>2000</v>
      </c>
      <c r="I5334" s="88">
        <f t="shared" si="633"/>
        <v>30712.36</v>
      </c>
      <c r="K5334" s="62"/>
      <c r="L5334" s="2">
        <f t="shared" si="634"/>
        <v>8</v>
      </c>
      <c r="M5334">
        <f t="shared" si="635"/>
        <v>0</v>
      </c>
      <c r="O5334" s="62"/>
      <c r="P5334" s="62"/>
    </row>
    <row r="5335" spans="1:16" x14ac:dyDescent="0.3">
      <c r="A5335" s="3">
        <f t="shared" si="629"/>
        <v>45821</v>
      </c>
      <c r="B5335" s="11" t="s">
        <v>6726</v>
      </c>
      <c r="C5335" s="50" t="s">
        <v>267</v>
      </c>
      <c r="E5335" s="90" t="s">
        <v>2088</v>
      </c>
      <c r="G5335" s="2">
        <v>2500</v>
      </c>
      <c r="I5335" s="88">
        <f t="shared" si="633"/>
        <v>33212.36</v>
      </c>
      <c r="K5335" s="62"/>
      <c r="L5335" s="2">
        <f t="shared" si="634"/>
        <v>15</v>
      </c>
      <c r="M5335">
        <f t="shared" si="635"/>
        <v>5</v>
      </c>
      <c r="O5335" s="62"/>
      <c r="P5335" s="62"/>
    </row>
    <row r="5336" spans="1:16" x14ac:dyDescent="0.3">
      <c r="A5336" s="3">
        <f t="shared" si="629"/>
        <v>45821</v>
      </c>
      <c r="B5336" s="11" t="s">
        <v>8049</v>
      </c>
      <c r="C5336" s="50" t="s">
        <v>8050</v>
      </c>
      <c r="E5336" s="90" t="s">
        <v>4720</v>
      </c>
      <c r="G5336" s="2">
        <v>3000</v>
      </c>
      <c r="I5336" s="88">
        <f t="shared" ref="I5336:I5344" si="636">I5335+G5336-H5336</f>
        <v>36212.36</v>
      </c>
      <c r="K5336" s="62"/>
      <c r="L5336" s="2">
        <f t="shared" ref="L5336:L5344" si="637">IF(E5336="C",0,IF((G5336+H5336)&lt;=5000,(G5336+H5336)*0.004,20)+IF(E5336="P",5,IF(E5336="Y",15,IF(E5336="YY",25))))</f>
        <v>12</v>
      </c>
      <c r="M5336">
        <f t="shared" ref="M5336:M5344" si="638">IF(E5336="p",5,0)</f>
        <v>0</v>
      </c>
      <c r="O5336" s="62"/>
      <c r="P5336" s="62"/>
    </row>
    <row r="5337" spans="1:16" x14ac:dyDescent="0.3">
      <c r="A5337" s="3">
        <f t="shared" si="629"/>
        <v>45821</v>
      </c>
      <c r="B5337" s="11" t="s">
        <v>8438</v>
      </c>
      <c r="C5337" s="50" t="s">
        <v>7838</v>
      </c>
      <c r="E5337" s="90" t="s">
        <v>2088</v>
      </c>
      <c r="G5337" s="2">
        <v>0</v>
      </c>
      <c r="I5337" s="88">
        <f t="shared" si="636"/>
        <v>36212.36</v>
      </c>
      <c r="K5337" s="62"/>
      <c r="L5337" s="2">
        <f t="shared" si="637"/>
        <v>5</v>
      </c>
      <c r="M5337">
        <f t="shared" si="638"/>
        <v>5</v>
      </c>
      <c r="O5337" s="62"/>
      <c r="P5337" s="62"/>
    </row>
    <row r="5338" spans="1:16" x14ac:dyDescent="0.3">
      <c r="A5338" s="3">
        <f t="shared" si="629"/>
        <v>45821</v>
      </c>
      <c r="B5338" s="11" t="s">
        <v>7547</v>
      </c>
      <c r="C5338" s="50" t="s">
        <v>6685</v>
      </c>
      <c r="E5338" s="90" t="s">
        <v>4720</v>
      </c>
      <c r="G5338" s="2">
        <v>2300</v>
      </c>
      <c r="I5338" s="88">
        <f t="shared" si="636"/>
        <v>38512.36</v>
      </c>
      <c r="K5338" s="62"/>
      <c r="L5338" s="2">
        <f t="shared" si="637"/>
        <v>9.2000000000000011</v>
      </c>
      <c r="M5338">
        <f t="shared" si="638"/>
        <v>0</v>
      </c>
      <c r="O5338" s="62"/>
      <c r="P5338" s="62"/>
    </row>
    <row r="5339" spans="1:16" x14ac:dyDescent="0.3">
      <c r="A5339" s="3">
        <f t="shared" si="629"/>
        <v>45821</v>
      </c>
      <c r="C5339" s="50" t="s">
        <v>2857</v>
      </c>
      <c r="E5339" s="90" t="s">
        <v>8332</v>
      </c>
      <c r="H5339" s="2">
        <v>30000</v>
      </c>
      <c r="I5339" s="88">
        <f t="shared" si="636"/>
        <v>8512.36</v>
      </c>
      <c r="K5339" s="62"/>
      <c r="L5339" s="2">
        <f t="shared" si="637"/>
        <v>0</v>
      </c>
      <c r="M5339">
        <f t="shared" si="638"/>
        <v>0</v>
      </c>
      <c r="O5339" s="62"/>
      <c r="P5339" s="62"/>
    </row>
    <row r="5340" spans="1:16" x14ac:dyDescent="0.3">
      <c r="A5340" s="3">
        <f t="shared" si="629"/>
        <v>45821</v>
      </c>
      <c r="B5340" s="11" t="s">
        <v>3232</v>
      </c>
      <c r="C5340" s="50" t="s">
        <v>8440</v>
      </c>
      <c r="E5340" s="90" t="s">
        <v>4720</v>
      </c>
      <c r="G5340" s="2">
        <v>2500</v>
      </c>
      <c r="I5340" s="88">
        <f t="shared" si="636"/>
        <v>11012.36</v>
      </c>
      <c r="K5340" s="62"/>
      <c r="L5340" s="2">
        <f t="shared" si="637"/>
        <v>10</v>
      </c>
      <c r="M5340">
        <f t="shared" si="638"/>
        <v>0</v>
      </c>
      <c r="O5340" s="62"/>
      <c r="P5340" s="62"/>
    </row>
    <row r="5341" spans="1:16" x14ac:dyDescent="0.3">
      <c r="A5341" s="3">
        <f t="shared" si="629"/>
        <v>45821</v>
      </c>
      <c r="B5341" s="11" t="s">
        <v>7669</v>
      </c>
      <c r="C5341" s="50" t="s">
        <v>6581</v>
      </c>
      <c r="E5341" s="90" t="s">
        <v>4720</v>
      </c>
      <c r="G5341" s="2">
        <v>3000</v>
      </c>
      <c r="I5341" s="88">
        <f t="shared" si="636"/>
        <v>14012.36</v>
      </c>
      <c r="K5341" s="62"/>
      <c r="L5341" s="2">
        <f t="shared" si="637"/>
        <v>12</v>
      </c>
      <c r="M5341">
        <f t="shared" si="638"/>
        <v>0</v>
      </c>
      <c r="O5341" s="62"/>
      <c r="P5341" s="62"/>
    </row>
    <row r="5342" spans="1:16" x14ac:dyDescent="0.3">
      <c r="A5342" s="3">
        <f t="shared" si="629"/>
        <v>45821</v>
      </c>
      <c r="B5342" s="11" t="s">
        <v>7798</v>
      </c>
      <c r="C5342" s="50" t="s">
        <v>8441</v>
      </c>
      <c r="E5342" s="90" t="s">
        <v>4720</v>
      </c>
      <c r="G5342" s="2">
        <v>2500</v>
      </c>
      <c r="I5342" s="88">
        <f t="shared" si="636"/>
        <v>16512.36</v>
      </c>
      <c r="K5342" s="62"/>
      <c r="L5342" s="2">
        <f t="shared" si="637"/>
        <v>10</v>
      </c>
      <c r="M5342">
        <f t="shared" si="638"/>
        <v>0</v>
      </c>
      <c r="O5342" s="62"/>
      <c r="P5342" s="62"/>
    </row>
    <row r="5343" spans="1:16" x14ac:dyDescent="0.3">
      <c r="A5343" s="3">
        <f t="shared" si="629"/>
        <v>45821</v>
      </c>
      <c r="B5343" s="11" t="s">
        <v>2241</v>
      </c>
      <c r="C5343" s="50" t="s">
        <v>8442</v>
      </c>
      <c r="E5343" s="90" t="s">
        <v>4720</v>
      </c>
      <c r="G5343" s="2">
        <v>1500</v>
      </c>
      <c r="I5343" s="88">
        <f t="shared" si="636"/>
        <v>18012.36</v>
      </c>
      <c r="K5343" s="62"/>
      <c r="L5343" s="2">
        <f t="shared" si="637"/>
        <v>6</v>
      </c>
      <c r="M5343">
        <f t="shared" si="638"/>
        <v>0</v>
      </c>
      <c r="O5343" s="62"/>
      <c r="P5343" s="62"/>
    </row>
    <row r="5344" spans="1:16" x14ac:dyDescent="0.3">
      <c r="A5344" s="3">
        <f t="shared" si="629"/>
        <v>45821</v>
      </c>
      <c r="B5344" s="11" t="s">
        <v>1250</v>
      </c>
      <c r="C5344" s="50" t="s">
        <v>6985</v>
      </c>
      <c r="E5344" s="90" t="s">
        <v>4720</v>
      </c>
      <c r="G5344" s="2">
        <v>2000</v>
      </c>
      <c r="I5344" s="88">
        <f t="shared" si="636"/>
        <v>20012.36</v>
      </c>
      <c r="K5344" s="62"/>
      <c r="L5344" s="2">
        <f t="shared" si="637"/>
        <v>8</v>
      </c>
      <c r="M5344">
        <f t="shared" si="638"/>
        <v>0</v>
      </c>
      <c r="O5344" s="62"/>
      <c r="P5344" s="62"/>
    </row>
    <row r="5345" spans="1:16" x14ac:dyDescent="0.3">
      <c r="A5345" s="3">
        <f t="shared" si="629"/>
        <v>45821</v>
      </c>
      <c r="B5345" s="11" t="s">
        <v>8443</v>
      </c>
      <c r="E5345" s="90" t="s">
        <v>8364</v>
      </c>
      <c r="H5345" s="2">
        <v>2000</v>
      </c>
      <c r="I5345" s="88">
        <f t="shared" ref="I5345:I5350" si="639">I5344+G5345-H5345</f>
        <v>18012.36</v>
      </c>
      <c r="K5345" s="62"/>
      <c r="L5345" s="2">
        <f t="shared" ref="L5345:L5350" si="640">IF(E5345="C",0,IF((G5345+H5345)&lt;=5000,(G5345+H5345)*0.004,20)+IF(E5345="P",5,IF(E5345="Y",15,IF(E5345="YY",25))))</f>
        <v>33</v>
      </c>
      <c r="M5345">
        <f t="shared" ref="M5345:M5350" si="641">IF(E5345="p",5,0)</f>
        <v>0</v>
      </c>
      <c r="O5345" s="62"/>
      <c r="P5345" s="62"/>
    </row>
    <row r="5346" spans="1:16" x14ac:dyDescent="0.3">
      <c r="A5346" s="3">
        <v>45822</v>
      </c>
      <c r="B5346" s="11" t="s">
        <v>1250</v>
      </c>
      <c r="C5346" s="50" t="s">
        <v>2443</v>
      </c>
      <c r="E5346" s="90" t="s">
        <v>4720</v>
      </c>
      <c r="I5346" s="88">
        <f t="shared" si="639"/>
        <v>18012.36</v>
      </c>
      <c r="K5346" s="62"/>
      <c r="L5346" s="2">
        <f t="shared" si="640"/>
        <v>0</v>
      </c>
      <c r="M5346">
        <f t="shared" si="641"/>
        <v>0</v>
      </c>
      <c r="O5346" s="62"/>
      <c r="P5346" s="62"/>
    </row>
    <row r="5347" spans="1:16" x14ac:dyDescent="0.3">
      <c r="A5347" s="3">
        <f t="shared" si="629"/>
        <v>45822</v>
      </c>
      <c r="B5347" s="11" t="s">
        <v>1250</v>
      </c>
      <c r="C5347" s="50" t="s">
        <v>2443</v>
      </c>
      <c r="E5347" s="90" t="s">
        <v>4720</v>
      </c>
      <c r="G5347" s="2">
        <v>1650</v>
      </c>
      <c r="I5347" s="88">
        <f t="shared" si="639"/>
        <v>19662.36</v>
      </c>
      <c r="K5347" s="62"/>
      <c r="L5347" s="2">
        <f t="shared" si="640"/>
        <v>6.6000000000000005</v>
      </c>
      <c r="M5347">
        <f t="shared" si="641"/>
        <v>0</v>
      </c>
      <c r="O5347" s="62"/>
      <c r="P5347" s="62"/>
    </row>
    <row r="5348" spans="1:16" x14ac:dyDescent="0.3">
      <c r="A5348" s="3">
        <f t="shared" si="629"/>
        <v>45822</v>
      </c>
      <c r="B5348" s="11" t="s">
        <v>1250</v>
      </c>
      <c r="C5348" s="50" t="s">
        <v>2884</v>
      </c>
      <c r="E5348" s="90" t="s">
        <v>4720</v>
      </c>
      <c r="G5348" s="2">
        <v>400</v>
      </c>
      <c r="I5348" s="88">
        <f t="shared" si="639"/>
        <v>20062.36</v>
      </c>
      <c r="K5348" s="62"/>
      <c r="L5348" s="2">
        <f t="shared" si="640"/>
        <v>1.6</v>
      </c>
      <c r="M5348">
        <f t="shared" si="641"/>
        <v>0</v>
      </c>
      <c r="O5348" s="62"/>
      <c r="P5348" s="62"/>
    </row>
    <row r="5349" spans="1:16" x14ac:dyDescent="0.3">
      <c r="A5349" s="3">
        <f t="shared" si="629"/>
        <v>45822</v>
      </c>
      <c r="B5349" s="11" t="s">
        <v>1250</v>
      </c>
      <c r="C5349" s="50" t="s">
        <v>3393</v>
      </c>
      <c r="E5349" s="90" t="s">
        <v>4720</v>
      </c>
      <c r="G5349" s="2">
        <v>400</v>
      </c>
      <c r="I5349" s="88">
        <f t="shared" si="639"/>
        <v>20462.36</v>
      </c>
      <c r="K5349" s="62"/>
      <c r="L5349" s="2">
        <f t="shared" si="640"/>
        <v>1.6</v>
      </c>
      <c r="M5349">
        <f t="shared" si="641"/>
        <v>0</v>
      </c>
      <c r="O5349" s="62"/>
      <c r="P5349" s="62"/>
    </row>
    <row r="5350" spans="1:16" x14ac:dyDescent="0.3">
      <c r="A5350" s="3">
        <f t="shared" si="629"/>
        <v>45822</v>
      </c>
      <c r="B5350" s="11" t="s">
        <v>4072</v>
      </c>
      <c r="C5350" s="50" t="s">
        <v>8444</v>
      </c>
      <c r="E5350" s="90" t="s">
        <v>4720</v>
      </c>
      <c r="G5350" s="2">
        <v>1500</v>
      </c>
      <c r="I5350" s="88">
        <f t="shared" si="639"/>
        <v>21962.36</v>
      </c>
      <c r="K5350" s="62"/>
      <c r="L5350" s="2">
        <f t="shared" si="640"/>
        <v>6</v>
      </c>
      <c r="M5350">
        <f t="shared" si="641"/>
        <v>0</v>
      </c>
      <c r="O5350" s="62"/>
      <c r="P5350" s="62"/>
    </row>
    <row r="5351" spans="1:16" x14ac:dyDescent="0.3">
      <c r="A5351" s="3">
        <f t="shared" si="629"/>
        <v>45822</v>
      </c>
      <c r="B5351" s="11" t="s">
        <v>1250</v>
      </c>
      <c r="H5351" s="2">
        <v>1000</v>
      </c>
      <c r="I5351" s="88">
        <f t="shared" ref="I5351:I5389" si="642">I5350+G5351-H5351</f>
        <v>20962.36</v>
      </c>
      <c r="K5351" s="62"/>
      <c r="L5351" s="2">
        <f t="shared" ref="L5351:L5365" si="643">IF(E5351="C",0,IF((G5351+H5351)&lt;=5000,(G5351+H5351)*0.004,20)+IF(E5351="P",5,IF(E5351="Y",15,IF(E5351="YY",25))))</f>
        <v>4</v>
      </c>
      <c r="M5351">
        <f t="shared" ref="M5351:M5365" si="644">IF(E5351="p",5,0)</f>
        <v>0</v>
      </c>
      <c r="O5351" s="62"/>
      <c r="P5351" s="62"/>
    </row>
    <row r="5352" spans="1:16" x14ac:dyDescent="0.3">
      <c r="A5352" s="3">
        <f>A5350</f>
        <v>45822</v>
      </c>
      <c r="B5352" s="11" t="s">
        <v>7804</v>
      </c>
      <c r="C5352" s="50" t="s">
        <v>7905</v>
      </c>
      <c r="E5352" s="90" t="s">
        <v>2088</v>
      </c>
      <c r="G5352" s="2">
        <v>2000</v>
      </c>
      <c r="I5352" s="88">
        <f t="shared" si="642"/>
        <v>22962.36</v>
      </c>
      <c r="K5352" s="62"/>
      <c r="L5352" s="2">
        <f t="shared" si="643"/>
        <v>13</v>
      </c>
      <c r="M5352">
        <f t="shared" si="644"/>
        <v>5</v>
      </c>
      <c r="O5352" s="62"/>
      <c r="P5352" s="62"/>
    </row>
    <row r="5353" spans="1:16" x14ac:dyDescent="0.3">
      <c r="A5353" s="3">
        <f t="shared" si="629"/>
        <v>45822</v>
      </c>
      <c r="B5353" s="11" t="s">
        <v>1250</v>
      </c>
      <c r="C5353" s="50" t="s">
        <v>8176</v>
      </c>
      <c r="E5353" s="90" t="s">
        <v>4720</v>
      </c>
      <c r="G5353" s="2">
        <v>5600</v>
      </c>
      <c r="I5353" s="88">
        <f t="shared" si="642"/>
        <v>28562.36</v>
      </c>
      <c r="K5353" s="62"/>
      <c r="L5353" s="2">
        <f t="shared" si="643"/>
        <v>20</v>
      </c>
      <c r="M5353">
        <f t="shared" si="644"/>
        <v>0</v>
      </c>
      <c r="O5353" s="62"/>
      <c r="P5353" s="62"/>
    </row>
    <row r="5354" spans="1:16" x14ac:dyDescent="0.3">
      <c r="A5354" s="3">
        <f t="shared" si="629"/>
        <v>45822</v>
      </c>
      <c r="B5354" s="11" t="s">
        <v>1250</v>
      </c>
      <c r="C5354" s="50" t="s">
        <v>8338</v>
      </c>
      <c r="E5354" s="90" t="s">
        <v>4720</v>
      </c>
      <c r="G5354" s="2">
        <v>6000</v>
      </c>
      <c r="I5354" s="88">
        <f t="shared" si="642"/>
        <v>34562.36</v>
      </c>
      <c r="K5354" s="62"/>
      <c r="L5354" s="2">
        <f t="shared" si="643"/>
        <v>20</v>
      </c>
      <c r="M5354">
        <f t="shared" si="644"/>
        <v>0</v>
      </c>
      <c r="O5354" s="62"/>
      <c r="P5354" s="62"/>
    </row>
    <row r="5355" spans="1:16" x14ac:dyDescent="0.3">
      <c r="A5355" s="3">
        <f t="shared" si="629"/>
        <v>45822</v>
      </c>
      <c r="B5355" s="11" t="s">
        <v>3232</v>
      </c>
      <c r="C5355" s="50" t="s">
        <v>5621</v>
      </c>
      <c r="E5355" s="90" t="s">
        <v>4720</v>
      </c>
      <c r="G5355" s="2">
        <v>500</v>
      </c>
      <c r="I5355" s="88">
        <f t="shared" si="642"/>
        <v>35062.36</v>
      </c>
      <c r="K5355" s="62"/>
      <c r="L5355" s="2">
        <f t="shared" si="643"/>
        <v>2</v>
      </c>
      <c r="M5355">
        <f t="shared" si="644"/>
        <v>0</v>
      </c>
      <c r="O5355" s="62"/>
      <c r="P5355" s="62"/>
    </row>
    <row r="5356" spans="1:16" x14ac:dyDescent="0.3">
      <c r="A5356" s="3">
        <f t="shared" si="629"/>
        <v>45822</v>
      </c>
      <c r="B5356" s="11" t="s">
        <v>8016</v>
      </c>
      <c r="C5356" s="50" t="s">
        <v>8268</v>
      </c>
      <c r="E5356" s="90" t="s">
        <v>4720</v>
      </c>
      <c r="G5356" s="2">
        <v>300</v>
      </c>
      <c r="I5356" s="88">
        <f t="shared" si="642"/>
        <v>35362.36</v>
      </c>
      <c r="K5356" s="62"/>
      <c r="L5356" s="2">
        <f t="shared" si="643"/>
        <v>1.2</v>
      </c>
      <c r="M5356">
        <f t="shared" si="644"/>
        <v>0</v>
      </c>
      <c r="O5356" s="62"/>
      <c r="P5356" s="62"/>
    </row>
    <row r="5357" spans="1:16" x14ac:dyDescent="0.3">
      <c r="A5357" s="3">
        <f t="shared" si="629"/>
        <v>45822</v>
      </c>
      <c r="B5357" s="11" t="s">
        <v>2448</v>
      </c>
      <c r="C5357" s="50" t="s">
        <v>2274</v>
      </c>
      <c r="E5357" s="90" t="s">
        <v>4720</v>
      </c>
      <c r="H5357" s="2">
        <v>5000</v>
      </c>
      <c r="I5357" s="88">
        <f t="shared" si="642"/>
        <v>30362.36</v>
      </c>
      <c r="K5357" s="62"/>
      <c r="L5357" s="2">
        <f t="shared" si="643"/>
        <v>20</v>
      </c>
      <c r="M5357">
        <f t="shared" si="644"/>
        <v>0</v>
      </c>
      <c r="O5357" s="62"/>
      <c r="P5357" s="62"/>
    </row>
    <row r="5358" spans="1:16" x14ac:dyDescent="0.3">
      <c r="A5358" s="3">
        <f t="shared" si="629"/>
        <v>45822</v>
      </c>
      <c r="B5358" s="11" t="s">
        <v>8446</v>
      </c>
      <c r="C5358" s="50" t="s">
        <v>8445</v>
      </c>
      <c r="E5358" s="90" t="s">
        <v>2088</v>
      </c>
      <c r="G5358" s="2">
        <v>10000</v>
      </c>
      <c r="I5358" s="88">
        <f t="shared" si="642"/>
        <v>40362.36</v>
      </c>
      <c r="K5358" s="62"/>
      <c r="L5358" s="2">
        <f t="shared" si="643"/>
        <v>25</v>
      </c>
      <c r="M5358">
        <f t="shared" si="644"/>
        <v>5</v>
      </c>
      <c r="O5358" s="62"/>
      <c r="P5358" s="62"/>
    </row>
    <row r="5359" spans="1:16" x14ac:dyDescent="0.3">
      <c r="A5359" s="3">
        <f t="shared" si="629"/>
        <v>45822</v>
      </c>
      <c r="B5359" s="11" t="s">
        <v>8409</v>
      </c>
      <c r="C5359" s="65" t="s">
        <v>8447</v>
      </c>
      <c r="E5359" s="90" t="s">
        <v>2088</v>
      </c>
      <c r="G5359" s="2">
        <v>0</v>
      </c>
      <c r="I5359" s="88">
        <f t="shared" si="642"/>
        <v>40362.36</v>
      </c>
      <c r="K5359" s="62"/>
      <c r="L5359" s="2">
        <f t="shared" si="643"/>
        <v>5</v>
      </c>
      <c r="M5359">
        <f t="shared" si="644"/>
        <v>5</v>
      </c>
      <c r="O5359" s="62"/>
      <c r="P5359" s="62"/>
    </row>
    <row r="5360" spans="1:16" x14ac:dyDescent="0.3">
      <c r="A5360" s="3">
        <f t="shared" si="629"/>
        <v>45822</v>
      </c>
      <c r="B5360" s="11" t="s">
        <v>3415</v>
      </c>
      <c r="C5360" s="51" t="s">
        <v>6310</v>
      </c>
      <c r="E5360" s="90" t="s">
        <v>4720</v>
      </c>
      <c r="H5360" s="2">
        <v>1000</v>
      </c>
      <c r="I5360" s="88">
        <f t="shared" si="642"/>
        <v>39362.36</v>
      </c>
      <c r="K5360" s="62"/>
      <c r="L5360" s="2">
        <f t="shared" si="643"/>
        <v>4</v>
      </c>
      <c r="M5360">
        <f t="shared" si="644"/>
        <v>0</v>
      </c>
      <c r="O5360" s="62"/>
      <c r="P5360" s="62"/>
    </row>
    <row r="5361" spans="1:16" x14ac:dyDescent="0.3">
      <c r="A5361" s="3">
        <f t="shared" si="629"/>
        <v>45822</v>
      </c>
      <c r="B5361" s="11" t="s">
        <v>6687</v>
      </c>
      <c r="C5361" s="50" t="s">
        <v>6688</v>
      </c>
      <c r="E5361" s="90" t="s">
        <v>4720</v>
      </c>
      <c r="G5361" s="2">
        <v>5000</v>
      </c>
      <c r="I5361" s="88">
        <f t="shared" si="642"/>
        <v>44362.36</v>
      </c>
      <c r="K5361" s="62"/>
      <c r="L5361" s="2">
        <f t="shared" si="643"/>
        <v>20</v>
      </c>
      <c r="M5361">
        <f t="shared" si="644"/>
        <v>0</v>
      </c>
      <c r="O5361" s="62"/>
      <c r="P5361" s="62"/>
    </row>
    <row r="5362" spans="1:16" x14ac:dyDescent="0.3">
      <c r="A5362" s="3">
        <v>45823</v>
      </c>
      <c r="B5362" s="11" t="s">
        <v>7329</v>
      </c>
      <c r="C5362" s="50" t="s">
        <v>7330</v>
      </c>
      <c r="E5362" s="90" t="s">
        <v>2088</v>
      </c>
      <c r="G5362" s="2">
        <v>2300</v>
      </c>
      <c r="I5362" s="88">
        <f t="shared" si="642"/>
        <v>46662.36</v>
      </c>
      <c r="K5362" s="62"/>
      <c r="L5362" s="2">
        <f t="shared" si="643"/>
        <v>14.200000000000001</v>
      </c>
      <c r="M5362">
        <f t="shared" si="644"/>
        <v>5</v>
      </c>
      <c r="O5362" s="62"/>
      <c r="P5362" s="62"/>
    </row>
    <row r="5363" spans="1:16" x14ac:dyDescent="0.3">
      <c r="A5363" s="3">
        <f t="shared" si="629"/>
        <v>45823</v>
      </c>
      <c r="B5363" s="11" t="s">
        <v>2689</v>
      </c>
      <c r="C5363" s="50" t="s">
        <v>1279</v>
      </c>
      <c r="E5363" s="90" t="s">
        <v>4720</v>
      </c>
      <c r="H5363" s="2">
        <v>10000</v>
      </c>
      <c r="I5363" s="88">
        <f t="shared" si="642"/>
        <v>36662.36</v>
      </c>
      <c r="K5363" s="62"/>
      <c r="L5363" s="2">
        <f t="shared" si="643"/>
        <v>20</v>
      </c>
      <c r="M5363">
        <f t="shared" si="644"/>
        <v>0</v>
      </c>
      <c r="O5363" s="62"/>
      <c r="P5363" s="62"/>
    </row>
    <row r="5364" spans="1:16" x14ac:dyDescent="0.3">
      <c r="A5364" s="3">
        <f t="shared" si="629"/>
        <v>45823</v>
      </c>
      <c r="B5364" s="11" t="s">
        <v>3148</v>
      </c>
      <c r="C5364" s="50" t="s">
        <v>8450</v>
      </c>
      <c r="E5364" s="90" t="s">
        <v>4720</v>
      </c>
      <c r="G5364" s="2">
        <v>1000</v>
      </c>
      <c r="I5364" s="88">
        <f t="shared" si="642"/>
        <v>37662.36</v>
      </c>
      <c r="K5364" s="62"/>
      <c r="L5364" s="2">
        <f t="shared" si="643"/>
        <v>4</v>
      </c>
      <c r="M5364">
        <f t="shared" si="644"/>
        <v>0</v>
      </c>
      <c r="O5364" s="62"/>
      <c r="P5364" s="62"/>
    </row>
    <row r="5365" spans="1:16" x14ac:dyDescent="0.3">
      <c r="A5365" s="3">
        <f t="shared" si="629"/>
        <v>45823</v>
      </c>
      <c r="B5365" s="11" t="s">
        <v>7264</v>
      </c>
      <c r="C5365" s="50" t="s">
        <v>5981</v>
      </c>
      <c r="E5365" s="90" t="s">
        <v>4720</v>
      </c>
      <c r="G5365" s="2">
        <v>1500</v>
      </c>
      <c r="I5365" s="88">
        <f t="shared" si="642"/>
        <v>39162.36</v>
      </c>
      <c r="K5365" s="62"/>
      <c r="L5365" s="2">
        <f t="shared" si="643"/>
        <v>6</v>
      </c>
      <c r="M5365">
        <f t="shared" si="644"/>
        <v>0</v>
      </c>
      <c r="O5365" s="62"/>
      <c r="P5365" s="62"/>
    </row>
    <row r="5366" spans="1:16" x14ac:dyDescent="0.3">
      <c r="A5366" s="3">
        <v>45824</v>
      </c>
      <c r="B5366" s="11" t="s">
        <v>8462</v>
      </c>
      <c r="H5366" s="2">
        <v>5500</v>
      </c>
      <c r="I5366" s="88">
        <f t="shared" si="642"/>
        <v>33662.36</v>
      </c>
      <c r="K5366" s="62"/>
      <c r="L5366" s="2">
        <f t="shared" ref="L5366" si="645">IF(E5366="C",0,IF((G5366+H5366)&lt;=5000,(G5366+H5366)*0.004,20)+IF(E5366="P",5,IF(E5366="Y",15,IF(E5366="YY",25))))</f>
        <v>20</v>
      </c>
      <c r="M5366">
        <f t="shared" ref="M5366" si="646">IF(E5366="p",5,0)</f>
        <v>0</v>
      </c>
      <c r="O5366" s="62"/>
      <c r="P5366" s="62"/>
    </row>
    <row r="5367" spans="1:16" x14ac:dyDescent="0.3">
      <c r="A5367" s="3">
        <v>45824</v>
      </c>
      <c r="B5367" s="11" t="s">
        <v>1160</v>
      </c>
      <c r="C5367" s="50" t="s">
        <v>8451</v>
      </c>
      <c r="E5367" s="90" t="s">
        <v>4720</v>
      </c>
      <c r="G5367" s="2">
        <v>500</v>
      </c>
      <c r="I5367" s="88">
        <f t="shared" si="642"/>
        <v>34162.36</v>
      </c>
      <c r="K5367" s="62"/>
      <c r="L5367" s="2">
        <f t="shared" ref="L5367:L5389" si="647">IF(E5367="C",0,IF((G5367+H5367)&lt;=5000,(G5367+H5367)*0.004,20)+IF(E5367="P",5,IF(E5367="Y",15,IF(E5367="YY",25))))</f>
        <v>2</v>
      </c>
      <c r="M5367">
        <f t="shared" ref="M5367:M5389" si="648">IF(E5367="p",5,0)</f>
        <v>0</v>
      </c>
      <c r="O5367" s="62"/>
      <c r="P5367" s="62"/>
    </row>
    <row r="5368" spans="1:16" x14ac:dyDescent="0.3">
      <c r="A5368" s="3">
        <f t="shared" si="629"/>
        <v>45824</v>
      </c>
      <c r="B5368" s="11" t="s">
        <v>7852</v>
      </c>
      <c r="C5368" s="50" t="s">
        <v>8054</v>
      </c>
      <c r="E5368" s="90" t="s">
        <v>4720</v>
      </c>
      <c r="G5368" s="2">
        <v>3000</v>
      </c>
      <c r="I5368" s="88">
        <f t="shared" si="642"/>
        <v>37162.36</v>
      </c>
      <c r="K5368" s="62"/>
      <c r="L5368" s="2">
        <f t="shared" si="647"/>
        <v>12</v>
      </c>
      <c r="M5368">
        <f t="shared" si="648"/>
        <v>0</v>
      </c>
      <c r="O5368" s="62"/>
      <c r="P5368" s="62"/>
    </row>
    <row r="5369" spans="1:16" x14ac:dyDescent="0.3">
      <c r="A5369" s="3">
        <f t="shared" si="629"/>
        <v>45824</v>
      </c>
      <c r="B5369" s="11" t="s">
        <v>1250</v>
      </c>
      <c r="C5369" s="50" t="s">
        <v>5697</v>
      </c>
      <c r="E5369" s="90" t="s">
        <v>4720</v>
      </c>
      <c r="G5369" s="2">
        <v>1000</v>
      </c>
      <c r="I5369" s="88">
        <f t="shared" si="642"/>
        <v>38162.36</v>
      </c>
      <c r="K5369" s="62"/>
      <c r="L5369" s="2">
        <f t="shared" si="647"/>
        <v>4</v>
      </c>
      <c r="M5369">
        <f t="shared" si="648"/>
        <v>0</v>
      </c>
      <c r="O5369" s="62"/>
      <c r="P5369" s="62"/>
    </row>
    <row r="5370" spans="1:16" x14ac:dyDescent="0.3">
      <c r="A5370" s="3">
        <f t="shared" si="629"/>
        <v>45824</v>
      </c>
      <c r="B5370" s="11" t="s">
        <v>8457</v>
      </c>
      <c r="C5370" s="65" t="s">
        <v>8453</v>
      </c>
      <c r="E5370" s="90" t="s">
        <v>2088</v>
      </c>
      <c r="G5370" s="2">
        <v>0</v>
      </c>
      <c r="I5370" s="88">
        <f t="shared" si="642"/>
        <v>38162.36</v>
      </c>
      <c r="K5370" s="62"/>
      <c r="L5370" s="2">
        <f t="shared" si="647"/>
        <v>5</v>
      </c>
      <c r="M5370">
        <f t="shared" si="648"/>
        <v>5</v>
      </c>
      <c r="O5370" s="62"/>
      <c r="P5370" s="62"/>
    </row>
    <row r="5371" spans="1:16" x14ac:dyDescent="0.3">
      <c r="A5371" s="3">
        <f t="shared" ref="A5371:A5433" si="649">A5370</f>
        <v>45824</v>
      </c>
      <c r="B5371" s="11" t="s">
        <v>8459</v>
      </c>
      <c r="C5371" s="50" t="s">
        <v>8461</v>
      </c>
      <c r="E5371" s="90" t="s">
        <v>16</v>
      </c>
      <c r="H5371" s="2">
        <v>500</v>
      </c>
      <c r="I5371" s="88">
        <f t="shared" si="642"/>
        <v>37662.36</v>
      </c>
      <c r="K5371" s="62"/>
      <c r="L5371" s="2">
        <f t="shared" si="647"/>
        <v>17</v>
      </c>
      <c r="M5371">
        <f t="shared" si="648"/>
        <v>0</v>
      </c>
      <c r="O5371" s="62"/>
      <c r="P5371" s="62"/>
    </row>
    <row r="5372" spans="1:16" x14ac:dyDescent="0.3">
      <c r="A5372" s="3">
        <f t="shared" si="649"/>
        <v>45824</v>
      </c>
      <c r="C5372" s="50" t="s">
        <v>2857</v>
      </c>
      <c r="E5372" s="90" t="s">
        <v>8332</v>
      </c>
      <c r="H5372" s="2">
        <v>35000</v>
      </c>
      <c r="I5372" s="88">
        <f t="shared" si="642"/>
        <v>2662.3600000000006</v>
      </c>
      <c r="K5372" s="62"/>
      <c r="L5372" s="2">
        <f t="shared" si="647"/>
        <v>0</v>
      </c>
      <c r="M5372">
        <f t="shared" si="648"/>
        <v>0</v>
      </c>
      <c r="O5372" s="62"/>
      <c r="P5372" s="62"/>
    </row>
    <row r="5373" spans="1:16" x14ac:dyDescent="0.3">
      <c r="A5373" s="3">
        <f t="shared" si="649"/>
        <v>45824</v>
      </c>
      <c r="B5373" s="11" t="s">
        <v>8459</v>
      </c>
      <c r="C5373" s="50" t="s">
        <v>8461</v>
      </c>
      <c r="E5373" s="90" t="s">
        <v>2088</v>
      </c>
      <c r="G5373" s="2">
        <v>0</v>
      </c>
      <c r="H5373" s="2">
        <v>0</v>
      </c>
      <c r="I5373" s="88">
        <f t="shared" si="642"/>
        <v>2662.3600000000006</v>
      </c>
      <c r="K5373" s="62"/>
      <c r="L5373" s="2">
        <f t="shared" si="647"/>
        <v>5</v>
      </c>
      <c r="M5373">
        <f t="shared" si="648"/>
        <v>5</v>
      </c>
      <c r="O5373" s="62"/>
      <c r="P5373" s="62"/>
    </row>
    <row r="5374" spans="1:16" x14ac:dyDescent="0.3">
      <c r="A5374" s="3">
        <f t="shared" si="649"/>
        <v>45824</v>
      </c>
      <c r="B5374" s="11" t="s">
        <v>7834</v>
      </c>
      <c r="C5374" s="50" t="s">
        <v>8201</v>
      </c>
      <c r="E5374" s="90" t="s">
        <v>2088</v>
      </c>
      <c r="G5374" s="2">
        <v>2500</v>
      </c>
      <c r="I5374" s="88">
        <f t="shared" si="642"/>
        <v>5162.3600000000006</v>
      </c>
      <c r="K5374" s="62"/>
      <c r="L5374" s="2">
        <f t="shared" si="647"/>
        <v>15</v>
      </c>
      <c r="M5374">
        <f t="shared" si="648"/>
        <v>5</v>
      </c>
      <c r="O5374" s="62"/>
      <c r="P5374" s="62"/>
    </row>
    <row r="5375" spans="1:16" x14ac:dyDescent="0.3">
      <c r="A5375" s="3">
        <f t="shared" si="649"/>
        <v>45824</v>
      </c>
      <c r="B5375" s="11" t="s">
        <v>1250</v>
      </c>
      <c r="C5375" s="50" t="s">
        <v>8464</v>
      </c>
      <c r="E5375" s="90" t="s">
        <v>4720</v>
      </c>
      <c r="G5375" s="2">
        <v>5000</v>
      </c>
      <c r="I5375" s="88">
        <f t="shared" si="642"/>
        <v>10162.36</v>
      </c>
      <c r="K5375" s="62"/>
      <c r="L5375" s="2">
        <f t="shared" si="647"/>
        <v>20</v>
      </c>
      <c r="M5375">
        <f t="shared" si="648"/>
        <v>0</v>
      </c>
      <c r="O5375" s="62"/>
      <c r="P5375" s="62"/>
    </row>
    <row r="5376" spans="1:16" x14ac:dyDescent="0.3">
      <c r="A5376" s="3">
        <f t="shared" si="649"/>
        <v>45824</v>
      </c>
      <c r="B5376" s="11" t="s">
        <v>8465</v>
      </c>
      <c r="C5376" s="50" t="s">
        <v>8466</v>
      </c>
      <c r="E5376" s="90" t="s">
        <v>4720</v>
      </c>
      <c r="G5376" s="2">
        <v>500</v>
      </c>
      <c r="I5376" s="88">
        <f t="shared" si="642"/>
        <v>10662.36</v>
      </c>
      <c r="K5376" s="62"/>
      <c r="L5376" s="2">
        <f t="shared" si="647"/>
        <v>2</v>
      </c>
      <c r="M5376">
        <f t="shared" si="648"/>
        <v>0</v>
      </c>
      <c r="O5376" s="62"/>
      <c r="P5376" s="62"/>
    </row>
    <row r="5377" spans="1:16" x14ac:dyDescent="0.3">
      <c r="A5377" s="3">
        <f t="shared" si="649"/>
        <v>45824</v>
      </c>
      <c r="B5377" s="11" t="s">
        <v>3420</v>
      </c>
      <c r="C5377" s="50" t="s">
        <v>8467</v>
      </c>
      <c r="E5377" s="90" t="s">
        <v>2088</v>
      </c>
      <c r="G5377" s="2">
        <v>1000</v>
      </c>
      <c r="I5377" s="88">
        <f t="shared" si="642"/>
        <v>11662.36</v>
      </c>
      <c r="K5377" s="62"/>
      <c r="L5377" s="2">
        <f t="shared" si="647"/>
        <v>9</v>
      </c>
      <c r="M5377">
        <f t="shared" si="648"/>
        <v>5</v>
      </c>
      <c r="O5377" s="62"/>
      <c r="P5377" s="62"/>
    </row>
    <row r="5378" spans="1:16" x14ac:dyDescent="0.3">
      <c r="A5378" s="3">
        <f t="shared" si="649"/>
        <v>45824</v>
      </c>
      <c r="B5378" s="11" t="s">
        <v>1160</v>
      </c>
      <c r="C5378" s="50" t="s">
        <v>5190</v>
      </c>
      <c r="E5378" s="90" t="s">
        <v>4720</v>
      </c>
      <c r="G5378" s="2">
        <v>2500</v>
      </c>
      <c r="I5378" s="88">
        <f t="shared" si="642"/>
        <v>14162.36</v>
      </c>
      <c r="K5378" s="62"/>
      <c r="L5378" s="2">
        <f t="shared" si="647"/>
        <v>10</v>
      </c>
      <c r="M5378">
        <f t="shared" si="648"/>
        <v>0</v>
      </c>
      <c r="O5378" s="62"/>
      <c r="P5378" s="62"/>
    </row>
    <row r="5379" spans="1:16" x14ac:dyDescent="0.3">
      <c r="A5379" s="3">
        <f t="shared" si="649"/>
        <v>45824</v>
      </c>
      <c r="B5379" s="11" t="s">
        <v>6522</v>
      </c>
      <c r="C5379" s="50" t="s">
        <v>8468</v>
      </c>
      <c r="E5379" s="90" t="s">
        <v>4720</v>
      </c>
      <c r="G5379" s="2">
        <v>2000</v>
      </c>
      <c r="I5379" s="88">
        <f t="shared" si="642"/>
        <v>16162.36</v>
      </c>
      <c r="K5379" s="62"/>
      <c r="L5379" s="2">
        <f t="shared" si="647"/>
        <v>8</v>
      </c>
      <c r="M5379">
        <f t="shared" si="648"/>
        <v>0</v>
      </c>
      <c r="O5379" s="62"/>
      <c r="P5379" s="62"/>
    </row>
    <row r="5380" spans="1:16" x14ac:dyDescent="0.3">
      <c r="A5380" s="3">
        <f t="shared" si="649"/>
        <v>45824</v>
      </c>
      <c r="B5380" s="11" t="s">
        <v>6522</v>
      </c>
      <c r="C5380" s="50" t="s">
        <v>8469</v>
      </c>
      <c r="E5380" s="90" t="s">
        <v>4720</v>
      </c>
      <c r="G5380" s="2">
        <v>2000</v>
      </c>
      <c r="I5380" s="88">
        <f t="shared" si="642"/>
        <v>18162.36</v>
      </c>
      <c r="K5380" s="62"/>
      <c r="L5380" s="2">
        <f t="shared" si="647"/>
        <v>8</v>
      </c>
      <c r="M5380">
        <f t="shared" si="648"/>
        <v>0</v>
      </c>
      <c r="O5380" s="62"/>
      <c r="P5380" s="62"/>
    </row>
    <row r="5381" spans="1:16" x14ac:dyDescent="0.3">
      <c r="A5381" s="3">
        <f t="shared" si="649"/>
        <v>45824</v>
      </c>
      <c r="B5381" s="11" t="s">
        <v>7886</v>
      </c>
      <c r="C5381" s="50" t="s">
        <v>7887</v>
      </c>
      <c r="E5381" s="90" t="s">
        <v>2088</v>
      </c>
      <c r="H5381" s="2">
        <v>1500</v>
      </c>
      <c r="I5381" s="88">
        <f t="shared" si="642"/>
        <v>16662.36</v>
      </c>
      <c r="K5381" s="62"/>
      <c r="L5381" s="2">
        <f t="shared" si="647"/>
        <v>11</v>
      </c>
      <c r="M5381">
        <f t="shared" si="648"/>
        <v>5</v>
      </c>
      <c r="O5381" s="62"/>
      <c r="P5381" s="62"/>
    </row>
    <row r="5382" spans="1:16" x14ac:dyDescent="0.3">
      <c r="A5382" s="3">
        <v>45825</v>
      </c>
      <c r="B5382" s="11" t="s">
        <v>3289</v>
      </c>
      <c r="C5382" s="50" t="s">
        <v>2734</v>
      </c>
      <c r="E5382" s="90" t="s">
        <v>4720</v>
      </c>
      <c r="H5382" s="2">
        <v>3000</v>
      </c>
      <c r="I5382" s="88">
        <f t="shared" si="642"/>
        <v>13662.36</v>
      </c>
      <c r="K5382" s="62"/>
      <c r="L5382" s="2">
        <f t="shared" si="647"/>
        <v>12</v>
      </c>
      <c r="M5382">
        <f t="shared" si="648"/>
        <v>0</v>
      </c>
      <c r="O5382" s="62"/>
      <c r="P5382" s="62"/>
    </row>
    <row r="5383" spans="1:16" x14ac:dyDescent="0.3">
      <c r="A5383" s="3">
        <f t="shared" si="649"/>
        <v>45825</v>
      </c>
      <c r="B5383" s="11" t="s">
        <v>6522</v>
      </c>
      <c r="C5383" s="50" t="s">
        <v>8470</v>
      </c>
      <c r="E5383" s="90" t="s">
        <v>4720</v>
      </c>
      <c r="G5383" s="2">
        <v>1500</v>
      </c>
      <c r="I5383" s="88">
        <f t="shared" si="642"/>
        <v>15162.36</v>
      </c>
      <c r="K5383" s="62"/>
      <c r="L5383" s="2">
        <f t="shared" si="647"/>
        <v>6</v>
      </c>
      <c r="M5383">
        <f t="shared" si="648"/>
        <v>0</v>
      </c>
      <c r="O5383" s="62"/>
      <c r="P5383" s="62"/>
    </row>
    <row r="5384" spans="1:16" x14ac:dyDescent="0.3">
      <c r="A5384" s="3">
        <f t="shared" si="649"/>
        <v>45825</v>
      </c>
      <c r="B5384" s="11" t="s">
        <v>5099</v>
      </c>
      <c r="C5384" s="50" t="s">
        <v>8471</v>
      </c>
      <c r="E5384" s="90" t="s">
        <v>2088</v>
      </c>
      <c r="G5384" s="2">
        <v>1000</v>
      </c>
      <c r="I5384" s="88">
        <f t="shared" si="642"/>
        <v>16162.36</v>
      </c>
      <c r="K5384" s="62"/>
      <c r="L5384" s="2">
        <f t="shared" si="647"/>
        <v>9</v>
      </c>
      <c r="M5384">
        <f t="shared" si="648"/>
        <v>5</v>
      </c>
      <c r="O5384" s="62"/>
      <c r="P5384" s="62"/>
    </row>
    <row r="5385" spans="1:16" x14ac:dyDescent="0.3">
      <c r="A5385" s="3">
        <f t="shared" si="649"/>
        <v>45825</v>
      </c>
      <c r="B5385" s="11" t="s">
        <v>7264</v>
      </c>
      <c r="C5385" s="50" t="s">
        <v>7916</v>
      </c>
      <c r="E5385" s="90" t="s">
        <v>4720</v>
      </c>
      <c r="G5385" s="2">
        <v>500</v>
      </c>
      <c r="I5385" s="88">
        <f t="shared" si="642"/>
        <v>16662.36</v>
      </c>
      <c r="K5385" s="62">
        <v>16705</v>
      </c>
      <c r="L5385" s="2">
        <f t="shared" si="647"/>
        <v>2</v>
      </c>
      <c r="M5385">
        <f t="shared" si="648"/>
        <v>0</v>
      </c>
      <c r="O5385" s="62"/>
      <c r="P5385" s="62"/>
    </row>
    <row r="5386" spans="1:16" x14ac:dyDescent="0.3">
      <c r="A5386" s="3">
        <f t="shared" si="649"/>
        <v>45825</v>
      </c>
      <c r="B5386" s="11" t="s">
        <v>1250</v>
      </c>
      <c r="C5386" s="50" t="s">
        <v>2443</v>
      </c>
      <c r="E5386" s="90" t="s">
        <v>4720</v>
      </c>
      <c r="G5386" s="2">
        <v>1250</v>
      </c>
      <c r="I5386" s="88">
        <f t="shared" si="642"/>
        <v>17912.36</v>
      </c>
      <c r="J5386" s="62"/>
      <c r="K5386" s="62"/>
      <c r="L5386" s="2">
        <f t="shared" si="647"/>
        <v>5</v>
      </c>
      <c r="M5386">
        <f t="shared" si="648"/>
        <v>0</v>
      </c>
      <c r="O5386" s="62"/>
      <c r="P5386" s="62"/>
    </row>
    <row r="5387" spans="1:16" x14ac:dyDescent="0.3">
      <c r="A5387" s="3">
        <f t="shared" si="649"/>
        <v>45825</v>
      </c>
      <c r="B5387" s="11" t="s">
        <v>4752</v>
      </c>
      <c r="C5387" s="50" t="s">
        <v>5806</v>
      </c>
      <c r="E5387" s="90" t="s">
        <v>4720</v>
      </c>
      <c r="G5387" s="2">
        <v>10000</v>
      </c>
      <c r="I5387" s="88">
        <f t="shared" si="642"/>
        <v>27912.36</v>
      </c>
      <c r="K5387" s="62"/>
      <c r="L5387" s="2">
        <f t="shared" si="647"/>
        <v>20</v>
      </c>
      <c r="M5387">
        <f t="shared" si="648"/>
        <v>0</v>
      </c>
      <c r="O5387" s="62"/>
      <c r="P5387" s="62"/>
    </row>
    <row r="5388" spans="1:16" x14ac:dyDescent="0.3">
      <c r="A5388" s="3">
        <f t="shared" si="649"/>
        <v>45825</v>
      </c>
      <c r="B5388" s="11" t="s">
        <v>7186</v>
      </c>
      <c r="C5388" s="50" t="s">
        <v>8039</v>
      </c>
      <c r="E5388" s="90" t="s">
        <v>2088</v>
      </c>
      <c r="H5388" s="2">
        <v>0</v>
      </c>
      <c r="I5388" s="88">
        <f t="shared" si="642"/>
        <v>27912.36</v>
      </c>
      <c r="K5388" s="62"/>
      <c r="L5388" s="2">
        <f t="shared" si="647"/>
        <v>5</v>
      </c>
      <c r="M5388">
        <f t="shared" si="648"/>
        <v>5</v>
      </c>
      <c r="O5388" s="62"/>
      <c r="P5388" s="62"/>
    </row>
    <row r="5389" spans="1:16" x14ac:dyDescent="0.3">
      <c r="A5389" s="3">
        <f t="shared" si="649"/>
        <v>45825</v>
      </c>
      <c r="B5389" s="11" t="s">
        <v>6260</v>
      </c>
      <c r="C5389" s="50" t="s">
        <v>8398</v>
      </c>
      <c r="E5389" s="90" t="s">
        <v>4720</v>
      </c>
      <c r="H5389" s="2">
        <v>3000</v>
      </c>
      <c r="I5389" s="88">
        <f t="shared" si="642"/>
        <v>24912.36</v>
      </c>
      <c r="K5389" s="62"/>
      <c r="L5389" s="2">
        <f t="shared" si="647"/>
        <v>12</v>
      </c>
      <c r="M5389">
        <f t="shared" si="648"/>
        <v>0</v>
      </c>
      <c r="O5389" s="62"/>
      <c r="P5389" s="62"/>
    </row>
    <row r="5390" spans="1:16" x14ac:dyDescent="0.3">
      <c r="A5390" s="3">
        <f t="shared" si="649"/>
        <v>45825</v>
      </c>
      <c r="B5390" s="11" t="s">
        <v>1250</v>
      </c>
      <c r="C5390" s="50" t="s">
        <v>8472</v>
      </c>
      <c r="E5390" s="90" t="s">
        <v>4720</v>
      </c>
      <c r="G5390" s="2">
        <v>5000</v>
      </c>
      <c r="I5390" s="88">
        <f t="shared" ref="I5390:I5405" si="650">I5389+G5390-H5390</f>
        <v>29912.36</v>
      </c>
      <c r="K5390" s="62"/>
      <c r="L5390" s="2">
        <f t="shared" ref="L5390:L5398" si="651">IF(E5390="C",0,IF((G5390+H5390)&lt;=5000,(G5390+H5390)*0.004,20)+IF(E5390="P",5,IF(E5390="Y",15,IF(E5390="YY",25))))</f>
        <v>20</v>
      </c>
      <c r="M5390">
        <f t="shared" ref="M5390:M5398" si="652">IF(E5390="p",5,0)</f>
        <v>0</v>
      </c>
      <c r="O5390" s="62"/>
      <c r="P5390" s="62"/>
    </row>
    <row r="5391" spans="1:16" x14ac:dyDescent="0.3">
      <c r="A5391" s="3">
        <f t="shared" si="649"/>
        <v>45825</v>
      </c>
      <c r="B5391" s="11" t="s">
        <v>6484</v>
      </c>
      <c r="C5391" s="50" t="s">
        <v>8010</v>
      </c>
      <c r="E5391" s="90" t="s">
        <v>4720</v>
      </c>
      <c r="G5391" s="2">
        <v>300</v>
      </c>
      <c r="I5391" s="88">
        <f t="shared" si="650"/>
        <v>30212.36</v>
      </c>
      <c r="K5391" s="62"/>
      <c r="L5391" s="2">
        <f t="shared" si="651"/>
        <v>1.2</v>
      </c>
      <c r="M5391">
        <f t="shared" si="652"/>
        <v>0</v>
      </c>
      <c r="O5391" s="62"/>
      <c r="P5391" s="62"/>
    </row>
    <row r="5392" spans="1:16" x14ac:dyDescent="0.3">
      <c r="A5392" s="3">
        <v>45826</v>
      </c>
      <c r="B5392" s="11" t="s">
        <v>3369</v>
      </c>
      <c r="C5392" s="50" t="s">
        <v>8444</v>
      </c>
      <c r="E5392" s="90" t="s">
        <v>4720</v>
      </c>
      <c r="G5392" s="2">
        <v>2000</v>
      </c>
      <c r="I5392" s="88">
        <f t="shared" si="650"/>
        <v>32212.36</v>
      </c>
      <c r="K5392" s="62"/>
      <c r="L5392" s="2">
        <f t="shared" si="651"/>
        <v>8</v>
      </c>
      <c r="M5392">
        <f t="shared" si="652"/>
        <v>0</v>
      </c>
      <c r="O5392" s="62"/>
      <c r="P5392" s="62"/>
    </row>
    <row r="5393" spans="1:16" x14ac:dyDescent="0.3">
      <c r="A5393" s="3">
        <f t="shared" si="649"/>
        <v>45826</v>
      </c>
      <c r="B5393" s="11" t="s">
        <v>1250</v>
      </c>
      <c r="C5393" s="50" t="s">
        <v>2443</v>
      </c>
      <c r="E5393" s="90" t="s">
        <v>4720</v>
      </c>
      <c r="G5393" s="2">
        <v>1800</v>
      </c>
      <c r="I5393" s="88">
        <f t="shared" si="650"/>
        <v>34012.36</v>
      </c>
      <c r="K5393" s="62"/>
      <c r="L5393" s="2">
        <f t="shared" si="651"/>
        <v>7.2</v>
      </c>
      <c r="M5393">
        <f t="shared" si="652"/>
        <v>0</v>
      </c>
      <c r="O5393" s="62"/>
      <c r="P5393" s="62"/>
    </row>
    <row r="5394" spans="1:16" x14ac:dyDescent="0.3">
      <c r="A5394" s="3">
        <f t="shared" si="649"/>
        <v>45826</v>
      </c>
      <c r="B5394" s="11" t="s">
        <v>5042</v>
      </c>
      <c r="C5394" s="50" t="s">
        <v>6379</v>
      </c>
      <c r="E5394" s="90" t="s">
        <v>2088</v>
      </c>
      <c r="G5394" s="2">
        <v>1400</v>
      </c>
      <c r="I5394" s="88">
        <f t="shared" si="650"/>
        <v>35412.36</v>
      </c>
      <c r="K5394" s="62"/>
      <c r="L5394" s="2">
        <f t="shared" si="651"/>
        <v>10.600000000000001</v>
      </c>
      <c r="M5394">
        <f t="shared" si="652"/>
        <v>5</v>
      </c>
      <c r="O5394" s="62"/>
      <c r="P5394" s="62"/>
    </row>
    <row r="5395" spans="1:16" x14ac:dyDescent="0.3">
      <c r="A5395" s="3">
        <f t="shared" si="649"/>
        <v>45826</v>
      </c>
      <c r="B5395" s="11" t="s">
        <v>1250</v>
      </c>
      <c r="C5395" s="50" t="s">
        <v>6424</v>
      </c>
      <c r="E5395" s="90" t="s">
        <v>4720</v>
      </c>
      <c r="G5395" s="2">
        <v>1500</v>
      </c>
      <c r="I5395" s="88">
        <f t="shared" si="650"/>
        <v>36912.36</v>
      </c>
      <c r="K5395" s="62"/>
      <c r="L5395" s="2">
        <f t="shared" si="651"/>
        <v>6</v>
      </c>
      <c r="M5395">
        <f t="shared" si="652"/>
        <v>0</v>
      </c>
      <c r="O5395" s="62"/>
      <c r="P5395" s="62"/>
    </row>
    <row r="5396" spans="1:16" x14ac:dyDescent="0.3">
      <c r="A5396" s="3">
        <f t="shared" si="649"/>
        <v>45826</v>
      </c>
      <c r="C5396" s="50" t="s">
        <v>2857</v>
      </c>
      <c r="E5396" s="90" t="s">
        <v>8332</v>
      </c>
      <c r="H5396" s="2">
        <v>20000</v>
      </c>
      <c r="I5396" s="88">
        <f t="shared" si="650"/>
        <v>16912.36</v>
      </c>
      <c r="K5396" s="62"/>
      <c r="L5396" s="2">
        <f t="shared" si="651"/>
        <v>0</v>
      </c>
      <c r="M5396">
        <f t="shared" si="652"/>
        <v>0</v>
      </c>
      <c r="O5396" s="62"/>
      <c r="P5396" s="62"/>
    </row>
    <row r="5397" spans="1:16" x14ac:dyDescent="0.3">
      <c r="A5397" s="3">
        <f t="shared" si="649"/>
        <v>45826</v>
      </c>
      <c r="B5397" s="11" t="s">
        <v>8473</v>
      </c>
      <c r="C5397" s="50" t="s">
        <v>8474</v>
      </c>
      <c r="E5397" s="90" t="s">
        <v>8364</v>
      </c>
      <c r="H5397" s="2">
        <v>2000</v>
      </c>
      <c r="I5397" s="88">
        <f t="shared" si="650"/>
        <v>14912.36</v>
      </c>
      <c r="K5397" s="62"/>
      <c r="L5397" s="2">
        <f t="shared" si="651"/>
        <v>33</v>
      </c>
      <c r="M5397">
        <f t="shared" si="652"/>
        <v>0</v>
      </c>
      <c r="O5397" s="62"/>
      <c r="P5397" s="62"/>
    </row>
    <row r="5398" spans="1:16" x14ac:dyDescent="0.3">
      <c r="A5398" s="3">
        <f t="shared" si="649"/>
        <v>45826</v>
      </c>
      <c r="B5398" s="11" t="s">
        <v>1160</v>
      </c>
      <c r="C5398" s="50" t="s">
        <v>6517</v>
      </c>
      <c r="E5398" s="90" t="s">
        <v>4720</v>
      </c>
      <c r="G5398" s="2">
        <v>2000</v>
      </c>
      <c r="I5398" s="88">
        <f t="shared" si="650"/>
        <v>16912.36</v>
      </c>
      <c r="K5398" s="62"/>
      <c r="L5398" s="2">
        <f t="shared" si="651"/>
        <v>8</v>
      </c>
      <c r="M5398">
        <f t="shared" si="652"/>
        <v>0</v>
      </c>
      <c r="O5398" s="62"/>
      <c r="P5398" s="62"/>
    </row>
    <row r="5399" spans="1:16" x14ac:dyDescent="0.3">
      <c r="A5399" s="3">
        <f t="shared" si="649"/>
        <v>45826</v>
      </c>
      <c r="B5399" s="11" t="s">
        <v>1250</v>
      </c>
      <c r="E5399" s="90" t="s">
        <v>4720</v>
      </c>
      <c r="H5399" s="2">
        <v>7200</v>
      </c>
      <c r="I5399" s="88">
        <f t="shared" si="650"/>
        <v>9712.36</v>
      </c>
      <c r="K5399" s="62"/>
      <c r="L5399" s="2">
        <f t="shared" ref="L5399:L5415" si="653">IF(E5399="C",0,IF((G5399+H5399)&lt;=5000,(G5399+H5399)*0.004,20)+IF(E5399="P",5,IF(E5399="Y",15,IF(E5399="YY",25))))</f>
        <v>20</v>
      </c>
      <c r="M5399">
        <f t="shared" ref="M5399:M5415" si="654">IF(E5399="p",5,0)</f>
        <v>0</v>
      </c>
      <c r="O5399" s="62"/>
      <c r="P5399" s="62"/>
    </row>
    <row r="5400" spans="1:16" x14ac:dyDescent="0.3">
      <c r="A5400" s="3">
        <f t="shared" si="649"/>
        <v>45826</v>
      </c>
      <c r="B5400" s="11" t="s">
        <v>1250</v>
      </c>
      <c r="E5400" s="90" t="s">
        <v>4720</v>
      </c>
      <c r="G5400" s="2">
        <v>10000</v>
      </c>
      <c r="I5400" s="88">
        <f t="shared" si="650"/>
        <v>19712.36</v>
      </c>
      <c r="K5400" s="62"/>
      <c r="L5400" s="2">
        <f t="shared" si="653"/>
        <v>20</v>
      </c>
      <c r="M5400">
        <f t="shared" si="654"/>
        <v>0</v>
      </c>
      <c r="O5400" s="62"/>
      <c r="P5400" s="62"/>
    </row>
    <row r="5401" spans="1:16" x14ac:dyDescent="0.3">
      <c r="A5401" s="3">
        <v>45827</v>
      </c>
      <c r="B5401" s="11" t="s">
        <v>1250</v>
      </c>
      <c r="C5401" s="50" t="s">
        <v>5909</v>
      </c>
      <c r="E5401" s="90" t="s">
        <v>4720</v>
      </c>
      <c r="G5401" s="2">
        <v>1000</v>
      </c>
      <c r="I5401" s="88">
        <f t="shared" si="650"/>
        <v>20712.36</v>
      </c>
      <c r="K5401" s="62"/>
      <c r="L5401" s="2">
        <f t="shared" si="653"/>
        <v>4</v>
      </c>
      <c r="M5401">
        <f t="shared" si="654"/>
        <v>0</v>
      </c>
      <c r="O5401" s="62"/>
      <c r="P5401" s="62"/>
    </row>
    <row r="5402" spans="1:16" x14ac:dyDescent="0.3">
      <c r="A5402" s="3">
        <f t="shared" si="649"/>
        <v>45827</v>
      </c>
      <c r="B5402" s="11" t="s">
        <v>1250</v>
      </c>
      <c r="C5402" s="50" t="s">
        <v>8479</v>
      </c>
      <c r="E5402" s="90" t="s">
        <v>4720</v>
      </c>
      <c r="G5402" s="2">
        <v>4000</v>
      </c>
      <c r="I5402" s="88">
        <f t="shared" si="650"/>
        <v>24712.36</v>
      </c>
      <c r="K5402" s="62"/>
      <c r="L5402" s="2">
        <f t="shared" si="653"/>
        <v>16</v>
      </c>
      <c r="M5402">
        <f t="shared" si="654"/>
        <v>0</v>
      </c>
      <c r="O5402" s="62"/>
      <c r="P5402" s="62"/>
    </row>
    <row r="5403" spans="1:16" x14ac:dyDescent="0.3">
      <c r="A5403" s="3">
        <f t="shared" si="649"/>
        <v>45827</v>
      </c>
      <c r="B5403" s="11" t="s">
        <v>3865</v>
      </c>
      <c r="C5403" s="50" t="s">
        <v>8480</v>
      </c>
      <c r="E5403" s="90" t="s">
        <v>4720</v>
      </c>
      <c r="G5403" s="2">
        <v>3000</v>
      </c>
      <c r="I5403" s="88">
        <f t="shared" si="650"/>
        <v>27712.36</v>
      </c>
      <c r="K5403" s="62"/>
      <c r="L5403" s="2">
        <f t="shared" si="653"/>
        <v>12</v>
      </c>
      <c r="M5403">
        <f t="shared" si="654"/>
        <v>0</v>
      </c>
      <c r="O5403" s="62"/>
      <c r="P5403" s="62"/>
    </row>
    <row r="5404" spans="1:16" x14ac:dyDescent="0.3">
      <c r="A5404" s="3">
        <f t="shared" si="649"/>
        <v>45827</v>
      </c>
      <c r="B5404" s="11" t="s">
        <v>3415</v>
      </c>
      <c r="C5404" s="50" t="s">
        <v>6310</v>
      </c>
      <c r="E5404" s="90" t="s">
        <v>4720</v>
      </c>
      <c r="H5404" s="2">
        <v>2000</v>
      </c>
      <c r="I5404" s="88">
        <f t="shared" si="650"/>
        <v>25712.36</v>
      </c>
      <c r="K5404" s="62"/>
      <c r="L5404" s="2">
        <f t="shared" si="653"/>
        <v>8</v>
      </c>
      <c r="M5404">
        <f t="shared" si="654"/>
        <v>0</v>
      </c>
      <c r="O5404" s="62"/>
      <c r="P5404" s="62"/>
    </row>
    <row r="5405" spans="1:16" x14ac:dyDescent="0.3">
      <c r="A5405" s="3" t="s">
        <v>8482</v>
      </c>
      <c r="B5405" s="11" t="s">
        <v>7329</v>
      </c>
      <c r="C5405" s="50" t="s">
        <v>7330</v>
      </c>
      <c r="E5405" s="90" t="s">
        <v>2088</v>
      </c>
      <c r="G5405" s="2">
        <v>2000</v>
      </c>
      <c r="I5405" s="88">
        <f t="shared" si="650"/>
        <v>27712.36</v>
      </c>
      <c r="K5405" s="62"/>
      <c r="L5405" s="2">
        <f t="shared" si="653"/>
        <v>13</v>
      </c>
      <c r="M5405">
        <f t="shared" si="654"/>
        <v>5</v>
      </c>
      <c r="O5405" s="62"/>
      <c r="P5405" s="62"/>
    </row>
    <row r="5406" spans="1:16" x14ac:dyDescent="0.3">
      <c r="A5406" s="3" t="str">
        <f t="shared" si="649"/>
        <v>20-06--2025</v>
      </c>
      <c r="B5406" s="11" t="s">
        <v>6766</v>
      </c>
      <c r="C5406" s="50" t="s">
        <v>8481</v>
      </c>
      <c r="E5406" s="90" t="s">
        <v>2088</v>
      </c>
      <c r="G5406" s="2">
        <v>10000</v>
      </c>
      <c r="I5406" s="88">
        <f t="shared" ref="I5406:I5419" si="655">I5405+G5406-H5406</f>
        <v>37712.36</v>
      </c>
      <c r="K5406" s="62"/>
      <c r="L5406" s="2">
        <f t="shared" si="653"/>
        <v>25</v>
      </c>
      <c r="M5406">
        <f t="shared" si="654"/>
        <v>5</v>
      </c>
      <c r="O5406" s="62"/>
      <c r="P5406" s="62"/>
    </row>
    <row r="5407" spans="1:16" x14ac:dyDescent="0.3">
      <c r="A5407" s="3" t="str">
        <f t="shared" si="649"/>
        <v>20-06--2025</v>
      </c>
      <c r="B5407" s="11" t="s">
        <v>7859</v>
      </c>
      <c r="C5407" s="50" t="s">
        <v>8483</v>
      </c>
      <c r="E5407" s="90" t="s">
        <v>4720</v>
      </c>
      <c r="G5407" s="2">
        <v>2500</v>
      </c>
      <c r="I5407" s="88">
        <f t="shared" si="655"/>
        <v>40212.36</v>
      </c>
      <c r="K5407" s="62"/>
      <c r="L5407" s="2">
        <f t="shared" si="653"/>
        <v>10</v>
      </c>
      <c r="M5407">
        <f t="shared" si="654"/>
        <v>0</v>
      </c>
      <c r="O5407" s="62"/>
      <c r="P5407" s="62"/>
    </row>
    <row r="5408" spans="1:16" x14ac:dyDescent="0.3">
      <c r="A5408" s="3" t="str">
        <f t="shared" si="649"/>
        <v>20-06--2025</v>
      </c>
      <c r="B5408" s="11" t="s">
        <v>7649</v>
      </c>
      <c r="C5408" s="50" t="s">
        <v>8378</v>
      </c>
      <c r="E5408" s="90" t="s">
        <v>4720</v>
      </c>
      <c r="H5408" s="2">
        <v>9000</v>
      </c>
      <c r="I5408" s="88">
        <f t="shared" si="655"/>
        <v>31212.36</v>
      </c>
      <c r="K5408" s="62"/>
      <c r="L5408" s="2">
        <f t="shared" si="653"/>
        <v>20</v>
      </c>
      <c r="M5408">
        <f t="shared" si="654"/>
        <v>0</v>
      </c>
      <c r="O5408" s="62"/>
      <c r="P5408" s="62"/>
    </row>
    <row r="5409" spans="1:16" x14ac:dyDescent="0.3">
      <c r="A5409" s="3" t="str">
        <f t="shared" si="649"/>
        <v>20-06--2025</v>
      </c>
      <c r="B5409" s="11" t="s">
        <v>5186</v>
      </c>
      <c r="C5409" s="50" t="s">
        <v>8484</v>
      </c>
      <c r="E5409" s="90" t="s">
        <v>2088</v>
      </c>
      <c r="G5409" s="2">
        <v>7000</v>
      </c>
      <c r="I5409" s="88">
        <f t="shared" si="655"/>
        <v>38212.36</v>
      </c>
      <c r="K5409" s="62"/>
      <c r="L5409" s="2">
        <f t="shared" si="653"/>
        <v>25</v>
      </c>
      <c r="M5409">
        <f t="shared" si="654"/>
        <v>5</v>
      </c>
      <c r="O5409" s="62"/>
      <c r="P5409" s="62"/>
    </row>
    <row r="5410" spans="1:16" x14ac:dyDescent="0.3">
      <c r="A5410" s="3" t="str">
        <f t="shared" si="649"/>
        <v>20-06--2025</v>
      </c>
      <c r="B5410" s="11" t="s">
        <v>8486</v>
      </c>
      <c r="C5410" s="65" t="s">
        <v>8322</v>
      </c>
      <c r="E5410" s="90" t="s">
        <v>2088</v>
      </c>
      <c r="H5410" s="2">
        <v>0</v>
      </c>
      <c r="I5410" s="88">
        <f t="shared" si="655"/>
        <v>38212.36</v>
      </c>
      <c r="K5410" s="62"/>
      <c r="L5410" s="2">
        <f t="shared" si="653"/>
        <v>5</v>
      </c>
      <c r="M5410">
        <f t="shared" si="654"/>
        <v>5</v>
      </c>
      <c r="O5410" s="62"/>
      <c r="P5410" s="62"/>
    </row>
    <row r="5411" spans="1:16" x14ac:dyDescent="0.3">
      <c r="A5411" s="3" t="str">
        <f t="shared" si="649"/>
        <v>20-06--2025</v>
      </c>
      <c r="B5411" s="11" t="s">
        <v>7289</v>
      </c>
      <c r="C5411" s="50" t="s">
        <v>7290</v>
      </c>
      <c r="E5411" s="90" t="s">
        <v>4720</v>
      </c>
      <c r="G5411" s="2">
        <v>3000</v>
      </c>
      <c r="I5411" s="88">
        <f t="shared" si="655"/>
        <v>41212.36</v>
      </c>
      <c r="K5411" s="62"/>
      <c r="L5411" s="2">
        <f t="shared" si="653"/>
        <v>12</v>
      </c>
      <c r="M5411">
        <f t="shared" si="654"/>
        <v>0</v>
      </c>
      <c r="O5411" s="62"/>
      <c r="P5411" s="62"/>
    </row>
    <row r="5412" spans="1:16" x14ac:dyDescent="0.3">
      <c r="A5412" s="3" t="str">
        <f t="shared" si="649"/>
        <v>20-06--2025</v>
      </c>
      <c r="C5412" s="50" t="s">
        <v>2857</v>
      </c>
      <c r="E5412" s="90" t="s">
        <v>8332</v>
      </c>
      <c r="H5412" s="2">
        <v>35000</v>
      </c>
      <c r="I5412" s="88">
        <f t="shared" si="655"/>
        <v>6212.3600000000006</v>
      </c>
      <c r="K5412" s="62"/>
      <c r="L5412" s="2">
        <f t="shared" si="653"/>
        <v>0</v>
      </c>
      <c r="M5412">
        <f t="shared" si="654"/>
        <v>0</v>
      </c>
      <c r="O5412" s="62"/>
      <c r="P5412" s="62"/>
    </row>
    <row r="5413" spans="1:16" x14ac:dyDescent="0.3">
      <c r="A5413" s="3" t="str">
        <f t="shared" si="649"/>
        <v>20-06--2025</v>
      </c>
      <c r="B5413" s="11" t="s">
        <v>3148</v>
      </c>
      <c r="E5413" s="90" t="s">
        <v>4720</v>
      </c>
      <c r="G5413" s="2">
        <v>2700</v>
      </c>
      <c r="I5413" s="88">
        <f t="shared" si="655"/>
        <v>8912.36</v>
      </c>
      <c r="K5413" s="62"/>
      <c r="L5413" s="2">
        <f t="shared" si="653"/>
        <v>10.8</v>
      </c>
      <c r="M5413">
        <f t="shared" si="654"/>
        <v>0</v>
      </c>
      <c r="O5413" s="62"/>
      <c r="P5413" s="62"/>
    </row>
    <row r="5414" spans="1:16" x14ac:dyDescent="0.3">
      <c r="A5414" s="3" t="str">
        <f t="shared" si="649"/>
        <v>20-06--2025</v>
      </c>
      <c r="B5414" s="11" t="s">
        <v>2743</v>
      </c>
      <c r="C5414" s="50" t="s">
        <v>8496</v>
      </c>
      <c r="E5414" s="90" t="s">
        <v>4720</v>
      </c>
      <c r="G5414" s="2">
        <v>10000</v>
      </c>
      <c r="I5414" s="88">
        <f t="shared" si="655"/>
        <v>18912.36</v>
      </c>
      <c r="K5414" s="62"/>
      <c r="L5414" s="2">
        <f t="shared" si="653"/>
        <v>20</v>
      </c>
      <c r="M5414">
        <f t="shared" si="654"/>
        <v>0</v>
      </c>
      <c r="O5414" s="62"/>
      <c r="P5414" s="62"/>
    </row>
    <row r="5415" spans="1:16" x14ac:dyDescent="0.3">
      <c r="A5415" s="3" t="str">
        <f t="shared" si="649"/>
        <v>20-06--2025</v>
      </c>
      <c r="B5415" s="11" t="s">
        <v>3524</v>
      </c>
      <c r="C5415" s="50" t="s">
        <v>7733</v>
      </c>
      <c r="E5415" s="90" t="s">
        <v>4720</v>
      </c>
      <c r="H5415" s="2">
        <v>10000</v>
      </c>
      <c r="I5415" s="88">
        <f t="shared" si="655"/>
        <v>8912.36</v>
      </c>
      <c r="K5415" s="62"/>
      <c r="L5415" s="2">
        <f t="shared" si="653"/>
        <v>20</v>
      </c>
      <c r="M5415">
        <f t="shared" si="654"/>
        <v>0</v>
      </c>
      <c r="O5415" s="62"/>
      <c r="P5415" s="62"/>
    </row>
    <row r="5416" spans="1:16" x14ac:dyDescent="0.3">
      <c r="A5416" s="3" t="str">
        <f t="shared" si="649"/>
        <v>20-06--2025</v>
      </c>
      <c r="B5416" s="11" t="s">
        <v>2761</v>
      </c>
      <c r="C5416" s="50" t="s">
        <v>7918</v>
      </c>
      <c r="E5416" s="90" t="s">
        <v>4720</v>
      </c>
      <c r="G5416" s="2">
        <v>2500</v>
      </c>
      <c r="I5416" s="88">
        <f t="shared" si="655"/>
        <v>11412.36</v>
      </c>
      <c r="K5416" s="62"/>
      <c r="L5416" s="2">
        <f t="shared" ref="L5416:L5419" si="656">IF(E5416="C",0,IF((G5416+H5416)&lt;=5000,(G5416+H5416)*0.004,20)+IF(E5416="P",5,IF(E5416="Y",15,IF(E5416="YY",25))))</f>
        <v>10</v>
      </c>
      <c r="M5416">
        <f t="shared" ref="M5416:M5419" si="657">IF(E5416="p",5,0)</f>
        <v>0</v>
      </c>
      <c r="O5416" s="62"/>
      <c r="P5416" s="62"/>
    </row>
    <row r="5417" spans="1:16" x14ac:dyDescent="0.3">
      <c r="A5417" s="3">
        <v>45829</v>
      </c>
      <c r="B5417" s="11" t="s">
        <v>6486</v>
      </c>
      <c r="C5417" s="50" t="s">
        <v>8498</v>
      </c>
      <c r="E5417" s="90" t="s">
        <v>4720</v>
      </c>
      <c r="G5417" s="2">
        <v>2000</v>
      </c>
      <c r="I5417" s="88">
        <f t="shared" si="655"/>
        <v>13412.36</v>
      </c>
      <c r="K5417" s="62"/>
      <c r="L5417" s="2">
        <f t="shared" si="656"/>
        <v>8</v>
      </c>
      <c r="M5417">
        <f t="shared" si="657"/>
        <v>0</v>
      </c>
      <c r="O5417" s="62"/>
      <c r="P5417" s="62"/>
    </row>
    <row r="5418" spans="1:16" x14ac:dyDescent="0.3">
      <c r="A5418" s="3">
        <f t="shared" si="649"/>
        <v>45829</v>
      </c>
      <c r="B5418" s="11" t="s">
        <v>1250</v>
      </c>
      <c r="C5418" s="50" t="s">
        <v>8499</v>
      </c>
      <c r="E5418" s="90" t="s">
        <v>4720</v>
      </c>
      <c r="G5418" s="2">
        <v>2500</v>
      </c>
      <c r="I5418" s="88">
        <f t="shared" si="655"/>
        <v>15912.36</v>
      </c>
      <c r="K5418" s="62"/>
      <c r="L5418" s="2">
        <f t="shared" si="656"/>
        <v>10</v>
      </c>
      <c r="M5418">
        <f t="shared" si="657"/>
        <v>0</v>
      </c>
      <c r="O5418" s="62"/>
      <c r="P5418" s="62"/>
    </row>
    <row r="5419" spans="1:16" x14ac:dyDescent="0.3">
      <c r="A5419" s="3">
        <f t="shared" si="649"/>
        <v>45829</v>
      </c>
      <c r="B5419" s="11" t="s">
        <v>8016</v>
      </c>
      <c r="C5419" s="50" t="s">
        <v>8268</v>
      </c>
      <c r="E5419" s="90" t="s">
        <v>2088</v>
      </c>
      <c r="G5419" s="2">
        <v>2500</v>
      </c>
      <c r="I5419" s="88">
        <f t="shared" si="655"/>
        <v>18412.36</v>
      </c>
      <c r="K5419" s="62"/>
      <c r="L5419" s="2">
        <f t="shared" si="656"/>
        <v>15</v>
      </c>
      <c r="M5419">
        <f t="shared" si="657"/>
        <v>5</v>
      </c>
      <c r="O5419" s="62"/>
      <c r="P5419" s="62"/>
    </row>
    <row r="5420" spans="1:16" x14ac:dyDescent="0.3">
      <c r="A5420" s="3">
        <f t="shared" si="649"/>
        <v>45829</v>
      </c>
      <c r="B5420" s="11" t="s">
        <v>8492</v>
      </c>
      <c r="C5420" s="50" t="s">
        <v>8501</v>
      </c>
      <c r="E5420" s="90" t="s">
        <v>2088</v>
      </c>
      <c r="I5420" s="88">
        <f t="shared" ref="I5420:I5443" si="658">I5419+G5420-H5420</f>
        <v>18412.36</v>
      </c>
      <c r="K5420" s="62"/>
      <c r="L5420" s="2">
        <f t="shared" ref="L5420:L5429" si="659">IF(E5420="C",0,IF((G5420+H5420)&lt;=5000,(G5420+H5420)*0.004,20)+IF(E5420="P",5,IF(E5420="Y",15,IF(E5420="YY",25))))</f>
        <v>5</v>
      </c>
      <c r="M5420">
        <f t="shared" ref="M5420:M5429" si="660">IF(E5420="p",5,0)</f>
        <v>5</v>
      </c>
      <c r="O5420" s="62"/>
      <c r="P5420" s="62"/>
    </row>
    <row r="5421" spans="1:16" x14ac:dyDescent="0.3">
      <c r="A5421" s="3">
        <f t="shared" si="649"/>
        <v>45829</v>
      </c>
      <c r="B5421" s="11" t="s">
        <v>2148</v>
      </c>
      <c r="C5421" s="50" t="s">
        <v>8503</v>
      </c>
      <c r="D5421" s="50">
        <v>7091867196</v>
      </c>
      <c r="E5421" s="90" t="s">
        <v>4720</v>
      </c>
      <c r="G5421" s="2">
        <v>6500</v>
      </c>
      <c r="I5421" s="88">
        <f t="shared" si="658"/>
        <v>24912.36</v>
      </c>
      <c r="K5421" s="62"/>
      <c r="L5421" s="2">
        <f t="shared" si="659"/>
        <v>20</v>
      </c>
      <c r="M5421">
        <f t="shared" si="660"/>
        <v>0</v>
      </c>
      <c r="O5421" s="62"/>
      <c r="P5421" s="62"/>
    </row>
    <row r="5422" spans="1:16" x14ac:dyDescent="0.3">
      <c r="A5422" s="3">
        <f t="shared" si="649"/>
        <v>45829</v>
      </c>
      <c r="B5422" s="11" t="s">
        <v>8504</v>
      </c>
      <c r="C5422" s="50" t="s">
        <v>8505</v>
      </c>
      <c r="E5422" s="90" t="s">
        <v>14</v>
      </c>
      <c r="H5422" s="2">
        <v>500</v>
      </c>
      <c r="I5422" s="88">
        <f t="shared" si="658"/>
        <v>24412.36</v>
      </c>
      <c r="K5422" s="62"/>
      <c r="L5422" s="2">
        <f t="shared" si="659"/>
        <v>17</v>
      </c>
      <c r="M5422">
        <f t="shared" si="660"/>
        <v>0</v>
      </c>
      <c r="O5422" s="62"/>
      <c r="P5422" s="62"/>
    </row>
    <row r="5423" spans="1:16" x14ac:dyDescent="0.3">
      <c r="A5423" s="3">
        <f t="shared" si="649"/>
        <v>45829</v>
      </c>
      <c r="C5423" s="50" t="s">
        <v>7733</v>
      </c>
      <c r="E5423" s="90" t="s">
        <v>4720</v>
      </c>
      <c r="H5423" s="2">
        <v>10000</v>
      </c>
      <c r="I5423" s="88">
        <f t="shared" si="658"/>
        <v>14412.36</v>
      </c>
      <c r="K5423" s="62"/>
      <c r="L5423" s="2">
        <f t="shared" si="659"/>
        <v>20</v>
      </c>
      <c r="M5423">
        <f t="shared" si="660"/>
        <v>0</v>
      </c>
      <c r="O5423" s="62"/>
      <c r="P5423" s="62"/>
    </row>
    <row r="5424" spans="1:16" x14ac:dyDescent="0.3">
      <c r="A5424" s="3">
        <f t="shared" si="649"/>
        <v>45829</v>
      </c>
      <c r="B5424" s="11" t="s">
        <v>2351</v>
      </c>
      <c r="C5424" s="50" t="s">
        <v>8506</v>
      </c>
      <c r="E5424" s="90" t="s">
        <v>4720</v>
      </c>
      <c r="G5424" s="2">
        <v>500</v>
      </c>
      <c r="I5424" s="88">
        <f t="shared" si="658"/>
        <v>14912.36</v>
      </c>
      <c r="J5424">
        <v>12955</v>
      </c>
      <c r="K5424" s="62">
        <f>I5424-J5424</f>
        <v>1957.3600000000006</v>
      </c>
      <c r="L5424" s="2">
        <f t="shared" si="659"/>
        <v>2</v>
      </c>
      <c r="M5424">
        <f t="shared" si="660"/>
        <v>0</v>
      </c>
      <c r="O5424" s="62"/>
      <c r="P5424" s="62"/>
    </row>
    <row r="5425" spans="1:16" x14ac:dyDescent="0.3">
      <c r="A5425" s="3">
        <f t="shared" si="649"/>
        <v>45829</v>
      </c>
      <c r="B5425" s="11" t="s">
        <v>1472</v>
      </c>
      <c r="C5425" s="50" t="s">
        <v>8507</v>
      </c>
      <c r="D5425" s="50">
        <v>9204265842</v>
      </c>
      <c r="E5425" s="90" t="s">
        <v>4720</v>
      </c>
      <c r="G5425" s="2">
        <v>6500</v>
      </c>
      <c r="I5425" s="88">
        <f t="shared" si="658"/>
        <v>21412.36</v>
      </c>
      <c r="K5425" s="62"/>
      <c r="L5425" s="2">
        <f t="shared" si="659"/>
        <v>20</v>
      </c>
      <c r="M5425">
        <f t="shared" si="660"/>
        <v>0</v>
      </c>
      <c r="O5425" s="62"/>
      <c r="P5425" s="62"/>
    </row>
    <row r="5426" spans="1:16" x14ac:dyDescent="0.3">
      <c r="A5426" s="3">
        <f t="shared" si="649"/>
        <v>45829</v>
      </c>
      <c r="B5426" s="11" t="s">
        <v>8508</v>
      </c>
      <c r="C5426" s="50" t="s">
        <v>8509</v>
      </c>
      <c r="E5426" s="90" t="s">
        <v>2088</v>
      </c>
      <c r="G5426" s="2">
        <v>4000</v>
      </c>
      <c r="I5426" s="88">
        <f t="shared" si="658"/>
        <v>25412.36</v>
      </c>
      <c r="K5426" s="62"/>
      <c r="L5426" s="2">
        <f t="shared" si="659"/>
        <v>21</v>
      </c>
      <c r="M5426">
        <f t="shared" si="660"/>
        <v>5</v>
      </c>
      <c r="O5426" s="62"/>
      <c r="P5426" s="62"/>
    </row>
    <row r="5427" spans="1:16" x14ac:dyDescent="0.3">
      <c r="A5427" s="3">
        <f t="shared" si="649"/>
        <v>45829</v>
      </c>
      <c r="B5427" s="11" t="s">
        <v>5839</v>
      </c>
      <c r="C5427" s="50" t="s">
        <v>8233</v>
      </c>
      <c r="E5427" s="90" t="s">
        <v>2088</v>
      </c>
      <c r="G5427" s="2">
        <v>10000</v>
      </c>
      <c r="I5427" s="88">
        <f t="shared" si="658"/>
        <v>35412.36</v>
      </c>
      <c r="K5427" s="62"/>
      <c r="L5427" s="2">
        <f t="shared" si="659"/>
        <v>25</v>
      </c>
      <c r="M5427">
        <f t="shared" si="660"/>
        <v>5</v>
      </c>
      <c r="O5427" s="62"/>
      <c r="P5427" s="62"/>
    </row>
    <row r="5428" spans="1:16" x14ac:dyDescent="0.3">
      <c r="A5428" s="3">
        <f t="shared" si="649"/>
        <v>45829</v>
      </c>
      <c r="B5428" s="11" t="s">
        <v>1250</v>
      </c>
      <c r="C5428" s="50" t="s">
        <v>7372</v>
      </c>
      <c r="E5428" s="90" t="s">
        <v>4720</v>
      </c>
      <c r="G5428" s="2">
        <v>3000</v>
      </c>
      <c r="I5428" s="88">
        <f t="shared" si="658"/>
        <v>38412.36</v>
      </c>
      <c r="K5428" s="62"/>
      <c r="L5428" s="2">
        <f t="shared" si="659"/>
        <v>12</v>
      </c>
      <c r="M5428">
        <f t="shared" si="660"/>
        <v>0</v>
      </c>
      <c r="O5428" s="62"/>
      <c r="P5428" s="62"/>
    </row>
    <row r="5429" spans="1:16" x14ac:dyDescent="0.3">
      <c r="A5429" s="3">
        <v>45830</v>
      </c>
      <c r="B5429" s="11" t="s">
        <v>7432</v>
      </c>
      <c r="C5429" s="50" t="s">
        <v>8512</v>
      </c>
      <c r="E5429" s="90" t="s">
        <v>2088</v>
      </c>
      <c r="G5429" s="2">
        <v>3000</v>
      </c>
      <c r="I5429" s="88">
        <f t="shared" si="658"/>
        <v>41412.36</v>
      </c>
      <c r="J5429">
        <v>33955</v>
      </c>
      <c r="K5429" s="62">
        <f t="shared" ref="K5429" si="661">I5429-J5429</f>
        <v>7457.3600000000006</v>
      </c>
      <c r="L5429" s="2">
        <f t="shared" si="659"/>
        <v>17</v>
      </c>
      <c r="M5429">
        <f t="shared" si="660"/>
        <v>5</v>
      </c>
      <c r="O5429" s="62"/>
      <c r="P5429" s="62"/>
    </row>
    <row r="5430" spans="1:16" x14ac:dyDescent="0.3">
      <c r="A5430" s="3">
        <f t="shared" si="649"/>
        <v>45830</v>
      </c>
      <c r="B5430" s="11" t="s">
        <v>5085</v>
      </c>
      <c r="C5430" s="50" t="s">
        <v>8513</v>
      </c>
      <c r="E5430" s="90" t="s">
        <v>2088</v>
      </c>
      <c r="G5430" s="2">
        <v>2500</v>
      </c>
      <c r="I5430" s="88">
        <f t="shared" si="658"/>
        <v>43912.36</v>
      </c>
      <c r="K5430" s="62"/>
      <c r="L5430" s="2">
        <f t="shared" ref="L5430:L5443" si="662">IF(E5430="C",0,IF((G5430+H5430)&lt;=5000,(G5430+H5430)*0.004,20)+IF(E5430="P",5,IF(E5430="Y",15,IF(E5430="YY",25))))</f>
        <v>15</v>
      </c>
      <c r="M5430">
        <f t="shared" ref="M5430:M5443" si="663">IF(E5430="p",5,0)</f>
        <v>5</v>
      </c>
      <c r="O5430" s="62"/>
      <c r="P5430" s="62"/>
    </row>
    <row r="5431" spans="1:16" x14ac:dyDescent="0.3">
      <c r="A5431" s="3">
        <f t="shared" si="649"/>
        <v>45830</v>
      </c>
      <c r="B5431" s="11" t="s">
        <v>8446</v>
      </c>
      <c r="C5431" s="50" t="s">
        <v>8514</v>
      </c>
      <c r="E5431" s="90" t="s">
        <v>4720</v>
      </c>
      <c r="G5431" s="2">
        <v>10000</v>
      </c>
      <c r="I5431" s="88">
        <f t="shared" si="658"/>
        <v>53912.36</v>
      </c>
      <c r="K5431" s="62"/>
      <c r="L5431" s="2">
        <f t="shared" si="662"/>
        <v>20</v>
      </c>
      <c r="M5431">
        <f t="shared" si="663"/>
        <v>0</v>
      </c>
      <c r="O5431" s="62"/>
      <c r="P5431" s="62"/>
    </row>
    <row r="5432" spans="1:16" x14ac:dyDescent="0.3">
      <c r="A5432" s="3">
        <f t="shared" si="649"/>
        <v>45830</v>
      </c>
      <c r="B5432" s="11" t="s">
        <v>8515</v>
      </c>
      <c r="C5432" s="50" t="s">
        <v>3248</v>
      </c>
      <c r="E5432" s="90" t="s">
        <v>4720</v>
      </c>
      <c r="H5432" s="2">
        <v>2500</v>
      </c>
      <c r="I5432" s="88">
        <f t="shared" si="658"/>
        <v>51412.36</v>
      </c>
      <c r="K5432" s="62"/>
      <c r="L5432" s="2">
        <f t="shared" si="662"/>
        <v>10</v>
      </c>
      <c r="M5432">
        <f t="shared" si="663"/>
        <v>0</v>
      </c>
      <c r="O5432" s="62"/>
      <c r="P5432" s="62"/>
    </row>
    <row r="5433" spans="1:16" x14ac:dyDescent="0.3">
      <c r="A5433" s="3">
        <f t="shared" si="649"/>
        <v>45830</v>
      </c>
      <c r="B5433" s="11" t="s">
        <v>1250</v>
      </c>
      <c r="C5433" s="50" t="s">
        <v>2443</v>
      </c>
      <c r="E5433" s="90" t="s">
        <v>4720</v>
      </c>
      <c r="G5433" s="2">
        <v>1500</v>
      </c>
      <c r="I5433" s="88">
        <f t="shared" si="658"/>
        <v>52912.36</v>
      </c>
      <c r="K5433" s="62"/>
      <c r="L5433" s="2">
        <f t="shared" si="662"/>
        <v>6</v>
      </c>
      <c r="M5433">
        <f t="shared" si="663"/>
        <v>0</v>
      </c>
      <c r="O5433" s="62"/>
      <c r="P5433" s="62"/>
    </row>
    <row r="5434" spans="1:16" x14ac:dyDescent="0.3">
      <c r="A5434" s="3">
        <v>45831</v>
      </c>
      <c r="B5434" s="11" t="s">
        <v>6260</v>
      </c>
      <c r="C5434" s="50" t="s">
        <v>7117</v>
      </c>
      <c r="E5434" s="90" t="s">
        <v>4720</v>
      </c>
      <c r="H5434" s="2">
        <v>10000</v>
      </c>
      <c r="I5434" s="88">
        <f t="shared" si="658"/>
        <v>42912.36</v>
      </c>
      <c r="K5434" s="62"/>
      <c r="L5434" s="2">
        <f t="shared" si="662"/>
        <v>20</v>
      </c>
      <c r="M5434">
        <f t="shared" si="663"/>
        <v>0</v>
      </c>
      <c r="O5434" s="62"/>
      <c r="P5434" s="62"/>
    </row>
    <row r="5435" spans="1:16" x14ac:dyDescent="0.3">
      <c r="A5435" s="3">
        <f t="shared" ref="A5435:A5497" si="664">A5434</f>
        <v>45831</v>
      </c>
      <c r="B5435" s="11" t="s">
        <v>3788</v>
      </c>
      <c r="C5435" s="50" t="s">
        <v>4335</v>
      </c>
      <c r="E5435" s="90" t="s">
        <v>4720</v>
      </c>
      <c r="H5435" s="2">
        <v>2000</v>
      </c>
      <c r="I5435" s="88">
        <f t="shared" si="658"/>
        <v>40912.36</v>
      </c>
      <c r="K5435" s="62"/>
      <c r="L5435" s="2">
        <f t="shared" si="662"/>
        <v>8</v>
      </c>
      <c r="M5435">
        <f t="shared" si="663"/>
        <v>0</v>
      </c>
      <c r="O5435" s="62"/>
      <c r="P5435" s="62"/>
    </row>
    <row r="5436" spans="1:16" x14ac:dyDescent="0.3">
      <c r="A5436" s="3">
        <f t="shared" si="664"/>
        <v>45831</v>
      </c>
      <c r="C5436" s="50" t="s">
        <v>4215</v>
      </c>
      <c r="E5436" s="90" t="s">
        <v>4720</v>
      </c>
      <c r="H5436" s="2">
        <v>1457</v>
      </c>
      <c r="I5436" s="88">
        <f t="shared" si="658"/>
        <v>39455.360000000001</v>
      </c>
      <c r="K5436" s="62"/>
      <c r="L5436" s="2">
        <f t="shared" si="662"/>
        <v>5.8280000000000003</v>
      </c>
      <c r="M5436">
        <f t="shared" si="663"/>
        <v>0</v>
      </c>
      <c r="O5436" s="62"/>
      <c r="P5436" s="62"/>
    </row>
    <row r="5437" spans="1:16" x14ac:dyDescent="0.3">
      <c r="A5437" s="3">
        <f t="shared" si="664"/>
        <v>45831</v>
      </c>
      <c r="B5437" s="11" t="s">
        <v>7060</v>
      </c>
      <c r="C5437" s="50" t="s">
        <v>7061</v>
      </c>
      <c r="E5437" s="90" t="s">
        <v>2088</v>
      </c>
      <c r="G5437" s="2">
        <v>2500</v>
      </c>
      <c r="I5437" s="88">
        <f t="shared" si="658"/>
        <v>41955.360000000001</v>
      </c>
      <c r="K5437" s="62"/>
      <c r="L5437" s="2">
        <f t="shared" si="662"/>
        <v>15</v>
      </c>
      <c r="M5437">
        <f t="shared" si="663"/>
        <v>5</v>
      </c>
      <c r="O5437" s="62"/>
      <c r="P5437" s="62"/>
    </row>
    <row r="5438" spans="1:16" x14ac:dyDescent="0.3">
      <c r="A5438" s="3">
        <f t="shared" si="664"/>
        <v>45831</v>
      </c>
      <c r="C5438" s="50" t="s">
        <v>2857</v>
      </c>
      <c r="E5438" s="90" t="s">
        <v>8332</v>
      </c>
      <c r="H5438" s="2">
        <v>40000</v>
      </c>
      <c r="I5438" s="88">
        <f t="shared" si="658"/>
        <v>1955.3600000000006</v>
      </c>
      <c r="K5438" s="62"/>
      <c r="L5438" s="2">
        <f t="shared" si="662"/>
        <v>0</v>
      </c>
      <c r="M5438">
        <f t="shared" si="663"/>
        <v>0</v>
      </c>
      <c r="O5438" s="62"/>
      <c r="P5438" s="62"/>
    </row>
    <row r="5439" spans="1:16" x14ac:dyDescent="0.3">
      <c r="A5439" s="3">
        <f t="shared" si="664"/>
        <v>45831</v>
      </c>
      <c r="B5439" s="11" t="s">
        <v>8504</v>
      </c>
      <c r="C5439" s="50" t="s">
        <v>8510</v>
      </c>
      <c r="E5439" s="90" t="s">
        <v>4720</v>
      </c>
      <c r="I5439" s="88">
        <f t="shared" si="658"/>
        <v>1955.3600000000006</v>
      </c>
      <c r="K5439" s="62"/>
      <c r="L5439" s="2">
        <f t="shared" si="662"/>
        <v>0</v>
      </c>
      <c r="M5439">
        <f t="shared" si="663"/>
        <v>0</v>
      </c>
      <c r="O5439" s="62"/>
      <c r="P5439" s="62"/>
    </row>
    <row r="5440" spans="1:16" x14ac:dyDescent="0.3">
      <c r="A5440" s="3">
        <f t="shared" si="664"/>
        <v>45831</v>
      </c>
      <c r="B5440" s="11" t="s">
        <v>8518</v>
      </c>
      <c r="C5440" s="50" t="s">
        <v>8520</v>
      </c>
      <c r="E5440" s="90" t="s">
        <v>16</v>
      </c>
      <c r="H5440" s="2">
        <v>500</v>
      </c>
      <c r="I5440" s="88">
        <f t="shared" si="658"/>
        <v>1455.3600000000006</v>
      </c>
      <c r="K5440" s="62"/>
      <c r="L5440" s="2">
        <f t="shared" si="662"/>
        <v>17</v>
      </c>
      <c r="M5440">
        <f t="shared" si="663"/>
        <v>0</v>
      </c>
      <c r="O5440" s="62"/>
      <c r="P5440" s="62"/>
    </row>
    <row r="5441" spans="1:16" x14ac:dyDescent="0.3">
      <c r="A5441" s="3">
        <f t="shared" si="664"/>
        <v>45831</v>
      </c>
      <c r="B5441" s="11" t="s">
        <v>7186</v>
      </c>
      <c r="C5441" s="50" t="s">
        <v>8039</v>
      </c>
      <c r="E5441" s="90" t="s">
        <v>2088</v>
      </c>
      <c r="G5441" s="2">
        <v>9000</v>
      </c>
      <c r="I5441" s="88">
        <f t="shared" si="658"/>
        <v>10455.36</v>
      </c>
      <c r="K5441" s="62"/>
      <c r="L5441" s="2">
        <f t="shared" si="662"/>
        <v>25</v>
      </c>
      <c r="M5441">
        <f t="shared" si="663"/>
        <v>5</v>
      </c>
      <c r="O5441" s="62"/>
      <c r="P5441" s="62"/>
    </row>
    <row r="5442" spans="1:16" x14ac:dyDescent="0.3">
      <c r="A5442" s="3">
        <f t="shared" si="664"/>
        <v>45831</v>
      </c>
      <c r="B5442" s="11" t="s">
        <v>7312</v>
      </c>
      <c r="C5442" s="50" t="s">
        <v>8521</v>
      </c>
      <c r="E5442" s="90" t="s">
        <v>4720</v>
      </c>
      <c r="G5442" s="2">
        <v>2500</v>
      </c>
      <c r="I5442" s="88">
        <f t="shared" si="658"/>
        <v>12955.36</v>
      </c>
      <c r="K5442" s="62"/>
      <c r="L5442" s="2">
        <f t="shared" si="662"/>
        <v>10</v>
      </c>
      <c r="M5442">
        <f t="shared" si="663"/>
        <v>0</v>
      </c>
      <c r="O5442" s="62"/>
      <c r="P5442" s="62"/>
    </row>
    <row r="5443" spans="1:16" x14ac:dyDescent="0.3">
      <c r="A5443" s="3">
        <f t="shared" si="664"/>
        <v>45831</v>
      </c>
      <c r="B5443" s="11" t="s">
        <v>1250</v>
      </c>
      <c r="C5443" s="50" t="s">
        <v>8522</v>
      </c>
      <c r="E5443" s="90" t="s">
        <v>4720</v>
      </c>
      <c r="H5443" s="2">
        <v>5000</v>
      </c>
      <c r="I5443" s="88">
        <f t="shared" si="658"/>
        <v>7955.3600000000006</v>
      </c>
      <c r="K5443" s="62"/>
      <c r="L5443" s="2">
        <f t="shared" si="662"/>
        <v>20</v>
      </c>
      <c r="M5443">
        <f t="shared" si="663"/>
        <v>0</v>
      </c>
      <c r="O5443" s="62"/>
      <c r="P5443" s="62"/>
    </row>
    <row r="5444" spans="1:16" x14ac:dyDescent="0.3">
      <c r="A5444" s="3">
        <f t="shared" si="664"/>
        <v>45831</v>
      </c>
      <c r="B5444" s="11" t="s">
        <v>8341</v>
      </c>
      <c r="C5444" s="50" t="s">
        <v>8342</v>
      </c>
      <c r="E5444" s="90" t="s">
        <v>4720</v>
      </c>
      <c r="H5444" s="2">
        <v>1500</v>
      </c>
      <c r="I5444" s="88">
        <f t="shared" ref="I5444:I5456" si="665">I5443+G5444-H5444</f>
        <v>6455.3600000000006</v>
      </c>
      <c r="K5444" s="62"/>
      <c r="L5444" s="2">
        <f t="shared" ref="L5444:L5456" si="666">IF(E5444="C",0,IF((G5444+H5444)&lt;=5000,(G5444+H5444)*0.004,20)+IF(E5444="P",5,IF(E5444="Y",15,IF(E5444="YY",25))))</f>
        <v>6</v>
      </c>
      <c r="M5444">
        <f t="shared" ref="M5444:M5456" si="667">IF(E5444="p",5,0)</f>
        <v>0</v>
      </c>
      <c r="O5444" s="62"/>
      <c r="P5444" s="62"/>
    </row>
    <row r="5445" spans="1:16" x14ac:dyDescent="0.3">
      <c r="A5445" s="3">
        <f t="shared" si="664"/>
        <v>45831</v>
      </c>
      <c r="B5445" s="11" t="s">
        <v>4752</v>
      </c>
      <c r="C5445" s="50" t="s">
        <v>5806</v>
      </c>
      <c r="E5445" s="90" t="s">
        <v>4720</v>
      </c>
      <c r="G5445" s="2">
        <v>2000</v>
      </c>
      <c r="I5445" s="88">
        <f t="shared" si="665"/>
        <v>8455.36</v>
      </c>
      <c r="K5445" s="62"/>
      <c r="L5445" s="2">
        <f t="shared" si="666"/>
        <v>8</v>
      </c>
      <c r="M5445">
        <f t="shared" si="667"/>
        <v>0</v>
      </c>
      <c r="O5445" s="62"/>
      <c r="P5445" s="62"/>
    </row>
    <row r="5446" spans="1:16" x14ac:dyDescent="0.3">
      <c r="A5446" s="3">
        <v>45832</v>
      </c>
      <c r="B5446" s="11" t="s">
        <v>6766</v>
      </c>
      <c r="C5446" s="50" t="s">
        <v>8262</v>
      </c>
      <c r="E5446" s="90" t="s">
        <v>2088</v>
      </c>
      <c r="G5446" s="2">
        <v>5500</v>
      </c>
      <c r="I5446" s="88">
        <f t="shared" si="665"/>
        <v>13955.36</v>
      </c>
      <c r="K5446" s="62"/>
      <c r="L5446" s="2">
        <f t="shared" si="666"/>
        <v>25</v>
      </c>
      <c r="M5446">
        <f t="shared" si="667"/>
        <v>5</v>
      </c>
      <c r="O5446" s="62"/>
      <c r="P5446" s="62"/>
    </row>
    <row r="5447" spans="1:16" x14ac:dyDescent="0.3">
      <c r="A5447" s="3">
        <f t="shared" si="664"/>
        <v>45832</v>
      </c>
      <c r="B5447" s="11" t="s">
        <v>3047</v>
      </c>
      <c r="C5447" s="50" t="s">
        <v>8523</v>
      </c>
      <c r="E5447" s="90" t="s">
        <v>2088</v>
      </c>
      <c r="H5447" s="2">
        <v>1000</v>
      </c>
      <c r="I5447" s="88">
        <f t="shared" si="665"/>
        <v>12955.36</v>
      </c>
      <c r="K5447" s="62"/>
      <c r="L5447" s="2">
        <f t="shared" si="666"/>
        <v>9</v>
      </c>
      <c r="M5447">
        <f t="shared" si="667"/>
        <v>5</v>
      </c>
      <c r="O5447" s="62"/>
      <c r="P5447" s="62"/>
    </row>
    <row r="5448" spans="1:16" x14ac:dyDescent="0.3">
      <c r="A5448" s="3">
        <f t="shared" si="664"/>
        <v>45832</v>
      </c>
      <c r="B5448" s="11" t="s">
        <v>3477</v>
      </c>
      <c r="C5448" s="50" t="s">
        <v>8524</v>
      </c>
      <c r="E5448" s="90" t="s">
        <v>4720</v>
      </c>
      <c r="H5448" s="2">
        <v>1000</v>
      </c>
      <c r="I5448" s="88">
        <f t="shared" si="665"/>
        <v>11955.36</v>
      </c>
      <c r="K5448" s="62"/>
      <c r="L5448" s="2">
        <f t="shared" si="666"/>
        <v>4</v>
      </c>
      <c r="M5448">
        <f t="shared" si="667"/>
        <v>0</v>
      </c>
      <c r="O5448" s="62"/>
      <c r="P5448" s="62"/>
    </row>
    <row r="5449" spans="1:16" x14ac:dyDescent="0.3">
      <c r="A5449" s="3">
        <f t="shared" si="664"/>
        <v>45832</v>
      </c>
      <c r="B5449" s="11" t="s">
        <v>3456</v>
      </c>
      <c r="C5449" s="50" t="s">
        <v>3459</v>
      </c>
      <c r="E5449" s="90" t="s">
        <v>2088</v>
      </c>
      <c r="G5449" s="2">
        <v>400</v>
      </c>
      <c r="I5449" s="88">
        <f t="shared" si="665"/>
        <v>12355.36</v>
      </c>
      <c r="K5449" s="62"/>
      <c r="L5449" s="2">
        <f t="shared" si="666"/>
        <v>6.6</v>
      </c>
      <c r="M5449">
        <f t="shared" si="667"/>
        <v>5</v>
      </c>
      <c r="O5449" s="62"/>
      <c r="P5449" s="62"/>
    </row>
    <row r="5450" spans="1:16" x14ac:dyDescent="0.3">
      <c r="A5450" s="3">
        <f t="shared" si="664"/>
        <v>45832</v>
      </c>
      <c r="B5450" s="11" t="s">
        <v>3849</v>
      </c>
      <c r="C5450" s="50" t="s">
        <v>2551</v>
      </c>
      <c r="E5450" s="90" t="s">
        <v>4720</v>
      </c>
      <c r="H5450" s="2">
        <v>5000</v>
      </c>
      <c r="I5450" s="88">
        <f t="shared" si="665"/>
        <v>7355.3600000000006</v>
      </c>
      <c r="K5450" s="62"/>
      <c r="L5450" s="2">
        <f t="shared" si="666"/>
        <v>20</v>
      </c>
      <c r="M5450">
        <f t="shared" si="667"/>
        <v>0</v>
      </c>
      <c r="O5450" s="62"/>
      <c r="P5450" s="62"/>
    </row>
    <row r="5451" spans="1:16" x14ac:dyDescent="0.3">
      <c r="A5451" s="3">
        <f t="shared" si="664"/>
        <v>45832</v>
      </c>
      <c r="B5451" s="11" t="s">
        <v>8526</v>
      </c>
      <c r="C5451" s="65" t="s">
        <v>8489</v>
      </c>
      <c r="E5451" s="90" t="s">
        <v>2088</v>
      </c>
      <c r="H5451" s="2">
        <v>0</v>
      </c>
      <c r="I5451" s="88">
        <f t="shared" si="665"/>
        <v>7355.3600000000006</v>
      </c>
      <c r="K5451" s="62"/>
      <c r="L5451" s="2">
        <f t="shared" si="666"/>
        <v>5</v>
      </c>
      <c r="M5451">
        <f t="shared" si="667"/>
        <v>5</v>
      </c>
      <c r="O5451" s="62"/>
      <c r="P5451" s="62"/>
    </row>
    <row r="5452" spans="1:16" x14ac:dyDescent="0.3">
      <c r="A5452" s="3">
        <f t="shared" si="664"/>
        <v>45832</v>
      </c>
      <c r="B5452" s="11" t="s">
        <v>8529</v>
      </c>
      <c r="C5452" s="50" t="s">
        <v>8530</v>
      </c>
      <c r="E5452" s="90" t="s">
        <v>4720</v>
      </c>
      <c r="G5452" s="2">
        <v>1000</v>
      </c>
      <c r="I5452" s="88">
        <f t="shared" si="665"/>
        <v>8355.36</v>
      </c>
      <c r="K5452" s="62"/>
      <c r="L5452" s="2">
        <f t="shared" si="666"/>
        <v>4</v>
      </c>
      <c r="M5452">
        <f t="shared" si="667"/>
        <v>0</v>
      </c>
      <c r="O5452" s="62"/>
      <c r="P5452" s="62"/>
    </row>
    <row r="5453" spans="1:16" x14ac:dyDescent="0.3">
      <c r="A5453" s="3">
        <f t="shared" si="664"/>
        <v>45832</v>
      </c>
      <c r="B5453" s="11" t="s">
        <v>1250</v>
      </c>
      <c r="C5453" s="50" t="s">
        <v>5909</v>
      </c>
      <c r="E5453" s="90" t="s">
        <v>4720</v>
      </c>
      <c r="G5453" s="2">
        <v>500</v>
      </c>
      <c r="I5453" s="88">
        <f t="shared" si="665"/>
        <v>8855.36</v>
      </c>
      <c r="K5453" s="62"/>
      <c r="L5453" s="2">
        <f t="shared" si="666"/>
        <v>2</v>
      </c>
      <c r="M5453">
        <f t="shared" si="667"/>
        <v>0</v>
      </c>
      <c r="O5453" s="62"/>
      <c r="P5453" s="62"/>
    </row>
    <row r="5454" spans="1:16" x14ac:dyDescent="0.3">
      <c r="A5454" s="3">
        <f t="shared" si="664"/>
        <v>45832</v>
      </c>
      <c r="B5454" s="11" t="s">
        <v>8531</v>
      </c>
      <c r="C5454" s="50" t="s">
        <v>8027</v>
      </c>
      <c r="D5454" s="50" t="s">
        <v>8532</v>
      </c>
      <c r="E5454" s="90" t="s">
        <v>4720</v>
      </c>
      <c r="G5454" s="2">
        <v>3000</v>
      </c>
      <c r="I5454" s="88">
        <f t="shared" si="665"/>
        <v>11855.36</v>
      </c>
      <c r="K5454" s="62"/>
      <c r="L5454" s="2">
        <f t="shared" si="666"/>
        <v>12</v>
      </c>
      <c r="M5454">
        <f t="shared" si="667"/>
        <v>0</v>
      </c>
      <c r="O5454" s="62"/>
      <c r="P5454" s="62"/>
    </row>
    <row r="5455" spans="1:16" x14ac:dyDescent="0.3">
      <c r="A5455" s="3">
        <f t="shared" si="664"/>
        <v>45832</v>
      </c>
      <c r="B5455" s="11" t="s">
        <v>1472</v>
      </c>
      <c r="C5455" s="50" t="s">
        <v>8507</v>
      </c>
      <c r="D5455" s="50">
        <v>9204265842</v>
      </c>
      <c r="E5455" s="90" t="s">
        <v>4720</v>
      </c>
      <c r="G5455" s="2">
        <v>10000</v>
      </c>
      <c r="I5455" s="88">
        <f t="shared" si="665"/>
        <v>21855.360000000001</v>
      </c>
      <c r="K5455" s="62"/>
      <c r="L5455" s="2">
        <f t="shared" si="666"/>
        <v>20</v>
      </c>
      <c r="M5455">
        <f t="shared" si="667"/>
        <v>0</v>
      </c>
      <c r="O5455" s="62"/>
      <c r="P5455" s="62"/>
    </row>
    <row r="5456" spans="1:16" x14ac:dyDescent="0.3">
      <c r="A5456" s="3">
        <f t="shared" si="664"/>
        <v>45832</v>
      </c>
      <c r="B5456" s="11" t="s">
        <v>1250</v>
      </c>
      <c r="C5456" s="50" t="s">
        <v>2443</v>
      </c>
      <c r="E5456" s="90" t="s">
        <v>4720</v>
      </c>
      <c r="G5456" s="2">
        <v>2500</v>
      </c>
      <c r="I5456" s="88">
        <f t="shared" si="665"/>
        <v>24355.360000000001</v>
      </c>
      <c r="K5456" s="62"/>
      <c r="L5456" s="2">
        <f t="shared" si="666"/>
        <v>10</v>
      </c>
      <c r="M5456">
        <f t="shared" si="667"/>
        <v>0</v>
      </c>
      <c r="O5456" s="62"/>
      <c r="P5456" s="62"/>
    </row>
    <row r="5457" spans="1:16" x14ac:dyDescent="0.3">
      <c r="A5457" s="3">
        <v>45833</v>
      </c>
      <c r="B5457" s="11" t="s">
        <v>7394</v>
      </c>
      <c r="C5457" s="50" t="s">
        <v>7395</v>
      </c>
      <c r="E5457" s="90" t="s">
        <v>4720</v>
      </c>
      <c r="H5457" s="2">
        <v>200</v>
      </c>
      <c r="I5457" s="88">
        <f t="shared" ref="I5457:I5501" si="668">I5456+G5457-H5457</f>
        <v>24155.360000000001</v>
      </c>
      <c r="K5457" s="62"/>
      <c r="L5457" s="2">
        <f t="shared" ref="L5457:L5472" si="669">IF(E5457="C",0,IF((G5457+H5457)&lt;=5000,(G5457+H5457)*0.004,20)+IF(E5457="P",5,IF(E5457="Y",15,IF(E5457="YY",25))))</f>
        <v>0.8</v>
      </c>
      <c r="M5457">
        <f t="shared" ref="M5457:M5472" si="670">IF(E5457="p",5,0)</f>
        <v>0</v>
      </c>
      <c r="O5457" s="62"/>
      <c r="P5457" s="62"/>
    </row>
    <row r="5458" spans="1:16" x14ac:dyDescent="0.3">
      <c r="A5458" s="3">
        <f t="shared" si="664"/>
        <v>45833</v>
      </c>
      <c r="B5458" s="11" t="s">
        <v>8016</v>
      </c>
      <c r="C5458" s="50" t="s">
        <v>8268</v>
      </c>
      <c r="D5458" s="50">
        <v>9102294858</v>
      </c>
      <c r="E5458" s="90" t="s">
        <v>2088</v>
      </c>
      <c r="G5458" s="2">
        <v>1300</v>
      </c>
      <c r="I5458" s="88">
        <f t="shared" si="668"/>
        <v>25455.360000000001</v>
      </c>
      <c r="K5458" s="62"/>
      <c r="L5458" s="2">
        <f t="shared" si="669"/>
        <v>10.199999999999999</v>
      </c>
      <c r="M5458">
        <f t="shared" si="670"/>
        <v>5</v>
      </c>
      <c r="O5458" s="62"/>
      <c r="P5458" s="62"/>
    </row>
    <row r="5459" spans="1:16" x14ac:dyDescent="0.3">
      <c r="A5459" s="3">
        <f t="shared" si="664"/>
        <v>45833</v>
      </c>
      <c r="B5459" s="11" t="s">
        <v>8016</v>
      </c>
      <c r="C5459" s="50" t="s">
        <v>8268</v>
      </c>
      <c r="D5459" s="50">
        <v>9102294858</v>
      </c>
      <c r="E5459" s="90" t="s">
        <v>4720</v>
      </c>
      <c r="G5459" s="2">
        <v>1000</v>
      </c>
      <c r="I5459" s="88">
        <f t="shared" si="668"/>
        <v>26455.360000000001</v>
      </c>
      <c r="K5459" s="62"/>
      <c r="L5459" s="2">
        <f t="shared" si="669"/>
        <v>4</v>
      </c>
      <c r="M5459">
        <f t="shared" si="670"/>
        <v>0</v>
      </c>
      <c r="O5459" s="62"/>
      <c r="P5459" s="62"/>
    </row>
    <row r="5460" spans="1:16" x14ac:dyDescent="0.3">
      <c r="A5460" s="3">
        <f t="shared" si="664"/>
        <v>45833</v>
      </c>
      <c r="B5460" s="11" t="s">
        <v>2241</v>
      </c>
      <c r="C5460" s="50" t="s">
        <v>4310</v>
      </c>
      <c r="E5460" s="90" t="s">
        <v>4720</v>
      </c>
      <c r="G5460" s="2">
        <v>500</v>
      </c>
      <c r="I5460" s="88">
        <f t="shared" si="668"/>
        <v>26955.360000000001</v>
      </c>
      <c r="K5460" s="62"/>
      <c r="L5460" s="2">
        <f t="shared" si="669"/>
        <v>2</v>
      </c>
      <c r="M5460">
        <f t="shared" si="670"/>
        <v>0</v>
      </c>
      <c r="O5460" s="62"/>
      <c r="P5460" s="62"/>
    </row>
    <row r="5461" spans="1:16" x14ac:dyDescent="0.3">
      <c r="A5461" s="3">
        <f t="shared" si="664"/>
        <v>45833</v>
      </c>
      <c r="B5461" s="11" t="s">
        <v>1250</v>
      </c>
      <c r="C5461" s="50" t="s">
        <v>6288</v>
      </c>
      <c r="E5461" s="90" t="s">
        <v>4720</v>
      </c>
      <c r="G5461" s="2">
        <v>500</v>
      </c>
      <c r="I5461" s="88">
        <f t="shared" si="668"/>
        <v>27455.360000000001</v>
      </c>
      <c r="K5461" s="62"/>
      <c r="L5461" s="2">
        <f t="shared" si="669"/>
        <v>2</v>
      </c>
      <c r="M5461">
        <f t="shared" si="670"/>
        <v>0</v>
      </c>
      <c r="O5461" s="62"/>
      <c r="P5461" s="62"/>
    </row>
    <row r="5462" spans="1:16" x14ac:dyDescent="0.3">
      <c r="A5462" s="3">
        <f t="shared" si="664"/>
        <v>45833</v>
      </c>
      <c r="B5462" s="11" t="s">
        <v>3504</v>
      </c>
      <c r="C5462" s="50" t="s">
        <v>2652</v>
      </c>
      <c r="E5462" s="90" t="s">
        <v>4720</v>
      </c>
      <c r="H5462" s="2">
        <v>1000</v>
      </c>
      <c r="I5462" s="88">
        <f t="shared" si="668"/>
        <v>26455.360000000001</v>
      </c>
      <c r="K5462" s="62"/>
      <c r="L5462" s="2">
        <f t="shared" si="669"/>
        <v>4</v>
      </c>
      <c r="M5462">
        <f t="shared" si="670"/>
        <v>0</v>
      </c>
      <c r="O5462" s="62"/>
      <c r="P5462" s="62"/>
    </row>
    <row r="5463" spans="1:16" x14ac:dyDescent="0.3">
      <c r="A5463" s="3">
        <f t="shared" si="664"/>
        <v>45833</v>
      </c>
      <c r="B5463" s="11" t="s">
        <v>1250</v>
      </c>
      <c r="C5463" s="50" t="s">
        <v>8534</v>
      </c>
      <c r="E5463" s="90" t="s">
        <v>4720</v>
      </c>
      <c r="G5463" s="2">
        <v>6700</v>
      </c>
      <c r="I5463" s="88">
        <f t="shared" si="668"/>
        <v>33155.360000000001</v>
      </c>
      <c r="K5463" s="62"/>
      <c r="L5463" s="2">
        <f t="shared" si="669"/>
        <v>20</v>
      </c>
      <c r="M5463">
        <f t="shared" si="670"/>
        <v>0</v>
      </c>
      <c r="O5463" s="62"/>
      <c r="P5463" s="62"/>
    </row>
    <row r="5464" spans="1:16" x14ac:dyDescent="0.3">
      <c r="A5464" s="3">
        <f t="shared" si="664"/>
        <v>45833</v>
      </c>
      <c r="B5464" s="11" t="s">
        <v>4081</v>
      </c>
      <c r="C5464" s="50" t="s">
        <v>4870</v>
      </c>
      <c r="E5464" s="90" t="s">
        <v>2088</v>
      </c>
      <c r="H5464" s="2">
        <v>500</v>
      </c>
      <c r="I5464" s="88">
        <f t="shared" si="668"/>
        <v>32655.360000000001</v>
      </c>
      <c r="K5464" s="62"/>
      <c r="L5464" s="2">
        <f t="shared" si="669"/>
        <v>7</v>
      </c>
      <c r="M5464">
        <f t="shared" si="670"/>
        <v>5</v>
      </c>
      <c r="O5464" s="62"/>
      <c r="P5464" s="62"/>
    </row>
    <row r="5465" spans="1:16" x14ac:dyDescent="0.3">
      <c r="A5465" s="3">
        <f t="shared" si="664"/>
        <v>45833</v>
      </c>
      <c r="B5465" s="11" t="s">
        <v>8536</v>
      </c>
      <c r="C5465" s="65" t="s">
        <v>8537</v>
      </c>
      <c r="E5465" s="90" t="s">
        <v>14</v>
      </c>
      <c r="H5465" s="2">
        <v>500</v>
      </c>
      <c r="I5465" s="88">
        <f t="shared" si="668"/>
        <v>32155.360000000001</v>
      </c>
      <c r="K5465" s="62"/>
      <c r="L5465" s="2">
        <f t="shared" si="669"/>
        <v>17</v>
      </c>
      <c r="M5465">
        <f t="shared" si="670"/>
        <v>0</v>
      </c>
      <c r="O5465" s="62"/>
      <c r="P5465" s="62"/>
    </row>
    <row r="5466" spans="1:16" x14ac:dyDescent="0.3">
      <c r="A5466" s="3">
        <f t="shared" si="664"/>
        <v>45833</v>
      </c>
      <c r="B5466" s="11" t="s">
        <v>3148</v>
      </c>
      <c r="C5466" s="50" t="s">
        <v>4853</v>
      </c>
      <c r="E5466" s="90" t="s">
        <v>4720</v>
      </c>
      <c r="G5466" s="2">
        <v>1750</v>
      </c>
      <c r="I5466" s="88">
        <f t="shared" si="668"/>
        <v>33905.360000000001</v>
      </c>
      <c r="K5466" s="62"/>
      <c r="L5466" s="2">
        <f t="shared" si="669"/>
        <v>7</v>
      </c>
      <c r="M5466">
        <f t="shared" si="670"/>
        <v>0</v>
      </c>
      <c r="O5466" s="62"/>
      <c r="P5466" s="62"/>
    </row>
    <row r="5467" spans="1:16" x14ac:dyDescent="0.3">
      <c r="A5467" s="3">
        <v>45834</v>
      </c>
      <c r="B5467" s="11" t="s">
        <v>1250</v>
      </c>
      <c r="C5467" s="50" t="s">
        <v>5721</v>
      </c>
      <c r="E5467" s="90" t="s">
        <v>4720</v>
      </c>
      <c r="G5467" s="2">
        <v>5000</v>
      </c>
      <c r="I5467" s="88">
        <f t="shared" si="668"/>
        <v>38905.360000000001</v>
      </c>
      <c r="K5467" s="62"/>
      <c r="L5467" s="2">
        <f t="shared" si="669"/>
        <v>20</v>
      </c>
      <c r="M5467">
        <f t="shared" si="670"/>
        <v>0</v>
      </c>
      <c r="O5467" s="62"/>
      <c r="P5467" s="62"/>
    </row>
    <row r="5468" spans="1:16" x14ac:dyDescent="0.3">
      <c r="A5468" s="3">
        <f t="shared" si="664"/>
        <v>45834</v>
      </c>
      <c r="B5468" s="11" t="s">
        <v>2241</v>
      </c>
      <c r="C5468" s="50" t="s">
        <v>8540</v>
      </c>
      <c r="E5468" s="90" t="s">
        <v>4720</v>
      </c>
      <c r="G5468" s="2">
        <v>500</v>
      </c>
      <c r="I5468" s="88">
        <f t="shared" si="668"/>
        <v>39405.360000000001</v>
      </c>
      <c r="K5468" s="62"/>
      <c r="L5468" s="2">
        <f t="shared" si="669"/>
        <v>2</v>
      </c>
      <c r="M5468">
        <f t="shared" si="670"/>
        <v>0</v>
      </c>
      <c r="O5468" s="62"/>
      <c r="P5468" s="62"/>
    </row>
    <row r="5469" spans="1:16" x14ac:dyDescent="0.3">
      <c r="A5469" s="3">
        <f t="shared" si="664"/>
        <v>45834</v>
      </c>
      <c r="B5469" s="11" t="s">
        <v>7329</v>
      </c>
      <c r="C5469" s="50" t="s">
        <v>7330</v>
      </c>
      <c r="E5469" s="90" t="s">
        <v>4720</v>
      </c>
      <c r="G5469" s="2">
        <v>1700</v>
      </c>
      <c r="I5469" s="88">
        <f t="shared" si="668"/>
        <v>41105.360000000001</v>
      </c>
      <c r="K5469" s="62"/>
      <c r="L5469" s="2">
        <f t="shared" si="669"/>
        <v>6.8</v>
      </c>
      <c r="M5469">
        <f t="shared" si="670"/>
        <v>0</v>
      </c>
      <c r="O5469" s="62"/>
      <c r="P5469" s="62"/>
    </row>
    <row r="5470" spans="1:16" x14ac:dyDescent="0.3">
      <c r="A5470" s="3">
        <f t="shared" si="664"/>
        <v>45834</v>
      </c>
      <c r="B5470" s="11" t="s">
        <v>8016</v>
      </c>
      <c r="C5470" s="50" t="s">
        <v>8541</v>
      </c>
      <c r="E5470" s="90" t="s">
        <v>4720</v>
      </c>
      <c r="H5470" s="2">
        <v>1000</v>
      </c>
      <c r="I5470" s="88">
        <f t="shared" si="668"/>
        <v>40105.360000000001</v>
      </c>
      <c r="K5470" s="62"/>
      <c r="L5470" s="2">
        <f t="shared" si="669"/>
        <v>4</v>
      </c>
      <c r="M5470">
        <f t="shared" si="670"/>
        <v>0</v>
      </c>
      <c r="O5470" s="62"/>
      <c r="P5470" s="62"/>
    </row>
    <row r="5471" spans="1:16" x14ac:dyDescent="0.3">
      <c r="A5471" s="3">
        <f t="shared" si="664"/>
        <v>45834</v>
      </c>
      <c r="B5471" s="11" t="s">
        <v>4506</v>
      </c>
      <c r="C5471" s="50" t="s">
        <v>3598</v>
      </c>
      <c r="E5471" s="90" t="s">
        <v>4720</v>
      </c>
      <c r="H5471" s="2">
        <v>2500</v>
      </c>
      <c r="I5471" s="88">
        <f t="shared" si="668"/>
        <v>37605.360000000001</v>
      </c>
      <c r="K5471" s="62"/>
      <c r="L5471" s="2">
        <f t="shared" si="669"/>
        <v>10</v>
      </c>
      <c r="M5471">
        <f t="shared" si="670"/>
        <v>0</v>
      </c>
      <c r="O5471" s="62"/>
      <c r="P5471" s="62"/>
    </row>
    <row r="5472" spans="1:16" x14ac:dyDescent="0.3">
      <c r="A5472" s="3">
        <f t="shared" si="664"/>
        <v>45834</v>
      </c>
      <c r="B5472" s="11" t="s">
        <v>1250</v>
      </c>
      <c r="C5472" s="50" t="s">
        <v>6288</v>
      </c>
      <c r="E5472" s="90" t="s">
        <v>4720</v>
      </c>
      <c r="G5472" s="2">
        <v>1000</v>
      </c>
      <c r="I5472" s="88">
        <f t="shared" si="668"/>
        <v>38605.360000000001</v>
      </c>
      <c r="K5472" s="62"/>
      <c r="L5472" s="2">
        <f t="shared" si="669"/>
        <v>4</v>
      </c>
      <c r="M5472">
        <f t="shared" si="670"/>
        <v>0</v>
      </c>
      <c r="O5472" s="62"/>
      <c r="P5472" s="62"/>
    </row>
    <row r="5473" spans="1:16" x14ac:dyDescent="0.3">
      <c r="A5473" s="3">
        <f t="shared" si="664"/>
        <v>45834</v>
      </c>
      <c r="C5473" s="50" t="s">
        <v>2857</v>
      </c>
      <c r="E5473" s="90" t="s">
        <v>8332</v>
      </c>
      <c r="H5473" s="2">
        <v>30000</v>
      </c>
      <c r="I5473" s="88">
        <f t="shared" si="668"/>
        <v>8605.36</v>
      </c>
      <c r="K5473" s="62"/>
      <c r="L5473" s="2">
        <f t="shared" ref="L5473:L5485" si="671">IF(E5473="C",0,IF((G5473+H5473)&lt;=5000,(G5473+H5473)*0.004,20)+IF(E5473="P",5,IF(E5473="Y",15,IF(E5473="YY",25))))</f>
        <v>0</v>
      </c>
      <c r="M5473">
        <f t="shared" ref="M5473:M5485" si="672">IF(E5473="p",5,0)</f>
        <v>0</v>
      </c>
      <c r="O5473" s="62"/>
      <c r="P5473" s="62"/>
    </row>
    <row r="5474" spans="1:16" x14ac:dyDescent="0.3">
      <c r="A5474" s="3">
        <f t="shared" si="664"/>
        <v>45834</v>
      </c>
      <c r="B5474" s="11" t="s">
        <v>1472</v>
      </c>
      <c r="E5474" s="90" t="s">
        <v>4720</v>
      </c>
      <c r="G5474" s="2">
        <v>1500</v>
      </c>
      <c r="I5474" s="88">
        <f t="shared" si="668"/>
        <v>10105.36</v>
      </c>
      <c r="K5474" s="62"/>
      <c r="L5474" s="2">
        <f t="shared" si="671"/>
        <v>6</v>
      </c>
      <c r="M5474">
        <f t="shared" si="672"/>
        <v>0</v>
      </c>
      <c r="O5474" s="62"/>
      <c r="P5474" s="62"/>
    </row>
    <row r="5475" spans="1:16" x14ac:dyDescent="0.3">
      <c r="A5475" s="3">
        <f t="shared" si="664"/>
        <v>45834</v>
      </c>
      <c r="B5475" s="11" t="s">
        <v>2448</v>
      </c>
      <c r="C5475" s="50" t="s">
        <v>2274</v>
      </c>
      <c r="E5475" s="90" t="s">
        <v>4720</v>
      </c>
      <c r="H5475" s="2">
        <v>6000</v>
      </c>
      <c r="I5475" s="88">
        <f t="shared" si="668"/>
        <v>4105.3600000000006</v>
      </c>
      <c r="K5475" s="62"/>
      <c r="L5475" s="2">
        <f t="shared" si="671"/>
        <v>20</v>
      </c>
      <c r="M5475">
        <f t="shared" si="672"/>
        <v>0</v>
      </c>
      <c r="O5475" s="62"/>
      <c r="P5475" s="62"/>
    </row>
    <row r="5476" spans="1:16" x14ac:dyDescent="0.3">
      <c r="A5476" s="3">
        <f t="shared" si="664"/>
        <v>45834</v>
      </c>
      <c r="B5476" s="11" t="s">
        <v>7005</v>
      </c>
      <c r="C5476" s="50" t="s">
        <v>7004</v>
      </c>
      <c r="E5476" s="90" t="s">
        <v>2088</v>
      </c>
      <c r="G5476" s="2">
        <v>2500</v>
      </c>
      <c r="I5476" s="88">
        <f t="shared" si="668"/>
        <v>6605.3600000000006</v>
      </c>
      <c r="K5476" s="62"/>
      <c r="L5476" s="2">
        <f t="shared" si="671"/>
        <v>15</v>
      </c>
      <c r="M5476">
        <f t="shared" si="672"/>
        <v>5</v>
      </c>
      <c r="O5476" s="62"/>
      <c r="P5476" s="62"/>
    </row>
    <row r="5477" spans="1:16" x14ac:dyDescent="0.3">
      <c r="A5477" s="3">
        <f t="shared" si="664"/>
        <v>45834</v>
      </c>
      <c r="B5477" s="11" t="s">
        <v>3148</v>
      </c>
      <c r="C5477" s="50" t="s">
        <v>8464</v>
      </c>
      <c r="E5477" s="90" t="s">
        <v>4720</v>
      </c>
      <c r="G5477" s="2">
        <v>7000</v>
      </c>
      <c r="I5477" s="88">
        <f t="shared" si="668"/>
        <v>13605.36</v>
      </c>
      <c r="K5477" s="62"/>
      <c r="L5477" s="2">
        <f t="shared" si="671"/>
        <v>20</v>
      </c>
      <c r="M5477">
        <f t="shared" si="672"/>
        <v>0</v>
      </c>
      <c r="O5477" s="62"/>
      <c r="P5477" s="62"/>
    </row>
    <row r="5478" spans="1:16" x14ac:dyDescent="0.3">
      <c r="A5478" s="3">
        <f t="shared" si="664"/>
        <v>45834</v>
      </c>
      <c r="B5478" s="11" t="s">
        <v>7649</v>
      </c>
      <c r="C5478" s="50" t="s">
        <v>8378</v>
      </c>
      <c r="E5478" s="90" t="s">
        <v>4720</v>
      </c>
      <c r="G5478" s="2">
        <v>2500</v>
      </c>
      <c r="I5478" s="88">
        <f t="shared" si="668"/>
        <v>16105.36</v>
      </c>
      <c r="K5478" s="62"/>
      <c r="L5478" s="2">
        <f t="shared" si="671"/>
        <v>10</v>
      </c>
      <c r="M5478">
        <f t="shared" si="672"/>
        <v>0</v>
      </c>
      <c r="O5478" s="62"/>
      <c r="P5478" s="62"/>
    </row>
    <row r="5479" spans="1:16" x14ac:dyDescent="0.3">
      <c r="A5479" s="3">
        <f t="shared" si="664"/>
        <v>45834</v>
      </c>
      <c r="B5479" s="11" t="s">
        <v>3849</v>
      </c>
      <c r="C5479" s="50" t="s">
        <v>8542</v>
      </c>
      <c r="E5479" s="90" t="s">
        <v>4720</v>
      </c>
      <c r="H5479" s="2">
        <v>5000</v>
      </c>
      <c r="I5479" s="88">
        <f t="shared" si="668"/>
        <v>11105.36</v>
      </c>
      <c r="K5479" s="62"/>
      <c r="L5479" s="2">
        <f t="shared" si="671"/>
        <v>20</v>
      </c>
      <c r="M5479">
        <f t="shared" si="672"/>
        <v>0</v>
      </c>
      <c r="O5479" s="62"/>
      <c r="P5479" s="62"/>
    </row>
    <row r="5480" spans="1:16" x14ac:dyDescent="0.3">
      <c r="A5480" s="3">
        <v>45835</v>
      </c>
      <c r="B5480" s="11" t="s">
        <v>7186</v>
      </c>
      <c r="C5480" s="50" t="s">
        <v>8039</v>
      </c>
      <c r="E5480" s="90" t="s">
        <v>4720</v>
      </c>
      <c r="G5480" s="2">
        <v>2000</v>
      </c>
      <c r="I5480" s="88">
        <f t="shared" si="668"/>
        <v>13105.36</v>
      </c>
      <c r="K5480" s="62"/>
      <c r="L5480" s="2">
        <f t="shared" si="671"/>
        <v>8</v>
      </c>
      <c r="M5480">
        <f t="shared" si="672"/>
        <v>0</v>
      </c>
      <c r="O5480" s="62"/>
      <c r="P5480" s="62"/>
    </row>
    <row r="5481" spans="1:16" x14ac:dyDescent="0.3">
      <c r="A5481" s="3">
        <f t="shared" si="664"/>
        <v>45835</v>
      </c>
      <c r="B5481" s="11" t="s">
        <v>8345</v>
      </c>
      <c r="C5481" s="50" t="s">
        <v>8543</v>
      </c>
      <c r="E5481" s="90" t="s">
        <v>4720</v>
      </c>
      <c r="H5481" s="2">
        <v>1400</v>
      </c>
      <c r="I5481" s="88">
        <f t="shared" si="668"/>
        <v>11705.36</v>
      </c>
      <c r="K5481" s="62"/>
      <c r="L5481" s="2">
        <f t="shared" si="671"/>
        <v>5.6000000000000005</v>
      </c>
      <c r="M5481">
        <f t="shared" si="672"/>
        <v>0</v>
      </c>
      <c r="O5481" s="62"/>
      <c r="P5481" s="62"/>
    </row>
    <row r="5482" spans="1:16" x14ac:dyDescent="0.3">
      <c r="A5482" s="3">
        <f t="shared" si="664"/>
        <v>45835</v>
      </c>
      <c r="B5482" s="11" t="s">
        <v>1250</v>
      </c>
      <c r="C5482" s="50" t="s">
        <v>8544</v>
      </c>
      <c r="E5482" s="90" t="s">
        <v>4720</v>
      </c>
      <c r="G5482" s="2">
        <v>1000</v>
      </c>
      <c r="I5482" s="88">
        <f t="shared" si="668"/>
        <v>12705.36</v>
      </c>
      <c r="K5482" s="62"/>
      <c r="L5482" s="2">
        <f t="shared" si="671"/>
        <v>4</v>
      </c>
      <c r="M5482">
        <f t="shared" si="672"/>
        <v>0</v>
      </c>
      <c r="O5482" s="62"/>
      <c r="P5482" s="62"/>
    </row>
    <row r="5483" spans="1:16" x14ac:dyDescent="0.3">
      <c r="A5483" s="3">
        <f t="shared" si="664"/>
        <v>45835</v>
      </c>
      <c r="B5483" s="11" t="s">
        <v>8545</v>
      </c>
      <c r="C5483" s="50" t="s">
        <v>8546</v>
      </c>
      <c r="E5483" s="90" t="s">
        <v>4720</v>
      </c>
      <c r="G5483" s="2">
        <v>2000</v>
      </c>
      <c r="I5483" s="88">
        <f t="shared" si="668"/>
        <v>14705.36</v>
      </c>
      <c r="K5483" s="62"/>
      <c r="L5483" s="2">
        <f t="shared" si="671"/>
        <v>8</v>
      </c>
      <c r="M5483">
        <f t="shared" si="672"/>
        <v>0</v>
      </c>
      <c r="O5483" s="62"/>
      <c r="P5483" s="62"/>
    </row>
    <row r="5484" spans="1:16" x14ac:dyDescent="0.3">
      <c r="A5484" s="3">
        <f t="shared" si="664"/>
        <v>45835</v>
      </c>
      <c r="B5484" s="11" t="s">
        <v>6434</v>
      </c>
      <c r="C5484" s="50" t="s">
        <v>7117</v>
      </c>
      <c r="E5484" s="90" t="s">
        <v>4720</v>
      </c>
      <c r="H5484" s="2">
        <v>3000</v>
      </c>
      <c r="I5484" s="88">
        <f t="shared" si="668"/>
        <v>11705.36</v>
      </c>
      <c r="K5484" s="62"/>
      <c r="L5484" s="2">
        <f t="shared" si="671"/>
        <v>12</v>
      </c>
      <c r="M5484">
        <f t="shared" si="672"/>
        <v>0</v>
      </c>
      <c r="O5484" s="62"/>
      <c r="P5484" s="62"/>
    </row>
    <row r="5485" spans="1:16" x14ac:dyDescent="0.3">
      <c r="A5485" s="3">
        <f t="shared" si="664"/>
        <v>45835</v>
      </c>
      <c r="B5485" s="11" t="s">
        <v>1472</v>
      </c>
      <c r="C5485" s="50" t="s">
        <v>8507</v>
      </c>
      <c r="E5485" s="90" t="s">
        <v>4720</v>
      </c>
      <c r="G5485" s="2">
        <v>10000</v>
      </c>
      <c r="I5485" s="88">
        <f t="shared" si="668"/>
        <v>21705.360000000001</v>
      </c>
      <c r="K5485" s="62"/>
      <c r="L5485" s="2">
        <f t="shared" si="671"/>
        <v>20</v>
      </c>
      <c r="M5485">
        <f t="shared" si="672"/>
        <v>0</v>
      </c>
      <c r="O5485" s="62"/>
      <c r="P5485" s="62"/>
    </row>
    <row r="5486" spans="1:16" x14ac:dyDescent="0.3">
      <c r="A5486" s="3">
        <f t="shared" si="664"/>
        <v>45835</v>
      </c>
      <c r="B5486" s="11" t="s">
        <v>1250</v>
      </c>
      <c r="C5486" s="50" t="s">
        <v>4757</v>
      </c>
      <c r="E5486" s="90" t="s">
        <v>4720</v>
      </c>
      <c r="G5486" s="2">
        <v>700</v>
      </c>
      <c r="I5486" s="88">
        <f t="shared" si="668"/>
        <v>22405.360000000001</v>
      </c>
      <c r="K5486" s="62"/>
      <c r="L5486" s="2">
        <f t="shared" ref="L5486:L5499" si="673">IF(E5486="C",0,IF((G5486+H5486)&lt;=5000,(G5486+H5486)*0.004,20)+IF(E5486="P",5,IF(E5486="Y",15,IF(E5486="YY",25))))</f>
        <v>2.8000000000000003</v>
      </c>
      <c r="M5486">
        <f t="shared" ref="M5486:M5499" si="674">IF(E5486="p",5,0)</f>
        <v>0</v>
      </c>
      <c r="O5486" s="62"/>
      <c r="P5486" s="62"/>
    </row>
    <row r="5487" spans="1:16" x14ac:dyDescent="0.3">
      <c r="A5487" s="3">
        <f t="shared" si="664"/>
        <v>45835</v>
      </c>
      <c r="B5487" s="11" t="s">
        <v>2634</v>
      </c>
      <c r="C5487" s="50" t="s">
        <v>3251</v>
      </c>
      <c r="E5487" s="90" t="s">
        <v>4720</v>
      </c>
      <c r="H5487" s="2">
        <v>1000</v>
      </c>
      <c r="I5487" s="88">
        <f t="shared" si="668"/>
        <v>21405.360000000001</v>
      </c>
      <c r="K5487" s="62"/>
      <c r="L5487" s="2">
        <f t="shared" si="673"/>
        <v>4</v>
      </c>
      <c r="M5487">
        <f t="shared" si="674"/>
        <v>0</v>
      </c>
      <c r="O5487" s="62"/>
      <c r="P5487" s="62"/>
    </row>
    <row r="5488" spans="1:16" x14ac:dyDescent="0.3">
      <c r="A5488" s="3">
        <f t="shared" si="664"/>
        <v>45835</v>
      </c>
      <c r="C5488" s="114" t="s">
        <v>4215</v>
      </c>
      <c r="D5488" s="114"/>
      <c r="E5488" s="97" t="s">
        <v>4720</v>
      </c>
      <c r="F5488" s="10"/>
      <c r="G5488" s="64"/>
      <c r="H5488" s="64">
        <v>5000</v>
      </c>
      <c r="I5488" s="88">
        <f t="shared" si="668"/>
        <v>16405.36</v>
      </c>
      <c r="K5488" s="62"/>
      <c r="L5488" s="2">
        <f t="shared" si="673"/>
        <v>20</v>
      </c>
      <c r="M5488">
        <f t="shared" si="674"/>
        <v>0</v>
      </c>
      <c r="O5488" s="62"/>
      <c r="P5488" s="62"/>
    </row>
    <row r="5489" spans="1:16" x14ac:dyDescent="0.3">
      <c r="A5489" s="3">
        <v>45836</v>
      </c>
      <c r="B5489" s="11" t="s">
        <v>4766</v>
      </c>
      <c r="C5489" s="50" t="s">
        <v>8547</v>
      </c>
      <c r="E5489" s="90" t="s">
        <v>4720</v>
      </c>
      <c r="G5489" s="2">
        <v>1000</v>
      </c>
      <c r="I5489" s="88">
        <f t="shared" si="668"/>
        <v>17405.36</v>
      </c>
      <c r="K5489" s="62"/>
      <c r="L5489" s="2">
        <f t="shared" si="673"/>
        <v>4</v>
      </c>
      <c r="M5489">
        <f t="shared" si="674"/>
        <v>0</v>
      </c>
      <c r="O5489" s="62"/>
      <c r="P5489" s="62"/>
    </row>
    <row r="5490" spans="1:16" x14ac:dyDescent="0.3">
      <c r="A5490" s="3">
        <f t="shared" si="664"/>
        <v>45836</v>
      </c>
      <c r="B5490" s="11" t="s">
        <v>1160</v>
      </c>
      <c r="C5490" s="50" t="s">
        <v>8359</v>
      </c>
      <c r="E5490" s="90" t="s">
        <v>4720</v>
      </c>
      <c r="G5490" s="2">
        <v>2000</v>
      </c>
      <c r="I5490" s="88">
        <f t="shared" si="668"/>
        <v>19405.36</v>
      </c>
      <c r="K5490" s="62"/>
      <c r="L5490" s="2">
        <f t="shared" si="673"/>
        <v>8</v>
      </c>
      <c r="M5490">
        <f t="shared" si="674"/>
        <v>0</v>
      </c>
      <c r="O5490" s="62"/>
      <c r="P5490" s="62"/>
    </row>
    <row r="5491" spans="1:16" x14ac:dyDescent="0.3">
      <c r="A5491" s="3">
        <f t="shared" si="664"/>
        <v>45836</v>
      </c>
      <c r="B5491" s="11" t="s">
        <v>8548</v>
      </c>
      <c r="C5491" s="50" t="s">
        <v>8549</v>
      </c>
      <c r="E5491" s="90" t="s">
        <v>4720</v>
      </c>
      <c r="H5491" s="2">
        <v>6700</v>
      </c>
      <c r="I5491" s="88">
        <f t="shared" si="668"/>
        <v>12705.36</v>
      </c>
      <c r="K5491" s="62"/>
      <c r="L5491" s="2">
        <f t="shared" si="673"/>
        <v>20</v>
      </c>
      <c r="M5491">
        <f t="shared" si="674"/>
        <v>0</v>
      </c>
      <c r="O5491" s="62"/>
      <c r="P5491" s="62"/>
    </row>
    <row r="5492" spans="1:16" x14ac:dyDescent="0.3">
      <c r="A5492" s="3">
        <f t="shared" si="664"/>
        <v>45836</v>
      </c>
      <c r="B5492" s="11" t="s">
        <v>1250</v>
      </c>
      <c r="C5492" s="50" t="s">
        <v>2295</v>
      </c>
      <c r="E5492" s="90" t="s">
        <v>4720</v>
      </c>
      <c r="G5492" s="2">
        <v>1500</v>
      </c>
      <c r="I5492" s="88">
        <f t="shared" si="668"/>
        <v>14205.36</v>
      </c>
      <c r="K5492" s="62"/>
      <c r="L5492" s="2">
        <f t="shared" si="673"/>
        <v>6</v>
      </c>
      <c r="M5492">
        <f t="shared" si="674"/>
        <v>0</v>
      </c>
      <c r="O5492" s="62"/>
      <c r="P5492" s="62"/>
    </row>
    <row r="5493" spans="1:16" x14ac:dyDescent="0.3">
      <c r="A5493" s="3">
        <f t="shared" si="664"/>
        <v>45836</v>
      </c>
      <c r="B5493" s="11" t="s">
        <v>2743</v>
      </c>
      <c r="C5493" s="50" t="s">
        <v>8550</v>
      </c>
      <c r="D5493" s="50">
        <v>9608192489</v>
      </c>
      <c r="E5493" s="90" t="s">
        <v>4720</v>
      </c>
      <c r="G5493" s="2">
        <v>1000</v>
      </c>
      <c r="I5493" s="88">
        <f t="shared" si="668"/>
        <v>15205.36</v>
      </c>
      <c r="K5493" s="62"/>
      <c r="L5493" s="2">
        <f t="shared" si="673"/>
        <v>4</v>
      </c>
      <c r="M5493">
        <f t="shared" si="674"/>
        <v>0</v>
      </c>
      <c r="O5493" s="62"/>
      <c r="P5493" s="62"/>
    </row>
    <row r="5494" spans="1:16" x14ac:dyDescent="0.3">
      <c r="A5494" s="3">
        <f t="shared" si="664"/>
        <v>45836</v>
      </c>
      <c r="B5494" s="11" t="s">
        <v>2743</v>
      </c>
      <c r="C5494" s="50" t="s">
        <v>8551</v>
      </c>
      <c r="E5494" s="90" t="s">
        <v>4720</v>
      </c>
      <c r="G5494" s="2">
        <v>1000</v>
      </c>
      <c r="I5494" s="88">
        <f t="shared" si="668"/>
        <v>16205.36</v>
      </c>
      <c r="K5494" s="62"/>
      <c r="L5494" s="2">
        <f t="shared" si="673"/>
        <v>4</v>
      </c>
      <c r="M5494">
        <f t="shared" si="674"/>
        <v>0</v>
      </c>
      <c r="O5494" s="62"/>
      <c r="P5494" s="62"/>
    </row>
    <row r="5495" spans="1:16" x14ac:dyDescent="0.3">
      <c r="A5495" s="3">
        <f t="shared" si="664"/>
        <v>45836</v>
      </c>
      <c r="B5495" s="11" t="s">
        <v>3148</v>
      </c>
      <c r="C5495" s="50" t="s">
        <v>8552</v>
      </c>
      <c r="E5495" s="90" t="s">
        <v>4720</v>
      </c>
      <c r="G5495" s="2">
        <v>500</v>
      </c>
      <c r="I5495" s="88">
        <f t="shared" si="668"/>
        <v>16705.36</v>
      </c>
      <c r="K5495" s="62"/>
      <c r="L5495" s="2">
        <f t="shared" si="673"/>
        <v>2</v>
      </c>
      <c r="M5495">
        <f t="shared" si="674"/>
        <v>0</v>
      </c>
      <c r="O5495" s="62"/>
      <c r="P5495" s="62"/>
    </row>
    <row r="5496" spans="1:16" x14ac:dyDescent="0.3">
      <c r="A5496" s="3">
        <f t="shared" si="664"/>
        <v>45836</v>
      </c>
      <c r="B5496" s="11" t="s">
        <v>8553</v>
      </c>
      <c r="C5496" s="65" t="s">
        <v>8556</v>
      </c>
      <c r="E5496" s="90" t="s">
        <v>8557</v>
      </c>
      <c r="H5496" s="2">
        <v>2000</v>
      </c>
      <c r="I5496" s="88">
        <f t="shared" si="668"/>
        <v>14705.36</v>
      </c>
      <c r="K5496" s="62"/>
      <c r="L5496" s="2">
        <f t="shared" si="673"/>
        <v>33</v>
      </c>
      <c r="M5496">
        <f t="shared" si="674"/>
        <v>0</v>
      </c>
      <c r="O5496" s="62"/>
      <c r="P5496" s="62"/>
    </row>
    <row r="5497" spans="1:16" x14ac:dyDescent="0.3">
      <c r="A5497" s="3">
        <f t="shared" si="664"/>
        <v>45836</v>
      </c>
      <c r="B5497" s="11" t="s">
        <v>3148</v>
      </c>
      <c r="C5497" s="50" t="s">
        <v>4853</v>
      </c>
      <c r="E5497" s="90" t="s">
        <v>4720</v>
      </c>
      <c r="G5497" s="2">
        <v>800</v>
      </c>
      <c r="I5497" s="88">
        <f t="shared" si="668"/>
        <v>15505.36</v>
      </c>
      <c r="K5497" s="62"/>
      <c r="L5497" s="2">
        <f t="shared" si="673"/>
        <v>3.2</v>
      </c>
      <c r="M5497">
        <f t="shared" si="674"/>
        <v>0</v>
      </c>
      <c r="O5497" s="62"/>
      <c r="P5497" s="62"/>
    </row>
    <row r="5498" spans="1:16" x14ac:dyDescent="0.3">
      <c r="A5498" s="3">
        <v>45838</v>
      </c>
      <c r="B5498" s="11" t="s">
        <v>6260</v>
      </c>
      <c r="C5498" s="50" t="s">
        <v>8558</v>
      </c>
      <c r="E5498" s="90" t="s">
        <v>4720</v>
      </c>
      <c r="H5498" s="2">
        <v>3000</v>
      </c>
      <c r="I5498" s="88">
        <f t="shared" si="668"/>
        <v>12505.36</v>
      </c>
      <c r="K5498" s="62"/>
      <c r="L5498" s="2">
        <f t="shared" si="673"/>
        <v>12</v>
      </c>
      <c r="M5498">
        <f t="shared" si="674"/>
        <v>0</v>
      </c>
      <c r="O5498" s="62"/>
      <c r="P5498" s="62"/>
    </row>
    <row r="5499" spans="1:16" x14ac:dyDescent="0.3">
      <c r="A5499" s="3">
        <v>45838</v>
      </c>
      <c r="B5499" s="11" t="s">
        <v>8286</v>
      </c>
      <c r="C5499" s="50" t="s">
        <v>8559</v>
      </c>
      <c r="E5499" s="90" t="s">
        <v>2088</v>
      </c>
      <c r="H5499" s="2">
        <v>1000</v>
      </c>
      <c r="I5499" s="88">
        <f t="shared" si="668"/>
        <v>11505.36</v>
      </c>
      <c r="K5499" s="62"/>
      <c r="L5499" s="2">
        <f t="shared" si="673"/>
        <v>9</v>
      </c>
      <c r="M5499">
        <f t="shared" si="674"/>
        <v>5</v>
      </c>
      <c r="O5499" s="62"/>
      <c r="P5499" s="62"/>
    </row>
    <row r="5500" spans="1:16" x14ac:dyDescent="0.3">
      <c r="A5500" s="3">
        <v>45838</v>
      </c>
      <c r="B5500" s="11" t="s">
        <v>8286</v>
      </c>
      <c r="C5500" s="50" t="s">
        <v>8559</v>
      </c>
      <c r="E5500" s="90" t="s">
        <v>4720</v>
      </c>
      <c r="H5500" s="2">
        <v>400</v>
      </c>
      <c r="I5500" s="88">
        <f t="shared" si="668"/>
        <v>11105.36</v>
      </c>
      <c r="K5500" s="62"/>
      <c r="L5500" s="2">
        <f t="shared" ref="L5500" si="675">IF(E5500="C",0,IF((G5500+H5500)&lt;=5000,(G5500+H5500)*0.004,20)+IF(E5500="P",5,IF(E5500="Y",15,IF(E5500="YY",25))))</f>
        <v>1.6</v>
      </c>
      <c r="M5500">
        <f t="shared" ref="M5500" si="676">IF(E5500="p",5,0)</f>
        <v>0</v>
      </c>
      <c r="O5500" s="62"/>
      <c r="P5500" s="62"/>
    </row>
    <row r="5501" spans="1:16" x14ac:dyDescent="0.3">
      <c r="A5501" s="3"/>
      <c r="H5501" s="2">
        <v>500</v>
      </c>
      <c r="I5501" s="88">
        <f t="shared" si="668"/>
        <v>10605.36</v>
      </c>
      <c r="K5501" s="62"/>
      <c r="O5501" s="62"/>
      <c r="P5501" s="62"/>
    </row>
    <row r="5502" spans="1:16" x14ac:dyDescent="0.3">
      <c r="A5502" s="77">
        <f>COUNT(A5240:A5500)</f>
        <v>249</v>
      </c>
      <c r="B5502" s="80" t="s">
        <v>7120</v>
      </c>
      <c r="C5502" s="112">
        <f>SUMIF(E5240:E5500,"C",H5240:H5500)+SUMIF(E5240:E5500,"C",G5240:G5500)</f>
        <v>330000</v>
      </c>
      <c r="D5502" s="112">
        <f>COUNTIF(E4993:E49399,"p")</f>
        <v>1393</v>
      </c>
      <c r="E5502" s="92">
        <f>COUNTIF(E5240:E5500,"Y")</f>
        <v>7</v>
      </c>
      <c r="F5502" s="80">
        <f>SUM(F4154)</f>
        <v>0</v>
      </c>
      <c r="G5502" s="121">
        <f>SUM(G5240:G5500)</f>
        <v>549700</v>
      </c>
      <c r="H5502" s="121">
        <f>SUM(H5240:H5501)</f>
        <v>550857</v>
      </c>
      <c r="I5502" s="121">
        <f>G5502+H5502-C5502</f>
        <v>770557</v>
      </c>
      <c r="J5502" s="122"/>
      <c r="K5502" s="122">
        <f>SUM(K5240:K5500)</f>
        <v>26359.72</v>
      </c>
      <c r="L5502" s="121">
        <f>SUM(L5239:L5500)</f>
        <v>2925.4279999999999</v>
      </c>
      <c r="M5502" s="121">
        <f>SUM(M5240:M5500)</f>
        <v>300</v>
      </c>
      <c r="N5502" s="62">
        <f>M5502/5</f>
        <v>60</v>
      </c>
      <c r="O5502">
        <f>IF(D4621&gt;100,D5502*6,D5502*5)</f>
        <v>6965</v>
      </c>
    </row>
    <row r="5504" spans="1:16" x14ac:dyDescent="0.3">
      <c r="A5504" s="3">
        <v>45839</v>
      </c>
      <c r="C5504" s="50" t="s">
        <v>8558</v>
      </c>
      <c r="E5504" s="90" t="s">
        <v>4720</v>
      </c>
      <c r="G5504" s="88">
        <f>I5501</f>
        <v>10605.36</v>
      </c>
      <c r="I5504" s="88">
        <f t="shared" ref="I5504:I5568" si="677">I5503+G5504-H5504</f>
        <v>10605.36</v>
      </c>
      <c r="K5504" s="62"/>
      <c r="L5504" s="2">
        <v>0</v>
      </c>
      <c r="M5504">
        <f t="shared" ref="M5504:M5505" si="678">IF(E5504="p",5,0)</f>
        <v>0</v>
      </c>
      <c r="O5504" s="62"/>
      <c r="P5504" s="62"/>
    </row>
    <row r="5505" spans="1:16" x14ac:dyDescent="0.3">
      <c r="A5505" s="3">
        <f>A5504</f>
        <v>45839</v>
      </c>
      <c r="B5505" s="11" t="s">
        <v>6260</v>
      </c>
      <c r="C5505" s="50" t="s">
        <v>8558</v>
      </c>
      <c r="E5505" s="90" t="s">
        <v>4720</v>
      </c>
      <c r="H5505" s="2">
        <v>2500</v>
      </c>
      <c r="I5505" s="88">
        <f t="shared" si="677"/>
        <v>8105.3600000000006</v>
      </c>
      <c r="K5505" s="62"/>
      <c r="L5505" s="2">
        <f t="shared" ref="L5505" si="679">IF(E5505="C",0,IF((G5505+H5505)&lt;=5000,(G5505+H5505)*0.004,20)+IF(E5505="P",5,IF(E5505="Y",15,IF(E5505="YY",25))))</f>
        <v>10</v>
      </c>
      <c r="M5505">
        <f t="shared" si="678"/>
        <v>0</v>
      </c>
      <c r="O5505" s="62"/>
      <c r="P5505" s="62"/>
    </row>
    <row r="5506" spans="1:16" x14ac:dyDescent="0.3">
      <c r="A5506" s="3">
        <f t="shared" ref="A5506:A5569" si="680">A5505</f>
        <v>45839</v>
      </c>
      <c r="B5506" s="11" t="s">
        <v>5323</v>
      </c>
      <c r="C5506" s="50" t="s">
        <v>8231</v>
      </c>
      <c r="E5506" s="90" t="s">
        <v>2088</v>
      </c>
      <c r="G5506" s="2">
        <v>1000</v>
      </c>
      <c r="I5506" s="88">
        <f t="shared" si="677"/>
        <v>9105.36</v>
      </c>
      <c r="K5506" s="62"/>
      <c r="L5506" s="2">
        <f t="shared" ref="L5506:L5517" si="681">IF(E5506="C",0,IF((G5506+H5506)&lt;=5000,(G5506+H5506)*0.004,20)+IF(E5506="P",5,IF(E5506="Y",15,IF(E5506="YY",25))))</f>
        <v>9</v>
      </c>
      <c r="M5506">
        <f t="shared" ref="M5506:M5517" si="682">IF(E5506="p",5,0)</f>
        <v>5</v>
      </c>
      <c r="O5506" s="62"/>
      <c r="P5506" s="62"/>
    </row>
    <row r="5507" spans="1:16" x14ac:dyDescent="0.3">
      <c r="A5507" s="3">
        <f t="shared" si="680"/>
        <v>45839</v>
      </c>
      <c r="B5507" s="11" t="s">
        <v>7196</v>
      </c>
      <c r="C5507" s="50" t="s">
        <v>8560</v>
      </c>
      <c r="E5507" s="90" t="s">
        <v>4720</v>
      </c>
      <c r="H5507" s="2">
        <v>7000</v>
      </c>
      <c r="I5507" s="88">
        <f t="shared" si="677"/>
        <v>2105.3600000000006</v>
      </c>
      <c r="K5507" s="62"/>
      <c r="L5507" s="2">
        <f t="shared" si="681"/>
        <v>20</v>
      </c>
      <c r="M5507">
        <f t="shared" si="682"/>
        <v>0</v>
      </c>
      <c r="O5507" s="62"/>
      <c r="P5507" s="62"/>
    </row>
    <row r="5508" spans="1:16" x14ac:dyDescent="0.3">
      <c r="A5508" s="3">
        <f t="shared" si="680"/>
        <v>45839</v>
      </c>
      <c r="B5508" s="11" t="s">
        <v>6718</v>
      </c>
      <c r="C5508" s="50" t="s">
        <v>8042</v>
      </c>
      <c r="E5508" s="90" t="s">
        <v>2088</v>
      </c>
      <c r="G5508" s="2">
        <v>10000</v>
      </c>
      <c r="I5508" s="88">
        <f t="shared" si="677"/>
        <v>12105.36</v>
      </c>
      <c r="K5508" s="62"/>
      <c r="L5508" s="2">
        <f t="shared" si="681"/>
        <v>25</v>
      </c>
      <c r="M5508">
        <f t="shared" si="682"/>
        <v>5</v>
      </c>
      <c r="O5508" s="62"/>
      <c r="P5508" s="62"/>
    </row>
    <row r="5509" spans="1:16" x14ac:dyDescent="0.3">
      <c r="A5509" s="3">
        <f t="shared" si="680"/>
        <v>45839</v>
      </c>
      <c r="B5509" s="11" t="s">
        <v>1160</v>
      </c>
      <c r="C5509" s="50" t="s">
        <v>8354</v>
      </c>
      <c r="E5509" s="90" t="s">
        <v>4720</v>
      </c>
      <c r="G5509" s="2">
        <v>5000</v>
      </c>
      <c r="I5509" s="88">
        <f t="shared" si="677"/>
        <v>17105.36</v>
      </c>
      <c r="K5509" s="62"/>
      <c r="L5509" s="2">
        <f t="shared" si="681"/>
        <v>20</v>
      </c>
      <c r="M5509">
        <f t="shared" si="682"/>
        <v>0</v>
      </c>
      <c r="O5509" s="62"/>
      <c r="P5509" s="62"/>
    </row>
    <row r="5510" spans="1:16" x14ac:dyDescent="0.3">
      <c r="A5510" s="3">
        <f t="shared" si="680"/>
        <v>45839</v>
      </c>
      <c r="B5510" s="11" t="s">
        <v>8561</v>
      </c>
      <c r="C5510" s="50" t="s">
        <v>1279</v>
      </c>
      <c r="E5510" s="90" t="s">
        <v>4720</v>
      </c>
      <c r="H5510" s="2">
        <v>5000</v>
      </c>
      <c r="I5510" s="88">
        <f t="shared" si="677"/>
        <v>12105.36</v>
      </c>
      <c r="K5510" s="62"/>
      <c r="L5510" s="2">
        <f t="shared" si="681"/>
        <v>20</v>
      </c>
      <c r="M5510">
        <f t="shared" si="682"/>
        <v>0</v>
      </c>
      <c r="O5510" s="62"/>
      <c r="P5510" s="62"/>
    </row>
    <row r="5511" spans="1:16" x14ac:dyDescent="0.3">
      <c r="A5511" s="3">
        <f t="shared" si="680"/>
        <v>45839</v>
      </c>
      <c r="B5511" s="11" t="s">
        <v>8286</v>
      </c>
      <c r="C5511" s="50" t="s">
        <v>8395</v>
      </c>
      <c r="E5511" s="90" t="s">
        <v>2088</v>
      </c>
      <c r="H5511" s="2">
        <v>300</v>
      </c>
      <c r="I5511" s="88">
        <f t="shared" si="677"/>
        <v>11805.36</v>
      </c>
      <c r="K5511" s="62"/>
      <c r="L5511" s="2">
        <f t="shared" si="681"/>
        <v>6.2</v>
      </c>
      <c r="M5511">
        <f t="shared" si="682"/>
        <v>5</v>
      </c>
      <c r="O5511" s="62"/>
      <c r="P5511" s="62"/>
    </row>
    <row r="5512" spans="1:16" x14ac:dyDescent="0.3">
      <c r="A5512" s="3">
        <f t="shared" si="680"/>
        <v>45839</v>
      </c>
      <c r="B5512" s="11" t="s">
        <v>4752</v>
      </c>
      <c r="C5512" s="50" t="s">
        <v>8562</v>
      </c>
      <c r="E5512" s="90" t="s">
        <v>4720</v>
      </c>
      <c r="G5512" s="2">
        <v>1200</v>
      </c>
      <c r="I5512" s="88">
        <f t="shared" si="677"/>
        <v>13005.36</v>
      </c>
      <c r="K5512" s="62"/>
      <c r="L5512" s="2">
        <f t="shared" si="681"/>
        <v>4.8</v>
      </c>
      <c r="M5512">
        <f t="shared" si="682"/>
        <v>0</v>
      </c>
      <c r="O5512" s="62"/>
      <c r="P5512" s="62"/>
    </row>
    <row r="5513" spans="1:16" x14ac:dyDescent="0.3">
      <c r="A5513" s="3">
        <f t="shared" si="680"/>
        <v>45839</v>
      </c>
      <c r="B5513" s="11" t="s">
        <v>7514</v>
      </c>
      <c r="C5513" s="50" t="s">
        <v>6985</v>
      </c>
      <c r="E5513" s="90" t="s">
        <v>4720</v>
      </c>
      <c r="G5513" s="2">
        <v>3000</v>
      </c>
      <c r="I5513" s="88">
        <f t="shared" si="677"/>
        <v>16005.36</v>
      </c>
      <c r="K5513" s="62"/>
      <c r="L5513" s="2">
        <f t="shared" si="681"/>
        <v>12</v>
      </c>
      <c r="M5513">
        <f t="shared" si="682"/>
        <v>0</v>
      </c>
      <c r="O5513" s="62"/>
      <c r="P5513" s="62"/>
    </row>
    <row r="5514" spans="1:16" x14ac:dyDescent="0.3">
      <c r="A5514" s="3">
        <f t="shared" si="680"/>
        <v>45839</v>
      </c>
      <c r="B5514" s="11" t="s">
        <v>3766</v>
      </c>
      <c r="C5514" s="50" t="s">
        <v>8563</v>
      </c>
      <c r="E5514" s="90" t="s">
        <v>4720</v>
      </c>
      <c r="H5514" s="2">
        <v>5000</v>
      </c>
      <c r="I5514" s="88">
        <f t="shared" si="677"/>
        <v>11005.36</v>
      </c>
      <c r="K5514" s="62"/>
      <c r="L5514" s="2">
        <f t="shared" si="681"/>
        <v>20</v>
      </c>
      <c r="M5514">
        <f t="shared" si="682"/>
        <v>0</v>
      </c>
      <c r="O5514" s="62"/>
      <c r="P5514" s="62"/>
    </row>
    <row r="5515" spans="1:16" x14ac:dyDescent="0.3">
      <c r="A5515" s="3">
        <f t="shared" si="680"/>
        <v>45839</v>
      </c>
      <c r="B5515" s="11" t="s">
        <v>5839</v>
      </c>
      <c r="C5515" s="50" t="s">
        <v>8233</v>
      </c>
      <c r="E5515" s="90" t="s">
        <v>4720</v>
      </c>
      <c r="G5515" s="2">
        <v>2400</v>
      </c>
      <c r="I5515" s="88">
        <f t="shared" si="677"/>
        <v>13405.36</v>
      </c>
      <c r="K5515" s="62"/>
      <c r="L5515" s="2">
        <f t="shared" si="681"/>
        <v>9.6</v>
      </c>
      <c r="M5515">
        <f t="shared" si="682"/>
        <v>0</v>
      </c>
      <c r="O5515" s="62"/>
      <c r="P5515" s="62"/>
    </row>
    <row r="5516" spans="1:16" x14ac:dyDescent="0.3">
      <c r="A5516" s="3">
        <f t="shared" si="680"/>
        <v>45839</v>
      </c>
      <c r="B5516" s="11" t="s">
        <v>6105</v>
      </c>
      <c r="C5516" s="50" t="s">
        <v>6328</v>
      </c>
      <c r="E5516" s="90" t="s">
        <v>4720</v>
      </c>
      <c r="G5516" s="2">
        <v>700</v>
      </c>
      <c r="I5516" s="88">
        <f t="shared" si="677"/>
        <v>14105.36</v>
      </c>
      <c r="K5516" s="62"/>
      <c r="L5516" s="2">
        <f t="shared" si="681"/>
        <v>2.8000000000000003</v>
      </c>
      <c r="M5516">
        <f t="shared" si="682"/>
        <v>0</v>
      </c>
      <c r="O5516" s="62"/>
      <c r="P5516" s="62"/>
    </row>
    <row r="5517" spans="1:16" x14ac:dyDescent="0.3">
      <c r="A5517" s="3">
        <f t="shared" si="680"/>
        <v>45839</v>
      </c>
      <c r="B5517" s="11" t="s">
        <v>5716</v>
      </c>
      <c r="C5517" s="50" t="s">
        <v>3519</v>
      </c>
      <c r="E5517" s="90" t="s">
        <v>4720</v>
      </c>
      <c r="G5517" s="2">
        <v>3000</v>
      </c>
      <c r="I5517" s="88">
        <f t="shared" si="677"/>
        <v>17105.36</v>
      </c>
      <c r="K5517" s="62"/>
      <c r="L5517" s="2">
        <f t="shared" si="681"/>
        <v>12</v>
      </c>
      <c r="M5517">
        <f t="shared" si="682"/>
        <v>0</v>
      </c>
      <c r="O5517" s="62"/>
      <c r="P5517" s="62"/>
    </row>
    <row r="5518" spans="1:16" x14ac:dyDescent="0.3">
      <c r="A5518" s="3">
        <f t="shared" si="680"/>
        <v>45839</v>
      </c>
      <c r="B5518" s="11" t="s">
        <v>1250</v>
      </c>
      <c r="C5518" s="50" t="s">
        <v>8564</v>
      </c>
      <c r="E5518" s="90" t="s">
        <v>4720</v>
      </c>
      <c r="G5518" s="2">
        <v>2000</v>
      </c>
      <c r="I5518" s="88">
        <f t="shared" si="677"/>
        <v>19105.36</v>
      </c>
      <c r="K5518" s="62"/>
      <c r="L5518" s="2">
        <f t="shared" ref="L5518:L5540" si="683">IF(E5518="C",0,IF((G5518+H5518)&lt;=5000,(G5518+H5518)*0.004,20)+IF(E5518="P",5,IF(E5518="Y",15,IF(E5518="YY",25))))</f>
        <v>8</v>
      </c>
      <c r="M5518">
        <f t="shared" ref="M5518:M5540" si="684">IF(E5518="p",5,0)</f>
        <v>0</v>
      </c>
      <c r="O5518" s="62"/>
      <c r="P5518" s="62"/>
    </row>
    <row r="5519" spans="1:16" x14ac:dyDescent="0.3">
      <c r="A5519" s="3">
        <f t="shared" si="680"/>
        <v>45839</v>
      </c>
      <c r="B5519" s="11" t="s">
        <v>1250</v>
      </c>
      <c r="C5519" s="50" t="s">
        <v>2443</v>
      </c>
      <c r="E5519" s="90" t="s">
        <v>4720</v>
      </c>
      <c r="G5519" s="2">
        <v>1950</v>
      </c>
      <c r="I5519" s="88">
        <f t="shared" si="677"/>
        <v>21055.360000000001</v>
      </c>
      <c r="K5519" s="62"/>
      <c r="L5519" s="2">
        <f t="shared" si="683"/>
        <v>7.8</v>
      </c>
      <c r="M5519">
        <f t="shared" si="684"/>
        <v>0</v>
      </c>
      <c r="O5519" s="62"/>
      <c r="P5519" s="62"/>
    </row>
    <row r="5520" spans="1:16" x14ac:dyDescent="0.3">
      <c r="A5520" s="3">
        <f t="shared" si="680"/>
        <v>45839</v>
      </c>
      <c r="B5520" s="11" t="s">
        <v>1472</v>
      </c>
      <c r="C5520" s="50" t="s">
        <v>8507</v>
      </c>
      <c r="E5520" s="90" t="s">
        <v>4720</v>
      </c>
      <c r="G5520" s="2">
        <v>2000</v>
      </c>
      <c r="I5520" s="88">
        <f t="shared" si="677"/>
        <v>23055.360000000001</v>
      </c>
      <c r="K5520" s="62"/>
      <c r="L5520" s="2">
        <f t="shared" si="683"/>
        <v>8</v>
      </c>
      <c r="M5520">
        <f t="shared" si="684"/>
        <v>0</v>
      </c>
      <c r="O5520" s="62"/>
      <c r="P5520" s="62"/>
    </row>
    <row r="5521" spans="1:16" x14ac:dyDescent="0.3">
      <c r="A5521" s="3">
        <v>45840</v>
      </c>
      <c r="B5521" s="11" t="s">
        <v>1472</v>
      </c>
      <c r="C5521" s="50" t="s">
        <v>8565</v>
      </c>
      <c r="E5521" s="90" t="s">
        <v>4720</v>
      </c>
      <c r="G5521" s="2">
        <v>1000</v>
      </c>
      <c r="I5521" s="88">
        <f t="shared" si="677"/>
        <v>24055.360000000001</v>
      </c>
      <c r="K5521" s="62"/>
      <c r="L5521" s="2">
        <f t="shared" si="683"/>
        <v>4</v>
      </c>
      <c r="M5521">
        <f t="shared" si="684"/>
        <v>0</v>
      </c>
      <c r="O5521" s="62"/>
      <c r="P5521" s="62"/>
    </row>
    <row r="5522" spans="1:16" x14ac:dyDescent="0.3">
      <c r="A5522" s="3">
        <f t="shared" si="680"/>
        <v>45840</v>
      </c>
      <c r="B5522" s="11" t="s">
        <v>1160</v>
      </c>
      <c r="C5522" s="50" t="s">
        <v>7155</v>
      </c>
      <c r="E5522" s="90" t="s">
        <v>4720</v>
      </c>
      <c r="G5522" s="2">
        <v>7500</v>
      </c>
      <c r="I5522" s="88">
        <f t="shared" si="677"/>
        <v>31555.360000000001</v>
      </c>
      <c r="K5522" s="62"/>
      <c r="L5522" s="2">
        <f t="shared" si="683"/>
        <v>20</v>
      </c>
      <c r="M5522">
        <f t="shared" si="684"/>
        <v>0</v>
      </c>
      <c r="O5522" s="62"/>
      <c r="P5522" s="62"/>
    </row>
    <row r="5523" spans="1:16" x14ac:dyDescent="0.3">
      <c r="A5523" s="3">
        <f t="shared" si="680"/>
        <v>45840</v>
      </c>
      <c r="B5523" s="11" t="s">
        <v>7862</v>
      </c>
      <c r="C5523" s="50" t="s">
        <v>8566</v>
      </c>
      <c r="E5523" s="90" t="s">
        <v>4720</v>
      </c>
      <c r="G5523" s="2">
        <v>5000</v>
      </c>
      <c r="I5523" s="88">
        <f t="shared" si="677"/>
        <v>36555.360000000001</v>
      </c>
      <c r="K5523" s="62"/>
      <c r="L5523" s="2">
        <f t="shared" si="683"/>
        <v>20</v>
      </c>
      <c r="M5523">
        <f t="shared" si="684"/>
        <v>0</v>
      </c>
      <c r="O5523" s="62"/>
      <c r="P5523" s="62"/>
    </row>
    <row r="5524" spans="1:16" x14ac:dyDescent="0.3">
      <c r="A5524" s="3">
        <f t="shared" si="680"/>
        <v>45840</v>
      </c>
      <c r="B5524" s="11" t="s">
        <v>8388</v>
      </c>
      <c r="C5524" s="50" t="s">
        <v>8567</v>
      </c>
      <c r="E5524" s="90" t="s">
        <v>2088</v>
      </c>
      <c r="G5524" s="2">
        <v>4500</v>
      </c>
      <c r="I5524" s="88">
        <f t="shared" si="677"/>
        <v>41055.360000000001</v>
      </c>
      <c r="K5524" s="62"/>
      <c r="L5524" s="2">
        <f t="shared" si="683"/>
        <v>23</v>
      </c>
      <c r="M5524">
        <f t="shared" si="684"/>
        <v>5</v>
      </c>
      <c r="O5524" s="62"/>
      <c r="P5524" s="62"/>
    </row>
    <row r="5525" spans="1:16" x14ac:dyDescent="0.3">
      <c r="A5525" s="3">
        <f t="shared" si="680"/>
        <v>45840</v>
      </c>
      <c r="B5525" s="11" t="s">
        <v>7955</v>
      </c>
      <c r="C5525" s="50" t="s">
        <v>8568</v>
      </c>
      <c r="E5525" s="90" t="s">
        <v>2088</v>
      </c>
      <c r="G5525" s="2">
        <v>400</v>
      </c>
      <c r="I5525" s="88">
        <f t="shared" si="677"/>
        <v>41455.360000000001</v>
      </c>
      <c r="K5525" s="62"/>
      <c r="L5525" s="2">
        <f t="shared" si="683"/>
        <v>6.6</v>
      </c>
      <c r="M5525">
        <f t="shared" si="684"/>
        <v>5</v>
      </c>
      <c r="O5525" s="62"/>
      <c r="P5525" s="62"/>
    </row>
    <row r="5526" spans="1:16" x14ac:dyDescent="0.3">
      <c r="A5526" s="3">
        <f t="shared" si="680"/>
        <v>45840</v>
      </c>
      <c r="B5526" s="11" t="s">
        <v>6260</v>
      </c>
      <c r="C5526" s="50" t="s">
        <v>8558</v>
      </c>
      <c r="E5526" s="90" t="s">
        <v>4720</v>
      </c>
      <c r="H5526" s="2">
        <v>3000</v>
      </c>
      <c r="I5526" s="88">
        <f t="shared" si="677"/>
        <v>38455.360000000001</v>
      </c>
      <c r="K5526" s="62"/>
      <c r="L5526" s="2">
        <f t="shared" si="683"/>
        <v>12</v>
      </c>
      <c r="M5526">
        <f t="shared" si="684"/>
        <v>0</v>
      </c>
      <c r="O5526" s="62"/>
      <c r="P5526" s="62"/>
    </row>
    <row r="5527" spans="1:16" x14ac:dyDescent="0.3">
      <c r="A5527" s="3">
        <f t="shared" si="680"/>
        <v>45840</v>
      </c>
      <c r="B5527" s="11" t="s">
        <v>6844</v>
      </c>
      <c r="C5527" s="50" t="s">
        <v>7544</v>
      </c>
      <c r="E5527" s="90" t="s">
        <v>4720</v>
      </c>
      <c r="H5527" s="2">
        <v>2400</v>
      </c>
      <c r="I5527" s="88">
        <f t="shared" si="677"/>
        <v>36055.360000000001</v>
      </c>
      <c r="K5527" s="62"/>
      <c r="L5527" s="2">
        <f t="shared" si="683"/>
        <v>9.6</v>
      </c>
      <c r="M5527">
        <f t="shared" si="684"/>
        <v>0</v>
      </c>
      <c r="O5527" s="62"/>
      <c r="P5527" s="62"/>
    </row>
    <row r="5528" spans="1:16" x14ac:dyDescent="0.3">
      <c r="A5528" s="3">
        <f t="shared" si="680"/>
        <v>45840</v>
      </c>
      <c r="B5528" s="11" t="s">
        <v>7870</v>
      </c>
      <c r="C5528" s="50" t="s">
        <v>8380</v>
      </c>
      <c r="E5528" s="90" t="s">
        <v>2088</v>
      </c>
      <c r="G5528" s="2">
        <v>1500</v>
      </c>
      <c r="I5528" s="88">
        <f t="shared" si="677"/>
        <v>37555.360000000001</v>
      </c>
      <c r="K5528" s="62"/>
      <c r="L5528" s="2">
        <f t="shared" si="683"/>
        <v>11</v>
      </c>
      <c r="M5528">
        <f t="shared" si="684"/>
        <v>5</v>
      </c>
      <c r="O5528" s="62"/>
      <c r="P5528" s="62"/>
    </row>
    <row r="5529" spans="1:16" x14ac:dyDescent="0.3">
      <c r="A5529" s="3">
        <f t="shared" si="680"/>
        <v>45840</v>
      </c>
      <c r="B5529" s="11" t="s">
        <v>8574</v>
      </c>
      <c r="C5529" s="50" t="s">
        <v>8575</v>
      </c>
      <c r="E5529" s="90" t="s">
        <v>2088</v>
      </c>
      <c r="G5529" s="2">
        <v>1700</v>
      </c>
      <c r="I5529" s="88">
        <f t="shared" si="677"/>
        <v>39255.360000000001</v>
      </c>
      <c r="K5529" s="62"/>
      <c r="L5529" s="2">
        <f t="shared" si="683"/>
        <v>11.8</v>
      </c>
      <c r="M5529">
        <f t="shared" si="684"/>
        <v>5</v>
      </c>
      <c r="O5529" s="62"/>
      <c r="P5529" s="62"/>
    </row>
    <row r="5530" spans="1:16" x14ac:dyDescent="0.3">
      <c r="A5530" s="3">
        <f t="shared" si="680"/>
        <v>45840</v>
      </c>
      <c r="B5530" s="11" t="s">
        <v>7476</v>
      </c>
      <c r="C5530" s="50" t="s">
        <v>8138</v>
      </c>
      <c r="E5530" s="90" t="s">
        <v>2088</v>
      </c>
      <c r="G5530" s="2">
        <v>0</v>
      </c>
      <c r="I5530" s="88">
        <f t="shared" si="677"/>
        <v>39255.360000000001</v>
      </c>
      <c r="K5530" s="62"/>
      <c r="L5530" s="2">
        <f t="shared" si="683"/>
        <v>5</v>
      </c>
      <c r="M5530">
        <f t="shared" si="684"/>
        <v>5</v>
      </c>
      <c r="O5530" s="62"/>
      <c r="P5530" s="62"/>
    </row>
    <row r="5531" spans="1:16" x14ac:dyDescent="0.3">
      <c r="A5531" s="3">
        <f t="shared" si="680"/>
        <v>45840</v>
      </c>
      <c r="B5531" s="11" t="s">
        <v>8570</v>
      </c>
      <c r="C5531" s="65" t="s">
        <v>8571</v>
      </c>
      <c r="E5531" s="90" t="s">
        <v>16</v>
      </c>
      <c r="H5531" s="2">
        <v>1050</v>
      </c>
      <c r="I5531" s="88">
        <f t="shared" si="677"/>
        <v>38205.360000000001</v>
      </c>
      <c r="K5531" s="62"/>
      <c r="L5531" s="2">
        <f t="shared" si="683"/>
        <v>19.2</v>
      </c>
      <c r="M5531">
        <f t="shared" si="684"/>
        <v>0</v>
      </c>
      <c r="O5531" s="62"/>
      <c r="P5531" s="62"/>
    </row>
    <row r="5532" spans="1:16" x14ac:dyDescent="0.3">
      <c r="A5532" s="3">
        <f t="shared" si="680"/>
        <v>45840</v>
      </c>
      <c r="C5532" s="50" t="s">
        <v>2857</v>
      </c>
      <c r="E5532" s="90" t="s">
        <v>8332</v>
      </c>
      <c r="H5532" s="2">
        <v>35000</v>
      </c>
      <c r="I5532" s="88">
        <f t="shared" si="677"/>
        <v>3205.3600000000006</v>
      </c>
      <c r="K5532" s="62"/>
      <c r="L5532" s="2">
        <f t="shared" si="683"/>
        <v>0</v>
      </c>
      <c r="M5532">
        <f t="shared" si="684"/>
        <v>0</v>
      </c>
      <c r="O5532" s="62"/>
      <c r="P5532" s="62"/>
    </row>
    <row r="5533" spans="1:16" x14ac:dyDescent="0.3">
      <c r="A5533" s="3">
        <f t="shared" si="680"/>
        <v>45840</v>
      </c>
      <c r="B5533" s="11" t="s">
        <v>8576</v>
      </c>
      <c r="C5533" s="50" t="s">
        <v>8577</v>
      </c>
      <c r="E5533" s="90" t="s">
        <v>2088</v>
      </c>
      <c r="G5533" s="2">
        <v>8000</v>
      </c>
      <c r="I5533" s="88">
        <f t="shared" si="677"/>
        <v>11205.36</v>
      </c>
      <c r="K5533" s="62"/>
      <c r="L5533" s="2">
        <f t="shared" si="683"/>
        <v>25</v>
      </c>
      <c r="M5533">
        <f t="shared" si="684"/>
        <v>5</v>
      </c>
      <c r="O5533" s="62"/>
      <c r="P5533" s="62"/>
    </row>
    <row r="5534" spans="1:16" x14ac:dyDescent="0.3">
      <c r="A5534" s="3">
        <f t="shared" si="680"/>
        <v>45840</v>
      </c>
      <c r="B5534" s="11" t="s">
        <v>6687</v>
      </c>
      <c r="C5534" s="50" t="s">
        <v>8578</v>
      </c>
      <c r="E5534" s="90" t="s">
        <v>4720</v>
      </c>
      <c r="G5534" s="2">
        <v>4000</v>
      </c>
      <c r="I5534" s="88">
        <f t="shared" si="677"/>
        <v>15205.36</v>
      </c>
      <c r="K5534" s="62"/>
      <c r="L5534" s="2">
        <f t="shared" si="683"/>
        <v>16</v>
      </c>
      <c r="M5534">
        <f t="shared" si="684"/>
        <v>0</v>
      </c>
      <c r="O5534" s="62"/>
      <c r="P5534" s="62"/>
    </row>
    <row r="5535" spans="1:16" x14ac:dyDescent="0.3">
      <c r="A5535" s="3">
        <f t="shared" si="680"/>
        <v>45840</v>
      </c>
      <c r="B5535" s="11" t="s">
        <v>7051</v>
      </c>
      <c r="C5535" s="50" t="s">
        <v>7236</v>
      </c>
      <c r="E5535" s="90" t="s">
        <v>2088</v>
      </c>
      <c r="G5535" s="2">
        <v>3000</v>
      </c>
      <c r="I5535" s="88">
        <f t="shared" si="677"/>
        <v>18205.36</v>
      </c>
      <c r="K5535" s="62"/>
      <c r="L5535" s="2">
        <f t="shared" si="683"/>
        <v>17</v>
      </c>
      <c r="M5535">
        <f t="shared" si="684"/>
        <v>5</v>
      </c>
      <c r="O5535" s="62"/>
      <c r="P5535" s="62"/>
    </row>
    <row r="5536" spans="1:16" x14ac:dyDescent="0.3">
      <c r="A5536" s="3">
        <f t="shared" si="680"/>
        <v>45840</v>
      </c>
      <c r="B5536" s="11" t="s">
        <v>6864</v>
      </c>
      <c r="C5536" s="50" t="s">
        <v>6863</v>
      </c>
      <c r="E5536" s="90" t="s">
        <v>2088</v>
      </c>
      <c r="G5536" s="2">
        <v>5000</v>
      </c>
      <c r="I5536" s="88">
        <f t="shared" si="677"/>
        <v>23205.360000000001</v>
      </c>
      <c r="K5536" s="62"/>
      <c r="L5536" s="2">
        <f t="shared" si="683"/>
        <v>25</v>
      </c>
      <c r="M5536">
        <f t="shared" si="684"/>
        <v>5</v>
      </c>
      <c r="O5536" s="62"/>
      <c r="P5536" s="62"/>
    </row>
    <row r="5537" spans="1:16" x14ac:dyDescent="0.3">
      <c r="A5537" s="3">
        <v>45841</v>
      </c>
      <c r="B5537" s="11" t="s">
        <v>1472</v>
      </c>
      <c r="C5537" s="50" t="s">
        <v>8507</v>
      </c>
      <c r="E5537" s="90" t="s">
        <v>4720</v>
      </c>
      <c r="G5537" s="2">
        <v>10000</v>
      </c>
      <c r="I5537" s="88">
        <f t="shared" si="677"/>
        <v>33205.360000000001</v>
      </c>
      <c r="K5537" s="62"/>
      <c r="L5537" s="2">
        <f t="shared" si="683"/>
        <v>20</v>
      </c>
      <c r="M5537">
        <f t="shared" si="684"/>
        <v>0</v>
      </c>
      <c r="O5537" s="62"/>
      <c r="P5537" s="62"/>
    </row>
    <row r="5538" spans="1:16" x14ac:dyDescent="0.3">
      <c r="A5538" s="3">
        <f t="shared" si="680"/>
        <v>45841</v>
      </c>
      <c r="B5538" s="11" t="s">
        <v>6260</v>
      </c>
      <c r="C5538" s="50" t="s">
        <v>8558</v>
      </c>
      <c r="E5538" s="90" t="s">
        <v>4720</v>
      </c>
      <c r="H5538" s="2">
        <v>3500</v>
      </c>
      <c r="I5538" s="88">
        <f t="shared" si="677"/>
        <v>29705.360000000001</v>
      </c>
      <c r="K5538" s="62"/>
      <c r="L5538" s="2">
        <f t="shared" si="683"/>
        <v>14</v>
      </c>
      <c r="M5538">
        <f t="shared" si="684"/>
        <v>0</v>
      </c>
      <c r="O5538" s="62"/>
      <c r="P5538" s="62"/>
    </row>
    <row r="5539" spans="1:16" x14ac:dyDescent="0.3">
      <c r="A5539" s="3">
        <f t="shared" si="680"/>
        <v>45841</v>
      </c>
      <c r="B5539" s="11" t="s">
        <v>8518</v>
      </c>
      <c r="C5539" s="50" t="s">
        <v>8520</v>
      </c>
      <c r="E5539" s="90" t="s">
        <v>2088</v>
      </c>
      <c r="H5539" s="2">
        <v>0</v>
      </c>
      <c r="I5539" s="88">
        <f t="shared" si="677"/>
        <v>29705.360000000001</v>
      </c>
      <c r="K5539" s="62"/>
      <c r="L5539" s="2">
        <f t="shared" si="683"/>
        <v>5</v>
      </c>
      <c r="M5539">
        <f t="shared" si="684"/>
        <v>5</v>
      </c>
      <c r="O5539" s="62"/>
      <c r="P5539" s="62"/>
    </row>
    <row r="5540" spans="1:16" x14ac:dyDescent="0.3">
      <c r="A5540" s="3">
        <f t="shared" si="680"/>
        <v>45841</v>
      </c>
      <c r="B5540" s="11" t="s">
        <v>8570</v>
      </c>
      <c r="C5540" s="50" t="s">
        <v>8571</v>
      </c>
      <c r="E5540" s="90" t="s">
        <v>2088</v>
      </c>
      <c r="H5540" s="2">
        <v>0</v>
      </c>
      <c r="I5540" s="88">
        <f t="shared" si="677"/>
        <v>29705.360000000001</v>
      </c>
      <c r="K5540" s="62"/>
      <c r="L5540" s="2">
        <f t="shared" si="683"/>
        <v>5</v>
      </c>
      <c r="M5540">
        <f t="shared" si="684"/>
        <v>5</v>
      </c>
      <c r="O5540" s="62"/>
      <c r="P5540" s="62"/>
    </row>
    <row r="5541" spans="1:16" x14ac:dyDescent="0.3">
      <c r="A5541" s="3">
        <f t="shared" si="680"/>
        <v>45841</v>
      </c>
      <c r="B5541" s="11" t="s">
        <v>8586</v>
      </c>
      <c r="C5541" s="65" t="s">
        <v>8587</v>
      </c>
      <c r="E5541" s="90" t="s">
        <v>16</v>
      </c>
      <c r="H5541" s="2">
        <v>1000</v>
      </c>
      <c r="I5541" s="88">
        <f t="shared" si="677"/>
        <v>28705.360000000001</v>
      </c>
      <c r="K5541" s="62"/>
      <c r="L5541" s="2">
        <f t="shared" ref="L5541:L5544" si="685">IF(E5541="C",0,IF((G5541+H5541)&lt;=5000,(G5541+H5541)*0.004,20)+IF(E5541="P",5,IF(E5541="Y",15,IF(E5541="YY",25))))</f>
        <v>19</v>
      </c>
      <c r="M5541">
        <f t="shared" ref="M5541:M5544" si="686">IF(E5541="p",5,0)</f>
        <v>0</v>
      </c>
      <c r="O5541" s="62"/>
      <c r="P5541" s="62"/>
    </row>
    <row r="5542" spans="1:16" x14ac:dyDescent="0.3">
      <c r="A5542" s="3">
        <f t="shared" si="680"/>
        <v>45841</v>
      </c>
      <c r="B5542" s="11" t="s">
        <v>7813</v>
      </c>
      <c r="C5542" s="50" t="s">
        <v>7814</v>
      </c>
      <c r="E5542" s="90" t="s">
        <v>2088</v>
      </c>
      <c r="G5542" s="2">
        <v>2000</v>
      </c>
      <c r="I5542" s="88">
        <f t="shared" si="677"/>
        <v>30705.360000000001</v>
      </c>
      <c r="K5542" s="62"/>
      <c r="L5542" s="2">
        <f t="shared" si="685"/>
        <v>13</v>
      </c>
      <c r="M5542">
        <f t="shared" si="686"/>
        <v>5</v>
      </c>
      <c r="O5542" s="62"/>
      <c r="P5542" s="62"/>
    </row>
    <row r="5543" spans="1:16" x14ac:dyDescent="0.3">
      <c r="A5543" s="3">
        <v>45842</v>
      </c>
      <c r="B5543" s="11" t="s">
        <v>8074</v>
      </c>
      <c r="C5543" s="50" t="s">
        <v>8176</v>
      </c>
      <c r="E5543" s="90" t="s">
        <v>4720</v>
      </c>
      <c r="G5543" s="2">
        <v>3500</v>
      </c>
      <c r="I5543" s="88">
        <f t="shared" si="677"/>
        <v>34205.360000000001</v>
      </c>
      <c r="K5543" s="62"/>
      <c r="L5543" s="2">
        <f t="shared" si="685"/>
        <v>14</v>
      </c>
      <c r="M5543">
        <f t="shared" si="686"/>
        <v>0</v>
      </c>
      <c r="O5543" s="62"/>
      <c r="P5543" s="62"/>
    </row>
    <row r="5544" spans="1:16" x14ac:dyDescent="0.3">
      <c r="A5544" s="3">
        <f t="shared" si="680"/>
        <v>45842</v>
      </c>
      <c r="B5544" s="11" t="s">
        <v>8593</v>
      </c>
      <c r="C5544" s="65" t="s">
        <v>8594</v>
      </c>
      <c r="E5544" s="90" t="s">
        <v>16</v>
      </c>
      <c r="H5544" s="2">
        <v>500</v>
      </c>
      <c r="I5544" s="88">
        <f t="shared" si="677"/>
        <v>33705.360000000001</v>
      </c>
      <c r="K5544" s="62"/>
      <c r="L5544" s="2">
        <f t="shared" si="685"/>
        <v>17</v>
      </c>
      <c r="M5544">
        <f t="shared" si="686"/>
        <v>0</v>
      </c>
      <c r="O5544" s="62"/>
      <c r="P5544" s="62"/>
    </row>
    <row r="5545" spans="1:16" x14ac:dyDescent="0.3">
      <c r="A5545" s="3">
        <f t="shared" si="680"/>
        <v>45842</v>
      </c>
      <c r="B5545" s="11" t="s">
        <v>7329</v>
      </c>
      <c r="C5545" s="50" t="s">
        <v>7330</v>
      </c>
      <c r="E5545" s="90" t="s">
        <v>2088</v>
      </c>
      <c r="G5545" s="2">
        <v>1300</v>
      </c>
      <c r="I5545" s="88">
        <f t="shared" si="677"/>
        <v>35005.360000000001</v>
      </c>
      <c r="K5545" s="62"/>
      <c r="L5545" s="2">
        <f t="shared" ref="L5545:L5575" si="687">IF(E5545="C",0,IF((G5545+H5545)&lt;=5000,(G5545+H5545)*0.004,20)+IF(E5545="P",5,IF(E5545="Y",15,IF(E5545="YY",25))))</f>
        <v>10.199999999999999</v>
      </c>
      <c r="M5545">
        <f t="shared" ref="M5545:M5575" si="688">IF(E5545="p",5,0)</f>
        <v>5</v>
      </c>
      <c r="O5545" s="62"/>
      <c r="P5545" s="62"/>
    </row>
    <row r="5546" spans="1:16" x14ac:dyDescent="0.3">
      <c r="A5546" s="3">
        <f t="shared" si="680"/>
        <v>45842</v>
      </c>
      <c r="B5546" s="11" t="s">
        <v>1472</v>
      </c>
      <c r="C5546" s="50" t="s">
        <v>8507</v>
      </c>
      <c r="E5546" s="90" t="s">
        <v>4720</v>
      </c>
      <c r="G5546" s="2">
        <v>10000</v>
      </c>
      <c r="I5546" s="88">
        <f t="shared" si="677"/>
        <v>45005.36</v>
      </c>
      <c r="K5546" s="62"/>
      <c r="L5546" s="2">
        <f t="shared" si="687"/>
        <v>20</v>
      </c>
      <c r="M5546">
        <f t="shared" si="688"/>
        <v>0</v>
      </c>
      <c r="O5546" s="62"/>
      <c r="P5546" s="62"/>
    </row>
    <row r="5547" spans="1:16" x14ac:dyDescent="0.3">
      <c r="A5547" s="3">
        <f t="shared" si="680"/>
        <v>45842</v>
      </c>
      <c r="B5547" s="11" t="s">
        <v>8597</v>
      </c>
      <c r="C5547" s="50" t="s">
        <v>8598</v>
      </c>
      <c r="E5547" s="90" t="s">
        <v>4720</v>
      </c>
      <c r="G5547" s="2">
        <v>2500</v>
      </c>
      <c r="I5547" s="88">
        <f t="shared" si="677"/>
        <v>47505.36</v>
      </c>
      <c r="K5547" s="62"/>
      <c r="L5547" s="2">
        <f t="shared" si="687"/>
        <v>10</v>
      </c>
      <c r="M5547">
        <f t="shared" si="688"/>
        <v>0</v>
      </c>
      <c r="O5547" s="62"/>
      <c r="P5547" s="62"/>
    </row>
    <row r="5548" spans="1:16" x14ac:dyDescent="0.3">
      <c r="A5548" s="3">
        <f t="shared" si="680"/>
        <v>45842</v>
      </c>
      <c r="B5548" s="11" t="s">
        <v>8599</v>
      </c>
      <c r="C5548" s="50" t="s">
        <v>8600</v>
      </c>
      <c r="E5548" s="90" t="s">
        <v>4720</v>
      </c>
      <c r="H5548" s="2">
        <v>2500</v>
      </c>
      <c r="I5548" s="88">
        <f t="shared" si="677"/>
        <v>45005.36</v>
      </c>
      <c r="K5548" s="62"/>
      <c r="L5548" s="2">
        <f t="shared" si="687"/>
        <v>10</v>
      </c>
      <c r="M5548">
        <f t="shared" si="688"/>
        <v>0</v>
      </c>
      <c r="O5548" s="62"/>
      <c r="P5548" s="62"/>
    </row>
    <row r="5549" spans="1:16" x14ac:dyDescent="0.3">
      <c r="A5549" s="3">
        <f t="shared" si="680"/>
        <v>45842</v>
      </c>
      <c r="B5549" s="11" t="s">
        <v>6844</v>
      </c>
      <c r="C5549" s="50" t="s">
        <v>7544</v>
      </c>
      <c r="E5549" s="90" t="s">
        <v>4720</v>
      </c>
      <c r="H5549" s="2">
        <v>2000</v>
      </c>
      <c r="I5549" s="88">
        <f t="shared" si="677"/>
        <v>43005.36</v>
      </c>
      <c r="K5549" s="62"/>
      <c r="L5549" s="2">
        <f t="shared" si="687"/>
        <v>8</v>
      </c>
      <c r="M5549">
        <f t="shared" si="688"/>
        <v>0</v>
      </c>
      <c r="O5549" s="62"/>
      <c r="P5549" s="62"/>
    </row>
    <row r="5550" spans="1:16" x14ac:dyDescent="0.3">
      <c r="A5550" s="3">
        <f t="shared" si="680"/>
        <v>45842</v>
      </c>
      <c r="B5550" s="11" t="s">
        <v>7269</v>
      </c>
      <c r="C5550" s="50" t="s">
        <v>8187</v>
      </c>
      <c r="E5550" s="90" t="s">
        <v>2088</v>
      </c>
      <c r="G5550" s="2">
        <v>4000</v>
      </c>
      <c r="I5550" s="88">
        <f t="shared" si="677"/>
        <v>47005.36</v>
      </c>
      <c r="K5550" s="62"/>
      <c r="L5550" s="2">
        <f t="shared" si="687"/>
        <v>21</v>
      </c>
      <c r="M5550">
        <f t="shared" si="688"/>
        <v>5</v>
      </c>
      <c r="O5550" s="62"/>
      <c r="P5550" s="62"/>
    </row>
    <row r="5551" spans="1:16" x14ac:dyDescent="0.3">
      <c r="A5551" s="3">
        <f t="shared" si="680"/>
        <v>45842</v>
      </c>
      <c r="B5551" s="11" t="s">
        <v>3915</v>
      </c>
      <c r="C5551" s="50" t="s">
        <v>8187</v>
      </c>
      <c r="E5551" s="90" t="s">
        <v>4720</v>
      </c>
      <c r="G5551" s="2">
        <v>2500</v>
      </c>
      <c r="I5551" s="88">
        <f t="shared" si="677"/>
        <v>49505.36</v>
      </c>
      <c r="K5551" s="62"/>
      <c r="L5551" s="2">
        <f t="shared" si="687"/>
        <v>10</v>
      </c>
      <c r="M5551">
        <f t="shared" si="688"/>
        <v>0</v>
      </c>
      <c r="O5551" s="62"/>
      <c r="P5551" s="62"/>
    </row>
    <row r="5552" spans="1:16" x14ac:dyDescent="0.3">
      <c r="A5552" s="3">
        <f t="shared" si="680"/>
        <v>45842</v>
      </c>
      <c r="B5552" s="11" t="s">
        <v>7279</v>
      </c>
      <c r="C5552" s="50" t="s">
        <v>8601</v>
      </c>
      <c r="E5552" s="90" t="s">
        <v>2088</v>
      </c>
      <c r="G5552" s="2">
        <v>5000</v>
      </c>
      <c r="I5552" s="88">
        <f t="shared" si="677"/>
        <v>54505.36</v>
      </c>
      <c r="K5552" s="62"/>
      <c r="L5552" s="2">
        <f t="shared" si="687"/>
        <v>25</v>
      </c>
      <c r="M5552">
        <f t="shared" si="688"/>
        <v>5</v>
      </c>
      <c r="O5552" s="62"/>
      <c r="P5552" s="62"/>
    </row>
    <row r="5553" spans="1:16" x14ac:dyDescent="0.3">
      <c r="A5553" s="3">
        <f t="shared" si="680"/>
        <v>45842</v>
      </c>
      <c r="C5553" s="50" t="s">
        <v>2857</v>
      </c>
      <c r="E5553" s="90" t="s">
        <v>8332</v>
      </c>
      <c r="H5553" s="2">
        <v>50000</v>
      </c>
      <c r="I5553" s="88">
        <f t="shared" si="677"/>
        <v>4505.3600000000006</v>
      </c>
      <c r="K5553" s="62"/>
      <c r="L5553" s="2">
        <f t="shared" si="687"/>
        <v>0</v>
      </c>
      <c r="M5553">
        <f t="shared" si="688"/>
        <v>0</v>
      </c>
      <c r="O5553" s="62"/>
      <c r="P5553" s="62"/>
    </row>
    <row r="5554" spans="1:16" x14ac:dyDescent="0.3">
      <c r="A5554" s="3">
        <f t="shared" si="680"/>
        <v>45842</v>
      </c>
      <c r="B5554" s="11" t="s">
        <v>3420</v>
      </c>
      <c r="C5554" s="50" t="s">
        <v>8602</v>
      </c>
      <c r="E5554" s="90" t="s">
        <v>2088</v>
      </c>
      <c r="G5554" s="2">
        <v>500</v>
      </c>
      <c r="I5554" s="88">
        <f t="shared" si="677"/>
        <v>5005.3600000000006</v>
      </c>
      <c r="K5554" s="62"/>
      <c r="L5554" s="2">
        <f t="shared" si="687"/>
        <v>7</v>
      </c>
      <c r="M5554">
        <f t="shared" si="688"/>
        <v>5</v>
      </c>
      <c r="O5554" s="62"/>
      <c r="P5554" s="62"/>
    </row>
    <row r="5555" spans="1:16" x14ac:dyDescent="0.3">
      <c r="A5555" s="3">
        <f t="shared" si="680"/>
        <v>45842</v>
      </c>
      <c r="B5555" s="11" t="s">
        <v>5383</v>
      </c>
      <c r="C5555" s="50" t="s">
        <v>6157</v>
      </c>
      <c r="E5555" s="90" t="s">
        <v>2088</v>
      </c>
      <c r="G5555" s="2">
        <v>0</v>
      </c>
      <c r="I5555" s="88">
        <f t="shared" si="677"/>
        <v>5005.3600000000006</v>
      </c>
      <c r="K5555" s="62"/>
      <c r="L5555" s="2">
        <f t="shared" si="687"/>
        <v>5</v>
      </c>
      <c r="M5555">
        <f t="shared" si="688"/>
        <v>5</v>
      </c>
      <c r="O5555" s="62"/>
      <c r="P5555" s="62"/>
    </row>
    <row r="5556" spans="1:16" x14ac:dyDescent="0.3">
      <c r="A5556" s="3">
        <f t="shared" si="680"/>
        <v>45842</v>
      </c>
      <c r="B5556" s="11" t="s">
        <v>1472</v>
      </c>
      <c r="C5556" s="50" t="s">
        <v>8026</v>
      </c>
      <c r="E5556" s="90" t="s">
        <v>4720</v>
      </c>
      <c r="G5556" s="2">
        <v>2000</v>
      </c>
      <c r="I5556" s="88">
        <f t="shared" si="677"/>
        <v>7005.3600000000006</v>
      </c>
      <c r="K5556" s="62"/>
      <c r="L5556" s="2">
        <f t="shared" si="687"/>
        <v>8</v>
      </c>
      <c r="M5556">
        <f t="shared" si="688"/>
        <v>0</v>
      </c>
      <c r="O5556" s="62"/>
      <c r="P5556" s="62"/>
    </row>
    <row r="5557" spans="1:16" x14ac:dyDescent="0.3">
      <c r="A5557" s="3">
        <f t="shared" si="680"/>
        <v>45842</v>
      </c>
      <c r="B5557" s="11" t="s">
        <v>1160</v>
      </c>
      <c r="C5557" s="50" t="s">
        <v>8603</v>
      </c>
      <c r="E5557" s="90" t="s">
        <v>4720</v>
      </c>
      <c r="G5557" s="2">
        <v>2000</v>
      </c>
      <c r="I5557" s="88">
        <f t="shared" si="677"/>
        <v>9005.36</v>
      </c>
      <c r="K5557" s="62"/>
      <c r="L5557" s="2">
        <f t="shared" si="687"/>
        <v>8</v>
      </c>
      <c r="M5557">
        <f t="shared" si="688"/>
        <v>0</v>
      </c>
      <c r="O5557" s="62"/>
      <c r="P5557" s="62"/>
    </row>
    <row r="5558" spans="1:16" x14ac:dyDescent="0.3">
      <c r="A5558" s="3">
        <v>45843</v>
      </c>
      <c r="B5558" s="11" t="s">
        <v>8586</v>
      </c>
      <c r="C5558" s="50" t="s">
        <v>8587</v>
      </c>
      <c r="E5558" s="90" t="s">
        <v>2088</v>
      </c>
      <c r="H5558" s="2">
        <v>0</v>
      </c>
      <c r="I5558" s="88">
        <f t="shared" si="677"/>
        <v>9005.36</v>
      </c>
      <c r="K5558" s="62"/>
      <c r="L5558" s="2">
        <f t="shared" si="687"/>
        <v>5</v>
      </c>
      <c r="M5558">
        <f t="shared" si="688"/>
        <v>5</v>
      </c>
      <c r="O5558" s="62"/>
      <c r="P5558" s="62"/>
    </row>
    <row r="5559" spans="1:16" x14ac:dyDescent="0.3">
      <c r="A5559" s="3">
        <f t="shared" si="680"/>
        <v>45843</v>
      </c>
      <c r="B5559" s="11" t="s">
        <v>8605</v>
      </c>
      <c r="C5559" s="50" t="s">
        <v>8606</v>
      </c>
      <c r="E5559" s="90" t="s">
        <v>4720</v>
      </c>
      <c r="G5559" s="2">
        <v>500</v>
      </c>
      <c r="I5559" s="88">
        <f t="shared" si="677"/>
        <v>9505.36</v>
      </c>
      <c r="K5559" s="62"/>
      <c r="L5559" s="2">
        <f t="shared" si="687"/>
        <v>2</v>
      </c>
      <c r="M5559">
        <f t="shared" si="688"/>
        <v>0</v>
      </c>
      <c r="O5559" s="62"/>
      <c r="P5559" s="62"/>
    </row>
    <row r="5560" spans="1:16" x14ac:dyDescent="0.3">
      <c r="A5560" s="3">
        <f t="shared" si="680"/>
        <v>45843</v>
      </c>
      <c r="B5560" s="11" t="s">
        <v>8593</v>
      </c>
      <c r="C5560" s="50" t="s">
        <v>8594</v>
      </c>
      <c r="E5560" s="90" t="s">
        <v>2088</v>
      </c>
      <c r="H5560" s="2">
        <v>0</v>
      </c>
      <c r="I5560" s="88">
        <f t="shared" si="677"/>
        <v>9505.36</v>
      </c>
      <c r="K5560" s="62"/>
      <c r="L5560" s="2">
        <f t="shared" si="687"/>
        <v>5</v>
      </c>
      <c r="M5560">
        <f t="shared" si="688"/>
        <v>5</v>
      </c>
      <c r="O5560" s="62"/>
      <c r="P5560" s="62"/>
    </row>
    <row r="5561" spans="1:16" x14ac:dyDescent="0.3">
      <c r="A5561" s="3">
        <f t="shared" si="680"/>
        <v>45843</v>
      </c>
      <c r="B5561" s="11" t="s">
        <v>6231</v>
      </c>
      <c r="C5561" s="50" t="s">
        <v>6468</v>
      </c>
      <c r="E5561" s="90" t="s">
        <v>4720</v>
      </c>
      <c r="G5561" s="2">
        <v>300</v>
      </c>
      <c r="I5561" s="88">
        <f t="shared" si="677"/>
        <v>9805.36</v>
      </c>
      <c r="K5561" s="62"/>
      <c r="L5561" s="2">
        <f t="shared" si="687"/>
        <v>1.2</v>
      </c>
      <c r="M5561">
        <f t="shared" si="688"/>
        <v>0</v>
      </c>
      <c r="O5561" s="62"/>
      <c r="P5561" s="62"/>
    </row>
    <row r="5562" spans="1:16" x14ac:dyDescent="0.3">
      <c r="A5562" s="3">
        <f t="shared" si="680"/>
        <v>45843</v>
      </c>
      <c r="B5562" s="11" t="s">
        <v>8610</v>
      </c>
      <c r="C5562" s="50" t="s">
        <v>8611</v>
      </c>
      <c r="E5562" s="90" t="s">
        <v>4720</v>
      </c>
      <c r="H5562" s="2">
        <v>500</v>
      </c>
      <c r="I5562" s="88">
        <f t="shared" si="677"/>
        <v>9305.36</v>
      </c>
      <c r="K5562" s="62"/>
      <c r="L5562" s="2">
        <f t="shared" si="687"/>
        <v>2</v>
      </c>
      <c r="M5562">
        <f t="shared" si="688"/>
        <v>0</v>
      </c>
      <c r="O5562" s="62"/>
      <c r="P5562" s="62"/>
    </row>
    <row r="5563" spans="1:16" x14ac:dyDescent="0.3">
      <c r="A5563" s="3">
        <f t="shared" si="680"/>
        <v>45843</v>
      </c>
      <c r="B5563" s="11" t="s">
        <v>8608</v>
      </c>
      <c r="C5563" s="50" t="s">
        <v>7697</v>
      </c>
      <c r="E5563" s="90" t="s">
        <v>14</v>
      </c>
      <c r="H5563" s="2">
        <v>500</v>
      </c>
      <c r="I5563" s="88">
        <f t="shared" si="677"/>
        <v>8805.36</v>
      </c>
      <c r="K5563" s="62"/>
      <c r="L5563" s="2">
        <f t="shared" si="687"/>
        <v>17</v>
      </c>
      <c r="M5563">
        <f t="shared" si="688"/>
        <v>0</v>
      </c>
      <c r="O5563" s="62"/>
      <c r="P5563" s="62"/>
    </row>
    <row r="5564" spans="1:16" x14ac:dyDescent="0.3">
      <c r="A5564" s="3">
        <f t="shared" si="680"/>
        <v>45843</v>
      </c>
      <c r="B5564" s="11" t="s">
        <v>8608</v>
      </c>
      <c r="C5564" s="50" t="s">
        <v>7697</v>
      </c>
      <c r="E5564" s="90" t="s">
        <v>2088</v>
      </c>
      <c r="H5564" s="2">
        <v>0</v>
      </c>
      <c r="I5564" s="88">
        <f t="shared" si="677"/>
        <v>8805.36</v>
      </c>
      <c r="K5564" s="62"/>
      <c r="L5564" s="2">
        <f t="shared" si="687"/>
        <v>5</v>
      </c>
      <c r="M5564">
        <f t="shared" si="688"/>
        <v>5</v>
      </c>
      <c r="O5564" s="62"/>
      <c r="P5564" s="62"/>
    </row>
    <row r="5565" spans="1:16" x14ac:dyDescent="0.3">
      <c r="A5565" s="3">
        <f t="shared" si="680"/>
        <v>45843</v>
      </c>
      <c r="B5565" s="11" t="s">
        <v>8561</v>
      </c>
      <c r="C5565" s="50" t="s">
        <v>1279</v>
      </c>
      <c r="E5565" s="90" t="s">
        <v>4720</v>
      </c>
      <c r="H5565" s="2">
        <v>3500</v>
      </c>
      <c r="I5565" s="88">
        <f t="shared" si="677"/>
        <v>5305.3600000000006</v>
      </c>
      <c r="K5565" s="62"/>
      <c r="L5565" s="2">
        <f t="shared" si="687"/>
        <v>14</v>
      </c>
      <c r="M5565">
        <f t="shared" si="688"/>
        <v>0</v>
      </c>
      <c r="O5565" s="62"/>
      <c r="P5565" s="62"/>
    </row>
    <row r="5566" spans="1:16" x14ac:dyDescent="0.3">
      <c r="A5566" s="3">
        <f t="shared" si="680"/>
        <v>45843</v>
      </c>
      <c r="B5566" s="11" t="s">
        <v>1250</v>
      </c>
      <c r="C5566" s="50" t="s">
        <v>4437</v>
      </c>
      <c r="E5566" s="90" t="s">
        <v>4720</v>
      </c>
      <c r="G5566" s="2">
        <v>1900</v>
      </c>
      <c r="I5566" s="88">
        <f t="shared" si="677"/>
        <v>7205.3600000000006</v>
      </c>
      <c r="K5566" s="62"/>
      <c r="L5566" s="2">
        <f t="shared" si="687"/>
        <v>7.6000000000000005</v>
      </c>
      <c r="M5566">
        <f t="shared" si="688"/>
        <v>0</v>
      </c>
      <c r="O5566" s="62"/>
      <c r="P5566" s="62"/>
    </row>
    <row r="5567" spans="1:16" x14ac:dyDescent="0.3">
      <c r="A5567" s="3">
        <f t="shared" si="680"/>
        <v>45843</v>
      </c>
      <c r="B5567" s="11" t="s">
        <v>8614</v>
      </c>
      <c r="C5567" s="50" t="s">
        <v>2621</v>
      </c>
      <c r="E5567" s="90" t="s">
        <v>2088</v>
      </c>
      <c r="G5567" s="2">
        <v>3500</v>
      </c>
      <c r="I5567" s="88">
        <f t="shared" si="677"/>
        <v>10705.36</v>
      </c>
      <c r="K5567" s="62"/>
      <c r="L5567" s="2">
        <f t="shared" si="687"/>
        <v>19</v>
      </c>
      <c r="M5567">
        <f t="shared" si="688"/>
        <v>5</v>
      </c>
      <c r="O5567" s="62"/>
      <c r="P5567" s="62"/>
    </row>
    <row r="5568" spans="1:16" x14ac:dyDescent="0.3">
      <c r="A5568" s="3">
        <v>45844</v>
      </c>
      <c r="B5568" s="11" t="s">
        <v>1160</v>
      </c>
      <c r="C5568" s="50" t="s">
        <v>8615</v>
      </c>
      <c r="E5568" s="90" t="s">
        <v>4720</v>
      </c>
      <c r="G5568" s="2">
        <v>3000</v>
      </c>
      <c r="I5568" s="88">
        <f t="shared" si="677"/>
        <v>13705.36</v>
      </c>
      <c r="K5568" s="62"/>
      <c r="L5568" s="2">
        <f t="shared" si="687"/>
        <v>12</v>
      </c>
      <c r="M5568">
        <f t="shared" si="688"/>
        <v>0</v>
      </c>
      <c r="O5568" s="62"/>
      <c r="P5568" s="62"/>
    </row>
    <row r="5569" spans="1:16" x14ac:dyDescent="0.3">
      <c r="A5569" s="3">
        <f t="shared" si="680"/>
        <v>45844</v>
      </c>
      <c r="B5569" s="11" t="s">
        <v>1250</v>
      </c>
      <c r="C5569" s="50" t="s">
        <v>2348</v>
      </c>
      <c r="E5569" s="90" t="s">
        <v>4720</v>
      </c>
      <c r="G5569" s="2">
        <v>6000</v>
      </c>
      <c r="I5569" s="88">
        <f t="shared" ref="I5569:I5632" si="689">I5568+G5569-H5569</f>
        <v>19705.36</v>
      </c>
      <c r="K5569" s="62"/>
      <c r="L5569" s="2">
        <f t="shared" si="687"/>
        <v>20</v>
      </c>
      <c r="M5569">
        <f t="shared" si="688"/>
        <v>0</v>
      </c>
      <c r="O5569" s="62"/>
      <c r="P5569" s="62"/>
    </row>
    <row r="5570" spans="1:16" x14ac:dyDescent="0.3">
      <c r="A5570" s="3">
        <f t="shared" ref="A5570:A5633" si="690">A5569</f>
        <v>45844</v>
      </c>
      <c r="B5570" s="11" t="s">
        <v>1250</v>
      </c>
      <c r="C5570" s="50" t="s">
        <v>7037</v>
      </c>
      <c r="E5570" s="90" t="s">
        <v>4720</v>
      </c>
      <c r="G5570" s="2">
        <v>1000</v>
      </c>
      <c r="I5570" s="88">
        <f t="shared" si="689"/>
        <v>20705.36</v>
      </c>
      <c r="K5570" s="62"/>
      <c r="L5570" s="2">
        <f t="shared" si="687"/>
        <v>4</v>
      </c>
      <c r="M5570">
        <f t="shared" si="688"/>
        <v>0</v>
      </c>
      <c r="O5570" s="62"/>
      <c r="P5570" s="62"/>
    </row>
    <row r="5571" spans="1:16" x14ac:dyDescent="0.3">
      <c r="A5571" s="3">
        <f t="shared" si="690"/>
        <v>45844</v>
      </c>
      <c r="B5571" s="11" t="s">
        <v>1160</v>
      </c>
      <c r="C5571" s="50" t="s">
        <v>8616</v>
      </c>
      <c r="D5571" s="50">
        <v>8340752408</v>
      </c>
      <c r="E5571" s="90" t="s">
        <v>4720</v>
      </c>
      <c r="G5571" s="2">
        <v>5000</v>
      </c>
      <c r="I5571" s="88">
        <f t="shared" si="689"/>
        <v>25705.360000000001</v>
      </c>
      <c r="K5571" s="62"/>
      <c r="L5571" s="2">
        <f t="shared" si="687"/>
        <v>20</v>
      </c>
      <c r="M5571">
        <f t="shared" si="688"/>
        <v>0</v>
      </c>
      <c r="O5571" s="62"/>
      <c r="P5571" s="62"/>
    </row>
    <row r="5572" spans="1:16" x14ac:dyDescent="0.3">
      <c r="A5572" s="3">
        <f t="shared" si="690"/>
        <v>45844</v>
      </c>
      <c r="B5572" s="11" t="s">
        <v>3915</v>
      </c>
      <c r="C5572" s="50" t="s">
        <v>8617</v>
      </c>
      <c r="D5572" s="50">
        <v>8269127209</v>
      </c>
      <c r="E5572" s="90" t="s">
        <v>4720</v>
      </c>
      <c r="G5572" s="2">
        <v>10000</v>
      </c>
      <c r="I5572" s="88">
        <f t="shared" si="689"/>
        <v>35705.360000000001</v>
      </c>
      <c r="K5572" s="62"/>
      <c r="L5572" s="2">
        <f t="shared" si="687"/>
        <v>20</v>
      </c>
      <c r="M5572">
        <f t="shared" si="688"/>
        <v>0</v>
      </c>
      <c r="O5572" s="62"/>
      <c r="P5572" s="62"/>
    </row>
    <row r="5573" spans="1:16" x14ac:dyDescent="0.3">
      <c r="A5573" s="3">
        <v>45845</v>
      </c>
      <c r="B5573" s="11" t="s">
        <v>8536</v>
      </c>
      <c r="C5573" s="50" t="s">
        <v>8537</v>
      </c>
      <c r="E5573" s="90" t="s">
        <v>2088</v>
      </c>
      <c r="G5573" s="2">
        <v>7800</v>
      </c>
      <c r="I5573" s="88">
        <f t="shared" si="689"/>
        <v>43505.36</v>
      </c>
      <c r="K5573" s="62"/>
      <c r="L5573" s="2">
        <f t="shared" si="687"/>
        <v>25</v>
      </c>
      <c r="M5573">
        <f t="shared" si="688"/>
        <v>5</v>
      </c>
      <c r="O5573" s="62"/>
      <c r="P5573" s="62"/>
    </row>
    <row r="5574" spans="1:16" x14ac:dyDescent="0.3">
      <c r="A5574" s="3">
        <f t="shared" si="690"/>
        <v>45845</v>
      </c>
      <c r="B5574" s="11" t="s">
        <v>6260</v>
      </c>
      <c r="C5574" s="50" t="s">
        <v>8558</v>
      </c>
      <c r="E5574" s="90" t="s">
        <v>4720</v>
      </c>
      <c r="H5574" s="2">
        <v>3000</v>
      </c>
      <c r="I5574" s="88">
        <f t="shared" si="689"/>
        <v>40505.360000000001</v>
      </c>
      <c r="K5574" s="62"/>
      <c r="L5574" s="2">
        <f t="shared" si="687"/>
        <v>12</v>
      </c>
      <c r="M5574">
        <f t="shared" si="688"/>
        <v>0</v>
      </c>
      <c r="O5574" s="62"/>
      <c r="P5574" s="62"/>
    </row>
    <row r="5575" spans="1:16" x14ac:dyDescent="0.3">
      <c r="A5575" s="3">
        <f t="shared" si="690"/>
        <v>45845</v>
      </c>
      <c r="B5575" s="11" t="s">
        <v>8618</v>
      </c>
      <c r="C5575" s="50" t="s">
        <v>8619</v>
      </c>
      <c r="E5575" s="90" t="s">
        <v>4720</v>
      </c>
      <c r="G5575" s="2">
        <v>10000</v>
      </c>
      <c r="I5575" s="88">
        <f t="shared" si="689"/>
        <v>50505.36</v>
      </c>
      <c r="K5575" s="62"/>
      <c r="L5575" s="2">
        <f t="shared" si="687"/>
        <v>20</v>
      </c>
      <c r="M5575">
        <f t="shared" si="688"/>
        <v>0</v>
      </c>
      <c r="O5575" s="62"/>
      <c r="P5575" s="62"/>
    </row>
    <row r="5576" spans="1:16" x14ac:dyDescent="0.3">
      <c r="A5576" s="3">
        <f t="shared" si="690"/>
        <v>45845</v>
      </c>
      <c r="C5576" s="50" t="s">
        <v>2857</v>
      </c>
      <c r="E5576" s="90" t="s">
        <v>8332</v>
      </c>
      <c r="H5576" s="2">
        <v>40000</v>
      </c>
      <c r="I5576" s="88">
        <f t="shared" si="689"/>
        <v>10505.36</v>
      </c>
      <c r="K5576" s="62"/>
      <c r="L5576" s="2">
        <f t="shared" ref="L5576:L5639" si="691">IF(E5576="C",0,IF((G5576+H5576)&lt;=5000,(G5576+H5576)*0.004,20)+IF(E5576="P",5,IF(E5576="Y",15,IF(E5576="YY",25))))</f>
        <v>0</v>
      </c>
      <c r="M5576">
        <f t="shared" ref="M5576:M5639" si="692">IF(E5576="p",5,0)</f>
        <v>0</v>
      </c>
      <c r="O5576" s="62"/>
      <c r="P5576" s="62"/>
    </row>
    <row r="5577" spans="1:16" x14ac:dyDescent="0.3">
      <c r="A5577" s="3">
        <f t="shared" si="690"/>
        <v>45845</v>
      </c>
      <c r="B5577" s="11" t="s">
        <v>4396</v>
      </c>
      <c r="C5577" s="50" t="s">
        <v>8620</v>
      </c>
      <c r="E5577" s="90" t="s">
        <v>4720</v>
      </c>
      <c r="H5577" s="2">
        <v>3500</v>
      </c>
      <c r="I5577" s="88">
        <f t="shared" si="689"/>
        <v>7005.3600000000006</v>
      </c>
      <c r="K5577" s="62"/>
      <c r="L5577" s="2">
        <f t="shared" si="691"/>
        <v>14</v>
      </c>
      <c r="M5577">
        <f t="shared" si="692"/>
        <v>0</v>
      </c>
      <c r="O5577" s="62"/>
      <c r="P5577" s="62"/>
    </row>
    <row r="5578" spans="1:16" x14ac:dyDescent="0.3">
      <c r="A5578" s="3">
        <f t="shared" si="690"/>
        <v>45845</v>
      </c>
      <c r="B5578" s="11" t="s">
        <v>8016</v>
      </c>
      <c r="C5578" s="50" t="s">
        <v>8621</v>
      </c>
      <c r="E5578" s="90" t="s">
        <v>2088</v>
      </c>
      <c r="G5578" s="2">
        <v>6000</v>
      </c>
      <c r="I5578" s="88">
        <f t="shared" si="689"/>
        <v>13005.36</v>
      </c>
      <c r="K5578" s="62"/>
      <c r="L5578" s="2">
        <f t="shared" si="691"/>
        <v>25</v>
      </c>
      <c r="M5578">
        <f t="shared" si="692"/>
        <v>5</v>
      </c>
      <c r="O5578" s="62"/>
      <c r="P5578" s="62"/>
    </row>
    <row r="5579" spans="1:16" x14ac:dyDescent="0.3">
      <c r="A5579" s="3">
        <f t="shared" si="690"/>
        <v>45845</v>
      </c>
      <c r="B5579" s="11" t="s">
        <v>2743</v>
      </c>
      <c r="C5579" s="50" t="s">
        <v>8359</v>
      </c>
      <c r="E5579" s="90" t="s">
        <v>4720</v>
      </c>
      <c r="G5579" s="2">
        <v>10000</v>
      </c>
      <c r="I5579" s="88">
        <f t="shared" si="689"/>
        <v>23005.360000000001</v>
      </c>
      <c r="K5579" s="62"/>
      <c r="L5579" s="2">
        <f t="shared" si="691"/>
        <v>20</v>
      </c>
      <c r="M5579">
        <f t="shared" si="692"/>
        <v>0</v>
      </c>
      <c r="O5579" s="62"/>
      <c r="P5579" s="62"/>
    </row>
    <row r="5580" spans="1:16" x14ac:dyDescent="0.3">
      <c r="A5580" s="3">
        <f t="shared" si="690"/>
        <v>45845</v>
      </c>
      <c r="B5580" s="11" t="s">
        <v>8622</v>
      </c>
      <c r="C5580" s="50" t="s">
        <v>8623</v>
      </c>
      <c r="E5580" s="90" t="s">
        <v>4720</v>
      </c>
      <c r="G5580" s="2">
        <v>5000</v>
      </c>
      <c r="I5580" s="88">
        <f t="shared" si="689"/>
        <v>28005.360000000001</v>
      </c>
      <c r="K5580" s="62"/>
      <c r="L5580" s="2">
        <f t="shared" si="691"/>
        <v>20</v>
      </c>
      <c r="M5580">
        <f t="shared" si="692"/>
        <v>0</v>
      </c>
      <c r="O5580" s="62"/>
      <c r="P5580" s="62"/>
    </row>
    <row r="5581" spans="1:16" x14ac:dyDescent="0.3">
      <c r="A5581" s="3">
        <f t="shared" si="690"/>
        <v>45845</v>
      </c>
      <c r="C5581" s="50" t="s">
        <v>2857</v>
      </c>
      <c r="E5581" s="90" t="s">
        <v>8332</v>
      </c>
      <c r="H5581" s="2">
        <v>25000</v>
      </c>
      <c r="I5581" s="88">
        <f t="shared" si="689"/>
        <v>3005.3600000000006</v>
      </c>
      <c r="K5581" s="62"/>
      <c r="L5581" s="2">
        <f t="shared" si="691"/>
        <v>0</v>
      </c>
      <c r="M5581">
        <f t="shared" si="692"/>
        <v>0</v>
      </c>
      <c r="O5581" s="62"/>
      <c r="P5581" s="62"/>
    </row>
    <row r="5582" spans="1:16" x14ac:dyDescent="0.3">
      <c r="A5582" s="3">
        <f t="shared" si="690"/>
        <v>45845</v>
      </c>
      <c r="B5582" s="11" t="s">
        <v>5042</v>
      </c>
      <c r="C5582" s="50" t="s">
        <v>6379</v>
      </c>
      <c r="E5582" s="90" t="s">
        <v>2088</v>
      </c>
      <c r="G5582" s="2">
        <v>8000</v>
      </c>
      <c r="I5582" s="88">
        <f t="shared" si="689"/>
        <v>11005.36</v>
      </c>
      <c r="K5582" s="62"/>
      <c r="L5582" s="2">
        <f t="shared" si="691"/>
        <v>25</v>
      </c>
      <c r="M5582">
        <f t="shared" si="692"/>
        <v>5</v>
      </c>
      <c r="O5582" s="62"/>
      <c r="P5582" s="62"/>
    </row>
    <row r="5583" spans="1:16" x14ac:dyDescent="0.3">
      <c r="A5583" s="3">
        <v>45846</v>
      </c>
      <c r="B5583" s="11" t="s">
        <v>7129</v>
      </c>
      <c r="C5583" s="50" t="s">
        <v>8624</v>
      </c>
      <c r="E5583" s="90" t="s">
        <v>4720</v>
      </c>
      <c r="G5583" s="2">
        <v>800</v>
      </c>
      <c r="I5583" s="88">
        <f t="shared" si="689"/>
        <v>11805.36</v>
      </c>
      <c r="K5583" s="62"/>
      <c r="L5583" s="2">
        <f t="shared" si="691"/>
        <v>3.2</v>
      </c>
      <c r="M5583">
        <f t="shared" si="692"/>
        <v>0</v>
      </c>
      <c r="O5583" s="62"/>
      <c r="P5583" s="62"/>
    </row>
    <row r="5584" spans="1:16" x14ac:dyDescent="0.3">
      <c r="A5584" s="3">
        <f t="shared" si="690"/>
        <v>45846</v>
      </c>
      <c r="B5584" s="11" t="s">
        <v>1472</v>
      </c>
      <c r="C5584" s="50" t="s">
        <v>7932</v>
      </c>
      <c r="E5584" s="90" t="s">
        <v>4720</v>
      </c>
      <c r="G5584" s="2">
        <v>2500</v>
      </c>
      <c r="I5584" s="88">
        <f t="shared" si="689"/>
        <v>14305.36</v>
      </c>
      <c r="K5584" s="62"/>
      <c r="L5584" s="2">
        <f t="shared" si="691"/>
        <v>10</v>
      </c>
      <c r="M5584">
        <f t="shared" si="692"/>
        <v>0</v>
      </c>
      <c r="O5584" s="62"/>
      <c r="P5584" s="62"/>
    </row>
    <row r="5585" spans="1:16" x14ac:dyDescent="0.3">
      <c r="A5585" s="3">
        <f t="shared" si="690"/>
        <v>45846</v>
      </c>
      <c r="B5585" s="11" t="s">
        <v>7394</v>
      </c>
      <c r="C5585" s="50" t="s">
        <v>7395</v>
      </c>
      <c r="E5585" s="90" t="s">
        <v>4720</v>
      </c>
      <c r="G5585" s="2">
        <v>2500</v>
      </c>
      <c r="I5585" s="88">
        <f t="shared" si="689"/>
        <v>16805.36</v>
      </c>
      <c r="K5585" s="62"/>
      <c r="L5585" s="2">
        <f t="shared" si="691"/>
        <v>10</v>
      </c>
      <c r="M5585">
        <f t="shared" si="692"/>
        <v>0</v>
      </c>
      <c r="O5585" s="62"/>
      <c r="P5585" s="62"/>
    </row>
    <row r="5586" spans="1:16" x14ac:dyDescent="0.3">
      <c r="A5586" s="3">
        <f t="shared" si="690"/>
        <v>45846</v>
      </c>
      <c r="B5586" s="11" t="s">
        <v>8625</v>
      </c>
      <c r="C5586" s="50" t="s">
        <v>8626</v>
      </c>
      <c r="E5586" s="90" t="s">
        <v>2088</v>
      </c>
      <c r="G5586" s="2">
        <v>7600</v>
      </c>
      <c r="I5586" s="88">
        <f t="shared" si="689"/>
        <v>24405.360000000001</v>
      </c>
      <c r="K5586" s="62"/>
      <c r="L5586" s="2">
        <f t="shared" si="691"/>
        <v>25</v>
      </c>
      <c r="M5586">
        <f t="shared" si="692"/>
        <v>5</v>
      </c>
      <c r="O5586" s="62"/>
      <c r="P5586" s="62"/>
    </row>
    <row r="5587" spans="1:16" x14ac:dyDescent="0.3">
      <c r="A5587" s="3">
        <f t="shared" si="690"/>
        <v>45846</v>
      </c>
      <c r="B5587" s="11" t="s">
        <v>6260</v>
      </c>
      <c r="C5587" s="50" t="s">
        <v>8558</v>
      </c>
      <c r="E5587" s="90" t="s">
        <v>4720</v>
      </c>
      <c r="H5587" s="2">
        <v>6000</v>
      </c>
      <c r="I5587" s="88">
        <f t="shared" si="689"/>
        <v>18405.36</v>
      </c>
      <c r="K5587" s="62"/>
      <c r="L5587" s="2">
        <f t="shared" si="691"/>
        <v>20</v>
      </c>
      <c r="M5587">
        <f t="shared" si="692"/>
        <v>0</v>
      </c>
      <c r="O5587" s="62"/>
      <c r="P5587" s="62"/>
    </row>
    <row r="5588" spans="1:16" x14ac:dyDescent="0.3">
      <c r="A5588" s="3">
        <f t="shared" si="690"/>
        <v>45846</v>
      </c>
      <c r="B5588" s="11" t="s">
        <v>6844</v>
      </c>
      <c r="C5588" s="50" t="s">
        <v>7544</v>
      </c>
      <c r="E5588" s="90" t="s">
        <v>4720</v>
      </c>
      <c r="H5588" s="2">
        <v>3500</v>
      </c>
      <c r="I5588" s="88">
        <f t="shared" si="689"/>
        <v>14905.36</v>
      </c>
      <c r="K5588" s="62"/>
      <c r="L5588" s="2">
        <f t="shared" si="691"/>
        <v>14</v>
      </c>
      <c r="M5588">
        <f t="shared" si="692"/>
        <v>0</v>
      </c>
      <c r="O5588" s="62"/>
      <c r="P5588" s="62"/>
    </row>
    <row r="5589" spans="1:16" x14ac:dyDescent="0.3">
      <c r="A5589" s="3">
        <f t="shared" si="690"/>
        <v>45846</v>
      </c>
      <c r="B5589" s="11" t="s">
        <v>6522</v>
      </c>
      <c r="C5589" s="50" t="s">
        <v>2504</v>
      </c>
      <c r="E5589" s="90" t="s">
        <v>4720</v>
      </c>
      <c r="G5589" s="2">
        <v>500</v>
      </c>
      <c r="I5589" s="88">
        <f t="shared" si="689"/>
        <v>15405.36</v>
      </c>
      <c r="K5589" s="62"/>
      <c r="L5589" s="2">
        <f t="shared" si="691"/>
        <v>2</v>
      </c>
      <c r="M5589">
        <f t="shared" si="692"/>
        <v>0</v>
      </c>
      <c r="O5589" s="62"/>
      <c r="P5589" s="62"/>
    </row>
    <row r="5590" spans="1:16" x14ac:dyDescent="0.3">
      <c r="A5590" s="3">
        <f t="shared" si="690"/>
        <v>45846</v>
      </c>
      <c r="B5590" s="11" t="s">
        <v>7545</v>
      </c>
      <c r="C5590" s="50" t="s">
        <v>6592</v>
      </c>
      <c r="E5590" s="90" t="s">
        <v>2088</v>
      </c>
      <c r="G5590" s="2">
        <v>6000</v>
      </c>
      <c r="I5590" s="88">
        <f t="shared" si="689"/>
        <v>21405.360000000001</v>
      </c>
      <c r="K5590" s="62"/>
      <c r="L5590" s="2">
        <f t="shared" si="691"/>
        <v>25</v>
      </c>
      <c r="M5590">
        <f t="shared" si="692"/>
        <v>5</v>
      </c>
      <c r="O5590" s="62"/>
      <c r="P5590" s="62"/>
    </row>
    <row r="5591" spans="1:16" x14ac:dyDescent="0.3">
      <c r="A5591" s="3">
        <f t="shared" si="690"/>
        <v>45846</v>
      </c>
      <c r="B5591" s="11" t="s">
        <v>1472</v>
      </c>
      <c r="C5591" s="50" t="s">
        <v>8627</v>
      </c>
      <c r="E5591" s="90" t="s">
        <v>4720</v>
      </c>
      <c r="G5591" s="2">
        <v>2000</v>
      </c>
      <c r="I5591" s="88">
        <f t="shared" si="689"/>
        <v>23405.360000000001</v>
      </c>
      <c r="K5591" s="62"/>
      <c r="L5591" s="2">
        <f t="shared" si="691"/>
        <v>8</v>
      </c>
      <c r="M5591">
        <f t="shared" si="692"/>
        <v>0</v>
      </c>
      <c r="O5591" s="62"/>
      <c r="P5591" s="62"/>
    </row>
    <row r="5592" spans="1:16" x14ac:dyDescent="0.3">
      <c r="A5592" s="3">
        <v>45847</v>
      </c>
      <c r="B5592" s="11" t="s">
        <v>1472</v>
      </c>
      <c r="C5592" s="50" t="s">
        <v>8082</v>
      </c>
      <c r="E5592" s="90" t="s">
        <v>4720</v>
      </c>
      <c r="G5592" s="2">
        <v>500</v>
      </c>
      <c r="I5592" s="88">
        <f t="shared" si="689"/>
        <v>23905.360000000001</v>
      </c>
      <c r="K5592" s="62"/>
      <c r="L5592" s="2">
        <f t="shared" si="691"/>
        <v>2</v>
      </c>
      <c r="M5592">
        <f t="shared" si="692"/>
        <v>0</v>
      </c>
      <c r="O5592" s="62"/>
      <c r="P5592" s="62"/>
    </row>
    <row r="5593" spans="1:16" x14ac:dyDescent="0.3">
      <c r="A5593" s="3">
        <f t="shared" si="690"/>
        <v>45847</v>
      </c>
      <c r="B5593" s="11" t="s">
        <v>7800</v>
      </c>
      <c r="C5593" s="50" t="s">
        <v>6424</v>
      </c>
      <c r="E5593" s="90" t="s">
        <v>2088</v>
      </c>
      <c r="G5593" s="2">
        <v>2000</v>
      </c>
      <c r="I5593" s="88">
        <f t="shared" si="689"/>
        <v>25905.360000000001</v>
      </c>
      <c r="K5593" s="62"/>
      <c r="L5593" s="2">
        <f t="shared" si="691"/>
        <v>13</v>
      </c>
      <c r="M5593">
        <f t="shared" si="692"/>
        <v>5</v>
      </c>
      <c r="O5593" s="62"/>
      <c r="P5593" s="62"/>
    </row>
    <row r="5594" spans="1:16" x14ac:dyDescent="0.3">
      <c r="A5594" s="3">
        <f t="shared" si="690"/>
        <v>45847</v>
      </c>
      <c r="B5594" s="11" t="s">
        <v>1250</v>
      </c>
      <c r="C5594" s="50" t="s">
        <v>8628</v>
      </c>
      <c r="E5594" s="90" t="s">
        <v>4720</v>
      </c>
      <c r="G5594" s="2">
        <v>10000</v>
      </c>
      <c r="I5594" s="88">
        <f t="shared" si="689"/>
        <v>35905.360000000001</v>
      </c>
      <c r="K5594" s="62"/>
      <c r="L5594" s="2">
        <f t="shared" si="691"/>
        <v>20</v>
      </c>
      <c r="M5594">
        <f t="shared" si="692"/>
        <v>0</v>
      </c>
      <c r="O5594" s="62"/>
      <c r="P5594" s="62"/>
    </row>
    <row r="5595" spans="1:16" x14ac:dyDescent="0.3">
      <c r="A5595" s="3">
        <f t="shared" si="690"/>
        <v>45847</v>
      </c>
      <c r="B5595" s="11" t="s">
        <v>7174</v>
      </c>
      <c r="C5595" s="50" t="s">
        <v>7421</v>
      </c>
      <c r="E5595" s="90" t="s">
        <v>2088</v>
      </c>
      <c r="G5595" s="2">
        <v>5500</v>
      </c>
      <c r="I5595" s="88">
        <f t="shared" si="689"/>
        <v>41405.360000000001</v>
      </c>
      <c r="K5595" s="62"/>
      <c r="L5595" s="2">
        <f t="shared" si="691"/>
        <v>25</v>
      </c>
      <c r="M5595">
        <f t="shared" si="692"/>
        <v>5</v>
      </c>
      <c r="O5595" s="62"/>
      <c r="P5595" s="62"/>
    </row>
    <row r="5596" spans="1:16" x14ac:dyDescent="0.3">
      <c r="A5596" s="3">
        <f t="shared" si="690"/>
        <v>45847</v>
      </c>
      <c r="B5596" s="11" t="s">
        <v>7142</v>
      </c>
      <c r="C5596" s="50" t="s">
        <v>7246</v>
      </c>
      <c r="E5596" s="90" t="s">
        <v>4720</v>
      </c>
      <c r="G5596" s="2">
        <v>400</v>
      </c>
      <c r="I5596" s="88">
        <f t="shared" si="689"/>
        <v>41805.360000000001</v>
      </c>
      <c r="K5596" s="62"/>
      <c r="L5596" s="2">
        <f t="shared" si="691"/>
        <v>1.6</v>
      </c>
      <c r="M5596">
        <f t="shared" si="692"/>
        <v>0</v>
      </c>
      <c r="O5596" s="62"/>
      <c r="P5596" s="62"/>
    </row>
    <row r="5597" spans="1:16" x14ac:dyDescent="0.3">
      <c r="A5597" s="3">
        <v>45848</v>
      </c>
      <c r="B5597" s="11" t="s">
        <v>1160</v>
      </c>
      <c r="C5597" s="50" t="s">
        <v>8358</v>
      </c>
      <c r="E5597" s="90" t="s">
        <v>4720</v>
      </c>
      <c r="G5597" s="2">
        <v>3000</v>
      </c>
      <c r="I5597" s="88">
        <f t="shared" si="689"/>
        <v>44805.36</v>
      </c>
      <c r="K5597" s="62"/>
      <c r="L5597" s="2">
        <f t="shared" si="691"/>
        <v>12</v>
      </c>
      <c r="M5597">
        <f t="shared" si="692"/>
        <v>0</v>
      </c>
      <c r="O5597" s="62"/>
      <c r="P5597" s="62"/>
    </row>
    <row r="5598" spans="1:16" x14ac:dyDescent="0.3">
      <c r="A5598" s="3">
        <f t="shared" si="690"/>
        <v>45848</v>
      </c>
      <c r="B5598" s="11" t="s">
        <v>8629</v>
      </c>
      <c r="C5598" s="50" t="s">
        <v>8630</v>
      </c>
      <c r="E5598" s="90" t="s">
        <v>4720</v>
      </c>
      <c r="G5598" s="2">
        <v>5000</v>
      </c>
      <c r="I5598" s="88">
        <f t="shared" si="689"/>
        <v>49805.36</v>
      </c>
      <c r="K5598" s="62"/>
      <c r="L5598" s="2">
        <f t="shared" si="691"/>
        <v>20</v>
      </c>
      <c r="M5598">
        <f t="shared" si="692"/>
        <v>0</v>
      </c>
      <c r="O5598" s="62"/>
      <c r="P5598" s="62"/>
    </row>
    <row r="5599" spans="1:16" x14ac:dyDescent="0.3">
      <c r="A5599" s="3">
        <f t="shared" si="690"/>
        <v>45848</v>
      </c>
      <c r="B5599" s="11" t="s">
        <v>3204</v>
      </c>
      <c r="C5599" s="50" t="s">
        <v>7720</v>
      </c>
      <c r="E5599" s="90" t="s">
        <v>4720</v>
      </c>
      <c r="G5599" s="2">
        <v>5000</v>
      </c>
      <c r="I5599" s="88">
        <f t="shared" si="689"/>
        <v>54805.36</v>
      </c>
      <c r="K5599" s="62"/>
      <c r="L5599" s="2">
        <f t="shared" si="691"/>
        <v>20</v>
      </c>
      <c r="M5599">
        <f t="shared" si="692"/>
        <v>0</v>
      </c>
      <c r="O5599" s="62"/>
      <c r="P5599" s="62"/>
    </row>
    <row r="5600" spans="1:16" x14ac:dyDescent="0.3">
      <c r="A5600" s="3">
        <f t="shared" si="690"/>
        <v>45848</v>
      </c>
      <c r="B5600" s="11" t="s">
        <v>4005</v>
      </c>
      <c r="C5600" s="50" t="s">
        <v>7399</v>
      </c>
      <c r="E5600" s="90" t="s">
        <v>4720</v>
      </c>
      <c r="G5600" s="2">
        <v>2500</v>
      </c>
      <c r="I5600" s="88">
        <f t="shared" si="689"/>
        <v>57305.36</v>
      </c>
      <c r="K5600" s="62"/>
      <c r="L5600" s="2">
        <f t="shared" si="691"/>
        <v>10</v>
      </c>
      <c r="M5600">
        <f t="shared" si="692"/>
        <v>0</v>
      </c>
      <c r="O5600" s="62"/>
      <c r="P5600" s="62"/>
    </row>
    <row r="5601" spans="1:16" x14ac:dyDescent="0.3">
      <c r="A5601" s="3">
        <f t="shared" si="690"/>
        <v>45848</v>
      </c>
      <c r="C5601" s="50" t="s">
        <v>2857</v>
      </c>
      <c r="E5601" s="90" t="s">
        <v>8332</v>
      </c>
      <c r="H5601" s="2">
        <v>50000</v>
      </c>
      <c r="I5601" s="88">
        <f t="shared" si="689"/>
        <v>7305.3600000000006</v>
      </c>
      <c r="K5601" s="62"/>
      <c r="L5601" s="2">
        <f t="shared" si="691"/>
        <v>0</v>
      </c>
      <c r="M5601">
        <f t="shared" si="692"/>
        <v>0</v>
      </c>
      <c r="O5601" s="62"/>
      <c r="P5601" s="62"/>
    </row>
    <row r="5602" spans="1:16" x14ac:dyDescent="0.3">
      <c r="A5602" s="3">
        <f t="shared" si="690"/>
        <v>45848</v>
      </c>
      <c r="B5602" s="11" t="s">
        <v>6522</v>
      </c>
      <c r="C5602" s="50" t="s">
        <v>8631</v>
      </c>
      <c r="E5602" s="90" t="s">
        <v>4720</v>
      </c>
      <c r="G5602" s="2">
        <v>5000</v>
      </c>
      <c r="I5602" s="88">
        <f t="shared" si="689"/>
        <v>12305.36</v>
      </c>
      <c r="K5602" s="62"/>
      <c r="L5602" s="2">
        <f t="shared" si="691"/>
        <v>20</v>
      </c>
      <c r="M5602">
        <f t="shared" si="692"/>
        <v>0</v>
      </c>
      <c r="O5602" s="62"/>
      <c r="P5602" s="62"/>
    </row>
    <row r="5603" spans="1:16" x14ac:dyDescent="0.3">
      <c r="A5603" s="3">
        <f t="shared" si="690"/>
        <v>45848</v>
      </c>
      <c r="B5603" s="11" t="s">
        <v>7329</v>
      </c>
      <c r="C5603" s="50" t="s">
        <v>8632</v>
      </c>
      <c r="E5603" s="90" t="s">
        <v>4720</v>
      </c>
      <c r="G5603" s="2">
        <v>3800</v>
      </c>
      <c r="I5603" s="88">
        <f t="shared" si="689"/>
        <v>16105.36</v>
      </c>
      <c r="K5603" s="62"/>
      <c r="L5603" s="2">
        <f t="shared" si="691"/>
        <v>15.200000000000001</v>
      </c>
      <c r="M5603">
        <f t="shared" si="692"/>
        <v>0</v>
      </c>
      <c r="O5603" s="62"/>
      <c r="P5603" s="62"/>
    </row>
    <row r="5604" spans="1:16" x14ac:dyDescent="0.3">
      <c r="A5604" s="3">
        <f t="shared" si="690"/>
        <v>45848</v>
      </c>
      <c r="B5604" s="11" t="s">
        <v>8633</v>
      </c>
      <c r="C5604" s="50" t="s">
        <v>8634</v>
      </c>
      <c r="E5604" s="90" t="s">
        <v>2088</v>
      </c>
      <c r="G5604" s="2">
        <v>10000</v>
      </c>
      <c r="I5604" s="88">
        <f t="shared" si="689"/>
        <v>26105.360000000001</v>
      </c>
      <c r="K5604" s="62"/>
      <c r="L5604" s="2">
        <f t="shared" si="691"/>
        <v>25</v>
      </c>
      <c r="M5604">
        <f t="shared" si="692"/>
        <v>5</v>
      </c>
      <c r="O5604" s="62"/>
      <c r="P5604" s="62"/>
    </row>
    <row r="5605" spans="1:16" x14ac:dyDescent="0.3">
      <c r="A5605" s="3">
        <f t="shared" si="690"/>
        <v>45848</v>
      </c>
      <c r="C5605" s="50" t="s">
        <v>2857</v>
      </c>
      <c r="E5605" s="90" t="s">
        <v>8332</v>
      </c>
      <c r="H5605" s="2">
        <v>25000</v>
      </c>
      <c r="I5605" s="88">
        <f t="shared" si="689"/>
        <v>1105.3600000000006</v>
      </c>
      <c r="K5605" s="62"/>
      <c r="L5605" s="2">
        <f t="shared" si="691"/>
        <v>0</v>
      </c>
      <c r="M5605">
        <f t="shared" si="692"/>
        <v>0</v>
      </c>
      <c r="O5605" s="62"/>
      <c r="P5605" s="62"/>
    </row>
    <row r="5606" spans="1:16" x14ac:dyDescent="0.3">
      <c r="A5606" s="3">
        <f t="shared" si="690"/>
        <v>45848</v>
      </c>
      <c r="B5606" s="11" t="s">
        <v>1250</v>
      </c>
      <c r="C5606" s="50" t="s">
        <v>8635</v>
      </c>
      <c r="E5606" s="90" t="s">
        <v>4720</v>
      </c>
      <c r="G5606" s="2">
        <v>2500</v>
      </c>
      <c r="I5606" s="88">
        <f t="shared" si="689"/>
        <v>3605.3600000000006</v>
      </c>
      <c r="K5606" s="62"/>
      <c r="L5606" s="2">
        <f t="shared" si="691"/>
        <v>10</v>
      </c>
      <c r="M5606">
        <f t="shared" si="692"/>
        <v>0</v>
      </c>
      <c r="O5606" s="62"/>
      <c r="P5606" s="62"/>
    </row>
    <row r="5607" spans="1:16" x14ac:dyDescent="0.3">
      <c r="A5607" s="3">
        <f t="shared" si="690"/>
        <v>45848</v>
      </c>
      <c r="B5607" s="11" t="s">
        <v>7709</v>
      </c>
      <c r="C5607" s="50" t="s">
        <v>7372</v>
      </c>
      <c r="E5607" s="90" t="s">
        <v>4720</v>
      </c>
      <c r="G5607" s="2">
        <v>5000</v>
      </c>
      <c r="I5607" s="88">
        <f t="shared" si="689"/>
        <v>8605.36</v>
      </c>
      <c r="K5607" s="62"/>
      <c r="L5607" s="2">
        <f t="shared" si="691"/>
        <v>20</v>
      </c>
      <c r="M5607">
        <f t="shared" si="692"/>
        <v>0</v>
      </c>
      <c r="O5607" s="62"/>
      <c r="P5607" s="62"/>
    </row>
    <row r="5608" spans="1:16" x14ac:dyDescent="0.3">
      <c r="A5608" s="3">
        <v>45850</v>
      </c>
      <c r="B5608" s="11" t="s">
        <v>1250</v>
      </c>
      <c r="C5608" s="50" t="s">
        <v>2883</v>
      </c>
      <c r="E5608" s="90" t="s">
        <v>4720</v>
      </c>
      <c r="G5608" s="2">
        <v>1100</v>
      </c>
      <c r="I5608" s="88">
        <f t="shared" si="689"/>
        <v>9705.36</v>
      </c>
      <c r="J5608" t="s">
        <v>8642</v>
      </c>
      <c r="K5608" s="62"/>
      <c r="L5608" s="2">
        <f t="shared" si="691"/>
        <v>4.4000000000000004</v>
      </c>
      <c r="M5608">
        <f t="shared" si="692"/>
        <v>0</v>
      </c>
      <c r="O5608" s="62"/>
      <c r="P5608" s="62"/>
    </row>
    <row r="5609" spans="1:16" x14ac:dyDescent="0.3">
      <c r="A5609" s="3">
        <f t="shared" si="690"/>
        <v>45850</v>
      </c>
      <c r="B5609" s="39" t="s">
        <v>8637</v>
      </c>
      <c r="C5609" s="65" t="s">
        <v>8638</v>
      </c>
      <c r="E5609" s="90" t="s">
        <v>8557</v>
      </c>
      <c r="H5609" s="2">
        <v>2000</v>
      </c>
      <c r="I5609" s="88">
        <f t="shared" si="689"/>
        <v>7705.3600000000006</v>
      </c>
      <c r="K5609" s="152"/>
      <c r="L5609" s="2">
        <f t="shared" si="691"/>
        <v>33</v>
      </c>
      <c r="M5609">
        <f t="shared" si="692"/>
        <v>0</v>
      </c>
      <c r="O5609" s="62"/>
      <c r="P5609" s="62"/>
    </row>
    <row r="5610" spans="1:16" x14ac:dyDescent="0.3">
      <c r="A5610" s="3">
        <f t="shared" si="690"/>
        <v>45850</v>
      </c>
      <c r="B5610" s="11" t="s">
        <v>7398</v>
      </c>
      <c r="C5610" s="50" t="s">
        <v>8499</v>
      </c>
      <c r="E5610" s="90" t="s">
        <v>4720</v>
      </c>
      <c r="G5610" s="2">
        <v>2500</v>
      </c>
      <c r="I5610" s="88">
        <f t="shared" si="689"/>
        <v>10205.36</v>
      </c>
      <c r="K5610" s="62"/>
      <c r="L5610" s="2">
        <f t="shared" si="691"/>
        <v>10</v>
      </c>
      <c r="M5610">
        <f t="shared" si="692"/>
        <v>0</v>
      </c>
      <c r="O5610" s="62"/>
      <c r="P5610" s="62"/>
    </row>
    <row r="5611" spans="1:16" x14ac:dyDescent="0.3">
      <c r="A5611" s="3">
        <f t="shared" si="690"/>
        <v>45850</v>
      </c>
      <c r="B5611" s="11" t="s">
        <v>6844</v>
      </c>
      <c r="C5611" s="50" t="s">
        <v>8641</v>
      </c>
      <c r="E5611" s="90" t="s">
        <v>4720</v>
      </c>
      <c r="H5611" s="2">
        <v>7600</v>
      </c>
      <c r="I5611" s="88">
        <f t="shared" si="689"/>
        <v>2605.3600000000006</v>
      </c>
      <c r="K5611" s="62"/>
      <c r="L5611" s="2">
        <f t="shared" si="691"/>
        <v>20</v>
      </c>
      <c r="M5611">
        <f t="shared" si="692"/>
        <v>0</v>
      </c>
      <c r="O5611" s="62"/>
      <c r="P5611" s="62"/>
    </row>
    <row r="5612" spans="1:16" x14ac:dyDescent="0.3">
      <c r="A5612" s="3">
        <f t="shared" si="690"/>
        <v>45850</v>
      </c>
      <c r="B5612" s="11" t="s">
        <v>1472</v>
      </c>
      <c r="C5612" s="50" t="s">
        <v>8026</v>
      </c>
      <c r="E5612" s="90" t="s">
        <v>4720</v>
      </c>
      <c r="G5612" s="2">
        <v>2000</v>
      </c>
      <c r="I5612" s="88">
        <f t="shared" si="689"/>
        <v>4605.3600000000006</v>
      </c>
      <c r="K5612" s="62"/>
      <c r="L5612" s="2">
        <f t="shared" si="691"/>
        <v>8</v>
      </c>
      <c r="M5612">
        <f t="shared" si="692"/>
        <v>0</v>
      </c>
      <c r="O5612" s="62"/>
      <c r="P5612" s="62"/>
    </row>
    <row r="5613" spans="1:16" x14ac:dyDescent="0.3">
      <c r="A5613" s="3">
        <f t="shared" si="690"/>
        <v>45850</v>
      </c>
      <c r="B5613" s="11" t="s">
        <v>2500</v>
      </c>
      <c r="C5613" s="50" t="s">
        <v>8643</v>
      </c>
      <c r="E5613" s="90" t="s">
        <v>4720</v>
      </c>
      <c r="G5613" s="2">
        <v>8000</v>
      </c>
      <c r="I5613" s="88">
        <f t="shared" si="689"/>
        <v>12605.36</v>
      </c>
      <c r="K5613" s="62"/>
      <c r="L5613" s="2">
        <f t="shared" si="691"/>
        <v>20</v>
      </c>
      <c r="M5613">
        <f t="shared" si="692"/>
        <v>0</v>
      </c>
      <c r="O5613" s="62"/>
      <c r="P5613" s="62"/>
    </row>
    <row r="5614" spans="1:16" x14ac:dyDescent="0.3">
      <c r="A5614" s="3">
        <f t="shared" si="690"/>
        <v>45850</v>
      </c>
      <c r="B5614" s="11" t="s">
        <v>7649</v>
      </c>
      <c r="C5614" s="50" t="s">
        <v>8644</v>
      </c>
      <c r="E5614" s="90" t="s">
        <v>4720</v>
      </c>
      <c r="H5614" s="2">
        <v>5000</v>
      </c>
      <c r="I5614" s="88">
        <f t="shared" si="689"/>
        <v>7605.3600000000006</v>
      </c>
      <c r="K5614" s="62"/>
      <c r="L5614" s="2">
        <f t="shared" si="691"/>
        <v>20</v>
      </c>
      <c r="M5614">
        <f t="shared" si="692"/>
        <v>0</v>
      </c>
      <c r="O5614" s="62"/>
      <c r="P5614" s="62"/>
    </row>
    <row r="5615" spans="1:16" x14ac:dyDescent="0.3">
      <c r="A5615" s="3">
        <f t="shared" si="690"/>
        <v>45850</v>
      </c>
      <c r="B5615" s="11" t="s">
        <v>3232</v>
      </c>
      <c r="C5615" s="50" t="s">
        <v>8645</v>
      </c>
      <c r="E5615" s="90" t="s">
        <v>4720</v>
      </c>
      <c r="G5615" s="2">
        <v>10000</v>
      </c>
      <c r="I5615" s="88">
        <f t="shared" si="689"/>
        <v>17605.36</v>
      </c>
      <c r="K5615" s="62"/>
      <c r="L5615" s="2">
        <f t="shared" si="691"/>
        <v>20</v>
      </c>
      <c r="M5615">
        <f t="shared" si="692"/>
        <v>0</v>
      </c>
      <c r="O5615" s="62"/>
      <c r="P5615" s="62"/>
    </row>
    <row r="5616" spans="1:16" x14ac:dyDescent="0.3">
      <c r="A5616" s="3">
        <v>45851</v>
      </c>
      <c r="B5616" s="11" t="s">
        <v>6434</v>
      </c>
      <c r="C5616" s="50" t="s">
        <v>8558</v>
      </c>
      <c r="E5616" s="90" t="s">
        <v>4720</v>
      </c>
      <c r="H5616" s="2">
        <v>5500</v>
      </c>
      <c r="I5616" s="88">
        <f t="shared" si="689"/>
        <v>12105.36</v>
      </c>
      <c r="K5616" s="62"/>
      <c r="L5616" s="2">
        <f t="shared" si="691"/>
        <v>20</v>
      </c>
      <c r="M5616">
        <f t="shared" si="692"/>
        <v>0</v>
      </c>
      <c r="O5616" s="62"/>
      <c r="P5616" s="62"/>
    </row>
    <row r="5617" spans="1:16" x14ac:dyDescent="0.3">
      <c r="A5617" s="3">
        <f t="shared" si="690"/>
        <v>45851</v>
      </c>
      <c r="B5617" s="11" t="s">
        <v>1160</v>
      </c>
      <c r="C5617" s="50" t="s">
        <v>8603</v>
      </c>
      <c r="E5617" s="90" t="s">
        <v>4720</v>
      </c>
      <c r="G5617" s="2">
        <v>3000</v>
      </c>
      <c r="I5617" s="88">
        <f t="shared" si="689"/>
        <v>15105.36</v>
      </c>
      <c r="K5617" s="62"/>
      <c r="L5617" s="2">
        <f t="shared" si="691"/>
        <v>12</v>
      </c>
      <c r="M5617">
        <f t="shared" si="692"/>
        <v>0</v>
      </c>
      <c r="O5617" s="62"/>
      <c r="P5617" s="62"/>
    </row>
    <row r="5618" spans="1:16" x14ac:dyDescent="0.3">
      <c r="A5618" s="3">
        <f t="shared" si="690"/>
        <v>45851</v>
      </c>
      <c r="B5618" s="11" t="s">
        <v>3232</v>
      </c>
      <c r="C5618" s="50" t="s">
        <v>8646</v>
      </c>
      <c r="E5618" s="90" t="s">
        <v>4720</v>
      </c>
      <c r="G5618" s="2">
        <v>3000</v>
      </c>
      <c r="I5618" s="88">
        <f t="shared" si="689"/>
        <v>18105.36</v>
      </c>
      <c r="K5618" s="62"/>
      <c r="L5618" s="2">
        <f t="shared" si="691"/>
        <v>12</v>
      </c>
      <c r="M5618">
        <f t="shared" si="692"/>
        <v>0</v>
      </c>
      <c r="O5618" s="62"/>
      <c r="P5618" s="62"/>
    </row>
    <row r="5619" spans="1:16" x14ac:dyDescent="0.3">
      <c r="A5619" s="3">
        <f t="shared" si="690"/>
        <v>45851</v>
      </c>
      <c r="B5619" s="11" t="s">
        <v>7547</v>
      </c>
      <c r="C5619" s="50" t="s">
        <v>7328</v>
      </c>
      <c r="E5619" s="90" t="s">
        <v>4720</v>
      </c>
      <c r="G5619" s="2">
        <v>2900</v>
      </c>
      <c r="I5619" s="88">
        <f t="shared" si="689"/>
        <v>21005.360000000001</v>
      </c>
      <c r="K5619" s="62"/>
      <c r="L5619" s="2">
        <f t="shared" si="691"/>
        <v>11.6</v>
      </c>
      <c r="M5619">
        <f t="shared" si="692"/>
        <v>0</v>
      </c>
      <c r="O5619" s="62"/>
      <c r="P5619" s="62"/>
    </row>
    <row r="5620" spans="1:16" x14ac:dyDescent="0.3">
      <c r="A5620" s="3">
        <f t="shared" si="690"/>
        <v>45851</v>
      </c>
      <c r="B5620" s="11" t="s">
        <v>2634</v>
      </c>
      <c r="C5620" s="50" t="s">
        <v>3251</v>
      </c>
      <c r="E5620" s="90" t="s">
        <v>4720</v>
      </c>
      <c r="H5620" s="2">
        <v>2000</v>
      </c>
      <c r="I5620" s="88">
        <f t="shared" si="689"/>
        <v>19005.36</v>
      </c>
      <c r="K5620" s="62"/>
      <c r="L5620" s="2">
        <f t="shared" si="691"/>
        <v>8</v>
      </c>
      <c r="M5620">
        <f t="shared" si="692"/>
        <v>0</v>
      </c>
      <c r="O5620" s="62"/>
      <c r="P5620" s="62"/>
    </row>
    <row r="5621" spans="1:16" x14ac:dyDescent="0.3">
      <c r="A5621" s="3">
        <v>45852</v>
      </c>
      <c r="B5621" s="11" t="s">
        <v>1472</v>
      </c>
      <c r="C5621" s="50" t="s">
        <v>8137</v>
      </c>
      <c r="E5621" s="90" t="s">
        <v>4720</v>
      </c>
      <c r="G5621" s="2">
        <v>500</v>
      </c>
      <c r="I5621" s="88">
        <f t="shared" si="689"/>
        <v>19505.36</v>
      </c>
      <c r="K5621" s="62"/>
      <c r="L5621" s="2">
        <f t="shared" si="691"/>
        <v>2</v>
      </c>
      <c r="M5621">
        <f t="shared" si="692"/>
        <v>0</v>
      </c>
      <c r="O5621" s="62"/>
      <c r="P5621" s="62"/>
    </row>
    <row r="5622" spans="1:16" x14ac:dyDescent="0.3">
      <c r="A5622" s="3">
        <f t="shared" si="690"/>
        <v>45852</v>
      </c>
      <c r="B5622" s="11" t="s">
        <v>1250</v>
      </c>
      <c r="C5622" s="50" t="s">
        <v>8176</v>
      </c>
      <c r="E5622" s="90" t="s">
        <v>4720</v>
      </c>
      <c r="G5622" s="2">
        <v>4700</v>
      </c>
      <c r="I5622" s="88">
        <f t="shared" si="689"/>
        <v>24205.360000000001</v>
      </c>
      <c r="K5622" s="62"/>
      <c r="L5622" s="2">
        <f t="shared" si="691"/>
        <v>18.8</v>
      </c>
      <c r="M5622">
        <f t="shared" si="692"/>
        <v>0</v>
      </c>
      <c r="O5622" s="62"/>
      <c r="P5622" s="62"/>
    </row>
    <row r="5623" spans="1:16" x14ac:dyDescent="0.3">
      <c r="A5623" s="3">
        <f t="shared" si="690"/>
        <v>45852</v>
      </c>
      <c r="B5623" s="11" t="s">
        <v>1170</v>
      </c>
      <c r="C5623" s="50" t="s">
        <v>7773</v>
      </c>
      <c r="E5623" s="90" t="s">
        <v>4720</v>
      </c>
      <c r="G5623" s="2">
        <v>3050</v>
      </c>
      <c r="I5623" s="88">
        <f t="shared" si="689"/>
        <v>27255.360000000001</v>
      </c>
      <c r="K5623" s="62"/>
      <c r="L5623" s="2">
        <f t="shared" si="691"/>
        <v>12.200000000000001</v>
      </c>
      <c r="M5623">
        <f t="shared" si="692"/>
        <v>0</v>
      </c>
      <c r="O5623" s="62"/>
      <c r="P5623" s="62"/>
    </row>
    <row r="5624" spans="1:16" x14ac:dyDescent="0.3">
      <c r="A5624" s="3">
        <f t="shared" si="690"/>
        <v>45852</v>
      </c>
      <c r="B5624" s="11" t="s">
        <v>5508</v>
      </c>
      <c r="C5624" s="50" t="s">
        <v>6157</v>
      </c>
      <c r="E5624" s="90" t="s">
        <v>4720</v>
      </c>
      <c r="H5624" s="2">
        <v>500</v>
      </c>
      <c r="I5624" s="88">
        <f t="shared" si="689"/>
        <v>26755.360000000001</v>
      </c>
      <c r="K5624" s="62"/>
      <c r="L5624" s="2">
        <f t="shared" si="691"/>
        <v>2</v>
      </c>
      <c r="M5624">
        <f t="shared" si="692"/>
        <v>0</v>
      </c>
      <c r="O5624" s="62"/>
      <c r="P5624" s="62"/>
    </row>
    <row r="5625" spans="1:16" x14ac:dyDescent="0.3">
      <c r="A5625" s="3">
        <f t="shared" si="690"/>
        <v>45852</v>
      </c>
      <c r="B5625" s="11" t="s">
        <v>8647</v>
      </c>
      <c r="C5625" s="50" t="s">
        <v>6425</v>
      </c>
      <c r="E5625" s="90" t="s">
        <v>4720</v>
      </c>
      <c r="G5625" s="2">
        <v>5000</v>
      </c>
      <c r="I5625" s="88">
        <f t="shared" si="689"/>
        <v>31755.360000000001</v>
      </c>
      <c r="K5625" s="62"/>
      <c r="L5625" s="2">
        <f t="shared" si="691"/>
        <v>20</v>
      </c>
      <c r="M5625">
        <f t="shared" si="692"/>
        <v>0</v>
      </c>
      <c r="O5625" s="62"/>
      <c r="P5625" s="62"/>
    </row>
    <row r="5626" spans="1:16" x14ac:dyDescent="0.3">
      <c r="A5626" s="3">
        <f t="shared" si="690"/>
        <v>45852</v>
      </c>
      <c r="B5626" s="11" t="s">
        <v>8648</v>
      </c>
      <c r="C5626" s="50" t="s">
        <v>8649</v>
      </c>
      <c r="E5626" s="90" t="s">
        <v>4720</v>
      </c>
      <c r="G5626" s="2">
        <v>5600</v>
      </c>
      <c r="I5626" s="88">
        <f t="shared" si="689"/>
        <v>37355.360000000001</v>
      </c>
      <c r="K5626" s="62"/>
      <c r="L5626" s="2">
        <f t="shared" si="691"/>
        <v>20</v>
      </c>
      <c r="M5626">
        <f t="shared" si="692"/>
        <v>0</v>
      </c>
      <c r="O5626" s="62"/>
      <c r="P5626" s="62"/>
    </row>
    <row r="5627" spans="1:16" x14ac:dyDescent="0.3">
      <c r="A5627" s="3">
        <f t="shared" si="690"/>
        <v>45852</v>
      </c>
      <c r="B5627" s="11" t="s">
        <v>3204</v>
      </c>
      <c r="C5627" s="50" t="s">
        <v>3604</v>
      </c>
      <c r="E5627" s="90" t="s">
        <v>4720</v>
      </c>
      <c r="G5627" s="2">
        <v>2000</v>
      </c>
      <c r="I5627" s="88">
        <f t="shared" si="689"/>
        <v>39355.360000000001</v>
      </c>
      <c r="K5627" s="62"/>
      <c r="L5627" s="2">
        <f t="shared" si="691"/>
        <v>8</v>
      </c>
      <c r="M5627">
        <f t="shared" si="692"/>
        <v>0</v>
      </c>
      <c r="O5627" s="62"/>
      <c r="P5627" s="62"/>
    </row>
    <row r="5628" spans="1:16" x14ac:dyDescent="0.3">
      <c r="A5628" s="3">
        <f t="shared" si="690"/>
        <v>45852</v>
      </c>
      <c r="B5628" s="11" t="s">
        <v>6844</v>
      </c>
      <c r="C5628" s="50" t="s">
        <v>8641</v>
      </c>
      <c r="E5628" s="90" t="s">
        <v>4720</v>
      </c>
      <c r="H5628" s="2">
        <v>3600</v>
      </c>
      <c r="I5628" s="88">
        <f t="shared" si="689"/>
        <v>35755.360000000001</v>
      </c>
      <c r="K5628" s="62"/>
      <c r="L5628" s="2">
        <f t="shared" si="691"/>
        <v>14.4</v>
      </c>
      <c r="M5628">
        <f t="shared" si="692"/>
        <v>0</v>
      </c>
      <c r="O5628" s="62"/>
      <c r="P5628" s="62"/>
    </row>
    <row r="5629" spans="1:16" x14ac:dyDescent="0.3">
      <c r="A5629" s="3">
        <f t="shared" si="690"/>
        <v>45852</v>
      </c>
      <c r="B5629" s="11" t="s">
        <v>7757</v>
      </c>
      <c r="C5629" s="50" t="s">
        <v>8650</v>
      </c>
      <c r="E5629" s="90" t="s">
        <v>4720</v>
      </c>
      <c r="H5629" s="2">
        <v>1000</v>
      </c>
      <c r="I5629" s="88">
        <f t="shared" si="689"/>
        <v>34755.360000000001</v>
      </c>
      <c r="K5629" s="62"/>
      <c r="L5629" s="2">
        <f t="shared" si="691"/>
        <v>4</v>
      </c>
      <c r="M5629">
        <f t="shared" si="692"/>
        <v>0</v>
      </c>
      <c r="O5629" s="62"/>
      <c r="P5629" s="62"/>
    </row>
    <row r="5630" spans="1:16" x14ac:dyDescent="0.3">
      <c r="A5630" s="3">
        <f t="shared" si="690"/>
        <v>45852</v>
      </c>
      <c r="B5630" s="11" t="s">
        <v>8651</v>
      </c>
      <c r="C5630" s="50" t="s">
        <v>8652</v>
      </c>
      <c r="E5630" s="90" t="s">
        <v>2088</v>
      </c>
      <c r="G5630" s="2">
        <v>0</v>
      </c>
      <c r="H5630" s="2">
        <v>0</v>
      </c>
      <c r="I5630" s="88">
        <f t="shared" si="689"/>
        <v>34755.360000000001</v>
      </c>
      <c r="K5630" s="62"/>
      <c r="L5630" s="2">
        <f t="shared" si="691"/>
        <v>5</v>
      </c>
      <c r="M5630">
        <f t="shared" si="692"/>
        <v>5</v>
      </c>
      <c r="O5630" s="62"/>
      <c r="P5630" s="62"/>
    </row>
    <row r="5631" spans="1:16" x14ac:dyDescent="0.3">
      <c r="A5631" s="3">
        <f t="shared" si="690"/>
        <v>45852</v>
      </c>
      <c r="B5631" s="11" t="s">
        <v>8653</v>
      </c>
      <c r="C5631" s="50" t="s">
        <v>8654</v>
      </c>
      <c r="D5631" s="50">
        <v>8271031712</v>
      </c>
      <c r="E5631" s="90" t="s">
        <v>2088</v>
      </c>
      <c r="H5631" s="2">
        <v>13000</v>
      </c>
      <c r="I5631" s="88">
        <f t="shared" si="689"/>
        <v>21755.360000000001</v>
      </c>
      <c r="K5631" s="62"/>
      <c r="L5631" s="2">
        <f t="shared" si="691"/>
        <v>25</v>
      </c>
      <c r="M5631">
        <f t="shared" si="692"/>
        <v>5</v>
      </c>
      <c r="O5631" s="62"/>
      <c r="P5631" s="62"/>
    </row>
    <row r="5632" spans="1:16" x14ac:dyDescent="0.3">
      <c r="A5632" s="3">
        <f t="shared" si="690"/>
        <v>45852</v>
      </c>
      <c r="B5632" s="11" t="s">
        <v>6892</v>
      </c>
      <c r="C5632" s="50" t="s">
        <v>7248</v>
      </c>
      <c r="E5632" s="90" t="s">
        <v>4720</v>
      </c>
      <c r="G5632" s="2">
        <v>2500</v>
      </c>
      <c r="I5632" s="88">
        <f t="shared" si="689"/>
        <v>24255.360000000001</v>
      </c>
      <c r="K5632" s="62"/>
      <c r="L5632" s="2">
        <f t="shared" si="691"/>
        <v>10</v>
      </c>
      <c r="M5632">
        <f t="shared" si="692"/>
        <v>0</v>
      </c>
      <c r="O5632" s="62"/>
      <c r="P5632" s="62"/>
    </row>
    <row r="5633" spans="1:16" x14ac:dyDescent="0.3">
      <c r="A5633" s="3">
        <f t="shared" si="690"/>
        <v>45852</v>
      </c>
      <c r="B5633" s="11" t="s">
        <v>7488</v>
      </c>
      <c r="C5633" s="50" t="s">
        <v>7487</v>
      </c>
      <c r="E5633" s="90" t="s">
        <v>4720</v>
      </c>
      <c r="G5633" s="2">
        <v>1000</v>
      </c>
      <c r="I5633" s="88">
        <f t="shared" ref="I5633:I5666" si="693">I5632+G5633-H5633</f>
        <v>25255.360000000001</v>
      </c>
      <c r="K5633" s="62"/>
      <c r="L5633" s="2">
        <f t="shared" si="691"/>
        <v>4</v>
      </c>
      <c r="M5633">
        <f t="shared" si="692"/>
        <v>0</v>
      </c>
      <c r="O5633" s="62"/>
      <c r="P5633" s="62"/>
    </row>
    <row r="5634" spans="1:16" x14ac:dyDescent="0.3">
      <c r="A5634" s="3">
        <v>45853</v>
      </c>
      <c r="B5634" s="11" t="s">
        <v>7374</v>
      </c>
      <c r="C5634" s="50" t="s">
        <v>8655</v>
      </c>
      <c r="E5634" s="90" t="s">
        <v>2088</v>
      </c>
      <c r="G5634" s="2">
        <v>2500</v>
      </c>
      <c r="I5634" s="88">
        <f t="shared" si="693"/>
        <v>27755.360000000001</v>
      </c>
      <c r="K5634" s="62"/>
      <c r="L5634" s="2">
        <f t="shared" si="691"/>
        <v>15</v>
      </c>
      <c r="M5634">
        <f t="shared" si="692"/>
        <v>5</v>
      </c>
      <c r="O5634" s="62"/>
      <c r="P5634" s="62"/>
    </row>
    <row r="5635" spans="1:16" x14ac:dyDescent="0.3">
      <c r="A5635" s="3">
        <f t="shared" ref="A5635:A5698" si="694">A5634</f>
        <v>45853</v>
      </c>
      <c r="B5635" s="11" t="s">
        <v>1160</v>
      </c>
      <c r="C5635" s="50" t="s">
        <v>8655</v>
      </c>
      <c r="E5635" s="90" t="s">
        <v>4720</v>
      </c>
      <c r="G5635" s="2">
        <v>2000</v>
      </c>
      <c r="I5635" s="88">
        <f t="shared" si="693"/>
        <v>29755.360000000001</v>
      </c>
      <c r="K5635" s="62"/>
      <c r="L5635" s="2">
        <f t="shared" si="691"/>
        <v>8</v>
      </c>
      <c r="M5635">
        <f t="shared" si="692"/>
        <v>0</v>
      </c>
      <c r="O5635" s="62"/>
      <c r="P5635" s="62"/>
    </row>
    <row r="5636" spans="1:16" x14ac:dyDescent="0.3">
      <c r="A5636" s="3">
        <f t="shared" si="694"/>
        <v>45853</v>
      </c>
      <c r="B5636" s="11" t="s">
        <v>7432</v>
      </c>
      <c r="C5636" s="50" t="s">
        <v>629</v>
      </c>
      <c r="E5636" s="90" t="s">
        <v>2088</v>
      </c>
      <c r="G5636" s="2">
        <v>2500</v>
      </c>
      <c r="I5636" s="88">
        <f t="shared" si="693"/>
        <v>32255.360000000001</v>
      </c>
      <c r="K5636" s="62"/>
      <c r="L5636" s="2">
        <f t="shared" si="691"/>
        <v>15</v>
      </c>
      <c r="M5636">
        <f t="shared" si="692"/>
        <v>5</v>
      </c>
      <c r="O5636" s="62"/>
      <c r="P5636" s="62"/>
    </row>
    <row r="5637" spans="1:16" x14ac:dyDescent="0.3">
      <c r="A5637" s="3">
        <f t="shared" si="694"/>
        <v>45853</v>
      </c>
      <c r="B5637" s="11" t="s">
        <v>5508</v>
      </c>
      <c r="C5637" s="50" t="s">
        <v>6157</v>
      </c>
      <c r="E5637" s="90" t="s">
        <v>2088</v>
      </c>
      <c r="G5637" s="2">
        <v>0</v>
      </c>
      <c r="H5637" s="2">
        <v>0</v>
      </c>
      <c r="I5637" s="88">
        <f t="shared" si="693"/>
        <v>32255.360000000001</v>
      </c>
      <c r="K5637" s="62"/>
      <c r="L5637" s="2">
        <f t="shared" si="691"/>
        <v>5</v>
      </c>
      <c r="M5637">
        <f t="shared" si="692"/>
        <v>5</v>
      </c>
      <c r="O5637" s="62"/>
      <c r="P5637" s="62"/>
    </row>
    <row r="5638" spans="1:16" x14ac:dyDescent="0.3">
      <c r="A5638" s="3">
        <f t="shared" si="694"/>
        <v>45853</v>
      </c>
      <c r="B5638" s="11" t="s">
        <v>6522</v>
      </c>
      <c r="C5638" s="50" t="s">
        <v>8656</v>
      </c>
      <c r="D5638" s="50">
        <v>6204823749</v>
      </c>
      <c r="E5638" s="90" t="s">
        <v>4720</v>
      </c>
      <c r="G5638" s="2">
        <v>8500</v>
      </c>
      <c r="I5638" s="88">
        <f t="shared" si="693"/>
        <v>40755.360000000001</v>
      </c>
      <c r="K5638" s="62"/>
      <c r="L5638" s="2">
        <f t="shared" si="691"/>
        <v>20</v>
      </c>
      <c r="M5638">
        <f t="shared" si="692"/>
        <v>0</v>
      </c>
      <c r="O5638" s="62"/>
      <c r="P5638" s="62"/>
    </row>
    <row r="5639" spans="1:16" x14ac:dyDescent="0.3">
      <c r="A5639" s="3">
        <f t="shared" si="694"/>
        <v>45853</v>
      </c>
      <c r="B5639" s="11" t="s">
        <v>3915</v>
      </c>
      <c r="C5639" s="50" t="s">
        <v>8657</v>
      </c>
      <c r="E5639" s="90" t="s">
        <v>4720</v>
      </c>
      <c r="G5639" s="2">
        <v>2500</v>
      </c>
      <c r="I5639" s="88">
        <f t="shared" si="693"/>
        <v>43255.360000000001</v>
      </c>
      <c r="K5639" s="62"/>
      <c r="L5639" s="2">
        <f t="shared" si="691"/>
        <v>10</v>
      </c>
      <c r="M5639">
        <f t="shared" si="692"/>
        <v>0</v>
      </c>
      <c r="O5639" s="62"/>
      <c r="P5639" s="62"/>
    </row>
    <row r="5640" spans="1:16" x14ac:dyDescent="0.3">
      <c r="A5640" s="3">
        <f t="shared" si="694"/>
        <v>45853</v>
      </c>
      <c r="B5640" s="11" t="s">
        <v>6522</v>
      </c>
      <c r="C5640" s="50" t="s">
        <v>8468</v>
      </c>
      <c r="E5640" s="90" t="s">
        <v>4720</v>
      </c>
      <c r="G5640" s="2">
        <v>2500</v>
      </c>
      <c r="I5640" s="88">
        <f t="shared" si="693"/>
        <v>45755.360000000001</v>
      </c>
      <c r="K5640" s="62"/>
      <c r="L5640" s="2">
        <f t="shared" ref="L5640:L5690" si="695">IF(E5640="C",0,IF((G5640+H5640)&lt;=5000,(G5640+H5640)*0.004,20)+IF(E5640="P",5,IF(E5640="Y",15,IF(E5640="YY",25))))</f>
        <v>10</v>
      </c>
      <c r="M5640">
        <f t="shared" ref="M5640:M5690" si="696">IF(E5640="p",5,0)</f>
        <v>0</v>
      </c>
      <c r="O5640" s="62"/>
      <c r="P5640" s="62"/>
    </row>
    <row r="5641" spans="1:16" x14ac:dyDescent="0.3">
      <c r="A5641" s="3">
        <f t="shared" si="694"/>
        <v>45853</v>
      </c>
      <c r="B5641" s="11" t="s">
        <v>8529</v>
      </c>
      <c r="C5641" s="50" t="s">
        <v>8530</v>
      </c>
      <c r="E5641" s="90" t="s">
        <v>4720</v>
      </c>
      <c r="G5641" s="2">
        <v>1000</v>
      </c>
      <c r="I5641" s="88">
        <f t="shared" si="693"/>
        <v>46755.360000000001</v>
      </c>
      <c r="K5641" s="62"/>
      <c r="L5641" s="2">
        <f t="shared" si="695"/>
        <v>4</v>
      </c>
      <c r="M5641">
        <f t="shared" si="696"/>
        <v>0</v>
      </c>
      <c r="O5641" s="62"/>
      <c r="P5641" s="62"/>
    </row>
    <row r="5642" spans="1:16" x14ac:dyDescent="0.3">
      <c r="A5642" s="3">
        <f t="shared" si="694"/>
        <v>45853</v>
      </c>
      <c r="B5642" s="11" t="s">
        <v>6929</v>
      </c>
      <c r="C5642" s="50" t="s">
        <v>251</v>
      </c>
      <c r="E5642" s="90" t="s">
        <v>4720</v>
      </c>
      <c r="G5642" s="2">
        <v>2500</v>
      </c>
      <c r="I5642" s="88">
        <f t="shared" si="693"/>
        <v>49255.360000000001</v>
      </c>
      <c r="K5642" s="62"/>
      <c r="L5642" s="2">
        <f t="shared" si="695"/>
        <v>10</v>
      </c>
      <c r="M5642">
        <f t="shared" si="696"/>
        <v>0</v>
      </c>
      <c r="O5642" s="62"/>
      <c r="P5642" s="62"/>
    </row>
    <row r="5643" spans="1:16" x14ac:dyDescent="0.3">
      <c r="A5643" s="3">
        <f t="shared" si="694"/>
        <v>45853</v>
      </c>
      <c r="B5643" s="11" t="s">
        <v>2192</v>
      </c>
      <c r="C5643" s="50" t="s">
        <v>8658</v>
      </c>
      <c r="E5643" s="90" t="s">
        <v>2088</v>
      </c>
      <c r="G5643" s="2">
        <v>700</v>
      </c>
      <c r="I5643" s="88">
        <f t="shared" si="693"/>
        <v>49955.360000000001</v>
      </c>
      <c r="K5643" s="62"/>
      <c r="L5643" s="2">
        <f t="shared" si="695"/>
        <v>7.8000000000000007</v>
      </c>
      <c r="M5643">
        <f t="shared" si="696"/>
        <v>5</v>
      </c>
      <c r="O5643" s="62"/>
      <c r="P5643" s="62"/>
    </row>
    <row r="5644" spans="1:16" x14ac:dyDescent="0.3">
      <c r="A5644" s="3">
        <f t="shared" si="694"/>
        <v>45853</v>
      </c>
      <c r="B5644" s="11" t="s">
        <v>8659</v>
      </c>
      <c r="C5644" s="50" t="s">
        <v>2626</v>
      </c>
      <c r="E5644" s="90" t="s">
        <v>4720</v>
      </c>
      <c r="G5644" s="2">
        <v>6000</v>
      </c>
      <c r="I5644" s="88">
        <f t="shared" si="693"/>
        <v>55955.360000000001</v>
      </c>
      <c r="K5644" s="62"/>
      <c r="L5644" s="2">
        <f t="shared" si="695"/>
        <v>20</v>
      </c>
      <c r="M5644">
        <f t="shared" si="696"/>
        <v>0</v>
      </c>
      <c r="O5644" s="62"/>
      <c r="P5644" s="62"/>
    </row>
    <row r="5645" spans="1:16" x14ac:dyDescent="0.3">
      <c r="A5645" s="3">
        <f t="shared" si="694"/>
        <v>45853</v>
      </c>
      <c r="B5645" s="11" t="s">
        <v>8661</v>
      </c>
      <c r="C5645" s="50" t="s">
        <v>8662</v>
      </c>
      <c r="E5645" s="90" t="s">
        <v>16</v>
      </c>
      <c r="H5645" s="2">
        <v>400</v>
      </c>
      <c r="I5645" s="88">
        <f t="shared" si="693"/>
        <v>55555.360000000001</v>
      </c>
      <c r="K5645" s="62"/>
      <c r="L5645" s="2">
        <f t="shared" si="695"/>
        <v>16.600000000000001</v>
      </c>
      <c r="M5645">
        <f t="shared" si="696"/>
        <v>0</v>
      </c>
      <c r="O5645" s="62"/>
      <c r="P5645" s="62"/>
    </row>
    <row r="5646" spans="1:16" x14ac:dyDescent="0.3">
      <c r="A5646" s="3">
        <f t="shared" si="694"/>
        <v>45853</v>
      </c>
      <c r="B5646" s="11" t="s">
        <v>8663</v>
      </c>
      <c r="C5646" s="50" t="s">
        <v>8664</v>
      </c>
      <c r="E5646" s="90" t="s">
        <v>2088</v>
      </c>
      <c r="G5646" s="2">
        <v>2500</v>
      </c>
      <c r="I5646" s="88">
        <f t="shared" si="693"/>
        <v>58055.360000000001</v>
      </c>
      <c r="K5646" s="62"/>
      <c r="L5646" s="2">
        <f t="shared" si="695"/>
        <v>15</v>
      </c>
      <c r="M5646">
        <f t="shared" si="696"/>
        <v>5</v>
      </c>
      <c r="O5646" s="62"/>
      <c r="P5646" s="62"/>
    </row>
    <row r="5647" spans="1:16" x14ac:dyDescent="0.3">
      <c r="A5647" s="3">
        <f t="shared" si="694"/>
        <v>45853</v>
      </c>
      <c r="C5647" s="50" t="s">
        <v>2857</v>
      </c>
      <c r="E5647" s="90" t="s">
        <v>8332</v>
      </c>
      <c r="H5647" s="2">
        <v>50000</v>
      </c>
      <c r="I5647" s="88">
        <f t="shared" si="693"/>
        <v>8055.3600000000006</v>
      </c>
      <c r="K5647" s="62"/>
      <c r="L5647" s="2">
        <f t="shared" si="695"/>
        <v>0</v>
      </c>
      <c r="M5647">
        <f t="shared" si="696"/>
        <v>0</v>
      </c>
      <c r="O5647" s="62"/>
      <c r="P5647" s="62"/>
    </row>
    <row r="5648" spans="1:16" x14ac:dyDescent="0.3">
      <c r="A5648" s="3">
        <f t="shared" si="694"/>
        <v>45853</v>
      </c>
      <c r="B5648" s="11" t="s">
        <v>8665</v>
      </c>
      <c r="C5648" s="50" t="s">
        <v>2551</v>
      </c>
      <c r="E5648" s="90" t="s">
        <v>4720</v>
      </c>
      <c r="H5648" s="2">
        <v>5000</v>
      </c>
      <c r="I5648" s="88">
        <f t="shared" si="693"/>
        <v>3055.3600000000006</v>
      </c>
      <c r="K5648" s="62"/>
      <c r="L5648" s="2">
        <f t="shared" si="695"/>
        <v>20</v>
      </c>
      <c r="M5648">
        <f t="shared" si="696"/>
        <v>0</v>
      </c>
      <c r="O5648" s="62"/>
      <c r="P5648" s="62"/>
    </row>
    <row r="5649" spans="1:16" x14ac:dyDescent="0.3">
      <c r="A5649" s="3">
        <f t="shared" si="694"/>
        <v>45853</v>
      </c>
      <c r="C5649" s="114" t="s">
        <v>8666</v>
      </c>
      <c r="D5649" s="114"/>
      <c r="E5649" s="97" t="s">
        <v>4720</v>
      </c>
      <c r="F5649" s="10"/>
      <c r="G5649" s="64"/>
      <c r="H5649" s="64">
        <v>2400</v>
      </c>
      <c r="I5649" s="88">
        <f t="shared" si="693"/>
        <v>655.36000000000058</v>
      </c>
      <c r="K5649" s="62"/>
      <c r="L5649" s="2">
        <f t="shared" si="695"/>
        <v>9.6</v>
      </c>
      <c r="M5649">
        <f t="shared" si="696"/>
        <v>0</v>
      </c>
      <c r="O5649" s="62"/>
      <c r="P5649" s="62"/>
    </row>
    <row r="5650" spans="1:16" x14ac:dyDescent="0.3">
      <c r="A5650" s="3">
        <f t="shared" si="694"/>
        <v>45853</v>
      </c>
      <c r="B5650" s="11" t="s">
        <v>1250</v>
      </c>
      <c r="C5650" s="50" t="s">
        <v>7037</v>
      </c>
      <c r="E5650" s="90" t="s">
        <v>4720</v>
      </c>
      <c r="G5650" s="2">
        <v>3000</v>
      </c>
      <c r="I5650" s="88">
        <f t="shared" si="693"/>
        <v>3655.3600000000006</v>
      </c>
      <c r="K5650" s="62"/>
      <c r="L5650" s="2">
        <f t="shared" si="695"/>
        <v>12</v>
      </c>
      <c r="M5650">
        <f t="shared" si="696"/>
        <v>0</v>
      </c>
      <c r="O5650" s="62"/>
      <c r="P5650" s="62"/>
    </row>
    <row r="5651" spans="1:16" x14ac:dyDescent="0.3">
      <c r="A5651" s="3">
        <f t="shared" si="694"/>
        <v>45853</v>
      </c>
      <c r="B5651" s="11" t="s">
        <v>8668</v>
      </c>
      <c r="C5651" s="50" t="s">
        <v>8638</v>
      </c>
      <c r="E5651" s="90" t="s">
        <v>2088</v>
      </c>
      <c r="G5651" s="2">
        <v>0</v>
      </c>
      <c r="H5651" s="2">
        <v>0</v>
      </c>
      <c r="I5651" s="88">
        <f t="shared" si="693"/>
        <v>3655.3600000000006</v>
      </c>
      <c r="K5651" s="62"/>
      <c r="L5651" s="2">
        <f t="shared" si="695"/>
        <v>5</v>
      </c>
      <c r="M5651">
        <f t="shared" si="696"/>
        <v>5</v>
      </c>
      <c r="O5651" s="62"/>
      <c r="P5651" s="62"/>
    </row>
    <row r="5652" spans="1:16" x14ac:dyDescent="0.3">
      <c r="A5652" s="3">
        <f t="shared" si="694"/>
        <v>45853</v>
      </c>
      <c r="B5652" s="11" t="s">
        <v>3289</v>
      </c>
      <c r="C5652" s="50" t="s">
        <v>2734</v>
      </c>
      <c r="E5652" s="90" t="s">
        <v>4720</v>
      </c>
      <c r="H5652" s="2">
        <v>1500</v>
      </c>
      <c r="I5652" s="88">
        <f t="shared" si="693"/>
        <v>2155.3600000000006</v>
      </c>
      <c r="K5652" s="62"/>
      <c r="L5652" s="2">
        <f t="shared" si="695"/>
        <v>6</v>
      </c>
      <c r="M5652">
        <f t="shared" si="696"/>
        <v>0</v>
      </c>
      <c r="O5652" s="62"/>
      <c r="P5652" s="62"/>
    </row>
    <row r="5653" spans="1:16" x14ac:dyDescent="0.3">
      <c r="A5653" s="3">
        <f t="shared" si="694"/>
        <v>45853</v>
      </c>
      <c r="B5653" s="11" t="s">
        <v>7262</v>
      </c>
      <c r="C5653" s="50" t="s">
        <v>7263</v>
      </c>
      <c r="E5653" s="90" t="s">
        <v>4720</v>
      </c>
      <c r="G5653" s="2">
        <v>200</v>
      </c>
      <c r="I5653" s="88">
        <f t="shared" si="693"/>
        <v>2355.3600000000006</v>
      </c>
      <c r="K5653" s="62"/>
      <c r="L5653" s="2">
        <f t="shared" si="695"/>
        <v>0.8</v>
      </c>
      <c r="M5653">
        <f t="shared" si="696"/>
        <v>0</v>
      </c>
      <c r="O5653" s="62"/>
      <c r="P5653" s="62"/>
    </row>
    <row r="5654" spans="1:16" x14ac:dyDescent="0.3">
      <c r="A5654" s="3">
        <f t="shared" si="694"/>
        <v>45853</v>
      </c>
      <c r="B5654" s="11" t="s">
        <v>7870</v>
      </c>
      <c r="C5654" s="50" t="s">
        <v>8380</v>
      </c>
      <c r="E5654" s="90" t="s">
        <v>2088</v>
      </c>
      <c r="G5654" s="2">
        <v>3000</v>
      </c>
      <c r="I5654" s="88">
        <f t="shared" si="693"/>
        <v>5355.3600000000006</v>
      </c>
      <c r="K5654" s="62"/>
      <c r="L5654" s="2">
        <f t="shared" si="695"/>
        <v>17</v>
      </c>
      <c r="M5654">
        <f t="shared" si="696"/>
        <v>5</v>
      </c>
      <c r="O5654" s="62"/>
      <c r="P5654" s="62"/>
    </row>
    <row r="5655" spans="1:16" x14ac:dyDescent="0.3">
      <c r="A5655" s="3">
        <v>45854</v>
      </c>
      <c r="B5655" s="11" t="s">
        <v>8669</v>
      </c>
      <c r="C5655" s="50" t="s">
        <v>8670</v>
      </c>
      <c r="E5655" s="90" t="s">
        <v>2088</v>
      </c>
      <c r="G5655" s="2">
        <v>5000</v>
      </c>
      <c r="I5655" s="88">
        <f t="shared" si="693"/>
        <v>10355.36</v>
      </c>
      <c r="K5655" s="62"/>
      <c r="L5655" s="2">
        <f t="shared" si="695"/>
        <v>25</v>
      </c>
      <c r="M5655">
        <f t="shared" si="696"/>
        <v>5</v>
      </c>
      <c r="O5655" s="62"/>
      <c r="P5655" s="62"/>
    </row>
    <row r="5656" spans="1:16" x14ac:dyDescent="0.3">
      <c r="A5656" s="3">
        <f t="shared" si="694"/>
        <v>45854</v>
      </c>
      <c r="B5656" s="11" t="s">
        <v>6260</v>
      </c>
      <c r="C5656" s="50" t="s">
        <v>8558</v>
      </c>
      <c r="E5656" s="90" t="s">
        <v>4720</v>
      </c>
      <c r="H5656" s="2">
        <v>4500</v>
      </c>
      <c r="I5656" s="88">
        <f t="shared" si="693"/>
        <v>5855.3600000000006</v>
      </c>
      <c r="K5656" s="62"/>
      <c r="L5656" s="2">
        <f t="shared" si="695"/>
        <v>18</v>
      </c>
      <c r="M5656">
        <f t="shared" si="696"/>
        <v>0</v>
      </c>
      <c r="O5656" s="62"/>
      <c r="P5656" s="62"/>
    </row>
    <row r="5657" spans="1:16" x14ac:dyDescent="0.3">
      <c r="A5657" s="3">
        <f t="shared" si="694"/>
        <v>45854</v>
      </c>
      <c r="C5657" s="50" t="s">
        <v>2887</v>
      </c>
      <c r="E5657" s="90" t="s">
        <v>8332</v>
      </c>
      <c r="G5657" s="2">
        <v>30000</v>
      </c>
      <c r="I5657" s="88">
        <f t="shared" si="693"/>
        <v>35855.360000000001</v>
      </c>
      <c r="K5657" s="62"/>
      <c r="L5657" s="2">
        <f t="shared" si="695"/>
        <v>0</v>
      </c>
      <c r="M5657">
        <f t="shared" si="696"/>
        <v>0</v>
      </c>
      <c r="O5657" s="62"/>
      <c r="P5657" s="62"/>
    </row>
    <row r="5658" spans="1:16" x14ac:dyDescent="0.3">
      <c r="A5658" s="3">
        <f t="shared" si="694"/>
        <v>45854</v>
      </c>
      <c r="B5658" s="11" t="s">
        <v>3849</v>
      </c>
      <c r="C5658" s="50" t="s">
        <v>2551</v>
      </c>
      <c r="E5658" s="90" t="s">
        <v>4720</v>
      </c>
      <c r="H5658" s="2">
        <v>10000</v>
      </c>
      <c r="I5658" s="88">
        <f t="shared" si="693"/>
        <v>25855.360000000001</v>
      </c>
      <c r="K5658" s="62"/>
      <c r="L5658" s="2">
        <f t="shared" si="695"/>
        <v>20</v>
      </c>
      <c r="M5658">
        <f t="shared" si="696"/>
        <v>0</v>
      </c>
      <c r="O5658" s="62"/>
      <c r="P5658" s="62"/>
    </row>
    <row r="5659" spans="1:16" x14ac:dyDescent="0.3">
      <c r="A5659" s="3">
        <f t="shared" si="694"/>
        <v>45854</v>
      </c>
      <c r="B5659" s="11" t="s">
        <v>7649</v>
      </c>
      <c r="C5659" s="50" t="s">
        <v>8644</v>
      </c>
      <c r="E5659" s="90" t="s">
        <v>4720</v>
      </c>
      <c r="H5659" s="2">
        <v>15000</v>
      </c>
      <c r="I5659" s="88">
        <f t="shared" si="693"/>
        <v>10855.36</v>
      </c>
      <c r="K5659" s="62"/>
      <c r="L5659" s="2">
        <f t="shared" si="695"/>
        <v>20</v>
      </c>
      <c r="M5659">
        <f t="shared" si="696"/>
        <v>0</v>
      </c>
      <c r="O5659" s="62"/>
      <c r="P5659" s="62"/>
    </row>
    <row r="5660" spans="1:16" x14ac:dyDescent="0.3">
      <c r="A5660" s="3">
        <f t="shared" si="694"/>
        <v>45854</v>
      </c>
      <c r="B5660" s="11" t="s">
        <v>6844</v>
      </c>
      <c r="C5660" s="50" t="s">
        <v>7544</v>
      </c>
      <c r="E5660" s="90" t="s">
        <v>4720</v>
      </c>
      <c r="H5660" s="2">
        <v>2200</v>
      </c>
      <c r="I5660" s="88">
        <f t="shared" si="693"/>
        <v>8655.36</v>
      </c>
      <c r="K5660" s="62"/>
      <c r="L5660" s="2">
        <f t="shared" si="695"/>
        <v>8.8000000000000007</v>
      </c>
      <c r="M5660">
        <f t="shared" si="696"/>
        <v>0</v>
      </c>
      <c r="O5660" s="62"/>
      <c r="P5660" s="62"/>
    </row>
    <row r="5661" spans="1:16" x14ac:dyDescent="0.3">
      <c r="A5661" s="3">
        <f t="shared" si="694"/>
        <v>45854</v>
      </c>
      <c r="B5661" s="11" t="s">
        <v>8671</v>
      </c>
      <c r="E5661" s="90" t="s">
        <v>4720</v>
      </c>
      <c r="G5661" s="2">
        <v>1000</v>
      </c>
      <c r="I5661" s="88">
        <f t="shared" si="693"/>
        <v>9655.36</v>
      </c>
      <c r="K5661" s="62"/>
      <c r="L5661" s="2">
        <f t="shared" si="695"/>
        <v>4</v>
      </c>
      <c r="M5661">
        <f t="shared" si="696"/>
        <v>0</v>
      </c>
      <c r="O5661" s="62"/>
      <c r="P5661" s="62"/>
    </row>
    <row r="5662" spans="1:16" x14ac:dyDescent="0.3">
      <c r="A5662" s="3">
        <f t="shared" si="694"/>
        <v>45854</v>
      </c>
      <c r="B5662" s="11" t="s">
        <v>7174</v>
      </c>
      <c r="C5662" s="50" t="s">
        <v>7421</v>
      </c>
      <c r="E5662" s="90" t="s">
        <v>2088</v>
      </c>
      <c r="G5662" s="2">
        <v>2500</v>
      </c>
      <c r="I5662" s="88">
        <f t="shared" si="693"/>
        <v>12155.36</v>
      </c>
      <c r="K5662" s="62"/>
      <c r="L5662" s="2">
        <f t="shared" si="695"/>
        <v>15</v>
      </c>
      <c r="M5662">
        <f t="shared" si="696"/>
        <v>5</v>
      </c>
      <c r="O5662" s="62"/>
      <c r="P5662" s="62"/>
    </row>
    <row r="5663" spans="1:16" x14ac:dyDescent="0.3">
      <c r="A5663" s="3">
        <f t="shared" si="694"/>
        <v>45854</v>
      </c>
      <c r="B5663" s="11" t="s">
        <v>8672</v>
      </c>
      <c r="C5663" s="50" t="s">
        <v>8673</v>
      </c>
      <c r="E5663" s="90" t="s">
        <v>2088</v>
      </c>
      <c r="G5663" s="2">
        <v>10000</v>
      </c>
      <c r="I5663" s="88">
        <f t="shared" si="693"/>
        <v>22155.360000000001</v>
      </c>
      <c r="K5663" s="62"/>
      <c r="L5663" s="2">
        <f t="shared" si="695"/>
        <v>25</v>
      </c>
      <c r="M5663">
        <f t="shared" si="696"/>
        <v>5</v>
      </c>
      <c r="O5663" s="62"/>
      <c r="P5663" s="62"/>
    </row>
    <row r="5664" spans="1:16" x14ac:dyDescent="0.3">
      <c r="A5664" s="3">
        <f t="shared" si="694"/>
        <v>45854</v>
      </c>
      <c r="B5664" s="11" t="s">
        <v>6687</v>
      </c>
      <c r="C5664" s="50" t="s">
        <v>8578</v>
      </c>
      <c r="E5664" s="90" t="s">
        <v>4720</v>
      </c>
      <c r="G5664" s="2">
        <v>4000</v>
      </c>
      <c r="I5664" s="88">
        <f t="shared" si="693"/>
        <v>26155.360000000001</v>
      </c>
      <c r="K5664" s="62"/>
      <c r="L5664" s="2">
        <f t="shared" si="695"/>
        <v>16</v>
      </c>
      <c r="M5664">
        <f t="shared" si="696"/>
        <v>0</v>
      </c>
      <c r="O5664" s="62"/>
      <c r="P5664" s="62"/>
    </row>
    <row r="5665" spans="1:16" x14ac:dyDescent="0.3">
      <c r="A5665" s="3">
        <f t="shared" si="694"/>
        <v>45854</v>
      </c>
      <c r="B5665" s="11" t="s">
        <v>8674</v>
      </c>
      <c r="C5665" s="50" t="s">
        <v>8675</v>
      </c>
      <c r="E5665" s="90" t="s">
        <v>4720</v>
      </c>
      <c r="G5665" s="2">
        <v>600</v>
      </c>
      <c r="I5665" s="88">
        <f t="shared" si="693"/>
        <v>26755.360000000001</v>
      </c>
      <c r="K5665" s="62"/>
      <c r="L5665" s="2">
        <f t="shared" si="695"/>
        <v>2.4</v>
      </c>
      <c r="M5665">
        <f t="shared" si="696"/>
        <v>0</v>
      </c>
      <c r="O5665" s="62"/>
      <c r="P5665" s="62"/>
    </row>
    <row r="5666" spans="1:16" x14ac:dyDescent="0.3">
      <c r="A5666" s="3">
        <f t="shared" si="694"/>
        <v>45854</v>
      </c>
      <c r="B5666" s="11" t="s">
        <v>8676</v>
      </c>
      <c r="C5666" s="50" t="s">
        <v>8677</v>
      </c>
      <c r="E5666" s="90" t="s">
        <v>2088</v>
      </c>
      <c r="G5666" s="2">
        <v>2500</v>
      </c>
      <c r="I5666" s="88">
        <f t="shared" si="693"/>
        <v>29255.360000000001</v>
      </c>
      <c r="K5666" s="62"/>
      <c r="L5666" s="2">
        <f t="shared" si="695"/>
        <v>15</v>
      </c>
      <c r="M5666">
        <f t="shared" si="696"/>
        <v>5</v>
      </c>
      <c r="O5666" s="62"/>
      <c r="P5666" s="62"/>
    </row>
    <row r="5667" spans="1:16" x14ac:dyDescent="0.3">
      <c r="A5667" s="3">
        <v>45855</v>
      </c>
      <c r="B5667" s="11" t="s">
        <v>6260</v>
      </c>
      <c r="C5667" s="50" t="s">
        <v>8558</v>
      </c>
      <c r="E5667" s="90" t="s">
        <v>4720</v>
      </c>
      <c r="H5667" s="2">
        <v>3500</v>
      </c>
      <c r="I5667" s="88">
        <f t="shared" ref="I5667:I5690" si="697">I5666+G5667-H5667</f>
        <v>25755.360000000001</v>
      </c>
      <c r="K5667" s="62"/>
      <c r="L5667" s="2">
        <f t="shared" si="695"/>
        <v>14</v>
      </c>
      <c r="M5667">
        <f t="shared" si="696"/>
        <v>0</v>
      </c>
      <c r="O5667" s="62"/>
      <c r="P5667" s="62"/>
    </row>
    <row r="5668" spans="1:16" x14ac:dyDescent="0.3">
      <c r="A5668" s="3">
        <f t="shared" si="694"/>
        <v>45855</v>
      </c>
      <c r="B5668" s="11" t="s">
        <v>8583</v>
      </c>
      <c r="C5668" s="65" t="s">
        <v>8580</v>
      </c>
      <c r="E5668" s="90" t="s">
        <v>2088</v>
      </c>
      <c r="G5668" s="2">
        <v>0</v>
      </c>
      <c r="H5668" s="2">
        <v>0</v>
      </c>
      <c r="I5668" s="88">
        <f t="shared" si="697"/>
        <v>25755.360000000001</v>
      </c>
      <c r="K5668" s="62"/>
      <c r="L5668" s="2">
        <f t="shared" si="695"/>
        <v>5</v>
      </c>
      <c r="M5668">
        <f t="shared" si="696"/>
        <v>5</v>
      </c>
      <c r="O5668" s="62"/>
      <c r="P5668" s="62"/>
    </row>
    <row r="5669" spans="1:16" x14ac:dyDescent="0.3">
      <c r="A5669" s="3">
        <f t="shared" si="694"/>
        <v>45855</v>
      </c>
      <c r="B5669" s="11" t="s">
        <v>8679</v>
      </c>
      <c r="C5669" s="50" t="s">
        <v>8680</v>
      </c>
      <c r="E5669" s="90" t="s">
        <v>4720</v>
      </c>
      <c r="G5669" s="2">
        <v>1500</v>
      </c>
      <c r="I5669" s="88">
        <f t="shared" si="697"/>
        <v>27255.360000000001</v>
      </c>
      <c r="K5669" s="62"/>
      <c r="L5669" s="2">
        <f t="shared" si="695"/>
        <v>6</v>
      </c>
      <c r="M5669">
        <f t="shared" si="696"/>
        <v>0</v>
      </c>
      <c r="O5669" s="62"/>
      <c r="P5669" s="62"/>
    </row>
    <row r="5670" spans="1:16" x14ac:dyDescent="0.3">
      <c r="A5670" s="3">
        <f t="shared" si="694"/>
        <v>45855</v>
      </c>
      <c r="B5670" s="11" t="s">
        <v>1250</v>
      </c>
      <c r="C5670" s="50" t="s">
        <v>8681</v>
      </c>
      <c r="E5670" s="90" t="s">
        <v>4720</v>
      </c>
      <c r="G5670" s="2">
        <v>4200</v>
      </c>
      <c r="I5670" s="88">
        <f t="shared" si="697"/>
        <v>31455.360000000001</v>
      </c>
      <c r="K5670" s="62"/>
      <c r="L5670" s="2">
        <f t="shared" si="695"/>
        <v>16.8</v>
      </c>
      <c r="M5670">
        <f t="shared" si="696"/>
        <v>0</v>
      </c>
      <c r="O5670" s="62"/>
      <c r="P5670" s="62"/>
    </row>
    <row r="5671" spans="1:16" x14ac:dyDescent="0.3">
      <c r="A5671" s="3">
        <f t="shared" si="694"/>
        <v>45855</v>
      </c>
      <c r="B5671" s="11" t="s">
        <v>3232</v>
      </c>
      <c r="C5671" s="50" t="s">
        <v>8682</v>
      </c>
      <c r="E5671" s="90" t="s">
        <v>4720</v>
      </c>
      <c r="G5671" s="2">
        <v>5300</v>
      </c>
      <c r="I5671" s="88">
        <f t="shared" si="697"/>
        <v>36755.360000000001</v>
      </c>
      <c r="K5671" s="62"/>
      <c r="L5671" s="2">
        <f t="shared" si="695"/>
        <v>20</v>
      </c>
      <c r="M5671">
        <f t="shared" si="696"/>
        <v>0</v>
      </c>
      <c r="O5671" s="62"/>
      <c r="P5671" s="62"/>
    </row>
    <row r="5672" spans="1:16" x14ac:dyDescent="0.3">
      <c r="A5672" s="3">
        <f t="shared" si="694"/>
        <v>45855</v>
      </c>
      <c r="B5672" s="11" t="s">
        <v>7910</v>
      </c>
      <c r="C5672" s="50" t="s">
        <v>7911</v>
      </c>
      <c r="E5672" s="90" t="s">
        <v>2088</v>
      </c>
      <c r="G5672" s="2">
        <v>0</v>
      </c>
      <c r="H5672" s="2">
        <v>0</v>
      </c>
      <c r="I5672" s="88">
        <f t="shared" si="697"/>
        <v>36755.360000000001</v>
      </c>
      <c r="K5672" s="62"/>
      <c r="L5672" s="2">
        <f t="shared" si="695"/>
        <v>5</v>
      </c>
      <c r="M5672">
        <f t="shared" si="696"/>
        <v>5</v>
      </c>
      <c r="O5672" s="62"/>
      <c r="P5672" s="62"/>
    </row>
    <row r="5673" spans="1:16" x14ac:dyDescent="0.3">
      <c r="A5673" s="3">
        <f t="shared" si="694"/>
        <v>45855</v>
      </c>
      <c r="B5673" s="11" t="s">
        <v>8683</v>
      </c>
      <c r="C5673" s="50" t="s">
        <v>8684</v>
      </c>
      <c r="E5673" s="90" t="s">
        <v>16</v>
      </c>
      <c r="H5673" s="2">
        <v>500</v>
      </c>
      <c r="I5673" s="88">
        <f t="shared" si="697"/>
        <v>36255.360000000001</v>
      </c>
      <c r="K5673" s="62"/>
      <c r="L5673" s="2">
        <f t="shared" si="695"/>
        <v>17</v>
      </c>
      <c r="M5673">
        <f t="shared" si="696"/>
        <v>0</v>
      </c>
      <c r="O5673" s="62"/>
      <c r="P5673" s="62"/>
    </row>
    <row r="5674" spans="1:16" x14ac:dyDescent="0.3">
      <c r="A5674" s="3">
        <f t="shared" si="694"/>
        <v>45855</v>
      </c>
      <c r="B5674" s="11" t="s">
        <v>6906</v>
      </c>
      <c r="C5674" s="50" t="s">
        <v>8689</v>
      </c>
      <c r="E5674" s="90" t="s">
        <v>2088</v>
      </c>
      <c r="G5674" s="2">
        <v>6000</v>
      </c>
      <c r="I5674" s="88">
        <f t="shared" si="697"/>
        <v>42255.360000000001</v>
      </c>
      <c r="K5674" s="62"/>
      <c r="L5674" s="2">
        <f t="shared" si="695"/>
        <v>25</v>
      </c>
      <c r="M5674">
        <f t="shared" si="696"/>
        <v>5</v>
      </c>
      <c r="O5674" s="62"/>
      <c r="P5674" s="62"/>
    </row>
    <row r="5675" spans="1:16" x14ac:dyDescent="0.3">
      <c r="A5675" s="3">
        <f t="shared" si="694"/>
        <v>45855</v>
      </c>
      <c r="B5675" s="11" t="s">
        <v>1250</v>
      </c>
      <c r="C5675" s="50" t="s">
        <v>8690</v>
      </c>
      <c r="E5675" s="90" t="s">
        <v>4720</v>
      </c>
      <c r="G5675" s="2">
        <v>4000</v>
      </c>
      <c r="I5675" s="88">
        <f t="shared" si="697"/>
        <v>46255.360000000001</v>
      </c>
      <c r="K5675" s="62"/>
      <c r="L5675" s="2">
        <f t="shared" si="695"/>
        <v>16</v>
      </c>
      <c r="M5675">
        <f t="shared" si="696"/>
        <v>0</v>
      </c>
      <c r="O5675" s="62"/>
      <c r="P5675" s="62"/>
    </row>
    <row r="5676" spans="1:16" x14ac:dyDescent="0.3">
      <c r="A5676" s="3">
        <f t="shared" si="694"/>
        <v>45855</v>
      </c>
      <c r="B5676" s="11" t="s">
        <v>6522</v>
      </c>
      <c r="C5676" s="50" t="s">
        <v>8691</v>
      </c>
      <c r="E5676" s="90" t="s">
        <v>4720</v>
      </c>
      <c r="G5676" s="2">
        <v>3800</v>
      </c>
      <c r="I5676" s="88">
        <f t="shared" si="697"/>
        <v>50055.360000000001</v>
      </c>
      <c r="K5676" s="62"/>
      <c r="L5676" s="2">
        <f t="shared" si="695"/>
        <v>15.200000000000001</v>
      </c>
      <c r="M5676">
        <f t="shared" si="696"/>
        <v>0</v>
      </c>
      <c r="O5676" s="62"/>
      <c r="P5676" s="62"/>
    </row>
    <row r="5677" spans="1:16" s="108" customFormat="1" x14ac:dyDescent="0.3">
      <c r="A5677" s="3">
        <f t="shared" si="694"/>
        <v>45855</v>
      </c>
      <c r="B5677" s="176"/>
      <c r="C5677" s="50" t="s">
        <v>2857</v>
      </c>
      <c r="E5677" s="90" t="s">
        <v>8332</v>
      </c>
      <c r="F5677" s="4"/>
      <c r="G5677" s="2"/>
      <c r="H5677" s="2">
        <v>50000</v>
      </c>
      <c r="I5677" s="88">
        <f t="shared" si="697"/>
        <v>55.360000000000582</v>
      </c>
      <c r="L5677" s="2">
        <f t="shared" si="695"/>
        <v>0</v>
      </c>
      <c r="M5677">
        <f t="shared" si="696"/>
        <v>0</v>
      </c>
    </row>
    <row r="5678" spans="1:16" s="108" customFormat="1" x14ac:dyDescent="0.3">
      <c r="A5678" s="3">
        <f t="shared" si="694"/>
        <v>45855</v>
      </c>
      <c r="B5678" s="11" t="s">
        <v>1472</v>
      </c>
      <c r="C5678" s="50" t="s">
        <v>8026</v>
      </c>
      <c r="E5678" s="90" t="s">
        <v>4720</v>
      </c>
      <c r="F5678" s="4"/>
      <c r="G5678" s="2">
        <v>4000</v>
      </c>
      <c r="H5678" s="2"/>
      <c r="I5678" s="88">
        <f t="shared" si="697"/>
        <v>4055.3600000000006</v>
      </c>
      <c r="L5678" s="2">
        <f t="shared" si="695"/>
        <v>16</v>
      </c>
      <c r="M5678">
        <f t="shared" si="696"/>
        <v>0</v>
      </c>
    </row>
    <row r="5679" spans="1:16" s="108" customFormat="1" x14ac:dyDescent="0.3">
      <c r="A5679" s="3">
        <f t="shared" si="694"/>
        <v>45855</v>
      </c>
      <c r="B5679" s="11" t="s">
        <v>1472</v>
      </c>
      <c r="C5679" s="50" t="s">
        <v>8692</v>
      </c>
      <c r="E5679" s="90" t="s">
        <v>4720</v>
      </c>
      <c r="F5679" s="4"/>
      <c r="G5679" s="2">
        <v>1000</v>
      </c>
      <c r="H5679" s="2"/>
      <c r="I5679" s="88">
        <f t="shared" si="697"/>
        <v>5055.3600000000006</v>
      </c>
      <c r="L5679" s="2">
        <f t="shared" si="695"/>
        <v>4</v>
      </c>
      <c r="M5679">
        <f t="shared" si="696"/>
        <v>0</v>
      </c>
    </row>
    <row r="5680" spans="1:16" s="108" customFormat="1" x14ac:dyDescent="0.3">
      <c r="A5680" s="3">
        <f t="shared" si="694"/>
        <v>45855</v>
      </c>
      <c r="B5680" s="11" t="s">
        <v>1472</v>
      </c>
      <c r="C5680" s="50" t="s">
        <v>8693</v>
      </c>
      <c r="E5680" s="90" t="s">
        <v>4720</v>
      </c>
      <c r="F5680" s="4"/>
      <c r="G5680" s="2">
        <v>1000</v>
      </c>
      <c r="H5680" s="2"/>
      <c r="I5680" s="88">
        <f t="shared" si="697"/>
        <v>6055.3600000000006</v>
      </c>
      <c r="K5680"/>
      <c r="L5680" s="2">
        <f t="shared" si="695"/>
        <v>4</v>
      </c>
      <c r="M5680">
        <f t="shared" si="696"/>
        <v>0</v>
      </c>
    </row>
    <row r="5681" spans="1:13" s="108" customFormat="1" x14ac:dyDescent="0.3">
      <c r="A5681" s="3">
        <f t="shared" si="694"/>
        <v>45855</v>
      </c>
      <c r="B5681" s="176">
        <v>1141</v>
      </c>
      <c r="C5681" s="50" t="s">
        <v>2295</v>
      </c>
      <c r="E5681" s="90" t="s">
        <v>4720</v>
      </c>
      <c r="F5681" s="4"/>
      <c r="G5681" s="2">
        <v>9000</v>
      </c>
      <c r="H5681" s="2"/>
      <c r="I5681" s="88">
        <f t="shared" si="697"/>
        <v>15055.36</v>
      </c>
      <c r="L5681" s="2">
        <f t="shared" si="695"/>
        <v>20</v>
      </c>
      <c r="M5681">
        <f t="shared" si="696"/>
        <v>0</v>
      </c>
    </row>
    <row r="5682" spans="1:13" s="108" customFormat="1" x14ac:dyDescent="0.3">
      <c r="A5682" s="3">
        <f t="shared" si="694"/>
        <v>45855</v>
      </c>
      <c r="B5682" s="176">
        <v>6923</v>
      </c>
      <c r="C5682" s="50" t="s">
        <v>8338</v>
      </c>
      <c r="E5682" s="90" t="s">
        <v>4720</v>
      </c>
      <c r="F5682" s="4"/>
      <c r="G5682" s="2">
        <v>10000</v>
      </c>
      <c r="H5682" s="2"/>
      <c r="I5682" s="88">
        <f t="shared" si="697"/>
        <v>25055.360000000001</v>
      </c>
      <c r="L5682" s="2">
        <f t="shared" si="695"/>
        <v>20</v>
      </c>
      <c r="M5682">
        <f t="shared" si="696"/>
        <v>0</v>
      </c>
    </row>
    <row r="5683" spans="1:13" s="108" customFormat="1" x14ac:dyDescent="0.3">
      <c r="A5683" s="3">
        <f t="shared" si="694"/>
        <v>45855</v>
      </c>
      <c r="B5683" s="176">
        <v>2317</v>
      </c>
      <c r="C5683" s="50" t="s">
        <v>8694</v>
      </c>
      <c r="E5683" s="90" t="s">
        <v>2088</v>
      </c>
      <c r="F5683" s="4"/>
      <c r="G5683" s="2">
        <v>4000</v>
      </c>
      <c r="H5683" s="2"/>
      <c r="I5683" s="88">
        <f t="shared" si="697"/>
        <v>29055.360000000001</v>
      </c>
      <c r="L5683" s="2">
        <f t="shared" si="695"/>
        <v>21</v>
      </c>
      <c r="M5683">
        <f t="shared" si="696"/>
        <v>5</v>
      </c>
    </row>
    <row r="5684" spans="1:13" s="108" customFormat="1" x14ac:dyDescent="0.3">
      <c r="A5684" s="3">
        <v>45856</v>
      </c>
      <c r="B5684" s="11">
        <v>5138</v>
      </c>
      <c r="C5684" s="50" t="s">
        <v>5721</v>
      </c>
      <c r="E5684" s="90" t="s">
        <v>4720</v>
      </c>
      <c r="F5684" s="4"/>
      <c r="G5684" s="2">
        <v>1500</v>
      </c>
      <c r="H5684" s="2"/>
      <c r="I5684" s="88">
        <f t="shared" si="697"/>
        <v>30555.360000000001</v>
      </c>
      <c r="L5684" s="2">
        <f t="shared" si="695"/>
        <v>6</v>
      </c>
      <c r="M5684">
        <f t="shared" si="696"/>
        <v>0</v>
      </c>
    </row>
    <row r="5685" spans="1:13" s="108" customFormat="1" x14ac:dyDescent="0.3">
      <c r="A5685" s="3">
        <f t="shared" si="694"/>
        <v>45856</v>
      </c>
      <c r="B5685" s="11">
        <v>5260</v>
      </c>
      <c r="C5685" s="50" t="s">
        <v>8695</v>
      </c>
      <c r="E5685" s="90" t="s">
        <v>4720</v>
      </c>
      <c r="F5685" s="4"/>
      <c r="G5685" s="2">
        <v>1500</v>
      </c>
      <c r="H5685" s="2"/>
      <c r="I5685" s="88">
        <f t="shared" si="697"/>
        <v>32055.360000000001</v>
      </c>
      <c r="L5685" s="2">
        <f t="shared" si="695"/>
        <v>6</v>
      </c>
      <c r="M5685">
        <f t="shared" si="696"/>
        <v>0</v>
      </c>
    </row>
    <row r="5686" spans="1:13" s="108" customFormat="1" x14ac:dyDescent="0.3">
      <c r="A5686" s="3">
        <f t="shared" si="694"/>
        <v>45856</v>
      </c>
      <c r="B5686" s="11">
        <v>1596</v>
      </c>
      <c r="C5686" s="50" t="s">
        <v>8696</v>
      </c>
      <c r="E5686" s="90" t="s">
        <v>2088</v>
      </c>
      <c r="F5686" s="4"/>
      <c r="G5686" s="2">
        <v>10000</v>
      </c>
      <c r="H5686" s="2"/>
      <c r="I5686" s="88">
        <f t="shared" si="697"/>
        <v>42055.360000000001</v>
      </c>
      <c r="L5686" s="2">
        <f t="shared" si="695"/>
        <v>25</v>
      </c>
      <c r="M5686">
        <f t="shared" si="696"/>
        <v>5</v>
      </c>
    </row>
    <row r="5687" spans="1:13" s="108" customFormat="1" x14ac:dyDescent="0.3">
      <c r="A5687" s="3">
        <f t="shared" si="694"/>
        <v>45856</v>
      </c>
      <c r="B5687" s="176">
        <v>5474</v>
      </c>
      <c r="C5687" s="50" t="s">
        <v>5189</v>
      </c>
      <c r="E5687" s="90" t="s">
        <v>2088</v>
      </c>
      <c r="F5687" s="4"/>
      <c r="G5687" s="2">
        <v>7000</v>
      </c>
      <c r="H5687" s="2"/>
      <c r="I5687" s="88">
        <f t="shared" si="697"/>
        <v>49055.360000000001</v>
      </c>
      <c r="L5687" s="2">
        <f t="shared" si="695"/>
        <v>25</v>
      </c>
      <c r="M5687">
        <f t="shared" si="696"/>
        <v>5</v>
      </c>
    </row>
    <row r="5688" spans="1:13" s="108" customFormat="1" x14ac:dyDescent="0.3">
      <c r="A5688" s="3">
        <f t="shared" si="694"/>
        <v>45856</v>
      </c>
      <c r="B5688" s="11">
        <v>4164</v>
      </c>
      <c r="C5688" s="50" t="s">
        <v>2274</v>
      </c>
      <c r="E5688" s="90" t="s">
        <v>4720</v>
      </c>
      <c r="F5688" s="4"/>
      <c r="G5688" s="2"/>
      <c r="H5688" s="2">
        <v>9000</v>
      </c>
      <c r="I5688" s="88">
        <f t="shared" si="697"/>
        <v>40055.360000000001</v>
      </c>
      <c r="L5688" s="2">
        <f t="shared" si="695"/>
        <v>20</v>
      </c>
      <c r="M5688">
        <f t="shared" si="696"/>
        <v>0</v>
      </c>
    </row>
    <row r="5689" spans="1:13" s="108" customFormat="1" x14ac:dyDescent="0.3">
      <c r="A5689" s="3">
        <f t="shared" si="694"/>
        <v>45856</v>
      </c>
      <c r="B5689" s="176" t="s">
        <v>1250</v>
      </c>
      <c r="C5689" s="50" t="s">
        <v>8697</v>
      </c>
      <c r="E5689" s="90" t="s">
        <v>4720</v>
      </c>
      <c r="F5689" s="4"/>
      <c r="G5689" s="2">
        <v>2500</v>
      </c>
      <c r="H5689" s="2"/>
      <c r="I5689" s="88">
        <f t="shared" si="697"/>
        <v>42555.360000000001</v>
      </c>
      <c r="L5689" s="2">
        <f t="shared" si="695"/>
        <v>10</v>
      </c>
      <c r="M5689">
        <f t="shared" si="696"/>
        <v>0</v>
      </c>
    </row>
    <row r="5690" spans="1:13" s="108" customFormat="1" x14ac:dyDescent="0.3">
      <c r="A5690" s="3">
        <f t="shared" si="694"/>
        <v>45856</v>
      </c>
      <c r="B5690" s="11">
        <v>5386</v>
      </c>
      <c r="C5690" s="50" t="s">
        <v>5806</v>
      </c>
      <c r="E5690" s="90" t="s">
        <v>4720</v>
      </c>
      <c r="F5690" s="4"/>
      <c r="G5690" s="2">
        <v>1500</v>
      </c>
      <c r="H5690" s="2"/>
      <c r="I5690" s="88">
        <f t="shared" si="697"/>
        <v>44055.360000000001</v>
      </c>
      <c r="L5690" s="2">
        <f t="shared" si="695"/>
        <v>6</v>
      </c>
      <c r="M5690">
        <f t="shared" si="696"/>
        <v>0</v>
      </c>
    </row>
    <row r="5691" spans="1:13" s="108" customFormat="1" x14ac:dyDescent="0.3">
      <c r="A5691" s="3">
        <f t="shared" si="694"/>
        <v>45856</v>
      </c>
      <c r="B5691" s="11">
        <v>1770</v>
      </c>
      <c r="C5691" s="50" t="s">
        <v>8698</v>
      </c>
      <c r="E5691" s="90" t="s">
        <v>4720</v>
      </c>
      <c r="F5691" s="4"/>
      <c r="G5691" s="2">
        <v>100</v>
      </c>
      <c r="H5691" s="2"/>
      <c r="I5691" s="88">
        <f t="shared" ref="I5691:I5705" si="698">I5690+G5691-H5691</f>
        <v>44155.360000000001</v>
      </c>
      <c r="L5691" s="2">
        <f t="shared" ref="L5691:L5705" si="699">IF(E5691="C",0,IF((G5691+H5691)&lt;=5000,(G5691+H5691)*0.004,20)+IF(E5691="P",5,IF(E5691="Y",15,IF(E5691="YY",25))))</f>
        <v>0.4</v>
      </c>
      <c r="M5691">
        <f t="shared" ref="M5691:M5705" si="700">IF(E5691="p",5,0)</f>
        <v>0</v>
      </c>
    </row>
    <row r="5692" spans="1:13" s="108" customFormat="1" x14ac:dyDescent="0.3">
      <c r="A5692" s="3">
        <f t="shared" si="694"/>
        <v>45856</v>
      </c>
      <c r="B5692" s="11">
        <v>6062</v>
      </c>
      <c r="C5692" s="50" t="s">
        <v>8662</v>
      </c>
      <c r="E5692" s="90" t="s">
        <v>2088</v>
      </c>
      <c r="F5692" s="4"/>
      <c r="G5692" s="2">
        <v>0</v>
      </c>
      <c r="H5692" s="2">
        <v>0</v>
      </c>
      <c r="I5692" s="88">
        <f t="shared" si="698"/>
        <v>44155.360000000001</v>
      </c>
      <c r="L5692" s="2">
        <f t="shared" si="699"/>
        <v>5</v>
      </c>
      <c r="M5692">
        <f t="shared" si="700"/>
        <v>5</v>
      </c>
    </row>
    <row r="5693" spans="1:13" s="108" customFormat="1" x14ac:dyDescent="0.3">
      <c r="A5693" s="3">
        <f t="shared" si="694"/>
        <v>45856</v>
      </c>
      <c r="B5693" s="11">
        <v>1290</v>
      </c>
      <c r="C5693" s="50" t="s">
        <v>3941</v>
      </c>
      <c r="E5693" s="90" t="s">
        <v>2088</v>
      </c>
      <c r="F5693" s="4"/>
      <c r="G5693" s="2">
        <v>0</v>
      </c>
      <c r="H5693" s="2">
        <v>0</v>
      </c>
      <c r="I5693" s="88">
        <f t="shared" si="698"/>
        <v>44155.360000000001</v>
      </c>
      <c r="L5693" s="2">
        <f t="shared" si="699"/>
        <v>5</v>
      </c>
      <c r="M5693">
        <f t="shared" si="700"/>
        <v>5</v>
      </c>
    </row>
    <row r="5694" spans="1:13" s="108" customFormat="1" x14ac:dyDescent="0.3">
      <c r="A5694" s="3">
        <v>45857</v>
      </c>
      <c r="B5694" s="176">
        <v>2539</v>
      </c>
      <c r="C5694" s="50" t="s">
        <v>8699</v>
      </c>
      <c r="E5694" s="90" t="s">
        <v>2088</v>
      </c>
      <c r="F5694" s="4"/>
      <c r="G5694" s="2">
        <v>4000</v>
      </c>
      <c r="H5694" s="2"/>
      <c r="I5694" s="88">
        <f t="shared" si="698"/>
        <v>48155.360000000001</v>
      </c>
      <c r="L5694" s="2">
        <f t="shared" si="699"/>
        <v>21</v>
      </c>
      <c r="M5694">
        <f t="shared" si="700"/>
        <v>5</v>
      </c>
    </row>
    <row r="5695" spans="1:13" s="108" customFormat="1" x14ac:dyDescent="0.3">
      <c r="A5695" s="3">
        <f t="shared" si="694"/>
        <v>45857</v>
      </c>
      <c r="B5695" s="11">
        <v>1883</v>
      </c>
      <c r="C5695" s="50" t="s">
        <v>449</v>
      </c>
      <c r="E5695" s="90" t="s">
        <v>2088</v>
      </c>
      <c r="F5695" s="4"/>
      <c r="G5695" s="2">
        <v>2500</v>
      </c>
      <c r="H5695" s="2"/>
      <c r="I5695" s="88">
        <f t="shared" si="698"/>
        <v>50655.360000000001</v>
      </c>
      <c r="L5695" s="2">
        <f t="shared" si="699"/>
        <v>15</v>
      </c>
      <c r="M5695">
        <f t="shared" si="700"/>
        <v>5</v>
      </c>
    </row>
    <row r="5696" spans="1:13" s="108" customFormat="1" x14ac:dyDescent="0.3">
      <c r="A5696" s="3">
        <f t="shared" si="694"/>
        <v>45857</v>
      </c>
      <c r="B5696" s="176" t="s">
        <v>1160</v>
      </c>
      <c r="C5696" s="50" t="s">
        <v>8358</v>
      </c>
      <c r="E5696" s="90" t="s">
        <v>4720</v>
      </c>
      <c r="F5696" s="4"/>
      <c r="G5696" s="2">
        <v>500</v>
      </c>
      <c r="H5696" s="2"/>
      <c r="I5696" s="88">
        <f t="shared" si="698"/>
        <v>51155.360000000001</v>
      </c>
      <c r="L5696" s="2">
        <f t="shared" si="699"/>
        <v>2</v>
      </c>
      <c r="M5696">
        <f t="shared" si="700"/>
        <v>0</v>
      </c>
    </row>
    <row r="5697" spans="1:13" s="108" customFormat="1" x14ac:dyDescent="0.3">
      <c r="A5697" s="3">
        <f t="shared" si="694"/>
        <v>45857</v>
      </c>
      <c r="B5697" s="176" t="s">
        <v>1250</v>
      </c>
      <c r="C5697" s="50" t="s">
        <v>2443</v>
      </c>
      <c r="E5697" s="90" t="s">
        <v>4720</v>
      </c>
      <c r="F5697" s="4"/>
      <c r="G5697" s="2">
        <v>800</v>
      </c>
      <c r="H5697" s="2"/>
      <c r="I5697" s="88">
        <f t="shared" si="698"/>
        <v>51955.360000000001</v>
      </c>
      <c r="L5697" s="2">
        <f t="shared" si="699"/>
        <v>3.2</v>
      </c>
      <c r="M5697">
        <f t="shared" si="700"/>
        <v>0</v>
      </c>
    </row>
    <row r="5698" spans="1:13" s="108" customFormat="1" x14ac:dyDescent="0.3">
      <c r="A5698" s="3">
        <f t="shared" si="694"/>
        <v>45857</v>
      </c>
      <c r="B5698" s="176" t="s">
        <v>3232</v>
      </c>
      <c r="C5698" s="50" t="s">
        <v>8700</v>
      </c>
      <c r="E5698" s="90" t="s">
        <v>4720</v>
      </c>
      <c r="F5698" s="4"/>
      <c r="G5698" s="2">
        <v>8000</v>
      </c>
      <c r="H5698" s="2"/>
      <c r="I5698" s="88">
        <f t="shared" si="698"/>
        <v>59955.360000000001</v>
      </c>
      <c r="L5698" s="2">
        <f t="shared" si="699"/>
        <v>20</v>
      </c>
      <c r="M5698">
        <f t="shared" si="700"/>
        <v>0</v>
      </c>
    </row>
    <row r="5699" spans="1:13" s="108" customFormat="1" x14ac:dyDescent="0.3">
      <c r="A5699" s="3">
        <f t="shared" ref="A5699:A5762" si="701">A5698</f>
        <v>45857</v>
      </c>
      <c r="B5699" s="176"/>
      <c r="C5699" s="50" t="s">
        <v>2857</v>
      </c>
      <c r="E5699" s="90" t="s">
        <v>8332</v>
      </c>
      <c r="F5699" s="4"/>
      <c r="G5699" s="2"/>
      <c r="H5699" s="2">
        <v>55000</v>
      </c>
      <c r="I5699" s="88">
        <f t="shared" si="698"/>
        <v>4955.3600000000006</v>
      </c>
      <c r="L5699" s="2">
        <f t="shared" si="699"/>
        <v>0</v>
      </c>
      <c r="M5699">
        <f t="shared" si="700"/>
        <v>0</v>
      </c>
    </row>
    <row r="5700" spans="1:13" s="108" customFormat="1" x14ac:dyDescent="0.3">
      <c r="A5700" s="3">
        <f t="shared" si="701"/>
        <v>45857</v>
      </c>
      <c r="B5700" s="176">
        <v>5222</v>
      </c>
      <c r="C5700" s="50" t="s">
        <v>7544</v>
      </c>
      <c r="E5700" s="90" t="s">
        <v>4720</v>
      </c>
      <c r="F5700" s="4"/>
      <c r="G5700" s="2"/>
      <c r="H5700" s="2">
        <v>2600</v>
      </c>
      <c r="I5700" s="88">
        <f t="shared" si="698"/>
        <v>2355.3600000000006</v>
      </c>
      <c r="L5700" s="2">
        <f t="shared" si="699"/>
        <v>10.4</v>
      </c>
      <c r="M5700">
        <f t="shared" si="700"/>
        <v>0</v>
      </c>
    </row>
    <row r="5701" spans="1:13" s="108" customFormat="1" x14ac:dyDescent="0.3">
      <c r="A5701" s="3">
        <f t="shared" si="701"/>
        <v>45857</v>
      </c>
      <c r="B5701" s="11" t="s">
        <v>1250</v>
      </c>
      <c r="C5701" s="50" t="s">
        <v>8338</v>
      </c>
      <c r="E5701" s="90" t="s">
        <v>4720</v>
      </c>
      <c r="F5701" s="4"/>
      <c r="G5701" s="2">
        <v>4100</v>
      </c>
      <c r="H5701" s="2"/>
      <c r="I5701" s="88">
        <f t="shared" si="698"/>
        <v>6455.3600000000006</v>
      </c>
      <c r="L5701" s="2">
        <f t="shared" si="699"/>
        <v>16.399999999999999</v>
      </c>
      <c r="M5701">
        <f t="shared" si="700"/>
        <v>0</v>
      </c>
    </row>
    <row r="5702" spans="1:13" s="108" customFormat="1" x14ac:dyDescent="0.3">
      <c r="A5702" s="3">
        <f t="shared" si="701"/>
        <v>45857</v>
      </c>
      <c r="B5702" s="11" t="s">
        <v>1250</v>
      </c>
      <c r="C5702" s="50" t="s">
        <v>7459</v>
      </c>
      <c r="E5702" s="90" t="s">
        <v>4720</v>
      </c>
      <c r="F5702" s="4"/>
      <c r="G5702" s="2">
        <v>2500</v>
      </c>
      <c r="H5702" s="2"/>
      <c r="I5702" s="88">
        <f t="shared" si="698"/>
        <v>8955.36</v>
      </c>
      <c r="L5702" s="2">
        <f t="shared" si="699"/>
        <v>10</v>
      </c>
      <c r="M5702">
        <f t="shared" si="700"/>
        <v>0</v>
      </c>
    </row>
    <row r="5703" spans="1:13" s="108" customFormat="1" x14ac:dyDescent="0.3">
      <c r="A5703" s="3">
        <v>45858</v>
      </c>
      <c r="B5703" s="176" t="s">
        <v>1160</v>
      </c>
      <c r="C5703" s="50" t="s">
        <v>8701</v>
      </c>
      <c r="E5703" s="90" t="s">
        <v>4720</v>
      </c>
      <c r="F5703" s="4"/>
      <c r="G5703" s="2">
        <v>500</v>
      </c>
      <c r="H5703" s="2"/>
      <c r="I5703" s="88">
        <f t="shared" si="698"/>
        <v>9455.36</v>
      </c>
      <c r="L5703" s="2">
        <f t="shared" si="699"/>
        <v>2</v>
      </c>
      <c r="M5703">
        <f t="shared" si="700"/>
        <v>0</v>
      </c>
    </row>
    <row r="5704" spans="1:13" s="108" customFormat="1" x14ac:dyDescent="0.3">
      <c r="A5704" s="3">
        <f t="shared" si="701"/>
        <v>45858</v>
      </c>
      <c r="B5704" s="11" t="s">
        <v>1160</v>
      </c>
      <c r="C5704" s="50" t="s">
        <v>8702</v>
      </c>
      <c r="E5704" s="90" t="s">
        <v>4720</v>
      </c>
      <c r="F5704" s="4"/>
      <c r="G5704" s="2">
        <v>3900</v>
      </c>
      <c r="H5704" s="2"/>
      <c r="I5704" s="88">
        <f t="shared" si="698"/>
        <v>13355.36</v>
      </c>
      <c r="L5704" s="2">
        <f t="shared" si="699"/>
        <v>15.6</v>
      </c>
      <c r="M5704">
        <f t="shared" si="700"/>
        <v>0</v>
      </c>
    </row>
    <row r="5705" spans="1:13" s="108" customFormat="1" x14ac:dyDescent="0.3">
      <c r="A5705" s="3">
        <f t="shared" si="701"/>
        <v>45858</v>
      </c>
      <c r="B5705" s="176">
        <v>110</v>
      </c>
      <c r="C5705" s="50" t="s">
        <v>8632</v>
      </c>
      <c r="E5705" s="90" t="s">
        <v>4720</v>
      </c>
      <c r="F5705" s="4"/>
      <c r="G5705" s="2">
        <v>900</v>
      </c>
      <c r="H5705" s="2"/>
      <c r="I5705" s="88">
        <f t="shared" si="698"/>
        <v>14255.36</v>
      </c>
      <c r="L5705" s="2">
        <f t="shared" si="699"/>
        <v>3.6</v>
      </c>
      <c r="M5705">
        <f t="shared" si="700"/>
        <v>0</v>
      </c>
    </row>
    <row r="5706" spans="1:13" s="108" customFormat="1" x14ac:dyDescent="0.3">
      <c r="A5706" s="3">
        <f t="shared" si="701"/>
        <v>45858</v>
      </c>
      <c r="B5706" s="176" t="s">
        <v>1250</v>
      </c>
      <c r="C5706" s="50" t="s">
        <v>8703</v>
      </c>
      <c r="E5706" s="90" t="s">
        <v>4720</v>
      </c>
      <c r="F5706" s="4"/>
      <c r="G5706" s="2">
        <v>1500</v>
      </c>
      <c r="H5706" s="2"/>
      <c r="I5706" s="88">
        <f t="shared" ref="I5706:I5716" si="702">I5705+G5706-H5706</f>
        <v>15755.36</v>
      </c>
      <c r="L5706" s="2">
        <f t="shared" ref="L5706:L5716" si="703">IF(E5706="C",0,IF((G5706+H5706)&lt;=5000,(G5706+H5706)*0.004,20)+IF(E5706="P",5,IF(E5706="Y",15,IF(E5706="YY",25))))</f>
        <v>6</v>
      </c>
      <c r="M5706">
        <f t="shared" ref="M5706:M5716" si="704">IF(E5706="p",5,0)</f>
        <v>0</v>
      </c>
    </row>
    <row r="5707" spans="1:13" s="108" customFormat="1" x14ac:dyDescent="0.3">
      <c r="A5707" s="3">
        <v>45859</v>
      </c>
      <c r="B5707" s="176">
        <v>4864</v>
      </c>
      <c r="C5707" s="50" t="s">
        <v>3370</v>
      </c>
      <c r="E5707" s="90" t="s">
        <v>2088</v>
      </c>
      <c r="F5707" s="4"/>
      <c r="G5707" s="2"/>
      <c r="H5707" s="2">
        <v>1500</v>
      </c>
      <c r="I5707" s="88">
        <f t="shared" si="702"/>
        <v>14255.36</v>
      </c>
      <c r="L5707" s="2">
        <f t="shared" si="703"/>
        <v>11</v>
      </c>
      <c r="M5707">
        <f t="shared" si="704"/>
        <v>5</v>
      </c>
    </row>
    <row r="5708" spans="1:13" s="108" customFormat="1" x14ac:dyDescent="0.3">
      <c r="A5708" s="3">
        <f t="shared" si="701"/>
        <v>45859</v>
      </c>
      <c r="B5708" s="176" t="s">
        <v>1250</v>
      </c>
      <c r="C5708" s="50" t="s">
        <v>8704</v>
      </c>
      <c r="E5708" s="90" t="s">
        <v>4720</v>
      </c>
      <c r="F5708" s="4"/>
      <c r="G5708" s="2">
        <v>3300</v>
      </c>
      <c r="H5708" s="2"/>
      <c r="I5708" s="88">
        <f t="shared" si="702"/>
        <v>17555.36</v>
      </c>
      <c r="L5708" s="2">
        <f t="shared" si="703"/>
        <v>13.200000000000001</v>
      </c>
      <c r="M5708">
        <f t="shared" si="704"/>
        <v>0</v>
      </c>
    </row>
    <row r="5709" spans="1:13" s="108" customFormat="1" x14ac:dyDescent="0.3">
      <c r="A5709" s="3">
        <f t="shared" si="701"/>
        <v>45859</v>
      </c>
      <c r="B5709" s="176" t="s">
        <v>3232</v>
      </c>
      <c r="C5709" s="50" t="s">
        <v>8705</v>
      </c>
      <c r="E5709" s="90" t="s">
        <v>4720</v>
      </c>
      <c r="F5709" s="4"/>
      <c r="G5709" s="2">
        <v>450</v>
      </c>
      <c r="H5709" s="2"/>
      <c r="I5709" s="88">
        <f t="shared" si="702"/>
        <v>18005.36</v>
      </c>
      <c r="L5709" s="2">
        <f t="shared" si="703"/>
        <v>1.8</v>
      </c>
      <c r="M5709">
        <f t="shared" si="704"/>
        <v>0</v>
      </c>
    </row>
    <row r="5710" spans="1:13" s="108" customFormat="1" x14ac:dyDescent="0.3">
      <c r="A5710" s="3">
        <f t="shared" si="701"/>
        <v>45859</v>
      </c>
      <c r="B5710" s="176" t="s">
        <v>1250</v>
      </c>
      <c r="C5710" s="50" t="s">
        <v>8706</v>
      </c>
      <c r="E5710" s="90" t="s">
        <v>4720</v>
      </c>
      <c r="F5710" s="4"/>
      <c r="G5710" s="2"/>
      <c r="H5710" s="2">
        <v>2000</v>
      </c>
      <c r="I5710" s="88">
        <f t="shared" si="702"/>
        <v>16005.36</v>
      </c>
      <c r="L5710" s="2">
        <f t="shared" si="703"/>
        <v>8</v>
      </c>
      <c r="M5710">
        <f t="shared" si="704"/>
        <v>0</v>
      </c>
    </row>
    <row r="5711" spans="1:13" s="108" customFormat="1" x14ac:dyDescent="0.3">
      <c r="A5711" s="3">
        <f t="shared" si="701"/>
        <v>45859</v>
      </c>
      <c r="B5711" s="176" t="s">
        <v>6260</v>
      </c>
      <c r="C5711" s="50" t="s">
        <v>8558</v>
      </c>
      <c r="E5711" s="90" t="s">
        <v>4720</v>
      </c>
      <c r="F5711" s="4"/>
      <c r="G5711" s="2"/>
      <c r="H5711" s="2">
        <v>4000</v>
      </c>
      <c r="I5711" s="88">
        <f t="shared" si="702"/>
        <v>12005.36</v>
      </c>
      <c r="L5711" s="2">
        <f t="shared" si="703"/>
        <v>16</v>
      </c>
      <c r="M5711">
        <f t="shared" si="704"/>
        <v>0</v>
      </c>
    </row>
    <row r="5712" spans="1:13" s="108" customFormat="1" x14ac:dyDescent="0.3">
      <c r="A5712" s="3">
        <f t="shared" si="701"/>
        <v>45859</v>
      </c>
      <c r="B5712" s="176">
        <v>5983</v>
      </c>
      <c r="C5712" s="50" t="s">
        <v>8621</v>
      </c>
      <c r="E5712" s="90" t="s">
        <v>4720</v>
      </c>
      <c r="F5712" s="4"/>
      <c r="G5712" s="2">
        <v>1500</v>
      </c>
      <c r="H5712" s="2"/>
      <c r="I5712" s="88">
        <f t="shared" si="702"/>
        <v>13505.36</v>
      </c>
      <c r="L5712" s="2">
        <f t="shared" si="703"/>
        <v>6</v>
      </c>
      <c r="M5712">
        <f t="shared" si="704"/>
        <v>0</v>
      </c>
    </row>
    <row r="5713" spans="1:13" s="108" customFormat="1" x14ac:dyDescent="0.3">
      <c r="A5713" s="3">
        <f t="shared" si="701"/>
        <v>45859</v>
      </c>
      <c r="B5713" s="176" t="s">
        <v>8707</v>
      </c>
      <c r="C5713" s="50" t="s">
        <v>8708</v>
      </c>
      <c r="E5713" s="90" t="s">
        <v>4720</v>
      </c>
      <c r="F5713" s="4"/>
      <c r="G5713" s="2">
        <v>10000</v>
      </c>
      <c r="H5713" s="2"/>
      <c r="I5713" s="88">
        <f t="shared" si="702"/>
        <v>23505.360000000001</v>
      </c>
      <c r="L5713" s="2">
        <f t="shared" si="703"/>
        <v>20</v>
      </c>
      <c r="M5713">
        <f t="shared" si="704"/>
        <v>0</v>
      </c>
    </row>
    <row r="5714" spans="1:13" s="108" customFormat="1" x14ac:dyDescent="0.3">
      <c r="A5714" s="3">
        <f t="shared" si="701"/>
        <v>45859</v>
      </c>
      <c r="B5714" s="176">
        <v>17502</v>
      </c>
      <c r="C5714" s="50" t="s">
        <v>8709</v>
      </c>
      <c r="E5714" s="90" t="s">
        <v>4720</v>
      </c>
      <c r="F5714" s="4"/>
      <c r="G5714" s="2">
        <v>3000</v>
      </c>
      <c r="H5714" s="2"/>
      <c r="I5714" s="88">
        <f t="shared" si="702"/>
        <v>26505.360000000001</v>
      </c>
      <c r="L5714" s="2">
        <f t="shared" si="703"/>
        <v>12</v>
      </c>
      <c r="M5714">
        <f t="shared" si="704"/>
        <v>0</v>
      </c>
    </row>
    <row r="5715" spans="1:13" s="108" customFormat="1" x14ac:dyDescent="0.3">
      <c r="A5715" s="3">
        <f t="shared" si="701"/>
        <v>45859</v>
      </c>
      <c r="B5715" s="176">
        <v>1115</v>
      </c>
      <c r="C5715" s="50" t="s">
        <v>1388</v>
      </c>
      <c r="E5715" s="90" t="s">
        <v>2088</v>
      </c>
      <c r="F5715" s="4"/>
      <c r="G5715" s="2">
        <v>0</v>
      </c>
      <c r="H5715" s="2">
        <v>0</v>
      </c>
      <c r="I5715" s="88">
        <f t="shared" si="702"/>
        <v>26505.360000000001</v>
      </c>
      <c r="L5715" s="2">
        <f t="shared" si="703"/>
        <v>5</v>
      </c>
      <c r="M5715">
        <f t="shared" si="704"/>
        <v>5</v>
      </c>
    </row>
    <row r="5716" spans="1:13" s="108" customFormat="1" x14ac:dyDescent="0.3">
      <c r="A5716" s="3">
        <f t="shared" si="701"/>
        <v>45859</v>
      </c>
      <c r="B5716" s="176">
        <v>6063</v>
      </c>
      <c r="C5716" s="50" t="s">
        <v>8684</v>
      </c>
      <c r="E5716" s="90" t="s">
        <v>2088</v>
      </c>
      <c r="F5716" s="4"/>
      <c r="G5716" s="2">
        <v>0</v>
      </c>
      <c r="H5716" s="2">
        <v>0</v>
      </c>
      <c r="I5716" s="88">
        <f t="shared" si="702"/>
        <v>26505.360000000001</v>
      </c>
      <c r="L5716" s="2">
        <f t="shared" si="703"/>
        <v>5</v>
      </c>
      <c r="M5716">
        <f t="shared" si="704"/>
        <v>5</v>
      </c>
    </row>
    <row r="5717" spans="1:13" s="108" customFormat="1" x14ac:dyDescent="0.3">
      <c r="A5717" s="3">
        <f t="shared" si="701"/>
        <v>45859</v>
      </c>
      <c r="B5717" s="176">
        <v>4164</v>
      </c>
      <c r="C5717" s="50" t="s">
        <v>2274</v>
      </c>
      <c r="E5717" s="90"/>
      <c r="F5717" s="4"/>
      <c r="G5717" s="2"/>
      <c r="H5717" s="2">
        <v>8000</v>
      </c>
      <c r="I5717" s="88">
        <f t="shared" ref="I5717:I5737" si="705">I5716+G5717-H5717</f>
        <v>18505.36</v>
      </c>
      <c r="L5717" s="2">
        <f t="shared" ref="L5717:L5734" si="706">IF(E5717="C",0,IF((G5717+H5717)&lt;=5000,(G5717+H5717)*0.004,20)+IF(E5717="P",5,IF(E5717="Y",15,IF(E5717="YY",25))))</f>
        <v>20</v>
      </c>
      <c r="M5717">
        <f t="shared" ref="M5717:M5734" si="707">IF(E5717="p",5,0)</f>
        <v>0</v>
      </c>
    </row>
    <row r="5718" spans="1:13" s="108" customFormat="1" x14ac:dyDescent="0.3">
      <c r="A5718" s="3">
        <v>45860</v>
      </c>
      <c r="B5718" s="176">
        <v>5871</v>
      </c>
      <c r="C5718" s="50" t="s">
        <v>7240</v>
      </c>
      <c r="E5718" s="90" t="s">
        <v>2088</v>
      </c>
      <c r="F5718" s="4"/>
      <c r="G5718" s="2">
        <v>0</v>
      </c>
      <c r="H5718" s="2">
        <v>0</v>
      </c>
      <c r="I5718" s="88">
        <f t="shared" si="705"/>
        <v>18505.36</v>
      </c>
      <c r="L5718" s="2">
        <f t="shared" si="706"/>
        <v>5</v>
      </c>
      <c r="M5718">
        <f t="shared" si="707"/>
        <v>5</v>
      </c>
    </row>
    <row r="5719" spans="1:13" s="108" customFormat="1" x14ac:dyDescent="0.3">
      <c r="A5719" s="3">
        <f t="shared" si="701"/>
        <v>45860</v>
      </c>
      <c r="B5719" s="176">
        <v>1569</v>
      </c>
      <c r="C5719" s="50" t="s">
        <v>7395</v>
      </c>
      <c r="E5719" s="90" t="s">
        <v>2088</v>
      </c>
      <c r="F5719" s="4"/>
      <c r="G5719" s="2">
        <v>3000</v>
      </c>
      <c r="H5719" s="2"/>
      <c r="I5719" s="88">
        <f t="shared" si="705"/>
        <v>21505.360000000001</v>
      </c>
      <c r="L5719" s="2">
        <f t="shared" si="706"/>
        <v>17</v>
      </c>
      <c r="M5719">
        <f t="shared" si="707"/>
        <v>5</v>
      </c>
    </row>
    <row r="5720" spans="1:13" s="108" customFormat="1" x14ac:dyDescent="0.3">
      <c r="A5720" s="3">
        <f t="shared" si="701"/>
        <v>45860</v>
      </c>
      <c r="B5720" s="176">
        <v>3374</v>
      </c>
      <c r="C5720" s="50" t="s">
        <v>6137</v>
      </c>
      <c r="E5720" s="90" t="s">
        <v>2088</v>
      </c>
      <c r="F5720" s="4"/>
      <c r="G5720" s="2">
        <v>4500</v>
      </c>
      <c r="H5720" s="2"/>
      <c r="I5720" s="88">
        <f t="shared" si="705"/>
        <v>26005.360000000001</v>
      </c>
      <c r="L5720" s="2">
        <f t="shared" si="706"/>
        <v>23</v>
      </c>
      <c r="M5720">
        <f t="shared" si="707"/>
        <v>5</v>
      </c>
    </row>
    <row r="5721" spans="1:13" s="108" customFormat="1" x14ac:dyDescent="0.3">
      <c r="A5721" s="3">
        <f t="shared" si="701"/>
        <v>45860</v>
      </c>
      <c r="B5721" s="176">
        <v>2432</v>
      </c>
      <c r="C5721" s="50" t="s">
        <v>6310</v>
      </c>
      <c r="E5721" s="90" t="s">
        <v>4720</v>
      </c>
      <c r="F5721" s="4"/>
      <c r="G5721" s="2">
        <v>10000</v>
      </c>
      <c r="H5721" s="2"/>
      <c r="I5721" s="88">
        <f t="shared" si="705"/>
        <v>36005.360000000001</v>
      </c>
      <c r="L5721" s="2">
        <f t="shared" si="706"/>
        <v>20</v>
      </c>
      <c r="M5721">
        <f t="shared" si="707"/>
        <v>0</v>
      </c>
    </row>
    <row r="5722" spans="1:13" s="108" customFormat="1" x14ac:dyDescent="0.3">
      <c r="A5722" s="3">
        <f t="shared" si="701"/>
        <v>45860</v>
      </c>
      <c r="B5722" s="176">
        <v>2233</v>
      </c>
      <c r="C5722" s="50" t="s">
        <v>8248</v>
      </c>
      <c r="E5722" s="90" t="s">
        <v>2088</v>
      </c>
      <c r="F5722" s="4"/>
      <c r="G5722" s="2">
        <v>5000</v>
      </c>
      <c r="H5722" s="2"/>
      <c r="I5722" s="88">
        <f t="shared" si="705"/>
        <v>41005.360000000001</v>
      </c>
      <c r="L5722" s="2">
        <f t="shared" si="706"/>
        <v>25</v>
      </c>
      <c r="M5722">
        <f t="shared" si="707"/>
        <v>5</v>
      </c>
    </row>
    <row r="5723" spans="1:13" s="108" customFormat="1" x14ac:dyDescent="0.3">
      <c r="A5723" s="3">
        <f t="shared" si="701"/>
        <v>45860</v>
      </c>
      <c r="B5723" s="176">
        <v>961</v>
      </c>
      <c r="C5723" s="50" t="s">
        <v>6424</v>
      </c>
      <c r="E5723" s="90" t="s">
        <v>2088</v>
      </c>
      <c r="F5723" s="4"/>
      <c r="G5723" s="2">
        <v>1100</v>
      </c>
      <c r="H5723" s="2"/>
      <c r="I5723" s="88">
        <f t="shared" si="705"/>
        <v>42105.36</v>
      </c>
      <c r="L5723" s="2">
        <f t="shared" si="706"/>
        <v>9.4</v>
      </c>
      <c r="M5723">
        <f t="shared" si="707"/>
        <v>5</v>
      </c>
    </row>
    <row r="5724" spans="1:13" s="108" customFormat="1" x14ac:dyDescent="0.3">
      <c r="A5724" s="3">
        <f t="shared" si="701"/>
        <v>45860</v>
      </c>
      <c r="B5724" s="176">
        <v>5222</v>
      </c>
      <c r="C5724" s="50" t="s">
        <v>7544</v>
      </c>
      <c r="E5724" s="90" t="s">
        <v>4720</v>
      </c>
      <c r="F5724" s="4"/>
      <c r="G5724" s="2"/>
      <c r="H5724" s="2">
        <v>1500</v>
      </c>
      <c r="I5724" s="88">
        <f t="shared" si="705"/>
        <v>40605.360000000001</v>
      </c>
      <c r="L5724" s="2">
        <f t="shared" si="706"/>
        <v>6</v>
      </c>
      <c r="M5724">
        <f t="shared" si="707"/>
        <v>0</v>
      </c>
    </row>
    <row r="5725" spans="1:13" s="108" customFormat="1" x14ac:dyDescent="0.3">
      <c r="A5725" s="3">
        <f t="shared" si="701"/>
        <v>45860</v>
      </c>
      <c r="B5725" s="176">
        <v>4071</v>
      </c>
      <c r="C5725" s="50" t="s">
        <v>7935</v>
      </c>
      <c r="E5725" s="90" t="s">
        <v>2088</v>
      </c>
      <c r="F5725" s="4"/>
      <c r="G5725" s="2">
        <v>1500</v>
      </c>
      <c r="H5725" s="2"/>
      <c r="I5725" s="88">
        <f t="shared" si="705"/>
        <v>42105.36</v>
      </c>
      <c r="L5725" s="2">
        <f t="shared" si="706"/>
        <v>11</v>
      </c>
      <c r="M5725">
        <f t="shared" si="707"/>
        <v>5</v>
      </c>
    </row>
    <row r="5726" spans="1:13" s="108" customFormat="1" x14ac:dyDescent="0.3">
      <c r="A5726" s="3">
        <f t="shared" si="701"/>
        <v>45860</v>
      </c>
      <c r="B5726" s="176" t="s">
        <v>6260</v>
      </c>
      <c r="C5726" s="50" t="s">
        <v>8558</v>
      </c>
      <c r="E5726" s="90" t="s">
        <v>4720</v>
      </c>
      <c r="F5726" s="4"/>
      <c r="G5726" s="2"/>
      <c r="H5726" s="2">
        <v>3000</v>
      </c>
      <c r="I5726" s="88">
        <f t="shared" si="705"/>
        <v>39105.360000000001</v>
      </c>
      <c r="L5726" s="2">
        <f t="shared" si="706"/>
        <v>12</v>
      </c>
      <c r="M5726">
        <f t="shared" si="707"/>
        <v>0</v>
      </c>
    </row>
    <row r="5727" spans="1:13" s="108" customFormat="1" x14ac:dyDescent="0.3">
      <c r="A5727" s="3">
        <f t="shared" si="701"/>
        <v>45860</v>
      </c>
      <c r="B5727" s="176">
        <v>6064</v>
      </c>
      <c r="C5727" s="50" t="s">
        <v>8717</v>
      </c>
      <c r="E5727" s="90" t="s">
        <v>16</v>
      </c>
      <c r="F5727" s="4"/>
      <c r="G5727" s="2"/>
      <c r="H5727" s="2">
        <v>500</v>
      </c>
      <c r="I5727" s="88">
        <f t="shared" si="705"/>
        <v>38605.360000000001</v>
      </c>
      <c r="L5727" s="2">
        <f t="shared" si="706"/>
        <v>17</v>
      </c>
      <c r="M5727">
        <f t="shared" si="707"/>
        <v>0</v>
      </c>
    </row>
    <row r="5728" spans="1:13" s="108" customFormat="1" x14ac:dyDescent="0.3">
      <c r="A5728" s="3">
        <f t="shared" si="701"/>
        <v>45860</v>
      </c>
      <c r="B5728" s="176" t="s">
        <v>8718</v>
      </c>
      <c r="C5728" s="50" t="s">
        <v>8619</v>
      </c>
      <c r="E5728" s="90" t="s">
        <v>2088</v>
      </c>
      <c r="F5728" s="4"/>
      <c r="G5728" s="2">
        <v>1500</v>
      </c>
      <c r="H5728" s="2"/>
      <c r="I5728" s="88">
        <f t="shared" si="705"/>
        <v>40105.360000000001</v>
      </c>
      <c r="L5728" s="2">
        <f t="shared" si="706"/>
        <v>11</v>
      </c>
      <c r="M5728">
        <f t="shared" si="707"/>
        <v>5</v>
      </c>
    </row>
    <row r="5729" spans="1:13" s="108" customFormat="1" x14ac:dyDescent="0.3">
      <c r="A5729" s="3">
        <v>45861</v>
      </c>
      <c r="B5729" s="176">
        <v>2189</v>
      </c>
      <c r="C5729" s="50" t="s">
        <v>2626</v>
      </c>
      <c r="E5729" s="90" t="s">
        <v>4720</v>
      </c>
      <c r="F5729" s="4"/>
      <c r="G5729" s="2">
        <v>500</v>
      </c>
      <c r="H5729" s="2"/>
      <c r="I5729" s="88">
        <f t="shared" si="705"/>
        <v>40605.360000000001</v>
      </c>
      <c r="L5729" s="2">
        <f t="shared" si="706"/>
        <v>2</v>
      </c>
      <c r="M5729">
        <f t="shared" si="707"/>
        <v>0</v>
      </c>
    </row>
    <row r="5730" spans="1:13" s="108" customFormat="1" x14ac:dyDescent="0.3">
      <c r="A5730" s="3">
        <f t="shared" si="701"/>
        <v>45861</v>
      </c>
      <c r="B5730" s="176">
        <v>5376</v>
      </c>
      <c r="C5730" s="50" t="s">
        <v>4790</v>
      </c>
      <c r="E5730" s="90" t="s">
        <v>4720</v>
      </c>
      <c r="F5730" s="4"/>
      <c r="G5730" s="2">
        <v>2000</v>
      </c>
      <c r="H5730" s="2"/>
      <c r="I5730" s="88">
        <f t="shared" si="705"/>
        <v>42605.36</v>
      </c>
      <c r="L5730" s="2">
        <f t="shared" si="706"/>
        <v>8</v>
      </c>
      <c r="M5730">
        <f t="shared" si="707"/>
        <v>0</v>
      </c>
    </row>
    <row r="5731" spans="1:13" s="108" customFormat="1" x14ac:dyDescent="0.3">
      <c r="A5731" s="3">
        <f t="shared" si="701"/>
        <v>45861</v>
      </c>
      <c r="B5731" s="176">
        <v>5322</v>
      </c>
      <c r="C5731" s="50" t="s">
        <v>8383</v>
      </c>
      <c r="E5731" s="90" t="s">
        <v>4720</v>
      </c>
      <c r="F5731" s="4"/>
      <c r="G5731" s="2"/>
      <c r="H5731" s="2">
        <v>500</v>
      </c>
      <c r="I5731" s="88">
        <f t="shared" si="705"/>
        <v>42105.36</v>
      </c>
      <c r="L5731" s="2">
        <f t="shared" si="706"/>
        <v>2</v>
      </c>
      <c r="M5731">
        <f t="shared" si="707"/>
        <v>0</v>
      </c>
    </row>
    <row r="5732" spans="1:13" s="108" customFormat="1" x14ac:dyDescent="0.3">
      <c r="A5732" s="3">
        <f t="shared" si="701"/>
        <v>45861</v>
      </c>
      <c r="B5732" s="176">
        <v>5156</v>
      </c>
      <c r="C5732" s="50" t="s">
        <v>8719</v>
      </c>
      <c r="E5732" s="90" t="s">
        <v>4720</v>
      </c>
      <c r="F5732" s="4"/>
      <c r="G5732" s="2"/>
      <c r="H5732" s="2">
        <v>500</v>
      </c>
      <c r="I5732" s="88">
        <f t="shared" si="705"/>
        <v>41605.360000000001</v>
      </c>
      <c r="L5732" s="2">
        <f t="shared" si="706"/>
        <v>2</v>
      </c>
      <c r="M5732">
        <f t="shared" si="707"/>
        <v>0</v>
      </c>
    </row>
    <row r="5733" spans="1:13" s="108" customFormat="1" x14ac:dyDescent="0.3">
      <c r="A5733" s="3">
        <f t="shared" si="701"/>
        <v>45861</v>
      </c>
      <c r="B5733" s="176" t="s">
        <v>1160</v>
      </c>
      <c r="C5733" s="50" t="s">
        <v>7794</v>
      </c>
      <c r="E5733" s="90" t="s">
        <v>4720</v>
      </c>
      <c r="F5733" s="4"/>
      <c r="G5733" s="2">
        <v>2000</v>
      </c>
      <c r="H5733" s="2"/>
      <c r="I5733" s="88">
        <f t="shared" si="705"/>
        <v>43605.36</v>
      </c>
      <c r="L5733" s="2">
        <f t="shared" si="706"/>
        <v>8</v>
      </c>
      <c r="M5733">
        <f t="shared" si="707"/>
        <v>0</v>
      </c>
    </row>
    <row r="5734" spans="1:13" s="108" customFormat="1" x14ac:dyDescent="0.3">
      <c r="A5734" s="3">
        <f t="shared" si="701"/>
        <v>45861</v>
      </c>
      <c r="B5734" s="176">
        <v>2432</v>
      </c>
      <c r="C5734" s="50" t="s">
        <v>6310</v>
      </c>
      <c r="E5734" s="90" t="s">
        <v>4720</v>
      </c>
      <c r="F5734" s="4"/>
      <c r="G5734" s="2">
        <v>10000</v>
      </c>
      <c r="H5734" s="2"/>
      <c r="I5734" s="88">
        <f t="shared" si="705"/>
        <v>53605.36</v>
      </c>
      <c r="L5734" s="2">
        <f t="shared" si="706"/>
        <v>20</v>
      </c>
      <c r="M5734">
        <f t="shared" si="707"/>
        <v>0</v>
      </c>
    </row>
    <row r="5735" spans="1:13" s="108" customFormat="1" x14ac:dyDescent="0.3">
      <c r="A5735" s="3">
        <f t="shared" si="701"/>
        <v>45861</v>
      </c>
      <c r="B5735" s="176" t="s">
        <v>2241</v>
      </c>
      <c r="C5735" s="50" t="s">
        <v>8720</v>
      </c>
      <c r="E5735" s="90" t="s">
        <v>4720</v>
      </c>
      <c r="F5735" s="4"/>
      <c r="G5735" s="2">
        <v>1500</v>
      </c>
      <c r="H5735" s="2"/>
      <c r="I5735" s="88">
        <f t="shared" si="705"/>
        <v>55105.36</v>
      </c>
      <c r="L5735" s="2">
        <f t="shared" ref="L5735:L5750" si="708">IF(E5735="C",0,IF((G5735+H5735)&lt;=5000,(G5735+H5735)*0.004,20)+IF(E5735="P",5,IF(E5735="Y",15,IF(E5735="YY",25))))</f>
        <v>6</v>
      </c>
      <c r="M5735">
        <f t="shared" ref="M5735:M5750" si="709">IF(E5735="p",5,0)</f>
        <v>0</v>
      </c>
    </row>
    <row r="5736" spans="1:13" s="108" customFormat="1" x14ac:dyDescent="0.3">
      <c r="A5736" s="3">
        <f t="shared" si="701"/>
        <v>45861</v>
      </c>
      <c r="B5736" s="176"/>
      <c r="C5736" s="50" t="s">
        <v>2857</v>
      </c>
      <c r="E5736" s="90" t="s">
        <v>8332</v>
      </c>
      <c r="F5736" s="4"/>
      <c r="G5736" s="2"/>
      <c r="H5736" s="2">
        <v>50000</v>
      </c>
      <c r="I5736" s="88">
        <f t="shared" si="705"/>
        <v>5105.3600000000006</v>
      </c>
      <c r="L5736" s="2">
        <f t="shared" si="708"/>
        <v>0</v>
      </c>
      <c r="M5736">
        <f t="shared" si="709"/>
        <v>0</v>
      </c>
    </row>
    <row r="5737" spans="1:13" s="108" customFormat="1" x14ac:dyDescent="0.3">
      <c r="A5737" s="3">
        <f t="shared" si="701"/>
        <v>45861</v>
      </c>
      <c r="B5737" s="176" t="s">
        <v>8721</v>
      </c>
      <c r="C5737" s="50" t="s">
        <v>8722</v>
      </c>
      <c r="E5737" s="90" t="s">
        <v>4720</v>
      </c>
      <c r="F5737" s="4"/>
      <c r="G5737" s="2"/>
      <c r="H5737" s="2">
        <v>4000</v>
      </c>
      <c r="I5737" s="88">
        <f t="shared" si="705"/>
        <v>1105.3600000000006</v>
      </c>
      <c r="L5737" s="2">
        <f t="shared" si="708"/>
        <v>16</v>
      </c>
      <c r="M5737">
        <f t="shared" si="709"/>
        <v>0</v>
      </c>
    </row>
    <row r="5738" spans="1:13" s="108" customFormat="1" x14ac:dyDescent="0.3">
      <c r="A5738" s="3">
        <f t="shared" si="701"/>
        <v>45861</v>
      </c>
      <c r="B5738" s="176">
        <v>6064</v>
      </c>
      <c r="C5738" s="65" t="s">
        <v>8714</v>
      </c>
      <c r="E5738" s="90" t="s">
        <v>7772</v>
      </c>
      <c r="F5738" s="4"/>
      <c r="G5738" s="2">
        <v>0</v>
      </c>
      <c r="H5738" s="2">
        <v>0</v>
      </c>
      <c r="I5738" s="88">
        <f t="shared" ref="I5738:I5750" si="710">I5737+G5738-H5738</f>
        <v>1105.3600000000006</v>
      </c>
      <c r="L5738" s="2">
        <f t="shared" si="708"/>
        <v>5</v>
      </c>
      <c r="M5738">
        <f t="shared" si="709"/>
        <v>5</v>
      </c>
    </row>
    <row r="5739" spans="1:13" s="108" customFormat="1" x14ac:dyDescent="0.3">
      <c r="A5739" s="3">
        <f t="shared" si="701"/>
        <v>45861</v>
      </c>
      <c r="B5739" s="176" t="s">
        <v>1250</v>
      </c>
      <c r="C5739" s="50" t="s">
        <v>6985</v>
      </c>
      <c r="E5739" s="90" t="s">
        <v>4720</v>
      </c>
      <c r="F5739" s="4"/>
      <c r="G5739" s="2">
        <v>2000</v>
      </c>
      <c r="H5739" s="2"/>
      <c r="I5739" s="88">
        <f t="shared" si="710"/>
        <v>3105.3600000000006</v>
      </c>
      <c r="L5739" s="2">
        <f t="shared" si="708"/>
        <v>8</v>
      </c>
      <c r="M5739">
        <f t="shared" si="709"/>
        <v>0</v>
      </c>
    </row>
    <row r="5740" spans="1:13" s="108" customFormat="1" x14ac:dyDescent="0.3">
      <c r="A5740" s="3">
        <f t="shared" si="701"/>
        <v>45861</v>
      </c>
      <c r="B5740" s="176" t="s">
        <v>1160</v>
      </c>
      <c r="C5740" s="50" t="s">
        <v>7453</v>
      </c>
      <c r="E5740" s="90" t="s">
        <v>4720</v>
      </c>
      <c r="F5740" s="4"/>
      <c r="G5740" s="2">
        <v>4000</v>
      </c>
      <c r="H5740" s="2"/>
      <c r="I5740" s="88">
        <f t="shared" si="710"/>
        <v>7105.3600000000006</v>
      </c>
      <c r="L5740" s="2">
        <f t="shared" si="708"/>
        <v>16</v>
      </c>
      <c r="M5740">
        <f t="shared" si="709"/>
        <v>0</v>
      </c>
    </row>
    <row r="5741" spans="1:13" s="108" customFormat="1" x14ac:dyDescent="0.3">
      <c r="A5741" s="3">
        <v>45862</v>
      </c>
      <c r="B5741" s="176" t="s">
        <v>1250</v>
      </c>
      <c r="C5741" s="50" t="s">
        <v>5721</v>
      </c>
      <c r="E5741" s="90" t="s">
        <v>4720</v>
      </c>
      <c r="F5741" s="4"/>
      <c r="G5741" s="2">
        <v>10000</v>
      </c>
      <c r="H5741" s="2"/>
      <c r="I5741" s="88">
        <f t="shared" si="710"/>
        <v>17105.36</v>
      </c>
      <c r="L5741" s="2">
        <f t="shared" si="708"/>
        <v>20</v>
      </c>
      <c r="M5741">
        <f t="shared" si="709"/>
        <v>0</v>
      </c>
    </row>
    <row r="5742" spans="1:13" s="108" customFormat="1" x14ac:dyDescent="0.3">
      <c r="A5742" s="3">
        <f t="shared" si="701"/>
        <v>45862</v>
      </c>
      <c r="B5742" s="176">
        <v>5805</v>
      </c>
      <c r="C5742" s="50" t="s">
        <v>8578</v>
      </c>
      <c r="E5742" s="90" t="s">
        <v>4720</v>
      </c>
      <c r="F5742" s="4"/>
      <c r="G5742" s="2">
        <v>8900</v>
      </c>
      <c r="H5742" s="2"/>
      <c r="I5742" s="88">
        <f t="shared" si="710"/>
        <v>26005.360000000001</v>
      </c>
      <c r="L5742" s="2">
        <f t="shared" si="708"/>
        <v>20</v>
      </c>
      <c r="M5742">
        <f t="shared" si="709"/>
        <v>0</v>
      </c>
    </row>
    <row r="5743" spans="1:13" s="108" customFormat="1" x14ac:dyDescent="0.3">
      <c r="A5743" s="3">
        <f t="shared" si="701"/>
        <v>45862</v>
      </c>
      <c r="B5743" s="176">
        <v>5193</v>
      </c>
      <c r="C5743" s="50" t="s">
        <v>8724</v>
      </c>
      <c r="E5743" s="90" t="s">
        <v>2088</v>
      </c>
      <c r="F5743" s="4"/>
      <c r="G5743" s="2">
        <v>4300</v>
      </c>
      <c r="H5743" s="2"/>
      <c r="I5743" s="88">
        <f t="shared" si="710"/>
        <v>30305.360000000001</v>
      </c>
      <c r="L5743" s="2">
        <f t="shared" si="708"/>
        <v>22.2</v>
      </c>
      <c r="M5743">
        <f t="shared" si="709"/>
        <v>5</v>
      </c>
    </row>
    <row r="5744" spans="1:13" s="108" customFormat="1" x14ac:dyDescent="0.3">
      <c r="A5744" s="3">
        <f t="shared" si="701"/>
        <v>45862</v>
      </c>
      <c r="B5744" s="176">
        <v>4729</v>
      </c>
      <c r="C5744" s="50" t="s">
        <v>8725</v>
      </c>
      <c r="E5744" s="90" t="s">
        <v>2088</v>
      </c>
      <c r="F5744" s="4"/>
      <c r="G5744" s="2">
        <v>6300</v>
      </c>
      <c r="H5744" s="2"/>
      <c r="I5744" s="88">
        <f t="shared" si="710"/>
        <v>36605.360000000001</v>
      </c>
      <c r="L5744" s="2">
        <f t="shared" si="708"/>
        <v>25</v>
      </c>
      <c r="M5744">
        <f t="shared" si="709"/>
        <v>5</v>
      </c>
    </row>
    <row r="5745" spans="1:13" s="108" customFormat="1" x14ac:dyDescent="0.3">
      <c r="A5745" s="3">
        <f t="shared" si="701"/>
        <v>45862</v>
      </c>
      <c r="B5745" s="176">
        <v>6230</v>
      </c>
      <c r="C5745" s="50" t="s">
        <v>8726</v>
      </c>
      <c r="E5745" s="90" t="s">
        <v>2088</v>
      </c>
      <c r="F5745" s="4"/>
      <c r="G5745" s="2">
        <v>1500</v>
      </c>
      <c r="H5745" s="2"/>
      <c r="I5745" s="88">
        <f t="shared" si="710"/>
        <v>38105.360000000001</v>
      </c>
      <c r="L5745" s="2">
        <f t="shared" si="708"/>
        <v>11</v>
      </c>
      <c r="M5745">
        <f t="shared" si="709"/>
        <v>5</v>
      </c>
    </row>
    <row r="5746" spans="1:13" s="108" customFormat="1" x14ac:dyDescent="0.3">
      <c r="A5746" s="3">
        <f t="shared" si="701"/>
        <v>45862</v>
      </c>
      <c r="B5746" s="176">
        <v>18295</v>
      </c>
      <c r="C5746" s="50" t="s">
        <v>1356</v>
      </c>
      <c r="E5746" s="90" t="s">
        <v>4720</v>
      </c>
      <c r="F5746" s="4"/>
      <c r="G5746" s="2"/>
      <c r="H5746" s="2">
        <v>5000</v>
      </c>
      <c r="I5746" s="88">
        <f t="shared" si="710"/>
        <v>33105.360000000001</v>
      </c>
      <c r="L5746" s="2">
        <f t="shared" si="708"/>
        <v>20</v>
      </c>
      <c r="M5746">
        <f t="shared" si="709"/>
        <v>0</v>
      </c>
    </row>
    <row r="5747" spans="1:13" s="108" customFormat="1" x14ac:dyDescent="0.3">
      <c r="A5747" s="3">
        <f t="shared" si="701"/>
        <v>45862</v>
      </c>
      <c r="B5747" s="176" t="s">
        <v>6260</v>
      </c>
      <c r="C5747" s="50" t="s">
        <v>8558</v>
      </c>
      <c r="E5747" s="90" t="s">
        <v>4720</v>
      </c>
      <c r="F5747" s="4"/>
      <c r="G5747" s="2"/>
      <c r="H5747" s="2">
        <v>3500</v>
      </c>
      <c r="I5747" s="88">
        <f t="shared" si="710"/>
        <v>29605.360000000001</v>
      </c>
      <c r="L5747" s="2">
        <f t="shared" si="708"/>
        <v>14</v>
      </c>
      <c r="M5747">
        <f t="shared" si="709"/>
        <v>0</v>
      </c>
    </row>
    <row r="5748" spans="1:13" s="108" customFormat="1" x14ac:dyDescent="0.3">
      <c r="A5748" s="3">
        <f t="shared" si="701"/>
        <v>45862</v>
      </c>
      <c r="B5748" s="176">
        <v>4295</v>
      </c>
      <c r="C5748" s="50" t="s">
        <v>8727</v>
      </c>
      <c r="E5748" s="90" t="s">
        <v>2088</v>
      </c>
      <c r="F5748" s="4"/>
      <c r="G5748" s="2">
        <v>5000</v>
      </c>
      <c r="H5748" s="2"/>
      <c r="I5748" s="88">
        <f t="shared" si="710"/>
        <v>34605.360000000001</v>
      </c>
      <c r="L5748" s="2">
        <f t="shared" si="708"/>
        <v>25</v>
      </c>
      <c r="M5748">
        <f t="shared" si="709"/>
        <v>5</v>
      </c>
    </row>
    <row r="5749" spans="1:13" s="108" customFormat="1" x14ac:dyDescent="0.3">
      <c r="A5749" s="3">
        <f t="shared" si="701"/>
        <v>45862</v>
      </c>
      <c r="B5749" s="176">
        <v>6065</v>
      </c>
      <c r="C5749" s="50" t="s">
        <v>8731</v>
      </c>
      <c r="E5749" s="90" t="s">
        <v>14</v>
      </c>
      <c r="F5749" s="4"/>
      <c r="G5749" s="2"/>
      <c r="H5749" s="2">
        <v>500</v>
      </c>
      <c r="I5749" s="88">
        <f t="shared" si="710"/>
        <v>34105.360000000001</v>
      </c>
      <c r="L5749" s="2">
        <f t="shared" si="708"/>
        <v>17</v>
      </c>
      <c r="M5749">
        <f t="shared" si="709"/>
        <v>0</v>
      </c>
    </row>
    <row r="5750" spans="1:13" s="108" customFormat="1" x14ac:dyDescent="0.3">
      <c r="A5750" s="3">
        <f t="shared" si="701"/>
        <v>45862</v>
      </c>
      <c r="B5750" s="176">
        <v>2432</v>
      </c>
      <c r="C5750" s="50" t="s">
        <v>6310</v>
      </c>
      <c r="E5750" s="90" t="s">
        <v>4720</v>
      </c>
      <c r="F5750" s="4"/>
      <c r="G5750" s="2">
        <v>6600</v>
      </c>
      <c r="H5750" s="2"/>
      <c r="I5750" s="88">
        <f t="shared" si="710"/>
        <v>40705.360000000001</v>
      </c>
      <c r="L5750" s="2">
        <f t="shared" si="708"/>
        <v>20</v>
      </c>
      <c r="M5750">
        <f t="shared" si="709"/>
        <v>0</v>
      </c>
    </row>
    <row r="5751" spans="1:13" s="108" customFormat="1" x14ac:dyDescent="0.3">
      <c r="A5751" s="3">
        <f t="shared" si="701"/>
        <v>45862</v>
      </c>
      <c r="B5751" s="176">
        <v>1958</v>
      </c>
      <c r="C5751" s="50" t="s">
        <v>8735</v>
      </c>
      <c r="E5751" s="90" t="s">
        <v>2088</v>
      </c>
      <c r="F5751" s="4"/>
      <c r="G5751" s="2">
        <v>1000</v>
      </c>
      <c r="H5751" s="2"/>
      <c r="I5751" s="88">
        <f t="shared" ref="I5751:I5774" si="711">I5750+G5751-H5751</f>
        <v>41705.360000000001</v>
      </c>
      <c r="L5751" s="2">
        <f t="shared" ref="L5751:L5774" si="712">IF(E5751="C",0,IF((G5751+H5751)&lt;=5000,(G5751+H5751)*0.004,20)+IF(E5751="P",5,IF(E5751="Y",15,IF(E5751="YY",25))))</f>
        <v>9</v>
      </c>
      <c r="M5751">
        <f t="shared" ref="M5751:M5774" si="713">IF(E5751="p",5,0)</f>
        <v>5</v>
      </c>
    </row>
    <row r="5752" spans="1:13" s="108" customFormat="1" x14ac:dyDescent="0.3">
      <c r="A5752" s="3">
        <f t="shared" si="701"/>
        <v>45862</v>
      </c>
      <c r="B5752" s="176" t="s">
        <v>1250</v>
      </c>
      <c r="C5752" s="50" t="s">
        <v>8736</v>
      </c>
      <c r="E5752" s="90" t="s">
        <v>4720</v>
      </c>
      <c r="F5752" s="4"/>
      <c r="G5752" s="2">
        <v>7000</v>
      </c>
      <c r="H5752" s="2"/>
      <c r="I5752" s="88">
        <f t="shared" si="711"/>
        <v>48705.36</v>
      </c>
      <c r="L5752" s="2">
        <f t="shared" si="712"/>
        <v>20</v>
      </c>
      <c r="M5752">
        <f t="shared" si="713"/>
        <v>0</v>
      </c>
    </row>
    <row r="5753" spans="1:13" s="108" customFormat="1" x14ac:dyDescent="0.3">
      <c r="A5753" s="3">
        <f t="shared" si="701"/>
        <v>45862</v>
      </c>
      <c r="B5753" s="176">
        <v>5450</v>
      </c>
      <c r="C5753" s="50" t="s">
        <v>6379</v>
      </c>
      <c r="E5753" s="90" t="s">
        <v>2088</v>
      </c>
      <c r="F5753" s="4"/>
      <c r="G5753" s="2">
        <v>6500</v>
      </c>
      <c r="H5753" s="2"/>
      <c r="I5753" s="88">
        <f t="shared" si="711"/>
        <v>55205.36</v>
      </c>
      <c r="L5753" s="2">
        <f t="shared" si="712"/>
        <v>25</v>
      </c>
      <c r="M5753">
        <f t="shared" si="713"/>
        <v>5</v>
      </c>
    </row>
    <row r="5754" spans="1:13" s="108" customFormat="1" x14ac:dyDescent="0.3">
      <c r="A5754" s="3">
        <f t="shared" si="701"/>
        <v>45862</v>
      </c>
      <c r="B5754" s="176" t="s">
        <v>1160</v>
      </c>
      <c r="C5754" s="50" t="s">
        <v>8737</v>
      </c>
      <c r="E5754" s="90" t="s">
        <v>4720</v>
      </c>
      <c r="F5754" s="4"/>
      <c r="G5754" s="2">
        <v>2500</v>
      </c>
      <c r="H5754" s="2"/>
      <c r="I5754" s="88">
        <f t="shared" si="711"/>
        <v>57705.36</v>
      </c>
      <c r="L5754" s="2">
        <f t="shared" si="712"/>
        <v>10</v>
      </c>
      <c r="M5754">
        <f t="shared" si="713"/>
        <v>0</v>
      </c>
    </row>
    <row r="5755" spans="1:13" s="108" customFormat="1" x14ac:dyDescent="0.3">
      <c r="A5755" s="3">
        <f t="shared" si="701"/>
        <v>45862</v>
      </c>
      <c r="B5755" s="176" t="s">
        <v>1250</v>
      </c>
      <c r="C5755" s="50" t="s">
        <v>2443</v>
      </c>
      <c r="E5755" s="90" t="s">
        <v>4720</v>
      </c>
      <c r="F5755" s="4"/>
      <c r="G5755" s="2">
        <v>900</v>
      </c>
      <c r="H5755" s="2"/>
      <c r="I5755" s="88">
        <f t="shared" si="711"/>
        <v>58605.36</v>
      </c>
      <c r="L5755" s="2">
        <f t="shared" si="712"/>
        <v>3.6</v>
      </c>
      <c r="M5755">
        <f t="shared" si="713"/>
        <v>0</v>
      </c>
    </row>
    <row r="5756" spans="1:13" s="108" customFormat="1" x14ac:dyDescent="0.3">
      <c r="A5756" s="3">
        <v>45498</v>
      </c>
      <c r="B5756" s="11" t="s">
        <v>4996</v>
      </c>
      <c r="C5756" s="65" t="s">
        <v>8739</v>
      </c>
      <c r="E5756" s="90" t="s">
        <v>16</v>
      </c>
      <c r="F5756" s="4"/>
      <c r="G5756" s="2"/>
      <c r="H5756" s="2">
        <v>500</v>
      </c>
      <c r="I5756" s="88">
        <f t="shared" si="711"/>
        <v>58105.36</v>
      </c>
      <c r="L5756" s="2">
        <f t="shared" si="712"/>
        <v>17</v>
      </c>
      <c r="M5756">
        <f t="shared" si="713"/>
        <v>0</v>
      </c>
    </row>
    <row r="5757" spans="1:13" s="108" customFormat="1" x14ac:dyDescent="0.3">
      <c r="A5757" s="3">
        <f t="shared" si="701"/>
        <v>45498</v>
      </c>
      <c r="B5757" s="11" t="s">
        <v>8743</v>
      </c>
      <c r="C5757" s="65" t="s">
        <v>8744</v>
      </c>
      <c r="E5757" s="90" t="s">
        <v>16</v>
      </c>
      <c r="F5757" s="4"/>
      <c r="G5757" s="2"/>
      <c r="H5757" s="2">
        <v>500</v>
      </c>
      <c r="I5757" s="88">
        <f t="shared" si="711"/>
        <v>57605.36</v>
      </c>
      <c r="L5757" s="2">
        <f t="shared" si="712"/>
        <v>17</v>
      </c>
      <c r="M5757">
        <f t="shared" si="713"/>
        <v>0</v>
      </c>
    </row>
    <row r="5758" spans="1:13" s="108" customFormat="1" x14ac:dyDescent="0.3">
      <c r="A5758" s="3">
        <f t="shared" si="701"/>
        <v>45498</v>
      </c>
      <c r="B5758" s="176">
        <v>2856</v>
      </c>
      <c r="C5758" s="50" t="s">
        <v>8747</v>
      </c>
      <c r="E5758" s="90" t="s">
        <v>7772</v>
      </c>
      <c r="F5758" s="4"/>
      <c r="G5758" s="2"/>
      <c r="H5758" s="2">
        <v>6000</v>
      </c>
      <c r="I5758" s="88">
        <f t="shared" si="711"/>
        <v>51605.36</v>
      </c>
      <c r="L5758" s="2">
        <f t="shared" si="712"/>
        <v>25</v>
      </c>
      <c r="M5758">
        <f t="shared" si="713"/>
        <v>5</v>
      </c>
    </row>
    <row r="5759" spans="1:13" s="108" customFormat="1" x14ac:dyDescent="0.3">
      <c r="A5759" s="3">
        <f t="shared" si="701"/>
        <v>45498</v>
      </c>
      <c r="B5759" s="176"/>
      <c r="C5759" s="50" t="s">
        <v>2857</v>
      </c>
      <c r="E5759" s="90" t="s">
        <v>8332</v>
      </c>
      <c r="F5759" s="4"/>
      <c r="G5759" s="2"/>
      <c r="H5759" s="2">
        <v>50000</v>
      </c>
      <c r="I5759" s="88">
        <f t="shared" si="711"/>
        <v>1605.3600000000006</v>
      </c>
      <c r="L5759" s="2">
        <f t="shared" si="712"/>
        <v>0</v>
      </c>
      <c r="M5759">
        <f t="shared" si="713"/>
        <v>0</v>
      </c>
    </row>
    <row r="5760" spans="1:13" s="108" customFormat="1" x14ac:dyDescent="0.3">
      <c r="A5760" s="3">
        <f t="shared" si="701"/>
        <v>45498</v>
      </c>
      <c r="B5760" s="176">
        <v>933</v>
      </c>
      <c r="C5760" s="135" t="s">
        <v>6592</v>
      </c>
      <c r="E5760" s="90" t="s">
        <v>2088</v>
      </c>
      <c r="F5760" s="4"/>
      <c r="G5760" s="2">
        <v>500</v>
      </c>
      <c r="H5760" s="2"/>
      <c r="I5760" s="88">
        <f t="shared" si="711"/>
        <v>2105.3600000000006</v>
      </c>
      <c r="L5760" s="2">
        <f t="shared" si="712"/>
        <v>7</v>
      </c>
      <c r="M5760">
        <f t="shared" si="713"/>
        <v>5</v>
      </c>
    </row>
    <row r="5761" spans="1:13" s="108" customFormat="1" x14ac:dyDescent="0.3">
      <c r="A5761" s="3">
        <f t="shared" si="701"/>
        <v>45498</v>
      </c>
      <c r="B5761" s="176" t="s">
        <v>1160</v>
      </c>
      <c r="C5761" s="135" t="s">
        <v>8748</v>
      </c>
      <c r="E5761" s="90" t="s">
        <v>4720</v>
      </c>
      <c r="F5761" s="4"/>
      <c r="G5761" s="2">
        <v>1000</v>
      </c>
      <c r="H5761" s="2"/>
      <c r="I5761" s="88">
        <f t="shared" si="711"/>
        <v>3105.3600000000006</v>
      </c>
      <c r="L5761" s="2">
        <f t="shared" si="712"/>
        <v>4</v>
      </c>
      <c r="M5761">
        <f t="shared" si="713"/>
        <v>0</v>
      </c>
    </row>
    <row r="5762" spans="1:13" s="108" customFormat="1" x14ac:dyDescent="0.3">
      <c r="A5762" s="3">
        <f t="shared" si="701"/>
        <v>45498</v>
      </c>
      <c r="B5762" s="176">
        <v>3179</v>
      </c>
      <c r="C5762" s="135" t="s">
        <v>8749</v>
      </c>
      <c r="E5762" s="90" t="s">
        <v>4720</v>
      </c>
      <c r="F5762" s="4"/>
      <c r="G5762" s="2">
        <v>4500</v>
      </c>
      <c r="H5762" s="2"/>
      <c r="I5762" s="88">
        <f t="shared" si="711"/>
        <v>7605.3600000000006</v>
      </c>
      <c r="L5762" s="2">
        <f t="shared" si="712"/>
        <v>18</v>
      </c>
      <c r="M5762">
        <f t="shared" si="713"/>
        <v>0</v>
      </c>
    </row>
    <row r="5763" spans="1:13" s="108" customFormat="1" x14ac:dyDescent="0.3">
      <c r="A5763" s="3">
        <f t="shared" ref="A5763:A5799" si="714">A5762</f>
        <v>45498</v>
      </c>
      <c r="B5763" s="176">
        <v>1917</v>
      </c>
      <c r="C5763" s="50" t="s">
        <v>8750</v>
      </c>
      <c r="E5763" s="90" t="s">
        <v>4720</v>
      </c>
      <c r="F5763" s="4"/>
      <c r="G5763" s="2">
        <v>1500</v>
      </c>
      <c r="H5763" s="2"/>
      <c r="I5763" s="88">
        <f t="shared" si="711"/>
        <v>9105.36</v>
      </c>
      <c r="L5763" s="2">
        <f t="shared" si="712"/>
        <v>6</v>
      </c>
      <c r="M5763">
        <f t="shared" si="713"/>
        <v>0</v>
      </c>
    </row>
    <row r="5764" spans="1:13" s="108" customFormat="1" x14ac:dyDescent="0.3">
      <c r="A5764" s="3">
        <v>45864</v>
      </c>
      <c r="B5764" s="176">
        <v>3010</v>
      </c>
      <c r="C5764" s="135" t="s">
        <v>8751</v>
      </c>
      <c r="E5764" s="90" t="s">
        <v>2088</v>
      </c>
      <c r="F5764" s="4"/>
      <c r="G5764" s="2">
        <v>1000</v>
      </c>
      <c r="H5764" s="2"/>
      <c r="I5764" s="88">
        <f t="shared" si="711"/>
        <v>10105.36</v>
      </c>
      <c r="L5764" s="2">
        <f t="shared" si="712"/>
        <v>9</v>
      </c>
      <c r="M5764">
        <f t="shared" si="713"/>
        <v>5</v>
      </c>
    </row>
    <row r="5765" spans="1:13" s="108" customFormat="1" x14ac:dyDescent="0.3">
      <c r="A5765" s="3">
        <f t="shared" si="714"/>
        <v>45864</v>
      </c>
      <c r="B5765" s="176">
        <v>3789</v>
      </c>
      <c r="C5765" s="50" t="s">
        <v>8483</v>
      </c>
      <c r="E5765" s="90" t="s">
        <v>2088</v>
      </c>
      <c r="F5765" s="4"/>
      <c r="G5765" s="2">
        <v>2500</v>
      </c>
      <c r="H5765" s="2"/>
      <c r="I5765" s="88">
        <f t="shared" si="711"/>
        <v>12605.36</v>
      </c>
      <c r="L5765" s="2">
        <f t="shared" si="712"/>
        <v>15</v>
      </c>
      <c r="M5765">
        <f t="shared" si="713"/>
        <v>5</v>
      </c>
    </row>
    <row r="5766" spans="1:13" s="108" customFormat="1" x14ac:dyDescent="0.3">
      <c r="A5766" s="3">
        <f t="shared" si="714"/>
        <v>45864</v>
      </c>
      <c r="B5766" s="176" t="s">
        <v>1160</v>
      </c>
      <c r="C5766" s="50" t="s">
        <v>8359</v>
      </c>
      <c r="E5766" s="90" t="s">
        <v>4720</v>
      </c>
      <c r="F5766" s="4"/>
      <c r="G5766" s="2">
        <v>5000</v>
      </c>
      <c r="H5766" s="2"/>
      <c r="I5766" s="88">
        <f t="shared" si="711"/>
        <v>17605.36</v>
      </c>
      <c r="L5766" s="2">
        <f t="shared" si="712"/>
        <v>20</v>
      </c>
      <c r="M5766">
        <f t="shared" si="713"/>
        <v>0</v>
      </c>
    </row>
    <row r="5767" spans="1:13" s="108" customFormat="1" x14ac:dyDescent="0.3">
      <c r="A5767" s="3">
        <f t="shared" si="714"/>
        <v>45864</v>
      </c>
      <c r="B5767" s="176">
        <v>6066</v>
      </c>
      <c r="C5767" s="65" t="s">
        <v>8739</v>
      </c>
      <c r="E5767" s="90" t="s">
        <v>2088</v>
      </c>
      <c r="F5767" s="4"/>
      <c r="G5767" s="2">
        <v>0</v>
      </c>
      <c r="H5767" s="2">
        <v>0</v>
      </c>
      <c r="I5767" s="88">
        <f t="shared" si="711"/>
        <v>17605.36</v>
      </c>
      <c r="L5767" s="2">
        <f t="shared" si="712"/>
        <v>5</v>
      </c>
      <c r="M5767">
        <f t="shared" si="713"/>
        <v>5</v>
      </c>
    </row>
    <row r="5768" spans="1:13" s="108" customFormat="1" x14ac:dyDescent="0.3">
      <c r="A5768" s="3">
        <f t="shared" si="714"/>
        <v>45864</v>
      </c>
      <c r="B5768" s="176">
        <v>6067</v>
      </c>
      <c r="C5768" s="65" t="s">
        <v>8744</v>
      </c>
      <c r="E5768" s="90" t="s">
        <v>2088</v>
      </c>
      <c r="F5768" s="4"/>
      <c r="G5768" s="2">
        <v>0</v>
      </c>
      <c r="H5768" s="2">
        <v>0</v>
      </c>
      <c r="I5768" s="88">
        <f t="shared" si="711"/>
        <v>17605.36</v>
      </c>
      <c r="L5768" s="2">
        <f t="shared" si="712"/>
        <v>5</v>
      </c>
      <c r="M5768">
        <f t="shared" si="713"/>
        <v>5</v>
      </c>
    </row>
    <row r="5769" spans="1:13" s="108" customFormat="1" x14ac:dyDescent="0.3">
      <c r="A5769" s="3">
        <f t="shared" si="714"/>
        <v>45864</v>
      </c>
      <c r="B5769" s="176">
        <v>5504</v>
      </c>
      <c r="C5769" s="50" t="s">
        <v>8758</v>
      </c>
      <c r="E5769" s="90" t="s">
        <v>7772</v>
      </c>
      <c r="F5769" s="4"/>
      <c r="G5769" s="2">
        <v>2000</v>
      </c>
      <c r="H5769" s="2"/>
      <c r="I5769" s="88">
        <f t="shared" si="711"/>
        <v>19605.36</v>
      </c>
      <c r="L5769" s="2">
        <f t="shared" si="712"/>
        <v>13</v>
      </c>
      <c r="M5769">
        <f t="shared" si="713"/>
        <v>5</v>
      </c>
    </row>
    <row r="5770" spans="1:13" s="108" customFormat="1" x14ac:dyDescent="0.3">
      <c r="A5770" s="3">
        <f t="shared" si="714"/>
        <v>45864</v>
      </c>
      <c r="B5770" s="176">
        <v>1337</v>
      </c>
      <c r="C5770" s="50" t="s">
        <v>7421</v>
      </c>
      <c r="E5770" s="90" t="s">
        <v>2088</v>
      </c>
      <c r="F5770" s="4"/>
      <c r="G5770" s="2">
        <v>2500</v>
      </c>
      <c r="H5770" s="2"/>
      <c r="I5770" s="88">
        <f t="shared" si="711"/>
        <v>22105.360000000001</v>
      </c>
      <c r="L5770" s="2">
        <f t="shared" si="712"/>
        <v>15</v>
      </c>
      <c r="M5770">
        <f t="shared" si="713"/>
        <v>5</v>
      </c>
    </row>
    <row r="5771" spans="1:13" s="108" customFormat="1" x14ac:dyDescent="0.3">
      <c r="A5771" s="3">
        <f t="shared" si="714"/>
        <v>45864</v>
      </c>
      <c r="B5771" s="176">
        <v>3083</v>
      </c>
      <c r="C5771" s="50" t="s">
        <v>8759</v>
      </c>
      <c r="E5771" s="90" t="s">
        <v>2088</v>
      </c>
      <c r="F5771" s="4"/>
      <c r="G5771" s="2">
        <v>3000</v>
      </c>
      <c r="H5771" s="2"/>
      <c r="I5771" s="88">
        <f t="shared" si="711"/>
        <v>25105.360000000001</v>
      </c>
      <c r="L5771" s="2">
        <f t="shared" si="712"/>
        <v>17</v>
      </c>
      <c r="M5771">
        <f t="shared" si="713"/>
        <v>5</v>
      </c>
    </row>
    <row r="5772" spans="1:13" s="108" customFormat="1" x14ac:dyDescent="0.3">
      <c r="A5772" s="3">
        <f t="shared" si="714"/>
        <v>45864</v>
      </c>
      <c r="B5772" s="176">
        <v>3087</v>
      </c>
      <c r="C5772" s="50" t="s">
        <v>8760</v>
      </c>
      <c r="E5772" s="90" t="s">
        <v>4720</v>
      </c>
      <c r="F5772" s="4"/>
      <c r="G5772" s="2">
        <v>6500</v>
      </c>
      <c r="H5772" s="2"/>
      <c r="I5772" s="88">
        <f t="shared" si="711"/>
        <v>31605.360000000001</v>
      </c>
      <c r="L5772" s="2">
        <f t="shared" si="712"/>
        <v>20</v>
      </c>
      <c r="M5772">
        <f t="shared" si="713"/>
        <v>0</v>
      </c>
    </row>
    <row r="5773" spans="1:13" s="108" customFormat="1" x14ac:dyDescent="0.3">
      <c r="A5773" s="3">
        <v>45865</v>
      </c>
      <c r="B5773" s="176" t="s">
        <v>1160</v>
      </c>
      <c r="C5773" s="135" t="s">
        <v>8761</v>
      </c>
      <c r="E5773" s="90" t="s">
        <v>2088</v>
      </c>
      <c r="F5773" s="4"/>
      <c r="G5773" s="2">
        <v>1000</v>
      </c>
      <c r="H5773" s="2"/>
      <c r="I5773" s="88">
        <f t="shared" si="711"/>
        <v>32605.360000000001</v>
      </c>
      <c r="L5773" s="2">
        <f t="shared" si="712"/>
        <v>9</v>
      </c>
      <c r="M5773">
        <f t="shared" si="713"/>
        <v>5</v>
      </c>
    </row>
    <row r="5774" spans="1:13" s="108" customFormat="1" x14ac:dyDescent="0.3">
      <c r="A5774" s="3">
        <v>45866</v>
      </c>
      <c r="B5774" s="176">
        <v>5993</v>
      </c>
      <c r="C5774" s="50" t="s">
        <v>8762</v>
      </c>
      <c r="E5774" s="90" t="s">
        <v>4720</v>
      </c>
      <c r="F5774" s="4"/>
      <c r="G5774" s="2"/>
      <c r="H5774" s="2">
        <v>1700</v>
      </c>
      <c r="I5774" s="88">
        <f t="shared" si="711"/>
        <v>30905.360000000001</v>
      </c>
      <c r="L5774" s="2">
        <f t="shared" si="712"/>
        <v>6.8</v>
      </c>
      <c r="M5774">
        <f t="shared" si="713"/>
        <v>0</v>
      </c>
    </row>
    <row r="5775" spans="1:13" s="108" customFormat="1" x14ac:dyDescent="0.3">
      <c r="A5775" s="3">
        <f t="shared" si="714"/>
        <v>45866</v>
      </c>
      <c r="B5775" s="176">
        <v>5626</v>
      </c>
      <c r="C5775" s="50" t="s">
        <v>8763</v>
      </c>
      <c r="E5775" s="90" t="s">
        <v>4720</v>
      </c>
      <c r="F5775" s="4"/>
      <c r="G5775" s="2">
        <v>2500</v>
      </c>
      <c r="H5775" s="2"/>
      <c r="I5775" s="88">
        <f t="shared" ref="I5775:I5791" si="715">I5774+G5775-H5775</f>
        <v>33405.360000000001</v>
      </c>
      <c r="L5775" s="2">
        <f t="shared" ref="L5775:L5791" si="716">IF(E5775="C",0,IF((G5775+H5775)&lt;=5000,(G5775+H5775)*0.004,20)+IF(E5775="P",5,IF(E5775="Y",15,IF(E5775="YY",25))))</f>
        <v>10</v>
      </c>
      <c r="M5775">
        <f t="shared" ref="M5775:M5791" si="717">IF(E5775="p",5,0)</f>
        <v>0</v>
      </c>
    </row>
    <row r="5776" spans="1:13" s="108" customFormat="1" x14ac:dyDescent="0.3">
      <c r="A5776" s="3">
        <f t="shared" si="714"/>
        <v>45866</v>
      </c>
      <c r="B5776" s="176" t="s">
        <v>8320</v>
      </c>
      <c r="C5776" s="50" t="s">
        <v>8764</v>
      </c>
      <c r="E5776" s="90" t="s">
        <v>4720</v>
      </c>
      <c r="F5776" s="4"/>
      <c r="G5776" s="2">
        <v>500</v>
      </c>
      <c r="H5776" s="2"/>
      <c r="I5776" s="88">
        <f t="shared" si="715"/>
        <v>33905.360000000001</v>
      </c>
      <c r="L5776" s="2">
        <f t="shared" si="716"/>
        <v>2</v>
      </c>
      <c r="M5776">
        <f t="shared" si="717"/>
        <v>0</v>
      </c>
    </row>
    <row r="5777" spans="1:13" s="108" customFormat="1" x14ac:dyDescent="0.3">
      <c r="A5777" s="3">
        <f t="shared" si="714"/>
        <v>45866</v>
      </c>
      <c r="B5777" s="176">
        <v>5222</v>
      </c>
      <c r="C5777" s="50" t="s">
        <v>7544</v>
      </c>
      <c r="E5777" s="90" t="s">
        <v>4720</v>
      </c>
      <c r="F5777" s="4"/>
      <c r="G5777" s="2"/>
      <c r="H5777" s="2">
        <v>1500</v>
      </c>
      <c r="I5777" s="88">
        <f t="shared" si="715"/>
        <v>32405.360000000001</v>
      </c>
      <c r="L5777" s="2">
        <f t="shared" si="716"/>
        <v>6</v>
      </c>
      <c r="M5777">
        <f t="shared" si="717"/>
        <v>0</v>
      </c>
    </row>
    <row r="5778" spans="1:13" s="108" customFormat="1" x14ac:dyDescent="0.3">
      <c r="A5778" s="3">
        <v>45867</v>
      </c>
      <c r="B5778" s="176">
        <v>6066</v>
      </c>
      <c r="C5778" s="135" t="s">
        <v>8765</v>
      </c>
      <c r="E5778" s="90" t="s">
        <v>2088</v>
      </c>
      <c r="F5778" s="4"/>
      <c r="G5778" s="2">
        <v>10000</v>
      </c>
      <c r="H5778" s="2"/>
      <c r="I5778" s="88">
        <f t="shared" si="715"/>
        <v>42405.36</v>
      </c>
      <c r="L5778" s="2">
        <f t="shared" si="716"/>
        <v>25</v>
      </c>
      <c r="M5778">
        <f t="shared" si="717"/>
        <v>5</v>
      </c>
    </row>
    <row r="5779" spans="1:13" s="108" customFormat="1" x14ac:dyDescent="0.3">
      <c r="A5779" s="3">
        <f t="shared" si="714"/>
        <v>45867</v>
      </c>
      <c r="B5779" s="176">
        <v>504</v>
      </c>
      <c r="C5779" s="50" t="s">
        <v>2487</v>
      </c>
      <c r="E5779" s="90" t="s">
        <v>4720</v>
      </c>
      <c r="F5779" s="4"/>
      <c r="G5779" s="2"/>
      <c r="H5779" s="2">
        <v>1500</v>
      </c>
      <c r="I5779" s="88">
        <f t="shared" si="715"/>
        <v>40905.360000000001</v>
      </c>
      <c r="L5779" s="2">
        <f t="shared" si="716"/>
        <v>6</v>
      </c>
      <c r="M5779">
        <f t="shared" si="717"/>
        <v>0</v>
      </c>
    </row>
    <row r="5780" spans="1:13" s="108" customFormat="1" x14ac:dyDescent="0.3">
      <c r="A5780" s="3">
        <f t="shared" si="714"/>
        <v>45867</v>
      </c>
      <c r="B5780" s="176" t="s">
        <v>8766</v>
      </c>
      <c r="C5780" s="50" t="s">
        <v>1356</v>
      </c>
      <c r="E5780" s="90" t="s">
        <v>4720</v>
      </c>
      <c r="F5780" s="4"/>
      <c r="G5780" s="2"/>
      <c r="H5780" s="2">
        <v>5000</v>
      </c>
      <c r="I5780" s="88">
        <f t="shared" si="715"/>
        <v>35905.360000000001</v>
      </c>
      <c r="L5780" s="2">
        <f t="shared" si="716"/>
        <v>20</v>
      </c>
      <c r="M5780">
        <f t="shared" si="717"/>
        <v>0</v>
      </c>
    </row>
    <row r="5781" spans="1:13" s="108" customFormat="1" x14ac:dyDescent="0.3">
      <c r="A5781" s="3">
        <f t="shared" si="714"/>
        <v>45867</v>
      </c>
      <c r="B5781" s="176" t="s">
        <v>8767</v>
      </c>
      <c r="C5781" s="50" t="s">
        <v>1356</v>
      </c>
      <c r="E5781" s="90" t="s">
        <v>4720</v>
      </c>
      <c r="F5781" s="4"/>
      <c r="G5781" s="2"/>
      <c r="H5781" s="2">
        <v>5000</v>
      </c>
      <c r="I5781" s="88">
        <f t="shared" si="715"/>
        <v>30905.360000000001</v>
      </c>
      <c r="L5781" s="2">
        <f t="shared" si="716"/>
        <v>20</v>
      </c>
      <c r="M5781">
        <f t="shared" si="717"/>
        <v>0</v>
      </c>
    </row>
    <row r="5782" spans="1:13" s="108" customFormat="1" x14ac:dyDescent="0.3">
      <c r="A5782" s="3">
        <f t="shared" si="714"/>
        <v>45867</v>
      </c>
      <c r="B5782" s="176" t="s">
        <v>8083</v>
      </c>
      <c r="C5782" s="50" t="s">
        <v>8768</v>
      </c>
      <c r="E5782" s="90" t="s">
        <v>4720</v>
      </c>
      <c r="F5782" s="4"/>
      <c r="G5782" s="2">
        <v>2000</v>
      </c>
      <c r="H5782" s="2"/>
      <c r="I5782" s="88">
        <f t="shared" si="715"/>
        <v>32905.360000000001</v>
      </c>
      <c r="L5782" s="2">
        <f t="shared" si="716"/>
        <v>8</v>
      </c>
      <c r="M5782">
        <f t="shared" si="717"/>
        <v>0</v>
      </c>
    </row>
    <row r="5783" spans="1:13" s="108" customFormat="1" x14ac:dyDescent="0.3">
      <c r="A5783" s="3">
        <f t="shared" si="714"/>
        <v>45867</v>
      </c>
      <c r="B5783" s="176" t="s">
        <v>1250</v>
      </c>
      <c r="C5783" s="50" t="s">
        <v>7143</v>
      </c>
      <c r="E5783" s="90" t="s">
        <v>4720</v>
      </c>
      <c r="F5783" s="4"/>
      <c r="G5783" s="2">
        <v>500</v>
      </c>
      <c r="H5783" s="2"/>
      <c r="I5783" s="88">
        <f t="shared" si="715"/>
        <v>33405.360000000001</v>
      </c>
      <c r="L5783" s="2">
        <f t="shared" si="716"/>
        <v>2</v>
      </c>
      <c r="M5783">
        <f t="shared" si="717"/>
        <v>0</v>
      </c>
    </row>
    <row r="5784" spans="1:13" s="108" customFormat="1" x14ac:dyDescent="0.3">
      <c r="A5784" s="3">
        <f t="shared" si="714"/>
        <v>45867</v>
      </c>
      <c r="B5784" s="176">
        <v>5576</v>
      </c>
      <c r="C5784" s="50" t="s">
        <v>8650</v>
      </c>
      <c r="E5784" s="90" t="s">
        <v>4720</v>
      </c>
      <c r="F5784" s="4"/>
      <c r="G5784" s="2"/>
      <c r="H5784" s="2">
        <v>1200</v>
      </c>
      <c r="I5784" s="88">
        <f t="shared" si="715"/>
        <v>32205.360000000001</v>
      </c>
      <c r="L5784" s="2">
        <f t="shared" si="716"/>
        <v>4.8</v>
      </c>
      <c r="M5784">
        <f t="shared" si="717"/>
        <v>0</v>
      </c>
    </row>
    <row r="5785" spans="1:13" s="108" customFormat="1" x14ac:dyDescent="0.3">
      <c r="A5785" s="3">
        <f t="shared" si="714"/>
        <v>45867</v>
      </c>
      <c r="B5785" s="176">
        <v>6070</v>
      </c>
      <c r="C5785" s="50" t="s">
        <v>8779</v>
      </c>
      <c r="E5785" s="90" t="s">
        <v>16</v>
      </c>
      <c r="F5785" s="4"/>
      <c r="G5785" s="2"/>
      <c r="H5785" s="2">
        <v>1000</v>
      </c>
      <c r="I5785" s="88">
        <f t="shared" si="715"/>
        <v>31205.360000000001</v>
      </c>
      <c r="L5785" s="2">
        <f t="shared" si="716"/>
        <v>19</v>
      </c>
      <c r="M5785">
        <f t="shared" si="717"/>
        <v>0</v>
      </c>
    </row>
    <row r="5786" spans="1:13" s="108" customFormat="1" x14ac:dyDescent="0.3">
      <c r="A5786" s="3">
        <f t="shared" si="714"/>
        <v>45867</v>
      </c>
      <c r="B5786" s="176">
        <v>3327</v>
      </c>
      <c r="C5786" s="50" t="s">
        <v>8481</v>
      </c>
      <c r="E5786" s="90" t="s">
        <v>2088</v>
      </c>
      <c r="F5786" s="4"/>
      <c r="G5786" s="2">
        <v>500</v>
      </c>
      <c r="H5786" s="2"/>
      <c r="I5786" s="88">
        <f t="shared" si="715"/>
        <v>31705.360000000001</v>
      </c>
      <c r="L5786" s="2">
        <f t="shared" si="716"/>
        <v>7</v>
      </c>
      <c r="M5786">
        <f t="shared" si="717"/>
        <v>5</v>
      </c>
    </row>
    <row r="5787" spans="1:13" s="108" customFormat="1" x14ac:dyDescent="0.3">
      <c r="A5787" s="3">
        <f t="shared" si="714"/>
        <v>45867</v>
      </c>
      <c r="B5787" s="176">
        <v>4823</v>
      </c>
      <c r="C5787" s="50" t="s">
        <v>8201</v>
      </c>
      <c r="E5787" s="90" t="s">
        <v>2088</v>
      </c>
      <c r="F5787" s="4"/>
      <c r="G5787" s="2">
        <v>2500</v>
      </c>
      <c r="H5787" s="2"/>
      <c r="I5787" s="88">
        <f t="shared" si="715"/>
        <v>34205.360000000001</v>
      </c>
      <c r="L5787" s="2">
        <f t="shared" si="716"/>
        <v>15</v>
      </c>
      <c r="M5787">
        <f t="shared" si="717"/>
        <v>5</v>
      </c>
    </row>
    <row r="5788" spans="1:13" s="108" customFormat="1" x14ac:dyDescent="0.3">
      <c r="A5788" s="3">
        <f t="shared" si="714"/>
        <v>45867</v>
      </c>
      <c r="B5788" s="176" t="s">
        <v>1160</v>
      </c>
      <c r="C5788" s="50" t="s">
        <v>8774</v>
      </c>
      <c r="E5788" s="90" t="s">
        <v>4720</v>
      </c>
      <c r="F5788" s="4"/>
      <c r="G5788" s="2">
        <v>2000</v>
      </c>
      <c r="H5788" s="2"/>
      <c r="I5788" s="88">
        <f t="shared" si="715"/>
        <v>36205.360000000001</v>
      </c>
      <c r="L5788" s="2">
        <f t="shared" si="716"/>
        <v>8</v>
      </c>
      <c r="M5788">
        <f t="shared" si="717"/>
        <v>0</v>
      </c>
    </row>
    <row r="5789" spans="1:13" s="108" customFormat="1" x14ac:dyDescent="0.3">
      <c r="A5789" s="3">
        <f t="shared" si="714"/>
        <v>45867</v>
      </c>
      <c r="B5789" s="176" t="s">
        <v>8777</v>
      </c>
      <c r="C5789" s="135" t="s">
        <v>8778</v>
      </c>
      <c r="E5789" s="90" t="s">
        <v>4720</v>
      </c>
      <c r="F5789" s="4"/>
      <c r="G5789" s="2">
        <v>5000</v>
      </c>
      <c r="H5789" s="2"/>
      <c r="I5789" s="88">
        <f t="shared" si="715"/>
        <v>41205.360000000001</v>
      </c>
      <c r="L5789" s="2">
        <f t="shared" si="716"/>
        <v>20</v>
      </c>
      <c r="M5789">
        <f t="shared" si="717"/>
        <v>0</v>
      </c>
    </row>
    <row r="5790" spans="1:13" s="108" customFormat="1" x14ac:dyDescent="0.3">
      <c r="A5790" s="3">
        <f t="shared" si="714"/>
        <v>45867</v>
      </c>
      <c r="B5790" s="176">
        <v>2405</v>
      </c>
      <c r="C5790" s="50" t="s">
        <v>8780</v>
      </c>
      <c r="E5790" s="90" t="s">
        <v>2088</v>
      </c>
      <c r="F5790" s="4"/>
      <c r="G5790" s="2">
        <v>2000</v>
      </c>
      <c r="H5790" s="2"/>
      <c r="I5790" s="88">
        <f t="shared" si="715"/>
        <v>43205.36</v>
      </c>
      <c r="L5790" s="2">
        <f t="shared" si="716"/>
        <v>13</v>
      </c>
      <c r="M5790">
        <f t="shared" si="717"/>
        <v>5</v>
      </c>
    </row>
    <row r="5791" spans="1:13" s="108" customFormat="1" x14ac:dyDescent="0.3">
      <c r="A5791" s="3">
        <v>45869</v>
      </c>
      <c r="B5791" s="176" t="s">
        <v>6905</v>
      </c>
      <c r="C5791" s="135" t="s">
        <v>8558</v>
      </c>
      <c r="E5791" s="90" t="s">
        <v>4720</v>
      </c>
      <c r="F5791" s="4"/>
      <c r="G5791" s="2"/>
      <c r="H5791" s="2">
        <v>5000</v>
      </c>
      <c r="I5791" s="88">
        <f t="shared" si="715"/>
        <v>38205.360000000001</v>
      </c>
      <c r="L5791" s="2">
        <f t="shared" si="716"/>
        <v>20</v>
      </c>
      <c r="M5791">
        <f t="shared" si="717"/>
        <v>0</v>
      </c>
    </row>
    <row r="5792" spans="1:13" s="108" customFormat="1" x14ac:dyDescent="0.3">
      <c r="A5792" s="3">
        <f t="shared" si="714"/>
        <v>45869</v>
      </c>
      <c r="B5792" s="176" t="s">
        <v>1250</v>
      </c>
      <c r="C5792" s="50" t="s">
        <v>5721</v>
      </c>
      <c r="E5792" s="90" t="s">
        <v>4720</v>
      </c>
      <c r="F5792" s="4"/>
      <c r="G5792" s="2">
        <v>2000</v>
      </c>
      <c r="H5792" s="2"/>
      <c r="I5792" s="88">
        <f t="shared" ref="I5792:I5799" si="718">I5791+G5792-H5792</f>
        <v>40205.360000000001</v>
      </c>
      <c r="L5792" s="2">
        <f t="shared" ref="L5792:L5799" si="719">IF(E5792="C",0,IF((G5792+H5792)&lt;=5000,(G5792+H5792)*0.004,20)+IF(E5792="P",5,IF(E5792="Y",15,IF(E5792="YY",25))))</f>
        <v>8</v>
      </c>
      <c r="M5792">
        <f t="shared" ref="M5792:M5799" si="720">IF(E5792="p",5,0)</f>
        <v>0</v>
      </c>
    </row>
    <row r="5793" spans="1:15" s="108" customFormat="1" x14ac:dyDescent="0.3">
      <c r="A5793" s="3">
        <f t="shared" si="714"/>
        <v>45869</v>
      </c>
      <c r="B5793" s="176">
        <v>5868</v>
      </c>
      <c r="C5793" s="50" t="s">
        <v>8781</v>
      </c>
      <c r="E5793" s="90" t="s">
        <v>2088</v>
      </c>
      <c r="F5793" s="4"/>
      <c r="G5793" s="2">
        <v>1500</v>
      </c>
      <c r="H5793" s="2"/>
      <c r="I5793" s="88">
        <f t="shared" si="718"/>
        <v>41705.360000000001</v>
      </c>
      <c r="L5793" s="2">
        <f t="shared" si="719"/>
        <v>11</v>
      </c>
      <c r="M5793">
        <f t="shared" si="720"/>
        <v>5</v>
      </c>
    </row>
    <row r="5794" spans="1:15" s="108" customFormat="1" x14ac:dyDescent="0.3">
      <c r="A5794" s="3">
        <f t="shared" si="714"/>
        <v>45869</v>
      </c>
      <c r="B5794" s="176">
        <v>4910</v>
      </c>
      <c r="C5794" s="50" t="s">
        <v>6474</v>
      </c>
      <c r="E5794" s="90" t="s">
        <v>4720</v>
      </c>
      <c r="F5794" s="4"/>
      <c r="G5794" s="2">
        <v>2500</v>
      </c>
      <c r="H5794" s="2"/>
      <c r="I5794" s="88">
        <f t="shared" si="718"/>
        <v>44205.36</v>
      </c>
      <c r="L5794" s="2">
        <f t="shared" si="719"/>
        <v>10</v>
      </c>
      <c r="M5794">
        <f t="shared" si="720"/>
        <v>0</v>
      </c>
    </row>
    <row r="5795" spans="1:15" s="108" customFormat="1" x14ac:dyDescent="0.3">
      <c r="A5795" s="3">
        <f t="shared" si="714"/>
        <v>45869</v>
      </c>
      <c r="B5795" s="176">
        <v>5993</v>
      </c>
      <c r="C5795" s="50" t="s">
        <v>6157</v>
      </c>
      <c r="E5795" s="90" t="s">
        <v>2088</v>
      </c>
      <c r="F5795" s="4"/>
      <c r="G5795" s="2"/>
      <c r="H5795" s="2">
        <v>200</v>
      </c>
      <c r="I5795" s="88">
        <f t="shared" si="718"/>
        <v>44005.36</v>
      </c>
      <c r="L5795" s="2">
        <f t="shared" si="719"/>
        <v>5.8</v>
      </c>
      <c r="M5795">
        <f t="shared" si="720"/>
        <v>5</v>
      </c>
    </row>
    <row r="5796" spans="1:15" s="108" customFormat="1" x14ac:dyDescent="0.3">
      <c r="A5796" s="3">
        <f t="shared" si="714"/>
        <v>45869</v>
      </c>
      <c r="B5796" s="176">
        <v>1770</v>
      </c>
      <c r="C5796" s="135" t="s">
        <v>8783</v>
      </c>
      <c r="E5796" s="90" t="s">
        <v>4720</v>
      </c>
      <c r="F5796" s="4"/>
      <c r="G5796" s="2"/>
      <c r="H5796" s="2">
        <v>3500</v>
      </c>
      <c r="I5796" s="88">
        <f t="shared" si="718"/>
        <v>40505.360000000001</v>
      </c>
      <c r="L5796" s="2">
        <f t="shared" si="719"/>
        <v>14</v>
      </c>
      <c r="M5796">
        <f t="shared" si="720"/>
        <v>0</v>
      </c>
    </row>
    <row r="5797" spans="1:15" s="108" customFormat="1" x14ac:dyDescent="0.3">
      <c r="A5797" s="3">
        <f t="shared" si="714"/>
        <v>45869</v>
      </c>
      <c r="B5797" s="176">
        <v>6024</v>
      </c>
      <c r="C5797" s="50" t="s">
        <v>8782</v>
      </c>
      <c r="E5797" s="90" t="s">
        <v>4720</v>
      </c>
      <c r="F5797" s="4"/>
      <c r="G5797" s="2"/>
      <c r="H5797" s="2">
        <v>1700</v>
      </c>
      <c r="I5797" s="88">
        <f t="shared" si="718"/>
        <v>38805.360000000001</v>
      </c>
      <c r="L5797" s="2">
        <f t="shared" si="719"/>
        <v>6.8</v>
      </c>
      <c r="M5797">
        <f t="shared" si="720"/>
        <v>0</v>
      </c>
    </row>
    <row r="5798" spans="1:15" s="108" customFormat="1" x14ac:dyDescent="0.3">
      <c r="A5798" s="3">
        <f t="shared" si="714"/>
        <v>45869</v>
      </c>
      <c r="B5798" s="176">
        <v>504</v>
      </c>
      <c r="C5798" s="50" t="s">
        <v>2679</v>
      </c>
      <c r="E5798" s="90" t="s">
        <v>4720</v>
      </c>
      <c r="F5798" s="4"/>
      <c r="G5798" s="2"/>
      <c r="H5798" s="2">
        <v>5000</v>
      </c>
      <c r="I5798" s="88">
        <f t="shared" si="718"/>
        <v>33805.360000000001</v>
      </c>
      <c r="L5798" s="2">
        <f t="shared" si="719"/>
        <v>20</v>
      </c>
      <c r="M5798">
        <f t="shared" si="720"/>
        <v>0</v>
      </c>
    </row>
    <row r="5799" spans="1:15" s="108" customFormat="1" x14ac:dyDescent="0.3">
      <c r="A5799" s="3">
        <f t="shared" si="714"/>
        <v>45869</v>
      </c>
      <c r="B5799" s="176">
        <v>1403</v>
      </c>
      <c r="C5799" s="50" t="s">
        <v>8784</v>
      </c>
      <c r="E5799" s="90" t="s">
        <v>2088</v>
      </c>
      <c r="F5799" s="4"/>
      <c r="G5799" s="2">
        <v>2500</v>
      </c>
      <c r="H5799" s="2"/>
      <c r="I5799" s="88">
        <f t="shared" si="718"/>
        <v>36305.360000000001</v>
      </c>
      <c r="L5799" s="2">
        <f t="shared" si="719"/>
        <v>15</v>
      </c>
      <c r="M5799">
        <f t="shared" si="720"/>
        <v>5</v>
      </c>
    </row>
    <row r="5800" spans="1:15" x14ac:dyDescent="0.3">
      <c r="A5800" s="77">
        <f>COUNT(A5245:A5799)</f>
        <v>541</v>
      </c>
      <c r="B5800" s="80" t="s">
        <v>7120</v>
      </c>
      <c r="C5800" s="112">
        <f>SUMIF(E5465:E5799,"C",H5465:H5799)+SUMIF(E5465:E5799,"C",G5465:G5799)</f>
        <v>540000</v>
      </c>
      <c r="D5800" s="112">
        <f>COUNTIF(E5505:E5799,"p")</f>
        <v>88</v>
      </c>
      <c r="E5800" s="92">
        <f>COUNTIF(E5505:E5799,"Y")</f>
        <v>11</v>
      </c>
      <c r="F5800" s="80">
        <f>SUM(F4159)</f>
        <v>0</v>
      </c>
      <c r="G5800" s="121">
        <f>SUM(G5505:G5799)</f>
        <v>732550</v>
      </c>
      <c r="H5800" s="121">
        <f>SUM(H5505:H5799)</f>
        <v>706850</v>
      </c>
      <c r="I5800" s="121">
        <f>G5800+H5800-C5800</f>
        <v>899400</v>
      </c>
      <c r="J5800" s="122"/>
      <c r="K5800" s="122">
        <f>SUM(K5505:K5799)</f>
        <v>0</v>
      </c>
      <c r="L5800" s="121">
        <f>SUM(L5505:L5799)</f>
        <v>3668.8000000000006</v>
      </c>
      <c r="M5800" s="121">
        <f>SUM(M5505:M5799)</f>
        <v>440</v>
      </c>
      <c r="N5800" s="62">
        <f>M5800/5</f>
        <v>88</v>
      </c>
      <c r="O5800">
        <f>IF(D4626&gt;100,D5800*6,D5800*5)</f>
        <v>440</v>
      </c>
    </row>
    <row r="5802" spans="1:15" x14ac:dyDescent="0.3">
      <c r="A5802" s="3">
        <v>45870</v>
      </c>
      <c r="C5802" s="50" t="s">
        <v>8558</v>
      </c>
      <c r="E5802" s="90" t="s">
        <v>4720</v>
      </c>
      <c r="G5802" s="88">
        <f>I5799</f>
        <v>36305.360000000001</v>
      </c>
      <c r="I5802" s="88">
        <f t="shared" ref="I5802:I5803" si="721">I5801+G5802-H5802</f>
        <v>36305.360000000001</v>
      </c>
      <c r="K5802" s="62"/>
      <c r="L5802" s="2">
        <v>0</v>
      </c>
      <c r="M5802">
        <f t="shared" ref="M5802:M5803" si="722">IF(E5802="p",5,0)</f>
        <v>0</v>
      </c>
    </row>
    <row r="5803" spans="1:15" x14ac:dyDescent="0.3">
      <c r="A5803" s="3">
        <f>A5802</f>
        <v>45870</v>
      </c>
      <c r="B5803" s="11" t="s">
        <v>8286</v>
      </c>
      <c r="C5803" s="50" t="s">
        <v>8559</v>
      </c>
      <c r="E5803" s="90" t="s">
        <v>2088</v>
      </c>
      <c r="G5803" s="2">
        <v>0</v>
      </c>
      <c r="H5803" s="2">
        <v>0</v>
      </c>
      <c r="I5803" s="88">
        <f t="shared" si="721"/>
        <v>36305.360000000001</v>
      </c>
      <c r="K5803" s="62"/>
      <c r="L5803" s="2">
        <f t="shared" ref="L5803" si="723">IF(E5803="C",0,IF((G5803+H5803)&lt;=5000,(G5803+H5803)*0.004,20)+IF(E5803="P",5,IF(E5803="Y",15,IF(E5803="YY",25))))</f>
        <v>5</v>
      </c>
      <c r="M5803">
        <f t="shared" si="722"/>
        <v>5</v>
      </c>
    </row>
    <row r="5804" spans="1:15" x14ac:dyDescent="0.3">
      <c r="A5804" s="3">
        <f t="shared" ref="A5804:A5868" si="724">A5803</f>
        <v>45870</v>
      </c>
      <c r="B5804" s="11" t="s">
        <v>2448</v>
      </c>
      <c r="C5804" s="50" t="s">
        <v>2274</v>
      </c>
      <c r="E5804" s="90" t="s">
        <v>4720</v>
      </c>
      <c r="H5804" s="2">
        <v>5000</v>
      </c>
      <c r="I5804" s="88">
        <f t="shared" ref="I5804:I5816" si="725">I5803+G5804-H5804</f>
        <v>31305.360000000001</v>
      </c>
      <c r="K5804" s="62"/>
      <c r="L5804" s="2">
        <f t="shared" ref="L5804:L5816" si="726">IF(E5804="C",0,IF((G5804+H5804)&lt;=5000,(G5804+H5804)*0.004,20)+IF(E5804="P",5,IF(E5804="Y",15,IF(E5804="YY",25))))</f>
        <v>20</v>
      </c>
      <c r="M5804">
        <f t="shared" ref="M5804:M5816" si="727">IF(E5804="p",5,0)</f>
        <v>0</v>
      </c>
    </row>
    <row r="5805" spans="1:15" x14ac:dyDescent="0.3">
      <c r="A5805" s="3">
        <f t="shared" si="724"/>
        <v>45870</v>
      </c>
      <c r="B5805" s="11" t="s">
        <v>8286</v>
      </c>
      <c r="C5805" s="50" t="s">
        <v>8559</v>
      </c>
      <c r="E5805" s="90" t="s">
        <v>4720</v>
      </c>
      <c r="H5805" s="2">
        <v>100</v>
      </c>
      <c r="I5805" s="88">
        <f t="shared" si="725"/>
        <v>31205.360000000001</v>
      </c>
      <c r="K5805" s="62"/>
      <c r="L5805" s="2">
        <f t="shared" si="726"/>
        <v>0.4</v>
      </c>
      <c r="M5805">
        <f t="shared" si="727"/>
        <v>0</v>
      </c>
    </row>
    <row r="5806" spans="1:15" x14ac:dyDescent="0.3">
      <c r="A5806" s="3">
        <f t="shared" si="724"/>
        <v>45870</v>
      </c>
      <c r="B5806" s="11" t="s">
        <v>7005</v>
      </c>
      <c r="C5806" s="50" t="s">
        <v>7316</v>
      </c>
      <c r="E5806" s="90" t="s">
        <v>2088</v>
      </c>
      <c r="G5806" s="2">
        <v>5000</v>
      </c>
      <c r="I5806" s="88">
        <f t="shared" si="725"/>
        <v>36205.360000000001</v>
      </c>
      <c r="K5806" s="62"/>
      <c r="L5806" s="2">
        <f t="shared" si="726"/>
        <v>25</v>
      </c>
      <c r="M5806">
        <f t="shared" si="727"/>
        <v>5</v>
      </c>
    </row>
    <row r="5807" spans="1:15" x14ac:dyDescent="0.3">
      <c r="A5807" s="3">
        <f t="shared" si="724"/>
        <v>45870</v>
      </c>
      <c r="B5807" s="11" t="s">
        <v>8785</v>
      </c>
      <c r="C5807" s="50" t="s">
        <v>8786</v>
      </c>
      <c r="D5807" s="50">
        <v>8130648617</v>
      </c>
      <c r="E5807" s="90" t="s">
        <v>4720</v>
      </c>
      <c r="G5807" s="2">
        <v>10000</v>
      </c>
      <c r="I5807" s="88">
        <f t="shared" si="725"/>
        <v>46205.36</v>
      </c>
      <c r="K5807" s="62">
        <v>100</v>
      </c>
      <c r="L5807" s="2">
        <f t="shared" si="726"/>
        <v>20</v>
      </c>
      <c r="M5807">
        <f t="shared" si="727"/>
        <v>0</v>
      </c>
    </row>
    <row r="5808" spans="1:15" x14ac:dyDescent="0.3">
      <c r="A5808" s="3">
        <f t="shared" si="724"/>
        <v>45870</v>
      </c>
      <c r="B5808" s="11" t="s">
        <v>3524</v>
      </c>
      <c r="C5808" s="50" t="s">
        <v>3034</v>
      </c>
      <c r="E5808" s="90" t="s">
        <v>4720</v>
      </c>
      <c r="H5808" s="2">
        <v>10000</v>
      </c>
      <c r="I5808" s="88">
        <f t="shared" si="725"/>
        <v>36205.360000000001</v>
      </c>
      <c r="K5808" s="62"/>
      <c r="L5808" s="2">
        <f t="shared" si="726"/>
        <v>20</v>
      </c>
      <c r="M5808">
        <f t="shared" si="727"/>
        <v>0</v>
      </c>
    </row>
    <row r="5809" spans="1:13" x14ac:dyDescent="0.3">
      <c r="A5809" s="3">
        <f t="shared" si="724"/>
        <v>45870</v>
      </c>
      <c r="B5809" s="11" t="s">
        <v>1472</v>
      </c>
      <c r="C5809" s="50" t="s">
        <v>8026</v>
      </c>
      <c r="E5809" s="90" t="s">
        <v>4720</v>
      </c>
      <c r="G5809" s="2">
        <v>5000</v>
      </c>
      <c r="I5809" s="88">
        <f t="shared" si="725"/>
        <v>41205.360000000001</v>
      </c>
      <c r="K5809" s="62">
        <v>50</v>
      </c>
      <c r="L5809" s="2">
        <f t="shared" si="726"/>
        <v>20</v>
      </c>
      <c r="M5809">
        <f t="shared" si="727"/>
        <v>0</v>
      </c>
    </row>
    <row r="5810" spans="1:13" x14ac:dyDescent="0.3">
      <c r="A5810" s="3">
        <f t="shared" si="724"/>
        <v>45870</v>
      </c>
      <c r="B5810" s="11" t="s">
        <v>6844</v>
      </c>
      <c r="C5810" s="50" t="s">
        <v>8787</v>
      </c>
      <c r="E5810" s="90" t="s">
        <v>4720</v>
      </c>
      <c r="H5810" s="2">
        <v>700</v>
      </c>
      <c r="I5810" s="88">
        <f t="shared" si="725"/>
        <v>40505.360000000001</v>
      </c>
      <c r="K5810" s="62"/>
      <c r="L5810" s="2">
        <f t="shared" si="726"/>
        <v>2.8000000000000003</v>
      </c>
      <c r="M5810">
        <f t="shared" si="727"/>
        <v>0</v>
      </c>
    </row>
    <row r="5811" spans="1:13" x14ac:dyDescent="0.3">
      <c r="A5811" s="3">
        <f t="shared" si="724"/>
        <v>45870</v>
      </c>
      <c r="C5811" s="50" t="s">
        <v>2857</v>
      </c>
      <c r="E5811" s="90" t="s">
        <v>8332</v>
      </c>
      <c r="H5811" s="2">
        <v>35000</v>
      </c>
      <c r="I5811" s="88">
        <f t="shared" si="725"/>
        <v>5505.3600000000006</v>
      </c>
      <c r="K5811" s="62"/>
      <c r="L5811" s="2">
        <f t="shared" si="726"/>
        <v>0</v>
      </c>
      <c r="M5811">
        <f t="shared" si="727"/>
        <v>0</v>
      </c>
    </row>
    <row r="5812" spans="1:13" x14ac:dyDescent="0.3">
      <c r="A5812" s="3">
        <f t="shared" si="724"/>
        <v>45870</v>
      </c>
      <c r="B5812" s="11" t="s">
        <v>8633</v>
      </c>
      <c r="C5812" s="50" t="s">
        <v>8788</v>
      </c>
      <c r="E5812" s="90" t="s">
        <v>2088</v>
      </c>
      <c r="G5812" s="2">
        <v>10000</v>
      </c>
      <c r="I5812" s="88">
        <f t="shared" si="725"/>
        <v>15505.36</v>
      </c>
      <c r="K5812" s="62"/>
      <c r="L5812" s="2">
        <f t="shared" si="726"/>
        <v>25</v>
      </c>
      <c r="M5812">
        <f t="shared" si="727"/>
        <v>5</v>
      </c>
    </row>
    <row r="5813" spans="1:13" x14ac:dyDescent="0.3">
      <c r="A5813" s="3">
        <f t="shared" si="724"/>
        <v>45870</v>
      </c>
      <c r="B5813" s="11" t="s">
        <v>8789</v>
      </c>
      <c r="C5813" s="50" t="s">
        <v>8790</v>
      </c>
      <c r="E5813" s="90" t="s">
        <v>2088</v>
      </c>
      <c r="H5813" s="2">
        <v>0</v>
      </c>
      <c r="I5813" s="88">
        <f t="shared" si="725"/>
        <v>15505.36</v>
      </c>
      <c r="K5813" s="62"/>
      <c r="L5813" s="2">
        <f t="shared" si="726"/>
        <v>5</v>
      </c>
      <c r="M5813">
        <f t="shared" si="727"/>
        <v>5</v>
      </c>
    </row>
    <row r="5814" spans="1:13" x14ac:dyDescent="0.3">
      <c r="A5814" s="3">
        <f t="shared" si="724"/>
        <v>45870</v>
      </c>
      <c r="B5814" s="11" t="s">
        <v>6864</v>
      </c>
      <c r="C5814" s="50" t="s">
        <v>8791</v>
      </c>
      <c r="E5814" s="90" t="s">
        <v>2088</v>
      </c>
      <c r="G5814" s="2">
        <v>4000</v>
      </c>
      <c r="I5814" s="88">
        <f t="shared" si="725"/>
        <v>19505.36</v>
      </c>
      <c r="K5814" s="62"/>
      <c r="L5814" s="2">
        <f t="shared" si="726"/>
        <v>21</v>
      </c>
      <c r="M5814">
        <f t="shared" si="727"/>
        <v>5</v>
      </c>
    </row>
    <row r="5815" spans="1:13" x14ac:dyDescent="0.3">
      <c r="A5815" s="3">
        <f t="shared" si="724"/>
        <v>45870</v>
      </c>
      <c r="B5815" s="11" t="s">
        <v>4796</v>
      </c>
      <c r="C5815" s="50" t="s">
        <v>8792</v>
      </c>
      <c r="E5815" s="90" t="s">
        <v>4720</v>
      </c>
      <c r="H5815" s="2">
        <v>2000</v>
      </c>
      <c r="I5815" s="88">
        <f t="shared" si="725"/>
        <v>17505.36</v>
      </c>
      <c r="K5815" s="62"/>
      <c r="L5815" s="2">
        <f t="shared" si="726"/>
        <v>8</v>
      </c>
      <c r="M5815">
        <f t="shared" si="727"/>
        <v>0</v>
      </c>
    </row>
    <row r="5816" spans="1:13" x14ac:dyDescent="0.3">
      <c r="A5816" s="3">
        <f t="shared" si="724"/>
        <v>45870</v>
      </c>
      <c r="B5816" s="11" t="s">
        <v>7186</v>
      </c>
      <c r="C5816" s="50" t="s">
        <v>8039</v>
      </c>
      <c r="E5816" s="90" t="s">
        <v>2088</v>
      </c>
      <c r="H5816" s="2">
        <v>0</v>
      </c>
      <c r="I5816" s="88">
        <f t="shared" si="725"/>
        <v>17505.36</v>
      </c>
      <c r="K5816" s="62"/>
      <c r="L5816" s="2">
        <f t="shared" si="726"/>
        <v>5</v>
      </c>
      <c r="M5816">
        <f t="shared" si="727"/>
        <v>5</v>
      </c>
    </row>
    <row r="5817" spans="1:13" x14ac:dyDescent="0.3">
      <c r="A5817" s="3">
        <f t="shared" si="724"/>
        <v>45870</v>
      </c>
      <c r="B5817" s="11" t="s">
        <v>7547</v>
      </c>
      <c r="C5817" s="50" t="s">
        <v>6685</v>
      </c>
      <c r="E5817" s="90" t="s">
        <v>4720</v>
      </c>
      <c r="G5817" s="2">
        <v>400</v>
      </c>
      <c r="I5817" s="88">
        <f t="shared" ref="I5817:I5837" si="728">I5816+G5817-H5817</f>
        <v>17905.36</v>
      </c>
      <c r="K5817" s="62"/>
      <c r="L5817" s="2">
        <f t="shared" ref="L5817:L5837" si="729">IF(E5817="C",0,IF((G5817+H5817)&lt;=5000,(G5817+H5817)*0.004,20)+IF(E5817="P",5,IF(E5817="Y",15,IF(E5817="YY",25))))</f>
        <v>1.6</v>
      </c>
      <c r="M5817">
        <f t="shared" ref="M5817:M5837" si="730">IF(E5817="p",5,0)</f>
        <v>0</v>
      </c>
    </row>
    <row r="5818" spans="1:13" x14ac:dyDescent="0.3">
      <c r="A5818" s="3">
        <v>45871</v>
      </c>
      <c r="B5818" s="11" t="s">
        <v>1170</v>
      </c>
      <c r="C5818" s="50" t="s">
        <v>8793</v>
      </c>
      <c r="E5818" s="90" t="s">
        <v>4720</v>
      </c>
      <c r="G5818" s="2">
        <v>2050</v>
      </c>
      <c r="I5818" s="88">
        <f t="shared" si="728"/>
        <v>19955.36</v>
      </c>
      <c r="K5818" s="62">
        <v>20</v>
      </c>
      <c r="L5818" s="2">
        <f t="shared" si="729"/>
        <v>8.1999999999999993</v>
      </c>
      <c r="M5818">
        <f t="shared" si="730"/>
        <v>0</v>
      </c>
    </row>
    <row r="5819" spans="1:13" x14ac:dyDescent="0.3">
      <c r="A5819" s="3">
        <f t="shared" si="724"/>
        <v>45871</v>
      </c>
      <c r="B5819" s="11" t="s">
        <v>7262</v>
      </c>
      <c r="C5819" s="50" t="s">
        <v>8794</v>
      </c>
      <c r="E5819" s="90" t="s">
        <v>2088</v>
      </c>
      <c r="G5819" s="2">
        <v>5000</v>
      </c>
      <c r="I5819" s="88">
        <f t="shared" si="728"/>
        <v>24955.360000000001</v>
      </c>
      <c r="K5819" s="62"/>
      <c r="L5819" s="2">
        <f t="shared" si="729"/>
        <v>25</v>
      </c>
      <c r="M5819">
        <f t="shared" si="730"/>
        <v>5</v>
      </c>
    </row>
    <row r="5820" spans="1:13" x14ac:dyDescent="0.3">
      <c r="A5820" s="3">
        <v>45872</v>
      </c>
      <c r="B5820" s="11" t="s">
        <v>8795</v>
      </c>
      <c r="C5820" s="50" t="s">
        <v>6043</v>
      </c>
      <c r="E5820" s="90" t="s">
        <v>4720</v>
      </c>
      <c r="H5820" s="2">
        <v>7100</v>
      </c>
      <c r="I5820" s="88">
        <f t="shared" si="728"/>
        <v>17855.36</v>
      </c>
      <c r="K5820" s="62"/>
      <c r="L5820" s="2">
        <f t="shared" si="729"/>
        <v>20</v>
      </c>
      <c r="M5820">
        <f t="shared" si="730"/>
        <v>0</v>
      </c>
    </row>
    <row r="5821" spans="1:13" x14ac:dyDescent="0.3">
      <c r="A5821" s="3">
        <f t="shared" si="724"/>
        <v>45872</v>
      </c>
      <c r="B5821" s="11" t="s">
        <v>1160</v>
      </c>
      <c r="C5821" s="50" t="s">
        <v>8796</v>
      </c>
      <c r="E5821" s="90" t="s">
        <v>4720</v>
      </c>
      <c r="G5821" s="2">
        <v>1900</v>
      </c>
      <c r="I5821" s="88">
        <f t="shared" si="728"/>
        <v>19755.36</v>
      </c>
      <c r="K5821" s="62">
        <v>20</v>
      </c>
      <c r="L5821" s="2">
        <f t="shared" si="729"/>
        <v>7.6000000000000005</v>
      </c>
      <c r="M5821">
        <f t="shared" si="730"/>
        <v>0</v>
      </c>
    </row>
    <row r="5822" spans="1:13" x14ac:dyDescent="0.3">
      <c r="A5822" s="3">
        <v>45873</v>
      </c>
      <c r="B5822" s="11" t="s">
        <v>8798</v>
      </c>
      <c r="E5822" s="90" t="s">
        <v>16</v>
      </c>
      <c r="H5822" s="2">
        <v>500</v>
      </c>
      <c r="I5822" s="88">
        <f t="shared" si="728"/>
        <v>19255.36</v>
      </c>
      <c r="K5822" s="62"/>
      <c r="L5822" s="2">
        <f t="shared" si="729"/>
        <v>17</v>
      </c>
      <c r="M5822">
        <f t="shared" si="730"/>
        <v>0</v>
      </c>
    </row>
    <row r="5823" spans="1:13" x14ac:dyDescent="0.3">
      <c r="A5823" s="3">
        <f t="shared" si="724"/>
        <v>45873</v>
      </c>
      <c r="B5823" s="11" t="s">
        <v>7757</v>
      </c>
      <c r="C5823" s="50" t="s">
        <v>8801</v>
      </c>
      <c r="E5823" s="90" t="s">
        <v>4720</v>
      </c>
      <c r="H5823" s="2">
        <v>4400</v>
      </c>
      <c r="I5823" s="88">
        <f t="shared" si="728"/>
        <v>14855.36</v>
      </c>
      <c r="K5823" s="62"/>
      <c r="L5823" s="2">
        <f t="shared" si="729"/>
        <v>17.600000000000001</v>
      </c>
      <c r="M5823">
        <f t="shared" si="730"/>
        <v>0</v>
      </c>
    </row>
    <row r="5824" spans="1:13" x14ac:dyDescent="0.3">
      <c r="A5824" s="3">
        <f t="shared" si="724"/>
        <v>45873</v>
      </c>
      <c r="B5824" s="11" t="s">
        <v>2364</v>
      </c>
      <c r="C5824" s="50" t="s">
        <v>8802</v>
      </c>
      <c r="E5824" s="90" t="s">
        <v>2088</v>
      </c>
      <c r="H5824" s="2">
        <v>6100</v>
      </c>
      <c r="I5824" s="88">
        <f t="shared" si="728"/>
        <v>8755.36</v>
      </c>
      <c r="K5824" s="62"/>
      <c r="L5824" s="2">
        <f t="shared" si="729"/>
        <v>25</v>
      </c>
      <c r="M5824">
        <f t="shared" si="730"/>
        <v>5</v>
      </c>
    </row>
    <row r="5825" spans="1:13" x14ac:dyDescent="0.3">
      <c r="A5825" s="3">
        <f t="shared" si="724"/>
        <v>45873</v>
      </c>
      <c r="B5825" s="11" t="s">
        <v>1160</v>
      </c>
      <c r="C5825" s="50" t="s">
        <v>8803</v>
      </c>
      <c r="E5825" s="90" t="s">
        <v>4720</v>
      </c>
      <c r="G5825" s="2">
        <v>6000</v>
      </c>
      <c r="I5825" s="88">
        <f t="shared" si="728"/>
        <v>14755.36</v>
      </c>
      <c r="K5825" s="62">
        <v>60</v>
      </c>
      <c r="L5825" s="2">
        <f t="shared" si="729"/>
        <v>20</v>
      </c>
      <c r="M5825">
        <f t="shared" si="730"/>
        <v>0</v>
      </c>
    </row>
    <row r="5826" spans="1:13" x14ac:dyDescent="0.3">
      <c r="A5826" s="3">
        <f t="shared" si="724"/>
        <v>45873</v>
      </c>
      <c r="B5826" s="11" t="s">
        <v>2303</v>
      </c>
      <c r="C5826" s="50" t="s">
        <v>4133</v>
      </c>
      <c r="E5826" s="90" t="s">
        <v>4720</v>
      </c>
      <c r="H5826" s="2">
        <v>5000</v>
      </c>
      <c r="I5826" s="88">
        <f t="shared" si="728"/>
        <v>9755.36</v>
      </c>
      <c r="K5826" s="62"/>
      <c r="L5826" s="2">
        <f t="shared" si="729"/>
        <v>20</v>
      </c>
      <c r="M5826">
        <f t="shared" si="730"/>
        <v>0</v>
      </c>
    </row>
    <row r="5827" spans="1:13" x14ac:dyDescent="0.3">
      <c r="A5827" s="3">
        <f t="shared" si="724"/>
        <v>45873</v>
      </c>
      <c r="B5827" s="11" t="s">
        <v>7329</v>
      </c>
      <c r="C5827" s="50" t="s">
        <v>8632</v>
      </c>
      <c r="E5827" s="90" t="s">
        <v>2088</v>
      </c>
      <c r="G5827" s="2">
        <v>2300</v>
      </c>
      <c r="I5827" s="88">
        <f t="shared" si="728"/>
        <v>12055.36</v>
      </c>
      <c r="K5827" s="62"/>
      <c r="L5827" s="2">
        <f t="shared" si="729"/>
        <v>14.200000000000001</v>
      </c>
      <c r="M5827">
        <f t="shared" si="730"/>
        <v>5</v>
      </c>
    </row>
    <row r="5828" spans="1:13" x14ac:dyDescent="0.3">
      <c r="A5828" s="3">
        <f t="shared" si="724"/>
        <v>45873</v>
      </c>
      <c r="B5828" s="11" t="s">
        <v>8804</v>
      </c>
      <c r="C5828" s="50" t="s">
        <v>8805</v>
      </c>
      <c r="E5828" s="90" t="s">
        <v>2088</v>
      </c>
      <c r="G5828" s="2">
        <v>0</v>
      </c>
      <c r="H5828" s="2">
        <v>0</v>
      </c>
      <c r="I5828" s="88">
        <f t="shared" si="728"/>
        <v>12055.36</v>
      </c>
      <c r="K5828" s="62"/>
      <c r="L5828" s="2">
        <f t="shared" si="729"/>
        <v>5</v>
      </c>
      <c r="M5828">
        <f t="shared" si="730"/>
        <v>5</v>
      </c>
    </row>
    <row r="5829" spans="1:13" x14ac:dyDescent="0.3">
      <c r="A5829" s="3">
        <f t="shared" si="724"/>
        <v>45873</v>
      </c>
      <c r="B5829" s="11" t="s">
        <v>1250</v>
      </c>
      <c r="C5829" s="50" t="s">
        <v>2734</v>
      </c>
      <c r="E5829" s="90" t="s">
        <v>4720</v>
      </c>
      <c r="G5829" s="2">
        <v>1200</v>
      </c>
      <c r="I5829" s="88">
        <f t="shared" si="728"/>
        <v>13255.36</v>
      </c>
      <c r="K5829" s="62"/>
      <c r="L5829" s="2">
        <f t="shared" si="729"/>
        <v>4.8</v>
      </c>
      <c r="M5829">
        <f t="shared" si="730"/>
        <v>0</v>
      </c>
    </row>
    <row r="5830" spans="1:13" x14ac:dyDescent="0.3">
      <c r="A5830" s="3">
        <f t="shared" si="724"/>
        <v>45873</v>
      </c>
      <c r="B5830" s="11" t="s">
        <v>3524</v>
      </c>
      <c r="C5830" s="50" t="s">
        <v>3088</v>
      </c>
      <c r="E5830" s="90" t="s">
        <v>4720</v>
      </c>
      <c r="H5830" s="2">
        <v>5000</v>
      </c>
      <c r="I5830" s="88">
        <f t="shared" si="728"/>
        <v>8255.36</v>
      </c>
      <c r="K5830" s="62"/>
      <c r="L5830" s="2">
        <f t="shared" si="729"/>
        <v>20</v>
      </c>
      <c r="M5830">
        <f t="shared" si="730"/>
        <v>0</v>
      </c>
    </row>
    <row r="5831" spans="1:13" x14ac:dyDescent="0.3">
      <c r="A5831" s="3">
        <f t="shared" si="724"/>
        <v>45873</v>
      </c>
      <c r="B5831" s="11" t="s">
        <v>8806</v>
      </c>
      <c r="C5831" s="50" t="s">
        <v>2615</v>
      </c>
      <c r="E5831" s="90" t="s">
        <v>2088</v>
      </c>
      <c r="G5831" s="2">
        <v>0</v>
      </c>
      <c r="H5831" s="2">
        <v>0</v>
      </c>
      <c r="I5831" s="88">
        <f t="shared" si="728"/>
        <v>8255.36</v>
      </c>
      <c r="K5831" s="62"/>
      <c r="L5831" s="2">
        <f t="shared" si="729"/>
        <v>5</v>
      </c>
      <c r="M5831">
        <f t="shared" si="730"/>
        <v>5</v>
      </c>
    </row>
    <row r="5832" spans="1:13" x14ac:dyDescent="0.3">
      <c r="A5832" s="3">
        <f t="shared" si="724"/>
        <v>45873</v>
      </c>
      <c r="B5832" s="11" t="s">
        <v>7312</v>
      </c>
      <c r="C5832" s="50" t="s">
        <v>8521</v>
      </c>
      <c r="E5832" s="90" t="s">
        <v>2088</v>
      </c>
      <c r="G5832" s="2">
        <v>2500</v>
      </c>
      <c r="I5832" s="88">
        <f t="shared" si="728"/>
        <v>10755.36</v>
      </c>
      <c r="K5832" s="62"/>
      <c r="L5832" s="2">
        <f t="shared" si="729"/>
        <v>15</v>
      </c>
      <c r="M5832">
        <f t="shared" si="730"/>
        <v>5</v>
      </c>
    </row>
    <row r="5833" spans="1:13" x14ac:dyDescent="0.3">
      <c r="A5833" s="3">
        <f t="shared" si="724"/>
        <v>45873</v>
      </c>
      <c r="B5833" s="11" t="s">
        <v>7489</v>
      </c>
      <c r="C5833" s="50" t="s">
        <v>8807</v>
      </c>
      <c r="E5833" s="90" t="s">
        <v>4720</v>
      </c>
      <c r="H5833" s="2">
        <v>10000</v>
      </c>
      <c r="I5833" s="88">
        <f t="shared" si="728"/>
        <v>755.36000000000058</v>
      </c>
      <c r="K5833" s="62"/>
      <c r="L5833" s="2">
        <f t="shared" si="729"/>
        <v>20</v>
      </c>
      <c r="M5833">
        <f t="shared" si="730"/>
        <v>0</v>
      </c>
    </row>
    <row r="5834" spans="1:13" x14ac:dyDescent="0.3">
      <c r="A5834" s="3">
        <f t="shared" si="724"/>
        <v>45873</v>
      </c>
      <c r="B5834" s="11" t="s">
        <v>8674</v>
      </c>
      <c r="C5834" s="50" t="s">
        <v>8675</v>
      </c>
      <c r="E5834" s="90" t="s">
        <v>2088</v>
      </c>
      <c r="G5834" s="2">
        <v>2200</v>
      </c>
      <c r="I5834" s="88">
        <f t="shared" si="728"/>
        <v>2955.3600000000006</v>
      </c>
      <c r="K5834" s="62"/>
      <c r="L5834" s="2">
        <f t="shared" si="729"/>
        <v>13.8</v>
      </c>
      <c r="M5834">
        <f t="shared" si="730"/>
        <v>5</v>
      </c>
    </row>
    <row r="5835" spans="1:13" x14ac:dyDescent="0.3">
      <c r="A5835" s="3">
        <v>45874</v>
      </c>
      <c r="C5835" s="50" t="s">
        <v>8812</v>
      </c>
      <c r="E5835" s="90" t="s">
        <v>8332</v>
      </c>
      <c r="G5835" s="2">
        <v>20000</v>
      </c>
      <c r="I5835" s="88">
        <f t="shared" si="728"/>
        <v>22955.360000000001</v>
      </c>
      <c r="K5835" s="62"/>
      <c r="L5835" s="2">
        <f t="shared" si="729"/>
        <v>0</v>
      </c>
      <c r="M5835">
        <f t="shared" si="730"/>
        <v>0</v>
      </c>
    </row>
    <row r="5836" spans="1:13" x14ac:dyDescent="0.3">
      <c r="A5836" s="3">
        <f t="shared" si="724"/>
        <v>45874</v>
      </c>
      <c r="B5836" s="11" t="s">
        <v>4506</v>
      </c>
      <c r="C5836" s="50" t="s">
        <v>8808</v>
      </c>
      <c r="E5836" s="90" t="s">
        <v>2088</v>
      </c>
      <c r="G5836" s="2">
        <v>0</v>
      </c>
      <c r="H5836" s="2">
        <v>0</v>
      </c>
      <c r="I5836" s="88">
        <f t="shared" si="728"/>
        <v>22955.360000000001</v>
      </c>
      <c r="K5836" s="62"/>
      <c r="L5836" s="2">
        <f t="shared" si="729"/>
        <v>5</v>
      </c>
      <c r="M5836">
        <f t="shared" si="730"/>
        <v>5</v>
      </c>
    </row>
    <row r="5837" spans="1:13" x14ac:dyDescent="0.3">
      <c r="A5837" s="3">
        <f t="shared" si="724"/>
        <v>45874</v>
      </c>
      <c r="B5837" s="11" t="s">
        <v>8809</v>
      </c>
      <c r="C5837" s="50" t="s">
        <v>8810</v>
      </c>
      <c r="E5837" s="90" t="s">
        <v>4720</v>
      </c>
      <c r="G5837" s="2">
        <v>8500</v>
      </c>
      <c r="I5837" s="88">
        <f t="shared" si="728"/>
        <v>31455.360000000001</v>
      </c>
      <c r="K5837" s="62">
        <v>80</v>
      </c>
      <c r="L5837" s="2">
        <f t="shared" si="729"/>
        <v>20</v>
      </c>
      <c r="M5837">
        <f t="shared" si="730"/>
        <v>0</v>
      </c>
    </row>
    <row r="5838" spans="1:13" x14ac:dyDescent="0.3">
      <c r="A5838" s="3">
        <f t="shared" si="724"/>
        <v>45874</v>
      </c>
      <c r="B5838" s="11" t="s">
        <v>6260</v>
      </c>
      <c r="C5838" s="50" t="s">
        <v>8558</v>
      </c>
      <c r="E5838" s="90" t="s">
        <v>4720</v>
      </c>
      <c r="H5838" s="2">
        <v>4500</v>
      </c>
      <c r="I5838" s="88">
        <f t="shared" ref="I5838:I5845" si="731">I5837+G5838-H5838</f>
        <v>26955.360000000001</v>
      </c>
      <c r="K5838" s="62"/>
      <c r="L5838" s="2">
        <f t="shared" ref="L5838:L5845" si="732">IF(E5838="C",0,IF((G5838+H5838)&lt;=5000,(G5838+H5838)*0.004,20)+IF(E5838="P",5,IF(E5838="Y",15,IF(E5838="YY",25))))</f>
        <v>18</v>
      </c>
      <c r="M5838">
        <f t="shared" ref="M5838:M5845" si="733">IF(E5838="p",5,0)</f>
        <v>0</v>
      </c>
    </row>
    <row r="5839" spans="1:13" x14ac:dyDescent="0.3">
      <c r="A5839" s="3">
        <f t="shared" si="724"/>
        <v>45874</v>
      </c>
      <c r="B5839" s="11" t="s">
        <v>7489</v>
      </c>
      <c r="C5839" s="50" t="s">
        <v>8811</v>
      </c>
      <c r="E5839" s="90" t="s">
        <v>4720</v>
      </c>
      <c r="H5839" s="2">
        <v>10000</v>
      </c>
      <c r="I5839" s="88">
        <f t="shared" si="731"/>
        <v>16955.36</v>
      </c>
      <c r="K5839" s="62"/>
      <c r="L5839" s="2">
        <f t="shared" si="732"/>
        <v>20</v>
      </c>
      <c r="M5839">
        <f t="shared" si="733"/>
        <v>0</v>
      </c>
    </row>
    <row r="5840" spans="1:13" x14ac:dyDescent="0.3">
      <c r="A5840" s="3">
        <f t="shared" si="724"/>
        <v>45874</v>
      </c>
      <c r="B5840" s="11" t="s">
        <v>8785</v>
      </c>
      <c r="E5840" s="90" t="s">
        <v>4720</v>
      </c>
      <c r="G5840" s="2">
        <v>800</v>
      </c>
      <c r="I5840" s="88">
        <f t="shared" si="731"/>
        <v>17755.36</v>
      </c>
      <c r="K5840" s="62">
        <v>10</v>
      </c>
      <c r="L5840" s="2">
        <f t="shared" si="732"/>
        <v>3.2</v>
      </c>
      <c r="M5840">
        <f t="shared" si="733"/>
        <v>0</v>
      </c>
    </row>
    <row r="5841" spans="1:13" x14ac:dyDescent="0.3">
      <c r="A5841" s="3">
        <f t="shared" si="724"/>
        <v>45874</v>
      </c>
      <c r="B5841" s="11" t="s">
        <v>2089</v>
      </c>
      <c r="C5841" s="50" t="s">
        <v>8813</v>
      </c>
      <c r="E5841" s="90" t="s">
        <v>4720</v>
      </c>
      <c r="G5841" s="2">
        <v>4000</v>
      </c>
      <c r="I5841" s="88">
        <f t="shared" si="731"/>
        <v>21755.360000000001</v>
      </c>
      <c r="K5841" s="62"/>
      <c r="L5841" s="2">
        <f t="shared" si="732"/>
        <v>16</v>
      </c>
      <c r="M5841">
        <f t="shared" si="733"/>
        <v>0</v>
      </c>
    </row>
    <row r="5842" spans="1:13" x14ac:dyDescent="0.3">
      <c r="A5842" s="3">
        <f t="shared" si="724"/>
        <v>45874</v>
      </c>
      <c r="B5842" s="11" t="s">
        <v>1472</v>
      </c>
      <c r="C5842" s="50" t="s">
        <v>8814</v>
      </c>
      <c r="E5842" s="90" t="s">
        <v>4720</v>
      </c>
      <c r="G5842" s="2">
        <v>10000</v>
      </c>
      <c r="I5842" s="88">
        <f t="shared" si="731"/>
        <v>31755.360000000001</v>
      </c>
      <c r="K5842" s="62">
        <v>100</v>
      </c>
      <c r="L5842" s="2">
        <f t="shared" si="732"/>
        <v>20</v>
      </c>
      <c r="M5842">
        <f t="shared" si="733"/>
        <v>0</v>
      </c>
    </row>
    <row r="5843" spans="1:13" x14ac:dyDescent="0.3">
      <c r="A5843" s="3">
        <f t="shared" si="724"/>
        <v>45874</v>
      </c>
      <c r="B5843" s="11" t="s">
        <v>1250</v>
      </c>
      <c r="C5843" s="50" t="s">
        <v>2348</v>
      </c>
      <c r="E5843" s="90" t="s">
        <v>4720</v>
      </c>
      <c r="G5843" s="2">
        <v>5000</v>
      </c>
      <c r="I5843" s="88">
        <f t="shared" si="731"/>
        <v>36755.360000000001</v>
      </c>
      <c r="K5843" s="62"/>
      <c r="L5843" s="2">
        <f t="shared" si="732"/>
        <v>20</v>
      </c>
      <c r="M5843">
        <f t="shared" si="733"/>
        <v>0</v>
      </c>
    </row>
    <row r="5844" spans="1:13" x14ac:dyDescent="0.3">
      <c r="A5844" s="3">
        <f t="shared" si="724"/>
        <v>45874</v>
      </c>
      <c r="B5844" s="11" t="s">
        <v>3915</v>
      </c>
      <c r="C5844" s="50" t="s">
        <v>5190</v>
      </c>
      <c r="E5844" s="90" t="s">
        <v>4720</v>
      </c>
      <c r="G5844" s="2">
        <v>5250</v>
      </c>
      <c r="I5844" s="88">
        <f t="shared" si="731"/>
        <v>42005.36</v>
      </c>
      <c r="K5844" s="62">
        <v>50</v>
      </c>
      <c r="L5844" s="2">
        <f t="shared" si="732"/>
        <v>20</v>
      </c>
      <c r="M5844">
        <f t="shared" si="733"/>
        <v>0</v>
      </c>
    </row>
    <row r="5845" spans="1:13" x14ac:dyDescent="0.3">
      <c r="A5845" s="3">
        <f t="shared" si="724"/>
        <v>45874</v>
      </c>
      <c r="B5845" s="11" t="s">
        <v>3524</v>
      </c>
      <c r="C5845" s="50" t="s">
        <v>7733</v>
      </c>
      <c r="E5845" s="90" t="s">
        <v>4720</v>
      </c>
      <c r="H5845" s="2">
        <v>5000</v>
      </c>
      <c r="I5845" s="88">
        <f t="shared" si="731"/>
        <v>37005.360000000001</v>
      </c>
      <c r="K5845" s="62"/>
      <c r="L5845" s="2">
        <f t="shared" si="732"/>
        <v>20</v>
      </c>
      <c r="M5845">
        <f t="shared" si="733"/>
        <v>0</v>
      </c>
    </row>
    <row r="5846" spans="1:13" x14ac:dyDescent="0.3">
      <c r="A5846" s="3">
        <f t="shared" si="724"/>
        <v>45874</v>
      </c>
      <c r="C5846" s="50" t="s">
        <v>2490</v>
      </c>
      <c r="E5846" s="90" t="s">
        <v>8332</v>
      </c>
      <c r="H5846" s="2">
        <v>20000</v>
      </c>
      <c r="I5846" s="88">
        <f t="shared" ref="I5846:I5909" si="734">I5845+G5846-H5846</f>
        <v>17005.36</v>
      </c>
      <c r="K5846" s="62"/>
      <c r="L5846" s="2">
        <f t="shared" ref="L5846:L5858" si="735">IF(E5846="C",0,IF((G5846+H5846)&lt;=5000,(G5846+H5846)*0.004,20)+IF(E5846="P",5,IF(E5846="Y",15,IF(E5846="YY",25))))</f>
        <v>0</v>
      </c>
      <c r="M5846">
        <f t="shared" ref="M5846:M5858" si="736">IF(E5846="p",5,0)</f>
        <v>0</v>
      </c>
    </row>
    <row r="5847" spans="1:13" x14ac:dyDescent="0.3">
      <c r="A5847" s="3">
        <f t="shared" si="724"/>
        <v>45874</v>
      </c>
      <c r="B5847" s="11" t="s">
        <v>3232</v>
      </c>
      <c r="C5847" s="50" t="s">
        <v>8786</v>
      </c>
      <c r="E5847" s="90" t="s">
        <v>4720</v>
      </c>
      <c r="G5847" s="2">
        <v>1900</v>
      </c>
      <c r="I5847" s="88">
        <f t="shared" si="734"/>
        <v>18905.36</v>
      </c>
      <c r="K5847" s="62">
        <v>20</v>
      </c>
      <c r="L5847" s="2">
        <f t="shared" si="735"/>
        <v>7.6000000000000005</v>
      </c>
      <c r="M5847">
        <f t="shared" si="736"/>
        <v>0</v>
      </c>
    </row>
    <row r="5848" spans="1:13" x14ac:dyDescent="0.3">
      <c r="A5848" s="3">
        <f t="shared" si="724"/>
        <v>45874</v>
      </c>
      <c r="B5848" s="11" t="s">
        <v>1160</v>
      </c>
      <c r="C5848" s="50" t="s">
        <v>8603</v>
      </c>
      <c r="D5848" s="50">
        <v>9608192489</v>
      </c>
      <c r="E5848" s="90" t="s">
        <v>4720</v>
      </c>
      <c r="G5848" s="2">
        <v>2000</v>
      </c>
      <c r="I5848" s="88">
        <f t="shared" si="734"/>
        <v>20905.36</v>
      </c>
      <c r="K5848" s="62">
        <v>20</v>
      </c>
      <c r="L5848" s="2">
        <f t="shared" si="735"/>
        <v>8</v>
      </c>
      <c r="M5848">
        <f t="shared" si="736"/>
        <v>0</v>
      </c>
    </row>
    <row r="5849" spans="1:13" x14ac:dyDescent="0.3">
      <c r="A5849" s="3">
        <f t="shared" si="724"/>
        <v>45874</v>
      </c>
      <c r="B5849" s="11" t="s">
        <v>2241</v>
      </c>
      <c r="C5849" s="50" t="s">
        <v>8815</v>
      </c>
      <c r="E5849" s="90" t="s">
        <v>4720</v>
      </c>
      <c r="G5849" s="2">
        <v>10000</v>
      </c>
      <c r="I5849" s="88">
        <f t="shared" si="734"/>
        <v>30905.360000000001</v>
      </c>
      <c r="K5849" s="62">
        <v>100</v>
      </c>
      <c r="L5849" s="2">
        <f t="shared" si="735"/>
        <v>20</v>
      </c>
      <c r="M5849">
        <f t="shared" si="736"/>
        <v>0</v>
      </c>
    </row>
    <row r="5850" spans="1:13" x14ac:dyDescent="0.3">
      <c r="A5850" s="3">
        <v>45875</v>
      </c>
      <c r="B5850" s="11" t="s">
        <v>4996</v>
      </c>
      <c r="C5850" s="50" t="s">
        <v>8765</v>
      </c>
      <c r="E5850" s="90" t="s">
        <v>2088</v>
      </c>
      <c r="G5850" s="2">
        <v>10000</v>
      </c>
      <c r="I5850" s="88">
        <f t="shared" si="734"/>
        <v>40905.360000000001</v>
      </c>
      <c r="K5850" s="62"/>
      <c r="L5850" s="2">
        <f t="shared" si="735"/>
        <v>25</v>
      </c>
      <c r="M5850">
        <f t="shared" si="736"/>
        <v>5</v>
      </c>
    </row>
    <row r="5851" spans="1:13" x14ac:dyDescent="0.3">
      <c r="A5851" s="3">
        <f t="shared" si="724"/>
        <v>45875</v>
      </c>
      <c r="B5851" s="11" t="s">
        <v>2929</v>
      </c>
      <c r="C5851" s="50" t="s">
        <v>8816</v>
      </c>
      <c r="E5851" s="90" t="s">
        <v>4720</v>
      </c>
      <c r="G5851" s="2">
        <v>3000</v>
      </c>
      <c r="I5851" s="88">
        <f t="shared" si="734"/>
        <v>43905.36</v>
      </c>
      <c r="K5851" s="62"/>
      <c r="L5851" s="2">
        <f t="shared" si="735"/>
        <v>12</v>
      </c>
      <c r="M5851">
        <f t="shared" si="736"/>
        <v>0</v>
      </c>
    </row>
    <row r="5852" spans="1:13" x14ac:dyDescent="0.3">
      <c r="A5852" s="3">
        <f t="shared" si="724"/>
        <v>45875</v>
      </c>
      <c r="C5852" s="50" t="s">
        <v>2857</v>
      </c>
      <c r="E5852" s="90" t="s">
        <v>8332</v>
      </c>
      <c r="H5852" s="2">
        <v>40000</v>
      </c>
      <c r="I5852" s="88">
        <f t="shared" si="734"/>
        <v>3905.3600000000006</v>
      </c>
      <c r="K5852" s="62"/>
      <c r="L5852" s="2">
        <f t="shared" si="735"/>
        <v>0</v>
      </c>
      <c r="M5852">
        <f t="shared" si="736"/>
        <v>0</v>
      </c>
    </row>
    <row r="5853" spans="1:13" x14ac:dyDescent="0.3">
      <c r="A5853" s="3">
        <f t="shared" si="724"/>
        <v>45875</v>
      </c>
      <c r="B5853" s="11" t="s">
        <v>2241</v>
      </c>
      <c r="C5853" s="50" t="s">
        <v>8817</v>
      </c>
      <c r="E5853" s="90" t="s">
        <v>4720</v>
      </c>
      <c r="G5853" s="2">
        <v>10000</v>
      </c>
      <c r="I5853" s="88">
        <f t="shared" si="734"/>
        <v>13905.36</v>
      </c>
      <c r="K5853" s="62">
        <v>100</v>
      </c>
      <c r="L5853" s="2">
        <f t="shared" si="735"/>
        <v>20</v>
      </c>
      <c r="M5853">
        <f t="shared" si="736"/>
        <v>0</v>
      </c>
    </row>
    <row r="5854" spans="1:13" x14ac:dyDescent="0.3">
      <c r="A5854" s="3">
        <f t="shared" si="724"/>
        <v>45875</v>
      </c>
      <c r="B5854" s="11" t="s">
        <v>6867</v>
      </c>
      <c r="C5854" s="50" t="s">
        <v>7317</v>
      </c>
      <c r="E5854" s="90" t="s">
        <v>2088</v>
      </c>
      <c r="G5854" s="2">
        <v>1000</v>
      </c>
      <c r="I5854" s="88">
        <f t="shared" si="734"/>
        <v>14905.36</v>
      </c>
      <c r="K5854" s="62"/>
      <c r="L5854" s="2">
        <f t="shared" si="735"/>
        <v>9</v>
      </c>
      <c r="M5854">
        <f t="shared" si="736"/>
        <v>5</v>
      </c>
    </row>
    <row r="5855" spans="1:13" x14ac:dyDescent="0.3">
      <c r="A5855" s="3">
        <f t="shared" si="724"/>
        <v>45875</v>
      </c>
      <c r="B5855" s="11" t="s">
        <v>1472</v>
      </c>
      <c r="C5855" s="50" t="s">
        <v>8026</v>
      </c>
      <c r="E5855" s="90" t="s">
        <v>4720</v>
      </c>
      <c r="G5855" s="2">
        <v>10000</v>
      </c>
      <c r="I5855" s="88">
        <f t="shared" si="734"/>
        <v>24905.360000000001</v>
      </c>
      <c r="K5855" s="62">
        <v>100</v>
      </c>
      <c r="L5855" s="2">
        <f t="shared" si="735"/>
        <v>20</v>
      </c>
      <c r="M5855">
        <f t="shared" si="736"/>
        <v>0</v>
      </c>
    </row>
    <row r="5856" spans="1:13" x14ac:dyDescent="0.3">
      <c r="A5856" s="3">
        <f t="shared" si="724"/>
        <v>45875</v>
      </c>
      <c r="B5856" s="11" t="s">
        <v>8818</v>
      </c>
      <c r="C5856" s="50" t="s">
        <v>8819</v>
      </c>
      <c r="E5856" s="90" t="s">
        <v>4720</v>
      </c>
      <c r="G5856" s="2">
        <v>6000</v>
      </c>
      <c r="I5856" s="88">
        <f t="shared" si="734"/>
        <v>30905.360000000001</v>
      </c>
      <c r="K5856" s="62">
        <v>60</v>
      </c>
      <c r="L5856" s="2">
        <f t="shared" si="735"/>
        <v>20</v>
      </c>
      <c r="M5856">
        <f t="shared" si="736"/>
        <v>0</v>
      </c>
    </row>
    <row r="5857" spans="1:13" x14ac:dyDescent="0.3">
      <c r="A5857" s="3">
        <f t="shared" si="724"/>
        <v>45875</v>
      </c>
      <c r="B5857" s="11" t="s">
        <v>2271</v>
      </c>
      <c r="C5857" s="50" t="s">
        <v>8820</v>
      </c>
      <c r="E5857" s="90" t="s">
        <v>4720</v>
      </c>
      <c r="G5857" s="2">
        <v>3900</v>
      </c>
      <c r="I5857" s="88">
        <f t="shared" si="734"/>
        <v>34805.360000000001</v>
      </c>
      <c r="K5857" s="62">
        <v>40</v>
      </c>
      <c r="L5857" s="2">
        <f t="shared" si="735"/>
        <v>15.6</v>
      </c>
      <c r="M5857">
        <f t="shared" si="736"/>
        <v>0</v>
      </c>
    </row>
    <row r="5858" spans="1:13" x14ac:dyDescent="0.3">
      <c r="A5858" s="3">
        <f t="shared" si="724"/>
        <v>45875</v>
      </c>
      <c r="B5858" s="11" t="s">
        <v>1250</v>
      </c>
      <c r="C5858" s="50" t="s">
        <v>8821</v>
      </c>
      <c r="E5858" s="90" t="s">
        <v>4720</v>
      </c>
      <c r="G5858" s="2">
        <v>10000</v>
      </c>
      <c r="I5858" s="88">
        <f t="shared" si="734"/>
        <v>44805.36</v>
      </c>
      <c r="K5858" s="62"/>
      <c r="L5858" s="2">
        <f t="shared" si="735"/>
        <v>20</v>
      </c>
      <c r="M5858">
        <f t="shared" si="736"/>
        <v>0</v>
      </c>
    </row>
    <row r="5859" spans="1:13" x14ac:dyDescent="0.3">
      <c r="A5859" s="3">
        <f t="shared" si="724"/>
        <v>45875</v>
      </c>
      <c r="B5859" s="11" t="s">
        <v>8851</v>
      </c>
      <c r="C5859" s="50" t="s">
        <v>8853</v>
      </c>
      <c r="E5859" s="90" t="s">
        <v>16</v>
      </c>
      <c r="H5859" s="2">
        <v>500</v>
      </c>
      <c r="I5859" s="88">
        <f t="shared" si="734"/>
        <v>44305.36</v>
      </c>
      <c r="K5859" s="62"/>
      <c r="L5859" s="2">
        <f t="shared" ref="L5859:L5876" si="737">IF(E5859="C",0,IF((G5859+H5859)&lt;=5000,(G5859+H5859)*0.004,20)+IF(E5859="P",5,IF(E5859="Y",15,IF(E5859="YY",25))))</f>
        <v>17</v>
      </c>
      <c r="M5859">
        <f t="shared" ref="M5859:M5876" si="738">IF(E5859="p",5,0)</f>
        <v>0</v>
      </c>
    </row>
    <row r="5860" spans="1:13" x14ac:dyDescent="0.3">
      <c r="A5860" s="3">
        <v>45876</v>
      </c>
      <c r="B5860" s="11" t="s">
        <v>3232</v>
      </c>
      <c r="C5860" s="50" t="s">
        <v>6482</v>
      </c>
      <c r="E5860" s="90" t="s">
        <v>4720</v>
      </c>
      <c r="G5860" s="2">
        <v>2500</v>
      </c>
      <c r="I5860" s="88">
        <f t="shared" si="734"/>
        <v>46805.36</v>
      </c>
      <c r="K5860" s="62">
        <v>30</v>
      </c>
      <c r="L5860" s="2">
        <f t="shared" si="737"/>
        <v>10</v>
      </c>
      <c r="M5860">
        <f t="shared" si="738"/>
        <v>0</v>
      </c>
    </row>
    <row r="5861" spans="1:13" x14ac:dyDescent="0.3">
      <c r="A5861" s="3">
        <f t="shared" si="724"/>
        <v>45876</v>
      </c>
      <c r="B5861" s="11" t="s">
        <v>3504</v>
      </c>
      <c r="C5861" s="50" t="s">
        <v>2652</v>
      </c>
      <c r="E5861" s="90" t="s">
        <v>4720</v>
      </c>
      <c r="H5861" s="2">
        <v>10000</v>
      </c>
      <c r="I5861" s="88">
        <f t="shared" si="734"/>
        <v>36805.360000000001</v>
      </c>
      <c r="K5861" s="62"/>
      <c r="L5861" s="2">
        <f t="shared" si="737"/>
        <v>20</v>
      </c>
      <c r="M5861">
        <f t="shared" si="738"/>
        <v>0</v>
      </c>
    </row>
    <row r="5862" spans="1:13" x14ac:dyDescent="0.3">
      <c r="A5862" s="3">
        <f t="shared" si="724"/>
        <v>45876</v>
      </c>
      <c r="B5862" s="11" t="s">
        <v>6743</v>
      </c>
      <c r="C5862" s="50" t="s">
        <v>419</v>
      </c>
      <c r="E5862" s="90" t="s">
        <v>2088</v>
      </c>
      <c r="G5862" s="2">
        <v>8000</v>
      </c>
      <c r="I5862" s="88">
        <f t="shared" si="734"/>
        <v>44805.36</v>
      </c>
      <c r="K5862" s="62"/>
      <c r="L5862" s="2">
        <f t="shared" si="737"/>
        <v>25</v>
      </c>
      <c r="M5862">
        <f t="shared" si="738"/>
        <v>5</v>
      </c>
    </row>
    <row r="5863" spans="1:13" x14ac:dyDescent="0.3">
      <c r="A5863" s="3">
        <f t="shared" si="724"/>
        <v>45876</v>
      </c>
      <c r="B5863" s="11" t="s">
        <v>8822</v>
      </c>
      <c r="C5863" s="50" t="s">
        <v>8823</v>
      </c>
      <c r="E5863" s="90" t="s">
        <v>2088</v>
      </c>
      <c r="G5863" s="2">
        <v>2500</v>
      </c>
      <c r="I5863" s="88">
        <f t="shared" si="734"/>
        <v>47305.36</v>
      </c>
      <c r="K5863" s="62"/>
      <c r="L5863" s="2">
        <f t="shared" si="737"/>
        <v>15</v>
      </c>
      <c r="M5863">
        <f t="shared" si="738"/>
        <v>5</v>
      </c>
    </row>
    <row r="5864" spans="1:13" x14ac:dyDescent="0.3">
      <c r="A5864" s="3">
        <f t="shared" si="724"/>
        <v>45876</v>
      </c>
      <c r="B5864" s="11" t="s">
        <v>8822</v>
      </c>
      <c r="C5864" s="50" t="s">
        <v>8823</v>
      </c>
      <c r="E5864" s="90" t="s">
        <v>2088</v>
      </c>
      <c r="H5864" s="2">
        <v>0</v>
      </c>
      <c r="I5864" s="88">
        <f t="shared" si="734"/>
        <v>47305.36</v>
      </c>
      <c r="K5864" s="62"/>
      <c r="L5864" s="2">
        <f t="shared" si="737"/>
        <v>5</v>
      </c>
      <c r="M5864">
        <f t="shared" si="738"/>
        <v>5</v>
      </c>
    </row>
    <row r="5865" spans="1:13" x14ac:dyDescent="0.3">
      <c r="A5865" s="3">
        <f t="shared" si="724"/>
        <v>45876</v>
      </c>
      <c r="C5865" s="50" t="s">
        <v>2857</v>
      </c>
      <c r="E5865" s="90" t="s">
        <v>8332</v>
      </c>
      <c r="H5865" s="2">
        <v>45000</v>
      </c>
      <c r="I5865" s="88">
        <f t="shared" si="734"/>
        <v>2305.3600000000006</v>
      </c>
      <c r="K5865" s="62"/>
      <c r="L5865" s="2">
        <f t="shared" si="737"/>
        <v>0</v>
      </c>
      <c r="M5865">
        <f t="shared" si="738"/>
        <v>0</v>
      </c>
    </row>
    <row r="5866" spans="1:13" x14ac:dyDescent="0.3">
      <c r="A5866" s="3">
        <f t="shared" si="724"/>
        <v>45876</v>
      </c>
      <c r="B5866" s="11" t="s">
        <v>8822</v>
      </c>
      <c r="C5866" s="50" t="s">
        <v>8823</v>
      </c>
      <c r="E5866" s="90" t="s">
        <v>2088</v>
      </c>
      <c r="G5866" s="2">
        <v>1500</v>
      </c>
      <c r="I5866" s="88">
        <f t="shared" si="734"/>
        <v>3805.3600000000006</v>
      </c>
      <c r="K5866" s="62"/>
      <c r="L5866" s="2">
        <f t="shared" si="737"/>
        <v>11</v>
      </c>
      <c r="M5866">
        <f t="shared" si="738"/>
        <v>5</v>
      </c>
    </row>
    <row r="5867" spans="1:13" x14ac:dyDescent="0.3">
      <c r="A5867" s="3">
        <f t="shared" si="724"/>
        <v>45876</v>
      </c>
      <c r="B5867" s="11" t="s">
        <v>8827</v>
      </c>
      <c r="C5867" s="50" t="s">
        <v>8828</v>
      </c>
      <c r="E5867" s="90" t="s">
        <v>16</v>
      </c>
      <c r="H5867" s="2">
        <v>2000</v>
      </c>
      <c r="I5867" s="88">
        <f t="shared" si="734"/>
        <v>1805.3600000000006</v>
      </c>
      <c r="K5867" s="62"/>
      <c r="L5867" s="2">
        <f t="shared" si="737"/>
        <v>23</v>
      </c>
      <c r="M5867">
        <f t="shared" si="738"/>
        <v>0</v>
      </c>
    </row>
    <row r="5868" spans="1:13" x14ac:dyDescent="0.3">
      <c r="A5868" s="3">
        <f t="shared" si="724"/>
        <v>45876</v>
      </c>
      <c r="B5868" s="11" t="s">
        <v>7142</v>
      </c>
      <c r="C5868" s="50" t="s">
        <v>7143</v>
      </c>
      <c r="E5868" s="90" t="s">
        <v>4720</v>
      </c>
      <c r="G5868" s="2">
        <v>1900</v>
      </c>
      <c r="I5868" s="88">
        <f t="shared" si="734"/>
        <v>3705.3600000000006</v>
      </c>
      <c r="K5868" s="62"/>
      <c r="L5868" s="2">
        <f t="shared" si="737"/>
        <v>7.6000000000000005</v>
      </c>
      <c r="M5868">
        <f t="shared" si="738"/>
        <v>0</v>
      </c>
    </row>
    <row r="5869" spans="1:13" x14ac:dyDescent="0.3">
      <c r="A5869" s="3">
        <f t="shared" ref="A5869:A5932" si="739">A5868</f>
        <v>45876</v>
      </c>
      <c r="B5869" s="11" t="s">
        <v>1160</v>
      </c>
      <c r="C5869" s="50" t="s">
        <v>8829</v>
      </c>
      <c r="E5869" s="90" t="s">
        <v>4720</v>
      </c>
      <c r="G5869" s="2">
        <v>5000</v>
      </c>
      <c r="I5869" s="88">
        <f t="shared" si="734"/>
        <v>8705.36</v>
      </c>
      <c r="K5869" s="62">
        <v>50</v>
      </c>
      <c r="L5869" s="2">
        <f t="shared" si="737"/>
        <v>20</v>
      </c>
      <c r="M5869">
        <f t="shared" si="738"/>
        <v>0</v>
      </c>
    </row>
    <row r="5870" spans="1:13" x14ac:dyDescent="0.3">
      <c r="A5870" s="3">
        <f t="shared" si="739"/>
        <v>45876</v>
      </c>
      <c r="B5870" s="11" t="s">
        <v>5123</v>
      </c>
      <c r="C5870" s="50" t="s">
        <v>7326</v>
      </c>
      <c r="E5870" s="90" t="s">
        <v>2088</v>
      </c>
      <c r="G5870" s="2">
        <v>10000</v>
      </c>
      <c r="I5870" s="88">
        <f t="shared" si="734"/>
        <v>18705.36</v>
      </c>
      <c r="K5870" s="62"/>
      <c r="L5870" s="2">
        <f t="shared" si="737"/>
        <v>25</v>
      </c>
      <c r="M5870">
        <f t="shared" si="738"/>
        <v>5</v>
      </c>
    </row>
    <row r="5871" spans="1:13" x14ac:dyDescent="0.3">
      <c r="A5871" s="3">
        <f t="shared" si="739"/>
        <v>45876</v>
      </c>
      <c r="B5871" s="11" t="s">
        <v>2241</v>
      </c>
      <c r="C5871" s="50" t="s">
        <v>8830</v>
      </c>
      <c r="E5871" s="90" t="s">
        <v>4720</v>
      </c>
      <c r="G5871" s="2">
        <v>6000</v>
      </c>
      <c r="I5871" s="88">
        <f t="shared" si="734"/>
        <v>24705.360000000001</v>
      </c>
      <c r="K5871" s="62">
        <v>60</v>
      </c>
      <c r="L5871" s="2">
        <f t="shared" si="737"/>
        <v>20</v>
      </c>
      <c r="M5871">
        <f t="shared" si="738"/>
        <v>0</v>
      </c>
    </row>
    <row r="5872" spans="1:13" x14ac:dyDescent="0.3">
      <c r="A5872" s="3">
        <v>45877</v>
      </c>
      <c r="B5872" s="11" t="s">
        <v>5042</v>
      </c>
      <c r="C5872" s="50" t="s">
        <v>6176</v>
      </c>
      <c r="E5872" s="90" t="s">
        <v>2088</v>
      </c>
      <c r="G5872" s="2">
        <v>6500</v>
      </c>
      <c r="I5872" s="88">
        <f t="shared" si="734"/>
        <v>31205.360000000001</v>
      </c>
      <c r="K5872" s="62"/>
      <c r="L5872" s="2">
        <f t="shared" si="737"/>
        <v>25</v>
      </c>
      <c r="M5872">
        <f t="shared" si="738"/>
        <v>5</v>
      </c>
    </row>
    <row r="5873" spans="1:13" x14ac:dyDescent="0.3">
      <c r="A5873" s="3">
        <f t="shared" si="739"/>
        <v>45877</v>
      </c>
      <c r="B5873" s="11" t="s">
        <v>7329</v>
      </c>
      <c r="C5873" s="50" t="s">
        <v>8632</v>
      </c>
      <c r="E5873" s="90" t="s">
        <v>2088</v>
      </c>
      <c r="G5873" s="2">
        <v>1300</v>
      </c>
      <c r="I5873" s="88">
        <f t="shared" si="734"/>
        <v>32505.360000000001</v>
      </c>
      <c r="K5873" s="62"/>
      <c r="L5873" s="2">
        <f t="shared" si="737"/>
        <v>10.199999999999999</v>
      </c>
      <c r="M5873">
        <f t="shared" si="738"/>
        <v>5</v>
      </c>
    </row>
    <row r="5874" spans="1:13" x14ac:dyDescent="0.3">
      <c r="A5874" s="3">
        <f t="shared" si="739"/>
        <v>45877</v>
      </c>
      <c r="B5874" s="11" t="s">
        <v>7870</v>
      </c>
      <c r="C5874" s="50" t="s">
        <v>8380</v>
      </c>
      <c r="E5874" s="90" t="s">
        <v>2088</v>
      </c>
      <c r="G5874" s="2">
        <v>1000</v>
      </c>
      <c r="I5874" s="88">
        <f t="shared" si="734"/>
        <v>33505.360000000001</v>
      </c>
      <c r="K5874" s="62"/>
      <c r="L5874" s="2">
        <f t="shared" si="737"/>
        <v>9</v>
      </c>
      <c r="M5874">
        <f t="shared" si="738"/>
        <v>5</v>
      </c>
    </row>
    <row r="5875" spans="1:13" x14ac:dyDescent="0.3">
      <c r="A5875" s="3">
        <f t="shared" si="739"/>
        <v>45877</v>
      </c>
      <c r="B5875" s="11" t="s">
        <v>1160</v>
      </c>
      <c r="C5875" s="50" t="s">
        <v>8831</v>
      </c>
      <c r="E5875" s="90" t="s">
        <v>4720</v>
      </c>
      <c r="G5875" s="2">
        <v>3050</v>
      </c>
      <c r="I5875" s="88">
        <f t="shared" si="734"/>
        <v>36555.360000000001</v>
      </c>
      <c r="K5875" s="62">
        <v>30</v>
      </c>
      <c r="L5875" s="2">
        <f t="shared" si="737"/>
        <v>12.200000000000001</v>
      </c>
      <c r="M5875">
        <f t="shared" si="738"/>
        <v>0</v>
      </c>
    </row>
    <row r="5876" spans="1:13" x14ac:dyDescent="0.3">
      <c r="A5876" s="3">
        <f t="shared" si="739"/>
        <v>45877</v>
      </c>
      <c r="B5876" s="11" t="s">
        <v>1160</v>
      </c>
      <c r="C5876" s="50" t="s">
        <v>2491</v>
      </c>
      <c r="E5876" s="90" t="s">
        <v>4720</v>
      </c>
      <c r="G5876" s="2">
        <v>600</v>
      </c>
      <c r="I5876" s="88">
        <f t="shared" si="734"/>
        <v>37155.360000000001</v>
      </c>
      <c r="K5876" s="62"/>
      <c r="L5876" s="2">
        <f t="shared" si="737"/>
        <v>2.4</v>
      </c>
      <c r="M5876">
        <f t="shared" si="738"/>
        <v>0</v>
      </c>
    </row>
    <row r="5877" spans="1:13" x14ac:dyDescent="0.3">
      <c r="A5877" s="3">
        <f t="shared" si="739"/>
        <v>45877</v>
      </c>
      <c r="B5877" s="11" t="s">
        <v>2448</v>
      </c>
      <c r="C5877" s="50" t="s">
        <v>2274</v>
      </c>
      <c r="E5877" s="90" t="s">
        <v>4720</v>
      </c>
      <c r="H5877" s="2">
        <v>6000</v>
      </c>
      <c r="I5877" s="88">
        <f t="shared" si="734"/>
        <v>31155.360000000001</v>
      </c>
      <c r="K5877" s="62"/>
      <c r="L5877" s="2">
        <f t="shared" ref="L5877:L5916" si="740">IF(E5877="C",0,IF((G5877+H5877)&lt;=5000,(G5877+H5877)*0.004,20)+IF(E5877="P",5,IF(E5877="Y",15,IF(E5877="YY",25))))</f>
        <v>20</v>
      </c>
      <c r="M5877">
        <f t="shared" ref="M5877:M5916" si="741">IF(E5877="p",5,0)</f>
        <v>0</v>
      </c>
    </row>
    <row r="5878" spans="1:13" x14ac:dyDescent="0.3">
      <c r="A5878" s="3">
        <f t="shared" si="739"/>
        <v>45877</v>
      </c>
      <c r="B5878" s="11" t="s">
        <v>3232</v>
      </c>
      <c r="C5878" s="50" t="s">
        <v>8832</v>
      </c>
      <c r="E5878" s="90" t="s">
        <v>4720</v>
      </c>
      <c r="G5878" s="2">
        <v>1500</v>
      </c>
      <c r="I5878" s="88">
        <f t="shared" si="734"/>
        <v>32655.360000000001</v>
      </c>
      <c r="K5878" s="62">
        <v>20</v>
      </c>
      <c r="L5878" s="2">
        <f t="shared" si="740"/>
        <v>6</v>
      </c>
      <c r="M5878">
        <f t="shared" si="741"/>
        <v>0</v>
      </c>
    </row>
    <row r="5879" spans="1:13" x14ac:dyDescent="0.3">
      <c r="A5879" s="3">
        <f t="shared" si="739"/>
        <v>45877</v>
      </c>
      <c r="B5879" s="11" t="s">
        <v>1250</v>
      </c>
      <c r="C5879" s="50" t="s">
        <v>6985</v>
      </c>
      <c r="E5879" s="90" t="s">
        <v>4720</v>
      </c>
      <c r="G5879" s="2">
        <v>2000</v>
      </c>
      <c r="I5879" s="88">
        <f t="shared" si="734"/>
        <v>34655.360000000001</v>
      </c>
      <c r="K5879" s="62"/>
      <c r="L5879" s="2">
        <f t="shared" si="740"/>
        <v>8</v>
      </c>
      <c r="M5879">
        <f t="shared" si="741"/>
        <v>0</v>
      </c>
    </row>
    <row r="5880" spans="1:13" x14ac:dyDescent="0.3">
      <c r="A5880" s="3">
        <f t="shared" si="739"/>
        <v>45877</v>
      </c>
      <c r="B5880" s="11" t="s">
        <v>8825</v>
      </c>
      <c r="C5880" s="65" t="s">
        <v>8834</v>
      </c>
      <c r="E5880" s="90" t="s">
        <v>2088</v>
      </c>
      <c r="G5880" s="2">
        <v>0</v>
      </c>
      <c r="H5880" s="2">
        <v>0</v>
      </c>
      <c r="I5880" s="88">
        <f t="shared" si="734"/>
        <v>34655.360000000001</v>
      </c>
      <c r="K5880" s="62"/>
      <c r="L5880" s="2">
        <f t="shared" si="740"/>
        <v>5</v>
      </c>
      <c r="M5880">
        <f t="shared" si="741"/>
        <v>5</v>
      </c>
    </row>
    <row r="5881" spans="1:13" x14ac:dyDescent="0.3">
      <c r="A5881" s="3">
        <f t="shared" si="739"/>
        <v>45877</v>
      </c>
      <c r="B5881" s="11" t="s">
        <v>6522</v>
      </c>
      <c r="C5881" s="50" t="s">
        <v>8836</v>
      </c>
      <c r="E5881" s="90" t="s">
        <v>4720</v>
      </c>
      <c r="G5881" s="2">
        <v>4000</v>
      </c>
      <c r="I5881" s="88">
        <f t="shared" si="734"/>
        <v>38655.360000000001</v>
      </c>
      <c r="K5881" s="62">
        <v>40</v>
      </c>
      <c r="L5881" s="2">
        <f t="shared" si="740"/>
        <v>16</v>
      </c>
      <c r="M5881">
        <f t="shared" si="741"/>
        <v>0</v>
      </c>
    </row>
    <row r="5882" spans="1:13" x14ac:dyDescent="0.3">
      <c r="A5882" s="3">
        <v>45878</v>
      </c>
      <c r="B5882" s="11" t="s">
        <v>7834</v>
      </c>
      <c r="C5882" s="50" t="s">
        <v>8837</v>
      </c>
      <c r="E5882" s="90" t="s">
        <v>2088</v>
      </c>
      <c r="G5882" s="2">
        <v>0</v>
      </c>
      <c r="H5882" s="2">
        <v>0</v>
      </c>
      <c r="I5882" s="88">
        <f t="shared" si="734"/>
        <v>38655.360000000001</v>
      </c>
      <c r="K5882" s="62"/>
      <c r="L5882" s="2">
        <f t="shared" si="740"/>
        <v>5</v>
      </c>
      <c r="M5882">
        <f t="shared" si="741"/>
        <v>5</v>
      </c>
    </row>
    <row r="5883" spans="1:13" x14ac:dyDescent="0.3">
      <c r="A5883" s="3">
        <f t="shared" si="739"/>
        <v>45878</v>
      </c>
      <c r="B5883" s="11" t="s">
        <v>7834</v>
      </c>
      <c r="C5883" s="50" t="s">
        <v>8837</v>
      </c>
      <c r="E5883" s="90" t="s">
        <v>4720</v>
      </c>
      <c r="G5883" s="2">
        <v>400</v>
      </c>
      <c r="I5883" s="88">
        <f t="shared" si="734"/>
        <v>39055.360000000001</v>
      </c>
      <c r="K5883" s="62"/>
      <c r="L5883" s="2">
        <f t="shared" si="740"/>
        <v>1.6</v>
      </c>
      <c r="M5883">
        <f t="shared" si="741"/>
        <v>0</v>
      </c>
    </row>
    <row r="5884" spans="1:13" x14ac:dyDescent="0.3">
      <c r="A5884" s="3">
        <f t="shared" si="739"/>
        <v>45878</v>
      </c>
      <c r="B5884" s="11" t="s">
        <v>7834</v>
      </c>
      <c r="C5884" s="50" t="s">
        <v>8837</v>
      </c>
      <c r="E5884" s="90" t="s">
        <v>2088</v>
      </c>
      <c r="G5884" s="2">
        <v>0</v>
      </c>
      <c r="H5884" s="2">
        <v>0</v>
      </c>
      <c r="I5884" s="88">
        <f t="shared" si="734"/>
        <v>39055.360000000001</v>
      </c>
      <c r="K5884" s="62"/>
      <c r="L5884" s="2">
        <f t="shared" si="740"/>
        <v>5</v>
      </c>
      <c r="M5884">
        <f t="shared" si="741"/>
        <v>5</v>
      </c>
    </row>
    <row r="5885" spans="1:13" x14ac:dyDescent="0.3">
      <c r="A5885" s="3">
        <v>45880</v>
      </c>
      <c r="C5885" s="50" t="s">
        <v>2857</v>
      </c>
      <c r="E5885" s="90" t="s">
        <v>8332</v>
      </c>
      <c r="H5885" s="2">
        <v>30000</v>
      </c>
      <c r="I5885" s="88">
        <f t="shared" si="734"/>
        <v>9055.36</v>
      </c>
      <c r="K5885" s="62"/>
      <c r="L5885" s="2">
        <f t="shared" si="740"/>
        <v>0</v>
      </c>
      <c r="M5885">
        <f t="shared" si="741"/>
        <v>0</v>
      </c>
    </row>
    <row r="5886" spans="1:13" x14ac:dyDescent="0.3">
      <c r="A5886" s="3">
        <f t="shared" si="739"/>
        <v>45880</v>
      </c>
      <c r="B5886" s="11" t="s">
        <v>1250</v>
      </c>
      <c r="C5886" s="50" t="s">
        <v>2884</v>
      </c>
      <c r="E5886" s="90" t="s">
        <v>4720</v>
      </c>
      <c r="G5886" s="2">
        <v>1100</v>
      </c>
      <c r="I5886" s="88">
        <f t="shared" si="734"/>
        <v>10155.36</v>
      </c>
      <c r="K5886" s="62"/>
      <c r="L5886" s="2">
        <f t="shared" si="740"/>
        <v>4.4000000000000004</v>
      </c>
      <c r="M5886">
        <f t="shared" si="741"/>
        <v>0</v>
      </c>
    </row>
    <row r="5887" spans="1:13" x14ac:dyDescent="0.3">
      <c r="A5887" s="3">
        <f t="shared" si="739"/>
        <v>45880</v>
      </c>
      <c r="B5887" s="11" t="s">
        <v>1250</v>
      </c>
      <c r="C5887" s="50" t="s">
        <v>3393</v>
      </c>
      <c r="E5887" s="90" t="s">
        <v>4720</v>
      </c>
      <c r="G5887" s="2">
        <v>1100</v>
      </c>
      <c r="I5887" s="88">
        <f t="shared" si="734"/>
        <v>11255.36</v>
      </c>
      <c r="K5887" s="62"/>
      <c r="L5887" s="2">
        <f t="shared" si="740"/>
        <v>4.4000000000000004</v>
      </c>
      <c r="M5887">
        <f t="shared" si="741"/>
        <v>0</v>
      </c>
    </row>
    <row r="5888" spans="1:13" x14ac:dyDescent="0.3">
      <c r="A5888" s="3">
        <f t="shared" si="739"/>
        <v>45880</v>
      </c>
      <c r="B5888" s="11" t="s">
        <v>5186</v>
      </c>
      <c r="C5888" s="50" t="s">
        <v>8838</v>
      </c>
      <c r="E5888" s="90" t="s">
        <v>2088</v>
      </c>
      <c r="G5888" s="2">
        <v>6000</v>
      </c>
      <c r="I5888" s="88">
        <f t="shared" si="734"/>
        <v>17255.36</v>
      </c>
      <c r="K5888" s="62"/>
      <c r="L5888" s="2">
        <f t="shared" si="740"/>
        <v>25</v>
      </c>
      <c r="M5888">
        <f t="shared" si="741"/>
        <v>5</v>
      </c>
    </row>
    <row r="5889" spans="1:13" x14ac:dyDescent="0.3">
      <c r="A5889" s="3">
        <f t="shared" si="739"/>
        <v>45880</v>
      </c>
      <c r="B5889" s="11" t="s">
        <v>1250</v>
      </c>
      <c r="C5889" s="50" t="s">
        <v>4437</v>
      </c>
      <c r="E5889" s="90" t="s">
        <v>4720</v>
      </c>
      <c r="G5889" s="2">
        <v>2200</v>
      </c>
      <c r="I5889" s="88">
        <f t="shared" si="734"/>
        <v>19455.36</v>
      </c>
      <c r="K5889" s="62"/>
      <c r="L5889" s="2">
        <f t="shared" si="740"/>
        <v>8.8000000000000007</v>
      </c>
      <c r="M5889">
        <f t="shared" si="741"/>
        <v>0</v>
      </c>
    </row>
    <row r="5890" spans="1:13" x14ac:dyDescent="0.3">
      <c r="A5890" s="3">
        <f t="shared" si="739"/>
        <v>45880</v>
      </c>
      <c r="B5890" s="11" t="s">
        <v>3232</v>
      </c>
      <c r="C5890" s="50" t="s">
        <v>8645</v>
      </c>
      <c r="E5890" s="90" t="s">
        <v>4720</v>
      </c>
      <c r="G5890" s="2">
        <v>5000</v>
      </c>
      <c r="I5890" s="88">
        <f t="shared" si="734"/>
        <v>24455.360000000001</v>
      </c>
      <c r="K5890" s="62">
        <v>50</v>
      </c>
      <c r="L5890" s="2">
        <f t="shared" si="740"/>
        <v>20</v>
      </c>
      <c r="M5890">
        <f t="shared" si="741"/>
        <v>0</v>
      </c>
    </row>
    <row r="5891" spans="1:13" x14ac:dyDescent="0.3">
      <c r="A5891" s="3">
        <f t="shared" si="739"/>
        <v>45880</v>
      </c>
      <c r="B5891" s="11" t="s">
        <v>1170</v>
      </c>
      <c r="C5891" s="50" t="s">
        <v>8793</v>
      </c>
      <c r="E5891" s="90" t="s">
        <v>4720</v>
      </c>
      <c r="G5891" s="2">
        <v>2050</v>
      </c>
      <c r="I5891" s="88">
        <f t="shared" si="734"/>
        <v>26505.360000000001</v>
      </c>
      <c r="K5891" s="62">
        <v>20</v>
      </c>
      <c r="L5891" s="2">
        <f t="shared" si="740"/>
        <v>8.1999999999999993</v>
      </c>
      <c r="M5891">
        <f t="shared" si="741"/>
        <v>0</v>
      </c>
    </row>
    <row r="5892" spans="1:13" x14ac:dyDescent="0.3">
      <c r="A5892" s="3">
        <f t="shared" si="739"/>
        <v>45880</v>
      </c>
      <c r="B5892" s="11" t="s">
        <v>8839</v>
      </c>
      <c r="C5892" s="50" t="s">
        <v>8840</v>
      </c>
      <c r="E5892" s="90" t="s">
        <v>2088</v>
      </c>
      <c r="G5892" s="2">
        <v>0</v>
      </c>
      <c r="H5892" s="2">
        <v>0</v>
      </c>
      <c r="I5892" s="88">
        <f t="shared" si="734"/>
        <v>26505.360000000001</v>
      </c>
      <c r="K5892" s="62"/>
      <c r="L5892" s="2">
        <f t="shared" si="740"/>
        <v>5</v>
      </c>
      <c r="M5892">
        <f t="shared" si="741"/>
        <v>5</v>
      </c>
    </row>
    <row r="5893" spans="1:13" x14ac:dyDescent="0.3">
      <c r="A5893" s="3">
        <f t="shared" si="739"/>
        <v>45880</v>
      </c>
      <c r="B5893" s="11" t="s">
        <v>1472</v>
      </c>
      <c r="C5893" s="50" t="s">
        <v>8082</v>
      </c>
      <c r="E5893" s="90" t="s">
        <v>4720</v>
      </c>
      <c r="G5893" s="2">
        <v>1000</v>
      </c>
      <c r="I5893" s="88">
        <f t="shared" si="734"/>
        <v>27505.360000000001</v>
      </c>
      <c r="K5893" s="62">
        <v>10</v>
      </c>
      <c r="L5893" s="2">
        <f t="shared" si="740"/>
        <v>4</v>
      </c>
      <c r="M5893">
        <f t="shared" si="741"/>
        <v>0</v>
      </c>
    </row>
    <row r="5894" spans="1:13" x14ac:dyDescent="0.3">
      <c r="A5894" s="3">
        <v>45881</v>
      </c>
      <c r="B5894" s="11" t="s">
        <v>6947</v>
      </c>
      <c r="C5894" s="50" t="s">
        <v>7314</v>
      </c>
      <c r="E5894" s="90" t="s">
        <v>2088</v>
      </c>
      <c r="G5894" s="2">
        <v>2300</v>
      </c>
      <c r="I5894" s="88">
        <f t="shared" si="734"/>
        <v>29805.360000000001</v>
      </c>
      <c r="K5894" s="62"/>
      <c r="L5894" s="2">
        <f t="shared" si="740"/>
        <v>14.200000000000001</v>
      </c>
      <c r="M5894">
        <f t="shared" si="741"/>
        <v>5</v>
      </c>
    </row>
    <row r="5895" spans="1:13" x14ac:dyDescent="0.3">
      <c r="A5895" s="3">
        <f t="shared" si="739"/>
        <v>45881</v>
      </c>
      <c r="B5895" s="11" t="s">
        <v>6486</v>
      </c>
      <c r="C5895" s="50" t="s">
        <v>8841</v>
      </c>
      <c r="E5895" s="90" t="s">
        <v>4720</v>
      </c>
      <c r="G5895" s="2">
        <v>2500</v>
      </c>
      <c r="I5895" s="88">
        <f t="shared" si="734"/>
        <v>32305.360000000001</v>
      </c>
      <c r="K5895" s="62"/>
      <c r="L5895" s="2">
        <f t="shared" si="740"/>
        <v>10</v>
      </c>
      <c r="M5895">
        <f t="shared" si="741"/>
        <v>0</v>
      </c>
    </row>
    <row r="5896" spans="1:13" x14ac:dyDescent="0.3">
      <c r="A5896" s="3">
        <f t="shared" si="739"/>
        <v>45881</v>
      </c>
      <c r="B5896" s="11" t="s">
        <v>2528</v>
      </c>
      <c r="C5896" s="50" t="s">
        <v>4207</v>
      </c>
      <c r="E5896" s="90" t="s">
        <v>2088</v>
      </c>
      <c r="G5896" s="2">
        <v>3000</v>
      </c>
      <c r="I5896" s="88">
        <f t="shared" si="734"/>
        <v>35305.360000000001</v>
      </c>
      <c r="K5896" s="62"/>
      <c r="L5896" s="2">
        <f t="shared" si="740"/>
        <v>17</v>
      </c>
      <c r="M5896">
        <f t="shared" si="741"/>
        <v>5</v>
      </c>
    </row>
    <row r="5897" spans="1:13" x14ac:dyDescent="0.3">
      <c r="A5897" s="3">
        <f t="shared" si="739"/>
        <v>45881</v>
      </c>
      <c r="B5897" s="11" t="s">
        <v>1160</v>
      </c>
      <c r="C5897" s="50" t="s">
        <v>8344</v>
      </c>
      <c r="E5897" s="90" t="s">
        <v>4720</v>
      </c>
      <c r="G5897" s="2">
        <v>2500</v>
      </c>
      <c r="I5897" s="88">
        <f t="shared" si="734"/>
        <v>37805.360000000001</v>
      </c>
      <c r="K5897" s="62">
        <v>30</v>
      </c>
      <c r="L5897" s="2">
        <f t="shared" si="740"/>
        <v>10</v>
      </c>
      <c r="M5897">
        <f t="shared" si="741"/>
        <v>0</v>
      </c>
    </row>
    <row r="5898" spans="1:13" x14ac:dyDescent="0.3">
      <c r="A5898" s="3">
        <f t="shared" si="739"/>
        <v>45881</v>
      </c>
      <c r="B5898" s="11" t="s">
        <v>6844</v>
      </c>
      <c r="E5898" s="90" t="s">
        <v>4720</v>
      </c>
      <c r="H5898" s="2">
        <v>1700</v>
      </c>
      <c r="I5898" s="88">
        <f t="shared" si="734"/>
        <v>36105.360000000001</v>
      </c>
      <c r="K5898" s="62"/>
      <c r="L5898" s="2">
        <f t="shared" si="740"/>
        <v>6.8</v>
      </c>
      <c r="M5898">
        <f t="shared" si="741"/>
        <v>0</v>
      </c>
    </row>
    <row r="5899" spans="1:13" x14ac:dyDescent="0.3">
      <c r="A5899" s="3">
        <f t="shared" si="739"/>
        <v>45881</v>
      </c>
      <c r="B5899" s="11" t="s">
        <v>7476</v>
      </c>
      <c r="C5899" s="50" t="s">
        <v>8138</v>
      </c>
      <c r="E5899" s="90" t="s">
        <v>2088</v>
      </c>
      <c r="G5899" s="2">
        <v>3000</v>
      </c>
      <c r="I5899" s="88">
        <f t="shared" si="734"/>
        <v>39105.360000000001</v>
      </c>
      <c r="K5899" s="62"/>
      <c r="L5899" s="2">
        <f t="shared" si="740"/>
        <v>17</v>
      </c>
      <c r="M5899">
        <f t="shared" si="741"/>
        <v>5</v>
      </c>
    </row>
    <row r="5900" spans="1:13" x14ac:dyDescent="0.3">
      <c r="A5900" s="3">
        <f t="shared" si="739"/>
        <v>45881</v>
      </c>
      <c r="B5900" s="11" t="s">
        <v>6687</v>
      </c>
      <c r="C5900" s="50" t="s">
        <v>6688</v>
      </c>
      <c r="E5900" s="90" t="s">
        <v>4720</v>
      </c>
      <c r="G5900" s="2">
        <v>2000</v>
      </c>
      <c r="I5900" s="88">
        <f t="shared" si="734"/>
        <v>41105.360000000001</v>
      </c>
      <c r="K5900" s="62"/>
      <c r="L5900" s="2">
        <f t="shared" si="740"/>
        <v>8</v>
      </c>
      <c r="M5900">
        <f t="shared" si="741"/>
        <v>0</v>
      </c>
    </row>
    <row r="5901" spans="1:13" x14ac:dyDescent="0.3">
      <c r="A5901" s="3">
        <f t="shared" si="739"/>
        <v>45881</v>
      </c>
      <c r="C5901" s="50" t="s">
        <v>2857</v>
      </c>
      <c r="E5901" s="90" t="s">
        <v>8332</v>
      </c>
      <c r="H5901" s="2">
        <v>40000</v>
      </c>
      <c r="I5901" s="88">
        <f t="shared" si="734"/>
        <v>1105.3600000000006</v>
      </c>
      <c r="K5901" s="62"/>
      <c r="L5901" s="2">
        <f t="shared" si="740"/>
        <v>0</v>
      </c>
      <c r="M5901">
        <f t="shared" si="741"/>
        <v>0</v>
      </c>
    </row>
    <row r="5902" spans="1:13" x14ac:dyDescent="0.3">
      <c r="A5902" s="3">
        <f t="shared" si="739"/>
        <v>45881</v>
      </c>
      <c r="B5902" s="11" t="s">
        <v>1160</v>
      </c>
      <c r="C5902" s="50" t="s">
        <v>8843</v>
      </c>
      <c r="E5902" s="90" t="s">
        <v>4720</v>
      </c>
      <c r="G5902" s="2">
        <v>2000</v>
      </c>
      <c r="I5902" s="88">
        <f t="shared" si="734"/>
        <v>3105.3600000000006</v>
      </c>
      <c r="K5902" s="62">
        <v>20</v>
      </c>
      <c r="L5902" s="2">
        <f t="shared" si="740"/>
        <v>8</v>
      </c>
      <c r="M5902">
        <f t="shared" si="741"/>
        <v>0</v>
      </c>
    </row>
    <row r="5903" spans="1:13" x14ac:dyDescent="0.3">
      <c r="A5903" s="3">
        <f t="shared" si="739"/>
        <v>45881</v>
      </c>
      <c r="B5903" s="11" t="s">
        <v>6522</v>
      </c>
      <c r="C5903" s="50" t="s">
        <v>8844</v>
      </c>
      <c r="E5903" s="90" t="s">
        <v>4720</v>
      </c>
      <c r="G5903" s="2">
        <v>1000</v>
      </c>
      <c r="I5903" s="88">
        <f t="shared" si="734"/>
        <v>4105.3600000000006</v>
      </c>
      <c r="K5903" s="62">
        <v>10</v>
      </c>
      <c r="L5903" s="2">
        <f t="shared" si="740"/>
        <v>4</v>
      </c>
      <c r="M5903">
        <f t="shared" si="741"/>
        <v>0</v>
      </c>
    </row>
    <row r="5904" spans="1:13" x14ac:dyDescent="0.3">
      <c r="A5904" s="3">
        <f t="shared" si="739"/>
        <v>45881</v>
      </c>
      <c r="B5904" s="11" t="s">
        <v>7724</v>
      </c>
      <c r="C5904" s="50" t="s">
        <v>8845</v>
      </c>
      <c r="E5904" s="90" t="s">
        <v>2088</v>
      </c>
      <c r="H5904" s="2">
        <v>4000</v>
      </c>
      <c r="I5904" s="88">
        <f t="shared" si="734"/>
        <v>105.36000000000058</v>
      </c>
      <c r="K5904" s="62"/>
      <c r="L5904" s="2">
        <f t="shared" si="740"/>
        <v>21</v>
      </c>
      <c r="M5904">
        <f t="shared" si="741"/>
        <v>5</v>
      </c>
    </row>
    <row r="5905" spans="1:13" x14ac:dyDescent="0.3">
      <c r="A5905" s="3">
        <f t="shared" si="739"/>
        <v>45881</v>
      </c>
      <c r="B5905" s="11" t="s">
        <v>5133</v>
      </c>
      <c r="C5905" s="50" t="s">
        <v>8846</v>
      </c>
      <c r="E5905" s="90" t="s">
        <v>2088</v>
      </c>
      <c r="G5905" s="2">
        <v>2500</v>
      </c>
      <c r="I5905" s="88">
        <f t="shared" si="734"/>
        <v>2605.3600000000006</v>
      </c>
      <c r="K5905" s="62"/>
      <c r="L5905" s="2">
        <f t="shared" si="740"/>
        <v>15</v>
      </c>
      <c r="M5905">
        <f t="shared" si="741"/>
        <v>5</v>
      </c>
    </row>
    <row r="5906" spans="1:13" x14ac:dyDescent="0.3">
      <c r="A5906" s="3">
        <f t="shared" si="739"/>
        <v>45881</v>
      </c>
      <c r="B5906" s="11" t="s">
        <v>8847</v>
      </c>
      <c r="C5906" s="50" t="s">
        <v>8848</v>
      </c>
      <c r="E5906" s="90" t="s">
        <v>2088</v>
      </c>
      <c r="G5906" s="2">
        <v>0</v>
      </c>
      <c r="H5906" s="2">
        <v>0</v>
      </c>
      <c r="I5906" s="88">
        <f t="shared" si="734"/>
        <v>2605.3600000000006</v>
      </c>
      <c r="K5906" s="62"/>
      <c r="L5906" s="2">
        <f t="shared" si="740"/>
        <v>5</v>
      </c>
      <c r="M5906">
        <f t="shared" si="741"/>
        <v>5</v>
      </c>
    </row>
    <row r="5907" spans="1:13" x14ac:dyDescent="0.3">
      <c r="A5907" s="3">
        <f t="shared" si="739"/>
        <v>45881</v>
      </c>
      <c r="B5907" s="11" t="s">
        <v>3685</v>
      </c>
      <c r="C5907" s="50" t="s">
        <v>8849</v>
      </c>
      <c r="E5907" s="90" t="s">
        <v>2088</v>
      </c>
      <c r="G5907" s="2">
        <v>0</v>
      </c>
      <c r="H5907" s="2">
        <v>0</v>
      </c>
      <c r="I5907" s="88">
        <f t="shared" si="734"/>
        <v>2605.3600000000006</v>
      </c>
      <c r="K5907" s="62"/>
      <c r="L5907" s="2">
        <f t="shared" si="740"/>
        <v>5</v>
      </c>
      <c r="M5907">
        <f t="shared" si="741"/>
        <v>5</v>
      </c>
    </row>
    <row r="5908" spans="1:13" x14ac:dyDescent="0.3">
      <c r="A5908" s="3">
        <v>45882</v>
      </c>
      <c r="B5908" s="11" t="s">
        <v>3204</v>
      </c>
      <c r="C5908" s="50" t="s">
        <v>8850</v>
      </c>
      <c r="E5908" s="90" t="s">
        <v>4720</v>
      </c>
      <c r="G5908" s="2">
        <v>3500</v>
      </c>
      <c r="I5908" s="88">
        <f t="shared" si="734"/>
        <v>6105.3600000000006</v>
      </c>
      <c r="K5908" s="62">
        <v>40</v>
      </c>
      <c r="L5908" s="2">
        <f t="shared" si="740"/>
        <v>14</v>
      </c>
      <c r="M5908">
        <f t="shared" si="741"/>
        <v>0</v>
      </c>
    </row>
    <row r="5909" spans="1:13" x14ac:dyDescent="0.3">
      <c r="A5909" s="3">
        <f t="shared" si="739"/>
        <v>45882</v>
      </c>
      <c r="B5909" s="11" t="s">
        <v>7060</v>
      </c>
      <c r="C5909" s="50" t="s">
        <v>7529</v>
      </c>
      <c r="E5909" s="90" t="s">
        <v>2088</v>
      </c>
      <c r="G5909" s="2">
        <v>6000</v>
      </c>
      <c r="I5909" s="88">
        <f t="shared" si="734"/>
        <v>12105.36</v>
      </c>
      <c r="K5909" s="62"/>
      <c r="L5909" s="2">
        <f t="shared" si="740"/>
        <v>25</v>
      </c>
      <c r="M5909">
        <f t="shared" si="741"/>
        <v>5</v>
      </c>
    </row>
    <row r="5910" spans="1:13" x14ac:dyDescent="0.3">
      <c r="A5910" s="3">
        <f t="shared" si="739"/>
        <v>45882</v>
      </c>
      <c r="B5910" s="11" t="s">
        <v>6434</v>
      </c>
      <c r="C5910" s="50" t="s">
        <v>8558</v>
      </c>
      <c r="E5910" s="90" t="s">
        <v>4720</v>
      </c>
      <c r="H5910" s="2">
        <v>6500</v>
      </c>
      <c r="I5910" s="88">
        <f t="shared" ref="I5910:I5916" si="742">I5909+G5910-H5910</f>
        <v>5605.3600000000006</v>
      </c>
      <c r="K5910" s="62"/>
      <c r="L5910" s="2">
        <f t="shared" si="740"/>
        <v>20</v>
      </c>
      <c r="M5910">
        <f t="shared" si="741"/>
        <v>0</v>
      </c>
    </row>
    <row r="5911" spans="1:13" x14ac:dyDescent="0.3">
      <c r="A5911" s="3">
        <f t="shared" si="739"/>
        <v>45882</v>
      </c>
      <c r="B5911" s="11" t="s">
        <v>6627</v>
      </c>
      <c r="C5911" s="50" t="s">
        <v>8854</v>
      </c>
      <c r="E5911" s="90" t="s">
        <v>4720</v>
      </c>
      <c r="G5911" s="2">
        <v>7000</v>
      </c>
      <c r="I5911" s="88">
        <f t="shared" si="742"/>
        <v>12605.36</v>
      </c>
      <c r="K5911" s="62"/>
      <c r="L5911" s="2">
        <f t="shared" si="740"/>
        <v>20</v>
      </c>
      <c r="M5911">
        <f t="shared" si="741"/>
        <v>0</v>
      </c>
    </row>
    <row r="5912" spans="1:13" x14ac:dyDescent="0.3">
      <c r="A5912" s="3">
        <f t="shared" si="739"/>
        <v>45882</v>
      </c>
      <c r="B5912" s="11" t="s">
        <v>7649</v>
      </c>
      <c r="C5912" s="50" t="s">
        <v>7753</v>
      </c>
      <c r="E5912" s="90" t="s">
        <v>4720</v>
      </c>
      <c r="H5912" s="2">
        <v>7500</v>
      </c>
      <c r="I5912" s="88">
        <f t="shared" si="742"/>
        <v>5105.3600000000006</v>
      </c>
      <c r="K5912" s="62"/>
      <c r="L5912" s="2">
        <f t="shared" si="740"/>
        <v>20</v>
      </c>
      <c r="M5912">
        <f t="shared" si="741"/>
        <v>0</v>
      </c>
    </row>
    <row r="5913" spans="1:13" x14ac:dyDescent="0.3">
      <c r="A5913" s="3">
        <f t="shared" si="739"/>
        <v>45882</v>
      </c>
      <c r="C5913" s="50" t="s">
        <v>2887</v>
      </c>
      <c r="E5913" s="90" t="s">
        <v>8332</v>
      </c>
      <c r="G5913" s="2">
        <v>15000</v>
      </c>
      <c r="I5913" s="88">
        <f t="shared" si="742"/>
        <v>20105.36</v>
      </c>
      <c r="K5913" s="62"/>
      <c r="L5913" s="2">
        <f t="shared" si="740"/>
        <v>0</v>
      </c>
      <c r="M5913">
        <f t="shared" si="741"/>
        <v>0</v>
      </c>
    </row>
    <row r="5914" spans="1:13" x14ac:dyDescent="0.3">
      <c r="A5914" s="3">
        <f t="shared" si="739"/>
        <v>45882</v>
      </c>
      <c r="B5914" s="11" t="s">
        <v>8855</v>
      </c>
      <c r="C5914" s="50" t="s">
        <v>8856</v>
      </c>
      <c r="E5914" s="90" t="s">
        <v>4720</v>
      </c>
      <c r="G5914" s="2">
        <v>2000</v>
      </c>
      <c r="I5914" s="88">
        <f t="shared" si="742"/>
        <v>22105.360000000001</v>
      </c>
      <c r="K5914" s="62"/>
      <c r="L5914" s="2">
        <f t="shared" si="740"/>
        <v>8</v>
      </c>
      <c r="M5914">
        <f t="shared" si="741"/>
        <v>0</v>
      </c>
    </row>
    <row r="5915" spans="1:13" x14ac:dyDescent="0.3">
      <c r="A5915" s="3">
        <f t="shared" si="739"/>
        <v>45882</v>
      </c>
      <c r="B5915" s="11" t="s">
        <v>5042</v>
      </c>
      <c r="C5915" s="50" t="s">
        <v>6176</v>
      </c>
      <c r="E5915" s="90" t="s">
        <v>4720</v>
      </c>
      <c r="G5915" s="2">
        <v>1400</v>
      </c>
      <c r="I5915" s="88">
        <f t="shared" si="742"/>
        <v>23505.360000000001</v>
      </c>
      <c r="K5915" s="62"/>
      <c r="L5915" s="2">
        <f t="shared" si="740"/>
        <v>5.6000000000000005</v>
      </c>
      <c r="M5915">
        <f t="shared" si="741"/>
        <v>0</v>
      </c>
    </row>
    <row r="5916" spans="1:13" x14ac:dyDescent="0.3">
      <c r="A5916" s="3">
        <f t="shared" si="739"/>
        <v>45882</v>
      </c>
      <c r="B5916" s="11" t="s">
        <v>7174</v>
      </c>
      <c r="C5916" s="50" t="s">
        <v>8857</v>
      </c>
      <c r="E5916" s="90" t="s">
        <v>2088</v>
      </c>
      <c r="G5916" s="2">
        <v>8000</v>
      </c>
      <c r="I5916" s="88">
        <f t="shared" si="742"/>
        <v>31505.360000000001</v>
      </c>
      <c r="K5916" s="62"/>
      <c r="L5916" s="2">
        <f t="shared" si="740"/>
        <v>25</v>
      </c>
      <c r="M5916">
        <f t="shared" si="741"/>
        <v>5</v>
      </c>
    </row>
    <row r="5917" spans="1:13" x14ac:dyDescent="0.3">
      <c r="A5917" s="3">
        <f t="shared" si="739"/>
        <v>45882</v>
      </c>
      <c r="B5917" s="11" t="s">
        <v>6929</v>
      </c>
      <c r="C5917" s="50" t="s">
        <v>8858</v>
      </c>
      <c r="E5917" s="90" t="s">
        <v>2088</v>
      </c>
      <c r="G5917" s="2">
        <v>5000</v>
      </c>
      <c r="I5917" s="88">
        <f t="shared" ref="I5917:I5935" si="743">I5916+G5917-H5917</f>
        <v>36505.360000000001</v>
      </c>
      <c r="K5917" s="62"/>
      <c r="L5917" s="2">
        <f t="shared" ref="L5917:L5935" si="744">IF(E5917="C",0,IF((G5917+H5917)&lt;=5000,(G5917+H5917)*0.004,20)+IF(E5917="P",5,IF(E5917="Y",15,IF(E5917="YY",25))))</f>
        <v>25</v>
      </c>
      <c r="M5917">
        <f t="shared" ref="M5917:M5935" si="745">IF(E5917="p",5,0)</f>
        <v>5</v>
      </c>
    </row>
    <row r="5918" spans="1:13" x14ac:dyDescent="0.3">
      <c r="A5918" s="3">
        <f t="shared" si="739"/>
        <v>45882</v>
      </c>
      <c r="B5918" s="11" t="s">
        <v>1250</v>
      </c>
      <c r="C5918" s="50" t="s">
        <v>7874</v>
      </c>
      <c r="E5918" s="90" t="s">
        <v>4720</v>
      </c>
      <c r="G5918" s="2">
        <v>900</v>
      </c>
      <c r="I5918" s="88">
        <f t="shared" si="743"/>
        <v>37405.360000000001</v>
      </c>
      <c r="K5918" s="62"/>
      <c r="L5918" s="2">
        <f t="shared" si="744"/>
        <v>3.6</v>
      </c>
      <c r="M5918">
        <f t="shared" si="745"/>
        <v>0</v>
      </c>
    </row>
    <row r="5919" spans="1:13" x14ac:dyDescent="0.3">
      <c r="A5919" s="3">
        <f t="shared" si="739"/>
        <v>45882</v>
      </c>
      <c r="B5919" s="11" t="s">
        <v>4796</v>
      </c>
      <c r="C5919" s="50" t="s">
        <v>8859</v>
      </c>
      <c r="E5919" s="90" t="s">
        <v>4720</v>
      </c>
      <c r="H5919" s="2">
        <v>500</v>
      </c>
      <c r="I5919" s="88">
        <f t="shared" si="743"/>
        <v>36905.360000000001</v>
      </c>
      <c r="K5919" s="62"/>
      <c r="L5919" s="2">
        <f t="shared" si="744"/>
        <v>2</v>
      </c>
      <c r="M5919">
        <f t="shared" si="745"/>
        <v>0</v>
      </c>
    </row>
    <row r="5920" spans="1:13" x14ac:dyDescent="0.3">
      <c r="A5920" s="3">
        <f t="shared" si="739"/>
        <v>45882</v>
      </c>
      <c r="B5920" s="11" t="s">
        <v>8083</v>
      </c>
      <c r="C5920" s="50" t="s">
        <v>8768</v>
      </c>
      <c r="E5920" s="90" t="s">
        <v>4720</v>
      </c>
      <c r="G5920" s="2">
        <v>1000</v>
      </c>
      <c r="I5920" s="88">
        <f t="shared" si="743"/>
        <v>37905.360000000001</v>
      </c>
      <c r="K5920" s="62"/>
      <c r="L5920" s="2">
        <f t="shared" si="744"/>
        <v>4</v>
      </c>
      <c r="M5920">
        <f t="shared" si="745"/>
        <v>0</v>
      </c>
    </row>
    <row r="5921" spans="1:13" x14ac:dyDescent="0.3">
      <c r="A5921" s="3">
        <f t="shared" si="739"/>
        <v>45882</v>
      </c>
      <c r="C5921" s="50" t="s">
        <v>8860</v>
      </c>
      <c r="E5921" s="90" t="s">
        <v>8332</v>
      </c>
      <c r="H5921" s="2">
        <v>35000</v>
      </c>
      <c r="I5921" s="88">
        <f t="shared" si="743"/>
        <v>2905.3600000000006</v>
      </c>
      <c r="K5921" s="62"/>
      <c r="L5921" s="2">
        <f t="shared" si="744"/>
        <v>0</v>
      </c>
      <c r="M5921">
        <f t="shared" si="745"/>
        <v>0</v>
      </c>
    </row>
    <row r="5922" spans="1:13" x14ac:dyDescent="0.3">
      <c r="A5922" s="3">
        <f t="shared" si="739"/>
        <v>45882</v>
      </c>
      <c r="B5922" s="11" t="s">
        <v>1250</v>
      </c>
      <c r="C5922" s="50" t="s">
        <v>8861</v>
      </c>
      <c r="E5922" s="90" t="s">
        <v>4720</v>
      </c>
      <c r="G5922" s="2">
        <v>2500</v>
      </c>
      <c r="I5922" s="88">
        <f t="shared" si="743"/>
        <v>5405.3600000000006</v>
      </c>
      <c r="K5922" s="62"/>
      <c r="L5922" s="2">
        <f t="shared" si="744"/>
        <v>10</v>
      </c>
      <c r="M5922">
        <f t="shared" si="745"/>
        <v>0</v>
      </c>
    </row>
    <row r="5923" spans="1:13" x14ac:dyDescent="0.3">
      <c r="A5923" s="3">
        <f t="shared" si="739"/>
        <v>45882</v>
      </c>
      <c r="B5923" s="11" t="s">
        <v>7800</v>
      </c>
      <c r="C5923" s="50" t="s">
        <v>7284</v>
      </c>
      <c r="E5923" s="90" t="s">
        <v>2088</v>
      </c>
      <c r="G5923" s="2">
        <v>0</v>
      </c>
      <c r="H5923" s="2">
        <v>0</v>
      </c>
      <c r="I5923" s="88">
        <f t="shared" si="743"/>
        <v>5405.3600000000006</v>
      </c>
      <c r="K5923" s="62"/>
      <c r="L5923" s="2">
        <f t="shared" si="744"/>
        <v>5</v>
      </c>
      <c r="M5923">
        <f t="shared" si="745"/>
        <v>5</v>
      </c>
    </row>
    <row r="5924" spans="1:13" x14ac:dyDescent="0.3">
      <c r="A5924" s="3">
        <f t="shared" si="739"/>
        <v>45882</v>
      </c>
      <c r="B5924" s="11" t="s">
        <v>1250</v>
      </c>
      <c r="C5924" s="50" t="s">
        <v>8862</v>
      </c>
      <c r="E5924" s="90" t="s">
        <v>4720</v>
      </c>
      <c r="G5924" s="2">
        <v>600</v>
      </c>
      <c r="I5924" s="88">
        <f t="shared" si="743"/>
        <v>6005.3600000000006</v>
      </c>
      <c r="K5924" s="62"/>
      <c r="L5924" s="2">
        <f t="shared" si="744"/>
        <v>2.4</v>
      </c>
      <c r="M5924">
        <f t="shared" si="745"/>
        <v>0</v>
      </c>
    </row>
    <row r="5925" spans="1:13" x14ac:dyDescent="0.3">
      <c r="A5925" s="3">
        <f t="shared" si="739"/>
        <v>45882</v>
      </c>
      <c r="B5925" s="11" t="s">
        <v>7852</v>
      </c>
      <c r="C5925" s="50" t="s">
        <v>8054</v>
      </c>
      <c r="E5925" s="90" t="s">
        <v>4720</v>
      </c>
      <c r="G5925" s="2">
        <v>2000</v>
      </c>
      <c r="I5925" s="88">
        <f t="shared" si="743"/>
        <v>8005.3600000000006</v>
      </c>
      <c r="K5925" s="62"/>
      <c r="L5925" s="2">
        <f t="shared" si="744"/>
        <v>8</v>
      </c>
      <c r="M5925">
        <f t="shared" si="745"/>
        <v>0</v>
      </c>
    </row>
    <row r="5926" spans="1:13" x14ac:dyDescent="0.3">
      <c r="A5926" s="3">
        <f t="shared" si="739"/>
        <v>45882</v>
      </c>
      <c r="B5926" s="11" t="s">
        <v>6728</v>
      </c>
      <c r="C5926" s="50" t="s">
        <v>8346</v>
      </c>
      <c r="E5926" s="90" t="s">
        <v>2088</v>
      </c>
      <c r="G5926" s="2">
        <v>2000</v>
      </c>
      <c r="I5926" s="88">
        <f t="shared" si="743"/>
        <v>10005.36</v>
      </c>
      <c r="K5926" s="62"/>
      <c r="L5926" s="2">
        <f t="shared" si="744"/>
        <v>13</v>
      </c>
      <c r="M5926">
        <f t="shared" si="745"/>
        <v>5</v>
      </c>
    </row>
    <row r="5927" spans="1:13" x14ac:dyDescent="0.3">
      <c r="A5927" s="3">
        <v>45883</v>
      </c>
      <c r="B5927" s="11" t="s">
        <v>3289</v>
      </c>
      <c r="C5927" s="50" t="s">
        <v>2734</v>
      </c>
      <c r="E5927" s="90" t="s">
        <v>4720</v>
      </c>
      <c r="H5927" s="2">
        <v>1500</v>
      </c>
      <c r="I5927" s="88">
        <f t="shared" si="743"/>
        <v>8505.36</v>
      </c>
      <c r="K5927" s="62"/>
      <c r="L5927" s="2">
        <f t="shared" si="744"/>
        <v>6</v>
      </c>
      <c r="M5927">
        <f t="shared" si="745"/>
        <v>0</v>
      </c>
    </row>
    <row r="5928" spans="1:13" x14ac:dyDescent="0.3">
      <c r="A5928" s="3">
        <f t="shared" si="739"/>
        <v>45883</v>
      </c>
      <c r="B5928" s="11" t="s">
        <v>1250</v>
      </c>
      <c r="C5928" s="50" t="s">
        <v>2295</v>
      </c>
      <c r="E5928" s="90" t="s">
        <v>4720</v>
      </c>
      <c r="G5928" s="2">
        <v>10000</v>
      </c>
      <c r="I5928" s="88">
        <f t="shared" si="743"/>
        <v>18505.36</v>
      </c>
      <c r="K5928" s="62"/>
      <c r="L5928" s="2">
        <f t="shared" si="744"/>
        <v>20</v>
      </c>
      <c r="M5928">
        <f t="shared" si="745"/>
        <v>0</v>
      </c>
    </row>
    <row r="5929" spans="1:13" x14ac:dyDescent="0.3">
      <c r="A5929" s="3">
        <f t="shared" si="739"/>
        <v>45883</v>
      </c>
      <c r="B5929" s="11" t="s">
        <v>3232</v>
      </c>
      <c r="C5929" s="50" t="s">
        <v>6482</v>
      </c>
      <c r="E5929" s="90" t="s">
        <v>4720</v>
      </c>
      <c r="G5929" s="2">
        <v>2500</v>
      </c>
      <c r="I5929" s="88">
        <f t="shared" si="743"/>
        <v>21005.360000000001</v>
      </c>
      <c r="K5929" s="62">
        <v>30</v>
      </c>
      <c r="L5929" s="2">
        <f t="shared" si="744"/>
        <v>10</v>
      </c>
      <c r="M5929">
        <f t="shared" si="745"/>
        <v>0</v>
      </c>
    </row>
    <row r="5930" spans="1:13" x14ac:dyDescent="0.3">
      <c r="A5930" s="3">
        <f t="shared" si="739"/>
        <v>45883</v>
      </c>
      <c r="B5930" s="11" t="s">
        <v>1250</v>
      </c>
      <c r="C5930" s="50" t="s">
        <v>8863</v>
      </c>
      <c r="E5930" s="90" t="s">
        <v>4720</v>
      </c>
      <c r="G5930" s="2">
        <v>200</v>
      </c>
      <c r="I5930" s="88">
        <f t="shared" si="743"/>
        <v>21205.360000000001</v>
      </c>
      <c r="K5930" s="62"/>
      <c r="L5930" s="2">
        <f t="shared" si="744"/>
        <v>0.8</v>
      </c>
      <c r="M5930">
        <f t="shared" si="745"/>
        <v>0</v>
      </c>
    </row>
    <row r="5931" spans="1:13" x14ac:dyDescent="0.3">
      <c r="A5931" s="3">
        <f t="shared" si="739"/>
        <v>45883</v>
      </c>
      <c r="B5931" s="11" t="s">
        <v>4151</v>
      </c>
      <c r="C5931" s="50" t="s">
        <v>8864</v>
      </c>
      <c r="E5931" s="90" t="s">
        <v>2088</v>
      </c>
      <c r="H5931" s="2">
        <v>2500</v>
      </c>
      <c r="I5931" s="88">
        <f t="shared" si="743"/>
        <v>18705.36</v>
      </c>
      <c r="K5931" s="62"/>
      <c r="L5931" s="2">
        <f t="shared" si="744"/>
        <v>15</v>
      </c>
      <c r="M5931">
        <f t="shared" si="745"/>
        <v>5</v>
      </c>
    </row>
    <row r="5932" spans="1:13" x14ac:dyDescent="0.3">
      <c r="A5932" s="3">
        <f t="shared" si="739"/>
        <v>45883</v>
      </c>
      <c r="B5932" s="11" t="s">
        <v>8866</v>
      </c>
      <c r="E5932" s="90" t="s">
        <v>16</v>
      </c>
      <c r="H5932" s="2">
        <v>500</v>
      </c>
      <c r="I5932" s="88">
        <f t="shared" si="743"/>
        <v>18205.36</v>
      </c>
      <c r="K5932" s="62"/>
      <c r="L5932" s="2">
        <f t="shared" si="744"/>
        <v>17</v>
      </c>
      <c r="M5932">
        <f t="shared" si="745"/>
        <v>0</v>
      </c>
    </row>
    <row r="5933" spans="1:13" x14ac:dyDescent="0.3">
      <c r="A5933" s="3">
        <f t="shared" ref="A5933:A5996" si="746">A5932</f>
        <v>45883</v>
      </c>
      <c r="B5933" s="11" t="s">
        <v>8637</v>
      </c>
      <c r="C5933" s="50" t="s">
        <v>8869</v>
      </c>
      <c r="E5933" s="90" t="s">
        <v>2088</v>
      </c>
      <c r="G5933" s="2">
        <v>0</v>
      </c>
      <c r="H5933" s="2">
        <v>0</v>
      </c>
      <c r="I5933" s="88">
        <f t="shared" si="743"/>
        <v>18205.36</v>
      </c>
      <c r="K5933" s="62"/>
      <c r="L5933" s="2">
        <f t="shared" si="744"/>
        <v>5</v>
      </c>
      <c r="M5933">
        <f t="shared" si="745"/>
        <v>5</v>
      </c>
    </row>
    <row r="5934" spans="1:13" x14ac:dyDescent="0.3">
      <c r="A5934" s="3">
        <f t="shared" si="746"/>
        <v>45883</v>
      </c>
      <c r="C5934" s="50" t="s">
        <v>2857</v>
      </c>
      <c r="E5934" s="90" t="s">
        <v>8332</v>
      </c>
      <c r="H5934" s="2">
        <v>10000</v>
      </c>
      <c r="I5934" s="88">
        <f t="shared" si="743"/>
        <v>8205.36</v>
      </c>
      <c r="K5934" s="62"/>
      <c r="L5934" s="2">
        <f t="shared" si="744"/>
        <v>0</v>
      </c>
      <c r="M5934">
        <f t="shared" si="745"/>
        <v>0</v>
      </c>
    </row>
    <row r="5935" spans="1:13" x14ac:dyDescent="0.3">
      <c r="A5935" s="3">
        <v>45884</v>
      </c>
      <c r="B5935" s="11" t="s">
        <v>1472</v>
      </c>
      <c r="C5935" s="50" t="s">
        <v>8082</v>
      </c>
      <c r="E5935" s="90" t="s">
        <v>4720</v>
      </c>
      <c r="G5935" s="2">
        <v>2000</v>
      </c>
      <c r="I5935" s="88">
        <f t="shared" si="743"/>
        <v>10205.36</v>
      </c>
      <c r="K5935" s="62">
        <v>20</v>
      </c>
      <c r="L5935" s="2">
        <f t="shared" si="744"/>
        <v>8</v>
      </c>
      <c r="M5935">
        <f t="shared" si="745"/>
        <v>0</v>
      </c>
    </row>
    <row r="5936" spans="1:13" x14ac:dyDescent="0.3">
      <c r="A5936" s="3">
        <f t="shared" si="746"/>
        <v>45884</v>
      </c>
      <c r="B5936" s="11" t="s">
        <v>1250</v>
      </c>
      <c r="C5936" s="50" t="s">
        <v>5721</v>
      </c>
      <c r="E5936" s="90" t="s">
        <v>4720</v>
      </c>
      <c r="G5936" s="2">
        <v>10000</v>
      </c>
      <c r="I5936" s="88">
        <f t="shared" ref="I5936:I5953" si="747">I5935+G5936-H5936</f>
        <v>20205.36</v>
      </c>
      <c r="K5936" s="62">
        <v>100</v>
      </c>
      <c r="L5936" s="2">
        <f t="shared" ref="L5936:L5953" si="748">IF(E5936="C",0,IF((G5936+H5936)&lt;=5000,(G5936+H5936)*0.004,20)+IF(E5936="P",5,IF(E5936="Y",15,IF(E5936="YY",25))))</f>
        <v>20</v>
      </c>
      <c r="M5936">
        <f t="shared" ref="M5936:M5953" si="749">IF(E5936="p",5,0)</f>
        <v>0</v>
      </c>
    </row>
    <row r="5937" spans="1:13" x14ac:dyDescent="0.3">
      <c r="A5937" s="3">
        <f t="shared" si="746"/>
        <v>45884</v>
      </c>
      <c r="B5937" s="11" t="s">
        <v>1472</v>
      </c>
      <c r="C5937" s="50" t="s">
        <v>8871</v>
      </c>
      <c r="E5937" s="90" t="s">
        <v>4720</v>
      </c>
      <c r="G5937" s="2">
        <v>300</v>
      </c>
      <c r="I5937" s="88">
        <f t="shared" si="747"/>
        <v>20505.36</v>
      </c>
      <c r="K5937" s="62">
        <v>10</v>
      </c>
      <c r="L5937" s="2">
        <f t="shared" si="748"/>
        <v>1.2</v>
      </c>
      <c r="M5937">
        <f t="shared" si="749"/>
        <v>0</v>
      </c>
    </row>
    <row r="5938" spans="1:13" x14ac:dyDescent="0.3">
      <c r="A5938" s="3">
        <f t="shared" si="746"/>
        <v>45884</v>
      </c>
      <c r="B5938" s="11" t="s">
        <v>2241</v>
      </c>
      <c r="C5938" s="50" t="s">
        <v>8872</v>
      </c>
      <c r="E5938" s="90" t="s">
        <v>4720</v>
      </c>
      <c r="G5938" s="2">
        <v>1500</v>
      </c>
      <c r="I5938" s="88">
        <f t="shared" si="747"/>
        <v>22005.360000000001</v>
      </c>
      <c r="K5938" s="62">
        <v>20</v>
      </c>
      <c r="L5938" s="2">
        <f t="shared" si="748"/>
        <v>6</v>
      </c>
      <c r="M5938">
        <f t="shared" si="749"/>
        <v>0</v>
      </c>
    </row>
    <row r="5939" spans="1:13" x14ac:dyDescent="0.3">
      <c r="A5939" s="3">
        <f t="shared" si="746"/>
        <v>45884</v>
      </c>
      <c r="B5939" s="11" t="s">
        <v>3504</v>
      </c>
      <c r="C5939" s="50" t="s">
        <v>2652</v>
      </c>
      <c r="E5939" s="90" t="s">
        <v>4720</v>
      </c>
      <c r="H5939" s="2">
        <v>10000</v>
      </c>
      <c r="I5939" s="88">
        <f t="shared" si="747"/>
        <v>12005.36</v>
      </c>
      <c r="K5939" s="62"/>
      <c r="L5939" s="2">
        <f t="shared" si="748"/>
        <v>20</v>
      </c>
      <c r="M5939">
        <f t="shared" si="749"/>
        <v>0</v>
      </c>
    </row>
    <row r="5940" spans="1:13" x14ac:dyDescent="0.3">
      <c r="A5940" s="3">
        <f t="shared" si="746"/>
        <v>45884</v>
      </c>
      <c r="B5940" s="11" t="s">
        <v>5771</v>
      </c>
      <c r="C5940" s="50" t="s">
        <v>8873</v>
      </c>
      <c r="E5940" s="90" t="s">
        <v>2088</v>
      </c>
      <c r="G5940" s="2">
        <v>3000</v>
      </c>
      <c r="I5940" s="88">
        <f t="shared" si="747"/>
        <v>15005.36</v>
      </c>
      <c r="K5940" s="62">
        <v>30</v>
      </c>
      <c r="L5940" s="2">
        <f t="shared" si="748"/>
        <v>17</v>
      </c>
      <c r="M5940">
        <f t="shared" si="749"/>
        <v>5</v>
      </c>
    </row>
    <row r="5941" spans="1:13" x14ac:dyDescent="0.3">
      <c r="A5941" s="3">
        <f t="shared" si="746"/>
        <v>45884</v>
      </c>
      <c r="B5941" s="11" t="s">
        <v>4438</v>
      </c>
      <c r="C5941" s="50" t="s">
        <v>8874</v>
      </c>
      <c r="E5941" s="90" t="s">
        <v>4720</v>
      </c>
      <c r="G5941" s="2">
        <v>2000</v>
      </c>
      <c r="I5941" s="88">
        <f t="shared" si="747"/>
        <v>17005.36</v>
      </c>
      <c r="K5941" s="62">
        <v>20</v>
      </c>
      <c r="L5941" s="2">
        <f t="shared" si="748"/>
        <v>8</v>
      </c>
      <c r="M5941">
        <f t="shared" si="749"/>
        <v>0</v>
      </c>
    </row>
    <row r="5942" spans="1:13" x14ac:dyDescent="0.3">
      <c r="A5942" s="3">
        <f t="shared" si="746"/>
        <v>45884</v>
      </c>
      <c r="B5942" s="11" t="s">
        <v>5355</v>
      </c>
      <c r="C5942" s="50" t="s">
        <v>6995</v>
      </c>
      <c r="E5942" s="90" t="s">
        <v>4720</v>
      </c>
      <c r="G5942" s="2">
        <v>3000</v>
      </c>
      <c r="I5942" s="88">
        <f t="shared" si="747"/>
        <v>20005.36</v>
      </c>
      <c r="K5942" s="62">
        <v>30</v>
      </c>
      <c r="L5942" s="2">
        <f t="shared" si="748"/>
        <v>12</v>
      </c>
      <c r="M5942">
        <f t="shared" si="749"/>
        <v>0</v>
      </c>
    </row>
    <row r="5943" spans="1:13" x14ac:dyDescent="0.3">
      <c r="A5943" s="3">
        <v>45885</v>
      </c>
      <c r="B5943" s="11" t="s">
        <v>6700</v>
      </c>
      <c r="C5943" s="50" t="s">
        <v>8558</v>
      </c>
      <c r="E5943" s="90" t="s">
        <v>4720</v>
      </c>
      <c r="H5943" s="2">
        <v>7500</v>
      </c>
      <c r="I5943" s="88">
        <f t="shared" si="747"/>
        <v>12505.36</v>
      </c>
      <c r="K5943" s="62"/>
      <c r="L5943" s="2">
        <f t="shared" si="748"/>
        <v>20</v>
      </c>
      <c r="M5943">
        <f t="shared" si="749"/>
        <v>0</v>
      </c>
    </row>
    <row r="5944" spans="1:13" x14ac:dyDescent="0.3">
      <c r="A5944" s="3">
        <f t="shared" si="746"/>
        <v>45885</v>
      </c>
      <c r="B5944" s="11" t="s">
        <v>8875</v>
      </c>
      <c r="C5944" s="50" t="s">
        <v>8876</v>
      </c>
      <c r="E5944" s="90" t="s">
        <v>4720</v>
      </c>
      <c r="G5944" s="2">
        <v>1500</v>
      </c>
      <c r="I5944" s="88">
        <f t="shared" si="747"/>
        <v>14005.36</v>
      </c>
      <c r="K5944" s="62"/>
      <c r="L5944" s="2">
        <f t="shared" si="748"/>
        <v>6</v>
      </c>
      <c r="M5944">
        <f t="shared" si="749"/>
        <v>0</v>
      </c>
    </row>
    <row r="5945" spans="1:13" x14ac:dyDescent="0.3">
      <c r="A5945" s="3">
        <f t="shared" si="746"/>
        <v>45885</v>
      </c>
      <c r="B5945" s="11" t="s">
        <v>1160</v>
      </c>
      <c r="C5945" s="50" t="s">
        <v>8877</v>
      </c>
      <c r="E5945" s="90" t="s">
        <v>4720</v>
      </c>
      <c r="G5945" s="2">
        <v>1000</v>
      </c>
      <c r="I5945" s="88">
        <f t="shared" si="747"/>
        <v>15005.36</v>
      </c>
      <c r="K5945" s="62"/>
      <c r="L5945" s="2">
        <f t="shared" si="748"/>
        <v>4</v>
      </c>
      <c r="M5945">
        <f t="shared" si="749"/>
        <v>0</v>
      </c>
    </row>
    <row r="5946" spans="1:13" x14ac:dyDescent="0.3">
      <c r="A5946" s="3">
        <f t="shared" si="746"/>
        <v>45885</v>
      </c>
      <c r="B5946" s="11" t="s">
        <v>1250</v>
      </c>
      <c r="C5946" s="50" t="s">
        <v>3722</v>
      </c>
      <c r="E5946" s="90" t="s">
        <v>4720</v>
      </c>
      <c r="G5946" s="2">
        <v>2500</v>
      </c>
      <c r="I5946" s="88">
        <f t="shared" si="747"/>
        <v>17505.36</v>
      </c>
      <c r="K5946" s="62"/>
      <c r="L5946" s="2">
        <f t="shared" si="748"/>
        <v>10</v>
      </c>
      <c r="M5946">
        <f t="shared" si="749"/>
        <v>0</v>
      </c>
    </row>
    <row r="5947" spans="1:13" x14ac:dyDescent="0.3">
      <c r="A5947" s="3">
        <f t="shared" si="746"/>
        <v>45885</v>
      </c>
      <c r="B5947" s="11" t="s">
        <v>3504</v>
      </c>
      <c r="C5947" s="50" t="s">
        <v>2652</v>
      </c>
      <c r="E5947" s="90" t="s">
        <v>4720</v>
      </c>
      <c r="H5947" s="2">
        <v>10000</v>
      </c>
      <c r="I5947" s="88">
        <f t="shared" si="747"/>
        <v>7505.3600000000006</v>
      </c>
      <c r="K5947" s="62"/>
      <c r="L5947" s="2">
        <f t="shared" si="748"/>
        <v>20</v>
      </c>
      <c r="M5947">
        <f t="shared" si="749"/>
        <v>0</v>
      </c>
    </row>
    <row r="5948" spans="1:13" x14ac:dyDescent="0.3">
      <c r="A5948" s="3">
        <f t="shared" si="746"/>
        <v>45885</v>
      </c>
      <c r="B5948" s="11" t="s">
        <v>8878</v>
      </c>
      <c r="C5948" s="50" t="s">
        <v>704</v>
      </c>
      <c r="E5948" s="90" t="s">
        <v>2088</v>
      </c>
      <c r="G5948" s="2">
        <v>6000</v>
      </c>
      <c r="I5948" s="88">
        <f t="shared" si="747"/>
        <v>13505.36</v>
      </c>
      <c r="K5948" s="62"/>
      <c r="L5948" s="2">
        <f t="shared" si="748"/>
        <v>25</v>
      </c>
      <c r="M5948">
        <f t="shared" si="749"/>
        <v>5</v>
      </c>
    </row>
    <row r="5949" spans="1:13" x14ac:dyDescent="0.3">
      <c r="A5949" s="3">
        <f t="shared" si="746"/>
        <v>45885</v>
      </c>
      <c r="B5949" s="11" t="s">
        <v>7757</v>
      </c>
      <c r="C5949" s="50" t="s">
        <v>8801</v>
      </c>
      <c r="E5949" s="90" t="s">
        <v>4720</v>
      </c>
      <c r="H5949" s="2">
        <v>10000</v>
      </c>
      <c r="I5949" s="88">
        <f t="shared" si="747"/>
        <v>3505.3600000000006</v>
      </c>
      <c r="K5949" s="62"/>
      <c r="L5949" s="2">
        <f t="shared" si="748"/>
        <v>20</v>
      </c>
      <c r="M5949">
        <f t="shared" si="749"/>
        <v>0</v>
      </c>
    </row>
    <row r="5950" spans="1:13" x14ac:dyDescent="0.3">
      <c r="A5950" s="3">
        <f t="shared" si="746"/>
        <v>45885</v>
      </c>
      <c r="B5950" s="11" t="s">
        <v>3420</v>
      </c>
      <c r="C5950" s="50" t="s">
        <v>8602</v>
      </c>
      <c r="E5950" s="90" t="s">
        <v>4720</v>
      </c>
      <c r="G5950" s="2">
        <v>1000</v>
      </c>
      <c r="I5950" s="88">
        <f t="shared" si="747"/>
        <v>4505.3600000000006</v>
      </c>
      <c r="K5950" s="62"/>
      <c r="L5950" s="2">
        <f t="shared" si="748"/>
        <v>4</v>
      </c>
      <c r="M5950">
        <f t="shared" si="749"/>
        <v>0</v>
      </c>
    </row>
    <row r="5951" spans="1:13" x14ac:dyDescent="0.3">
      <c r="A5951" s="3">
        <v>45886</v>
      </c>
      <c r="B5951" s="11" t="s">
        <v>1472</v>
      </c>
      <c r="C5951" s="50" t="s">
        <v>8693</v>
      </c>
      <c r="E5951" s="90" t="s">
        <v>4720</v>
      </c>
      <c r="G5951" s="2">
        <v>3000</v>
      </c>
      <c r="I5951" s="88">
        <f t="shared" si="747"/>
        <v>7505.3600000000006</v>
      </c>
      <c r="K5951" s="62"/>
      <c r="L5951" s="2">
        <f t="shared" si="748"/>
        <v>12</v>
      </c>
      <c r="M5951">
        <f t="shared" si="749"/>
        <v>0</v>
      </c>
    </row>
    <row r="5952" spans="1:13" x14ac:dyDescent="0.3">
      <c r="A5952" s="3">
        <v>45887</v>
      </c>
      <c r="B5952" s="11" t="s">
        <v>1250</v>
      </c>
      <c r="C5952" s="50" t="s">
        <v>5721</v>
      </c>
      <c r="E5952" s="90" t="s">
        <v>4720</v>
      </c>
      <c r="G5952" s="2">
        <v>7500</v>
      </c>
      <c r="I5952" s="88">
        <f t="shared" si="747"/>
        <v>15005.36</v>
      </c>
      <c r="K5952" s="62"/>
      <c r="L5952" s="2">
        <f t="shared" si="748"/>
        <v>20</v>
      </c>
      <c r="M5952">
        <f t="shared" si="749"/>
        <v>0</v>
      </c>
    </row>
    <row r="5953" spans="1:13" x14ac:dyDescent="0.3">
      <c r="A5953" s="3">
        <f t="shared" si="746"/>
        <v>45887</v>
      </c>
      <c r="B5953" s="11" t="s">
        <v>3849</v>
      </c>
      <c r="C5953" s="50" t="s">
        <v>8810</v>
      </c>
      <c r="E5953" s="90" t="s">
        <v>4720</v>
      </c>
      <c r="H5953" s="2">
        <v>4000</v>
      </c>
      <c r="I5953" s="88">
        <f t="shared" si="747"/>
        <v>11005.36</v>
      </c>
      <c r="K5953" s="62"/>
      <c r="L5953" s="2">
        <f t="shared" si="748"/>
        <v>16</v>
      </c>
      <c r="M5953">
        <f t="shared" si="749"/>
        <v>0</v>
      </c>
    </row>
    <row r="5954" spans="1:13" x14ac:dyDescent="0.3">
      <c r="A5954" s="3">
        <f t="shared" si="746"/>
        <v>45887</v>
      </c>
      <c r="B5954" s="11" t="s">
        <v>7886</v>
      </c>
      <c r="C5954" s="50" t="s">
        <v>8879</v>
      </c>
      <c r="E5954" s="90" t="s">
        <v>2088</v>
      </c>
      <c r="H5954" s="2">
        <v>1000</v>
      </c>
      <c r="I5954" s="88">
        <f t="shared" ref="I5954:I5971" si="750">I5953+G5954-H5954</f>
        <v>10005.36</v>
      </c>
      <c r="K5954" s="62"/>
      <c r="L5954" s="2">
        <f t="shared" ref="L5954:L5971" si="751">IF(E5954="C",0,IF((G5954+H5954)&lt;=5000,(G5954+H5954)*0.004,20)+IF(E5954="P",5,IF(E5954="Y",15,IF(E5954="YY",25))))</f>
        <v>9</v>
      </c>
      <c r="M5954">
        <f t="shared" ref="M5954:M5971" si="752">IF(E5954="p",5,0)</f>
        <v>5</v>
      </c>
    </row>
    <row r="5955" spans="1:13" x14ac:dyDescent="0.3">
      <c r="A5955" s="3">
        <f t="shared" si="746"/>
        <v>45887</v>
      </c>
      <c r="B5955" s="11" t="s">
        <v>8880</v>
      </c>
      <c r="C5955" s="50" t="s">
        <v>8881</v>
      </c>
      <c r="E5955" s="90" t="s">
        <v>2088</v>
      </c>
      <c r="G5955" s="2">
        <v>2000</v>
      </c>
      <c r="I5955" s="88">
        <f t="shared" si="750"/>
        <v>12005.36</v>
      </c>
      <c r="K5955" s="62"/>
      <c r="L5955" s="2">
        <f t="shared" si="751"/>
        <v>13</v>
      </c>
      <c r="M5955">
        <f t="shared" si="752"/>
        <v>5</v>
      </c>
    </row>
    <row r="5956" spans="1:13" x14ac:dyDescent="0.3">
      <c r="A5956" s="3">
        <f t="shared" si="746"/>
        <v>45887</v>
      </c>
      <c r="B5956" s="11" t="s">
        <v>1250</v>
      </c>
      <c r="C5956" s="50" t="s">
        <v>7347</v>
      </c>
      <c r="E5956" s="90" t="s">
        <v>4720</v>
      </c>
      <c r="G5956" s="2">
        <v>3000</v>
      </c>
      <c r="I5956" s="88">
        <f t="shared" si="750"/>
        <v>15005.36</v>
      </c>
      <c r="K5956" s="62"/>
      <c r="L5956" s="2">
        <f t="shared" si="751"/>
        <v>12</v>
      </c>
      <c r="M5956">
        <f t="shared" si="752"/>
        <v>0</v>
      </c>
    </row>
    <row r="5957" spans="1:13" x14ac:dyDescent="0.3">
      <c r="A5957" s="3">
        <f t="shared" si="746"/>
        <v>45887</v>
      </c>
      <c r="B5957" s="11" t="s">
        <v>6726</v>
      </c>
      <c r="C5957" s="50" t="s">
        <v>6727</v>
      </c>
      <c r="E5957" s="90" t="s">
        <v>2088</v>
      </c>
      <c r="G5957" s="2">
        <v>2000</v>
      </c>
      <c r="I5957" s="88">
        <f t="shared" si="750"/>
        <v>17005.36</v>
      </c>
      <c r="K5957" s="62"/>
      <c r="L5957" s="2">
        <f t="shared" si="751"/>
        <v>13</v>
      </c>
      <c r="M5957">
        <f t="shared" si="752"/>
        <v>5</v>
      </c>
    </row>
    <row r="5958" spans="1:13" x14ac:dyDescent="0.3">
      <c r="A5958" s="3">
        <f t="shared" si="746"/>
        <v>45887</v>
      </c>
      <c r="B5958" s="11" t="s">
        <v>8882</v>
      </c>
      <c r="C5958" s="50" t="s">
        <v>8883</v>
      </c>
      <c r="E5958" s="90" t="s">
        <v>2088</v>
      </c>
      <c r="G5958" s="2">
        <v>4000</v>
      </c>
      <c r="I5958" s="88">
        <f t="shared" si="750"/>
        <v>21005.360000000001</v>
      </c>
      <c r="K5958" s="62"/>
      <c r="L5958" s="2">
        <f t="shared" si="751"/>
        <v>21</v>
      </c>
      <c r="M5958">
        <f t="shared" si="752"/>
        <v>5</v>
      </c>
    </row>
    <row r="5959" spans="1:13" x14ac:dyDescent="0.3">
      <c r="A5959" s="3">
        <f t="shared" si="746"/>
        <v>45887</v>
      </c>
      <c r="B5959" s="11" t="s">
        <v>8882</v>
      </c>
      <c r="C5959" s="50" t="s">
        <v>8883</v>
      </c>
      <c r="E5959" s="90" t="s">
        <v>2088</v>
      </c>
      <c r="G5959" s="2">
        <v>0</v>
      </c>
      <c r="I5959" s="88">
        <f t="shared" si="750"/>
        <v>21005.360000000001</v>
      </c>
      <c r="K5959" s="62"/>
      <c r="L5959" s="2">
        <f t="shared" si="751"/>
        <v>5</v>
      </c>
      <c r="M5959">
        <f t="shared" si="752"/>
        <v>5</v>
      </c>
    </row>
    <row r="5960" spans="1:13" x14ac:dyDescent="0.3">
      <c r="A5960" s="3">
        <f t="shared" si="746"/>
        <v>45887</v>
      </c>
      <c r="B5960" s="11" t="s">
        <v>8676</v>
      </c>
      <c r="C5960" s="50" t="s">
        <v>8677</v>
      </c>
      <c r="E5960" s="90" t="s">
        <v>2088</v>
      </c>
      <c r="G5960" s="2">
        <v>6000</v>
      </c>
      <c r="I5960" s="88">
        <f t="shared" si="750"/>
        <v>27005.360000000001</v>
      </c>
      <c r="K5960" s="62"/>
      <c r="L5960" s="2">
        <f t="shared" si="751"/>
        <v>25</v>
      </c>
      <c r="M5960">
        <f t="shared" si="752"/>
        <v>5</v>
      </c>
    </row>
    <row r="5961" spans="1:13" x14ac:dyDescent="0.3">
      <c r="A5961" s="3">
        <f t="shared" si="746"/>
        <v>45887</v>
      </c>
      <c r="B5961" s="11" t="s">
        <v>8536</v>
      </c>
      <c r="C5961" s="50" t="s">
        <v>8884</v>
      </c>
      <c r="E5961" s="90" t="s">
        <v>2088</v>
      </c>
      <c r="G5961" s="2">
        <v>1900</v>
      </c>
      <c r="I5961" s="88">
        <f t="shared" si="750"/>
        <v>28905.360000000001</v>
      </c>
      <c r="K5961" s="62"/>
      <c r="L5961" s="2">
        <f t="shared" si="751"/>
        <v>12.600000000000001</v>
      </c>
      <c r="M5961">
        <f t="shared" si="752"/>
        <v>5</v>
      </c>
    </row>
    <row r="5962" spans="1:13" x14ac:dyDescent="0.3">
      <c r="A5962" s="3">
        <v>45888</v>
      </c>
      <c r="B5962" s="11" t="s">
        <v>1472</v>
      </c>
      <c r="C5962" s="50" t="s">
        <v>8885</v>
      </c>
      <c r="E5962" s="90" t="s">
        <v>4720</v>
      </c>
      <c r="G5962" s="2">
        <v>2000</v>
      </c>
      <c r="I5962" s="88">
        <f t="shared" si="750"/>
        <v>30905.360000000001</v>
      </c>
      <c r="K5962" s="62"/>
      <c r="L5962" s="2">
        <f t="shared" si="751"/>
        <v>8</v>
      </c>
      <c r="M5962">
        <f t="shared" si="752"/>
        <v>0</v>
      </c>
    </row>
    <row r="5963" spans="1:13" x14ac:dyDescent="0.3">
      <c r="A5963" s="3">
        <f t="shared" si="746"/>
        <v>45888</v>
      </c>
      <c r="B5963" s="11" t="s">
        <v>7834</v>
      </c>
      <c r="C5963" s="50" t="s">
        <v>8837</v>
      </c>
      <c r="E5963" s="90" t="s">
        <v>2088</v>
      </c>
      <c r="G5963" s="2">
        <v>0</v>
      </c>
      <c r="I5963" s="88">
        <f t="shared" si="750"/>
        <v>30905.360000000001</v>
      </c>
      <c r="K5963" s="62"/>
      <c r="L5963" s="2">
        <f t="shared" si="751"/>
        <v>5</v>
      </c>
      <c r="M5963">
        <f t="shared" si="752"/>
        <v>5</v>
      </c>
    </row>
    <row r="5964" spans="1:13" x14ac:dyDescent="0.3">
      <c r="A5964" s="3">
        <f t="shared" si="746"/>
        <v>45888</v>
      </c>
      <c r="B5964" s="11" t="s">
        <v>7834</v>
      </c>
      <c r="C5964" s="50" t="s">
        <v>8837</v>
      </c>
      <c r="E5964" s="90" t="s">
        <v>2088</v>
      </c>
      <c r="G5964" s="2">
        <v>2500</v>
      </c>
      <c r="I5964" s="88">
        <f t="shared" si="750"/>
        <v>33405.360000000001</v>
      </c>
      <c r="K5964" s="62"/>
      <c r="L5964" s="2">
        <f t="shared" si="751"/>
        <v>15</v>
      </c>
      <c r="M5964">
        <f t="shared" si="752"/>
        <v>5</v>
      </c>
    </row>
    <row r="5965" spans="1:13" x14ac:dyDescent="0.3">
      <c r="A5965" s="3">
        <f t="shared" si="746"/>
        <v>45888</v>
      </c>
      <c r="B5965" s="11" t="s">
        <v>7026</v>
      </c>
      <c r="C5965" s="50" t="s">
        <v>8886</v>
      </c>
      <c r="E5965" s="90" t="s">
        <v>7772</v>
      </c>
      <c r="G5965" s="2">
        <v>3500</v>
      </c>
      <c r="I5965" s="88">
        <f t="shared" si="750"/>
        <v>36905.360000000001</v>
      </c>
      <c r="K5965" s="62"/>
      <c r="L5965" s="2">
        <f t="shared" si="751"/>
        <v>19</v>
      </c>
      <c r="M5965">
        <f t="shared" si="752"/>
        <v>5</v>
      </c>
    </row>
    <row r="5966" spans="1:13" x14ac:dyDescent="0.3">
      <c r="A5966" s="3">
        <f t="shared" si="746"/>
        <v>45888</v>
      </c>
      <c r="B5966" s="11" t="s">
        <v>6844</v>
      </c>
      <c r="E5966" s="90" t="s">
        <v>4720</v>
      </c>
      <c r="H5966" s="2">
        <v>4300</v>
      </c>
      <c r="I5966" s="88">
        <f t="shared" si="750"/>
        <v>32605.360000000001</v>
      </c>
      <c r="K5966" s="62"/>
      <c r="L5966" s="2">
        <f t="shared" si="751"/>
        <v>17.2</v>
      </c>
      <c r="M5966">
        <f t="shared" si="752"/>
        <v>0</v>
      </c>
    </row>
    <row r="5967" spans="1:13" x14ac:dyDescent="0.3">
      <c r="A5967" s="3">
        <f t="shared" si="746"/>
        <v>45888</v>
      </c>
      <c r="B5967" s="11" t="s">
        <v>6486</v>
      </c>
      <c r="C5967" s="50" t="s">
        <v>8841</v>
      </c>
      <c r="E5967" s="90" t="s">
        <v>7772</v>
      </c>
      <c r="G5967" s="2">
        <v>2000</v>
      </c>
      <c r="I5967" s="88">
        <f t="shared" si="750"/>
        <v>34605.360000000001</v>
      </c>
      <c r="K5967" s="62"/>
      <c r="L5967" s="2">
        <f t="shared" si="751"/>
        <v>13</v>
      </c>
      <c r="M5967">
        <f t="shared" si="752"/>
        <v>5</v>
      </c>
    </row>
    <row r="5968" spans="1:13" x14ac:dyDescent="0.3">
      <c r="A5968" s="3">
        <f t="shared" si="746"/>
        <v>45888</v>
      </c>
      <c r="B5968" s="11" t="s">
        <v>8893</v>
      </c>
      <c r="C5968" s="50" t="s">
        <v>8894</v>
      </c>
      <c r="E5968" s="90" t="s">
        <v>2088</v>
      </c>
      <c r="G5968" s="2">
        <v>0</v>
      </c>
      <c r="H5968" s="2">
        <v>0</v>
      </c>
      <c r="I5968" s="88">
        <f t="shared" si="750"/>
        <v>34605.360000000001</v>
      </c>
      <c r="K5968" s="62"/>
      <c r="L5968" s="2">
        <f t="shared" si="751"/>
        <v>5</v>
      </c>
      <c r="M5968">
        <f t="shared" si="752"/>
        <v>5</v>
      </c>
    </row>
    <row r="5969" spans="1:13" x14ac:dyDescent="0.3">
      <c r="A5969" s="3">
        <f t="shared" si="746"/>
        <v>45888</v>
      </c>
      <c r="B5969" s="11" t="s">
        <v>8893</v>
      </c>
      <c r="C5969" s="50" t="s">
        <v>8894</v>
      </c>
      <c r="E5969" s="90" t="s">
        <v>2088</v>
      </c>
      <c r="G5969" s="2">
        <v>2500</v>
      </c>
      <c r="I5969" s="88">
        <f t="shared" si="750"/>
        <v>37105.360000000001</v>
      </c>
      <c r="K5969" s="62"/>
      <c r="L5969" s="2">
        <f t="shared" si="751"/>
        <v>15</v>
      </c>
      <c r="M5969">
        <f t="shared" si="752"/>
        <v>5</v>
      </c>
    </row>
    <row r="5970" spans="1:13" x14ac:dyDescent="0.3">
      <c r="A5970" s="3">
        <f t="shared" si="746"/>
        <v>45888</v>
      </c>
      <c r="B5970" s="11" t="s">
        <v>7142</v>
      </c>
      <c r="C5970" s="50" t="s">
        <v>7143</v>
      </c>
      <c r="E5970" s="90" t="s">
        <v>4720</v>
      </c>
      <c r="G5970" s="2">
        <v>1200</v>
      </c>
      <c r="I5970" s="88">
        <f t="shared" si="750"/>
        <v>38305.360000000001</v>
      </c>
      <c r="K5970" s="62"/>
      <c r="L5970" s="2">
        <f t="shared" si="751"/>
        <v>4.8</v>
      </c>
      <c r="M5970">
        <f t="shared" si="752"/>
        <v>0</v>
      </c>
    </row>
    <row r="5971" spans="1:13" x14ac:dyDescent="0.3">
      <c r="A5971" s="3">
        <f t="shared" si="746"/>
        <v>45888</v>
      </c>
      <c r="B5971" s="11" t="s">
        <v>8633</v>
      </c>
      <c r="C5971" s="50" t="s">
        <v>8788</v>
      </c>
      <c r="E5971" s="90" t="s">
        <v>2088</v>
      </c>
      <c r="G5971" s="2">
        <v>4000</v>
      </c>
      <c r="I5971" s="88">
        <f t="shared" si="750"/>
        <v>42305.36</v>
      </c>
      <c r="K5971" s="62"/>
      <c r="L5971" s="2">
        <f t="shared" si="751"/>
        <v>21</v>
      </c>
      <c r="M5971">
        <f t="shared" si="752"/>
        <v>5</v>
      </c>
    </row>
    <row r="5972" spans="1:13" x14ac:dyDescent="0.3">
      <c r="A5972" s="3">
        <f t="shared" si="746"/>
        <v>45888</v>
      </c>
      <c r="B5972" s="11" t="s">
        <v>1160</v>
      </c>
      <c r="C5972" s="50" t="s">
        <v>3896</v>
      </c>
      <c r="E5972" s="90" t="s">
        <v>4720</v>
      </c>
      <c r="G5972" s="2">
        <v>3000</v>
      </c>
      <c r="I5972" s="88">
        <f t="shared" ref="I5972:I5986" si="753">I5971+G5972-H5972</f>
        <v>45305.36</v>
      </c>
      <c r="K5972" s="62"/>
      <c r="L5972" s="2">
        <f t="shared" ref="L5972:L5986" si="754">IF(E5972="C",0,IF((G5972+H5972)&lt;=5000,(G5972+H5972)*0.004,20)+IF(E5972="P",5,IF(E5972="Y",15,IF(E5972="YY",25))))</f>
        <v>12</v>
      </c>
      <c r="M5972">
        <f t="shared" ref="M5972:M5986" si="755">IF(E5972="p",5,0)</f>
        <v>0</v>
      </c>
    </row>
    <row r="5973" spans="1:13" x14ac:dyDescent="0.3">
      <c r="A5973" s="3">
        <f t="shared" si="746"/>
        <v>45888</v>
      </c>
      <c r="B5973" s="11" t="s">
        <v>8890</v>
      </c>
      <c r="E5973" s="90" t="s">
        <v>16</v>
      </c>
      <c r="H5973" s="2">
        <v>500</v>
      </c>
      <c r="I5973" s="88">
        <f t="shared" si="753"/>
        <v>44805.36</v>
      </c>
      <c r="K5973" s="62"/>
      <c r="L5973" s="2">
        <f t="shared" si="754"/>
        <v>17</v>
      </c>
      <c r="M5973">
        <f t="shared" si="755"/>
        <v>0</v>
      </c>
    </row>
    <row r="5974" spans="1:13" x14ac:dyDescent="0.3">
      <c r="A5974" s="3">
        <f t="shared" si="746"/>
        <v>45888</v>
      </c>
      <c r="B5974" s="11" t="s">
        <v>8895</v>
      </c>
      <c r="C5974" s="50" t="s">
        <v>8896</v>
      </c>
      <c r="E5974" s="90" t="s">
        <v>2088</v>
      </c>
      <c r="G5974" s="2">
        <v>2500</v>
      </c>
      <c r="I5974" s="88">
        <f t="shared" si="753"/>
        <v>47305.36</v>
      </c>
      <c r="K5974" s="62"/>
      <c r="L5974" s="2">
        <f t="shared" si="754"/>
        <v>15</v>
      </c>
      <c r="M5974">
        <f t="shared" si="755"/>
        <v>5</v>
      </c>
    </row>
    <row r="5975" spans="1:13" x14ac:dyDescent="0.3">
      <c r="A5975" s="3">
        <f t="shared" si="746"/>
        <v>45888</v>
      </c>
      <c r="B5975" s="11" t="s">
        <v>7649</v>
      </c>
      <c r="C5975" s="50" t="s">
        <v>7753</v>
      </c>
      <c r="E5975" s="90" t="s">
        <v>4720</v>
      </c>
      <c r="H5975" s="2">
        <v>250</v>
      </c>
      <c r="I5975" s="88">
        <f t="shared" si="753"/>
        <v>47055.360000000001</v>
      </c>
      <c r="K5975" s="62"/>
      <c r="L5975" s="2">
        <f t="shared" si="754"/>
        <v>1</v>
      </c>
      <c r="M5975">
        <f t="shared" si="755"/>
        <v>0</v>
      </c>
    </row>
    <row r="5976" spans="1:13" x14ac:dyDescent="0.3">
      <c r="A5976" s="3">
        <f t="shared" si="746"/>
        <v>45888</v>
      </c>
      <c r="C5976" s="50" t="s">
        <v>2857</v>
      </c>
      <c r="E5976" s="90" t="s">
        <v>8332</v>
      </c>
      <c r="H5976" s="2">
        <v>45000</v>
      </c>
      <c r="I5976" s="88">
        <f t="shared" si="753"/>
        <v>2055.3600000000006</v>
      </c>
      <c r="K5976" s="62"/>
      <c r="L5976" s="2">
        <f t="shared" si="754"/>
        <v>0</v>
      </c>
      <c r="M5976">
        <f t="shared" si="755"/>
        <v>0</v>
      </c>
    </row>
    <row r="5977" spans="1:13" x14ac:dyDescent="0.3">
      <c r="A5977" s="3">
        <f t="shared" si="746"/>
        <v>45888</v>
      </c>
      <c r="B5977" s="11" t="s">
        <v>3456</v>
      </c>
      <c r="C5977" s="50" t="s">
        <v>4852</v>
      </c>
      <c r="E5977" s="90" t="s">
        <v>2088</v>
      </c>
      <c r="G5977" s="2">
        <v>4000</v>
      </c>
      <c r="I5977" s="88">
        <f t="shared" si="753"/>
        <v>6055.3600000000006</v>
      </c>
      <c r="K5977" s="62"/>
      <c r="L5977" s="2">
        <f t="shared" si="754"/>
        <v>21</v>
      </c>
      <c r="M5977">
        <f t="shared" si="755"/>
        <v>5</v>
      </c>
    </row>
    <row r="5978" spans="1:13" x14ac:dyDescent="0.3">
      <c r="A5978" s="3">
        <f t="shared" si="746"/>
        <v>45888</v>
      </c>
      <c r="B5978" s="11" t="s">
        <v>4039</v>
      </c>
      <c r="C5978" s="50" t="s">
        <v>4645</v>
      </c>
      <c r="D5978" s="50">
        <v>7004770032</v>
      </c>
      <c r="E5978" s="90" t="s">
        <v>4720</v>
      </c>
      <c r="H5978" s="2">
        <v>6000</v>
      </c>
      <c r="I5978" s="88">
        <f t="shared" si="753"/>
        <v>55.360000000000582</v>
      </c>
      <c r="K5978" s="62"/>
      <c r="L5978" s="2">
        <f t="shared" si="754"/>
        <v>20</v>
      </c>
      <c r="M5978">
        <f t="shared" si="755"/>
        <v>0</v>
      </c>
    </row>
    <row r="5979" spans="1:13" x14ac:dyDescent="0.3">
      <c r="A5979" s="3">
        <f t="shared" si="746"/>
        <v>45888</v>
      </c>
      <c r="B5979" s="11" t="s">
        <v>8897</v>
      </c>
      <c r="C5979" s="50" t="s">
        <v>8027</v>
      </c>
      <c r="E5979" s="90" t="s">
        <v>4720</v>
      </c>
      <c r="G5979" s="2">
        <v>2000</v>
      </c>
      <c r="I5979" s="88">
        <f t="shared" si="753"/>
        <v>2055.3600000000006</v>
      </c>
      <c r="K5979" s="62"/>
      <c r="L5979" s="2">
        <f t="shared" si="754"/>
        <v>8</v>
      </c>
      <c r="M5979">
        <f t="shared" si="755"/>
        <v>0</v>
      </c>
    </row>
    <row r="5980" spans="1:13" x14ac:dyDescent="0.3">
      <c r="A5980" s="3">
        <f t="shared" si="746"/>
        <v>45888</v>
      </c>
      <c r="B5980" s="11" t="s">
        <v>7262</v>
      </c>
      <c r="C5980" s="50" t="s">
        <v>8794</v>
      </c>
      <c r="E5980" s="90" t="s">
        <v>2088</v>
      </c>
      <c r="G5980" s="2">
        <v>5000</v>
      </c>
      <c r="I5980" s="88">
        <f t="shared" si="753"/>
        <v>7055.3600000000006</v>
      </c>
      <c r="K5980" s="62"/>
      <c r="L5980" s="2">
        <f t="shared" si="754"/>
        <v>25</v>
      </c>
      <c r="M5980">
        <f t="shared" si="755"/>
        <v>5</v>
      </c>
    </row>
    <row r="5981" spans="1:13" x14ac:dyDescent="0.3">
      <c r="A5981" s="3">
        <f t="shared" si="746"/>
        <v>45888</v>
      </c>
      <c r="B5981" s="11" t="s">
        <v>7870</v>
      </c>
      <c r="C5981" s="50" t="s">
        <v>8380</v>
      </c>
      <c r="E5981" s="90" t="s">
        <v>2088</v>
      </c>
      <c r="G5981" s="2">
        <v>2500</v>
      </c>
      <c r="I5981" s="88">
        <f t="shared" si="753"/>
        <v>9555.36</v>
      </c>
      <c r="K5981" s="62"/>
      <c r="L5981" s="2">
        <f t="shared" si="754"/>
        <v>15</v>
      </c>
      <c r="M5981">
        <f t="shared" si="755"/>
        <v>5</v>
      </c>
    </row>
    <row r="5982" spans="1:13" x14ac:dyDescent="0.3">
      <c r="A5982" s="3">
        <v>45889</v>
      </c>
      <c r="B5982" s="11" t="s">
        <v>7394</v>
      </c>
      <c r="C5982" s="50" t="s">
        <v>8899</v>
      </c>
      <c r="E5982" s="90" t="s">
        <v>2088</v>
      </c>
      <c r="G5982" s="2">
        <v>0</v>
      </c>
      <c r="H5982" s="2">
        <v>0</v>
      </c>
      <c r="I5982" s="88">
        <f t="shared" si="753"/>
        <v>9555.36</v>
      </c>
      <c r="K5982" s="62"/>
      <c r="L5982" s="2">
        <f t="shared" si="754"/>
        <v>5</v>
      </c>
      <c r="M5982">
        <f t="shared" si="755"/>
        <v>5</v>
      </c>
    </row>
    <row r="5983" spans="1:13" x14ac:dyDescent="0.3">
      <c r="A5983" s="3">
        <f t="shared" si="746"/>
        <v>45889</v>
      </c>
      <c r="B5983" s="11" t="s">
        <v>7394</v>
      </c>
      <c r="C5983" s="50" t="s">
        <v>8899</v>
      </c>
      <c r="E5983" s="90" t="s">
        <v>2088</v>
      </c>
      <c r="G5983" s="2">
        <v>2500</v>
      </c>
      <c r="I5983" s="88">
        <f t="shared" si="753"/>
        <v>12055.36</v>
      </c>
      <c r="K5983" s="62"/>
      <c r="L5983" s="2">
        <f t="shared" si="754"/>
        <v>15</v>
      </c>
      <c r="M5983">
        <f t="shared" si="755"/>
        <v>5</v>
      </c>
    </row>
    <row r="5984" spans="1:13" x14ac:dyDescent="0.3">
      <c r="A5984" s="3">
        <f t="shared" si="746"/>
        <v>45889</v>
      </c>
      <c r="B5984" s="11" t="s">
        <v>4072</v>
      </c>
      <c r="C5984" s="50" t="s">
        <v>8444</v>
      </c>
      <c r="E5984" s="90" t="s">
        <v>2088</v>
      </c>
      <c r="H5984" s="2">
        <v>1500</v>
      </c>
      <c r="I5984" s="88">
        <f t="shared" si="753"/>
        <v>10555.36</v>
      </c>
      <c r="K5984" s="62"/>
      <c r="L5984" s="2">
        <f t="shared" si="754"/>
        <v>11</v>
      </c>
      <c r="M5984">
        <f t="shared" si="755"/>
        <v>5</v>
      </c>
    </row>
    <row r="5985" spans="1:17" x14ac:dyDescent="0.3">
      <c r="A5985" s="3">
        <f t="shared" si="746"/>
        <v>45889</v>
      </c>
      <c r="B5985" s="11" t="s">
        <v>7174</v>
      </c>
      <c r="C5985" s="50" t="s">
        <v>7175</v>
      </c>
      <c r="E5985" s="90" t="s">
        <v>4720</v>
      </c>
      <c r="G5985" s="2">
        <v>4000</v>
      </c>
      <c r="I5985" s="88">
        <f t="shared" si="753"/>
        <v>14555.36</v>
      </c>
      <c r="K5985" s="62"/>
      <c r="L5985" s="2">
        <f t="shared" si="754"/>
        <v>16</v>
      </c>
      <c r="M5985">
        <f t="shared" si="755"/>
        <v>0</v>
      </c>
    </row>
    <row r="5986" spans="1:17" x14ac:dyDescent="0.3">
      <c r="A5986" s="3">
        <f t="shared" si="746"/>
        <v>45889</v>
      </c>
      <c r="B5986" s="11" t="s">
        <v>8900</v>
      </c>
      <c r="C5986" s="50" t="s">
        <v>8901</v>
      </c>
      <c r="E5986" s="90" t="s">
        <v>2088</v>
      </c>
      <c r="G5986" s="2">
        <v>2500</v>
      </c>
      <c r="I5986" s="88">
        <f t="shared" si="753"/>
        <v>17055.36</v>
      </c>
      <c r="K5986" s="62"/>
      <c r="L5986" s="2">
        <f t="shared" si="754"/>
        <v>15</v>
      </c>
      <c r="M5986">
        <f t="shared" si="755"/>
        <v>5</v>
      </c>
    </row>
    <row r="5987" spans="1:17" x14ac:dyDescent="0.3">
      <c r="A5987" s="3">
        <f t="shared" si="746"/>
        <v>45889</v>
      </c>
      <c r="B5987" s="11" t="s">
        <v>5587</v>
      </c>
      <c r="C5987" s="50" t="s">
        <v>8902</v>
      </c>
      <c r="E5987" s="90" t="s">
        <v>4720</v>
      </c>
      <c r="G5987" s="2">
        <v>1000</v>
      </c>
      <c r="I5987" s="88">
        <f t="shared" ref="I5987:I6001" si="756">I5986+G5987-H5987</f>
        <v>18055.36</v>
      </c>
      <c r="K5987" s="62"/>
      <c r="L5987" s="2">
        <f t="shared" ref="L5987:L6001" si="757">IF(E5987="C",0,IF((G5987+H5987)&lt;=5000,(G5987+H5987)*0.004,20)+IF(E5987="P",5,IF(E5987="Y",15,IF(E5987="YY",25))))</f>
        <v>4</v>
      </c>
      <c r="M5987">
        <f t="shared" ref="M5987:M6001" si="758">IF(E5987="p",5,0)</f>
        <v>0</v>
      </c>
    </row>
    <row r="5988" spans="1:17" x14ac:dyDescent="0.3">
      <c r="A5988" s="3">
        <f t="shared" si="746"/>
        <v>45889</v>
      </c>
      <c r="B5988" s="11" t="s">
        <v>7279</v>
      </c>
      <c r="C5988" s="50" t="s">
        <v>8601</v>
      </c>
      <c r="E5988" s="90" t="s">
        <v>2088</v>
      </c>
      <c r="G5988" s="2">
        <v>0</v>
      </c>
      <c r="H5988" s="2">
        <v>0</v>
      </c>
      <c r="I5988" s="88">
        <f t="shared" si="756"/>
        <v>18055.36</v>
      </c>
      <c r="K5988" s="62"/>
      <c r="L5988" s="2">
        <f t="shared" si="757"/>
        <v>5</v>
      </c>
      <c r="M5988">
        <f t="shared" si="758"/>
        <v>5</v>
      </c>
    </row>
    <row r="5989" spans="1:17" x14ac:dyDescent="0.3">
      <c r="A5989" s="3">
        <f t="shared" si="746"/>
        <v>45889</v>
      </c>
      <c r="B5989" s="11" t="s">
        <v>2165</v>
      </c>
      <c r="C5989" s="50" t="s">
        <v>2874</v>
      </c>
      <c r="E5989" s="90" t="s">
        <v>4720</v>
      </c>
      <c r="G5989" s="2">
        <v>200</v>
      </c>
      <c r="I5989" s="88">
        <f t="shared" si="756"/>
        <v>18255.36</v>
      </c>
      <c r="K5989" s="62"/>
      <c r="L5989" s="2">
        <f t="shared" si="757"/>
        <v>0.8</v>
      </c>
      <c r="M5989">
        <f t="shared" si="758"/>
        <v>0</v>
      </c>
    </row>
    <row r="5990" spans="1:17" x14ac:dyDescent="0.3">
      <c r="A5990" s="3">
        <f t="shared" si="746"/>
        <v>45889</v>
      </c>
      <c r="B5990" s="11" t="s">
        <v>3148</v>
      </c>
      <c r="C5990" s="50" t="s">
        <v>7579</v>
      </c>
      <c r="E5990" s="90" t="s">
        <v>4720</v>
      </c>
      <c r="G5990" s="2">
        <v>700</v>
      </c>
      <c r="I5990" s="88">
        <f t="shared" si="756"/>
        <v>18955.36</v>
      </c>
      <c r="K5990" s="62"/>
      <c r="L5990" s="2">
        <f t="shared" si="757"/>
        <v>2.8000000000000003</v>
      </c>
      <c r="M5990">
        <f t="shared" si="758"/>
        <v>0</v>
      </c>
    </row>
    <row r="5991" spans="1:17" x14ac:dyDescent="0.3">
      <c r="A5991" s="3">
        <f t="shared" si="746"/>
        <v>45889</v>
      </c>
      <c r="B5991" s="11" t="s">
        <v>8906</v>
      </c>
      <c r="C5991" s="50" t="s">
        <v>224</v>
      </c>
      <c r="E5991" s="90" t="s">
        <v>16</v>
      </c>
      <c r="H5991" s="2">
        <v>1000</v>
      </c>
      <c r="I5991" s="88">
        <f t="shared" si="756"/>
        <v>17955.36</v>
      </c>
      <c r="K5991" s="62"/>
      <c r="L5991" s="2">
        <f t="shared" si="757"/>
        <v>19</v>
      </c>
      <c r="M5991">
        <f t="shared" si="758"/>
        <v>0</v>
      </c>
      <c r="Q5991" s="62">
        <f>FV(20%/12,18*12,-1000)</f>
        <v>2071697.2740784828</v>
      </c>
    </row>
    <row r="5992" spans="1:17" x14ac:dyDescent="0.3">
      <c r="A5992" s="3">
        <f t="shared" si="746"/>
        <v>45889</v>
      </c>
      <c r="B5992" s="11" t="s">
        <v>8674</v>
      </c>
      <c r="C5992" s="50" t="s">
        <v>8675</v>
      </c>
      <c r="E5992" s="90" t="s">
        <v>2088</v>
      </c>
      <c r="G5992" s="2">
        <v>0</v>
      </c>
      <c r="H5992" s="2">
        <v>0</v>
      </c>
      <c r="I5992" s="88">
        <f t="shared" si="756"/>
        <v>17955.36</v>
      </c>
      <c r="K5992" s="62"/>
      <c r="L5992" s="2">
        <f t="shared" si="757"/>
        <v>5</v>
      </c>
      <c r="M5992">
        <f t="shared" si="758"/>
        <v>5</v>
      </c>
    </row>
    <row r="5993" spans="1:17" x14ac:dyDescent="0.3">
      <c r="A5993" s="3">
        <f t="shared" si="746"/>
        <v>45889</v>
      </c>
      <c r="B5993" s="11" t="s">
        <v>8674</v>
      </c>
      <c r="C5993" s="50" t="s">
        <v>8675</v>
      </c>
      <c r="E5993" s="90" t="s">
        <v>2088</v>
      </c>
      <c r="G5993" s="2">
        <v>400</v>
      </c>
      <c r="I5993" s="88">
        <f t="shared" si="756"/>
        <v>18355.36</v>
      </c>
      <c r="K5993" s="62"/>
      <c r="L5993" s="2">
        <f t="shared" si="757"/>
        <v>6.6</v>
      </c>
      <c r="M5993">
        <f t="shared" si="758"/>
        <v>5</v>
      </c>
    </row>
    <row r="5994" spans="1:17" x14ac:dyDescent="0.3">
      <c r="A5994" s="3">
        <f t="shared" si="746"/>
        <v>45889</v>
      </c>
      <c r="B5994" s="11" t="s">
        <v>7852</v>
      </c>
      <c r="C5994" s="50" t="s">
        <v>8750</v>
      </c>
      <c r="E5994" s="90" t="s">
        <v>4720</v>
      </c>
      <c r="G5994" s="2">
        <v>1000</v>
      </c>
      <c r="I5994" s="88">
        <f t="shared" si="756"/>
        <v>19355.36</v>
      </c>
      <c r="K5994" s="62"/>
      <c r="L5994" s="2">
        <f t="shared" si="757"/>
        <v>4</v>
      </c>
      <c r="M5994">
        <f t="shared" si="758"/>
        <v>0</v>
      </c>
    </row>
    <row r="5995" spans="1:17" x14ac:dyDescent="0.3">
      <c r="A5995" s="3">
        <f t="shared" si="746"/>
        <v>45889</v>
      </c>
      <c r="B5995" s="11" t="s">
        <v>1250</v>
      </c>
      <c r="C5995" s="50" t="s">
        <v>4662</v>
      </c>
      <c r="E5995" s="90" t="s">
        <v>4720</v>
      </c>
      <c r="G5995" s="2">
        <v>3500</v>
      </c>
      <c r="I5995" s="88">
        <f t="shared" si="756"/>
        <v>22855.360000000001</v>
      </c>
      <c r="K5995" s="62"/>
      <c r="L5995" s="2">
        <f t="shared" si="757"/>
        <v>14</v>
      </c>
      <c r="M5995">
        <f t="shared" si="758"/>
        <v>0</v>
      </c>
    </row>
    <row r="5996" spans="1:17" x14ac:dyDescent="0.3">
      <c r="A5996" s="3">
        <f t="shared" si="746"/>
        <v>45889</v>
      </c>
      <c r="B5996" s="11" t="s">
        <v>2351</v>
      </c>
      <c r="C5996" s="50" t="s">
        <v>7641</v>
      </c>
      <c r="E5996" s="90" t="s">
        <v>4720</v>
      </c>
      <c r="G5996" s="2">
        <v>3000</v>
      </c>
      <c r="I5996" s="88">
        <f t="shared" si="756"/>
        <v>25855.360000000001</v>
      </c>
      <c r="K5996" s="62"/>
      <c r="L5996" s="2">
        <f t="shared" si="757"/>
        <v>12</v>
      </c>
      <c r="M5996">
        <f t="shared" si="758"/>
        <v>0</v>
      </c>
    </row>
    <row r="5997" spans="1:17" x14ac:dyDescent="0.3">
      <c r="A5997" s="3">
        <v>45890</v>
      </c>
      <c r="B5997" s="11" t="s">
        <v>4520</v>
      </c>
      <c r="C5997" s="50" t="s">
        <v>8383</v>
      </c>
      <c r="E5997" s="90" t="s">
        <v>2088</v>
      </c>
      <c r="G5997" s="2">
        <v>0</v>
      </c>
      <c r="I5997" s="88">
        <f t="shared" si="756"/>
        <v>25855.360000000001</v>
      </c>
      <c r="K5997" s="62"/>
      <c r="L5997" s="2">
        <f t="shared" si="757"/>
        <v>5</v>
      </c>
      <c r="M5997">
        <f t="shared" si="758"/>
        <v>5</v>
      </c>
    </row>
    <row r="5998" spans="1:17" x14ac:dyDescent="0.3">
      <c r="A5998" s="3">
        <f t="shared" ref="A5998:A6061" si="759">A5997</f>
        <v>45890</v>
      </c>
      <c r="B5998" s="11" t="s">
        <v>4520</v>
      </c>
      <c r="C5998" s="50" t="s">
        <v>8383</v>
      </c>
      <c r="E5998" s="90" t="s">
        <v>2088</v>
      </c>
      <c r="G5998" s="2">
        <v>3000</v>
      </c>
      <c r="I5998" s="88">
        <f t="shared" si="756"/>
        <v>28855.360000000001</v>
      </c>
      <c r="K5998" s="62"/>
      <c r="L5998" s="2">
        <f t="shared" si="757"/>
        <v>17</v>
      </c>
      <c r="M5998">
        <f t="shared" si="758"/>
        <v>5</v>
      </c>
    </row>
    <row r="5999" spans="1:17" x14ac:dyDescent="0.3">
      <c r="A5999" s="3">
        <f t="shared" si="759"/>
        <v>45890</v>
      </c>
      <c r="B5999" s="11" t="s">
        <v>6260</v>
      </c>
      <c r="C5999" s="50" t="s">
        <v>8558</v>
      </c>
      <c r="E5999" s="90" t="s">
        <v>4720</v>
      </c>
      <c r="H5999" s="2">
        <v>4500</v>
      </c>
      <c r="I5999" s="88">
        <f t="shared" si="756"/>
        <v>24355.360000000001</v>
      </c>
      <c r="K5999" s="62"/>
      <c r="L5999" s="2">
        <f t="shared" si="757"/>
        <v>18</v>
      </c>
      <c r="M5999">
        <f t="shared" si="758"/>
        <v>0</v>
      </c>
    </row>
    <row r="6000" spans="1:17" x14ac:dyDescent="0.3">
      <c r="A6000" s="3">
        <f t="shared" si="759"/>
        <v>45890</v>
      </c>
      <c r="B6000" s="11" t="s">
        <v>7129</v>
      </c>
      <c r="C6000" s="50" t="s">
        <v>8624</v>
      </c>
      <c r="E6000" s="90" t="s">
        <v>4720</v>
      </c>
      <c r="G6000" s="2">
        <v>1000</v>
      </c>
      <c r="I6000" s="88">
        <f t="shared" si="756"/>
        <v>25355.360000000001</v>
      </c>
      <c r="K6000" s="62"/>
      <c r="L6000" s="2">
        <f t="shared" si="757"/>
        <v>4</v>
      </c>
      <c r="M6000">
        <f t="shared" si="758"/>
        <v>0</v>
      </c>
    </row>
    <row r="6001" spans="1:13" x14ac:dyDescent="0.3">
      <c r="A6001" s="3">
        <f t="shared" si="759"/>
        <v>45890</v>
      </c>
      <c r="B6001" s="11" t="s">
        <v>8679</v>
      </c>
      <c r="C6001" s="50" t="s">
        <v>8680</v>
      </c>
      <c r="E6001" s="90" t="s">
        <v>4720</v>
      </c>
      <c r="G6001" s="2">
        <v>4500</v>
      </c>
      <c r="I6001" s="88">
        <f t="shared" si="756"/>
        <v>29855.360000000001</v>
      </c>
      <c r="K6001" s="62"/>
      <c r="L6001" s="2">
        <f t="shared" si="757"/>
        <v>18</v>
      </c>
      <c r="M6001">
        <f t="shared" si="758"/>
        <v>0</v>
      </c>
    </row>
    <row r="6002" spans="1:13" x14ac:dyDescent="0.3">
      <c r="A6002" s="3">
        <f t="shared" si="759"/>
        <v>45890</v>
      </c>
      <c r="B6002" s="11" t="s">
        <v>7649</v>
      </c>
      <c r="C6002" s="50" t="s">
        <v>7753</v>
      </c>
      <c r="E6002" s="90" t="s">
        <v>4720</v>
      </c>
      <c r="H6002" s="2">
        <v>800</v>
      </c>
      <c r="I6002" s="88">
        <f t="shared" ref="I6002:I6018" si="760">I6001+G6002-H6002</f>
        <v>29055.360000000001</v>
      </c>
      <c r="K6002" s="62"/>
      <c r="L6002" s="2">
        <f t="shared" ref="L6002:L6018" si="761">IF(E6002="C",0,IF((G6002+H6002)&lt;=5000,(G6002+H6002)*0.004,20)+IF(E6002="P",5,IF(E6002="Y",15,IF(E6002="YY",25))))</f>
        <v>3.2</v>
      </c>
      <c r="M6002">
        <f t="shared" ref="M6002:M6018" si="762">IF(E6002="p",5,0)</f>
        <v>0</v>
      </c>
    </row>
    <row r="6003" spans="1:13" x14ac:dyDescent="0.3">
      <c r="A6003" s="3">
        <f t="shared" si="759"/>
        <v>45890</v>
      </c>
      <c r="B6003" s="11" t="s">
        <v>7329</v>
      </c>
      <c r="C6003" s="50" t="s">
        <v>7330</v>
      </c>
      <c r="E6003" s="90" t="s">
        <v>2088</v>
      </c>
      <c r="G6003" s="2">
        <v>1400</v>
      </c>
      <c r="I6003" s="88">
        <f t="shared" si="760"/>
        <v>30455.360000000001</v>
      </c>
      <c r="K6003" s="62"/>
      <c r="L6003" s="2">
        <f t="shared" si="761"/>
        <v>10.600000000000001</v>
      </c>
      <c r="M6003">
        <f t="shared" si="762"/>
        <v>5</v>
      </c>
    </row>
    <row r="6004" spans="1:13" x14ac:dyDescent="0.3">
      <c r="A6004" s="3">
        <f t="shared" si="759"/>
        <v>45890</v>
      </c>
      <c r="B6004" s="11" t="s">
        <v>1250</v>
      </c>
      <c r="C6004" s="50" t="s">
        <v>6137</v>
      </c>
      <c r="E6004" s="90" t="s">
        <v>2088</v>
      </c>
      <c r="G6004" s="2">
        <v>0</v>
      </c>
      <c r="I6004" s="88">
        <f t="shared" si="760"/>
        <v>30455.360000000001</v>
      </c>
      <c r="K6004" s="62"/>
      <c r="L6004" s="2">
        <f t="shared" si="761"/>
        <v>5</v>
      </c>
      <c r="M6004">
        <f t="shared" si="762"/>
        <v>5</v>
      </c>
    </row>
    <row r="6005" spans="1:13" x14ac:dyDescent="0.3">
      <c r="A6005" s="3">
        <f t="shared" si="759"/>
        <v>45890</v>
      </c>
      <c r="B6005" s="11" t="s">
        <v>7312</v>
      </c>
      <c r="C6005" s="50" t="s">
        <v>8521</v>
      </c>
      <c r="E6005" s="90" t="s">
        <v>2088</v>
      </c>
      <c r="G6005" s="2">
        <v>2500</v>
      </c>
      <c r="I6005" s="88">
        <f t="shared" si="760"/>
        <v>32955.360000000001</v>
      </c>
      <c r="K6005" s="62"/>
      <c r="L6005" s="2">
        <f t="shared" si="761"/>
        <v>15</v>
      </c>
      <c r="M6005">
        <f t="shared" si="762"/>
        <v>5</v>
      </c>
    </row>
    <row r="6006" spans="1:13" x14ac:dyDescent="0.3">
      <c r="A6006" s="3">
        <v>45891</v>
      </c>
      <c r="B6006" s="11" t="s">
        <v>8908</v>
      </c>
      <c r="C6006" s="50" t="s">
        <v>8909</v>
      </c>
      <c r="E6006" s="90" t="s">
        <v>4720</v>
      </c>
      <c r="H6006" s="2">
        <v>500</v>
      </c>
      <c r="I6006" s="88">
        <f t="shared" si="760"/>
        <v>32455.360000000001</v>
      </c>
      <c r="K6006" s="62"/>
      <c r="L6006" s="2">
        <f t="shared" si="761"/>
        <v>2</v>
      </c>
      <c r="M6006">
        <f t="shared" si="762"/>
        <v>0</v>
      </c>
    </row>
    <row r="6007" spans="1:13" x14ac:dyDescent="0.3">
      <c r="A6007" s="3">
        <f t="shared" si="759"/>
        <v>45891</v>
      </c>
      <c r="B6007" s="11" t="s">
        <v>8910</v>
      </c>
      <c r="C6007" s="50" t="s">
        <v>8911</v>
      </c>
      <c r="E6007" s="90" t="s">
        <v>4720</v>
      </c>
      <c r="H6007" s="2">
        <v>500</v>
      </c>
      <c r="I6007" s="88">
        <f t="shared" si="760"/>
        <v>31955.360000000001</v>
      </c>
      <c r="K6007" s="62"/>
      <c r="L6007" s="2">
        <f t="shared" si="761"/>
        <v>2</v>
      </c>
      <c r="M6007">
        <f t="shared" si="762"/>
        <v>0</v>
      </c>
    </row>
    <row r="6008" spans="1:13" x14ac:dyDescent="0.3">
      <c r="A6008" s="3">
        <f t="shared" si="759"/>
        <v>45891</v>
      </c>
      <c r="B6008" s="11" t="s">
        <v>7757</v>
      </c>
      <c r="C6008" s="50" t="s">
        <v>8801</v>
      </c>
      <c r="E6008" s="90" t="s">
        <v>4720</v>
      </c>
      <c r="H6008" s="2">
        <v>3500</v>
      </c>
      <c r="I6008" s="88">
        <f t="shared" si="760"/>
        <v>28455.360000000001</v>
      </c>
      <c r="K6008" s="62"/>
      <c r="L6008" s="2">
        <f t="shared" si="761"/>
        <v>14</v>
      </c>
      <c r="M6008">
        <f t="shared" si="762"/>
        <v>0</v>
      </c>
    </row>
    <row r="6009" spans="1:13" x14ac:dyDescent="0.3">
      <c r="A6009" s="3">
        <f t="shared" si="759"/>
        <v>45891</v>
      </c>
      <c r="B6009" s="11" t="s">
        <v>7882</v>
      </c>
      <c r="C6009" s="50" t="s">
        <v>4834</v>
      </c>
      <c r="E6009" s="90" t="s">
        <v>2088</v>
      </c>
      <c r="G6009" s="2">
        <v>10000</v>
      </c>
      <c r="I6009" s="88">
        <f t="shared" si="760"/>
        <v>38455.360000000001</v>
      </c>
      <c r="K6009" s="62"/>
      <c r="L6009" s="2">
        <f t="shared" si="761"/>
        <v>25</v>
      </c>
      <c r="M6009">
        <f t="shared" si="762"/>
        <v>5</v>
      </c>
    </row>
    <row r="6010" spans="1:13" x14ac:dyDescent="0.3">
      <c r="A6010" s="3">
        <v>45892</v>
      </c>
      <c r="B6010" s="11" t="s">
        <v>1250</v>
      </c>
      <c r="E6010" s="90" t="s">
        <v>4720</v>
      </c>
      <c r="G6010" s="2">
        <v>1000</v>
      </c>
      <c r="I6010" s="88">
        <f t="shared" si="760"/>
        <v>39455.360000000001</v>
      </c>
      <c r="K6010" s="62"/>
      <c r="L6010" s="2">
        <f t="shared" si="761"/>
        <v>4</v>
      </c>
      <c r="M6010">
        <f t="shared" si="762"/>
        <v>0</v>
      </c>
    </row>
    <row r="6011" spans="1:13" x14ac:dyDescent="0.3">
      <c r="A6011" s="3">
        <f t="shared" si="759"/>
        <v>45892</v>
      </c>
      <c r="C6011" s="50" t="s">
        <v>2857</v>
      </c>
      <c r="E6011" s="90" t="s">
        <v>8332</v>
      </c>
      <c r="H6011" s="2">
        <v>38000</v>
      </c>
      <c r="I6011" s="88">
        <f t="shared" si="760"/>
        <v>1455.3600000000006</v>
      </c>
      <c r="K6011" s="62"/>
      <c r="L6011" s="2">
        <f t="shared" si="761"/>
        <v>0</v>
      </c>
      <c r="M6011">
        <f t="shared" si="762"/>
        <v>0</v>
      </c>
    </row>
    <row r="6012" spans="1:13" x14ac:dyDescent="0.3">
      <c r="A6012" s="3">
        <f t="shared" si="759"/>
        <v>45892</v>
      </c>
      <c r="B6012" s="11" t="s">
        <v>8875</v>
      </c>
      <c r="C6012" s="50" t="s">
        <v>8912</v>
      </c>
      <c r="E6012" s="90" t="s">
        <v>4720</v>
      </c>
      <c r="G6012" s="2">
        <v>500</v>
      </c>
      <c r="I6012" s="88">
        <f t="shared" si="760"/>
        <v>1955.3600000000006</v>
      </c>
      <c r="K6012" s="62"/>
      <c r="L6012" s="2">
        <f t="shared" si="761"/>
        <v>2</v>
      </c>
      <c r="M6012">
        <f t="shared" si="762"/>
        <v>0</v>
      </c>
    </row>
    <row r="6013" spans="1:13" x14ac:dyDescent="0.3">
      <c r="A6013" s="3">
        <f t="shared" si="759"/>
        <v>45892</v>
      </c>
      <c r="B6013" s="11" t="s">
        <v>8914</v>
      </c>
      <c r="C6013" s="50" t="s">
        <v>8917</v>
      </c>
      <c r="E6013" s="90" t="s">
        <v>16</v>
      </c>
      <c r="H6013" s="2">
        <v>500</v>
      </c>
      <c r="I6013" s="88">
        <f t="shared" si="760"/>
        <v>1455.3600000000006</v>
      </c>
      <c r="K6013" s="62"/>
      <c r="L6013" s="2">
        <f t="shared" si="761"/>
        <v>17</v>
      </c>
      <c r="M6013">
        <f t="shared" si="762"/>
        <v>0</v>
      </c>
    </row>
    <row r="6014" spans="1:13" x14ac:dyDescent="0.3">
      <c r="A6014" s="3">
        <f t="shared" si="759"/>
        <v>45892</v>
      </c>
      <c r="B6014" s="11" t="s">
        <v>7005</v>
      </c>
      <c r="C6014" s="50" t="s">
        <v>7004</v>
      </c>
      <c r="E6014" s="90" t="s">
        <v>2088</v>
      </c>
      <c r="G6014" s="2">
        <v>5000</v>
      </c>
      <c r="I6014" s="88">
        <f t="shared" si="760"/>
        <v>6455.3600000000006</v>
      </c>
      <c r="K6014" s="62"/>
      <c r="L6014" s="2">
        <f t="shared" si="761"/>
        <v>25</v>
      </c>
      <c r="M6014">
        <f t="shared" si="762"/>
        <v>5</v>
      </c>
    </row>
    <row r="6015" spans="1:13" x14ac:dyDescent="0.3">
      <c r="A6015" s="3">
        <f t="shared" si="759"/>
        <v>45892</v>
      </c>
      <c r="B6015" s="11" t="s">
        <v>6927</v>
      </c>
      <c r="C6015" s="50" t="s">
        <v>8558</v>
      </c>
      <c r="E6015" s="90" t="s">
        <v>4720</v>
      </c>
      <c r="H6015" s="2">
        <v>6000</v>
      </c>
      <c r="I6015" s="88">
        <f t="shared" si="760"/>
        <v>455.36000000000058</v>
      </c>
      <c r="K6015" s="62"/>
      <c r="L6015" s="2">
        <f t="shared" si="761"/>
        <v>20</v>
      </c>
      <c r="M6015">
        <f t="shared" si="762"/>
        <v>0</v>
      </c>
    </row>
    <row r="6016" spans="1:13" x14ac:dyDescent="0.3">
      <c r="A6016" s="3">
        <f t="shared" si="759"/>
        <v>45892</v>
      </c>
      <c r="B6016" s="11" t="s">
        <v>7800</v>
      </c>
      <c r="C6016" s="50" t="s">
        <v>7284</v>
      </c>
      <c r="E6016" s="90" t="s">
        <v>2088</v>
      </c>
      <c r="G6016" s="2">
        <v>0</v>
      </c>
      <c r="H6016" s="2">
        <v>0</v>
      </c>
      <c r="I6016" s="88">
        <f t="shared" si="760"/>
        <v>455.36000000000058</v>
      </c>
      <c r="K6016" s="62"/>
      <c r="L6016" s="2">
        <f t="shared" si="761"/>
        <v>5</v>
      </c>
      <c r="M6016">
        <f t="shared" si="762"/>
        <v>5</v>
      </c>
    </row>
    <row r="6017" spans="1:13" x14ac:dyDescent="0.3">
      <c r="A6017" s="3">
        <f t="shared" si="759"/>
        <v>45892</v>
      </c>
      <c r="B6017" s="11" t="s">
        <v>1160</v>
      </c>
      <c r="C6017" s="50" t="s">
        <v>8918</v>
      </c>
      <c r="E6017" s="90" t="s">
        <v>4720</v>
      </c>
      <c r="G6017" s="2">
        <v>1000</v>
      </c>
      <c r="I6017" s="88">
        <f t="shared" si="760"/>
        <v>1455.3600000000006</v>
      </c>
      <c r="K6017" s="62"/>
      <c r="L6017" s="2">
        <f t="shared" si="761"/>
        <v>4</v>
      </c>
      <c r="M6017">
        <f t="shared" si="762"/>
        <v>0</v>
      </c>
    </row>
    <row r="6018" spans="1:13" x14ac:dyDescent="0.3">
      <c r="A6018" s="3">
        <f t="shared" si="759"/>
        <v>45892</v>
      </c>
      <c r="B6018" s="11" t="s">
        <v>4438</v>
      </c>
      <c r="C6018" s="50" t="s">
        <v>8919</v>
      </c>
      <c r="E6018" s="90" t="s">
        <v>4720</v>
      </c>
      <c r="G6018" s="2">
        <v>2000</v>
      </c>
      <c r="I6018" s="88">
        <f t="shared" si="760"/>
        <v>3455.3600000000006</v>
      </c>
      <c r="K6018" s="62"/>
      <c r="L6018" s="2">
        <f t="shared" si="761"/>
        <v>8</v>
      </c>
      <c r="M6018">
        <f t="shared" si="762"/>
        <v>0</v>
      </c>
    </row>
    <row r="6019" spans="1:13" x14ac:dyDescent="0.3">
      <c r="A6019" s="3">
        <f t="shared" si="759"/>
        <v>45892</v>
      </c>
      <c r="B6019" s="11" t="s">
        <v>4091</v>
      </c>
      <c r="C6019" s="50" t="s">
        <v>8920</v>
      </c>
      <c r="E6019" s="90" t="s">
        <v>4720</v>
      </c>
      <c r="G6019" s="2">
        <v>200</v>
      </c>
      <c r="I6019" s="88">
        <f t="shared" ref="I6019:I6040" si="763">I6018+G6019-H6019</f>
        <v>3655.3600000000006</v>
      </c>
      <c r="K6019" s="62"/>
      <c r="L6019" s="2">
        <f t="shared" ref="L6019:L6040" si="764">IF(E6019="C",0,IF((G6019+H6019)&lt;=5000,(G6019+H6019)*0.004,20)+IF(E6019="P",5,IF(E6019="Y",15,IF(E6019="YY",25))))</f>
        <v>0.8</v>
      </c>
      <c r="M6019">
        <f t="shared" ref="M6019:M6040" si="765">IF(E6019="p",5,0)</f>
        <v>0</v>
      </c>
    </row>
    <row r="6020" spans="1:13" x14ac:dyDescent="0.3">
      <c r="A6020" s="3">
        <f t="shared" si="759"/>
        <v>45892</v>
      </c>
      <c r="B6020" s="11" t="s">
        <v>6687</v>
      </c>
      <c r="C6020" s="50" t="s">
        <v>6688</v>
      </c>
      <c r="E6020" s="90" t="s">
        <v>4720</v>
      </c>
      <c r="G6020" s="2">
        <v>3000</v>
      </c>
      <c r="I6020" s="88">
        <f t="shared" si="763"/>
        <v>6655.3600000000006</v>
      </c>
      <c r="K6020" s="62"/>
      <c r="L6020" s="2">
        <f t="shared" si="764"/>
        <v>12</v>
      </c>
      <c r="M6020">
        <f t="shared" si="765"/>
        <v>0</v>
      </c>
    </row>
    <row r="6021" spans="1:13" x14ac:dyDescent="0.3">
      <c r="A6021" s="3">
        <f t="shared" si="759"/>
        <v>45892</v>
      </c>
      <c r="B6021" s="11" t="s">
        <v>2448</v>
      </c>
      <c r="C6021" s="50" t="s">
        <v>2274</v>
      </c>
      <c r="E6021" s="90" t="s">
        <v>4720</v>
      </c>
      <c r="H6021" s="2">
        <v>5000</v>
      </c>
      <c r="I6021" s="88">
        <f t="shared" si="763"/>
        <v>1655.3600000000006</v>
      </c>
      <c r="K6021" s="62"/>
      <c r="L6021" s="2">
        <f t="shared" si="764"/>
        <v>20</v>
      </c>
      <c r="M6021">
        <f t="shared" si="765"/>
        <v>0</v>
      </c>
    </row>
    <row r="6022" spans="1:13" x14ac:dyDescent="0.3">
      <c r="A6022" s="3">
        <v>45893</v>
      </c>
      <c r="B6022" s="11" t="s">
        <v>1160</v>
      </c>
      <c r="C6022" s="50" t="s">
        <v>8921</v>
      </c>
      <c r="D6022" s="50">
        <v>7857936915</v>
      </c>
      <c r="E6022" s="90" t="s">
        <v>4720</v>
      </c>
      <c r="G6022" s="2">
        <v>1000</v>
      </c>
      <c r="I6022" s="88">
        <f t="shared" si="763"/>
        <v>2655.3600000000006</v>
      </c>
      <c r="K6022" s="62"/>
      <c r="L6022" s="2">
        <f t="shared" si="764"/>
        <v>4</v>
      </c>
      <c r="M6022">
        <f t="shared" si="765"/>
        <v>0</v>
      </c>
    </row>
    <row r="6023" spans="1:13" x14ac:dyDescent="0.3">
      <c r="A6023" s="3">
        <f t="shared" si="759"/>
        <v>45893</v>
      </c>
      <c r="B6023" s="11" t="s">
        <v>1250</v>
      </c>
      <c r="C6023" s="50" t="s">
        <v>8703</v>
      </c>
      <c r="E6023" s="90" t="s">
        <v>4720</v>
      </c>
      <c r="G6023" s="2">
        <v>600</v>
      </c>
      <c r="I6023" s="88">
        <f t="shared" si="763"/>
        <v>3255.3600000000006</v>
      </c>
      <c r="K6023" s="62"/>
      <c r="L6023" s="2">
        <f t="shared" si="764"/>
        <v>2.4</v>
      </c>
      <c r="M6023">
        <f t="shared" si="765"/>
        <v>0</v>
      </c>
    </row>
    <row r="6024" spans="1:13" x14ac:dyDescent="0.3">
      <c r="A6024" s="3">
        <f t="shared" si="759"/>
        <v>45893</v>
      </c>
      <c r="B6024" s="11" t="s">
        <v>8922</v>
      </c>
      <c r="C6024" s="50" t="s">
        <v>730</v>
      </c>
      <c r="E6024" s="90" t="s">
        <v>4720</v>
      </c>
      <c r="G6024" s="2">
        <v>2000</v>
      </c>
      <c r="I6024" s="88">
        <f t="shared" si="763"/>
        <v>5255.3600000000006</v>
      </c>
      <c r="K6024" s="62"/>
      <c r="L6024" s="2">
        <f t="shared" si="764"/>
        <v>8</v>
      </c>
      <c r="M6024">
        <f t="shared" si="765"/>
        <v>0</v>
      </c>
    </row>
    <row r="6025" spans="1:13" x14ac:dyDescent="0.3">
      <c r="A6025" s="3">
        <v>45894</v>
      </c>
      <c r="B6025" s="11" t="s">
        <v>7060</v>
      </c>
      <c r="C6025" s="50" t="s">
        <v>7529</v>
      </c>
      <c r="E6025" s="90" t="s">
        <v>2088</v>
      </c>
      <c r="G6025" s="2">
        <v>2000</v>
      </c>
      <c r="I6025" s="88">
        <f t="shared" si="763"/>
        <v>7255.3600000000006</v>
      </c>
      <c r="K6025" s="62"/>
      <c r="L6025" s="2">
        <f t="shared" si="764"/>
        <v>13</v>
      </c>
      <c r="M6025">
        <f t="shared" si="765"/>
        <v>5</v>
      </c>
    </row>
    <row r="6026" spans="1:13" x14ac:dyDescent="0.3">
      <c r="A6026" s="3">
        <f t="shared" si="759"/>
        <v>45894</v>
      </c>
      <c r="B6026" s="11" t="s">
        <v>6466</v>
      </c>
      <c r="C6026" s="50" t="s">
        <v>8923</v>
      </c>
      <c r="E6026" s="90" t="s">
        <v>4720</v>
      </c>
      <c r="G6026" s="2">
        <v>300</v>
      </c>
      <c r="I6026" s="88">
        <f t="shared" si="763"/>
        <v>7555.3600000000006</v>
      </c>
      <c r="K6026" s="62"/>
      <c r="L6026" s="2">
        <f t="shared" si="764"/>
        <v>1.2</v>
      </c>
      <c r="M6026">
        <f t="shared" si="765"/>
        <v>0</v>
      </c>
    </row>
    <row r="6027" spans="1:13" x14ac:dyDescent="0.3">
      <c r="A6027" s="3">
        <f t="shared" si="759"/>
        <v>45894</v>
      </c>
      <c r="B6027" s="11" t="s">
        <v>8924</v>
      </c>
      <c r="C6027" s="50" t="s">
        <v>8925</v>
      </c>
      <c r="E6027" s="90" t="s">
        <v>2088</v>
      </c>
      <c r="G6027" s="2">
        <v>0</v>
      </c>
      <c r="H6027" s="2">
        <v>0</v>
      </c>
      <c r="I6027" s="88">
        <f t="shared" si="763"/>
        <v>7555.3600000000006</v>
      </c>
      <c r="K6027" s="62"/>
      <c r="L6027" s="2">
        <f t="shared" si="764"/>
        <v>5</v>
      </c>
      <c r="M6027">
        <f t="shared" si="765"/>
        <v>5</v>
      </c>
    </row>
    <row r="6028" spans="1:13" x14ac:dyDescent="0.3">
      <c r="A6028" s="3">
        <f t="shared" si="759"/>
        <v>45894</v>
      </c>
      <c r="B6028" s="11" t="s">
        <v>7734</v>
      </c>
      <c r="C6028" s="50" t="s">
        <v>8014</v>
      </c>
      <c r="E6028" s="90" t="s">
        <v>7772</v>
      </c>
      <c r="G6028" s="2">
        <v>0</v>
      </c>
      <c r="H6028" s="2">
        <v>0</v>
      </c>
      <c r="I6028" s="88">
        <f t="shared" si="763"/>
        <v>7555.3600000000006</v>
      </c>
      <c r="K6028" s="62"/>
      <c r="L6028" s="2">
        <f t="shared" si="764"/>
        <v>5</v>
      </c>
      <c r="M6028">
        <f t="shared" si="765"/>
        <v>5</v>
      </c>
    </row>
    <row r="6029" spans="1:13" x14ac:dyDescent="0.3">
      <c r="A6029" s="3">
        <f t="shared" si="759"/>
        <v>45894</v>
      </c>
      <c r="B6029" s="11" t="s">
        <v>8669</v>
      </c>
      <c r="C6029" s="50" t="s">
        <v>8670</v>
      </c>
      <c r="E6029" s="90" t="s">
        <v>4720</v>
      </c>
      <c r="G6029" s="2">
        <v>5000</v>
      </c>
      <c r="I6029" s="88">
        <f t="shared" si="763"/>
        <v>12555.36</v>
      </c>
      <c r="K6029" s="62"/>
      <c r="L6029" s="2">
        <f t="shared" si="764"/>
        <v>20</v>
      </c>
      <c r="M6029">
        <f t="shared" si="765"/>
        <v>0</v>
      </c>
    </row>
    <row r="6030" spans="1:13" x14ac:dyDescent="0.3">
      <c r="A6030" s="3">
        <f t="shared" si="759"/>
        <v>45894</v>
      </c>
      <c r="B6030" s="11" t="s">
        <v>7289</v>
      </c>
      <c r="C6030" s="50" t="s">
        <v>8926</v>
      </c>
      <c r="E6030" s="90" t="s">
        <v>2088</v>
      </c>
      <c r="G6030" s="2">
        <v>2500</v>
      </c>
      <c r="I6030" s="88">
        <f t="shared" si="763"/>
        <v>15055.36</v>
      </c>
      <c r="K6030" s="62"/>
      <c r="L6030" s="2">
        <f t="shared" si="764"/>
        <v>15</v>
      </c>
      <c r="M6030">
        <f t="shared" si="765"/>
        <v>5</v>
      </c>
    </row>
    <row r="6031" spans="1:13" x14ac:dyDescent="0.3">
      <c r="A6031" s="3">
        <f t="shared" si="759"/>
        <v>45894</v>
      </c>
      <c r="B6031" s="11" t="s">
        <v>3915</v>
      </c>
      <c r="C6031" s="50" t="s">
        <v>5166</v>
      </c>
      <c r="E6031" s="90" t="s">
        <v>4720</v>
      </c>
      <c r="G6031" s="2">
        <v>3000</v>
      </c>
      <c r="I6031" s="88">
        <f t="shared" si="763"/>
        <v>18055.36</v>
      </c>
      <c r="K6031" s="62"/>
      <c r="L6031" s="2">
        <f t="shared" si="764"/>
        <v>12</v>
      </c>
      <c r="M6031">
        <f t="shared" si="765"/>
        <v>0</v>
      </c>
    </row>
    <row r="6032" spans="1:13" x14ac:dyDescent="0.3">
      <c r="A6032" s="3">
        <f t="shared" si="759"/>
        <v>45894</v>
      </c>
      <c r="B6032" s="11" t="s">
        <v>7476</v>
      </c>
      <c r="C6032" s="50" t="s">
        <v>8928</v>
      </c>
      <c r="E6032" s="90" t="s">
        <v>2088</v>
      </c>
      <c r="G6032" s="2">
        <v>0</v>
      </c>
      <c r="I6032" s="88">
        <f t="shared" si="763"/>
        <v>18055.36</v>
      </c>
      <c r="K6032" s="62"/>
      <c r="L6032" s="2">
        <f t="shared" si="764"/>
        <v>5</v>
      </c>
      <c r="M6032">
        <f t="shared" si="765"/>
        <v>5</v>
      </c>
    </row>
    <row r="6033" spans="1:13" x14ac:dyDescent="0.3">
      <c r="A6033" s="3">
        <f t="shared" si="759"/>
        <v>45894</v>
      </c>
      <c r="B6033" s="11" t="s">
        <v>7476</v>
      </c>
      <c r="C6033" s="50" t="s">
        <v>8928</v>
      </c>
      <c r="E6033" s="90" t="s">
        <v>2088</v>
      </c>
      <c r="G6033" s="2">
        <v>2600</v>
      </c>
      <c r="I6033" s="88">
        <f t="shared" si="763"/>
        <v>20655.36</v>
      </c>
      <c r="K6033" s="62"/>
      <c r="L6033" s="2">
        <f t="shared" si="764"/>
        <v>15.4</v>
      </c>
      <c r="M6033">
        <f t="shared" si="765"/>
        <v>5</v>
      </c>
    </row>
    <row r="6034" spans="1:13" x14ac:dyDescent="0.3">
      <c r="A6034" s="3">
        <f t="shared" si="759"/>
        <v>45894</v>
      </c>
      <c r="B6034" s="11" t="s">
        <v>7374</v>
      </c>
      <c r="C6034" s="50" t="s">
        <v>8655</v>
      </c>
      <c r="D6034" s="50">
        <v>7543993969</v>
      </c>
      <c r="E6034" s="90" t="s">
        <v>2088</v>
      </c>
      <c r="G6034" s="2">
        <v>5000</v>
      </c>
      <c r="I6034" s="88">
        <f t="shared" si="763"/>
        <v>25655.360000000001</v>
      </c>
      <c r="K6034" s="62"/>
      <c r="L6034" s="2">
        <f t="shared" si="764"/>
        <v>25</v>
      </c>
      <c r="M6034">
        <f t="shared" si="765"/>
        <v>5</v>
      </c>
    </row>
    <row r="6035" spans="1:13" x14ac:dyDescent="0.3">
      <c r="A6035" s="3">
        <f t="shared" si="759"/>
        <v>45894</v>
      </c>
      <c r="B6035" s="11" t="s">
        <v>8929</v>
      </c>
      <c r="C6035" s="50" t="s">
        <v>8930</v>
      </c>
      <c r="E6035" s="90" t="s">
        <v>4720</v>
      </c>
      <c r="H6035" s="2">
        <v>1000</v>
      </c>
      <c r="I6035" s="88">
        <f t="shared" si="763"/>
        <v>24655.360000000001</v>
      </c>
      <c r="K6035" s="62"/>
      <c r="L6035" s="2">
        <f t="shared" si="764"/>
        <v>4</v>
      </c>
      <c r="M6035">
        <f t="shared" si="765"/>
        <v>0</v>
      </c>
    </row>
    <row r="6036" spans="1:13" x14ac:dyDescent="0.3">
      <c r="A6036" s="3">
        <f t="shared" si="759"/>
        <v>45894</v>
      </c>
      <c r="B6036" s="11" t="s">
        <v>2241</v>
      </c>
      <c r="C6036" s="50" t="s">
        <v>8931</v>
      </c>
      <c r="D6036" s="50">
        <v>8877363684</v>
      </c>
      <c r="E6036" s="90" t="s">
        <v>4720</v>
      </c>
      <c r="G6036" s="2">
        <v>2500</v>
      </c>
      <c r="I6036" s="88">
        <f t="shared" si="763"/>
        <v>27155.360000000001</v>
      </c>
      <c r="K6036" s="62"/>
      <c r="L6036" s="2">
        <f t="shared" si="764"/>
        <v>10</v>
      </c>
      <c r="M6036">
        <f t="shared" si="765"/>
        <v>0</v>
      </c>
    </row>
    <row r="6037" spans="1:13" x14ac:dyDescent="0.3">
      <c r="A6037" s="3">
        <f t="shared" si="759"/>
        <v>45894</v>
      </c>
      <c r="B6037" s="11" t="s">
        <v>1160</v>
      </c>
      <c r="C6037" s="50" t="s">
        <v>8354</v>
      </c>
      <c r="E6037" s="90" t="s">
        <v>4720</v>
      </c>
      <c r="G6037" s="2">
        <v>1000</v>
      </c>
      <c r="I6037" s="88">
        <f t="shared" si="763"/>
        <v>28155.360000000001</v>
      </c>
      <c r="K6037" s="62"/>
      <c r="L6037" s="2">
        <f t="shared" si="764"/>
        <v>4</v>
      </c>
      <c r="M6037">
        <f t="shared" si="765"/>
        <v>0</v>
      </c>
    </row>
    <row r="6038" spans="1:13" x14ac:dyDescent="0.3">
      <c r="A6038" s="3">
        <f t="shared" si="759"/>
        <v>45894</v>
      </c>
      <c r="B6038" s="11" t="s">
        <v>2448</v>
      </c>
      <c r="C6038" s="50" t="s">
        <v>4108</v>
      </c>
      <c r="E6038" s="90" t="s">
        <v>4720</v>
      </c>
      <c r="H6038" s="2">
        <v>7000</v>
      </c>
      <c r="I6038" s="88">
        <f t="shared" si="763"/>
        <v>21155.360000000001</v>
      </c>
      <c r="K6038" s="62"/>
      <c r="L6038" s="2">
        <f t="shared" si="764"/>
        <v>20</v>
      </c>
      <c r="M6038">
        <f t="shared" si="765"/>
        <v>0</v>
      </c>
    </row>
    <row r="6039" spans="1:13" x14ac:dyDescent="0.3">
      <c r="A6039" s="3">
        <f t="shared" si="759"/>
        <v>45894</v>
      </c>
      <c r="B6039" s="11" t="s">
        <v>1250</v>
      </c>
      <c r="C6039" s="50" t="s">
        <v>8932</v>
      </c>
      <c r="E6039" s="90" t="s">
        <v>4720</v>
      </c>
      <c r="G6039" s="2">
        <v>1500</v>
      </c>
      <c r="I6039" s="88">
        <f t="shared" si="763"/>
        <v>22655.360000000001</v>
      </c>
      <c r="K6039" s="62"/>
      <c r="L6039" s="2">
        <f t="shared" si="764"/>
        <v>6</v>
      </c>
      <c r="M6039">
        <f t="shared" si="765"/>
        <v>0</v>
      </c>
    </row>
    <row r="6040" spans="1:13" x14ac:dyDescent="0.3">
      <c r="A6040" s="3">
        <v>45895</v>
      </c>
      <c r="B6040" s="11" t="s">
        <v>3039</v>
      </c>
      <c r="C6040" s="50" t="s">
        <v>8933</v>
      </c>
      <c r="E6040" s="90" t="s">
        <v>4720</v>
      </c>
      <c r="G6040" s="2">
        <v>4000</v>
      </c>
      <c r="I6040" s="88">
        <f t="shared" si="763"/>
        <v>26655.360000000001</v>
      </c>
      <c r="K6040" s="62"/>
      <c r="L6040" s="2">
        <f t="shared" si="764"/>
        <v>16</v>
      </c>
      <c r="M6040">
        <f t="shared" si="765"/>
        <v>0</v>
      </c>
    </row>
    <row r="6041" spans="1:13" x14ac:dyDescent="0.3">
      <c r="A6041" s="3">
        <f t="shared" si="759"/>
        <v>45895</v>
      </c>
      <c r="B6041" s="11" t="s">
        <v>2165</v>
      </c>
      <c r="C6041" s="50" t="s">
        <v>2874</v>
      </c>
      <c r="E6041" s="90" t="s">
        <v>4720</v>
      </c>
      <c r="G6041" s="2">
        <v>5000</v>
      </c>
      <c r="I6041" s="88">
        <f t="shared" ref="I6041:I6053" si="766">I6040+G6041-H6041</f>
        <v>31655.360000000001</v>
      </c>
      <c r="K6041" s="62"/>
      <c r="L6041" s="2">
        <f t="shared" ref="L6041:L6053" si="767">IF(E6041="C",0,IF((G6041+H6041)&lt;=5000,(G6041+H6041)*0.004,20)+IF(E6041="P",5,IF(E6041="Y",15,IF(E6041="YY",25))))</f>
        <v>20</v>
      </c>
      <c r="M6041">
        <f t="shared" ref="M6041:M6053" si="768">IF(E6041="p",5,0)</f>
        <v>0</v>
      </c>
    </row>
    <row r="6042" spans="1:13" x14ac:dyDescent="0.3">
      <c r="A6042" s="3">
        <f t="shared" si="759"/>
        <v>45895</v>
      </c>
      <c r="B6042" s="11" t="s">
        <v>8934</v>
      </c>
      <c r="C6042" s="50" t="s">
        <v>8935</v>
      </c>
      <c r="E6042" s="90" t="s">
        <v>2088</v>
      </c>
      <c r="G6042" s="2">
        <v>4000</v>
      </c>
      <c r="I6042" s="88">
        <f t="shared" si="766"/>
        <v>35655.360000000001</v>
      </c>
      <c r="K6042" s="62"/>
      <c r="L6042" s="2">
        <f t="shared" si="767"/>
        <v>21</v>
      </c>
      <c r="M6042">
        <f t="shared" si="768"/>
        <v>5</v>
      </c>
    </row>
    <row r="6043" spans="1:13" x14ac:dyDescent="0.3">
      <c r="A6043" s="3">
        <v>45896</v>
      </c>
      <c r="C6043" s="50" t="s">
        <v>2857</v>
      </c>
      <c r="E6043" s="90" t="s">
        <v>8332</v>
      </c>
      <c r="H6043" s="2">
        <v>30000</v>
      </c>
      <c r="I6043" s="88">
        <f t="shared" si="766"/>
        <v>5655.3600000000006</v>
      </c>
      <c r="K6043" s="62"/>
      <c r="L6043" s="2">
        <f t="shared" si="767"/>
        <v>0</v>
      </c>
      <c r="M6043">
        <f t="shared" si="768"/>
        <v>0</v>
      </c>
    </row>
    <row r="6044" spans="1:13" x14ac:dyDescent="0.3">
      <c r="A6044" s="3">
        <f t="shared" si="759"/>
        <v>45896</v>
      </c>
      <c r="B6044" s="11" t="s">
        <v>7834</v>
      </c>
      <c r="C6044" s="50" t="s">
        <v>8837</v>
      </c>
      <c r="E6044" s="90" t="s">
        <v>2088</v>
      </c>
      <c r="G6044" s="2">
        <v>0</v>
      </c>
      <c r="H6044" s="2">
        <v>0</v>
      </c>
      <c r="I6044" s="88">
        <f t="shared" si="766"/>
        <v>5655.3600000000006</v>
      </c>
      <c r="K6044" s="62"/>
      <c r="L6044" s="2">
        <f t="shared" si="767"/>
        <v>5</v>
      </c>
      <c r="M6044">
        <f t="shared" si="768"/>
        <v>5</v>
      </c>
    </row>
    <row r="6045" spans="1:13" x14ac:dyDescent="0.3">
      <c r="A6045" s="3">
        <f t="shared" si="759"/>
        <v>45896</v>
      </c>
      <c r="B6045" s="11" t="s">
        <v>7834</v>
      </c>
      <c r="C6045" s="50" t="s">
        <v>8837</v>
      </c>
      <c r="E6045" s="90" t="s">
        <v>2088</v>
      </c>
      <c r="G6045" s="2">
        <v>300</v>
      </c>
      <c r="I6045" s="88">
        <f t="shared" si="766"/>
        <v>5955.3600000000006</v>
      </c>
      <c r="K6045" s="62"/>
      <c r="L6045" s="2">
        <f t="shared" si="767"/>
        <v>6.2</v>
      </c>
      <c r="M6045">
        <f t="shared" si="768"/>
        <v>5</v>
      </c>
    </row>
    <row r="6046" spans="1:13" x14ac:dyDescent="0.3">
      <c r="A6046" s="3">
        <f t="shared" si="759"/>
        <v>45896</v>
      </c>
      <c r="B6046" s="11" t="s">
        <v>5186</v>
      </c>
      <c r="C6046" s="50" t="s">
        <v>5189</v>
      </c>
      <c r="E6046" s="90" t="s">
        <v>2088</v>
      </c>
      <c r="G6046" s="2">
        <v>2000</v>
      </c>
      <c r="I6046" s="88">
        <f t="shared" si="766"/>
        <v>7955.3600000000006</v>
      </c>
      <c r="K6046" s="62"/>
      <c r="L6046" s="2">
        <f t="shared" si="767"/>
        <v>13</v>
      </c>
      <c r="M6046">
        <f t="shared" si="768"/>
        <v>5</v>
      </c>
    </row>
    <row r="6047" spans="1:13" x14ac:dyDescent="0.3">
      <c r="A6047" s="3">
        <f t="shared" si="759"/>
        <v>45896</v>
      </c>
      <c r="B6047" s="11" t="s">
        <v>7329</v>
      </c>
      <c r="C6047" s="50" t="s">
        <v>7330</v>
      </c>
      <c r="E6047" s="90" t="s">
        <v>4720</v>
      </c>
      <c r="G6047" s="2">
        <v>4000</v>
      </c>
      <c r="I6047" s="88">
        <f t="shared" si="766"/>
        <v>11955.36</v>
      </c>
      <c r="K6047" s="62"/>
      <c r="L6047" s="2">
        <f t="shared" si="767"/>
        <v>16</v>
      </c>
      <c r="M6047">
        <f t="shared" si="768"/>
        <v>0</v>
      </c>
    </row>
    <row r="6048" spans="1:13" x14ac:dyDescent="0.3">
      <c r="A6048" s="3">
        <f t="shared" si="759"/>
        <v>45896</v>
      </c>
      <c r="B6048" s="11" t="s">
        <v>6355</v>
      </c>
      <c r="C6048" s="50" t="s">
        <v>7874</v>
      </c>
      <c r="D6048" s="2"/>
      <c r="E6048" s="90" t="s">
        <v>4720</v>
      </c>
      <c r="G6048" s="2">
        <v>2500</v>
      </c>
      <c r="I6048" s="88">
        <f t="shared" si="766"/>
        <v>14455.36</v>
      </c>
      <c r="K6048" s="62"/>
      <c r="L6048" s="2">
        <f t="shared" si="767"/>
        <v>10</v>
      </c>
      <c r="M6048">
        <f t="shared" si="768"/>
        <v>0</v>
      </c>
    </row>
    <row r="6049" spans="1:13" x14ac:dyDescent="0.3">
      <c r="A6049" s="3">
        <f t="shared" si="759"/>
        <v>45896</v>
      </c>
      <c r="B6049" s="11" t="s">
        <v>8320</v>
      </c>
      <c r="C6049" s="50" t="s">
        <v>8936</v>
      </c>
      <c r="D6049" s="71">
        <v>6207513323</v>
      </c>
      <c r="E6049" s="90" t="s">
        <v>4720</v>
      </c>
      <c r="G6049" s="2">
        <v>1000</v>
      </c>
      <c r="I6049" s="88">
        <f t="shared" si="766"/>
        <v>15455.36</v>
      </c>
      <c r="K6049" s="62"/>
      <c r="L6049" s="2">
        <f>IF(E6049="C",0,IF((D6048+H6049)&lt;=5000,(D6048+H6049)*0.004,20)+IF(E6049="P",5,IF(E6049="Y",15,IF(E6049="YY",25))))</f>
        <v>0</v>
      </c>
      <c r="M6049">
        <f t="shared" si="768"/>
        <v>0</v>
      </c>
    </row>
    <row r="6050" spans="1:13" x14ac:dyDescent="0.3">
      <c r="A6050" s="3">
        <f t="shared" si="759"/>
        <v>45896</v>
      </c>
      <c r="B6050" s="11" t="s">
        <v>3039</v>
      </c>
      <c r="C6050" s="50" t="s">
        <v>8937</v>
      </c>
      <c r="D6050" s="50">
        <v>8102976698</v>
      </c>
      <c r="E6050" s="90" t="s">
        <v>4720</v>
      </c>
      <c r="G6050" s="2">
        <v>3000</v>
      </c>
      <c r="I6050" s="88">
        <f t="shared" si="766"/>
        <v>18455.36</v>
      </c>
      <c r="K6050" s="62"/>
      <c r="L6050" s="2">
        <f t="shared" si="767"/>
        <v>12</v>
      </c>
      <c r="M6050">
        <f t="shared" si="768"/>
        <v>0</v>
      </c>
    </row>
    <row r="6051" spans="1:13" x14ac:dyDescent="0.3">
      <c r="A6051" s="3">
        <f t="shared" si="759"/>
        <v>45896</v>
      </c>
      <c r="B6051" s="11" t="s">
        <v>3232</v>
      </c>
      <c r="C6051" s="50" t="s">
        <v>5621</v>
      </c>
      <c r="E6051" s="90" t="s">
        <v>4720</v>
      </c>
      <c r="G6051" s="2">
        <v>1000</v>
      </c>
      <c r="I6051" s="88">
        <f t="shared" si="766"/>
        <v>19455.36</v>
      </c>
      <c r="K6051" s="62"/>
      <c r="L6051" s="2">
        <f t="shared" si="767"/>
        <v>4</v>
      </c>
      <c r="M6051">
        <f t="shared" si="768"/>
        <v>0</v>
      </c>
    </row>
    <row r="6052" spans="1:13" x14ac:dyDescent="0.3">
      <c r="A6052" s="3">
        <f t="shared" si="759"/>
        <v>45896</v>
      </c>
      <c r="B6052" s="11" t="s">
        <v>7870</v>
      </c>
      <c r="C6052" s="50" t="s">
        <v>8380</v>
      </c>
      <c r="E6052" s="90" t="s">
        <v>2088</v>
      </c>
      <c r="G6052" s="2">
        <v>2000</v>
      </c>
      <c r="I6052" s="88">
        <f t="shared" si="766"/>
        <v>21455.360000000001</v>
      </c>
      <c r="K6052" s="62"/>
      <c r="L6052" s="2">
        <f t="shared" si="767"/>
        <v>13</v>
      </c>
      <c r="M6052">
        <f t="shared" si="768"/>
        <v>5</v>
      </c>
    </row>
    <row r="6053" spans="1:13" x14ac:dyDescent="0.3">
      <c r="A6053" s="3">
        <f t="shared" si="759"/>
        <v>45896</v>
      </c>
      <c r="B6053" s="11" t="s">
        <v>1250</v>
      </c>
      <c r="C6053" s="50" t="s">
        <v>2295</v>
      </c>
      <c r="E6053" s="90" t="s">
        <v>4720</v>
      </c>
      <c r="G6053" s="2">
        <v>1000</v>
      </c>
      <c r="I6053" s="88">
        <f t="shared" si="766"/>
        <v>22455.360000000001</v>
      </c>
      <c r="K6053" s="62"/>
      <c r="L6053" s="2">
        <f t="shared" si="767"/>
        <v>4</v>
      </c>
      <c r="M6053">
        <f t="shared" si="768"/>
        <v>0</v>
      </c>
    </row>
    <row r="6054" spans="1:13" x14ac:dyDescent="0.3">
      <c r="A6054" s="3">
        <f t="shared" si="759"/>
        <v>45896</v>
      </c>
      <c r="B6054" s="11" t="s">
        <v>1472</v>
      </c>
      <c r="C6054" s="50" t="s">
        <v>8082</v>
      </c>
      <c r="E6054" s="90" t="s">
        <v>4720</v>
      </c>
      <c r="G6054" s="2">
        <v>1500</v>
      </c>
      <c r="I6054" s="88">
        <f t="shared" ref="I6054:I6064" si="769">I6053+G6054-H6054</f>
        <v>23955.360000000001</v>
      </c>
      <c r="K6054" s="62"/>
      <c r="L6054" s="2">
        <f t="shared" ref="L6054:L6064" si="770">IF(E6054="C",0,IF((G6054+H6054)&lt;=5000,(G6054+H6054)*0.004,20)+IF(E6054="P",5,IF(E6054="Y",15,IF(E6054="YY",25))))</f>
        <v>6</v>
      </c>
      <c r="M6054">
        <f t="shared" ref="M6054:M6064" si="771">IF(E6054="p",5,0)</f>
        <v>0</v>
      </c>
    </row>
    <row r="6055" spans="1:13" x14ac:dyDescent="0.3">
      <c r="A6055" s="3">
        <f t="shared" si="759"/>
        <v>45896</v>
      </c>
      <c r="B6055" s="11" t="s">
        <v>8674</v>
      </c>
      <c r="C6055" s="50" t="s">
        <v>8675</v>
      </c>
      <c r="E6055" s="90" t="s">
        <v>2088</v>
      </c>
      <c r="G6055" s="2">
        <v>0</v>
      </c>
      <c r="I6055" s="88">
        <f t="shared" si="769"/>
        <v>23955.360000000001</v>
      </c>
      <c r="K6055" s="62"/>
      <c r="L6055" s="2">
        <f t="shared" si="770"/>
        <v>5</v>
      </c>
      <c r="M6055">
        <f t="shared" si="771"/>
        <v>5</v>
      </c>
    </row>
    <row r="6056" spans="1:13" x14ac:dyDescent="0.3">
      <c r="A6056" s="3">
        <f t="shared" si="759"/>
        <v>45896</v>
      </c>
      <c r="B6056" s="11" t="s">
        <v>8674</v>
      </c>
      <c r="C6056" s="50" t="s">
        <v>8675</v>
      </c>
      <c r="E6056" s="90" t="s">
        <v>2088</v>
      </c>
      <c r="G6056" s="2">
        <v>2500</v>
      </c>
      <c r="I6056" s="88">
        <f t="shared" si="769"/>
        <v>26455.360000000001</v>
      </c>
      <c r="K6056" s="62"/>
      <c r="L6056" s="2">
        <f t="shared" si="770"/>
        <v>15</v>
      </c>
      <c r="M6056">
        <f t="shared" si="771"/>
        <v>5</v>
      </c>
    </row>
    <row r="6057" spans="1:13" x14ac:dyDescent="0.3">
      <c r="A6057" s="3">
        <f t="shared" si="759"/>
        <v>45896</v>
      </c>
      <c r="B6057" s="11" t="s">
        <v>4752</v>
      </c>
      <c r="C6057" s="50" t="s">
        <v>8562</v>
      </c>
      <c r="E6057" s="90" t="s">
        <v>4720</v>
      </c>
      <c r="G6057" s="2">
        <v>1200</v>
      </c>
      <c r="I6057" s="88">
        <f t="shared" si="769"/>
        <v>27655.360000000001</v>
      </c>
      <c r="K6057" s="62"/>
      <c r="L6057" s="2">
        <f t="shared" si="770"/>
        <v>4.8</v>
      </c>
      <c r="M6057">
        <f t="shared" si="771"/>
        <v>0</v>
      </c>
    </row>
    <row r="6058" spans="1:13" x14ac:dyDescent="0.3">
      <c r="A6058" s="3">
        <f t="shared" si="759"/>
        <v>45896</v>
      </c>
      <c r="B6058" s="11" t="s">
        <v>2448</v>
      </c>
      <c r="C6058" s="50" t="s">
        <v>2274</v>
      </c>
      <c r="E6058" s="90" t="s">
        <v>4720</v>
      </c>
      <c r="H6058" s="2">
        <v>5000</v>
      </c>
      <c r="I6058" s="88">
        <f t="shared" si="769"/>
        <v>22655.360000000001</v>
      </c>
      <c r="K6058" s="62"/>
      <c r="L6058" s="2">
        <f t="shared" si="770"/>
        <v>20</v>
      </c>
      <c r="M6058">
        <f t="shared" si="771"/>
        <v>0</v>
      </c>
    </row>
    <row r="6059" spans="1:13" x14ac:dyDescent="0.3">
      <c r="A6059" s="3">
        <f t="shared" si="759"/>
        <v>45896</v>
      </c>
      <c r="B6059" s="11" t="s">
        <v>3742</v>
      </c>
      <c r="C6059" s="50" t="s">
        <v>8938</v>
      </c>
      <c r="E6059" s="90" t="s">
        <v>2088</v>
      </c>
      <c r="G6059" s="2">
        <v>0</v>
      </c>
      <c r="H6059" s="2">
        <v>0</v>
      </c>
      <c r="I6059" s="88">
        <f t="shared" si="769"/>
        <v>22655.360000000001</v>
      </c>
      <c r="K6059" s="62"/>
      <c r="L6059" s="2">
        <f t="shared" si="770"/>
        <v>5</v>
      </c>
      <c r="M6059">
        <f t="shared" si="771"/>
        <v>5</v>
      </c>
    </row>
    <row r="6060" spans="1:13" x14ac:dyDescent="0.3">
      <c r="A6060" s="3">
        <f t="shared" si="759"/>
        <v>45896</v>
      </c>
      <c r="B6060" s="11" t="s">
        <v>3204</v>
      </c>
      <c r="C6060" s="50" t="s">
        <v>8939</v>
      </c>
      <c r="E6060" s="90" t="s">
        <v>4720</v>
      </c>
      <c r="G6060" s="2">
        <v>2500</v>
      </c>
      <c r="I6060" s="88">
        <f t="shared" si="769"/>
        <v>25155.360000000001</v>
      </c>
      <c r="K6060" s="62"/>
      <c r="L6060" s="2">
        <f t="shared" si="770"/>
        <v>10</v>
      </c>
      <c r="M6060">
        <f t="shared" si="771"/>
        <v>0</v>
      </c>
    </row>
    <row r="6061" spans="1:13" x14ac:dyDescent="0.3">
      <c r="A6061" s="3">
        <f t="shared" si="759"/>
        <v>45896</v>
      </c>
      <c r="B6061" s="11" t="s">
        <v>6892</v>
      </c>
      <c r="C6061" s="50" t="s">
        <v>509</v>
      </c>
      <c r="E6061" s="90" t="s">
        <v>4720</v>
      </c>
      <c r="G6061" s="2">
        <v>2500</v>
      </c>
      <c r="I6061" s="88">
        <f t="shared" si="769"/>
        <v>27655.360000000001</v>
      </c>
      <c r="K6061" s="62"/>
      <c r="L6061" s="2">
        <f t="shared" si="770"/>
        <v>10</v>
      </c>
      <c r="M6061">
        <f t="shared" si="771"/>
        <v>0</v>
      </c>
    </row>
    <row r="6062" spans="1:13" x14ac:dyDescent="0.3">
      <c r="A6062" s="3">
        <v>45897</v>
      </c>
      <c r="B6062" s="11" t="s">
        <v>5986</v>
      </c>
      <c r="C6062" s="50" t="s">
        <v>5985</v>
      </c>
      <c r="D6062" s="71">
        <v>8084293941</v>
      </c>
      <c r="E6062" s="90" t="s">
        <v>4720</v>
      </c>
      <c r="H6062" s="2">
        <v>7000</v>
      </c>
      <c r="I6062" s="88">
        <f t="shared" si="769"/>
        <v>20655.36</v>
      </c>
      <c r="K6062" s="62"/>
      <c r="L6062" s="2">
        <f t="shared" si="770"/>
        <v>20</v>
      </c>
      <c r="M6062">
        <f t="shared" si="771"/>
        <v>0</v>
      </c>
    </row>
    <row r="6063" spans="1:13" x14ac:dyDescent="0.3">
      <c r="A6063" s="3">
        <f t="shared" ref="A6063:A6111" si="772">A6062</f>
        <v>45897</v>
      </c>
      <c r="B6063" s="11" t="s">
        <v>7394</v>
      </c>
      <c r="C6063" s="50" t="s">
        <v>8899</v>
      </c>
      <c r="E6063" s="90" t="s">
        <v>2088</v>
      </c>
      <c r="H6063" s="2">
        <v>300</v>
      </c>
      <c r="I6063" s="88">
        <f t="shared" si="769"/>
        <v>20355.36</v>
      </c>
      <c r="K6063" s="62"/>
      <c r="L6063" s="2">
        <f t="shared" si="770"/>
        <v>6.2</v>
      </c>
      <c r="M6063">
        <f t="shared" si="771"/>
        <v>5</v>
      </c>
    </row>
    <row r="6064" spans="1:13" x14ac:dyDescent="0.3">
      <c r="A6064" s="3">
        <f t="shared" si="772"/>
        <v>45897</v>
      </c>
      <c r="B6064" s="11" t="s">
        <v>6428</v>
      </c>
      <c r="C6064" s="50" t="s">
        <v>7235</v>
      </c>
      <c r="E6064" s="90" t="s">
        <v>2088</v>
      </c>
      <c r="G6064" s="2">
        <v>3700</v>
      </c>
      <c r="I6064" s="88">
        <f t="shared" si="769"/>
        <v>24055.360000000001</v>
      </c>
      <c r="K6064" s="62"/>
      <c r="L6064" s="2">
        <f t="shared" si="770"/>
        <v>19.8</v>
      </c>
      <c r="M6064">
        <f t="shared" si="771"/>
        <v>5</v>
      </c>
    </row>
    <row r="6065" spans="1:17" x14ac:dyDescent="0.3">
      <c r="A6065" s="3">
        <f t="shared" si="772"/>
        <v>45897</v>
      </c>
      <c r="B6065" s="11" t="s">
        <v>8941</v>
      </c>
      <c r="C6065" s="50" t="s">
        <v>8946</v>
      </c>
      <c r="E6065" s="90" t="s">
        <v>16</v>
      </c>
      <c r="H6065" s="2">
        <v>2000</v>
      </c>
      <c r="I6065" s="88">
        <f t="shared" ref="I6065:I6074" si="773">I6064+G6065-H6065</f>
        <v>22055.360000000001</v>
      </c>
      <c r="K6065" s="62"/>
      <c r="L6065" s="2">
        <f t="shared" ref="L6065:L6074" si="774">IF(E6065="C",0,IF((G6065+H6065)&lt;=5000,(G6065+H6065)*0.004,20)+IF(E6065="P",5,IF(E6065="Y",15,IF(E6065="YY",25))))</f>
        <v>23</v>
      </c>
      <c r="M6065">
        <f t="shared" ref="M6065:M6074" si="775">IF(E6065="p",5,0)</f>
        <v>0</v>
      </c>
    </row>
    <row r="6066" spans="1:17" x14ac:dyDescent="0.3">
      <c r="A6066" s="3">
        <f t="shared" si="772"/>
        <v>45897</v>
      </c>
      <c r="B6066" s="11" t="s">
        <v>6260</v>
      </c>
      <c r="C6066" s="50" t="s">
        <v>8558</v>
      </c>
      <c r="E6066" s="90" t="s">
        <v>4720</v>
      </c>
      <c r="H6066" s="2">
        <v>8000</v>
      </c>
      <c r="I6066" s="88">
        <f t="shared" si="773"/>
        <v>14055.36</v>
      </c>
      <c r="K6066" s="62"/>
      <c r="L6066" s="2">
        <f t="shared" si="774"/>
        <v>20</v>
      </c>
      <c r="M6066">
        <f t="shared" si="775"/>
        <v>0</v>
      </c>
      <c r="Q6066" s="62"/>
    </row>
    <row r="6067" spans="1:17" x14ac:dyDescent="0.3">
      <c r="A6067" s="3">
        <f t="shared" si="772"/>
        <v>45897</v>
      </c>
      <c r="B6067" s="11" t="s">
        <v>6743</v>
      </c>
      <c r="C6067" s="50" t="s">
        <v>419</v>
      </c>
      <c r="E6067" s="90" t="s">
        <v>2088</v>
      </c>
      <c r="G6067" s="2">
        <v>3500</v>
      </c>
      <c r="I6067" s="88">
        <f t="shared" si="773"/>
        <v>17555.36</v>
      </c>
      <c r="K6067" s="62"/>
      <c r="L6067" s="2">
        <f t="shared" si="774"/>
        <v>19</v>
      </c>
      <c r="M6067">
        <f t="shared" si="775"/>
        <v>5</v>
      </c>
    </row>
    <row r="6068" spans="1:17" x14ac:dyDescent="0.3">
      <c r="A6068" s="3">
        <f t="shared" si="772"/>
        <v>45897</v>
      </c>
      <c r="B6068" s="11" t="s">
        <v>2165</v>
      </c>
      <c r="C6068" s="50" t="s">
        <v>2874</v>
      </c>
      <c r="E6068" s="90" t="s">
        <v>4720</v>
      </c>
      <c r="G6068" s="2">
        <v>2500</v>
      </c>
      <c r="I6068" s="88">
        <f t="shared" si="773"/>
        <v>20055.36</v>
      </c>
      <c r="K6068" s="62"/>
      <c r="L6068" s="2">
        <f t="shared" si="774"/>
        <v>10</v>
      </c>
      <c r="M6068">
        <f t="shared" si="775"/>
        <v>0</v>
      </c>
    </row>
    <row r="6069" spans="1:17" x14ac:dyDescent="0.3">
      <c r="A6069" s="3">
        <f t="shared" si="772"/>
        <v>45897</v>
      </c>
      <c r="B6069" s="11" t="s">
        <v>1250</v>
      </c>
      <c r="C6069" s="50" t="s">
        <v>6985</v>
      </c>
      <c r="E6069" s="90" t="s">
        <v>4720</v>
      </c>
      <c r="G6069" s="2">
        <v>3000</v>
      </c>
      <c r="I6069" s="88">
        <f t="shared" si="773"/>
        <v>23055.360000000001</v>
      </c>
      <c r="K6069" s="62"/>
      <c r="L6069" s="2">
        <f t="shared" si="774"/>
        <v>12</v>
      </c>
      <c r="M6069">
        <f t="shared" si="775"/>
        <v>0</v>
      </c>
    </row>
    <row r="6070" spans="1:17" x14ac:dyDescent="0.3">
      <c r="A6070" s="3">
        <f t="shared" si="772"/>
        <v>45897</v>
      </c>
      <c r="B6070" s="11" t="s">
        <v>8947</v>
      </c>
      <c r="C6070" s="50" t="s">
        <v>8948</v>
      </c>
      <c r="E6070" s="90" t="s">
        <v>2088</v>
      </c>
      <c r="G6070" s="2">
        <v>5000</v>
      </c>
      <c r="I6070" s="88">
        <f t="shared" si="773"/>
        <v>28055.360000000001</v>
      </c>
      <c r="K6070" s="62"/>
      <c r="L6070" s="2">
        <f t="shared" si="774"/>
        <v>25</v>
      </c>
      <c r="M6070">
        <f t="shared" si="775"/>
        <v>5</v>
      </c>
    </row>
    <row r="6071" spans="1:17" x14ac:dyDescent="0.3">
      <c r="A6071" s="3">
        <f t="shared" si="772"/>
        <v>45897</v>
      </c>
      <c r="B6071" s="11" t="s">
        <v>6867</v>
      </c>
      <c r="C6071" s="50" t="s">
        <v>8300</v>
      </c>
      <c r="E6071" s="90" t="s">
        <v>2088</v>
      </c>
      <c r="G6071" s="2">
        <v>0</v>
      </c>
      <c r="H6071" s="2">
        <v>0</v>
      </c>
      <c r="I6071" s="88">
        <f t="shared" si="773"/>
        <v>28055.360000000001</v>
      </c>
      <c r="K6071" s="62"/>
      <c r="L6071" s="2">
        <f t="shared" si="774"/>
        <v>5</v>
      </c>
      <c r="M6071">
        <f t="shared" si="775"/>
        <v>5</v>
      </c>
    </row>
    <row r="6072" spans="1:17" x14ac:dyDescent="0.3">
      <c r="A6072" s="3">
        <f t="shared" si="772"/>
        <v>45897</v>
      </c>
      <c r="B6072" s="11" t="s">
        <v>6867</v>
      </c>
      <c r="C6072" s="50" t="s">
        <v>8300</v>
      </c>
      <c r="E6072" s="90" t="s">
        <v>2088</v>
      </c>
      <c r="G6072" s="2">
        <v>500</v>
      </c>
      <c r="I6072" s="88">
        <f t="shared" si="773"/>
        <v>28555.360000000001</v>
      </c>
      <c r="K6072" s="62"/>
      <c r="L6072" s="2">
        <f t="shared" si="774"/>
        <v>7</v>
      </c>
      <c r="M6072">
        <f t="shared" si="775"/>
        <v>5</v>
      </c>
    </row>
    <row r="6073" spans="1:17" x14ac:dyDescent="0.3">
      <c r="A6073" s="3">
        <f t="shared" si="772"/>
        <v>45897</v>
      </c>
      <c r="B6073" s="11" t="s">
        <v>1170</v>
      </c>
      <c r="C6073" s="50" t="s">
        <v>7773</v>
      </c>
      <c r="E6073" s="90" t="s">
        <v>4720</v>
      </c>
      <c r="G6073" s="2">
        <v>1000</v>
      </c>
      <c r="I6073" s="88">
        <f t="shared" si="773"/>
        <v>29555.360000000001</v>
      </c>
      <c r="K6073" s="62"/>
      <c r="L6073" s="2">
        <f t="shared" si="774"/>
        <v>4</v>
      </c>
      <c r="M6073">
        <f t="shared" si="775"/>
        <v>0</v>
      </c>
    </row>
    <row r="6074" spans="1:17" x14ac:dyDescent="0.3">
      <c r="A6074" s="3">
        <f t="shared" si="772"/>
        <v>45897</v>
      </c>
      <c r="B6074" s="11" t="s">
        <v>6726</v>
      </c>
      <c r="C6074" s="50" t="s">
        <v>8949</v>
      </c>
      <c r="E6074" s="90" t="s">
        <v>4720</v>
      </c>
      <c r="G6074" s="2">
        <v>3000</v>
      </c>
      <c r="I6074" s="88">
        <f t="shared" si="773"/>
        <v>32555.360000000001</v>
      </c>
      <c r="K6074" s="62"/>
      <c r="L6074" s="2">
        <f t="shared" si="774"/>
        <v>12</v>
      </c>
      <c r="M6074">
        <f t="shared" si="775"/>
        <v>0</v>
      </c>
    </row>
    <row r="6075" spans="1:17" x14ac:dyDescent="0.3">
      <c r="A6075" s="3">
        <f t="shared" si="772"/>
        <v>45897</v>
      </c>
      <c r="B6075" s="11" t="s">
        <v>8950</v>
      </c>
      <c r="C6075" s="50" t="s">
        <v>8951</v>
      </c>
      <c r="E6075" s="90" t="s">
        <v>2088</v>
      </c>
      <c r="G6075" s="2">
        <v>0</v>
      </c>
      <c r="H6075" s="2">
        <v>0</v>
      </c>
      <c r="I6075" s="88">
        <f t="shared" ref="I6075:I6080" si="776">I6074+G6075-H6075</f>
        <v>32555.360000000001</v>
      </c>
      <c r="K6075" s="62"/>
      <c r="L6075" s="2">
        <f t="shared" ref="L6075:L6080" si="777">IF(E6075="C",0,IF((G6075+H6075)&lt;=5000,(G6075+H6075)*0.004,20)+IF(E6075="P",5,IF(E6075="Y",15,IF(E6075="YY",25))))</f>
        <v>5</v>
      </c>
      <c r="M6075">
        <f t="shared" ref="M6075:M6080" si="778">IF(E6075="p",5,0)</f>
        <v>5</v>
      </c>
    </row>
    <row r="6076" spans="1:17" x14ac:dyDescent="0.3">
      <c r="A6076" s="3">
        <f t="shared" si="772"/>
        <v>45897</v>
      </c>
      <c r="B6076" s="11" t="s">
        <v>1160</v>
      </c>
      <c r="C6076" s="50" t="s">
        <v>3896</v>
      </c>
      <c r="E6076" s="90" t="s">
        <v>4720</v>
      </c>
      <c r="G6076" s="2">
        <v>2000</v>
      </c>
      <c r="I6076" s="88">
        <f t="shared" si="776"/>
        <v>34555.360000000001</v>
      </c>
      <c r="K6076" s="62"/>
      <c r="L6076" s="2">
        <f t="shared" si="777"/>
        <v>8</v>
      </c>
      <c r="M6076">
        <f t="shared" si="778"/>
        <v>0</v>
      </c>
    </row>
    <row r="6077" spans="1:17" x14ac:dyDescent="0.3">
      <c r="A6077" s="3">
        <v>45898</v>
      </c>
      <c r="C6077" s="50" t="s">
        <v>2857</v>
      </c>
      <c r="E6077" s="90" t="s">
        <v>8332</v>
      </c>
      <c r="H6077" s="2">
        <v>30000</v>
      </c>
      <c r="I6077" s="88">
        <f t="shared" si="776"/>
        <v>4555.3600000000006</v>
      </c>
      <c r="K6077" s="62"/>
      <c r="M6077">
        <f t="shared" si="778"/>
        <v>0</v>
      </c>
    </row>
    <row r="6078" spans="1:17" x14ac:dyDescent="0.3">
      <c r="A6078" s="3">
        <v>45898</v>
      </c>
      <c r="B6078" s="11" t="s">
        <v>1160</v>
      </c>
      <c r="C6078" s="50" t="s">
        <v>8952</v>
      </c>
      <c r="E6078" s="90" t="s">
        <v>4720</v>
      </c>
      <c r="G6078" s="2">
        <v>500</v>
      </c>
      <c r="I6078" s="88">
        <f t="shared" si="776"/>
        <v>5055.3600000000006</v>
      </c>
      <c r="K6078" s="62"/>
      <c r="L6078" s="2">
        <f t="shared" si="777"/>
        <v>2</v>
      </c>
      <c r="M6078">
        <f t="shared" si="778"/>
        <v>0</v>
      </c>
    </row>
    <row r="6079" spans="1:17" x14ac:dyDescent="0.3">
      <c r="A6079" s="3">
        <f t="shared" si="772"/>
        <v>45898</v>
      </c>
      <c r="B6079" s="11" t="s">
        <v>8610</v>
      </c>
      <c r="C6079" s="50" t="s">
        <v>8953</v>
      </c>
      <c r="E6079" s="90" t="s">
        <v>4720</v>
      </c>
      <c r="G6079" s="2">
        <v>2200</v>
      </c>
      <c r="I6079" s="88">
        <f t="shared" si="776"/>
        <v>7255.3600000000006</v>
      </c>
      <c r="K6079" s="62"/>
      <c r="L6079" s="2">
        <f t="shared" si="777"/>
        <v>8.8000000000000007</v>
      </c>
      <c r="M6079">
        <f t="shared" si="778"/>
        <v>0</v>
      </c>
    </row>
    <row r="6080" spans="1:17" x14ac:dyDescent="0.3">
      <c r="A6080" s="3">
        <f t="shared" si="772"/>
        <v>45898</v>
      </c>
      <c r="B6080" s="11" t="s">
        <v>1160</v>
      </c>
      <c r="C6080" s="50" t="s">
        <v>8603</v>
      </c>
      <c r="E6080" s="90" t="s">
        <v>4720</v>
      </c>
      <c r="G6080" s="2">
        <v>2000</v>
      </c>
      <c r="I6080" s="88">
        <f t="shared" si="776"/>
        <v>9255.36</v>
      </c>
      <c r="K6080" s="62"/>
      <c r="L6080" s="2">
        <f t="shared" si="777"/>
        <v>8</v>
      </c>
      <c r="M6080">
        <f t="shared" si="778"/>
        <v>0</v>
      </c>
    </row>
    <row r="6081" spans="1:13" x14ac:dyDescent="0.3">
      <c r="A6081" s="3">
        <f t="shared" si="772"/>
        <v>45898</v>
      </c>
      <c r="B6081" s="11" t="s">
        <v>3232</v>
      </c>
      <c r="C6081" s="50" t="s">
        <v>8958</v>
      </c>
      <c r="E6081" s="90" t="s">
        <v>4720</v>
      </c>
      <c r="G6081" s="2">
        <v>10000</v>
      </c>
      <c r="I6081" s="88">
        <f t="shared" ref="I6081:I6085" si="779">I6080+G6081-H6081</f>
        <v>19255.36</v>
      </c>
      <c r="K6081" s="62"/>
      <c r="L6081" s="2">
        <f t="shared" ref="L6081:L6085" si="780">IF(E6081="C",0,IF((G6081+H6081)&lt;=5000,(G6081+H6081)*0.004,20)+IF(E6081="P",5,IF(E6081="Y",15,IF(E6081="YY",25))))</f>
        <v>20</v>
      </c>
      <c r="M6081">
        <f t="shared" ref="M6081:M6085" si="781">IF(E6081="p",5,0)</f>
        <v>0</v>
      </c>
    </row>
    <row r="6082" spans="1:13" x14ac:dyDescent="0.3">
      <c r="A6082" s="3">
        <f t="shared" si="772"/>
        <v>45898</v>
      </c>
      <c r="B6082" s="11" t="s">
        <v>8955</v>
      </c>
      <c r="C6082" s="50" t="s">
        <v>191</v>
      </c>
      <c r="E6082" s="90" t="s">
        <v>16</v>
      </c>
      <c r="H6082" s="2">
        <v>500</v>
      </c>
      <c r="I6082" s="88">
        <f t="shared" si="779"/>
        <v>18755.36</v>
      </c>
      <c r="K6082" s="62"/>
      <c r="L6082" s="2">
        <f t="shared" si="780"/>
        <v>17</v>
      </c>
      <c r="M6082">
        <f t="shared" si="781"/>
        <v>0</v>
      </c>
    </row>
    <row r="6083" spans="1:13" x14ac:dyDescent="0.3">
      <c r="A6083" s="3">
        <f>A6081</f>
        <v>45898</v>
      </c>
      <c r="B6083" s="11" t="s">
        <v>7659</v>
      </c>
      <c r="C6083" s="50" t="s">
        <v>3941</v>
      </c>
      <c r="E6083" s="90" t="s">
        <v>2088</v>
      </c>
      <c r="G6083" s="2">
        <v>0</v>
      </c>
      <c r="H6083" s="2">
        <v>0</v>
      </c>
      <c r="I6083" s="88">
        <f t="shared" si="779"/>
        <v>18755.36</v>
      </c>
      <c r="K6083" s="62"/>
      <c r="L6083" s="2">
        <f t="shared" si="780"/>
        <v>5</v>
      </c>
      <c r="M6083">
        <f t="shared" si="781"/>
        <v>5</v>
      </c>
    </row>
    <row r="6084" spans="1:13" x14ac:dyDescent="0.3">
      <c r="A6084" s="3">
        <f t="shared" si="772"/>
        <v>45898</v>
      </c>
      <c r="B6084" s="11" t="s">
        <v>1250</v>
      </c>
      <c r="C6084" s="50" t="s">
        <v>8957</v>
      </c>
      <c r="D6084" s="50">
        <v>8102284876</v>
      </c>
      <c r="E6084" s="90" t="s">
        <v>4720</v>
      </c>
      <c r="G6084" s="2">
        <v>1000</v>
      </c>
      <c r="I6084" s="88">
        <f t="shared" si="779"/>
        <v>19755.36</v>
      </c>
      <c r="K6084" s="62"/>
      <c r="L6084" s="2">
        <f t="shared" si="780"/>
        <v>4</v>
      </c>
      <c r="M6084">
        <f t="shared" si="781"/>
        <v>0</v>
      </c>
    </row>
    <row r="6085" spans="1:13" x14ac:dyDescent="0.3">
      <c r="A6085" s="3">
        <f t="shared" si="772"/>
        <v>45898</v>
      </c>
      <c r="B6085" s="11" t="s">
        <v>5318</v>
      </c>
      <c r="C6085" s="50" t="s">
        <v>5321</v>
      </c>
      <c r="E6085" s="90" t="s">
        <v>2088</v>
      </c>
      <c r="G6085" s="2">
        <v>5000</v>
      </c>
      <c r="I6085" s="88">
        <f t="shared" si="779"/>
        <v>24755.360000000001</v>
      </c>
      <c r="K6085" s="62"/>
      <c r="L6085" s="2">
        <f t="shared" si="780"/>
        <v>25</v>
      </c>
      <c r="M6085">
        <f t="shared" si="781"/>
        <v>5</v>
      </c>
    </row>
    <row r="6086" spans="1:13" x14ac:dyDescent="0.3">
      <c r="A6086" s="3">
        <f t="shared" si="772"/>
        <v>45898</v>
      </c>
      <c r="B6086" s="11" t="s">
        <v>1160</v>
      </c>
      <c r="C6086" s="50" t="s">
        <v>6517</v>
      </c>
      <c r="E6086" s="90" t="s">
        <v>4720</v>
      </c>
      <c r="G6086" s="2">
        <v>3000</v>
      </c>
      <c r="I6086" s="88">
        <f t="shared" ref="I6086:I6089" si="782">I6085+G6086-H6086</f>
        <v>27755.360000000001</v>
      </c>
      <c r="K6086" s="62"/>
      <c r="L6086" s="2">
        <f t="shared" ref="L6086:L6089" si="783">IF(E6086="C",0,IF((G6086+H6086)&lt;=5000,(G6086+H6086)*0.004,20)+IF(E6086="P",5,IF(E6086="Y",15,IF(E6086="YY",25))))</f>
        <v>12</v>
      </c>
      <c r="M6086">
        <f t="shared" ref="M6086:M6089" si="784">IF(E6086="p",5,0)</f>
        <v>0</v>
      </c>
    </row>
    <row r="6087" spans="1:13" x14ac:dyDescent="0.3">
      <c r="A6087" s="3">
        <f t="shared" si="772"/>
        <v>45898</v>
      </c>
      <c r="B6087" s="11" t="s">
        <v>7798</v>
      </c>
      <c r="C6087" s="50" t="s">
        <v>8441</v>
      </c>
      <c r="E6087" s="90" t="s">
        <v>4720</v>
      </c>
      <c r="G6087" s="2">
        <v>2500</v>
      </c>
      <c r="I6087" s="88">
        <f t="shared" si="782"/>
        <v>30255.360000000001</v>
      </c>
      <c r="K6087" s="62"/>
      <c r="L6087" s="2">
        <f t="shared" si="783"/>
        <v>10</v>
      </c>
      <c r="M6087">
        <f t="shared" si="784"/>
        <v>0</v>
      </c>
    </row>
    <row r="6088" spans="1:13" x14ac:dyDescent="0.3">
      <c r="A6088" s="3">
        <f t="shared" si="772"/>
        <v>45898</v>
      </c>
      <c r="B6088" s="11" t="s">
        <v>1160</v>
      </c>
      <c r="C6088" s="50" t="s">
        <v>8616</v>
      </c>
      <c r="E6088" s="90" t="s">
        <v>4720</v>
      </c>
      <c r="G6088" s="2">
        <v>5000</v>
      </c>
      <c r="I6088" s="88">
        <f t="shared" si="782"/>
        <v>35255.360000000001</v>
      </c>
      <c r="K6088" s="62"/>
      <c r="L6088" s="2">
        <f t="shared" si="783"/>
        <v>20</v>
      </c>
      <c r="M6088">
        <f t="shared" si="784"/>
        <v>0</v>
      </c>
    </row>
    <row r="6089" spans="1:13" x14ac:dyDescent="0.3">
      <c r="A6089" s="3">
        <v>45899</v>
      </c>
      <c r="B6089" s="11" t="s">
        <v>8961</v>
      </c>
      <c r="C6089" s="50" t="s">
        <v>8783</v>
      </c>
      <c r="E6089" s="90" t="s">
        <v>4720</v>
      </c>
      <c r="H6089" s="2">
        <v>2800</v>
      </c>
      <c r="I6089" s="88">
        <f t="shared" si="782"/>
        <v>32455.360000000001</v>
      </c>
      <c r="K6089" s="62"/>
      <c r="L6089" s="2">
        <f t="shared" si="783"/>
        <v>11.200000000000001</v>
      </c>
      <c r="M6089">
        <f t="shared" si="784"/>
        <v>0</v>
      </c>
    </row>
    <row r="6090" spans="1:13" x14ac:dyDescent="0.3">
      <c r="A6090" s="3">
        <f t="shared" si="772"/>
        <v>45899</v>
      </c>
      <c r="B6090" s="11" t="s">
        <v>6844</v>
      </c>
      <c r="C6090" s="50" t="s">
        <v>8787</v>
      </c>
      <c r="E6090" s="90" t="s">
        <v>4720</v>
      </c>
      <c r="H6090" s="2">
        <v>3500</v>
      </c>
      <c r="I6090" s="88">
        <f t="shared" ref="I6090:I6102" si="785">I6089+G6090-H6090</f>
        <v>28955.360000000001</v>
      </c>
      <c r="K6090" s="62"/>
      <c r="L6090" s="2">
        <f t="shared" ref="L6090:L6102" si="786">IF(E6090="C",0,IF((G6090+H6090)&lt;=5000,(G6090+H6090)*0.004,20)+IF(E6090="P",5,IF(E6090="Y",15,IF(E6090="YY",25))))</f>
        <v>14</v>
      </c>
      <c r="M6090">
        <f t="shared" ref="M6090:M6102" si="787">IF(E6090="p",5,0)</f>
        <v>0</v>
      </c>
    </row>
    <row r="6091" spans="1:13" x14ac:dyDescent="0.3">
      <c r="A6091" s="3">
        <f t="shared" si="772"/>
        <v>45899</v>
      </c>
      <c r="B6091" s="11" t="s">
        <v>8963</v>
      </c>
      <c r="C6091" s="50" t="s">
        <v>8967</v>
      </c>
      <c r="E6091" s="90" t="s">
        <v>16</v>
      </c>
      <c r="H6091" s="2">
        <v>500</v>
      </c>
      <c r="I6091" s="88">
        <f t="shared" si="785"/>
        <v>28455.360000000001</v>
      </c>
      <c r="K6091" s="62"/>
      <c r="L6091" s="2">
        <f t="shared" si="786"/>
        <v>17</v>
      </c>
      <c r="M6091">
        <f t="shared" si="787"/>
        <v>0</v>
      </c>
    </row>
    <row r="6092" spans="1:13" x14ac:dyDescent="0.3">
      <c r="A6092" s="3">
        <f t="shared" si="772"/>
        <v>45899</v>
      </c>
      <c r="B6092" s="11" t="s">
        <v>1472</v>
      </c>
      <c r="C6092" s="50" t="s">
        <v>8968</v>
      </c>
      <c r="E6092" s="90" t="s">
        <v>4720</v>
      </c>
      <c r="G6092" s="2">
        <v>300</v>
      </c>
      <c r="I6092" s="88">
        <f t="shared" si="785"/>
        <v>28755.360000000001</v>
      </c>
      <c r="K6092" s="62"/>
      <c r="L6092" s="2">
        <f t="shared" si="786"/>
        <v>1.2</v>
      </c>
      <c r="M6092">
        <f t="shared" si="787"/>
        <v>0</v>
      </c>
    </row>
    <row r="6093" spans="1:13" x14ac:dyDescent="0.3">
      <c r="A6093" s="3">
        <f t="shared" si="772"/>
        <v>45899</v>
      </c>
      <c r="B6093" s="11" t="s">
        <v>6700</v>
      </c>
      <c r="C6093" s="50" t="s">
        <v>8558</v>
      </c>
      <c r="E6093" s="90" t="s">
        <v>4720</v>
      </c>
      <c r="H6093" s="2">
        <v>4000</v>
      </c>
      <c r="I6093" s="88">
        <f t="shared" si="785"/>
        <v>24755.360000000001</v>
      </c>
      <c r="K6093" s="62"/>
      <c r="L6093" s="2">
        <f t="shared" si="786"/>
        <v>16</v>
      </c>
      <c r="M6093">
        <f t="shared" si="787"/>
        <v>0</v>
      </c>
    </row>
    <row r="6094" spans="1:13" x14ac:dyDescent="0.3">
      <c r="A6094" s="3">
        <f t="shared" si="772"/>
        <v>45899</v>
      </c>
      <c r="B6094" s="11" t="s">
        <v>6947</v>
      </c>
      <c r="C6094" s="50" t="s">
        <v>8969</v>
      </c>
      <c r="E6094" s="90" t="s">
        <v>2088</v>
      </c>
      <c r="G6094" s="2">
        <v>0</v>
      </c>
      <c r="H6094" s="2">
        <v>0</v>
      </c>
      <c r="I6094" s="88">
        <f t="shared" si="785"/>
        <v>24755.360000000001</v>
      </c>
      <c r="K6094" s="62"/>
      <c r="L6094" s="2">
        <f t="shared" si="786"/>
        <v>5</v>
      </c>
      <c r="M6094">
        <f t="shared" si="787"/>
        <v>5</v>
      </c>
    </row>
    <row r="6095" spans="1:13" x14ac:dyDescent="0.3">
      <c r="A6095" s="3">
        <f t="shared" si="772"/>
        <v>45899</v>
      </c>
      <c r="B6095" s="11" t="s">
        <v>6947</v>
      </c>
      <c r="C6095" s="50" t="s">
        <v>8969</v>
      </c>
      <c r="E6095" s="90" t="s">
        <v>2088</v>
      </c>
      <c r="G6095" s="2">
        <v>2000</v>
      </c>
      <c r="I6095" s="88">
        <f t="shared" si="785"/>
        <v>26755.360000000001</v>
      </c>
      <c r="K6095" s="62"/>
      <c r="L6095" s="2">
        <f t="shared" si="786"/>
        <v>13</v>
      </c>
      <c r="M6095">
        <f t="shared" si="787"/>
        <v>5</v>
      </c>
    </row>
    <row r="6096" spans="1:13" x14ac:dyDescent="0.3">
      <c r="A6096" s="3">
        <f t="shared" si="772"/>
        <v>45899</v>
      </c>
      <c r="B6096" s="11" t="s">
        <v>3541</v>
      </c>
      <c r="C6096" s="50" t="s">
        <v>8970</v>
      </c>
      <c r="E6096" s="90" t="s">
        <v>4720</v>
      </c>
      <c r="G6096" s="2">
        <v>500</v>
      </c>
      <c r="I6096" s="88">
        <f t="shared" si="785"/>
        <v>27255.360000000001</v>
      </c>
      <c r="K6096" s="62"/>
      <c r="L6096" s="2">
        <f t="shared" si="786"/>
        <v>2</v>
      </c>
      <c r="M6096">
        <f t="shared" si="787"/>
        <v>0</v>
      </c>
    </row>
    <row r="6097" spans="1:15" x14ac:dyDescent="0.3">
      <c r="A6097" s="3">
        <f t="shared" si="772"/>
        <v>45899</v>
      </c>
      <c r="B6097" s="11" t="s">
        <v>8286</v>
      </c>
      <c r="C6097" s="50" t="s">
        <v>8559</v>
      </c>
      <c r="E6097" s="90" t="s">
        <v>2088</v>
      </c>
      <c r="H6097" s="2">
        <v>2200</v>
      </c>
      <c r="I6097" s="88">
        <f t="shared" si="785"/>
        <v>25055.360000000001</v>
      </c>
      <c r="K6097" s="62"/>
      <c r="L6097" s="2">
        <f t="shared" si="786"/>
        <v>13.8</v>
      </c>
      <c r="M6097">
        <f t="shared" si="787"/>
        <v>5</v>
      </c>
    </row>
    <row r="6098" spans="1:15" x14ac:dyDescent="0.3">
      <c r="A6098" s="3">
        <v>45900</v>
      </c>
      <c r="B6098" s="11" t="s">
        <v>1250</v>
      </c>
      <c r="C6098" s="50" t="s">
        <v>2491</v>
      </c>
      <c r="E6098" s="90" t="s">
        <v>4720</v>
      </c>
      <c r="G6098" s="2">
        <v>10000</v>
      </c>
      <c r="I6098" s="88">
        <f t="shared" si="785"/>
        <v>35055.360000000001</v>
      </c>
      <c r="K6098" s="62"/>
      <c r="L6098" s="2">
        <f t="shared" si="786"/>
        <v>20</v>
      </c>
      <c r="M6098">
        <f t="shared" si="787"/>
        <v>0</v>
      </c>
    </row>
    <row r="6099" spans="1:15" x14ac:dyDescent="0.3">
      <c r="A6099" s="3">
        <f t="shared" si="772"/>
        <v>45900</v>
      </c>
      <c r="B6099" s="11" t="s">
        <v>7352</v>
      </c>
      <c r="C6099" s="50" t="s">
        <v>6073</v>
      </c>
      <c r="E6099" s="90" t="s">
        <v>2088</v>
      </c>
      <c r="G6099" s="2">
        <v>1000</v>
      </c>
      <c r="I6099" s="88">
        <f t="shared" si="785"/>
        <v>36055.360000000001</v>
      </c>
      <c r="K6099" s="62"/>
      <c r="L6099" s="2">
        <f t="shared" si="786"/>
        <v>9</v>
      </c>
      <c r="M6099">
        <f t="shared" si="787"/>
        <v>5</v>
      </c>
    </row>
    <row r="6100" spans="1:15" x14ac:dyDescent="0.3">
      <c r="A6100" s="3">
        <f t="shared" si="772"/>
        <v>45900</v>
      </c>
      <c r="B6100" s="11" t="s">
        <v>3504</v>
      </c>
      <c r="C6100" s="50" t="s">
        <v>2652</v>
      </c>
      <c r="E6100" s="90" t="s">
        <v>4720</v>
      </c>
      <c r="H6100" s="2">
        <v>1000</v>
      </c>
      <c r="I6100" s="88">
        <f t="shared" si="785"/>
        <v>35055.360000000001</v>
      </c>
      <c r="K6100" s="62"/>
      <c r="L6100" s="2">
        <f t="shared" si="786"/>
        <v>4</v>
      </c>
      <c r="M6100">
        <f t="shared" si="787"/>
        <v>0</v>
      </c>
    </row>
    <row r="6101" spans="1:15" x14ac:dyDescent="0.3">
      <c r="A6101" s="3">
        <f t="shared" si="772"/>
        <v>45900</v>
      </c>
      <c r="B6101" s="11" t="s">
        <v>6233</v>
      </c>
      <c r="C6101" s="50" t="s">
        <v>8971</v>
      </c>
      <c r="E6101" s="90" t="s">
        <v>2088</v>
      </c>
      <c r="G6101" s="2">
        <v>0</v>
      </c>
      <c r="H6101" s="2">
        <v>0</v>
      </c>
      <c r="I6101" s="88">
        <f t="shared" si="785"/>
        <v>35055.360000000001</v>
      </c>
      <c r="K6101" s="62"/>
      <c r="L6101" s="2">
        <f t="shared" si="786"/>
        <v>5</v>
      </c>
      <c r="M6101">
        <f t="shared" si="787"/>
        <v>5</v>
      </c>
    </row>
    <row r="6102" spans="1:15" x14ac:dyDescent="0.3">
      <c r="A6102" s="3">
        <f t="shared" si="772"/>
        <v>45900</v>
      </c>
      <c r="B6102" s="11" t="s">
        <v>6233</v>
      </c>
      <c r="C6102" s="50" t="s">
        <v>8971</v>
      </c>
      <c r="E6102" s="90" t="s">
        <v>2088</v>
      </c>
      <c r="G6102" s="2">
        <v>3000</v>
      </c>
      <c r="I6102" s="88">
        <f t="shared" si="785"/>
        <v>38055.360000000001</v>
      </c>
      <c r="K6102" s="62"/>
      <c r="L6102" s="2">
        <f t="shared" si="786"/>
        <v>17</v>
      </c>
      <c r="M6102">
        <f t="shared" si="787"/>
        <v>5</v>
      </c>
    </row>
    <row r="6103" spans="1:15" x14ac:dyDescent="0.3">
      <c r="A6103" s="3">
        <f t="shared" si="772"/>
        <v>45900</v>
      </c>
      <c r="B6103" s="11" t="s">
        <v>8972</v>
      </c>
      <c r="C6103" s="50" t="s">
        <v>8973</v>
      </c>
      <c r="E6103" s="90" t="s">
        <v>2088</v>
      </c>
      <c r="G6103" s="2">
        <v>0</v>
      </c>
      <c r="H6103" s="2">
        <v>0</v>
      </c>
      <c r="I6103" s="88">
        <f t="shared" ref="I6103:I6110" si="788">I6102+G6103-H6103</f>
        <v>38055.360000000001</v>
      </c>
      <c r="K6103" s="62"/>
      <c r="L6103" s="2">
        <f t="shared" ref="L6103:L6110" si="789">IF(E6103="C",0,IF((G6103+H6103)&lt;=5000,(G6103+H6103)*0.004,20)+IF(E6103="P",5,IF(E6103="Y",15,IF(E6103="YY",25))))</f>
        <v>5</v>
      </c>
      <c r="M6103">
        <f t="shared" ref="M6103:M6110" si="790">IF(E6103="p",5,0)</f>
        <v>5</v>
      </c>
    </row>
    <row r="6104" spans="1:15" x14ac:dyDescent="0.3">
      <c r="A6104" s="3">
        <f t="shared" si="772"/>
        <v>45900</v>
      </c>
      <c r="B6104" s="11" t="s">
        <v>8674</v>
      </c>
      <c r="C6104" s="50" t="s">
        <v>8675</v>
      </c>
      <c r="E6104" s="90" t="s">
        <v>2088</v>
      </c>
      <c r="G6104" s="2">
        <v>0</v>
      </c>
      <c r="H6104" s="2">
        <v>0</v>
      </c>
      <c r="I6104" s="88">
        <f t="shared" si="788"/>
        <v>38055.360000000001</v>
      </c>
      <c r="K6104" s="62"/>
      <c r="L6104" s="2">
        <f t="shared" si="789"/>
        <v>5</v>
      </c>
      <c r="M6104">
        <f t="shared" si="790"/>
        <v>5</v>
      </c>
    </row>
    <row r="6105" spans="1:15" x14ac:dyDescent="0.3">
      <c r="A6105" s="3">
        <f t="shared" si="772"/>
        <v>45900</v>
      </c>
      <c r="B6105" s="11" t="s">
        <v>8674</v>
      </c>
      <c r="C6105" s="50" t="s">
        <v>8675</v>
      </c>
      <c r="E6105" s="90" t="s">
        <v>2088</v>
      </c>
      <c r="G6105" s="2">
        <v>2500</v>
      </c>
      <c r="I6105" s="88">
        <f t="shared" si="788"/>
        <v>40555.360000000001</v>
      </c>
      <c r="K6105" s="62"/>
      <c r="L6105" s="2">
        <f t="shared" si="789"/>
        <v>15</v>
      </c>
      <c r="M6105">
        <f t="shared" si="790"/>
        <v>5</v>
      </c>
    </row>
    <row r="6106" spans="1:15" x14ac:dyDescent="0.3">
      <c r="A6106" s="3">
        <f t="shared" si="772"/>
        <v>45900</v>
      </c>
      <c r="B6106" s="11" t="s">
        <v>8806</v>
      </c>
      <c r="C6106" s="50" t="s">
        <v>2615</v>
      </c>
      <c r="E6106" s="90" t="s">
        <v>2088</v>
      </c>
      <c r="G6106" s="2">
        <v>4000</v>
      </c>
      <c r="I6106" s="88">
        <f t="shared" si="788"/>
        <v>44555.360000000001</v>
      </c>
      <c r="K6106" s="62"/>
      <c r="L6106" s="2">
        <f t="shared" si="789"/>
        <v>21</v>
      </c>
      <c r="M6106">
        <f t="shared" si="790"/>
        <v>5</v>
      </c>
    </row>
    <row r="6107" spans="1:15" x14ac:dyDescent="0.3">
      <c r="A6107" s="3">
        <f t="shared" si="772"/>
        <v>45900</v>
      </c>
      <c r="B6107" s="11" t="s">
        <v>7757</v>
      </c>
      <c r="C6107" s="50" t="s">
        <v>8974</v>
      </c>
      <c r="D6107" s="50">
        <v>7857958225</v>
      </c>
      <c r="E6107" s="90" t="s">
        <v>4720</v>
      </c>
      <c r="H6107" s="2">
        <v>3000</v>
      </c>
      <c r="I6107" s="88">
        <f t="shared" si="788"/>
        <v>41555.360000000001</v>
      </c>
      <c r="K6107" s="62"/>
      <c r="L6107" s="2">
        <f t="shared" si="789"/>
        <v>12</v>
      </c>
      <c r="M6107">
        <f t="shared" si="790"/>
        <v>0</v>
      </c>
    </row>
    <row r="6108" spans="1:15" x14ac:dyDescent="0.3">
      <c r="A6108" s="3">
        <f t="shared" si="772"/>
        <v>45900</v>
      </c>
      <c r="B6108" s="11" t="s">
        <v>5587</v>
      </c>
      <c r="C6108" s="50" t="s">
        <v>8902</v>
      </c>
      <c r="E6108" s="90" t="s">
        <v>4720</v>
      </c>
      <c r="G6108" s="2">
        <v>1000</v>
      </c>
      <c r="I6108" s="88">
        <f t="shared" si="788"/>
        <v>42555.360000000001</v>
      </c>
      <c r="K6108" s="62"/>
      <c r="L6108" s="2">
        <f t="shared" si="789"/>
        <v>4</v>
      </c>
      <c r="M6108">
        <f t="shared" si="790"/>
        <v>0</v>
      </c>
    </row>
    <row r="6109" spans="1:15" x14ac:dyDescent="0.3">
      <c r="A6109" s="3">
        <f t="shared" si="772"/>
        <v>45900</v>
      </c>
      <c r="B6109" s="11" t="s">
        <v>3204</v>
      </c>
      <c r="C6109" s="50" t="s">
        <v>3248</v>
      </c>
      <c r="E6109" s="90" t="s">
        <v>4720</v>
      </c>
      <c r="G6109" s="2">
        <v>5000</v>
      </c>
      <c r="I6109" s="88">
        <f t="shared" si="788"/>
        <v>47555.360000000001</v>
      </c>
      <c r="K6109" s="62"/>
      <c r="L6109" s="2">
        <f t="shared" si="789"/>
        <v>20</v>
      </c>
      <c r="M6109">
        <f t="shared" si="790"/>
        <v>0</v>
      </c>
    </row>
    <row r="6110" spans="1:15" x14ac:dyDescent="0.3">
      <c r="A6110" s="3">
        <f t="shared" si="772"/>
        <v>45900</v>
      </c>
      <c r="B6110" s="11" t="s">
        <v>8975</v>
      </c>
      <c r="C6110" s="50" t="s">
        <v>3248</v>
      </c>
      <c r="E6110" s="90" t="s">
        <v>4720</v>
      </c>
      <c r="H6110" s="2">
        <v>5000</v>
      </c>
      <c r="I6110" s="88">
        <f t="shared" si="788"/>
        <v>42555.360000000001</v>
      </c>
      <c r="K6110" s="62"/>
      <c r="L6110" s="2">
        <f t="shared" si="789"/>
        <v>20</v>
      </c>
      <c r="M6110">
        <f t="shared" si="790"/>
        <v>0</v>
      </c>
    </row>
    <row r="6111" spans="1:15" x14ac:dyDescent="0.3">
      <c r="A6111" s="3">
        <f t="shared" si="772"/>
        <v>45900</v>
      </c>
      <c r="B6111" s="11" t="s">
        <v>7649</v>
      </c>
      <c r="C6111" s="50" t="s">
        <v>7753</v>
      </c>
      <c r="E6111" s="90" t="s">
        <v>4720</v>
      </c>
      <c r="H6111" s="2">
        <v>1900</v>
      </c>
      <c r="I6111" s="88">
        <f t="shared" ref="I6111" si="791">I6110+G6111-H6111</f>
        <v>40655.360000000001</v>
      </c>
      <c r="K6111" s="62"/>
      <c r="L6111" s="2">
        <f t="shared" ref="L6111" si="792">IF(E6111="C",0,IF((G6111+H6111)&lt;=5000,(G6111+H6111)*0.004,20)+IF(E6111="P",5,IF(E6111="Y",15,IF(E6111="YY",25))))</f>
        <v>7.6000000000000005</v>
      </c>
      <c r="M6111">
        <f t="shared" ref="M6111" si="793">IF(E6111="p",5,0)</f>
        <v>0</v>
      </c>
    </row>
    <row r="6112" spans="1:15" x14ac:dyDescent="0.3">
      <c r="A6112" s="77">
        <f>COUNT(A5803:A6111)</f>
        <v>309</v>
      </c>
      <c r="B6112" s="80" t="s">
        <v>7120</v>
      </c>
      <c r="C6112" s="112">
        <f>SUMIF(E5803:E6111,"C",H5803:H6111)+SUMIF(E5803:E6111,"C",G5803:G6111)</f>
        <v>433000</v>
      </c>
      <c r="D6112" s="112">
        <f>COUNTIF(E5803:E6111,"p")</f>
        <v>112</v>
      </c>
      <c r="E6112" s="92">
        <f>COUNTIF(E5803:E6111,"Y")</f>
        <v>10</v>
      </c>
      <c r="F6112" s="80">
        <f>SUM(F4177)</f>
        <v>0</v>
      </c>
      <c r="G6112" s="121">
        <f>SUM(G5803:G6111)</f>
        <v>653000</v>
      </c>
      <c r="H6112" s="121">
        <f>SUM(H5803:H6111)</f>
        <v>648650</v>
      </c>
      <c r="I6112" s="121">
        <f>G6112+H6112-C6112</f>
        <v>868650</v>
      </c>
      <c r="J6112" s="122"/>
      <c r="K6112" s="122">
        <f>SUM(K5803:K6111)</f>
        <v>1600</v>
      </c>
      <c r="L6112" s="121">
        <f>SUM(L5803:L6111)</f>
        <v>3590.8000000000006</v>
      </c>
      <c r="M6112" s="121">
        <f>SUM(M5803:M6111)</f>
        <v>560</v>
      </c>
      <c r="N6112" s="62">
        <f>M6112/5</f>
        <v>112</v>
      </c>
      <c r="O6112">
        <f>IF(D4644&gt;100,D6112*6,D6112*5)</f>
        <v>560</v>
      </c>
    </row>
    <row r="6113" spans="1:14" x14ac:dyDescent="0.3">
      <c r="F6113" s="11"/>
      <c r="G6113" s="154"/>
      <c r="H6113" s="154"/>
      <c r="I6113" s="154"/>
      <c r="J6113" s="155"/>
      <c r="K6113" s="155"/>
      <c r="L6113" s="154"/>
      <c r="M6113" s="154"/>
      <c r="N6113" s="62"/>
    </row>
    <row r="6114" spans="1:14" x14ac:dyDescent="0.3">
      <c r="A6114" s="3">
        <v>45901</v>
      </c>
      <c r="C6114" s="50" t="s">
        <v>6831</v>
      </c>
      <c r="E6114" s="90" t="s">
        <v>4720</v>
      </c>
      <c r="G6114" s="2">
        <v>40655.360000000001</v>
      </c>
      <c r="I6114" s="88">
        <f t="shared" ref="I6114:I6140" si="794">I6113+G6114-H6114</f>
        <v>40655.360000000001</v>
      </c>
      <c r="K6114" s="62"/>
      <c r="L6114" s="2">
        <f t="shared" ref="L6114:L6115" si="795">IF(E6114="C",0,IF((G6114+H6114)&lt;=5000,(G6114+H6114)*0.004,20)+IF(E6114="P",5,IF(E6114="Y",15,IF(E6114="YY",25))))</f>
        <v>20</v>
      </c>
      <c r="M6114">
        <f t="shared" ref="M6114:M6115" si="796">IF(E6114="p",5,0)</f>
        <v>0</v>
      </c>
    </row>
    <row r="6115" spans="1:14" x14ac:dyDescent="0.3">
      <c r="A6115" s="3">
        <f t="shared" ref="A6115:A6177" si="797">A6114</f>
        <v>45901</v>
      </c>
      <c r="B6115" s="11" t="s">
        <v>7060</v>
      </c>
      <c r="C6115" s="50" t="s">
        <v>8976</v>
      </c>
      <c r="E6115" s="90" t="s">
        <v>2088</v>
      </c>
      <c r="G6115" s="2">
        <v>2000</v>
      </c>
      <c r="I6115" s="88">
        <f t="shared" si="794"/>
        <v>42655.360000000001</v>
      </c>
      <c r="K6115" s="62"/>
      <c r="L6115" s="2">
        <f t="shared" si="795"/>
        <v>13</v>
      </c>
      <c r="M6115">
        <f t="shared" si="796"/>
        <v>5</v>
      </c>
    </row>
    <row r="6116" spans="1:14" x14ac:dyDescent="0.3">
      <c r="A6116" s="3">
        <f t="shared" si="797"/>
        <v>45901</v>
      </c>
      <c r="B6116" s="11" t="s">
        <v>4081</v>
      </c>
      <c r="C6116" s="50" t="s">
        <v>4870</v>
      </c>
      <c r="D6116" s="50">
        <v>8797471898</v>
      </c>
      <c r="E6116" s="90" t="s">
        <v>2088</v>
      </c>
      <c r="G6116" s="2">
        <v>500</v>
      </c>
      <c r="I6116" s="88">
        <f t="shared" si="794"/>
        <v>43155.360000000001</v>
      </c>
      <c r="K6116" s="62"/>
      <c r="L6116" s="2">
        <f t="shared" ref="L6116:L6119" si="798">IF(E6116="C",0,IF((G6116+H6116)&lt;=5000,(G6116+H6116)*0.004,20)+IF(E6116="P",5,IF(E6116="Y",15,IF(E6116="YY",25))))</f>
        <v>7</v>
      </c>
      <c r="M6116">
        <f t="shared" ref="M6116:M6119" si="799">IF(E6116="p",5,0)</f>
        <v>5</v>
      </c>
    </row>
    <row r="6117" spans="1:14" x14ac:dyDescent="0.3">
      <c r="A6117" s="3">
        <f t="shared" si="797"/>
        <v>45901</v>
      </c>
      <c r="B6117" s="11" t="s">
        <v>2871</v>
      </c>
      <c r="C6117" s="50" t="s">
        <v>8977</v>
      </c>
      <c r="E6117" s="90" t="s">
        <v>4720</v>
      </c>
      <c r="H6117" s="2">
        <v>500</v>
      </c>
      <c r="I6117" s="88">
        <f t="shared" si="794"/>
        <v>42655.360000000001</v>
      </c>
      <c r="K6117" s="62"/>
      <c r="L6117" s="2">
        <f t="shared" si="798"/>
        <v>2</v>
      </c>
      <c r="M6117">
        <f t="shared" si="799"/>
        <v>0</v>
      </c>
    </row>
    <row r="6118" spans="1:14" x14ac:dyDescent="0.3">
      <c r="A6118" s="3">
        <f t="shared" si="797"/>
        <v>45901</v>
      </c>
      <c r="B6118" s="11" t="s">
        <v>7081</v>
      </c>
      <c r="C6118" s="50" t="s">
        <v>8978</v>
      </c>
      <c r="D6118" s="50">
        <v>8434671966</v>
      </c>
      <c r="E6118" s="90" t="s">
        <v>2088</v>
      </c>
      <c r="G6118" s="2">
        <v>500</v>
      </c>
      <c r="I6118" s="88">
        <f t="shared" si="794"/>
        <v>43155.360000000001</v>
      </c>
      <c r="K6118" s="62"/>
      <c r="L6118" s="2">
        <f t="shared" si="798"/>
        <v>7</v>
      </c>
      <c r="M6118">
        <f t="shared" si="799"/>
        <v>5</v>
      </c>
    </row>
    <row r="6119" spans="1:14" x14ac:dyDescent="0.3">
      <c r="A6119" s="3">
        <f t="shared" si="797"/>
        <v>45901</v>
      </c>
      <c r="B6119" s="11" t="s">
        <v>1160</v>
      </c>
      <c r="C6119" s="50" t="s">
        <v>8264</v>
      </c>
      <c r="E6119" s="90" t="s">
        <v>4720</v>
      </c>
      <c r="G6119" s="2">
        <v>1000</v>
      </c>
      <c r="I6119" s="88">
        <f t="shared" si="794"/>
        <v>44155.360000000001</v>
      </c>
      <c r="K6119" s="62"/>
      <c r="L6119" s="2">
        <f t="shared" si="798"/>
        <v>4</v>
      </c>
      <c r="M6119">
        <f t="shared" si="799"/>
        <v>0</v>
      </c>
    </row>
    <row r="6120" spans="1:14" x14ac:dyDescent="0.3">
      <c r="A6120" s="3">
        <f t="shared" si="797"/>
        <v>45901</v>
      </c>
      <c r="B6120" s="11" t="s">
        <v>3849</v>
      </c>
      <c r="C6120" s="50" t="s">
        <v>6224</v>
      </c>
      <c r="E6120" s="90" t="s">
        <v>4720</v>
      </c>
      <c r="H6120" s="2">
        <v>4500</v>
      </c>
      <c r="I6120" s="88">
        <f t="shared" si="794"/>
        <v>39655.360000000001</v>
      </c>
      <c r="K6120" s="62"/>
      <c r="L6120" s="2">
        <f t="shared" ref="L6120:L6140" si="800">IF(E6120="C",0,IF((G6120+H6120)&lt;=5000,(G6120+H6120)*0.004,20)+IF(E6120="P",5,IF(E6120="Y",15,IF(E6120="YY",25))))</f>
        <v>18</v>
      </c>
      <c r="M6120">
        <f t="shared" ref="M6120:M6140" si="801">IF(E6120="p",5,0)</f>
        <v>0</v>
      </c>
    </row>
    <row r="6121" spans="1:14" x14ac:dyDescent="0.3">
      <c r="A6121" s="3">
        <f t="shared" si="797"/>
        <v>45901</v>
      </c>
      <c r="B6121" s="11" t="s">
        <v>3232</v>
      </c>
      <c r="C6121" s="50" t="s">
        <v>8981</v>
      </c>
      <c r="G6121" s="2">
        <v>1500</v>
      </c>
      <c r="I6121" s="88">
        <f t="shared" si="794"/>
        <v>41155.360000000001</v>
      </c>
      <c r="K6121" s="62"/>
      <c r="L6121" s="2">
        <f t="shared" si="800"/>
        <v>6</v>
      </c>
      <c r="M6121">
        <f t="shared" si="801"/>
        <v>0</v>
      </c>
    </row>
    <row r="6122" spans="1:14" x14ac:dyDescent="0.3">
      <c r="A6122" s="3">
        <f>A6120</f>
        <v>45901</v>
      </c>
      <c r="B6122" s="11" t="s">
        <v>5463</v>
      </c>
      <c r="C6122" s="50" t="s">
        <v>5464</v>
      </c>
      <c r="E6122" s="90" t="s">
        <v>2088</v>
      </c>
      <c r="G6122" s="2">
        <v>0</v>
      </c>
      <c r="H6122" s="2">
        <v>0</v>
      </c>
      <c r="I6122" s="88">
        <f t="shared" si="794"/>
        <v>41155.360000000001</v>
      </c>
      <c r="K6122" s="62"/>
      <c r="L6122" s="2">
        <f t="shared" si="800"/>
        <v>5</v>
      </c>
      <c r="M6122">
        <f t="shared" si="801"/>
        <v>5</v>
      </c>
    </row>
    <row r="6123" spans="1:14" x14ac:dyDescent="0.3">
      <c r="A6123" s="3">
        <f t="shared" si="797"/>
        <v>45901</v>
      </c>
      <c r="B6123" s="11" t="s">
        <v>8979</v>
      </c>
      <c r="C6123" s="50" t="s">
        <v>5464</v>
      </c>
      <c r="E6123" s="90" t="s">
        <v>4720</v>
      </c>
      <c r="G6123" s="2">
        <v>7000</v>
      </c>
      <c r="I6123" s="88">
        <f t="shared" si="794"/>
        <v>48155.360000000001</v>
      </c>
      <c r="K6123" s="62"/>
      <c r="L6123" s="2">
        <f t="shared" si="800"/>
        <v>20</v>
      </c>
      <c r="M6123">
        <f t="shared" si="801"/>
        <v>0</v>
      </c>
    </row>
    <row r="6124" spans="1:14" x14ac:dyDescent="0.3">
      <c r="A6124" s="3">
        <f t="shared" si="797"/>
        <v>45901</v>
      </c>
      <c r="B6124" s="11" t="s">
        <v>5463</v>
      </c>
      <c r="C6124" s="50" t="s">
        <v>5464</v>
      </c>
      <c r="E6124" s="90" t="s">
        <v>2088</v>
      </c>
      <c r="H6124" s="2">
        <v>7000</v>
      </c>
      <c r="I6124" s="88">
        <f t="shared" si="794"/>
        <v>41155.360000000001</v>
      </c>
      <c r="J6124" s="62"/>
      <c r="K6124" s="62"/>
      <c r="L6124" s="2">
        <f t="shared" si="800"/>
        <v>25</v>
      </c>
      <c r="M6124">
        <f t="shared" si="801"/>
        <v>5</v>
      </c>
    </row>
    <row r="6125" spans="1:14" x14ac:dyDescent="0.3">
      <c r="A6125" s="3">
        <f t="shared" si="797"/>
        <v>45901</v>
      </c>
      <c r="B6125" s="11" t="s">
        <v>5986</v>
      </c>
      <c r="C6125" s="50" t="s">
        <v>5985</v>
      </c>
      <c r="E6125" s="90" t="s">
        <v>2088</v>
      </c>
      <c r="H6125" s="2">
        <v>4000</v>
      </c>
      <c r="I6125" s="88">
        <f t="shared" si="794"/>
        <v>37155.360000000001</v>
      </c>
      <c r="K6125" s="62"/>
      <c r="L6125" s="2">
        <f t="shared" si="800"/>
        <v>21</v>
      </c>
      <c r="M6125">
        <f t="shared" si="801"/>
        <v>5</v>
      </c>
    </row>
    <row r="6126" spans="1:14" x14ac:dyDescent="0.3">
      <c r="A6126" s="3">
        <f t="shared" si="797"/>
        <v>45901</v>
      </c>
      <c r="B6126" s="11" t="s">
        <v>7005</v>
      </c>
      <c r="C6126" s="50" t="s">
        <v>7004</v>
      </c>
      <c r="E6126" s="90" t="s">
        <v>2088</v>
      </c>
      <c r="G6126" s="2">
        <v>6000</v>
      </c>
      <c r="I6126" s="88">
        <f t="shared" si="794"/>
        <v>43155.360000000001</v>
      </c>
      <c r="K6126" s="62"/>
      <c r="L6126" s="2">
        <f t="shared" si="800"/>
        <v>25</v>
      </c>
      <c r="M6126">
        <f t="shared" si="801"/>
        <v>5</v>
      </c>
    </row>
    <row r="6127" spans="1:14" x14ac:dyDescent="0.3">
      <c r="A6127" s="3">
        <f t="shared" si="797"/>
        <v>45901</v>
      </c>
      <c r="B6127" s="11" t="s">
        <v>6522</v>
      </c>
      <c r="C6127" s="50" t="s">
        <v>8980</v>
      </c>
      <c r="E6127" s="90" t="s">
        <v>4720</v>
      </c>
      <c r="G6127" s="2">
        <v>2500</v>
      </c>
      <c r="I6127" s="88">
        <f t="shared" si="794"/>
        <v>45655.360000000001</v>
      </c>
      <c r="K6127" s="62"/>
      <c r="L6127" s="2">
        <f t="shared" si="800"/>
        <v>10</v>
      </c>
      <c r="M6127">
        <f t="shared" si="801"/>
        <v>0</v>
      </c>
    </row>
    <row r="6128" spans="1:14" x14ac:dyDescent="0.3">
      <c r="A6128" s="3">
        <f t="shared" si="797"/>
        <v>45901</v>
      </c>
      <c r="B6128" s="11" t="s">
        <v>1160</v>
      </c>
      <c r="C6128" s="50" t="s">
        <v>8358</v>
      </c>
      <c r="E6128" s="90" t="s">
        <v>4720</v>
      </c>
      <c r="G6128" s="2">
        <v>3000</v>
      </c>
      <c r="I6128" s="88">
        <f t="shared" si="794"/>
        <v>48655.360000000001</v>
      </c>
      <c r="K6128" s="62"/>
      <c r="L6128" s="2">
        <f t="shared" si="800"/>
        <v>12</v>
      </c>
      <c r="M6128">
        <f t="shared" si="801"/>
        <v>0</v>
      </c>
    </row>
    <row r="6129" spans="1:13" x14ac:dyDescent="0.3">
      <c r="A6129" s="3">
        <f t="shared" si="797"/>
        <v>45901</v>
      </c>
      <c r="B6129" s="11" t="s">
        <v>5355</v>
      </c>
      <c r="C6129" s="50" t="s">
        <v>5357</v>
      </c>
      <c r="E6129" s="90" t="s">
        <v>2088</v>
      </c>
      <c r="G6129" s="2">
        <v>2500</v>
      </c>
      <c r="I6129" s="88">
        <f t="shared" si="794"/>
        <v>51155.360000000001</v>
      </c>
      <c r="K6129" s="62"/>
      <c r="L6129" s="2">
        <f t="shared" si="800"/>
        <v>15</v>
      </c>
      <c r="M6129">
        <f t="shared" si="801"/>
        <v>5</v>
      </c>
    </row>
    <row r="6130" spans="1:13" x14ac:dyDescent="0.3">
      <c r="A6130" s="3">
        <f t="shared" si="797"/>
        <v>45901</v>
      </c>
      <c r="B6130" s="11" t="s">
        <v>3915</v>
      </c>
      <c r="C6130" s="50" t="s">
        <v>7874</v>
      </c>
      <c r="E6130" s="90" t="s">
        <v>4720</v>
      </c>
      <c r="G6130" s="2">
        <v>2500</v>
      </c>
      <c r="I6130" s="88">
        <f t="shared" si="794"/>
        <v>53655.360000000001</v>
      </c>
      <c r="K6130" s="62"/>
      <c r="L6130" s="2">
        <f t="shared" si="800"/>
        <v>10</v>
      </c>
      <c r="M6130">
        <f t="shared" si="801"/>
        <v>0</v>
      </c>
    </row>
    <row r="6131" spans="1:13" x14ac:dyDescent="0.3">
      <c r="A6131" s="3">
        <f t="shared" si="797"/>
        <v>45901</v>
      </c>
      <c r="B6131" s="11" t="s">
        <v>8983</v>
      </c>
      <c r="C6131" s="65" t="s">
        <v>8984</v>
      </c>
      <c r="D6131" s="11"/>
      <c r="E6131" s="90" t="s">
        <v>16</v>
      </c>
      <c r="H6131" s="2">
        <v>500</v>
      </c>
      <c r="I6131" s="88">
        <f t="shared" si="794"/>
        <v>53155.360000000001</v>
      </c>
      <c r="K6131" s="62"/>
      <c r="L6131" s="2">
        <f>IF(C6131="C",0,IF((G6131+H6131)&lt;=5000,(G6131+H6131)*0.004,20)+IF(C6131="P",5,IF(C6131="Y",15,IF(C6131="YY",25))))</f>
        <v>2</v>
      </c>
      <c r="M6131">
        <f>IF(C6131="p",5,0)</f>
        <v>0</v>
      </c>
    </row>
    <row r="6132" spans="1:13" x14ac:dyDescent="0.3">
      <c r="A6132" s="3">
        <f t="shared" si="797"/>
        <v>45901</v>
      </c>
      <c r="B6132" s="11" t="s">
        <v>7547</v>
      </c>
      <c r="C6132" s="50" t="s">
        <v>6685</v>
      </c>
      <c r="E6132" s="90" t="s">
        <v>4720</v>
      </c>
      <c r="G6132" s="2">
        <v>5000</v>
      </c>
      <c r="I6132" s="88">
        <f t="shared" si="794"/>
        <v>58155.360000000001</v>
      </c>
      <c r="K6132" s="62"/>
      <c r="L6132" s="2">
        <f t="shared" si="800"/>
        <v>20</v>
      </c>
      <c r="M6132">
        <f t="shared" si="801"/>
        <v>0</v>
      </c>
    </row>
    <row r="6133" spans="1:13" x14ac:dyDescent="0.3">
      <c r="A6133" s="3">
        <f t="shared" si="797"/>
        <v>45901</v>
      </c>
      <c r="B6133" s="11" t="s">
        <v>1160</v>
      </c>
      <c r="C6133" s="50" t="s">
        <v>8987</v>
      </c>
      <c r="D6133" s="50">
        <v>8102955099</v>
      </c>
      <c r="E6133" s="90" t="s">
        <v>4720</v>
      </c>
      <c r="G6133" s="2">
        <v>4000</v>
      </c>
      <c r="I6133" s="88">
        <f t="shared" si="794"/>
        <v>62155.360000000001</v>
      </c>
      <c r="K6133" s="62"/>
      <c r="L6133" s="2">
        <f t="shared" si="800"/>
        <v>16</v>
      </c>
      <c r="M6133">
        <f t="shared" si="801"/>
        <v>0</v>
      </c>
    </row>
    <row r="6134" spans="1:13" x14ac:dyDescent="0.3">
      <c r="A6134" s="3">
        <f t="shared" si="797"/>
        <v>45901</v>
      </c>
      <c r="B6134" s="11" t="s">
        <v>8663</v>
      </c>
      <c r="C6134" s="50" t="s">
        <v>8988</v>
      </c>
      <c r="E6134" s="90" t="s">
        <v>2088</v>
      </c>
      <c r="G6134" s="2">
        <v>5000</v>
      </c>
      <c r="I6134" s="88">
        <f t="shared" si="794"/>
        <v>67155.360000000001</v>
      </c>
      <c r="K6134" s="62"/>
      <c r="L6134" s="2">
        <f t="shared" si="800"/>
        <v>25</v>
      </c>
      <c r="M6134">
        <f t="shared" si="801"/>
        <v>5</v>
      </c>
    </row>
    <row r="6135" spans="1:13" x14ac:dyDescent="0.3">
      <c r="A6135" s="3">
        <f t="shared" si="797"/>
        <v>45901</v>
      </c>
      <c r="B6135" s="11" t="s">
        <v>8990</v>
      </c>
      <c r="C6135" s="65" t="s">
        <v>192</v>
      </c>
      <c r="D6135" s="11"/>
      <c r="E6135" s="90" t="s">
        <v>16</v>
      </c>
      <c r="H6135" s="2">
        <v>500</v>
      </c>
      <c r="I6135" s="88">
        <f t="shared" si="794"/>
        <v>66655.360000000001</v>
      </c>
      <c r="K6135" s="62"/>
      <c r="L6135" s="2">
        <f>IF(C6135="C",0,IF((G6135+H6135)&lt;=5000,(G6135+H6135)*0.004,20)+IF(C6135="P",5,IF(C6135="Y",15,IF(C6135="YY",25))))</f>
        <v>2</v>
      </c>
      <c r="M6135">
        <f>IF(C6135="p",5,0)</f>
        <v>0</v>
      </c>
    </row>
    <row r="6136" spans="1:13" x14ac:dyDescent="0.3">
      <c r="A6136" s="3">
        <f t="shared" si="797"/>
        <v>45901</v>
      </c>
      <c r="B6136" s="11" t="s">
        <v>6260</v>
      </c>
      <c r="C6136" s="50" t="s">
        <v>8991</v>
      </c>
      <c r="E6136" s="90" t="s">
        <v>4720</v>
      </c>
      <c r="H6136" s="2">
        <v>5500</v>
      </c>
      <c r="I6136" s="88">
        <f t="shared" si="794"/>
        <v>61155.360000000001</v>
      </c>
      <c r="K6136" s="62"/>
      <c r="L6136" s="2">
        <f t="shared" si="800"/>
        <v>20</v>
      </c>
      <c r="M6136">
        <f t="shared" si="801"/>
        <v>0</v>
      </c>
    </row>
    <row r="6137" spans="1:13" x14ac:dyDescent="0.3">
      <c r="A6137" s="3">
        <f t="shared" si="797"/>
        <v>45901</v>
      </c>
      <c r="C6137" s="50" t="s">
        <v>2857</v>
      </c>
      <c r="E6137" s="90" t="s">
        <v>8332</v>
      </c>
      <c r="H6137" s="2">
        <v>50000</v>
      </c>
      <c r="I6137" s="88">
        <f t="shared" si="794"/>
        <v>11155.36</v>
      </c>
      <c r="K6137" s="62"/>
      <c r="L6137" s="2">
        <f t="shared" si="800"/>
        <v>0</v>
      </c>
      <c r="M6137">
        <f t="shared" si="801"/>
        <v>0</v>
      </c>
    </row>
    <row r="6138" spans="1:13" x14ac:dyDescent="0.3">
      <c r="A6138" s="3">
        <v>45902</v>
      </c>
      <c r="B6138" s="11" t="s">
        <v>1250</v>
      </c>
      <c r="C6138" s="50" t="s">
        <v>2443</v>
      </c>
      <c r="E6138" s="90" t="s">
        <v>4720</v>
      </c>
      <c r="G6138" s="2">
        <v>1400</v>
      </c>
      <c r="I6138" s="88">
        <f t="shared" si="794"/>
        <v>12555.36</v>
      </c>
      <c r="K6138" s="62"/>
      <c r="L6138" s="2">
        <f t="shared" si="800"/>
        <v>5.6000000000000005</v>
      </c>
      <c r="M6138">
        <f t="shared" si="801"/>
        <v>0</v>
      </c>
    </row>
    <row r="6139" spans="1:13" x14ac:dyDescent="0.3">
      <c r="A6139" s="3">
        <f t="shared" si="797"/>
        <v>45902</v>
      </c>
      <c r="B6139" s="11" t="s">
        <v>2528</v>
      </c>
      <c r="C6139" s="50" t="s">
        <v>8993</v>
      </c>
      <c r="E6139" s="90" t="s">
        <v>7772</v>
      </c>
      <c r="G6139" s="2">
        <v>5000</v>
      </c>
      <c r="I6139" s="88">
        <f t="shared" si="794"/>
        <v>17555.36</v>
      </c>
      <c r="K6139" s="62"/>
      <c r="L6139" s="2">
        <f t="shared" si="800"/>
        <v>25</v>
      </c>
      <c r="M6139">
        <f t="shared" si="801"/>
        <v>5</v>
      </c>
    </row>
    <row r="6140" spans="1:13" x14ac:dyDescent="0.3">
      <c r="A6140" s="3">
        <f t="shared" si="797"/>
        <v>45902</v>
      </c>
      <c r="B6140" s="11" t="s">
        <v>8882</v>
      </c>
      <c r="C6140" s="50" t="s">
        <v>8883</v>
      </c>
      <c r="E6140" s="90" t="s">
        <v>2088</v>
      </c>
      <c r="G6140" s="2">
        <v>1000</v>
      </c>
      <c r="I6140" s="88">
        <f t="shared" si="794"/>
        <v>18555.36</v>
      </c>
      <c r="K6140" s="62"/>
      <c r="L6140" s="2">
        <f t="shared" si="800"/>
        <v>9</v>
      </c>
      <c r="M6140">
        <f t="shared" si="801"/>
        <v>5</v>
      </c>
    </row>
    <row r="6141" spans="1:13" x14ac:dyDescent="0.3">
      <c r="A6141" s="3">
        <f t="shared" si="797"/>
        <v>45902</v>
      </c>
      <c r="B6141" s="11" t="s">
        <v>1250</v>
      </c>
      <c r="C6141" s="50" t="s">
        <v>8616</v>
      </c>
      <c r="E6141" s="90" t="s">
        <v>4720</v>
      </c>
      <c r="G6141" s="2">
        <v>500</v>
      </c>
      <c r="I6141" s="88">
        <f t="shared" ref="I6141:I6159" si="802">I6140+G6141-H6141</f>
        <v>19055.36</v>
      </c>
      <c r="K6141" s="62"/>
      <c r="L6141" s="2">
        <f t="shared" ref="L6141:L6159" si="803">IF(E6141="C",0,IF((G6141+H6141)&lt;=5000,(G6141+H6141)*0.004,20)+IF(E6141="P",5,IF(E6141="Y",15,IF(E6141="YY",25))))</f>
        <v>2</v>
      </c>
      <c r="M6141">
        <f t="shared" ref="M6141:M6159" si="804">IF(E6141="p",5,0)</f>
        <v>0</v>
      </c>
    </row>
    <row r="6142" spans="1:13" x14ac:dyDescent="0.3">
      <c r="A6142" s="3">
        <f t="shared" si="797"/>
        <v>45902</v>
      </c>
      <c r="B6142" s="11" t="s">
        <v>5508</v>
      </c>
      <c r="C6142" s="50" t="s">
        <v>6157</v>
      </c>
      <c r="E6142" s="90" t="s">
        <v>4720</v>
      </c>
      <c r="G6142" s="2">
        <v>0</v>
      </c>
      <c r="H6142" s="2">
        <v>0</v>
      </c>
      <c r="I6142" s="88">
        <f t="shared" si="802"/>
        <v>19055.36</v>
      </c>
      <c r="K6142" s="62"/>
      <c r="L6142" s="2">
        <f t="shared" si="803"/>
        <v>0</v>
      </c>
      <c r="M6142">
        <f t="shared" si="804"/>
        <v>0</v>
      </c>
    </row>
    <row r="6143" spans="1:13" x14ac:dyDescent="0.3">
      <c r="A6143" s="3">
        <f t="shared" si="797"/>
        <v>45902</v>
      </c>
      <c r="B6143" s="11" t="s">
        <v>6409</v>
      </c>
      <c r="C6143" s="50" t="s">
        <v>7788</v>
      </c>
      <c r="E6143" s="90" t="s">
        <v>4720</v>
      </c>
      <c r="G6143" s="2">
        <v>0</v>
      </c>
      <c r="H6143" s="2">
        <v>0</v>
      </c>
      <c r="I6143" s="88">
        <f t="shared" si="802"/>
        <v>19055.36</v>
      </c>
      <c r="K6143" s="62"/>
      <c r="L6143" s="2">
        <f t="shared" si="803"/>
        <v>0</v>
      </c>
      <c r="M6143">
        <f t="shared" si="804"/>
        <v>0</v>
      </c>
    </row>
    <row r="6144" spans="1:13" x14ac:dyDescent="0.3">
      <c r="A6144" s="3">
        <f t="shared" si="797"/>
        <v>45902</v>
      </c>
      <c r="B6144" s="11" t="s">
        <v>7329</v>
      </c>
      <c r="C6144" s="50" t="s">
        <v>7330</v>
      </c>
      <c r="E6144" s="90" t="s">
        <v>2088</v>
      </c>
      <c r="G6144" s="2">
        <v>3500</v>
      </c>
      <c r="I6144" s="88">
        <f t="shared" si="802"/>
        <v>22555.360000000001</v>
      </c>
      <c r="K6144" s="62"/>
      <c r="L6144" s="2">
        <f t="shared" si="803"/>
        <v>19</v>
      </c>
      <c r="M6144">
        <f t="shared" si="804"/>
        <v>5</v>
      </c>
    </row>
    <row r="6145" spans="1:13" x14ac:dyDescent="0.3">
      <c r="A6145" s="3">
        <f t="shared" si="797"/>
        <v>45902</v>
      </c>
      <c r="B6145" s="11" t="s">
        <v>7196</v>
      </c>
      <c r="C6145" s="50" t="s">
        <v>6043</v>
      </c>
      <c r="E6145" s="90" t="s">
        <v>4720</v>
      </c>
      <c r="H6145" s="2">
        <v>7600</v>
      </c>
      <c r="I6145" s="88">
        <f t="shared" si="802"/>
        <v>14955.36</v>
      </c>
      <c r="K6145" s="62"/>
      <c r="L6145" s="2">
        <f t="shared" si="803"/>
        <v>20</v>
      </c>
      <c r="M6145">
        <f t="shared" si="804"/>
        <v>0</v>
      </c>
    </row>
    <row r="6146" spans="1:13" x14ac:dyDescent="0.3">
      <c r="A6146" s="3">
        <f t="shared" si="797"/>
        <v>45902</v>
      </c>
      <c r="B6146" s="11" t="s">
        <v>7264</v>
      </c>
      <c r="C6146" s="50" t="s">
        <v>8994</v>
      </c>
      <c r="E6146" s="90" t="s">
        <v>2088</v>
      </c>
      <c r="G6146" s="2">
        <v>0</v>
      </c>
      <c r="H6146" s="2">
        <v>0</v>
      </c>
      <c r="I6146" s="88">
        <f t="shared" si="802"/>
        <v>14955.36</v>
      </c>
      <c r="K6146" s="62"/>
      <c r="L6146" s="2">
        <f t="shared" si="803"/>
        <v>5</v>
      </c>
      <c r="M6146">
        <f t="shared" si="804"/>
        <v>5</v>
      </c>
    </row>
    <row r="6147" spans="1:13" x14ac:dyDescent="0.3">
      <c r="A6147" s="3">
        <f t="shared" si="797"/>
        <v>45902</v>
      </c>
      <c r="B6147" s="11" t="s">
        <v>7264</v>
      </c>
      <c r="C6147" s="50" t="s">
        <v>8994</v>
      </c>
      <c r="E6147" s="90" t="s">
        <v>2088</v>
      </c>
      <c r="G6147" s="2">
        <v>2500</v>
      </c>
      <c r="I6147" s="88">
        <f t="shared" si="802"/>
        <v>17455.36</v>
      </c>
      <c r="K6147" s="62"/>
      <c r="L6147" s="2">
        <f t="shared" si="803"/>
        <v>15</v>
      </c>
      <c r="M6147">
        <f t="shared" si="804"/>
        <v>5</v>
      </c>
    </row>
    <row r="6148" spans="1:13" x14ac:dyDescent="0.3">
      <c r="A6148" s="3">
        <f t="shared" si="797"/>
        <v>45902</v>
      </c>
      <c r="B6148" s="11" t="s">
        <v>8504</v>
      </c>
      <c r="C6148" s="50" t="s">
        <v>8510</v>
      </c>
      <c r="E6148" s="90" t="s">
        <v>2088</v>
      </c>
      <c r="G6148" s="2">
        <v>10000</v>
      </c>
      <c r="I6148" s="88">
        <f t="shared" si="802"/>
        <v>27455.360000000001</v>
      </c>
      <c r="K6148" s="62"/>
      <c r="L6148" s="2">
        <f t="shared" si="803"/>
        <v>25</v>
      </c>
      <c r="M6148">
        <f t="shared" si="804"/>
        <v>5</v>
      </c>
    </row>
    <row r="6149" spans="1:13" x14ac:dyDescent="0.3">
      <c r="A6149" s="3">
        <f t="shared" si="797"/>
        <v>45902</v>
      </c>
      <c r="B6149" s="11" t="s">
        <v>6131</v>
      </c>
      <c r="C6149" s="50" t="s">
        <v>7477</v>
      </c>
      <c r="E6149" s="90" t="s">
        <v>4720</v>
      </c>
      <c r="G6149" s="2">
        <v>1000</v>
      </c>
      <c r="I6149" s="88">
        <f t="shared" si="802"/>
        <v>28455.360000000001</v>
      </c>
      <c r="K6149" s="62"/>
      <c r="L6149" s="2">
        <f t="shared" si="803"/>
        <v>4</v>
      </c>
      <c r="M6149">
        <f t="shared" si="804"/>
        <v>0</v>
      </c>
    </row>
    <row r="6150" spans="1:13" x14ac:dyDescent="0.3">
      <c r="A6150" s="3">
        <f t="shared" si="797"/>
        <v>45902</v>
      </c>
      <c r="B6150" s="11" t="s">
        <v>3232</v>
      </c>
      <c r="C6150" s="50" t="s">
        <v>2414</v>
      </c>
      <c r="E6150" s="90" t="s">
        <v>4720</v>
      </c>
      <c r="G6150" s="2">
        <v>1300</v>
      </c>
      <c r="I6150" s="88">
        <f t="shared" si="802"/>
        <v>29755.360000000001</v>
      </c>
      <c r="K6150" s="62"/>
      <c r="L6150" s="2">
        <f t="shared" si="803"/>
        <v>5.2</v>
      </c>
      <c r="M6150">
        <f t="shared" si="804"/>
        <v>0</v>
      </c>
    </row>
    <row r="6151" spans="1:13" x14ac:dyDescent="0.3">
      <c r="A6151" s="3">
        <f t="shared" si="797"/>
        <v>45902</v>
      </c>
      <c r="B6151" s="11" t="s">
        <v>1250</v>
      </c>
      <c r="C6151" s="50" t="s">
        <v>6985</v>
      </c>
      <c r="E6151" s="90" t="s">
        <v>4720</v>
      </c>
      <c r="G6151" s="2">
        <v>2000</v>
      </c>
      <c r="I6151" s="88">
        <f t="shared" si="802"/>
        <v>31755.360000000001</v>
      </c>
      <c r="K6151" s="62"/>
      <c r="L6151" s="2">
        <f t="shared" si="803"/>
        <v>8</v>
      </c>
      <c r="M6151">
        <f t="shared" si="804"/>
        <v>0</v>
      </c>
    </row>
    <row r="6152" spans="1:13" x14ac:dyDescent="0.3">
      <c r="A6152" s="3">
        <v>45903</v>
      </c>
      <c r="B6152" s="11" t="s">
        <v>4652</v>
      </c>
      <c r="C6152" s="50" t="s">
        <v>4658</v>
      </c>
      <c r="E6152" s="90" t="s">
        <v>2088</v>
      </c>
      <c r="H6152" s="2">
        <v>20000</v>
      </c>
      <c r="I6152" s="88">
        <f t="shared" si="802"/>
        <v>11755.36</v>
      </c>
      <c r="K6152" s="62"/>
      <c r="L6152" s="2">
        <f t="shared" si="803"/>
        <v>25</v>
      </c>
      <c r="M6152">
        <f t="shared" si="804"/>
        <v>5</v>
      </c>
    </row>
    <row r="6153" spans="1:13" x14ac:dyDescent="0.3">
      <c r="A6153" s="3">
        <f t="shared" si="797"/>
        <v>45903</v>
      </c>
      <c r="B6153" s="11" t="s">
        <v>4520</v>
      </c>
      <c r="C6153" s="50" t="s">
        <v>7460</v>
      </c>
      <c r="E6153" s="90" t="s">
        <v>2088</v>
      </c>
      <c r="G6153" s="2">
        <v>2000</v>
      </c>
      <c r="I6153" s="88">
        <f t="shared" si="802"/>
        <v>13755.36</v>
      </c>
      <c r="K6153" s="62"/>
      <c r="L6153" s="2">
        <f t="shared" si="803"/>
        <v>13</v>
      </c>
      <c r="M6153">
        <f t="shared" si="804"/>
        <v>5</v>
      </c>
    </row>
    <row r="6154" spans="1:13" x14ac:dyDescent="0.3">
      <c r="A6154" s="3">
        <f t="shared" si="797"/>
        <v>45903</v>
      </c>
      <c r="B6154" s="11" t="s">
        <v>6260</v>
      </c>
      <c r="C6154" s="50" t="s">
        <v>8991</v>
      </c>
      <c r="E6154" s="90" t="s">
        <v>4720</v>
      </c>
      <c r="H6154" s="2">
        <v>10000</v>
      </c>
      <c r="I6154" s="88">
        <f t="shared" si="802"/>
        <v>3755.3600000000006</v>
      </c>
      <c r="K6154" s="62"/>
      <c r="L6154" s="2">
        <f t="shared" si="803"/>
        <v>20</v>
      </c>
      <c r="M6154">
        <f t="shared" si="804"/>
        <v>0</v>
      </c>
    </row>
    <row r="6155" spans="1:13" x14ac:dyDescent="0.3">
      <c r="A6155" s="3">
        <f t="shared" si="797"/>
        <v>45903</v>
      </c>
      <c r="B6155" s="11" t="s">
        <v>5495</v>
      </c>
      <c r="C6155" s="50" t="s">
        <v>8995</v>
      </c>
      <c r="E6155" s="90" t="s">
        <v>2088</v>
      </c>
      <c r="G6155" s="2">
        <v>0</v>
      </c>
      <c r="H6155" s="2">
        <v>0</v>
      </c>
      <c r="I6155" s="88">
        <f t="shared" si="802"/>
        <v>3755.3600000000006</v>
      </c>
      <c r="K6155" s="62"/>
      <c r="L6155" s="2">
        <f t="shared" si="803"/>
        <v>5</v>
      </c>
      <c r="M6155">
        <f t="shared" si="804"/>
        <v>5</v>
      </c>
    </row>
    <row r="6156" spans="1:13" x14ac:dyDescent="0.3">
      <c r="A6156" s="3">
        <f t="shared" si="797"/>
        <v>45903</v>
      </c>
      <c r="B6156" s="11" t="s">
        <v>8998</v>
      </c>
      <c r="C6156" s="50" t="s">
        <v>1020</v>
      </c>
      <c r="E6156" s="90" t="s">
        <v>2088</v>
      </c>
      <c r="G6156" s="2">
        <v>0</v>
      </c>
      <c r="H6156" s="2">
        <v>0</v>
      </c>
      <c r="I6156" s="88">
        <f t="shared" si="802"/>
        <v>3755.3600000000006</v>
      </c>
      <c r="K6156" s="62"/>
      <c r="L6156" s="2">
        <f t="shared" si="803"/>
        <v>5</v>
      </c>
      <c r="M6156">
        <f t="shared" si="804"/>
        <v>5</v>
      </c>
    </row>
    <row r="6157" spans="1:13" x14ac:dyDescent="0.3">
      <c r="A6157" s="3">
        <f t="shared" si="797"/>
        <v>45903</v>
      </c>
      <c r="B6157" s="11" t="s">
        <v>8999</v>
      </c>
      <c r="C6157" s="50" t="s">
        <v>9000</v>
      </c>
      <c r="E6157" s="90" t="s">
        <v>16</v>
      </c>
      <c r="H6157" s="2">
        <v>500</v>
      </c>
      <c r="I6157" s="88">
        <f t="shared" si="802"/>
        <v>3255.3600000000006</v>
      </c>
      <c r="K6157" s="62"/>
      <c r="L6157" s="2">
        <f t="shared" si="803"/>
        <v>17</v>
      </c>
      <c r="M6157">
        <f t="shared" si="804"/>
        <v>0</v>
      </c>
    </row>
    <row r="6158" spans="1:13" x14ac:dyDescent="0.3">
      <c r="A6158" s="3">
        <f t="shared" si="797"/>
        <v>45903</v>
      </c>
      <c r="B6158" s="11" t="s">
        <v>5348</v>
      </c>
      <c r="C6158" s="50" t="s">
        <v>9002</v>
      </c>
      <c r="E6158" s="90" t="s">
        <v>2088</v>
      </c>
      <c r="G6158" s="2">
        <v>2000</v>
      </c>
      <c r="I6158" s="88">
        <f t="shared" si="802"/>
        <v>5255.3600000000006</v>
      </c>
      <c r="K6158" s="62"/>
      <c r="L6158" s="2">
        <f t="shared" si="803"/>
        <v>13</v>
      </c>
      <c r="M6158">
        <f t="shared" si="804"/>
        <v>5</v>
      </c>
    </row>
    <row r="6159" spans="1:13" x14ac:dyDescent="0.3">
      <c r="A6159" s="3">
        <f t="shared" si="797"/>
        <v>45903</v>
      </c>
      <c r="B6159" s="11" t="s">
        <v>7398</v>
      </c>
      <c r="C6159" s="50" t="s">
        <v>8499</v>
      </c>
      <c r="E6159" s="90" t="s">
        <v>4720</v>
      </c>
      <c r="G6159" s="2">
        <v>4500</v>
      </c>
      <c r="I6159" s="88">
        <f t="shared" si="802"/>
        <v>9755.36</v>
      </c>
      <c r="K6159" s="62"/>
      <c r="L6159" s="2">
        <f t="shared" si="803"/>
        <v>18</v>
      </c>
      <c r="M6159">
        <f t="shared" si="804"/>
        <v>0</v>
      </c>
    </row>
    <row r="6160" spans="1:13" x14ac:dyDescent="0.3">
      <c r="A6160" s="3">
        <f t="shared" si="797"/>
        <v>45903</v>
      </c>
      <c r="B6160" s="11" t="s">
        <v>7859</v>
      </c>
      <c r="C6160" s="50" t="s">
        <v>8483</v>
      </c>
      <c r="E6160" s="90" t="s">
        <v>2088</v>
      </c>
      <c r="G6160" s="2">
        <v>2500</v>
      </c>
      <c r="I6160" s="88">
        <f t="shared" ref="I6160:I6163" si="805">I6159+G6160-H6160</f>
        <v>12255.36</v>
      </c>
      <c r="K6160" s="62"/>
      <c r="L6160" s="2">
        <f t="shared" ref="L6160:L6163" si="806">IF(E6160="C",0,IF((G6160+H6160)&lt;=5000,(G6160+H6160)*0.004,20)+IF(E6160="P",5,IF(E6160="Y",15,IF(E6160="YY",25))))</f>
        <v>15</v>
      </c>
      <c r="M6160">
        <f t="shared" ref="M6160:M6163" si="807">IF(E6160="p",5,0)</f>
        <v>5</v>
      </c>
    </row>
    <row r="6161" spans="1:13" x14ac:dyDescent="0.3">
      <c r="A6161" s="3">
        <f t="shared" si="797"/>
        <v>45903</v>
      </c>
      <c r="B6161" s="11" t="s">
        <v>6522</v>
      </c>
      <c r="C6161" s="50" t="s">
        <v>8468</v>
      </c>
      <c r="E6161" s="90" t="s">
        <v>4720</v>
      </c>
      <c r="G6161" s="2">
        <v>5000</v>
      </c>
      <c r="I6161" s="88">
        <f t="shared" si="805"/>
        <v>17255.36</v>
      </c>
      <c r="K6161" s="62"/>
      <c r="L6161" s="2">
        <f t="shared" si="806"/>
        <v>20</v>
      </c>
      <c r="M6161">
        <f t="shared" si="807"/>
        <v>0</v>
      </c>
    </row>
    <row r="6162" spans="1:13" x14ac:dyDescent="0.3">
      <c r="A6162" s="3">
        <f t="shared" si="797"/>
        <v>45903</v>
      </c>
      <c r="B6162" s="11" t="s">
        <v>7174</v>
      </c>
      <c r="C6162" s="50" t="s">
        <v>8857</v>
      </c>
      <c r="E6162" s="90" t="s">
        <v>4720</v>
      </c>
      <c r="G6162" s="2">
        <v>5000</v>
      </c>
      <c r="I6162" s="88">
        <f t="shared" si="805"/>
        <v>22255.360000000001</v>
      </c>
      <c r="K6162" s="62"/>
      <c r="L6162" s="2">
        <f t="shared" si="806"/>
        <v>20</v>
      </c>
      <c r="M6162">
        <f t="shared" si="807"/>
        <v>0</v>
      </c>
    </row>
    <row r="6163" spans="1:13" x14ac:dyDescent="0.3">
      <c r="A6163" s="3">
        <f t="shared" si="797"/>
        <v>45903</v>
      </c>
      <c r="B6163" s="11" t="s">
        <v>3039</v>
      </c>
      <c r="C6163" s="50" t="s">
        <v>9003</v>
      </c>
      <c r="D6163" s="50">
        <v>7004173123</v>
      </c>
      <c r="E6163" s="90" t="s">
        <v>4720</v>
      </c>
      <c r="G6163" s="2">
        <v>5000</v>
      </c>
      <c r="I6163" s="88">
        <f t="shared" si="805"/>
        <v>27255.360000000001</v>
      </c>
      <c r="K6163" s="62"/>
      <c r="L6163" s="2">
        <f t="shared" si="806"/>
        <v>20</v>
      </c>
      <c r="M6163">
        <f t="shared" si="807"/>
        <v>0</v>
      </c>
    </row>
    <row r="6164" spans="1:13" x14ac:dyDescent="0.3">
      <c r="A6164" s="3">
        <f t="shared" si="797"/>
        <v>45903</v>
      </c>
      <c r="B6164" s="11" t="s">
        <v>9005</v>
      </c>
      <c r="C6164" s="50" t="s">
        <v>3605</v>
      </c>
      <c r="E6164" s="90" t="s">
        <v>4720</v>
      </c>
      <c r="H6164" s="2">
        <v>6000</v>
      </c>
      <c r="I6164" s="88">
        <f t="shared" ref="I6164:I6175" si="808">I6163+G6164-H6164</f>
        <v>21255.360000000001</v>
      </c>
      <c r="K6164" s="62"/>
      <c r="L6164" s="2">
        <f t="shared" ref="L6164:L6177" si="809">IF(E6164="C",0,IF((G6164+H6164)&lt;=5000,(G6164+H6164)*0.004,20)+IF(E6164="P",5,IF(E6164="Y",15,IF(E6164="YY",25))))</f>
        <v>20</v>
      </c>
      <c r="M6164">
        <f t="shared" ref="M6164:M6175" si="810">IF(E6164="p",5,0)</f>
        <v>0</v>
      </c>
    </row>
    <row r="6165" spans="1:13" x14ac:dyDescent="0.3">
      <c r="A6165" s="3">
        <f>A6163</f>
        <v>45903</v>
      </c>
      <c r="B6165" s="11" t="s">
        <v>1472</v>
      </c>
      <c r="C6165" s="50" t="s">
        <v>9004</v>
      </c>
      <c r="E6165" s="90" t="s">
        <v>4720</v>
      </c>
      <c r="G6165" s="2">
        <v>4000</v>
      </c>
      <c r="I6165" s="88">
        <f t="shared" si="808"/>
        <v>25255.360000000001</v>
      </c>
      <c r="K6165" s="62"/>
      <c r="L6165" s="2">
        <f t="shared" si="809"/>
        <v>16</v>
      </c>
      <c r="M6165">
        <f t="shared" si="810"/>
        <v>0</v>
      </c>
    </row>
    <row r="6166" spans="1:13" x14ac:dyDescent="0.3">
      <c r="A6166" s="3">
        <f t="shared" si="797"/>
        <v>45903</v>
      </c>
      <c r="B6166" s="11" t="s">
        <v>7659</v>
      </c>
      <c r="C6166" s="50" t="s">
        <v>7897</v>
      </c>
      <c r="E6166" s="90" t="s">
        <v>2088</v>
      </c>
      <c r="G6166" s="2">
        <v>0</v>
      </c>
      <c r="H6166" s="2">
        <v>0</v>
      </c>
      <c r="I6166" s="88">
        <f t="shared" si="808"/>
        <v>25255.360000000001</v>
      </c>
      <c r="K6166" s="62"/>
      <c r="L6166" s="2">
        <f t="shared" si="809"/>
        <v>5</v>
      </c>
      <c r="M6166">
        <f t="shared" si="810"/>
        <v>5</v>
      </c>
    </row>
    <row r="6167" spans="1:13" x14ac:dyDescent="0.3">
      <c r="A6167" s="3">
        <v>45904</v>
      </c>
      <c r="B6167" s="11" t="s">
        <v>4652</v>
      </c>
      <c r="C6167" s="50" t="s">
        <v>4658</v>
      </c>
      <c r="E6167" s="90" t="s">
        <v>2088</v>
      </c>
      <c r="H6167" s="2">
        <v>2000</v>
      </c>
      <c r="I6167" s="88">
        <f t="shared" si="808"/>
        <v>23255.360000000001</v>
      </c>
      <c r="K6167" s="62"/>
      <c r="L6167" s="2">
        <f t="shared" si="809"/>
        <v>13</v>
      </c>
      <c r="M6167">
        <f t="shared" si="810"/>
        <v>5</v>
      </c>
    </row>
    <row r="6168" spans="1:13" x14ac:dyDescent="0.3">
      <c r="A6168" s="3">
        <f t="shared" si="797"/>
        <v>45904</v>
      </c>
      <c r="B6168" s="11" t="s">
        <v>8583</v>
      </c>
      <c r="C6168" s="50" t="s">
        <v>9006</v>
      </c>
      <c r="D6168" s="50" t="s">
        <v>9007</v>
      </c>
      <c r="E6168" s="90" t="s">
        <v>4720</v>
      </c>
      <c r="H6168" s="2">
        <v>1100</v>
      </c>
      <c r="I6168" s="88">
        <f t="shared" si="808"/>
        <v>22155.360000000001</v>
      </c>
      <c r="K6168" s="62"/>
      <c r="L6168" s="2">
        <f t="shared" si="809"/>
        <v>4.4000000000000004</v>
      </c>
      <c r="M6168">
        <f t="shared" si="810"/>
        <v>0</v>
      </c>
    </row>
    <row r="6169" spans="1:13" x14ac:dyDescent="0.3">
      <c r="A6169" s="3">
        <f t="shared" si="797"/>
        <v>45904</v>
      </c>
      <c r="B6169" s="11" t="s">
        <v>9009</v>
      </c>
      <c r="C6169" s="50" t="s">
        <v>9013</v>
      </c>
      <c r="E6169" s="90" t="s">
        <v>16</v>
      </c>
      <c r="H6169" s="2">
        <v>500</v>
      </c>
      <c r="I6169" s="88">
        <f t="shared" si="808"/>
        <v>21655.360000000001</v>
      </c>
      <c r="K6169" s="62"/>
      <c r="L6169" s="2">
        <f t="shared" si="809"/>
        <v>17</v>
      </c>
      <c r="M6169">
        <f t="shared" si="810"/>
        <v>0</v>
      </c>
    </row>
    <row r="6170" spans="1:13" x14ac:dyDescent="0.3">
      <c r="A6170" s="3">
        <f t="shared" si="797"/>
        <v>45904</v>
      </c>
      <c r="B6170" s="11" t="s">
        <v>8659</v>
      </c>
      <c r="C6170" s="50" t="s">
        <v>2626</v>
      </c>
      <c r="E6170" s="90" t="s">
        <v>4720</v>
      </c>
      <c r="G6170" s="2">
        <v>1200</v>
      </c>
      <c r="I6170" s="88">
        <f t="shared" si="808"/>
        <v>22855.360000000001</v>
      </c>
      <c r="K6170" s="62"/>
      <c r="L6170" s="2">
        <f t="shared" si="809"/>
        <v>4.8</v>
      </c>
      <c r="M6170">
        <f t="shared" si="810"/>
        <v>0</v>
      </c>
    </row>
    <row r="6171" spans="1:13" x14ac:dyDescent="0.3">
      <c r="A6171" s="3">
        <f t="shared" si="797"/>
        <v>45904</v>
      </c>
      <c r="B6171" s="11" t="s">
        <v>8979</v>
      </c>
      <c r="C6171" s="50" t="s">
        <v>2504</v>
      </c>
      <c r="E6171" s="90" t="s">
        <v>4720</v>
      </c>
      <c r="G6171" s="2">
        <v>600</v>
      </c>
      <c r="I6171" s="88">
        <f t="shared" si="808"/>
        <v>23455.360000000001</v>
      </c>
      <c r="K6171" s="62"/>
      <c r="L6171" s="2">
        <f t="shared" si="809"/>
        <v>2.4</v>
      </c>
      <c r="M6171">
        <f t="shared" si="810"/>
        <v>0</v>
      </c>
    </row>
    <row r="6172" spans="1:13" x14ac:dyDescent="0.3">
      <c r="A6172" s="3">
        <f t="shared" si="797"/>
        <v>45904</v>
      </c>
      <c r="B6172" s="11" t="s">
        <v>6260</v>
      </c>
      <c r="C6172" s="50" t="s">
        <v>8991</v>
      </c>
      <c r="E6172" s="90" t="s">
        <v>4720</v>
      </c>
      <c r="H6172" s="2">
        <v>10000</v>
      </c>
      <c r="I6172" s="88">
        <f t="shared" si="808"/>
        <v>13455.36</v>
      </c>
      <c r="K6172" s="62"/>
      <c r="L6172" s="2">
        <f t="shared" si="809"/>
        <v>20</v>
      </c>
      <c r="M6172">
        <f t="shared" si="810"/>
        <v>0</v>
      </c>
    </row>
    <row r="6173" spans="1:13" x14ac:dyDescent="0.3">
      <c r="A6173" s="3">
        <f t="shared" si="797"/>
        <v>45904</v>
      </c>
      <c r="B6173" s="11" t="s">
        <v>2241</v>
      </c>
      <c r="C6173" s="50" t="s">
        <v>8269</v>
      </c>
      <c r="E6173" s="90" t="s">
        <v>4720</v>
      </c>
      <c r="G6173" s="2">
        <v>400</v>
      </c>
      <c r="I6173" s="88">
        <f t="shared" si="808"/>
        <v>13855.36</v>
      </c>
      <c r="K6173" s="62"/>
      <c r="L6173" s="2">
        <f t="shared" si="809"/>
        <v>1.6</v>
      </c>
      <c r="M6173">
        <f t="shared" si="810"/>
        <v>0</v>
      </c>
    </row>
    <row r="6174" spans="1:13" x14ac:dyDescent="0.3">
      <c r="A6174" s="3">
        <f t="shared" si="797"/>
        <v>45904</v>
      </c>
      <c r="B6174" s="11" t="s">
        <v>6728</v>
      </c>
      <c r="C6174" s="50" t="s">
        <v>8346</v>
      </c>
      <c r="E6174" s="90" t="s">
        <v>2088</v>
      </c>
      <c r="G6174" s="2">
        <v>2000</v>
      </c>
      <c r="I6174" s="88">
        <f t="shared" si="808"/>
        <v>15855.36</v>
      </c>
      <c r="K6174" s="62"/>
      <c r="L6174" s="2">
        <f t="shared" si="809"/>
        <v>13</v>
      </c>
      <c r="M6174">
        <f t="shared" si="810"/>
        <v>5</v>
      </c>
    </row>
    <row r="6175" spans="1:13" x14ac:dyDescent="0.3">
      <c r="A6175" s="3">
        <f t="shared" si="797"/>
        <v>45904</v>
      </c>
      <c r="B6175" s="11" t="s">
        <v>6726</v>
      </c>
      <c r="C6175" s="50" t="s">
        <v>267</v>
      </c>
      <c r="E6175" s="90" t="s">
        <v>2088</v>
      </c>
      <c r="G6175" s="2">
        <v>400</v>
      </c>
      <c r="I6175" s="88">
        <f t="shared" si="808"/>
        <v>16255.36</v>
      </c>
      <c r="K6175" s="62"/>
      <c r="L6175" s="2">
        <f t="shared" si="809"/>
        <v>6.6</v>
      </c>
      <c r="M6175">
        <f t="shared" si="810"/>
        <v>5</v>
      </c>
    </row>
    <row r="6176" spans="1:13" x14ac:dyDescent="0.3">
      <c r="A6176" s="3">
        <v>45905</v>
      </c>
      <c r="B6176" s="11" t="s">
        <v>6844</v>
      </c>
      <c r="C6176" s="50" t="s">
        <v>8198</v>
      </c>
      <c r="E6176" s="90" t="s">
        <v>4720</v>
      </c>
      <c r="H6176" s="2">
        <v>1500</v>
      </c>
      <c r="I6176" s="88">
        <f t="shared" ref="I6176:I6177" si="811">I6175+G6176-H6176</f>
        <v>14755.36</v>
      </c>
      <c r="K6176" s="62"/>
      <c r="L6176" s="2">
        <f t="shared" si="809"/>
        <v>6</v>
      </c>
      <c r="M6176">
        <f t="shared" ref="M6176:M6177" si="812">IF(E6176="p",5,0)</f>
        <v>0</v>
      </c>
    </row>
    <row r="6177" spans="1:13" x14ac:dyDescent="0.3">
      <c r="A6177" s="3">
        <f t="shared" si="797"/>
        <v>45905</v>
      </c>
      <c r="B6177" s="11" t="s">
        <v>9014</v>
      </c>
      <c r="C6177" s="50" t="s">
        <v>9015</v>
      </c>
      <c r="E6177" s="90" t="s">
        <v>4720</v>
      </c>
      <c r="H6177" s="2">
        <v>5000</v>
      </c>
      <c r="I6177" s="88">
        <f t="shared" si="811"/>
        <v>9755.36</v>
      </c>
      <c r="K6177" s="62"/>
      <c r="L6177" s="2">
        <f t="shared" si="809"/>
        <v>20</v>
      </c>
      <c r="M6177">
        <f t="shared" si="812"/>
        <v>0</v>
      </c>
    </row>
    <row r="6178" spans="1:13" x14ac:dyDescent="0.3">
      <c r="A6178" s="3">
        <v>45905</v>
      </c>
      <c r="B6178" s="11" t="s">
        <v>1472</v>
      </c>
      <c r="C6178" s="50" t="s">
        <v>9016</v>
      </c>
      <c r="E6178" s="90" t="s">
        <v>4720</v>
      </c>
      <c r="G6178" s="2">
        <v>4000</v>
      </c>
      <c r="I6178" s="88">
        <f t="shared" ref="I6178:I6199" si="813">I6177+G6178-H6178</f>
        <v>13755.36</v>
      </c>
      <c r="K6178" s="62"/>
      <c r="L6178" s="2">
        <f t="shared" ref="L6178:L6199" si="814">IF(E6178="C",0,IF((G6178+H6178)&lt;=5000,(G6178+H6178)*0.004,20)+IF(E6178="P",5,IF(E6178="Y",15,IF(E6178="YY",25))))</f>
        <v>16</v>
      </c>
      <c r="M6178">
        <f t="shared" ref="M6178:M6199" si="815">IF(E6178="p",5,0)</f>
        <v>0</v>
      </c>
    </row>
    <row r="6179" spans="1:13" x14ac:dyDescent="0.3">
      <c r="A6179" s="3"/>
      <c r="G6179" s="2">
        <v>2500</v>
      </c>
      <c r="I6179" s="88">
        <f t="shared" si="813"/>
        <v>16255.36</v>
      </c>
      <c r="K6179" s="62"/>
      <c r="L6179" s="2">
        <f t="shared" si="814"/>
        <v>10</v>
      </c>
      <c r="M6179">
        <f t="shared" si="815"/>
        <v>0</v>
      </c>
    </row>
    <row r="6180" spans="1:13" x14ac:dyDescent="0.3">
      <c r="A6180" s="3">
        <v>45906</v>
      </c>
      <c r="B6180" s="11" t="s">
        <v>7081</v>
      </c>
      <c r="C6180" s="50" t="s">
        <v>9017</v>
      </c>
      <c r="E6180" s="90" t="s">
        <v>2088</v>
      </c>
      <c r="G6180" s="2">
        <v>300</v>
      </c>
      <c r="I6180" s="88">
        <f t="shared" si="813"/>
        <v>16555.36</v>
      </c>
      <c r="K6180" s="62"/>
      <c r="L6180" s="2">
        <f t="shared" si="814"/>
        <v>6.2</v>
      </c>
      <c r="M6180">
        <f t="shared" si="815"/>
        <v>5</v>
      </c>
    </row>
    <row r="6181" spans="1:13" x14ac:dyDescent="0.3">
      <c r="A6181" s="3">
        <f t="shared" ref="A6181:A6244" si="816">A6180</f>
        <v>45906</v>
      </c>
      <c r="B6181" s="11" t="s">
        <v>9018</v>
      </c>
      <c r="C6181" s="50" t="s">
        <v>9019</v>
      </c>
      <c r="E6181" s="90" t="s">
        <v>4720</v>
      </c>
      <c r="G6181" s="2">
        <v>5000</v>
      </c>
      <c r="I6181" s="88">
        <f t="shared" si="813"/>
        <v>21555.360000000001</v>
      </c>
      <c r="K6181" s="62"/>
      <c r="L6181" s="2">
        <f t="shared" si="814"/>
        <v>20</v>
      </c>
      <c r="M6181">
        <f t="shared" si="815"/>
        <v>0</v>
      </c>
    </row>
    <row r="6182" spans="1:13" x14ac:dyDescent="0.3">
      <c r="A6182" s="3">
        <f t="shared" si="816"/>
        <v>45906</v>
      </c>
      <c r="B6182" s="11" t="s">
        <v>4311</v>
      </c>
      <c r="C6182" s="50" t="s">
        <v>9020</v>
      </c>
      <c r="E6182" s="90" t="s">
        <v>4720</v>
      </c>
      <c r="G6182" s="2">
        <v>10000</v>
      </c>
      <c r="I6182" s="88">
        <f t="shared" si="813"/>
        <v>31555.360000000001</v>
      </c>
      <c r="K6182" s="62"/>
      <c r="L6182" s="2">
        <f t="shared" si="814"/>
        <v>20</v>
      </c>
      <c r="M6182">
        <f t="shared" si="815"/>
        <v>0</v>
      </c>
    </row>
    <row r="6183" spans="1:13" x14ac:dyDescent="0.3">
      <c r="A6183" s="3">
        <f t="shared" si="816"/>
        <v>45906</v>
      </c>
      <c r="B6183" s="11" t="s">
        <v>4411</v>
      </c>
      <c r="C6183" s="50" t="s">
        <v>9021</v>
      </c>
      <c r="E6183" s="90" t="s">
        <v>4720</v>
      </c>
      <c r="G6183" s="2">
        <v>5000</v>
      </c>
      <c r="I6183" s="88">
        <f t="shared" si="813"/>
        <v>36555.360000000001</v>
      </c>
      <c r="K6183" s="62"/>
      <c r="L6183" s="2">
        <f t="shared" si="814"/>
        <v>20</v>
      </c>
      <c r="M6183">
        <f t="shared" si="815"/>
        <v>0</v>
      </c>
    </row>
    <row r="6184" spans="1:13" x14ac:dyDescent="0.3">
      <c r="A6184" s="3">
        <f t="shared" si="816"/>
        <v>45906</v>
      </c>
      <c r="B6184" s="11" t="s">
        <v>4414</v>
      </c>
      <c r="C6184" s="50" t="s">
        <v>9022</v>
      </c>
      <c r="E6184" s="90" t="s">
        <v>4720</v>
      </c>
      <c r="G6184" s="2">
        <v>5000</v>
      </c>
      <c r="I6184" s="88">
        <f t="shared" si="813"/>
        <v>41555.360000000001</v>
      </c>
      <c r="K6184" s="62"/>
      <c r="L6184" s="2">
        <f t="shared" si="814"/>
        <v>20</v>
      </c>
      <c r="M6184">
        <f t="shared" si="815"/>
        <v>0</v>
      </c>
    </row>
    <row r="6185" spans="1:13" x14ac:dyDescent="0.3">
      <c r="A6185" s="3">
        <f t="shared" si="816"/>
        <v>45906</v>
      </c>
      <c r="B6185" s="11" t="s">
        <v>3232</v>
      </c>
      <c r="C6185" s="50" t="s">
        <v>7500</v>
      </c>
      <c r="E6185" s="90" t="s">
        <v>4720</v>
      </c>
      <c r="G6185" s="2">
        <v>5000</v>
      </c>
      <c r="I6185" s="88">
        <f t="shared" si="813"/>
        <v>46555.360000000001</v>
      </c>
      <c r="K6185" s="62"/>
      <c r="L6185" s="2">
        <f t="shared" si="814"/>
        <v>20</v>
      </c>
      <c r="M6185">
        <f t="shared" si="815"/>
        <v>0</v>
      </c>
    </row>
    <row r="6186" spans="1:13" x14ac:dyDescent="0.3">
      <c r="A6186" s="3">
        <f t="shared" si="816"/>
        <v>45906</v>
      </c>
      <c r="B6186" s="11" t="s">
        <v>1250</v>
      </c>
      <c r="C6186" s="50" t="s">
        <v>9023</v>
      </c>
      <c r="E6186" s="90" t="s">
        <v>4720</v>
      </c>
      <c r="G6186" s="2">
        <v>1000</v>
      </c>
      <c r="I6186" s="88">
        <f t="shared" si="813"/>
        <v>47555.360000000001</v>
      </c>
      <c r="K6186" s="62"/>
      <c r="L6186" s="2">
        <f t="shared" si="814"/>
        <v>4</v>
      </c>
      <c r="M6186">
        <f t="shared" si="815"/>
        <v>0</v>
      </c>
    </row>
    <row r="6187" spans="1:13" x14ac:dyDescent="0.3">
      <c r="A6187" s="3">
        <f t="shared" si="816"/>
        <v>45906</v>
      </c>
      <c r="B6187" s="11" t="s">
        <v>2634</v>
      </c>
      <c r="C6187" s="50" t="s">
        <v>9024</v>
      </c>
      <c r="E6187" s="90" t="s">
        <v>4720</v>
      </c>
      <c r="H6187" s="2">
        <v>1000</v>
      </c>
      <c r="I6187" s="88">
        <f t="shared" si="813"/>
        <v>46555.360000000001</v>
      </c>
      <c r="K6187" s="62"/>
      <c r="L6187" s="2">
        <f t="shared" si="814"/>
        <v>4</v>
      </c>
      <c r="M6187">
        <f t="shared" si="815"/>
        <v>0</v>
      </c>
    </row>
    <row r="6188" spans="1:13" x14ac:dyDescent="0.3">
      <c r="A6188" s="3">
        <f t="shared" si="816"/>
        <v>45906</v>
      </c>
      <c r="B6188" s="11" t="s">
        <v>9026</v>
      </c>
      <c r="C6188" s="65" t="s">
        <v>9029</v>
      </c>
      <c r="D6188" s="11"/>
      <c r="E6188" s="90" t="s">
        <v>16</v>
      </c>
      <c r="H6188" s="2">
        <v>500</v>
      </c>
      <c r="I6188" s="88">
        <f t="shared" si="813"/>
        <v>46055.360000000001</v>
      </c>
      <c r="K6188" s="62"/>
      <c r="L6188" s="2">
        <f t="shared" si="814"/>
        <v>17</v>
      </c>
      <c r="M6188">
        <f t="shared" si="815"/>
        <v>0</v>
      </c>
    </row>
    <row r="6189" spans="1:13" x14ac:dyDescent="0.3">
      <c r="A6189" s="3">
        <f t="shared" si="816"/>
        <v>45906</v>
      </c>
      <c r="B6189" s="11" t="s">
        <v>9031</v>
      </c>
      <c r="C6189" s="65" t="s">
        <v>9032</v>
      </c>
      <c r="D6189" s="11"/>
      <c r="E6189" s="90" t="s">
        <v>16</v>
      </c>
      <c r="H6189" s="2">
        <v>500</v>
      </c>
      <c r="I6189" s="88">
        <f t="shared" si="813"/>
        <v>45555.360000000001</v>
      </c>
      <c r="K6189" s="62"/>
      <c r="L6189" s="2">
        <f t="shared" si="814"/>
        <v>17</v>
      </c>
      <c r="M6189">
        <f t="shared" si="815"/>
        <v>0</v>
      </c>
    </row>
    <row r="6190" spans="1:13" x14ac:dyDescent="0.3">
      <c r="A6190" s="3">
        <f t="shared" si="816"/>
        <v>45906</v>
      </c>
      <c r="B6190" s="11" t="s">
        <v>1250</v>
      </c>
      <c r="C6190" s="50" t="s">
        <v>2348</v>
      </c>
      <c r="E6190" s="90" t="s">
        <v>4720</v>
      </c>
      <c r="G6190" s="2">
        <v>5000</v>
      </c>
      <c r="I6190" s="88">
        <f t="shared" si="813"/>
        <v>50555.360000000001</v>
      </c>
      <c r="K6190" s="62"/>
      <c r="L6190" s="2">
        <f t="shared" si="814"/>
        <v>20</v>
      </c>
      <c r="M6190">
        <f t="shared" si="815"/>
        <v>0</v>
      </c>
    </row>
    <row r="6191" spans="1:13" x14ac:dyDescent="0.3">
      <c r="A6191" s="3">
        <f t="shared" si="816"/>
        <v>45906</v>
      </c>
      <c r="C6191" s="50" t="s">
        <v>2857</v>
      </c>
      <c r="E6191" s="90" t="s">
        <v>8332</v>
      </c>
      <c r="H6191" s="2">
        <v>50000</v>
      </c>
      <c r="I6191" s="88">
        <f t="shared" si="813"/>
        <v>555.36000000000058</v>
      </c>
      <c r="K6191" s="62"/>
      <c r="L6191" s="2">
        <f t="shared" si="814"/>
        <v>0</v>
      </c>
      <c r="M6191">
        <f t="shared" si="815"/>
        <v>0</v>
      </c>
    </row>
    <row r="6192" spans="1:13" x14ac:dyDescent="0.3">
      <c r="A6192" s="3">
        <f t="shared" si="816"/>
        <v>45906</v>
      </c>
      <c r="B6192" s="11" t="s">
        <v>1250</v>
      </c>
      <c r="C6192" s="50" t="s">
        <v>8703</v>
      </c>
      <c r="E6192" s="90" t="s">
        <v>4720</v>
      </c>
      <c r="G6192" s="2">
        <v>600</v>
      </c>
      <c r="I6192" s="88">
        <f t="shared" si="813"/>
        <v>1155.3600000000006</v>
      </c>
      <c r="K6192" s="62"/>
      <c r="L6192" s="2">
        <f t="shared" si="814"/>
        <v>2.4</v>
      </c>
      <c r="M6192">
        <f t="shared" si="815"/>
        <v>0</v>
      </c>
    </row>
    <row r="6193" spans="1:13" x14ac:dyDescent="0.3">
      <c r="A6193" s="3">
        <f t="shared" si="816"/>
        <v>45906</v>
      </c>
      <c r="B6193" s="11" t="s">
        <v>6369</v>
      </c>
      <c r="C6193" s="50" t="s">
        <v>9035</v>
      </c>
      <c r="E6193" s="90" t="s">
        <v>2088</v>
      </c>
      <c r="G6193" s="2">
        <v>0</v>
      </c>
      <c r="H6193" s="2">
        <v>0</v>
      </c>
      <c r="I6193" s="88">
        <f t="shared" si="813"/>
        <v>1155.3600000000006</v>
      </c>
      <c r="K6193" s="62"/>
      <c r="L6193" s="2">
        <f t="shared" si="814"/>
        <v>5</v>
      </c>
      <c r="M6193">
        <f t="shared" si="815"/>
        <v>5</v>
      </c>
    </row>
    <row r="6194" spans="1:13" x14ac:dyDescent="0.3">
      <c r="A6194" s="3">
        <f t="shared" si="816"/>
        <v>45906</v>
      </c>
      <c r="B6194" s="11" t="s">
        <v>1250</v>
      </c>
      <c r="C6194" s="50" t="s">
        <v>7037</v>
      </c>
      <c r="E6194" s="90" t="s">
        <v>4720</v>
      </c>
      <c r="G6194" s="2">
        <v>2000</v>
      </c>
      <c r="I6194" s="88">
        <f t="shared" si="813"/>
        <v>3155.3600000000006</v>
      </c>
      <c r="K6194" s="62"/>
      <c r="L6194" s="2">
        <f t="shared" si="814"/>
        <v>8</v>
      </c>
      <c r="M6194">
        <f t="shared" si="815"/>
        <v>0</v>
      </c>
    </row>
    <row r="6195" spans="1:13" x14ac:dyDescent="0.3">
      <c r="A6195" s="3">
        <f t="shared" si="816"/>
        <v>45906</v>
      </c>
      <c r="B6195" s="11" t="s">
        <v>8536</v>
      </c>
      <c r="C6195" s="50" t="s">
        <v>8884</v>
      </c>
      <c r="E6195" s="90" t="s">
        <v>2088</v>
      </c>
      <c r="G6195" s="2">
        <v>0</v>
      </c>
      <c r="H6195" s="2">
        <v>0</v>
      </c>
      <c r="I6195" s="88">
        <f t="shared" si="813"/>
        <v>3155.3600000000006</v>
      </c>
      <c r="K6195" s="62"/>
      <c r="L6195" s="2">
        <f t="shared" si="814"/>
        <v>5</v>
      </c>
      <c r="M6195">
        <f t="shared" si="815"/>
        <v>5</v>
      </c>
    </row>
    <row r="6196" spans="1:13" x14ac:dyDescent="0.3">
      <c r="A6196" s="3">
        <f t="shared" si="816"/>
        <v>45906</v>
      </c>
      <c r="B6196" s="11" t="s">
        <v>8536</v>
      </c>
      <c r="C6196" s="50" t="s">
        <v>8884</v>
      </c>
      <c r="E6196" s="90" t="s">
        <v>2088</v>
      </c>
      <c r="G6196" s="2">
        <v>10000</v>
      </c>
      <c r="I6196" s="88">
        <f t="shared" si="813"/>
        <v>13155.36</v>
      </c>
      <c r="K6196" s="62"/>
      <c r="L6196" s="2">
        <f t="shared" si="814"/>
        <v>25</v>
      </c>
      <c r="M6196">
        <f t="shared" si="815"/>
        <v>5</v>
      </c>
    </row>
    <row r="6197" spans="1:13" x14ac:dyDescent="0.3">
      <c r="A6197" s="3">
        <v>45908</v>
      </c>
      <c r="B6197" s="11" t="s">
        <v>3039</v>
      </c>
      <c r="C6197" s="50" t="s">
        <v>8933</v>
      </c>
      <c r="E6197" s="90" t="s">
        <v>4720</v>
      </c>
      <c r="G6197" s="2">
        <v>5000</v>
      </c>
      <c r="I6197" s="88">
        <f t="shared" si="813"/>
        <v>18155.36</v>
      </c>
      <c r="K6197" s="62"/>
      <c r="L6197" s="2">
        <f t="shared" si="814"/>
        <v>20</v>
      </c>
      <c r="M6197">
        <f t="shared" si="815"/>
        <v>0</v>
      </c>
    </row>
    <row r="6198" spans="1:13" x14ac:dyDescent="0.3">
      <c r="A6198" s="3">
        <f t="shared" si="816"/>
        <v>45908</v>
      </c>
      <c r="B6198" s="11" t="s">
        <v>7394</v>
      </c>
      <c r="C6198" s="50" t="s">
        <v>7395</v>
      </c>
      <c r="E6198" s="90" t="s">
        <v>2088</v>
      </c>
      <c r="G6198" s="2">
        <v>0</v>
      </c>
      <c r="H6198" s="2">
        <v>0</v>
      </c>
      <c r="I6198" s="88">
        <f t="shared" si="813"/>
        <v>18155.36</v>
      </c>
      <c r="K6198" s="62"/>
      <c r="L6198" s="2">
        <f t="shared" si="814"/>
        <v>5</v>
      </c>
      <c r="M6198">
        <f t="shared" si="815"/>
        <v>5</v>
      </c>
    </row>
    <row r="6199" spans="1:13" x14ac:dyDescent="0.3">
      <c r="A6199" s="3">
        <f t="shared" si="816"/>
        <v>45908</v>
      </c>
      <c r="B6199" s="11" t="s">
        <v>7394</v>
      </c>
      <c r="C6199" s="50" t="s">
        <v>7395</v>
      </c>
      <c r="E6199" s="90" t="s">
        <v>2088</v>
      </c>
      <c r="G6199" s="2">
        <v>2500</v>
      </c>
      <c r="I6199" s="88">
        <f t="shared" si="813"/>
        <v>20655.36</v>
      </c>
      <c r="K6199" s="62"/>
      <c r="L6199" s="2">
        <f t="shared" si="814"/>
        <v>15</v>
      </c>
      <c r="M6199">
        <f t="shared" si="815"/>
        <v>5</v>
      </c>
    </row>
    <row r="6200" spans="1:13" x14ac:dyDescent="0.3">
      <c r="A6200" s="3">
        <f t="shared" si="816"/>
        <v>45908</v>
      </c>
      <c r="B6200" s="11" t="s">
        <v>2634</v>
      </c>
      <c r="C6200" s="50" t="s">
        <v>3251</v>
      </c>
      <c r="E6200" s="90" t="s">
        <v>4720</v>
      </c>
      <c r="H6200" s="2">
        <v>2000</v>
      </c>
      <c r="I6200" s="88">
        <f t="shared" ref="I6200:I6202" si="817">I6199+G6200-H6200</f>
        <v>18655.36</v>
      </c>
      <c r="K6200" s="62"/>
      <c r="L6200" s="2">
        <f t="shared" ref="L6200:L6202" si="818">IF(E6200="C",0,IF((G6200+H6200)&lt;=5000,(G6200+H6200)*0.004,20)+IF(E6200="P",5,IF(E6200="Y",15,IF(E6200="YY",25))))</f>
        <v>8</v>
      </c>
      <c r="M6200">
        <f t="shared" ref="M6200:M6202" si="819">IF(E6200="p",5,0)</f>
        <v>0</v>
      </c>
    </row>
    <row r="6201" spans="1:13" x14ac:dyDescent="0.3">
      <c r="A6201" s="3">
        <f t="shared" si="816"/>
        <v>45908</v>
      </c>
      <c r="B6201" s="11" t="s">
        <v>3148</v>
      </c>
      <c r="C6201" s="50" t="s">
        <v>9039</v>
      </c>
      <c r="E6201" s="90" t="s">
        <v>4720</v>
      </c>
      <c r="G6201" s="2">
        <v>2000</v>
      </c>
      <c r="I6201" s="88">
        <f t="shared" si="817"/>
        <v>20655.36</v>
      </c>
      <c r="K6201" s="62"/>
      <c r="L6201" s="2">
        <f t="shared" si="818"/>
        <v>8</v>
      </c>
      <c r="M6201">
        <f t="shared" si="819"/>
        <v>0</v>
      </c>
    </row>
    <row r="6202" spans="1:13" x14ac:dyDescent="0.3">
      <c r="A6202" s="3">
        <f t="shared" si="816"/>
        <v>45908</v>
      </c>
      <c r="B6202" s="11" t="s">
        <v>6844</v>
      </c>
      <c r="C6202" s="50" t="s">
        <v>8198</v>
      </c>
      <c r="E6202" s="90" t="s">
        <v>4720</v>
      </c>
      <c r="H6202" s="2">
        <v>1800</v>
      </c>
      <c r="I6202" s="88">
        <f t="shared" si="817"/>
        <v>18855.36</v>
      </c>
      <c r="K6202" s="62"/>
      <c r="L6202" s="2">
        <f t="shared" si="818"/>
        <v>7.2</v>
      </c>
      <c r="M6202">
        <f t="shared" si="819"/>
        <v>0</v>
      </c>
    </row>
    <row r="6203" spans="1:13" x14ac:dyDescent="0.3">
      <c r="A6203" s="3">
        <f t="shared" si="816"/>
        <v>45908</v>
      </c>
      <c r="B6203" s="11" t="s">
        <v>8504</v>
      </c>
      <c r="C6203" s="50" t="s">
        <v>8510</v>
      </c>
      <c r="E6203" s="90" t="s">
        <v>2088</v>
      </c>
      <c r="G6203" s="2">
        <v>10000</v>
      </c>
      <c r="I6203" s="88">
        <f t="shared" ref="I6203:I6220" si="820">I6202+G6203-H6203</f>
        <v>28855.360000000001</v>
      </c>
      <c r="K6203" s="62"/>
      <c r="L6203" s="2">
        <f t="shared" ref="L6203:L6220" si="821">IF(E6203="C",0,IF((G6203+H6203)&lt;=5000,(G6203+H6203)*0.004,20)+IF(E6203="P",5,IF(E6203="Y",15,IF(E6203="YY",25))))</f>
        <v>25</v>
      </c>
      <c r="M6203">
        <f t="shared" ref="M6203:M6220" si="822">IF(E6203="p",5,0)</f>
        <v>5</v>
      </c>
    </row>
    <row r="6204" spans="1:13" x14ac:dyDescent="0.3">
      <c r="A6204" s="3">
        <f t="shared" si="816"/>
        <v>45908</v>
      </c>
      <c r="C6204" s="50" t="s">
        <v>2857</v>
      </c>
      <c r="E6204" s="90" t="s">
        <v>8332</v>
      </c>
      <c r="H6204" s="2">
        <v>20000</v>
      </c>
      <c r="I6204" s="88">
        <f t="shared" si="820"/>
        <v>8855.36</v>
      </c>
      <c r="K6204" s="62"/>
      <c r="L6204" s="2">
        <f t="shared" si="821"/>
        <v>0</v>
      </c>
      <c r="M6204">
        <f t="shared" si="822"/>
        <v>0</v>
      </c>
    </row>
    <row r="6205" spans="1:13" x14ac:dyDescent="0.3">
      <c r="A6205" s="3">
        <f t="shared" si="816"/>
        <v>45908</v>
      </c>
      <c r="B6205" s="11" t="s">
        <v>5042</v>
      </c>
      <c r="C6205" s="50" t="s">
        <v>6176</v>
      </c>
      <c r="E6205" s="90" t="s">
        <v>2088</v>
      </c>
      <c r="G6205" s="2">
        <v>8500</v>
      </c>
      <c r="I6205" s="88">
        <f t="shared" si="820"/>
        <v>17355.36</v>
      </c>
      <c r="K6205" s="62"/>
      <c r="L6205" s="2">
        <f t="shared" si="821"/>
        <v>25</v>
      </c>
      <c r="M6205">
        <f t="shared" si="822"/>
        <v>5</v>
      </c>
    </row>
    <row r="6206" spans="1:13" x14ac:dyDescent="0.3">
      <c r="A6206" s="3">
        <v>45909</v>
      </c>
      <c r="B6206" s="11" t="s">
        <v>6260</v>
      </c>
      <c r="C6206" s="50" t="s">
        <v>8991</v>
      </c>
      <c r="E6206" s="90" t="s">
        <v>4720</v>
      </c>
      <c r="H6206" s="2">
        <v>10000</v>
      </c>
      <c r="I6206" s="88">
        <f t="shared" si="820"/>
        <v>7355.3600000000006</v>
      </c>
      <c r="K6206" s="62"/>
      <c r="L6206" s="2">
        <f t="shared" si="821"/>
        <v>20</v>
      </c>
      <c r="M6206">
        <f t="shared" si="822"/>
        <v>0</v>
      </c>
    </row>
    <row r="6207" spans="1:13" x14ac:dyDescent="0.3">
      <c r="A6207" s="3">
        <f t="shared" si="816"/>
        <v>45909</v>
      </c>
      <c r="B6207" s="11" t="s">
        <v>8561</v>
      </c>
      <c r="C6207" s="50" t="s">
        <v>9040</v>
      </c>
      <c r="E6207" s="90" t="s">
        <v>4720</v>
      </c>
      <c r="H6207" s="2">
        <v>5000</v>
      </c>
      <c r="I6207" s="88">
        <f t="shared" si="820"/>
        <v>2355.3600000000006</v>
      </c>
      <c r="K6207" s="62"/>
      <c r="L6207" s="2">
        <f t="shared" si="821"/>
        <v>20</v>
      </c>
      <c r="M6207">
        <f t="shared" si="822"/>
        <v>0</v>
      </c>
    </row>
    <row r="6208" spans="1:13" x14ac:dyDescent="0.3">
      <c r="A6208" s="3">
        <f t="shared" si="816"/>
        <v>45909</v>
      </c>
      <c r="B6208" s="11" t="s">
        <v>6549</v>
      </c>
      <c r="C6208" s="50">
        <v>5784</v>
      </c>
      <c r="E6208" s="90" t="s">
        <v>2088</v>
      </c>
      <c r="G6208" s="2">
        <v>0</v>
      </c>
      <c r="H6208" s="2">
        <v>0</v>
      </c>
      <c r="I6208" s="88">
        <f t="shared" si="820"/>
        <v>2355.3600000000006</v>
      </c>
      <c r="K6208" s="62"/>
      <c r="L6208" s="2">
        <f t="shared" si="821"/>
        <v>5</v>
      </c>
      <c r="M6208">
        <f t="shared" si="822"/>
        <v>5</v>
      </c>
    </row>
    <row r="6209" spans="1:13" x14ac:dyDescent="0.3">
      <c r="A6209" s="3">
        <f t="shared" si="816"/>
        <v>45909</v>
      </c>
      <c r="B6209" s="11" t="s">
        <v>6549</v>
      </c>
      <c r="C6209" s="50">
        <v>5784</v>
      </c>
      <c r="E6209" s="90" t="s">
        <v>2088</v>
      </c>
      <c r="G6209" s="2">
        <v>2500</v>
      </c>
      <c r="I6209" s="88">
        <f t="shared" si="820"/>
        <v>4855.3600000000006</v>
      </c>
      <c r="J6209">
        <v>4347</v>
      </c>
      <c r="K6209" s="62"/>
      <c r="L6209" s="2">
        <f t="shared" si="821"/>
        <v>15</v>
      </c>
      <c r="M6209">
        <f t="shared" si="822"/>
        <v>5</v>
      </c>
    </row>
    <row r="6210" spans="1:13" x14ac:dyDescent="0.3">
      <c r="A6210" s="3">
        <f t="shared" si="816"/>
        <v>45909</v>
      </c>
      <c r="B6210" s="11" t="s">
        <v>9009</v>
      </c>
      <c r="C6210" s="50" t="s">
        <v>9013</v>
      </c>
      <c r="E6210" s="90" t="s">
        <v>2088</v>
      </c>
      <c r="G6210" s="2">
        <v>0</v>
      </c>
      <c r="H6210" s="2">
        <v>0</v>
      </c>
      <c r="I6210" s="88">
        <f t="shared" si="820"/>
        <v>4855.3600000000006</v>
      </c>
      <c r="K6210" s="62"/>
      <c r="L6210" s="2">
        <f t="shared" si="821"/>
        <v>5</v>
      </c>
      <c r="M6210">
        <f t="shared" si="822"/>
        <v>5</v>
      </c>
    </row>
    <row r="6211" spans="1:13" x14ac:dyDescent="0.3">
      <c r="A6211" s="3">
        <f t="shared" si="816"/>
        <v>45909</v>
      </c>
      <c r="B6211" s="11" t="s">
        <v>8806</v>
      </c>
      <c r="C6211" s="50" t="s">
        <v>2615</v>
      </c>
      <c r="E6211" s="90" t="s">
        <v>4720</v>
      </c>
      <c r="G6211" s="2">
        <v>1000</v>
      </c>
      <c r="I6211" s="88">
        <f t="shared" si="820"/>
        <v>5855.3600000000006</v>
      </c>
      <c r="K6211" s="62"/>
      <c r="L6211" s="2">
        <f t="shared" si="821"/>
        <v>4</v>
      </c>
      <c r="M6211">
        <f t="shared" si="822"/>
        <v>0</v>
      </c>
    </row>
    <row r="6212" spans="1:13" x14ac:dyDescent="0.3">
      <c r="A6212" s="3">
        <f t="shared" si="816"/>
        <v>45909</v>
      </c>
      <c r="B6212" s="11" t="s">
        <v>1250</v>
      </c>
      <c r="C6212" s="50" t="s">
        <v>9043</v>
      </c>
      <c r="E6212" s="90" t="s">
        <v>4720</v>
      </c>
      <c r="G6212" s="2">
        <v>2000</v>
      </c>
      <c r="I6212" s="88">
        <f t="shared" si="820"/>
        <v>7855.3600000000006</v>
      </c>
      <c r="K6212" s="62"/>
      <c r="L6212" s="2">
        <f t="shared" si="821"/>
        <v>8</v>
      </c>
      <c r="M6212">
        <f t="shared" si="822"/>
        <v>0</v>
      </c>
    </row>
    <row r="6213" spans="1:13" x14ac:dyDescent="0.3">
      <c r="A6213" s="3">
        <f t="shared" si="816"/>
        <v>45909</v>
      </c>
      <c r="B6213" s="11" t="s">
        <v>8676</v>
      </c>
      <c r="C6213" s="50" t="s">
        <v>9044</v>
      </c>
      <c r="E6213" s="90" t="s">
        <v>2088</v>
      </c>
      <c r="G6213" s="2">
        <v>0</v>
      </c>
      <c r="H6213" s="2">
        <v>0</v>
      </c>
      <c r="I6213" s="88">
        <f t="shared" si="820"/>
        <v>7855.3600000000006</v>
      </c>
      <c r="K6213" s="62"/>
      <c r="L6213" s="2">
        <f t="shared" si="821"/>
        <v>5</v>
      </c>
      <c r="M6213">
        <f t="shared" si="822"/>
        <v>5</v>
      </c>
    </row>
    <row r="6214" spans="1:13" x14ac:dyDescent="0.3">
      <c r="A6214" s="3">
        <f t="shared" si="816"/>
        <v>45909</v>
      </c>
      <c r="B6214" s="11" t="s">
        <v>8676</v>
      </c>
      <c r="C6214" s="50" t="s">
        <v>9044</v>
      </c>
      <c r="E6214" s="90" t="s">
        <v>2088</v>
      </c>
      <c r="G6214" s="2">
        <v>5000</v>
      </c>
      <c r="I6214" s="88">
        <f t="shared" si="820"/>
        <v>12855.36</v>
      </c>
      <c r="K6214" s="62"/>
      <c r="L6214" s="2">
        <f t="shared" si="821"/>
        <v>25</v>
      </c>
      <c r="M6214">
        <f t="shared" si="822"/>
        <v>5</v>
      </c>
    </row>
    <row r="6215" spans="1:13" x14ac:dyDescent="0.3">
      <c r="A6215" s="3">
        <f t="shared" si="816"/>
        <v>45909</v>
      </c>
      <c r="B6215" s="11" t="s">
        <v>1250</v>
      </c>
      <c r="C6215" s="50" t="s">
        <v>2295</v>
      </c>
      <c r="E6215" s="90" t="s">
        <v>4720</v>
      </c>
      <c r="G6215" s="2">
        <v>1900</v>
      </c>
      <c r="I6215" s="88">
        <f t="shared" si="820"/>
        <v>14755.36</v>
      </c>
      <c r="K6215" s="62"/>
      <c r="L6215" s="2">
        <f t="shared" si="821"/>
        <v>7.6000000000000005</v>
      </c>
      <c r="M6215">
        <f t="shared" si="822"/>
        <v>0</v>
      </c>
    </row>
    <row r="6216" spans="1:13" x14ac:dyDescent="0.3">
      <c r="A6216" s="3">
        <f t="shared" si="816"/>
        <v>45909</v>
      </c>
      <c r="B6216" s="11" t="s">
        <v>7405</v>
      </c>
      <c r="C6216" s="50" t="s">
        <v>9045</v>
      </c>
      <c r="E6216" s="90" t="s">
        <v>2088</v>
      </c>
      <c r="H6216" s="2">
        <v>6000</v>
      </c>
      <c r="I6216" s="88">
        <f t="shared" si="820"/>
        <v>8755.36</v>
      </c>
      <c r="K6216" s="62"/>
      <c r="L6216" s="2">
        <f t="shared" si="821"/>
        <v>25</v>
      </c>
      <c r="M6216">
        <f t="shared" si="822"/>
        <v>5</v>
      </c>
    </row>
    <row r="6217" spans="1:13" x14ac:dyDescent="0.3">
      <c r="A6217" s="3">
        <f t="shared" si="816"/>
        <v>45909</v>
      </c>
      <c r="B6217" s="11" t="s">
        <v>7886</v>
      </c>
      <c r="C6217" s="50" t="s">
        <v>9046</v>
      </c>
      <c r="E6217" s="90" t="s">
        <v>2088</v>
      </c>
      <c r="G6217" s="2">
        <v>1500</v>
      </c>
      <c r="I6217" s="88">
        <f t="shared" si="820"/>
        <v>10255.36</v>
      </c>
      <c r="K6217" s="62"/>
      <c r="L6217" s="2">
        <f t="shared" si="821"/>
        <v>11</v>
      </c>
      <c r="M6217">
        <f t="shared" si="822"/>
        <v>5</v>
      </c>
    </row>
    <row r="6218" spans="1:13" x14ac:dyDescent="0.3">
      <c r="A6218" s="3">
        <f t="shared" si="816"/>
        <v>45909</v>
      </c>
      <c r="B6218" s="11" t="s">
        <v>2241</v>
      </c>
      <c r="C6218" s="50" t="s">
        <v>9047</v>
      </c>
      <c r="E6218" s="90" t="s">
        <v>4720</v>
      </c>
      <c r="G6218" s="2">
        <v>1000</v>
      </c>
      <c r="I6218" s="88">
        <f t="shared" si="820"/>
        <v>11255.36</v>
      </c>
      <c r="K6218" s="62"/>
      <c r="L6218" s="2">
        <f t="shared" si="821"/>
        <v>4</v>
      </c>
      <c r="M6218">
        <f t="shared" si="822"/>
        <v>0</v>
      </c>
    </row>
    <row r="6219" spans="1:13" x14ac:dyDescent="0.3">
      <c r="A6219" s="3">
        <f t="shared" si="816"/>
        <v>45909</v>
      </c>
      <c r="B6219" s="11" t="s">
        <v>2241</v>
      </c>
      <c r="C6219" s="50" t="s">
        <v>9048</v>
      </c>
      <c r="E6219" s="90" t="s">
        <v>4720</v>
      </c>
      <c r="G6219" s="2">
        <v>4000</v>
      </c>
      <c r="I6219" s="88">
        <f t="shared" si="820"/>
        <v>15255.36</v>
      </c>
      <c r="K6219" s="62"/>
      <c r="L6219" s="2">
        <f t="shared" si="821"/>
        <v>16</v>
      </c>
      <c r="M6219">
        <f t="shared" si="822"/>
        <v>0</v>
      </c>
    </row>
    <row r="6220" spans="1:13" x14ac:dyDescent="0.3">
      <c r="A6220" s="3">
        <f t="shared" si="816"/>
        <v>45909</v>
      </c>
      <c r="B6220" s="11" t="s">
        <v>9050</v>
      </c>
      <c r="E6220" s="90" t="s">
        <v>14</v>
      </c>
      <c r="H6220" s="2">
        <v>2000</v>
      </c>
      <c r="I6220" s="88">
        <f t="shared" si="820"/>
        <v>13255.36</v>
      </c>
      <c r="K6220" s="62"/>
      <c r="L6220" s="2">
        <f t="shared" si="821"/>
        <v>23</v>
      </c>
      <c r="M6220">
        <f t="shared" si="822"/>
        <v>0</v>
      </c>
    </row>
    <row r="6221" spans="1:13" x14ac:dyDescent="0.3">
      <c r="A6221" s="3">
        <v>45910</v>
      </c>
      <c r="B6221" s="11" t="s">
        <v>1250</v>
      </c>
      <c r="C6221" s="50" t="s">
        <v>9052</v>
      </c>
      <c r="E6221" s="90" t="s">
        <v>4720</v>
      </c>
      <c r="G6221" s="2">
        <v>1100</v>
      </c>
      <c r="I6221" s="88">
        <f t="shared" ref="I6221:I6229" si="823">I6220+G6221-H6221</f>
        <v>14355.36</v>
      </c>
      <c r="K6221" s="62"/>
      <c r="L6221" s="2">
        <f t="shared" ref="L6221:L6229" si="824">IF(E6221="C",0,IF((G6221+H6221)&lt;=5000,(G6221+H6221)*0.004,20)+IF(E6221="P",5,IF(E6221="Y",15,IF(E6221="YY",25))))</f>
        <v>4.4000000000000004</v>
      </c>
      <c r="M6221">
        <f t="shared" ref="M6221:M6229" si="825">IF(E6221="p",5,0)</f>
        <v>0</v>
      </c>
    </row>
    <row r="6222" spans="1:13" x14ac:dyDescent="0.3">
      <c r="A6222" s="3">
        <f t="shared" si="816"/>
        <v>45910</v>
      </c>
      <c r="B6222" s="11" t="s">
        <v>1250</v>
      </c>
      <c r="C6222" s="50" t="s">
        <v>3393</v>
      </c>
      <c r="E6222" s="90" t="s">
        <v>4720</v>
      </c>
      <c r="G6222" s="2">
        <v>1100</v>
      </c>
      <c r="I6222" s="88">
        <f t="shared" si="823"/>
        <v>15455.36</v>
      </c>
      <c r="K6222" s="62"/>
      <c r="L6222" s="2">
        <f t="shared" si="824"/>
        <v>4.4000000000000004</v>
      </c>
      <c r="M6222">
        <f t="shared" si="825"/>
        <v>0</v>
      </c>
    </row>
    <row r="6223" spans="1:13" x14ac:dyDescent="0.3">
      <c r="A6223" s="3">
        <f t="shared" si="816"/>
        <v>45910</v>
      </c>
      <c r="B6223" s="11" t="s">
        <v>5463</v>
      </c>
      <c r="C6223" s="50" t="s">
        <v>7241</v>
      </c>
      <c r="E6223" s="90" t="s">
        <v>4720</v>
      </c>
      <c r="G6223" s="2">
        <v>3500</v>
      </c>
      <c r="I6223" s="88">
        <f t="shared" si="823"/>
        <v>18955.36</v>
      </c>
      <c r="K6223" s="62"/>
      <c r="L6223" s="2">
        <f t="shared" si="824"/>
        <v>14</v>
      </c>
      <c r="M6223">
        <f t="shared" si="825"/>
        <v>0</v>
      </c>
    </row>
    <row r="6224" spans="1:13" x14ac:dyDescent="0.3">
      <c r="A6224" s="3">
        <f t="shared" si="816"/>
        <v>45910</v>
      </c>
      <c r="B6224" s="11" t="s">
        <v>7865</v>
      </c>
      <c r="C6224" s="50" t="s">
        <v>7347</v>
      </c>
      <c r="E6224" s="90" t="s">
        <v>2088</v>
      </c>
      <c r="G6224" s="2">
        <v>1500</v>
      </c>
      <c r="I6224" s="88">
        <f t="shared" si="823"/>
        <v>20455.36</v>
      </c>
      <c r="K6224" s="62"/>
      <c r="L6224" s="2">
        <f t="shared" si="824"/>
        <v>11</v>
      </c>
      <c r="M6224">
        <f t="shared" si="825"/>
        <v>5</v>
      </c>
    </row>
    <row r="6225" spans="1:13" x14ac:dyDescent="0.3">
      <c r="A6225" s="3">
        <f t="shared" si="816"/>
        <v>45910</v>
      </c>
      <c r="B6225" s="11" t="s">
        <v>7026</v>
      </c>
      <c r="C6225" s="50" t="s">
        <v>9053</v>
      </c>
      <c r="E6225" s="90" t="s">
        <v>2088</v>
      </c>
      <c r="G6225" s="2">
        <v>3000</v>
      </c>
      <c r="I6225" s="88">
        <f t="shared" si="823"/>
        <v>23455.360000000001</v>
      </c>
      <c r="K6225" s="62"/>
      <c r="L6225" s="2">
        <f t="shared" si="824"/>
        <v>17</v>
      </c>
      <c r="M6225">
        <f t="shared" si="825"/>
        <v>5</v>
      </c>
    </row>
    <row r="6226" spans="1:13" x14ac:dyDescent="0.3">
      <c r="A6226" s="3">
        <f t="shared" si="816"/>
        <v>45910</v>
      </c>
      <c r="B6226" s="11" t="s">
        <v>1160</v>
      </c>
      <c r="C6226" s="50" t="s">
        <v>9054</v>
      </c>
      <c r="D6226" s="50">
        <v>9661455171</v>
      </c>
      <c r="E6226" s="90" t="s">
        <v>4720</v>
      </c>
      <c r="G6226" s="2">
        <v>10000</v>
      </c>
      <c r="I6226" s="88">
        <f t="shared" si="823"/>
        <v>33455.360000000001</v>
      </c>
      <c r="K6226" s="62"/>
      <c r="L6226" s="2">
        <f t="shared" si="824"/>
        <v>20</v>
      </c>
      <c r="M6226">
        <f t="shared" si="825"/>
        <v>0</v>
      </c>
    </row>
    <row r="6227" spans="1:13" x14ac:dyDescent="0.3">
      <c r="A6227" s="3">
        <f t="shared" si="816"/>
        <v>45910</v>
      </c>
      <c r="B6227" s="11" t="s">
        <v>6844</v>
      </c>
      <c r="C6227" s="50" t="s">
        <v>8198</v>
      </c>
      <c r="E6227" s="90" t="s">
        <v>4720</v>
      </c>
      <c r="H6227" s="2">
        <v>2200</v>
      </c>
      <c r="I6227" s="88">
        <f t="shared" si="823"/>
        <v>31255.360000000001</v>
      </c>
      <c r="K6227" s="62"/>
      <c r="L6227" s="2">
        <f t="shared" si="824"/>
        <v>8.8000000000000007</v>
      </c>
      <c r="M6227">
        <f t="shared" si="825"/>
        <v>0</v>
      </c>
    </row>
    <row r="6228" spans="1:13" x14ac:dyDescent="0.3">
      <c r="A6228" s="3">
        <f t="shared" si="816"/>
        <v>45910</v>
      </c>
      <c r="B6228" s="11" t="s">
        <v>1250</v>
      </c>
      <c r="C6228" s="50" t="s">
        <v>2890</v>
      </c>
      <c r="E6228" s="90" t="s">
        <v>4720</v>
      </c>
      <c r="G6228" s="2">
        <v>300</v>
      </c>
      <c r="I6228" s="88">
        <f t="shared" si="823"/>
        <v>31555.360000000001</v>
      </c>
      <c r="K6228" s="62"/>
      <c r="L6228" s="2">
        <f t="shared" si="824"/>
        <v>1.2</v>
      </c>
      <c r="M6228">
        <f t="shared" si="825"/>
        <v>0</v>
      </c>
    </row>
    <row r="6229" spans="1:13" x14ac:dyDescent="0.3">
      <c r="A6229" s="3">
        <f t="shared" si="816"/>
        <v>45910</v>
      </c>
      <c r="B6229" s="11" t="s">
        <v>5444</v>
      </c>
      <c r="C6229" s="50" t="s">
        <v>9055</v>
      </c>
      <c r="E6229" s="90" t="s">
        <v>4720</v>
      </c>
      <c r="G6229" s="2">
        <v>2500</v>
      </c>
      <c r="I6229" s="88">
        <f t="shared" si="823"/>
        <v>34055.360000000001</v>
      </c>
      <c r="K6229" s="62"/>
      <c r="L6229" s="2">
        <f t="shared" si="824"/>
        <v>10</v>
      </c>
      <c r="M6229">
        <f t="shared" si="825"/>
        <v>0</v>
      </c>
    </row>
    <row r="6230" spans="1:13" x14ac:dyDescent="0.3">
      <c r="A6230" s="3">
        <f>A6229</f>
        <v>45910</v>
      </c>
      <c r="B6230" s="11" t="s">
        <v>7842</v>
      </c>
      <c r="C6230" s="50" t="s">
        <v>2857</v>
      </c>
      <c r="E6230" s="90" t="s">
        <v>8332</v>
      </c>
      <c r="H6230" s="2">
        <v>30000</v>
      </c>
      <c r="I6230" s="88">
        <f t="shared" ref="I6230:I6235" si="826">I6229+G6230-H6230</f>
        <v>4055.3600000000006</v>
      </c>
      <c r="K6230" s="62"/>
      <c r="L6230" s="2">
        <f t="shared" ref="L6230:L6235" si="827">IF(E6230="C",0,IF((G6230+H6230)&lt;=5000,(G6230+H6230)*0.004,20)+IF(E6230="P",5,IF(E6230="Y",15,IF(E6230="YY",25))))</f>
        <v>0</v>
      </c>
      <c r="M6230">
        <f t="shared" ref="M6230:M6235" si="828">IF(E6230="p",5,0)</f>
        <v>0</v>
      </c>
    </row>
    <row r="6231" spans="1:13" x14ac:dyDescent="0.3">
      <c r="A6231" s="3">
        <f t="shared" si="816"/>
        <v>45910</v>
      </c>
      <c r="B6231" s="11" t="s">
        <v>6582</v>
      </c>
      <c r="C6231" s="50" t="s">
        <v>1128</v>
      </c>
      <c r="E6231" s="90" t="s">
        <v>4720</v>
      </c>
      <c r="G6231" s="2">
        <v>5000</v>
      </c>
      <c r="I6231" s="88">
        <f t="shared" si="826"/>
        <v>9055.36</v>
      </c>
      <c r="K6231" s="62"/>
      <c r="L6231" s="2">
        <f t="shared" si="827"/>
        <v>20</v>
      </c>
      <c r="M6231">
        <f t="shared" si="828"/>
        <v>0</v>
      </c>
    </row>
    <row r="6232" spans="1:13" x14ac:dyDescent="0.3">
      <c r="A6232" s="3">
        <f t="shared" si="816"/>
        <v>45910</v>
      </c>
      <c r="B6232" s="11" t="s">
        <v>1472</v>
      </c>
      <c r="C6232" s="50" t="s">
        <v>8082</v>
      </c>
      <c r="E6232" s="90" t="s">
        <v>4720</v>
      </c>
      <c r="G6232" s="2">
        <v>1000</v>
      </c>
      <c r="I6232" s="88">
        <f t="shared" si="826"/>
        <v>10055.36</v>
      </c>
      <c r="K6232" s="62"/>
      <c r="L6232" s="2">
        <f t="shared" si="827"/>
        <v>4</v>
      </c>
      <c r="M6232">
        <f t="shared" si="828"/>
        <v>0</v>
      </c>
    </row>
    <row r="6233" spans="1:13" x14ac:dyDescent="0.3">
      <c r="A6233" s="3">
        <f t="shared" si="816"/>
        <v>45910</v>
      </c>
      <c r="B6233" s="11" t="s">
        <v>3849</v>
      </c>
      <c r="C6233" s="50" t="s">
        <v>6224</v>
      </c>
      <c r="E6233" s="90" t="s">
        <v>4720</v>
      </c>
      <c r="H6233" s="2">
        <v>5000</v>
      </c>
      <c r="I6233" s="88">
        <f t="shared" si="826"/>
        <v>5055.3600000000006</v>
      </c>
      <c r="K6233" s="62"/>
      <c r="L6233" s="2">
        <f t="shared" si="827"/>
        <v>20</v>
      </c>
      <c r="M6233">
        <f t="shared" si="828"/>
        <v>0</v>
      </c>
    </row>
    <row r="6234" spans="1:13" x14ac:dyDescent="0.3">
      <c r="A6234" s="3">
        <v>45911</v>
      </c>
      <c r="B6234" s="11" t="s">
        <v>7649</v>
      </c>
      <c r="C6234" s="50" t="s">
        <v>7652</v>
      </c>
      <c r="E6234" s="90" t="s">
        <v>4720</v>
      </c>
      <c r="G6234" s="2">
        <v>10000</v>
      </c>
      <c r="I6234" s="88">
        <f t="shared" si="826"/>
        <v>15055.36</v>
      </c>
      <c r="K6234" s="62"/>
      <c r="L6234" s="2">
        <f t="shared" si="827"/>
        <v>20</v>
      </c>
      <c r="M6234">
        <f t="shared" si="828"/>
        <v>0</v>
      </c>
    </row>
    <row r="6235" spans="1:13" x14ac:dyDescent="0.3">
      <c r="A6235" s="3">
        <f t="shared" si="816"/>
        <v>45911</v>
      </c>
      <c r="B6235" s="11" t="s">
        <v>2448</v>
      </c>
      <c r="C6235" s="50" t="s">
        <v>4108</v>
      </c>
      <c r="E6235" s="90" t="s">
        <v>4720</v>
      </c>
      <c r="H6235" s="2">
        <v>6000</v>
      </c>
      <c r="I6235" s="88">
        <f t="shared" si="826"/>
        <v>9055.36</v>
      </c>
      <c r="K6235" s="62"/>
      <c r="L6235" s="2">
        <f t="shared" si="827"/>
        <v>20</v>
      </c>
      <c r="M6235">
        <f t="shared" si="828"/>
        <v>0</v>
      </c>
    </row>
    <row r="6236" spans="1:13" x14ac:dyDescent="0.3">
      <c r="A6236" s="3">
        <f t="shared" si="816"/>
        <v>45911</v>
      </c>
      <c r="B6236" s="11" t="s">
        <v>1160</v>
      </c>
      <c r="C6236" s="50" t="s">
        <v>3701</v>
      </c>
      <c r="E6236" s="90" t="s">
        <v>4720</v>
      </c>
      <c r="G6236" s="2">
        <v>1500</v>
      </c>
      <c r="I6236" s="88">
        <f t="shared" ref="I6236:I6248" si="829">I6235+G6236-H6236</f>
        <v>10555.36</v>
      </c>
      <c r="K6236" s="62"/>
      <c r="L6236" s="2">
        <f t="shared" ref="L6236:L6248" si="830">IF(E6236="C",0,IF((G6236+H6236)&lt;=5000,(G6236+H6236)*0.004,20)+IF(E6236="P",5,IF(E6236="Y",15,IF(E6236="YY",25))))</f>
        <v>6</v>
      </c>
      <c r="M6236">
        <f t="shared" ref="M6236:M6248" si="831">IF(E6236="p",5,0)</f>
        <v>0</v>
      </c>
    </row>
    <row r="6237" spans="1:13" x14ac:dyDescent="0.3">
      <c r="A6237" s="3">
        <f t="shared" si="816"/>
        <v>45911</v>
      </c>
      <c r="B6237" s="11" t="s">
        <v>9031</v>
      </c>
      <c r="C6237" s="50" t="s">
        <v>9062</v>
      </c>
      <c r="E6237" s="90" t="s">
        <v>2088</v>
      </c>
      <c r="G6237" s="2">
        <v>0</v>
      </c>
      <c r="H6237" s="2">
        <v>0</v>
      </c>
      <c r="I6237" s="88">
        <f t="shared" si="829"/>
        <v>10555.36</v>
      </c>
      <c r="K6237" s="62"/>
      <c r="L6237" s="2">
        <f t="shared" si="830"/>
        <v>5</v>
      </c>
      <c r="M6237">
        <f t="shared" si="831"/>
        <v>5</v>
      </c>
    </row>
    <row r="6238" spans="1:13" x14ac:dyDescent="0.3">
      <c r="A6238" s="3">
        <f t="shared" si="816"/>
        <v>45911</v>
      </c>
      <c r="B6238" s="11" t="s">
        <v>1250</v>
      </c>
      <c r="C6238" s="50" t="s">
        <v>5455</v>
      </c>
      <c r="E6238" s="90" t="s">
        <v>4720</v>
      </c>
      <c r="G6238" s="2">
        <v>1000</v>
      </c>
      <c r="I6238" s="88">
        <f t="shared" si="829"/>
        <v>11555.36</v>
      </c>
      <c r="K6238" s="62"/>
      <c r="L6238" s="2">
        <f t="shared" si="830"/>
        <v>4</v>
      </c>
      <c r="M6238">
        <f t="shared" si="831"/>
        <v>0</v>
      </c>
    </row>
    <row r="6239" spans="1:13" x14ac:dyDescent="0.3">
      <c r="A6239" s="3">
        <f t="shared" si="816"/>
        <v>45911</v>
      </c>
      <c r="B6239" s="11" t="s">
        <v>2448</v>
      </c>
      <c r="C6239" s="50" t="s">
        <v>9063</v>
      </c>
      <c r="E6239" s="90" t="s">
        <v>4720</v>
      </c>
      <c r="H6239" s="2">
        <v>3000</v>
      </c>
      <c r="I6239" s="88">
        <f t="shared" si="829"/>
        <v>8555.36</v>
      </c>
      <c r="K6239" s="62"/>
      <c r="L6239" s="2">
        <f t="shared" si="830"/>
        <v>12</v>
      </c>
      <c r="M6239">
        <f t="shared" si="831"/>
        <v>0</v>
      </c>
    </row>
    <row r="6240" spans="1:13" x14ac:dyDescent="0.3">
      <c r="A6240" s="3">
        <v>45912</v>
      </c>
      <c r="B6240" s="11" t="s">
        <v>1250</v>
      </c>
      <c r="C6240" s="50" t="s">
        <v>2734</v>
      </c>
      <c r="E6240" s="90" t="s">
        <v>4720</v>
      </c>
      <c r="G6240" s="2">
        <v>450</v>
      </c>
      <c r="I6240" s="88">
        <f t="shared" si="829"/>
        <v>9005.36</v>
      </c>
      <c r="K6240" s="62"/>
      <c r="L6240" s="2">
        <f t="shared" si="830"/>
        <v>1.8</v>
      </c>
      <c r="M6240">
        <f t="shared" si="831"/>
        <v>0</v>
      </c>
    </row>
    <row r="6241" spans="1:13" x14ac:dyDescent="0.3">
      <c r="A6241" s="3">
        <f t="shared" si="816"/>
        <v>45912</v>
      </c>
      <c r="B6241" s="11" t="s">
        <v>8878</v>
      </c>
      <c r="C6241" s="50" t="s">
        <v>9064</v>
      </c>
      <c r="E6241" s="90" t="s">
        <v>2088</v>
      </c>
      <c r="G6241" s="2">
        <v>7500</v>
      </c>
      <c r="I6241" s="88">
        <f t="shared" si="829"/>
        <v>16505.36</v>
      </c>
      <c r="K6241" s="62"/>
      <c r="L6241" s="2">
        <f t="shared" si="830"/>
        <v>25</v>
      </c>
      <c r="M6241">
        <f t="shared" si="831"/>
        <v>5</v>
      </c>
    </row>
    <row r="6242" spans="1:13" x14ac:dyDescent="0.3">
      <c r="A6242" s="3">
        <f t="shared" si="816"/>
        <v>45912</v>
      </c>
      <c r="B6242" s="11" t="s">
        <v>9042</v>
      </c>
      <c r="C6242" s="50" t="s">
        <v>9067</v>
      </c>
      <c r="E6242" s="90" t="s">
        <v>2088</v>
      </c>
      <c r="G6242" s="2">
        <v>0</v>
      </c>
      <c r="H6242" s="2">
        <v>0</v>
      </c>
      <c r="I6242" s="88">
        <f t="shared" si="829"/>
        <v>16505.36</v>
      </c>
      <c r="K6242" s="62"/>
      <c r="L6242" s="2">
        <f t="shared" si="830"/>
        <v>5</v>
      </c>
      <c r="M6242">
        <f t="shared" si="831"/>
        <v>5</v>
      </c>
    </row>
    <row r="6243" spans="1:13" x14ac:dyDescent="0.3">
      <c r="A6243" s="3">
        <f t="shared" si="816"/>
        <v>45912</v>
      </c>
      <c r="B6243" s="11" t="s">
        <v>5186</v>
      </c>
      <c r="C6243" s="50" t="s">
        <v>5189</v>
      </c>
      <c r="E6243" s="90" t="s">
        <v>2088</v>
      </c>
      <c r="G6243" s="2">
        <v>5000</v>
      </c>
      <c r="I6243" s="88">
        <f t="shared" si="829"/>
        <v>21505.360000000001</v>
      </c>
      <c r="K6243" s="62"/>
      <c r="L6243" s="2">
        <f t="shared" si="830"/>
        <v>25</v>
      </c>
      <c r="M6243">
        <f t="shared" si="831"/>
        <v>5</v>
      </c>
    </row>
    <row r="6244" spans="1:13" x14ac:dyDescent="0.3">
      <c r="A6244" s="3">
        <f t="shared" si="816"/>
        <v>45912</v>
      </c>
      <c r="B6244" s="11" t="s">
        <v>2217</v>
      </c>
      <c r="C6244" s="50" t="s">
        <v>9073</v>
      </c>
      <c r="E6244" s="90" t="s">
        <v>4720</v>
      </c>
      <c r="G6244" s="2">
        <v>4050</v>
      </c>
      <c r="I6244" s="88">
        <f t="shared" si="829"/>
        <v>25555.360000000001</v>
      </c>
      <c r="K6244" s="62"/>
      <c r="L6244" s="2">
        <f t="shared" si="830"/>
        <v>16.2</v>
      </c>
      <c r="M6244">
        <f t="shared" si="831"/>
        <v>0</v>
      </c>
    </row>
    <row r="6245" spans="1:13" x14ac:dyDescent="0.3">
      <c r="A6245" s="3">
        <f t="shared" ref="A6245:A6308" si="832">A6244</f>
        <v>45912</v>
      </c>
      <c r="B6245" s="11" t="s">
        <v>8955</v>
      </c>
      <c r="C6245" s="50" t="s">
        <v>7573</v>
      </c>
      <c r="E6245" s="90" t="s">
        <v>2088</v>
      </c>
      <c r="G6245" s="2">
        <v>500</v>
      </c>
      <c r="I6245" s="88">
        <f t="shared" si="829"/>
        <v>26055.360000000001</v>
      </c>
      <c r="K6245" s="62"/>
      <c r="L6245" s="2">
        <f t="shared" si="830"/>
        <v>7</v>
      </c>
      <c r="M6245">
        <f t="shared" si="831"/>
        <v>5</v>
      </c>
    </row>
    <row r="6246" spans="1:13" x14ac:dyDescent="0.3">
      <c r="A6246" s="3">
        <f t="shared" si="832"/>
        <v>45912</v>
      </c>
      <c r="B6246" s="11" t="s">
        <v>9069</v>
      </c>
      <c r="C6246" s="50" t="s">
        <v>9070</v>
      </c>
      <c r="E6246" s="90" t="s">
        <v>16</v>
      </c>
      <c r="H6246" s="2">
        <v>500</v>
      </c>
      <c r="I6246" s="88">
        <f t="shared" si="829"/>
        <v>25555.360000000001</v>
      </c>
      <c r="K6246" s="62"/>
      <c r="L6246" s="2">
        <f t="shared" si="830"/>
        <v>17</v>
      </c>
      <c r="M6246">
        <f t="shared" si="831"/>
        <v>0</v>
      </c>
    </row>
    <row r="6247" spans="1:13" x14ac:dyDescent="0.3">
      <c r="A6247" s="3">
        <f t="shared" si="832"/>
        <v>45912</v>
      </c>
      <c r="B6247" s="11" t="s">
        <v>3204</v>
      </c>
      <c r="C6247" s="50" t="s">
        <v>3604</v>
      </c>
      <c r="E6247" s="90" t="s">
        <v>4720</v>
      </c>
      <c r="G6247" s="2">
        <v>2000</v>
      </c>
      <c r="I6247" s="88">
        <f t="shared" si="829"/>
        <v>27555.360000000001</v>
      </c>
      <c r="K6247" s="62"/>
      <c r="L6247" s="2">
        <f t="shared" si="830"/>
        <v>8</v>
      </c>
      <c r="M6247">
        <f t="shared" si="831"/>
        <v>0</v>
      </c>
    </row>
    <row r="6248" spans="1:13" x14ac:dyDescent="0.3">
      <c r="A6248" s="3">
        <f t="shared" si="832"/>
        <v>45912</v>
      </c>
      <c r="B6248" s="11" t="s">
        <v>4005</v>
      </c>
      <c r="C6248" s="50" t="s">
        <v>9074</v>
      </c>
      <c r="E6248" s="90" t="s">
        <v>2088</v>
      </c>
      <c r="G6248" s="2">
        <v>5000</v>
      </c>
      <c r="I6248" s="88">
        <f t="shared" si="829"/>
        <v>32555.360000000001</v>
      </c>
      <c r="K6248" s="62"/>
      <c r="L6248" s="2">
        <f t="shared" si="830"/>
        <v>25</v>
      </c>
      <c r="M6248">
        <f t="shared" si="831"/>
        <v>5</v>
      </c>
    </row>
    <row r="6249" spans="1:13" x14ac:dyDescent="0.3">
      <c r="A6249" s="3">
        <f t="shared" si="832"/>
        <v>45912</v>
      </c>
      <c r="B6249" s="11" t="s">
        <v>7757</v>
      </c>
      <c r="C6249" s="50" t="s">
        <v>8650</v>
      </c>
      <c r="E6249" s="90" t="s">
        <v>4720</v>
      </c>
      <c r="H6249" s="2">
        <v>5000</v>
      </c>
      <c r="I6249" s="88">
        <f t="shared" ref="I6249:I6256" si="833">I6248+G6249-H6249</f>
        <v>27555.360000000001</v>
      </c>
      <c r="K6249" s="62"/>
      <c r="L6249" s="2">
        <f t="shared" ref="L6249:L6256" si="834">IF(E6249="C",0,IF((G6249+H6249)&lt;=5000,(G6249+H6249)*0.004,20)+IF(E6249="P",5,IF(E6249="Y",15,IF(E6249="YY",25))))</f>
        <v>20</v>
      </c>
      <c r="M6249">
        <f t="shared" ref="M6249:M6256" si="835">IF(E6249="p",5,0)</f>
        <v>0</v>
      </c>
    </row>
    <row r="6250" spans="1:13" x14ac:dyDescent="0.3">
      <c r="A6250" s="3">
        <f t="shared" si="832"/>
        <v>45912</v>
      </c>
      <c r="B6250" s="11" t="s">
        <v>1472</v>
      </c>
      <c r="C6250" s="50" t="s">
        <v>8507</v>
      </c>
      <c r="E6250" s="90" t="s">
        <v>4720</v>
      </c>
      <c r="G6250" s="2">
        <v>10000</v>
      </c>
      <c r="I6250" s="88">
        <f t="shared" si="833"/>
        <v>37555.360000000001</v>
      </c>
      <c r="K6250" s="62"/>
      <c r="L6250" s="2">
        <f t="shared" si="834"/>
        <v>20</v>
      </c>
      <c r="M6250">
        <f t="shared" si="835"/>
        <v>0</v>
      </c>
    </row>
    <row r="6251" spans="1:13" x14ac:dyDescent="0.3">
      <c r="A6251" s="3">
        <f t="shared" si="832"/>
        <v>45912</v>
      </c>
      <c r="B6251" s="11" t="s">
        <v>6844</v>
      </c>
      <c r="C6251" s="50" t="s">
        <v>9075</v>
      </c>
      <c r="E6251" s="90" t="s">
        <v>4720</v>
      </c>
      <c r="H6251" s="2">
        <v>1600</v>
      </c>
      <c r="I6251" s="88">
        <f t="shared" si="833"/>
        <v>35955.360000000001</v>
      </c>
      <c r="K6251" s="62"/>
      <c r="L6251" s="2">
        <f t="shared" si="834"/>
        <v>6.4</v>
      </c>
      <c r="M6251">
        <f t="shared" si="835"/>
        <v>0</v>
      </c>
    </row>
    <row r="6252" spans="1:13" x14ac:dyDescent="0.3">
      <c r="A6252" s="3">
        <f t="shared" si="832"/>
        <v>45912</v>
      </c>
      <c r="B6252" s="11" t="s">
        <v>9079</v>
      </c>
      <c r="C6252" s="50" t="s">
        <v>9081</v>
      </c>
      <c r="E6252" s="90" t="s">
        <v>14</v>
      </c>
      <c r="H6252" s="2">
        <v>500</v>
      </c>
      <c r="I6252" s="88">
        <f t="shared" si="833"/>
        <v>35455.360000000001</v>
      </c>
      <c r="K6252" s="62"/>
      <c r="L6252" s="2">
        <f t="shared" si="834"/>
        <v>17</v>
      </c>
      <c r="M6252">
        <f t="shared" si="835"/>
        <v>0</v>
      </c>
    </row>
    <row r="6253" spans="1:13" x14ac:dyDescent="0.3">
      <c r="A6253" s="3">
        <f t="shared" si="832"/>
        <v>45912</v>
      </c>
      <c r="B6253" s="11" t="s">
        <v>7418</v>
      </c>
      <c r="C6253" s="50" t="s">
        <v>6651</v>
      </c>
      <c r="E6253" s="90" t="s">
        <v>2088</v>
      </c>
      <c r="G6253" s="2">
        <v>3000</v>
      </c>
      <c r="I6253" s="88">
        <f t="shared" si="833"/>
        <v>38455.360000000001</v>
      </c>
      <c r="K6253" s="62"/>
      <c r="L6253" s="2">
        <f t="shared" si="834"/>
        <v>17</v>
      </c>
      <c r="M6253">
        <f t="shared" si="835"/>
        <v>5</v>
      </c>
    </row>
    <row r="6254" spans="1:13" x14ac:dyDescent="0.3">
      <c r="A6254" s="3">
        <f t="shared" si="832"/>
        <v>45912</v>
      </c>
      <c r="B6254" s="11" t="s">
        <v>2351</v>
      </c>
      <c r="C6254" s="50" t="s">
        <v>7641</v>
      </c>
      <c r="E6254" s="90" t="s">
        <v>4720</v>
      </c>
      <c r="G6254" s="2">
        <v>200</v>
      </c>
      <c r="I6254" s="88">
        <f t="shared" si="833"/>
        <v>38655.360000000001</v>
      </c>
      <c r="K6254" s="62"/>
      <c r="L6254" s="2">
        <f t="shared" si="834"/>
        <v>0.8</v>
      </c>
      <c r="M6254">
        <f t="shared" si="835"/>
        <v>0</v>
      </c>
    </row>
    <row r="6255" spans="1:13" x14ac:dyDescent="0.3">
      <c r="A6255" s="3">
        <f t="shared" si="832"/>
        <v>45912</v>
      </c>
      <c r="C6255" s="50" t="s">
        <v>2857</v>
      </c>
      <c r="E6255" s="90" t="s">
        <v>8332</v>
      </c>
      <c r="H6255" s="2">
        <v>30000</v>
      </c>
      <c r="I6255" s="88">
        <f t="shared" si="833"/>
        <v>8655.36</v>
      </c>
      <c r="K6255" s="62"/>
      <c r="L6255" s="2">
        <f t="shared" si="834"/>
        <v>0</v>
      </c>
      <c r="M6255">
        <f t="shared" si="835"/>
        <v>0</v>
      </c>
    </row>
    <row r="6256" spans="1:13" x14ac:dyDescent="0.3">
      <c r="A6256" s="3">
        <v>45913</v>
      </c>
      <c r="B6256" s="11" t="s">
        <v>8063</v>
      </c>
      <c r="C6256" s="50" t="s">
        <v>9086</v>
      </c>
      <c r="E6256" s="90" t="s">
        <v>2088</v>
      </c>
      <c r="G6256" s="2">
        <v>500</v>
      </c>
      <c r="I6256" s="88">
        <f t="shared" si="833"/>
        <v>9155.36</v>
      </c>
      <c r="K6256" s="62"/>
      <c r="L6256" s="2">
        <f t="shared" si="834"/>
        <v>7</v>
      </c>
      <c r="M6256">
        <f t="shared" si="835"/>
        <v>5</v>
      </c>
    </row>
    <row r="6257" spans="1:13" x14ac:dyDescent="0.3">
      <c r="A6257" s="3">
        <f t="shared" si="832"/>
        <v>45913</v>
      </c>
      <c r="B6257" s="11" t="s">
        <v>9083</v>
      </c>
      <c r="C6257" s="50" t="s">
        <v>9084</v>
      </c>
      <c r="E6257" s="90" t="s">
        <v>16</v>
      </c>
      <c r="H6257" s="2">
        <v>500</v>
      </c>
      <c r="I6257" s="88">
        <f t="shared" ref="I6257:I6271" si="836">I6256+G6257-H6257</f>
        <v>8655.36</v>
      </c>
      <c r="K6257" s="62"/>
      <c r="L6257" s="2">
        <f t="shared" ref="L6257:L6271" si="837">IF(E6257="C",0,IF((G6257+H6257)&lt;=5000,(G6257+H6257)*0.004,20)+IF(E6257="P",5,IF(E6257="Y",15,IF(E6257="YY",25))))</f>
        <v>17</v>
      </c>
      <c r="M6257">
        <f t="shared" ref="M6257:M6271" si="838">IF(E6257="p",5,0)</f>
        <v>0</v>
      </c>
    </row>
    <row r="6258" spans="1:13" x14ac:dyDescent="0.3">
      <c r="A6258" s="3">
        <f t="shared" si="832"/>
        <v>45913</v>
      </c>
      <c r="B6258" s="11" t="s">
        <v>9088</v>
      </c>
      <c r="C6258" s="50" t="s">
        <v>5357</v>
      </c>
      <c r="E6258" s="90" t="s">
        <v>16</v>
      </c>
      <c r="H6258" s="2">
        <v>500</v>
      </c>
      <c r="I6258" s="88">
        <f t="shared" si="836"/>
        <v>8155.3600000000006</v>
      </c>
      <c r="K6258" s="62"/>
      <c r="L6258" s="2">
        <f t="shared" si="837"/>
        <v>17</v>
      </c>
      <c r="M6258">
        <f t="shared" si="838"/>
        <v>0</v>
      </c>
    </row>
    <row r="6259" spans="1:13" x14ac:dyDescent="0.3">
      <c r="A6259" s="3">
        <f t="shared" si="832"/>
        <v>45913</v>
      </c>
      <c r="B6259" s="11" t="s">
        <v>9069</v>
      </c>
      <c r="E6259" s="90" t="s">
        <v>2088</v>
      </c>
      <c r="G6259" s="2">
        <v>0</v>
      </c>
      <c r="H6259" s="2">
        <v>0</v>
      </c>
      <c r="I6259" s="88">
        <f t="shared" si="836"/>
        <v>8155.3600000000006</v>
      </c>
      <c r="K6259" s="62"/>
      <c r="L6259" s="2">
        <f t="shared" si="837"/>
        <v>5</v>
      </c>
      <c r="M6259">
        <f t="shared" si="838"/>
        <v>5</v>
      </c>
    </row>
    <row r="6260" spans="1:13" x14ac:dyDescent="0.3">
      <c r="A6260" s="3">
        <f t="shared" si="832"/>
        <v>45913</v>
      </c>
      <c r="B6260" s="11" t="s">
        <v>1160</v>
      </c>
      <c r="C6260" s="50" t="s">
        <v>8354</v>
      </c>
      <c r="E6260" s="90" t="s">
        <v>4720</v>
      </c>
      <c r="G6260" s="2">
        <v>8000</v>
      </c>
      <c r="I6260" s="88">
        <f t="shared" si="836"/>
        <v>16155.36</v>
      </c>
      <c r="K6260" s="62"/>
      <c r="L6260" s="2">
        <f t="shared" si="837"/>
        <v>20</v>
      </c>
      <c r="M6260">
        <f t="shared" si="838"/>
        <v>0</v>
      </c>
    </row>
    <row r="6261" spans="1:13" x14ac:dyDescent="0.3">
      <c r="A6261" s="3">
        <f t="shared" si="832"/>
        <v>45913</v>
      </c>
      <c r="B6261" s="11" t="s">
        <v>9014</v>
      </c>
      <c r="C6261" s="50" t="s">
        <v>9090</v>
      </c>
      <c r="E6261" s="90" t="s">
        <v>4720</v>
      </c>
      <c r="H6261" s="2">
        <v>8000</v>
      </c>
      <c r="I6261" s="88">
        <f t="shared" si="836"/>
        <v>8155.3600000000006</v>
      </c>
      <c r="K6261" s="62"/>
      <c r="L6261" s="2">
        <f t="shared" si="837"/>
        <v>20</v>
      </c>
      <c r="M6261">
        <f t="shared" si="838"/>
        <v>0</v>
      </c>
    </row>
    <row r="6262" spans="1:13" x14ac:dyDescent="0.3">
      <c r="A6262" s="3">
        <f t="shared" si="832"/>
        <v>45913</v>
      </c>
      <c r="B6262" s="11" t="s">
        <v>9092</v>
      </c>
      <c r="C6262" s="50" t="s">
        <v>9094</v>
      </c>
      <c r="E6262" s="90" t="s">
        <v>16</v>
      </c>
      <c r="H6262" s="2">
        <v>500</v>
      </c>
      <c r="I6262" s="88">
        <f t="shared" si="836"/>
        <v>7655.3600000000006</v>
      </c>
      <c r="K6262" s="62"/>
      <c r="L6262" s="2">
        <f t="shared" si="837"/>
        <v>17</v>
      </c>
      <c r="M6262">
        <f t="shared" si="838"/>
        <v>0</v>
      </c>
    </row>
    <row r="6263" spans="1:13" x14ac:dyDescent="0.3">
      <c r="A6263" s="3">
        <f t="shared" si="832"/>
        <v>45913</v>
      </c>
      <c r="B6263" s="11" t="s">
        <v>3420</v>
      </c>
      <c r="C6263" s="50" t="s">
        <v>9095</v>
      </c>
      <c r="E6263" s="90" t="s">
        <v>2088</v>
      </c>
      <c r="G6263" s="2">
        <v>0</v>
      </c>
      <c r="H6263" s="2">
        <v>0</v>
      </c>
      <c r="I6263" s="88">
        <f t="shared" si="836"/>
        <v>7655.3600000000006</v>
      </c>
      <c r="K6263" s="62"/>
      <c r="L6263" s="2">
        <f t="shared" si="837"/>
        <v>5</v>
      </c>
      <c r="M6263">
        <f t="shared" si="838"/>
        <v>5</v>
      </c>
    </row>
    <row r="6264" spans="1:13" x14ac:dyDescent="0.3">
      <c r="A6264" s="3">
        <f t="shared" si="832"/>
        <v>45913</v>
      </c>
      <c r="B6264" s="11" t="s">
        <v>3420</v>
      </c>
      <c r="C6264" s="50" t="s">
        <v>9095</v>
      </c>
      <c r="E6264" s="90" t="s">
        <v>2088</v>
      </c>
      <c r="G6264" s="2">
        <v>1000</v>
      </c>
      <c r="I6264" s="88">
        <f t="shared" si="836"/>
        <v>8655.36</v>
      </c>
      <c r="K6264" s="62"/>
      <c r="L6264" s="2">
        <f t="shared" si="837"/>
        <v>9</v>
      </c>
      <c r="M6264">
        <f t="shared" si="838"/>
        <v>5</v>
      </c>
    </row>
    <row r="6265" spans="1:13" x14ac:dyDescent="0.3">
      <c r="A6265" s="3">
        <f t="shared" si="832"/>
        <v>45913</v>
      </c>
      <c r="B6265" s="11" t="s">
        <v>8465</v>
      </c>
      <c r="C6265" s="50" t="s">
        <v>9096</v>
      </c>
      <c r="E6265" s="90" t="s">
        <v>4720</v>
      </c>
      <c r="G6265" s="2">
        <v>2000</v>
      </c>
      <c r="I6265" s="88">
        <f t="shared" si="836"/>
        <v>10655.36</v>
      </c>
      <c r="K6265" s="62"/>
      <c r="L6265" s="2">
        <f t="shared" si="837"/>
        <v>8</v>
      </c>
      <c r="M6265">
        <f t="shared" si="838"/>
        <v>0</v>
      </c>
    </row>
    <row r="6266" spans="1:13" x14ac:dyDescent="0.3">
      <c r="A6266" s="3">
        <f t="shared" si="832"/>
        <v>45913</v>
      </c>
      <c r="B6266" s="11" t="s">
        <v>7649</v>
      </c>
      <c r="C6266" s="50" t="s">
        <v>7652</v>
      </c>
      <c r="E6266" s="90" t="s">
        <v>4720</v>
      </c>
      <c r="H6266" s="2">
        <v>10000</v>
      </c>
      <c r="I6266" s="88">
        <f t="shared" si="836"/>
        <v>655.36000000000058</v>
      </c>
      <c r="K6266" s="62"/>
      <c r="L6266" s="2">
        <f t="shared" si="837"/>
        <v>20</v>
      </c>
      <c r="M6266">
        <f t="shared" si="838"/>
        <v>0</v>
      </c>
    </row>
    <row r="6267" spans="1:13" x14ac:dyDescent="0.3">
      <c r="A6267" s="3">
        <f t="shared" si="832"/>
        <v>45913</v>
      </c>
      <c r="B6267" s="11" t="s">
        <v>6522</v>
      </c>
      <c r="C6267" s="50" t="s">
        <v>9097</v>
      </c>
      <c r="E6267" s="90" t="s">
        <v>4720</v>
      </c>
      <c r="G6267" s="2">
        <v>5000</v>
      </c>
      <c r="I6267" s="88">
        <f t="shared" si="836"/>
        <v>5655.3600000000006</v>
      </c>
      <c r="K6267" s="62"/>
      <c r="L6267" s="2">
        <f t="shared" si="837"/>
        <v>20</v>
      </c>
      <c r="M6267">
        <f t="shared" si="838"/>
        <v>0</v>
      </c>
    </row>
    <row r="6268" spans="1:13" x14ac:dyDescent="0.3">
      <c r="A6268" s="3">
        <v>45914</v>
      </c>
      <c r="B6268" s="11" t="s">
        <v>7329</v>
      </c>
      <c r="C6268" s="50" t="s">
        <v>7330</v>
      </c>
      <c r="E6268" s="90" t="s">
        <v>2088</v>
      </c>
      <c r="G6268" s="2">
        <v>4300</v>
      </c>
      <c r="I6268" s="88">
        <f t="shared" si="836"/>
        <v>9955.36</v>
      </c>
      <c r="K6268" s="62"/>
      <c r="L6268" s="2">
        <f t="shared" si="837"/>
        <v>22.2</v>
      </c>
      <c r="M6268">
        <f t="shared" si="838"/>
        <v>5</v>
      </c>
    </row>
    <row r="6269" spans="1:13" x14ac:dyDescent="0.3">
      <c r="A6269" s="3">
        <f t="shared" si="832"/>
        <v>45914</v>
      </c>
      <c r="B6269" s="11" t="s">
        <v>8605</v>
      </c>
      <c r="C6269" s="50" t="s">
        <v>8606</v>
      </c>
      <c r="E6269" s="90" t="s">
        <v>4720</v>
      </c>
      <c r="G6269" s="2">
        <v>500</v>
      </c>
      <c r="I6269" s="88">
        <f t="shared" si="836"/>
        <v>10455.36</v>
      </c>
      <c r="K6269" s="62"/>
      <c r="L6269" s="2">
        <f t="shared" si="837"/>
        <v>2</v>
      </c>
      <c r="M6269">
        <f t="shared" si="838"/>
        <v>0</v>
      </c>
    </row>
    <row r="6270" spans="1:13" x14ac:dyDescent="0.3">
      <c r="A6270" s="3">
        <v>45915</v>
      </c>
      <c r="B6270" s="11" t="s">
        <v>5463</v>
      </c>
      <c r="C6270" s="50" t="s">
        <v>7241</v>
      </c>
      <c r="E6270" s="90" t="s">
        <v>2088</v>
      </c>
      <c r="G6270" s="2">
        <v>1500</v>
      </c>
      <c r="I6270" s="88">
        <f t="shared" si="836"/>
        <v>11955.36</v>
      </c>
      <c r="K6270" s="62"/>
      <c r="L6270" s="2">
        <f t="shared" si="837"/>
        <v>11</v>
      </c>
      <c r="M6270">
        <f t="shared" si="838"/>
        <v>5</v>
      </c>
    </row>
    <row r="6271" spans="1:13" x14ac:dyDescent="0.3">
      <c r="A6271" s="3">
        <f t="shared" si="832"/>
        <v>45915</v>
      </c>
      <c r="B6271" s="11" t="s">
        <v>7352</v>
      </c>
      <c r="C6271" s="50" t="s">
        <v>6073</v>
      </c>
      <c r="E6271" s="90" t="s">
        <v>2088</v>
      </c>
      <c r="G6271" s="2">
        <v>1500</v>
      </c>
      <c r="I6271" s="88">
        <f t="shared" si="836"/>
        <v>13455.36</v>
      </c>
      <c r="K6271" s="62"/>
      <c r="L6271" s="2">
        <f t="shared" si="837"/>
        <v>11</v>
      </c>
      <c r="M6271">
        <f t="shared" si="838"/>
        <v>5</v>
      </c>
    </row>
    <row r="6272" spans="1:13" x14ac:dyDescent="0.3">
      <c r="A6272" s="3">
        <f t="shared" si="832"/>
        <v>45915</v>
      </c>
      <c r="B6272" s="11" t="s">
        <v>9098</v>
      </c>
      <c r="C6272" s="50" t="s">
        <v>9099</v>
      </c>
      <c r="E6272" s="90" t="s">
        <v>2088</v>
      </c>
      <c r="G6272" s="2">
        <v>0</v>
      </c>
      <c r="H6272" s="2">
        <v>0</v>
      </c>
      <c r="I6272" s="88">
        <f t="shared" ref="I6272:I6290" si="839">I6271+G6272-H6272</f>
        <v>13455.36</v>
      </c>
      <c r="K6272" s="62"/>
      <c r="L6272" s="2">
        <f t="shared" ref="L6272:L6290" si="840">IF(E6272="C",0,IF((G6272+H6272)&lt;=5000,(G6272+H6272)*0.004,20)+IF(E6272="P",5,IF(E6272="Y",15,IF(E6272="YY",25))))</f>
        <v>5</v>
      </c>
      <c r="M6272">
        <f t="shared" ref="M6272:M6290" si="841">IF(E6272="p",5,0)</f>
        <v>5</v>
      </c>
    </row>
    <row r="6273" spans="1:13" x14ac:dyDescent="0.3">
      <c r="A6273" s="3">
        <f t="shared" si="832"/>
        <v>45915</v>
      </c>
      <c r="B6273" s="11" t="s">
        <v>8536</v>
      </c>
      <c r="C6273" s="50" t="s">
        <v>8884</v>
      </c>
      <c r="E6273" s="90" t="s">
        <v>2088</v>
      </c>
      <c r="G6273" s="2">
        <v>2800</v>
      </c>
      <c r="I6273" s="88">
        <f t="shared" si="839"/>
        <v>16255.36</v>
      </c>
      <c r="K6273" s="62"/>
      <c r="L6273" s="2">
        <f t="shared" si="840"/>
        <v>16.200000000000003</v>
      </c>
      <c r="M6273">
        <f t="shared" si="841"/>
        <v>5</v>
      </c>
    </row>
    <row r="6274" spans="1:13" x14ac:dyDescent="0.3">
      <c r="A6274" s="3">
        <f t="shared" si="832"/>
        <v>45915</v>
      </c>
      <c r="B6274" s="11" t="s">
        <v>6260</v>
      </c>
      <c r="C6274" s="50" t="s">
        <v>8991</v>
      </c>
      <c r="E6274" s="90" t="s">
        <v>4720</v>
      </c>
      <c r="H6274" s="2">
        <v>7000</v>
      </c>
      <c r="I6274" s="88">
        <f t="shared" si="839"/>
        <v>9255.36</v>
      </c>
      <c r="K6274" s="62"/>
      <c r="L6274" s="2">
        <f t="shared" si="840"/>
        <v>20</v>
      </c>
      <c r="M6274">
        <f t="shared" si="841"/>
        <v>0</v>
      </c>
    </row>
    <row r="6275" spans="1:13" x14ac:dyDescent="0.3">
      <c r="A6275" s="3">
        <f t="shared" si="832"/>
        <v>45915</v>
      </c>
      <c r="B6275" s="11" t="s">
        <v>1250</v>
      </c>
      <c r="C6275" s="50" t="s">
        <v>2295</v>
      </c>
      <c r="E6275" s="90" t="s">
        <v>4720</v>
      </c>
      <c r="G6275" s="2">
        <v>7000</v>
      </c>
      <c r="I6275" s="88">
        <f t="shared" si="839"/>
        <v>16255.36</v>
      </c>
      <c r="K6275" s="62"/>
      <c r="L6275" s="2">
        <f t="shared" si="840"/>
        <v>20</v>
      </c>
      <c r="M6275">
        <f t="shared" si="841"/>
        <v>0</v>
      </c>
    </row>
    <row r="6276" spans="1:13" x14ac:dyDescent="0.3">
      <c r="A6276" s="3">
        <f t="shared" si="832"/>
        <v>45915</v>
      </c>
      <c r="B6276" s="11" t="s">
        <v>6233</v>
      </c>
      <c r="C6276" s="50" t="s">
        <v>9100</v>
      </c>
      <c r="E6276" s="90" t="s">
        <v>2088</v>
      </c>
      <c r="G6276" s="2">
        <v>0</v>
      </c>
      <c r="H6276" s="2">
        <v>0</v>
      </c>
      <c r="I6276" s="88">
        <f t="shared" si="839"/>
        <v>16255.36</v>
      </c>
      <c r="K6276" s="62"/>
      <c r="L6276" s="2">
        <f t="shared" si="840"/>
        <v>5</v>
      </c>
      <c r="M6276">
        <f t="shared" si="841"/>
        <v>5</v>
      </c>
    </row>
    <row r="6277" spans="1:13" x14ac:dyDescent="0.3">
      <c r="A6277" s="3">
        <f t="shared" si="832"/>
        <v>45915</v>
      </c>
      <c r="B6277" s="11" t="s">
        <v>6549</v>
      </c>
      <c r="C6277" s="50" t="s">
        <v>9101</v>
      </c>
      <c r="E6277" s="90" t="s">
        <v>2088</v>
      </c>
      <c r="G6277" s="2">
        <v>0</v>
      </c>
      <c r="H6277" s="2">
        <v>0</v>
      </c>
      <c r="I6277" s="88">
        <f t="shared" si="839"/>
        <v>16255.36</v>
      </c>
      <c r="K6277" s="62"/>
      <c r="L6277" s="2">
        <f t="shared" si="840"/>
        <v>5</v>
      </c>
      <c r="M6277">
        <f t="shared" si="841"/>
        <v>5</v>
      </c>
    </row>
    <row r="6278" spans="1:13" x14ac:dyDescent="0.3">
      <c r="A6278" s="3">
        <f t="shared" si="832"/>
        <v>45915</v>
      </c>
      <c r="B6278" s="11" t="s">
        <v>9103</v>
      </c>
      <c r="C6278" s="50" t="s">
        <v>9107</v>
      </c>
      <c r="E6278" s="90" t="s">
        <v>16</v>
      </c>
      <c r="H6278" s="2">
        <v>2000</v>
      </c>
      <c r="I6278" s="88">
        <f t="shared" si="839"/>
        <v>14255.36</v>
      </c>
      <c r="K6278" s="62"/>
      <c r="L6278" s="2">
        <f t="shared" si="840"/>
        <v>23</v>
      </c>
      <c r="M6278">
        <f t="shared" si="841"/>
        <v>0</v>
      </c>
    </row>
    <row r="6279" spans="1:13" x14ac:dyDescent="0.3">
      <c r="A6279" s="3">
        <f t="shared" si="832"/>
        <v>45915</v>
      </c>
      <c r="B6279" s="11" t="s">
        <v>6700</v>
      </c>
      <c r="C6279" s="50" t="s">
        <v>8991</v>
      </c>
      <c r="E6279" s="90" t="s">
        <v>4720</v>
      </c>
      <c r="H6279" s="2">
        <v>4000</v>
      </c>
      <c r="I6279" s="88">
        <f t="shared" si="839"/>
        <v>10255.36</v>
      </c>
      <c r="K6279" s="62"/>
      <c r="L6279" s="2">
        <f t="shared" si="840"/>
        <v>16</v>
      </c>
      <c r="M6279">
        <f t="shared" si="841"/>
        <v>0</v>
      </c>
    </row>
    <row r="6280" spans="1:13" x14ac:dyDescent="0.3">
      <c r="A6280" s="3">
        <f t="shared" si="832"/>
        <v>45915</v>
      </c>
      <c r="B6280" s="11" t="s">
        <v>8614</v>
      </c>
      <c r="C6280" s="50" t="s">
        <v>9108</v>
      </c>
      <c r="E6280" s="90" t="s">
        <v>2088</v>
      </c>
      <c r="G6280" s="2">
        <v>0</v>
      </c>
      <c r="H6280" s="2">
        <v>0</v>
      </c>
      <c r="I6280" s="88">
        <f t="shared" si="839"/>
        <v>10255.36</v>
      </c>
      <c r="K6280" s="62"/>
      <c r="L6280" s="2">
        <f t="shared" si="840"/>
        <v>5</v>
      </c>
      <c r="M6280">
        <f t="shared" si="841"/>
        <v>5</v>
      </c>
    </row>
    <row r="6281" spans="1:13" x14ac:dyDescent="0.3">
      <c r="A6281" s="3">
        <f t="shared" si="832"/>
        <v>45915</v>
      </c>
      <c r="B6281" s="11" t="s">
        <v>8614</v>
      </c>
      <c r="C6281" s="50" t="s">
        <v>9108</v>
      </c>
      <c r="E6281" s="90" t="s">
        <v>2088</v>
      </c>
      <c r="G6281" s="2">
        <v>1300</v>
      </c>
      <c r="I6281" s="88">
        <f t="shared" si="839"/>
        <v>11555.36</v>
      </c>
      <c r="K6281" s="62"/>
      <c r="L6281" s="2">
        <f t="shared" si="840"/>
        <v>10.199999999999999</v>
      </c>
      <c r="M6281">
        <f t="shared" si="841"/>
        <v>5</v>
      </c>
    </row>
    <row r="6282" spans="1:13" x14ac:dyDescent="0.3">
      <c r="A6282" s="3">
        <f t="shared" si="832"/>
        <v>45915</v>
      </c>
      <c r="B6282" s="11" t="s">
        <v>7250</v>
      </c>
      <c r="C6282" s="50" t="s">
        <v>7251</v>
      </c>
      <c r="E6282" s="90" t="s">
        <v>2088</v>
      </c>
      <c r="G6282" s="2">
        <v>0</v>
      </c>
      <c r="H6282" s="2">
        <v>0</v>
      </c>
      <c r="I6282" s="88">
        <f t="shared" si="839"/>
        <v>11555.36</v>
      </c>
      <c r="K6282" s="62"/>
      <c r="L6282" s="2">
        <f t="shared" si="840"/>
        <v>5</v>
      </c>
      <c r="M6282">
        <f t="shared" si="841"/>
        <v>5</v>
      </c>
    </row>
    <row r="6283" spans="1:13" x14ac:dyDescent="0.3">
      <c r="A6283" s="3">
        <f t="shared" si="832"/>
        <v>45915</v>
      </c>
      <c r="B6283" s="11" t="s">
        <v>1472</v>
      </c>
      <c r="C6283" s="50" t="s">
        <v>9016</v>
      </c>
      <c r="E6283" s="90" t="s">
        <v>4720</v>
      </c>
      <c r="I6283" s="88">
        <f t="shared" si="839"/>
        <v>11555.36</v>
      </c>
      <c r="K6283" s="62"/>
      <c r="L6283" s="2">
        <f t="shared" si="840"/>
        <v>0</v>
      </c>
      <c r="M6283">
        <f t="shared" si="841"/>
        <v>0</v>
      </c>
    </row>
    <row r="6284" spans="1:13" x14ac:dyDescent="0.3">
      <c r="A6284" s="3">
        <f t="shared" si="832"/>
        <v>45915</v>
      </c>
      <c r="B6284" s="11" t="s">
        <v>7250</v>
      </c>
      <c r="C6284" s="50" t="s">
        <v>7251</v>
      </c>
      <c r="E6284" s="90" t="s">
        <v>2088</v>
      </c>
      <c r="G6284" s="2">
        <v>4000</v>
      </c>
      <c r="I6284" s="88">
        <f t="shared" si="839"/>
        <v>15555.36</v>
      </c>
      <c r="K6284" s="62"/>
      <c r="L6284" s="2">
        <f t="shared" si="840"/>
        <v>21</v>
      </c>
      <c r="M6284">
        <f t="shared" si="841"/>
        <v>5</v>
      </c>
    </row>
    <row r="6285" spans="1:13" x14ac:dyDescent="0.3">
      <c r="A6285" s="3">
        <f t="shared" si="832"/>
        <v>45915</v>
      </c>
      <c r="B6285" s="11" t="s">
        <v>7250</v>
      </c>
      <c r="C6285" s="50" t="s">
        <v>7251</v>
      </c>
      <c r="E6285" s="90" t="s">
        <v>4720</v>
      </c>
      <c r="G6285" s="2">
        <v>3500</v>
      </c>
      <c r="I6285" s="88">
        <f t="shared" si="839"/>
        <v>19055.36</v>
      </c>
      <c r="K6285" s="62"/>
      <c r="L6285" s="2">
        <f t="shared" si="840"/>
        <v>14</v>
      </c>
      <c r="M6285">
        <f t="shared" si="841"/>
        <v>0</v>
      </c>
    </row>
    <row r="6286" spans="1:13" x14ac:dyDescent="0.3">
      <c r="A6286" s="3">
        <f t="shared" si="832"/>
        <v>45915</v>
      </c>
      <c r="B6286" s="11" t="s">
        <v>3232</v>
      </c>
      <c r="C6286" s="50" t="s">
        <v>9109</v>
      </c>
      <c r="E6286" s="90" t="s">
        <v>4720</v>
      </c>
      <c r="G6286" s="2">
        <v>1900</v>
      </c>
      <c r="I6286" s="88">
        <f t="shared" si="839"/>
        <v>20955.36</v>
      </c>
      <c r="K6286" s="62"/>
      <c r="L6286" s="2">
        <f t="shared" si="840"/>
        <v>7.6000000000000005</v>
      </c>
      <c r="M6286">
        <f t="shared" si="841"/>
        <v>0</v>
      </c>
    </row>
    <row r="6287" spans="1:13" x14ac:dyDescent="0.3">
      <c r="A6287" s="3">
        <f t="shared" si="832"/>
        <v>45915</v>
      </c>
      <c r="B6287" s="11" t="s">
        <v>2448</v>
      </c>
      <c r="C6287" s="50" t="s">
        <v>2274</v>
      </c>
      <c r="E6287" s="90" t="s">
        <v>4720</v>
      </c>
      <c r="H6287" s="2">
        <v>20000</v>
      </c>
      <c r="I6287" s="88">
        <f t="shared" si="839"/>
        <v>955.36000000000058</v>
      </c>
      <c r="K6287" s="62"/>
      <c r="L6287" s="2">
        <f t="shared" si="840"/>
        <v>20</v>
      </c>
      <c r="M6287">
        <f t="shared" si="841"/>
        <v>0</v>
      </c>
    </row>
    <row r="6288" spans="1:13" x14ac:dyDescent="0.3">
      <c r="A6288" s="3">
        <f t="shared" si="832"/>
        <v>45915</v>
      </c>
      <c r="B6288" s="11" t="s">
        <v>1160</v>
      </c>
      <c r="C6288" s="50" t="s">
        <v>5984</v>
      </c>
      <c r="E6288" s="90" t="s">
        <v>4720</v>
      </c>
      <c r="G6288" s="2">
        <v>9000</v>
      </c>
      <c r="I6288" s="88">
        <f t="shared" si="839"/>
        <v>9955.36</v>
      </c>
      <c r="K6288" s="62"/>
      <c r="L6288" s="2">
        <f t="shared" si="840"/>
        <v>20</v>
      </c>
      <c r="M6288">
        <f t="shared" si="841"/>
        <v>0</v>
      </c>
    </row>
    <row r="6289" spans="1:13" x14ac:dyDescent="0.3">
      <c r="A6289" s="3">
        <f t="shared" si="832"/>
        <v>45915</v>
      </c>
      <c r="B6289" s="11" t="s">
        <v>1472</v>
      </c>
      <c r="C6289" s="50" t="s">
        <v>8055</v>
      </c>
      <c r="E6289" s="90" t="s">
        <v>4720</v>
      </c>
      <c r="G6289" s="2">
        <v>2000</v>
      </c>
      <c r="I6289" s="88">
        <f t="shared" si="839"/>
        <v>11955.36</v>
      </c>
      <c r="K6289" s="62"/>
      <c r="L6289" s="2">
        <f t="shared" si="840"/>
        <v>8</v>
      </c>
      <c r="M6289">
        <f t="shared" si="841"/>
        <v>0</v>
      </c>
    </row>
    <row r="6290" spans="1:13" x14ac:dyDescent="0.3">
      <c r="A6290" s="3">
        <f t="shared" si="832"/>
        <v>45915</v>
      </c>
      <c r="B6290" s="11" t="s">
        <v>3069</v>
      </c>
      <c r="C6290" s="50" t="s">
        <v>9111</v>
      </c>
      <c r="E6290" s="90" t="s">
        <v>4720</v>
      </c>
      <c r="G6290" s="2">
        <v>3000</v>
      </c>
      <c r="I6290" s="88">
        <f t="shared" si="839"/>
        <v>14955.36</v>
      </c>
      <c r="K6290" s="62"/>
      <c r="L6290" s="2">
        <f t="shared" si="840"/>
        <v>12</v>
      </c>
      <c r="M6290">
        <f t="shared" si="841"/>
        <v>0</v>
      </c>
    </row>
    <row r="6291" spans="1:13" x14ac:dyDescent="0.3">
      <c r="A6291" s="3">
        <v>45916</v>
      </c>
      <c r="B6291" s="11" t="s">
        <v>2634</v>
      </c>
      <c r="C6291" s="50" t="s">
        <v>3251</v>
      </c>
      <c r="E6291" s="90" t="s">
        <v>4720</v>
      </c>
      <c r="H6291" s="2">
        <v>1000</v>
      </c>
      <c r="I6291" s="88">
        <f t="shared" ref="I6291:I6303" si="842">I6290+G6291-H6291</f>
        <v>13955.36</v>
      </c>
      <c r="K6291" s="62"/>
      <c r="L6291" s="2">
        <f t="shared" ref="L6291:L6303" si="843">IF(E6291="C",0,IF((G6291+H6291)&lt;=5000,(G6291+H6291)*0.004,20)+IF(E6291="P",5,IF(E6291="Y",15,IF(E6291="YY",25))))</f>
        <v>4</v>
      </c>
      <c r="M6291">
        <f t="shared" ref="M6291:M6303" si="844">IF(E6291="p",5,0)</f>
        <v>0</v>
      </c>
    </row>
    <row r="6292" spans="1:13" x14ac:dyDescent="0.3">
      <c r="A6292" s="3">
        <f t="shared" si="832"/>
        <v>45916</v>
      </c>
      <c r="B6292" s="11" t="s">
        <v>2416</v>
      </c>
      <c r="C6292" s="50" t="s">
        <v>8937</v>
      </c>
      <c r="E6292" s="90" t="s">
        <v>4720</v>
      </c>
      <c r="G6292" s="2">
        <v>1000</v>
      </c>
      <c r="I6292" s="88">
        <f t="shared" si="842"/>
        <v>14955.36</v>
      </c>
      <c r="K6292" s="62"/>
      <c r="L6292" s="2">
        <f t="shared" si="843"/>
        <v>4</v>
      </c>
      <c r="M6292">
        <f t="shared" si="844"/>
        <v>0</v>
      </c>
    </row>
    <row r="6293" spans="1:13" x14ac:dyDescent="0.3">
      <c r="A6293" s="3">
        <f t="shared" si="832"/>
        <v>45916</v>
      </c>
      <c r="B6293" s="11" t="s">
        <v>2448</v>
      </c>
      <c r="C6293" s="50" t="s">
        <v>4108</v>
      </c>
      <c r="E6293" s="90" t="s">
        <v>4720</v>
      </c>
      <c r="H6293" s="2">
        <v>1000</v>
      </c>
      <c r="I6293" s="88">
        <f t="shared" si="842"/>
        <v>13955.36</v>
      </c>
      <c r="K6293" s="62"/>
      <c r="L6293" s="2">
        <f t="shared" si="843"/>
        <v>4</v>
      </c>
      <c r="M6293">
        <f t="shared" si="844"/>
        <v>0</v>
      </c>
    </row>
    <row r="6294" spans="1:13" x14ac:dyDescent="0.3">
      <c r="A6294" s="3">
        <f t="shared" si="832"/>
        <v>45916</v>
      </c>
      <c r="B6294" s="11" t="s">
        <v>6233</v>
      </c>
      <c r="C6294" s="50" t="s">
        <v>6234</v>
      </c>
      <c r="E6294" s="90" t="s">
        <v>2088</v>
      </c>
      <c r="G6294" s="2">
        <v>5000</v>
      </c>
      <c r="I6294" s="88">
        <f t="shared" si="842"/>
        <v>18955.36</v>
      </c>
      <c r="K6294" s="62"/>
      <c r="L6294" s="2">
        <f t="shared" si="843"/>
        <v>25</v>
      </c>
      <c r="M6294">
        <f t="shared" si="844"/>
        <v>5</v>
      </c>
    </row>
    <row r="6295" spans="1:13" x14ac:dyDescent="0.3">
      <c r="A6295" s="3">
        <f t="shared" si="832"/>
        <v>45916</v>
      </c>
      <c r="B6295" s="11" t="s">
        <v>6549</v>
      </c>
      <c r="C6295" s="50" t="s">
        <v>9101</v>
      </c>
      <c r="E6295" s="90" t="s">
        <v>2088</v>
      </c>
      <c r="G6295" s="2">
        <v>5000</v>
      </c>
      <c r="I6295" s="88">
        <f t="shared" si="842"/>
        <v>23955.360000000001</v>
      </c>
      <c r="K6295" s="62"/>
      <c r="L6295" s="2">
        <f t="shared" si="843"/>
        <v>25</v>
      </c>
      <c r="M6295">
        <f t="shared" si="844"/>
        <v>5</v>
      </c>
    </row>
    <row r="6296" spans="1:13" x14ac:dyDescent="0.3">
      <c r="A6296" s="3">
        <f t="shared" si="832"/>
        <v>45916</v>
      </c>
      <c r="B6296" s="11" t="s">
        <v>7186</v>
      </c>
      <c r="C6296" s="50" t="s">
        <v>9112</v>
      </c>
      <c r="E6296" s="90" t="s">
        <v>4720</v>
      </c>
      <c r="G6296" s="2">
        <v>10000</v>
      </c>
      <c r="I6296" s="88">
        <f t="shared" si="842"/>
        <v>33955.360000000001</v>
      </c>
      <c r="K6296" s="62"/>
      <c r="L6296" s="2">
        <f t="shared" si="843"/>
        <v>20</v>
      </c>
      <c r="M6296">
        <f t="shared" si="844"/>
        <v>0</v>
      </c>
    </row>
    <row r="6297" spans="1:13" x14ac:dyDescent="0.3">
      <c r="A6297" s="3">
        <f t="shared" si="832"/>
        <v>45916</v>
      </c>
      <c r="B6297" s="11" t="s">
        <v>9113</v>
      </c>
      <c r="C6297" s="50" t="s">
        <v>9114</v>
      </c>
      <c r="E6297" s="90" t="s">
        <v>4720</v>
      </c>
      <c r="G6297" s="2">
        <v>500</v>
      </c>
      <c r="I6297" s="88">
        <f t="shared" si="842"/>
        <v>34455.360000000001</v>
      </c>
      <c r="K6297" s="62"/>
      <c r="L6297" s="2">
        <f t="shared" si="843"/>
        <v>2</v>
      </c>
      <c r="M6297">
        <f t="shared" si="844"/>
        <v>0</v>
      </c>
    </row>
    <row r="6298" spans="1:13" x14ac:dyDescent="0.3">
      <c r="A6298" s="3">
        <f t="shared" si="832"/>
        <v>45916</v>
      </c>
      <c r="B6298" s="11" t="s">
        <v>8855</v>
      </c>
      <c r="C6298" s="50" t="s">
        <v>9115</v>
      </c>
      <c r="E6298" s="90" t="s">
        <v>4720</v>
      </c>
      <c r="G6298" s="2">
        <v>3200</v>
      </c>
      <c r="I6298" s="88">
        <f t="shared" si="842"/>
        <v>37655.360000000001</v>
      </c>
      <c r="K6298" s="62"/>
      <c r="L6298" s="2">
        <f t="shared" si="843"/>
        <v>12.8</v>
      </c>
      <c r="M6298">
        <f t="shared" si="844"/>
        <v>0</v>
      </c>
    </row>
    <row r="6299" spans="1:13" x14ac:dyDescent="0.3">
      <c r="A6299" s="3">
        <f t="shared" si="832"/>
        <v>45916</v>
      </c>
      <c r="C6299" s="50" t="s">
        <v>2857</v>
      </c>
      <c r="E6299" s="90" t="s">
        <v>8332</v>
      </c>
      <c r="H6299" s="2">
        <v>30000</v>
      </c>
      <c r="I6299" s="88">
        <f t="shared" si="842"/>
        <v>7655.3600000000006</v>
      </c>
      <c r="K6299" s="62"/>
      <c r="L6299" s="2">
        <f t="shared" si="843"/>
        <v>0</v>
      </c>
      <c r="M6299">
        <f t="shared" si="844"/>
        <v>0</v>
      </c>
    </row>
    <row r="6300" spans="1:13" x14ac:dyDescent="0.3">
      <c r="A6300" s="3">
        <f t="shared" si="832"/>
        <v>45916</v>
      </c>
      <c r="C6300" s="50" t="s">
        <v>2857</v>
      </c>
      <c r="E6300" s="90" t="s">
        <v>8332</v>
      </c>
      <c r="H6300" s="2">
        <v>5000</v>
      </c>
      <c r="I6300" s="88">
        <f t="shared" si="842"/>
        <v>2655.3600000000006</v>
      </c>
      <c r="K6300" s="62"/>
      <c r="L6300" s="2">
        <f t="shared" si="843"/>
        <v>0</v>
      </c>
      <c r="M6300">
        <f t="shared" si="844"/>
        <v>0</v>
      </c>
    </row>
    <row r="6301" spans="1:13" x14ac:dyDescent="0.3">
      <c r="A6301" s="3">
        <f t="shared" si="832"/>
        <v>45916</v>
      </c>
      <c r="B6301" s="11" t="s">
        <v>1250</v>
      </c>
      <c r="C6301" s="50" t="s">
        <v>9116</v>
      </c>
      <c r="E6301" s="90" t="s">
        <v>4720</v>
      </c>
      <c r="G6301" s="2">
        <v>10000</v>
      </c>
      <c r="I6301" s="88">
        <f t="shared" si="842"/>
        <v>12655.36</v>
      </c>
      <c r="K6301" s="62"/>
      <c r="L6301" s="2">
        <f t="shared" si="843"/>
        <v>20</v>
      </c>
      <c r="M6301">
        <f t="shared" si="844"/>
        <v>0</v>
      </c>
    </row>
    <row r="6302" spans="1:13" x14ac:dyDescent="0.3">
      <c r="A6302" s="3">
        <f t="shared" si="832"/>
        <v>45916</v>
      </c>
      <c r="B6302" s="11" t="s">
        <v>2241</v>
      </c>
      <c r="C6302" s="50" t="s">
        <v>9117</v>
      </c>
      <c r="E6302" s="90" t="s">
        <v>4720</v>
      </c>
      <c r="G6302" s="2">
        <v>400</v>
      </c>
      <c r="I6302" s="88">
        <f t="shared" si="842"/>
        <v>13055.36</v>
      </c>
      <c r="K6302" s="62"/>
      <c r="L6302" s="2">
        <f t="shared" si="843"/>
        <v>1.6</v>
      </c>
      <c r="M6302">
        <f t="shared" si="844"/>
        <v>0</v>
      </c>
    </row>
    <row r="6303" spans="1:13" x14ac:dyDescent="0.3">
      <c r="A6303" s="3">
        <v>45918</v>
      </c>
      <c r="B6303" s="11" t="s">
        <v>8895</v>
      </c>
      <c r="C6303" s="50" t="s">
        <v>8896</v>
      </c>
      <c r="E6303" s="90" t="s">
        <v>2088</v>
      </c>
      <c r="G6303" s="2">
        <v>2500</v>
      </c>
      <c r="I6303" s="88">
        <f t="shared" si="842"/>
        <v>15555.36</v>
      </c>
      <c r="K6303" s="62"/>
      <c r="L6303" s="2">
        <f t="shared" si="843"/>
        <v>15</v>
      </c>
      <c r="M6303">
        <f t="shared" si="844"/>
        <v>5</v>
      </c>
    </row>
    <row r="6304" spans="1:13" x14ac:dyDescent="0.3">
      <c r="A6304" s="3">
        <f t="shared" si="832"/>
        <v>45918</v>
      </c>
      <c r="B6304" s="11" t="s">
        <v>6778</v>
      </c>
      <c r="C6304" s="50" t="s">
        <v>6779</v>
      </c>
      <c r="E6304" s="90" t="s">
        <v>2088</v>
      </c>
      <c r="G6304" s="2">
        <v>8000</v>
      </c>
      <c r="I6304" s="88">
        <f t="shared" ref="I6304:I6317" si="845">I6303+G6304-H6304</f>
        <v>23555.360000000001</v>
      </c>
      <c r="K6304" s="62"/>
      <c r="L6304" s="2">
        <f t="shared" ref="L6304:L6317" si="846">IF(E6304="C",0,IF((G6304+H6304)&lt;=5000,(G6304+H6304)*0.004,20)+IF(E6304="P",5,IF(E6304="Y",15,IF(E6304="YY",25))))</f>
        <v>25</v>
      </c>
      <c r="M6304">
        <f t="shared" ref="M6304:M6317" si="847">IF(E6304="p",5,0)</f>
        <v>5</v>
      </c>
    </row>
    <row r="6305" spans="1:13" x14ac:dyDescent="0.3">
      <c r="A6305" s="3">
        <f t="shared" si="832"/>
        <v>45918</v>
      </c>
      <c r="B6305" s="11" t="s">
        <v>9119</v>
      </c>
      <c r="C6305" s="50" t="s">
        <v>9120</v>
      </c>
      <c r="E6305" s="90" t="s">
        <v>16</v>
      </c>
      <c r="H6305" s="2">
        <v>8000</v>
      </c>
      <c r="I6305" s="88">
        <f t="shared" si="845"/>
        <v>15555.36</v>
      </c>
      <c r="K6305" s="62"/>
      <c r="L6305" s="2">
        <f t="shared" si="846"/>
        <v>35</v>
      </c>
      <c r="M6305">
        <f t="shared" si="847"/>
        <v>0</v>
      </c>
    </row>
    <row r="6306" spans="1:13" x14ac:dyDescent="0.3">
      <c r="A6306" s="3">
        <f t="shared" si="832"/>
        <v>45918</v>
      </c>
      <c r="B6306" s="11" t="s">
        <v>3402</v>
      </c>
      <c r="C6306" s="50" t="s">
        <v>7641</v>
      </c>
      <c r="E6306" s="90" t="s">
        <v>4720</v>
      </c>
      <c r="G6306" s="2">
        <v>2000</v>
      </c>
      <c r="I6306" s="88">
        <f t="shared" si="845"/>
        <v>17555.36</v>
      </c>
      <c r="K6306" s="62"/>
      <c r="L6306" s="2">
        <f t="shared" si="846"/>
        <v>8</v>
      </c>
      <c r="M6306">
        <f t="shared" si="847"/>
        <v>0</v>
      </c>
    </row>
    <row r="6307" spans="1:13" x14ac:dyDescent="0.3">
      <c r="A6307" s="3">
        <f t="shared" si="832"/>
        <v>45918</v>
      </c>
      <c r="B6307" s="11" t="s">
        <v>9123</v>
      </c>
      <c r="C6307" s="50" t="s">
        <v>9124</v>
      </c>
      <c r="E6307" s="90" t="s">
        <v>4720</v>
      </c>
      <c r="G6307" s="2">
        <v>3000</v>
      </c>
      <c r="I6307" s="88">
        <f t="shared" si="845"/>
        <v>20555.36</v>
      </c>
      <c r="K6307" s="62"/>
      <c r="L6307" s="2">
        <f t="shared" si="846"/>
        <v>12</v>
      </c>
      <c r="M6307">
        <f t="shared" si="847"/>
        <v>0</v>
      </c>
    </row>
    <row r="6308" spans="1:13" x14ac:dyDescent="0.3">
      <c r="A6308" s="3">
        <f t="shared" si="832"/>
        <v>45918</v>
      </c>
      <c r="B6308" s="11" t="s">
        <v>5872</v>
      </c>
      <c r="C6308" s="50" t="s">
        <v>5873</v>
      </c>
      <c r="E6308" s="90" t="s">
        <v>4720</v>
      </c>
      <c r="G6308" s="2">
        <v>7500</v>
      </c>
      <c r="I6308" s="88">
        <f t="shared" si="845"/>
        <v>28055.360000000001</v>
      </c>
      <c r="K6308" s="62"/>
      <c r="L6308" s="2">
        <f t="shared" si="846"/>
        <v>20</v>
      </c>
      <c r="M6308">
        <f t="shared" si="847"/>
        <v>0</v>
      </c>
    </row>
    <row r="6309" spans="1:13" x14ac:dyDescent="0.3">
      <c r="A6309" s="3">
        <f t="shared" ref="A6309:A6372" si="848">A6308</f>
        <v>45918</v>
      </c>
      <c r="B6309" s="11" t="s">
        <v>1250</v>
      </c>
      <c r="C6309" s="50" t="s">
        <v>8861</v>
      </c>
      <c r="E6309" s="90" t="s">
        <v>4720</v>
      </c>
      <c r="G6309" s="2">
        <v>5000</v>
      </c>
      <c r="I6309" s="88">
        <f t="shared" si="845"/>
        <v>33055.360000000001</v>
      </c>
      <c r="K6309" s="62"/>
      <c r="L6309" s="2">
        <f t="shared" si="846"/>
        <v>20</v>
      </c>
      <c r="M6309">
        <f t="shared" si="847"/>
        <v>0</v>
      </c>
    </row>
    <row r="6310" spans="1:13" x14ac:dyDescent="0.3">
      <c r="A6310" s="3">
        <f t="shared" si="848"/>
        <v>45918</v>
      </c>
      <c r="C6310" s="50" t="s">
        <v>2857</v>
      </c>
      <c r="E6310" s="90" t="s">
        <v>8332</v>
      </c>
      <c r="H6310" s="2">
        <v>30000</v>
      </c>
      <c r="I6310" s="88">
        <f t="shared" si="845"/>
        <v>3055.3600000000006</v>
      </c>
      <c r="K6310" s="62"/>
      <c r="L6310" s="2">
        <f t="shared" si="846"/>
        <v>0</v>
      </c>
      <c r="M6310">
        <f t="shared" si="847"/>
        <v>0</v>
      </c>
    </row>
    <row r="6311" spans="1:13" x14ac:dyDescent="0.3">
      <c r="A6311" s="3">
        <f t="shared" si="848"/>
        <v>45918</v>
      </c>
      <c r="B6311" s="11" t="s">
        <v>7329</v>
      </c>
      <c r="C6311" s="50" t="s">
        <v>7330</v>
      </c>
      <c r="E6311" s="90" t="s">
        <v>2088</v>
      </c>
      <c r="G6311" s="2">
        <v>1000</v>
      </c>
      <c r="I6311" s="88">
        <f t="shared" si="845"/>
        <v>4055.3600000000006</v>
      </c>
      <c r="K6311" s="62"/>
      <c r="L6311" s="2">
        <f t="shared" si="846"/>
        <v>9</v>
      </c>
      <c r="M6311">
        <f t="shared" si="847"/>
        <v>5</v>
      </c>
    </row>
    <row r="6312" spans="1:13" x14ac:dyDescent="0.3">
      <c r="A6312" s="3">
        <f t="shared" si="848"/>
        <v>45918</v>
      </c>
      <c r="B6312" s="11" t="s">
        <v>9092</v>
      </c>
      <c r="C6312" s="50" t="s">
        <v>9094</v>
      </c>
      <c r="E6312" s="90" t="s">
        <v>2088</v>
      </c>
      <c r="G6312" s="2">
        <v>0</v>
      </c>
      <c r="H6312" s="2">
        <v>0</v>
      </c>
      <c r="I6312" s="88">
        <f t="shared" si="845"/>
        <v>4055.3600000000006</v>
      </c>
      <c r="K6312" s="62"/>
      <c r="L6312" s="2">
        <f t="shared" si="846"/>
        <v>5</v>
      </c>
      <c r="M6312">
        <f t="shared" si="847"/>
        <v>5</v>
      </c>
    </row>
    <row r="6313" spans="1:13" x14ac:dyDescent="0.3">
      <c r="A6313" s="3">
        <f t="shared" si="848"/>
        <v>45918</v>
      </c>
      <c r="B6313" s="11" t="s">
        <v>7129</v>
      </c>
      <c r="C6313" s="50" t="s">
        <v>9128</v>
      </c>
      <c r="E6313" s="90" t="s">
        <v>4720</v>
      </c>
      <c r="G6313" s="2">
        <v>1000</v>
      </c>
      <c r="I6313" s="88">
        <f t="shared" si="845"/>
        <v>5055.3600000000006</v>
      </c>
      <c r="K6313" s="62"/>
      <c r="L6313" s="2">
        <f t="shared" si="846"/>
        <v>4</v>
      </c>
      <c r="M6313">
        <f t="shared" si="847"/>
        <v>0</v>
      </c>
    </row>
    <row r="6314" spans="1:13" x14ac:dyDescent="0.3">
      <c r="A6314" s="3">
        <f t="shared" si="848"/>
        <v>45918</v>
      </c>
      <c r="B6314" s="11" t="s">
        <v>7279</v>
      </c>
      <c r="C6314" s="50" t="s">
        <v>8601</v>
      </c>
      <c r="E6314" s="90" t="s">
        <v>2088</v>
      </c>
      <c r="G6314" s="2">
        <v>7000</v>
      </c>
      <c r="I6314" s="88">
        <f t="shared" si="845"/>
        <v>12055.36</v>
      </c>
      <c r="K6314" s="62"/>
      <c r="L6314" s="2">
        <f t="shared" si="846"/>
        <v>25</v>
      </c>
      <c r="M6314">
        <f t="shared" si="847"/>
        <v>5</v>
      </c>
    </row>
    <row r="6315" spans="1:13" x14ac:dyDescent="0.3">
      <c r="A6315" s="3">
        <f t="shared" si="848"/>
        <v>45918</v>
      </c>
      <c r="B6315" s="11" t="s">
        <v>3069</v>
      </c>
      <c r="C6315" s="50" t="s">
        <v>6636</v>
      </c>
      <c r="E6315" s="90" t="s">
        <v>4720</v>
      </c>
      <c r="G6315" s="2">
        <v>5000</v>
      </c>
      <c r="I6315" s="88">
        <f t="shared" si="845"/>
        <v>17055.36</v>
      </c>
      <c r="K6315" s="62"/>
      <c r="L6315" s="2">
        <f t="shared" si="846"/>
        <v>20</v>
      </c>
      <c r="M6315">
        <f t="shared" si="847"/>
        <v>0</v>
      </c>
    </row>
    <row r="6316" spans="1:13" x14ac:dyDescent="0.3">
      <c r="A6316" s="3">
        <f t="shared" si="848"/>
        <v>45918</v>
      </c>
      <c r="B6316" s="11" t="s">
        <v>8998</v>
      </c>
      <c r="C6316" s="50" t="s">
        <v>9129</v>
      </c>
      <c r="E6316" s="90" t="s">
        <v>4720</v>
      </c>
      <c r="G6316" s="2">
        <v>3000</v>
      </c>
      <c r="I6316" s="88">
        <f t="shared" si="845"/>
        <v>20055.36</v>
      </c>
      <c r="K6316" s="62"/>
      <c r="L6316" s="2">
        <f t="shared" si="846"/>
        <v>12</v>
      </c>
      <c r="M6316">
        <f t="shared" si="847"/>
        <v>0</v>
      </c>
    </row>
    <row r="6317" spans="1:13" x14ac:dyDescent="0.3">
      <c r="A6317" s="3">
        <f t="shared" si="848"/>
        <v>45918</v>
      </c>
      <c r="B6317" s="11" t="s">
        <v>9133</v>
      </c>
      <c r="C6317" s="50" t="s">
        <v>9137</v>
      </c>
      <c r="E6317" s="90" t="s">
        <v>16</v>
      </c>
      <c r="H6317" s="2">
        <v>500</v>
      </c>
      <c r="I6317" s="88">
        <f t="shared" si="845"/>
        <v>19555.36</v>
      </c>
      <c r="K6317" s="62"/>
      <c r="L6317" s="2">
        <f t="shared" si="846"/>
        <v>17</v>
      </c>
      <c r="M6317">
        <f t="shared" si="847"/>
        <v>0</v>
      </c>
    </row>
    <row r="6318" spans="1:13" x14ac:dyDescent="0.3">
      <c r="A6318" s="3">
        <v>45919</v>
      </c>
      <c r="B6318" s="11" t="s">
        <v>9138</v>
      </c>
      <c r="C6318" s="50" t="s">
        <v>9139</v>
      </c>
      <c r="E6318" s="90" t="s">
        <v>4720</v>
      </c>
      <c r="G6318" s="2">
        <v>800</v>
      </c>
      <c r="I6318" s="88">
        <f t="shared" ref="I6318:I6332" si="849">I6317+G6318-H6318</f>
        <v>20355.36</v>
      </c>
      <c r="K6318" s="62"/>
      <c r="L6318" s="2">
        <f t="shared" ref="L6318:L6332" si="850">IF(E6318="C",0,IF((G6318+H6318)&lt;=5000,(G6318+H6318)*0.004,20)+IF(E6318="P",5,IF(E6318="Y",15,IF(E6318="YY",25))))</f>
        <v>3.2</v>
      </c>
      <c r="M6318">
        <f t="shared" ref="M6318:M6332" si="851">IF(E6318="p",5,0)</f>
        <v>0</v>
      </c>
    </row>
    <row r="6319" spans="1:13" x14ac:dyDescent="0.3">
      <c r="A6319" s="3">
        <f t="shared" si="848"/>
        <v>45919</v>
      </c>
      <c r="B6319" s="11" t="s">
        <v>7804</v>
      </c>
      <c r="C6319" s="50" t="s">
        <v>7805</v>
      </c>
      <c r="E6319" s="90" t="s">
        <v>2088</v>
      </c>
      <c r="G6319" s="2">
        <v>0</v>
      </c>
      <c r="H6319" s="2">
        <v>0</v>
      </c>
      <c r="I6319" s="88">
        <f t="shared" si="849"/>
        <v>20355.36</v>
      </c>
      <c r="K6319" s="62"/>
      <c r="L6319" s="2">
        <f t="shared" si="850"/>
        <v>5</v>
      </c>
      <c r="M6319">
        <f t="shared" si="851"/>
        <v>5</v>
      </c>
    </row>
    <row r="6320" spans="1:13" x14ac:dyDescent="0.3">
      <c r="A6320" s="3">
        <f t="shared" si="848"/>
        <v>45919</v>
      </c>
      <c r="B6320" s="11" t="s">
        <v>7804</v>
      </c>
      <c r="C6320" s="50" t="s">
        <v>7805</v>
      </c>
      <c r="E6320" s="90" t="s">
        <v>2088</v>
      </c>
      <c r="G6320" s="2">
        <v>3000</v>
      </c>
      <c r="I6320" s="88">
        <f t="shared" si="849"/>
        <v>23355.360000000001</v>
      </c>
      <c r="K6320" s="62"/>
      <c r="L6320" s="2">
        <f t="shared" si="850"/>
        <v>17</v>
      </c>
      <c r="M6320">
        <f t="shared" si="851"/>
        <v>5</v>
      </c>
    </row>
    <row r="6321" spans="1:13" x14ac:dyDescent="0.3">
      <c r="A6321" s="3">
        <f t="shared" si="848"/>
        <v>45919</v>
      </c>
      <c r="B6321" s="11" t="s">
        <v>3232</v>
      </c>
      <c r="C6321" s="50" t="s">
        <v>4800</v>
      </c>
      <c r="E6321" s="90" t="s">
        <v>4720</v>
      </c>
      <c r="G6321" s="2">
        <v>3000</v>
      </c>
      <c r="I6321" s="88">
        <f t="shared" si="849"/>
        <v>26355.360000000001</v>
      </c>
      <c r="K6321" s="62"/>
      <c r="L6321" s="2">
        <f t="shared" si="850"/>
        <v>12</v>
      </c>
      <c r="M6321">
        <f t="shared" si="851"/>
        <v>0</v>
      </c>
    </row>
    <row r="6322" spans="1:13" x14ac:dyDescent="0.3">
      <c r="A6322" s="3">
        <f t="shared" si="848"/>
        <v>45919</v>
      </c>
      <c r="B6322" s="11" t="s">
        <v>9140</v>
      </c>
      <c r="C6322" s="50" t="s">
        <v>9141</v>
      </c>
      <c r="E6322" s="90" t="s">
        <v>2088</v>
      </c>
      <c r="G6322" s="2">
        <v>2500</v>
      </c>
      <c r="I6322" s="88">
        <f t="shared" si="849"/>
        <v>28855.360000000001</v>
      </c>
      <c r="K6322" s="62"/>
      <c r="L6322" s="2">
        <f t="shared" si="850"/>
        <v>15</v>
      </c>
      <c r="M6322">
        <f t="shared" si="851"/>
        <v>5</v>
      </c>
    </row>
    <row r="6323" spans="1:13" x14ac:dyDescent="0.3">
      <c r="A6323" s="3">
        <f t="shared" si="848"/>
        <v>45919</v>
      </c>
      <c r="B6323" s="11" t="s">
        <v>8247</v>
      </c>
      <c r="C6323" s="50" t="s">
        <v>8248</v>
      </c>
      <c r="E6323" s="90" t="s">
        <v>2088</v>
      </c>
      <c r="G6323" s="2">
        <v>6000</v>
      </c>
      <c r="I6323" s="88">
        <f t="shared" si="849"/>
        <v>34855.360000000001</v>
      </c>
      <c r="K6323" s="62"/>
      <c r="L6323" s="2">
        <f t="shared" si="850"/>
        <v>25</v>
      </c>
      <c r="M6323">
        <f t="shared" si="851"/>
        <v>5</v>
      </c>
    </row>
    <row r="6324" spans="1:13" x14ac:dyDescent="0.3">
      <c r="A6324" s="3">
        <f t="shared" si="848"/>
        <v>45919</v>
      </c>
      <c r="B6324" s="11" t="s">
        <v>6844</v>
      </c>
      <c r="C6324" s="50" t="s">
        <v>8198</v>
      </c>
      <c r="E6324" s="90" t="s">
        <v>4720</v>
      </c>
      <c r="H6324" s="2">
        <v>2000</v>
      </c>
      <c r="I6324" s="88">
        <f t="shared" si="849"/>
        <v>32855.360000000001</v>
      </c>
      <c r="K6324" s="62"/>
      <c r="L6324" s="2">
        <f t="shared" si="850"/>
        <v>8</v>
      </c>
      <c r="M6324">
        <f t="shared" si="851"/>
        <v>0</v>
      </c>
    </row>
    <row r="6325" spans="1:13" x14ac:dyDescent="0.3">
      <c r="A6325" s="3">
        <f t="shared" si="848"/>
        <v>45919</v>
      </c>
      <c r="B6325" s="11" t="s">
        <v>3289</v>
      </c>
      <c r="C6325" s="50" t="s">
        <v>2734</v>
      </c>
      <c r="E6325" s="90" t="s">
        <v>4720</v>
      </c>
      <c r="H6325" s="2">
        <v>1000</v>
      </c>
      <c r="I6325" s="88">
        <f t="shared" si="849"/>
        <v>31855.360000000001</v>
      </c>
      <c r="K6325" s="62"/>
      <c r="L6325" s="2">
        <f t="shared" si="850"/>
        <v>4</v>
      </c>
      <c r="M6325">
        <f t="shared" si="851"/>
        <v>0</v>
      </c>
    </row>
    <row r="6326" spans="1:13" x14ac:dyDescent="0.3">
      <c r="A6326" s="3">
        <f t="shared" si="848"/>
        <v>45919</v>
      </c>
      <c r="B6326" s="11" t="s">
        <v>7829</v>
      </c>
      <c r="C6326" s="50" t="s">
        <v>9149</v>
      </c>
      <c r="E6326" s="90" t="s">
        <v>2088</v>
      </c>
      <c r="G6326" s="2">
        <v>0</v>
      </c>
      <c r="H6326" s="2">
        <v>0</v>
      </c>
      <c r="I6326" s="88">
        <f t="shared" si="849"/>
        <v>31855.360000000001</v>
      </c>
      <c r="K6326" s="62"/>
      <c r="L6326" s="2">
        <f t="shared" si="850"/>
        <v>5</v>
      </c>
      <c r="M6326">
        <f t="shared" si="851"/>
        <v>5</v>
      </c>
    </row>
    <row r="6327" spans="1:13" x14ac:dyDescent="0.3">
      <c r="A6327" s="3">
        <f t="shared" si="848"/>
        <v>45919</v>
      </c>
      <c r="B6327" s="11" t="s">
        <v>9143</v>
      </c>
      <c r="C6327" s="65" t="s">
        <v>9145</v>
      </c>
      <c r="D6327" s="11"/>
      <c r="E6327" s="90" t="s">
        <v>16</v>
      </c>
      <c r="G6327" s="2">
        <v>500</v>
      </c>
      <c r="H6327" s="2">
        <v>2000</v>
      </c>
      <c r="I6327" s="88">
        <f t="shared" si="849"/>
        <v>30355.360000000001</v>
      </c>
      <c r="K6327" s="62"/>
      <c r="L6327" s="2">
        <f>IF(C6327="C",0,IF((G6327+H6327)&lt;=5000,(G6327+H6327)*0.004,20)+IF(C6327="P",5,IF(C6327="Y",15,IF(C6327="YY",25))))</f>
        <v>10</v>
      </c>
      <c r="M6327">
        <f>IF(C6327="p",5,0)</f>
        <v>0</v>
      </c>
    </row>
    <row r="6328" spans="1:13" x14ac:dyDescent="0.3">
      <c r="A6328" s="3">
        <f t="shared" si="848"/>
        <v>45919</v>
      </c>
      <c r="C6328" s="50" t="s">
        <v>2490</v>
      </c>
      <c r="E6328" s="90" t="s">
        <v>8332</v>
      </c>
      <c r="H6328" s="2">
        <v>30000</v>
      </c>
      <c r="I6328" s="88">
        <f t="shared" si="849"/>
        <v>355.36000000000058</v>
      </c>
      <c r="K6328" s="62"/>
      <c r="L6328" s="2">
        <f t="shared" si="850"/>
        <v>0</v>
      </c>
      <c r="M6328">
        <f t="shared" si="851"/>
        <v>0</v>
      </c>
    </row>
    <row r="6329" spans="1:13" x14ac:dyDescent="0.3">
      <c r="A6329" s="3">
        <f t="shared" si="848"/>
        <v>45919</v>
      </c>
      <c r="B6329" s="11" t="s">
        <v>7545</v>
      </c>
      <c r="C6329" s="50" t="s">
        <v>6592</v>
      </c>
      <c r="E6329" s="90" t="s">
        <v>2088</v>
      </c>
      <c r="G6329" s="2">
        <v>0</v>
      </c>
      <c r="H6329" s="2">
        <v>0</v>
      </c>
      <c r="I6329" s="88">
        <f t="shared" si="849"/>
        <v>355.36000000000058</v>
      </c>
      <c r="K6329" s="62"/>
      <c r="L6329" s="2">
        <f t="shared" si="850"/>
        <v>5</v>
      </c>
      <c r="M6329">
        <f t="shared" si="851"/>
        <v>5</v>
      </c>
    </row>
    <row r="6330" spans="1:13" x14ac:dyDescent="0.3">
      <c r="A6330" s="3">
        <f t="shared" si="848"/>
        <v>45919</v>
      </c>
      <c r="B6330" s="11" t="s">
        <v>7545</v>
      </c>
      <c r="C6330" s="50" t="s">
        <v>6592</v>
      </c>
      <c r="E6330" s="90" t="s">
        <v>2088</v>
      </c>
      <c r="G6330" s="2">
        <v>3000</v>
      </c>
      <c r="I6330" s="88">
        <f t="shared" si="849"/>
        <v>3355.3600000000006</v>
      </c>
      <c r="K6330" s="62"/>
      <c r="L6330" s="2">
        <f t="shared" si="850"/>
        <v>17</v>
      </c>
      <c r="M6330">
        <f t="shared" si="851"/>
        <v>5</v>
      </c>
    </row>
    <row r="6331" spans="1:13" x14ac:dyDescent="0.3">
      <c r="A6331" s="3">
        <f t="shared" si="848"/>
        <v>45919</v>
      </c>
      <c r="B6331" s="11" t="s">
        <v>1250</v>
      </c>
      <c r="C6331" s="50" t="s">
        <v>7372</v>
      </c>
      <c r="E6331" s="90" t="s">
        <v>4720</v>
      </c>
      <c r="G6331" s="2">
        <v>6000</v>
      </c>
      <c r="I6331" s="88">
        <f t="shared" si="849"/>
        <v>9355.36</v>
      </c>
      <c r="K6331" s="62"/>
      <c r="L6331" s="2">
        <f t="shared" si="850"/>
        <v>20</v>
      </c>
      <c r="M6331">
        <f t="shared" si="851"/>
        <v>0</v>
      </c>
    </row>
    <row r="6332" spans="1:13" x14ac:dyDescent="0.3">
      <c r="A6332" s="3">
        <f t="shared" si="848"/>
        <v>45919</v>
      </c>
      <c r="B6332" s="11" t="s">
        <v>7186</v>
      </c>
      <c r="C6332" s="50" t="s">
        <v>9112</v>
      </c>
      <c r="E6332" s="90" t="s">
        <v>2088</v>
      </c>
      <c r="G6332" s="2">
        <v>4500</v>
      </c>
      <c r="I6332" s="88">
        <f t="shared" si="849"/>
        <v>13855.36</v>
      </c>
      <c r="K6332" s="62"/>
      <c r="L6332" s="2">
        <f t="shared" si="850"/>
        <v>23</v>
      </c>
      <c r="M6332">
        <f t="shared" si="851"/>
        <v>5</v>
      </c>
    </row>
    <row r="6333" spans="1:13" x14ac:dyDescent="0.3">
      <c r="A6333" s="3">
        <f t="shared" si="848"/>
        <v>45919</v>
      </c>
      <c r="B6333" s="11" t="s">
        <v>1160</v>
      </c>
      <c r="C6333" s="50" t="s">
        <v>9150</v>
      </c>
      <c r="E6333" s="90" t="s">
        <v>4720</v>
      </c>
      <c r="G6333" s="2">
        <v>500</v>
      </c>
      <c r="I6333" s="88">
        <f t="shared" ref="I6333:I6345" si="852">I6332+G6333-H6333</f>
        <v>14355.36</v>
      </c>
      <c r="K6333" s="62"/>
      <c r="L6333" s="2">
        <f t="shared" ref="L6333:L6345" si="853">IF(E6333="C",0,IF((G6333+H6333)&lt;=5000,(G6333+H6333)*0.004,20)+IF(E6333="P",5,IF(E6333="Y",15,IF(E6333="YY",25))))</f>
        <v>2</v>
      </c>
      <c r="M6333">
        <f t="shared" ref="M6333:M6345" si="854">IF(E6333="p",5,0)</f>
        <v>0</v>
      </c>
    </row>
    <row r="6334" spans="1:13" x14ac:dyDescent="0.3">
      <c r="A6334" s="3">
        <f t="shared" si="848"/>
        <v>45919</v>
      </c>
      <c r="B6334" s="11" t="s">
        <v>1472</v>
      </c>
      <c r="C6334" s="50" t="s">
        <v>8055</v>
      </c>
      <c r="E6334" s="90" t="s">
        <v>4720</v>
      </c>
      <c r="G6334" s="2">
        <v>2500</v>
      </c>
      <c r="I6334" s="88">
        <f t="shared" si="852"/>
        <v>16855.36</v>
      </c>
      <c r="K6334" s="62"/>
      <c r="L6334" s="2">
        <f t="shared" si="853"/>
        <v>10</v>
      </c>
      <c r="M6334">
        <f t="shared" si="854"/>
        <v>0</v>
      </c>
    </row>
    <row r="6335" spans="1:13" x14ac:dyDescent="0.3">
      <c r="A6335" s="3">
        <f t="shared" si="848"/>
        <v>45919</v>
      </c>
      <c r="B6335" s="11" t="s">
        <v>1250</v>
      </c>
      <c r="C6335" s="50" t="s">
        <v>8055</v>
      </c>
      <c r="E6335" s="90" t="s">
        <v>2088</v>
      </c>
      <c r="H6335" s="2">
        <v>2500</v>
      </c>
      <c r="I6335" s="88">
        <f t="shared" si="852"/>
        <v>14355.36</v>
      </c>
      <c r="K6335" s="62"/>
      <c r="L6335" s="2">
        <f t="shared" si="853"/>
        <v>15</v>
      </c>
      <c r="M6335">
        <f t="shared" si="854"/>
        <v>5</v>
      </c>
    </row>
    <row r="6336" spans="1:13" x14ac:dyDescent="0.3">
      <c r="A6336" s="3">
        <f t="shared" si="848"/>
        <v>45919</v>
      </c>
      <c r="B6336" s="11" t="s">
        <v>7852</v>
      </c>
      <c r="C6336" s="50" t="s">
        <v>8750</v>
      </c>
      <c r="E6336" s="90" t="s">
        <v>4720</v>
      </c>
      <c r="G6336" s="2">
        <v>2500</v>
      </c>
      <c r="I6336" s="88">
        <f t="shared" si="852"/>
        <v>16855.36</v>
      </c>
      <c r="K6336" s="62"/>
      <c r="L6336" s="2">
        <f t="shared" si="853"/>
        <v>10</v>
      </c>
      <c r="M6336">
        <f t="shared" si="854"/>
        <v>0</v>
      </c>
    </row>
    <row r="6337" spans="1:13" x14ac:dyDescent="0.3">
      <c r="A6337" s="3">
        <f t="shared" si="848"/>
        <v>45919</v>
      </c>
      <c r="B6337" s="11" t="s">
        <v>4678</v>
      </c>
      <c r="C6337" s="50" t="s">
        <v>9151</v>
      </c>
      <c r="E6337" s="90" t="s">
        <v>7772</v>
      </c>
      <c r="G6337" s="2">
        <v>0</v>
      </c>
      <c r="H6337" s="2">
        <v>0</v>
      </c>
      <c r="I6337" s="88">
        <f t="shared" si="852"/>
        <v>16855.36</v>
      </c>
      <c r="K6337" s="62"/>
      <c r="L6337" s="2">
        <f t="shared" si="853"/>
        <v>5</v>
      </c>
      <c r="M6337">
        <f t="shared" si="854"/>
        <v>5</v>
      </c>
    </row>
    <row r="6338" spans="1:13" x14ac:dyDescent="0.3">
      <c r="A6338" s="3">
        <v>45920</v>
      </c>
      <c r="B6338" s="11" t="s">
        <v>3232</v>
      </c>
      <c r="C6338" s="50" t="s">
        <v>5621</v>
      </c>
      <c r="E6338" s="90" t="s">
        <v>4720</v>
      </c>
      <c r="G6338" s="2">
        <v>2000</v>
      </c>
      <c r="I6338" s="88">
        <f t="shared" si="852"/>
        <v>18855.36</v>
      </c>
      <c r="K6338" s="62"/>
      <c r="L6338" s="2">
        <f t="shared" si="853"/>
        <v>8</v>
      </c>
      <c r="M6338">
        <f t="shared" si="854"/>
        <v>0</v>
      </c>
    </row>
    <row r="6339" spans="1:13" x14ac:dyDescent="0.3">
      <c r="A6339" s="3">
        <f t="shared" si="848"/>
        <v>45920</v>
      </c>
      <c r="B6339" s="11" t="s">
        <v>6902</v>
      </c>
      <c r="C6339" s="50" t="s">
        <v>9152</v>
      </c>
      <c r="E6339" s="90" t="s">
        <v>2088</v>
      </c>
      <c r="G6339" s="2">
        <v>0</v>
      </c>
      <c r="H6339" s="2">
        <v>0</v>
      </c>
      <c r="I6339" s="88">
        <f t="shared" si="852"/>
        <v>18855.36</v>
      </c>
      <c r="K6339" s="62"/>
      <c r="L6339" s="2">
        <f t="shared" si="853"/>
        <v>5</v>
      </c>
      <c r="M6339">
        <f t="shared" si="854"/>
        <v>5</v>
      </c>
    </row>
    <row r="6340" spans="1:13" x14ac:dyDescent="0.3">
      <c r="A6340" s="3">
        <f t="shared" si="848"/>
        <v>45920</v>
      </c>
      <c r="B6340" s="11" t="s">
        <v>1250</v>
      </c>
      <c r="C6340" s="50" t="s">
        <v>2616</v>
      </c>
      <c r="E6340" s="90" t="s">
        <v>4720</v>
      </c>
      <c r="G6340" s="2">
        <v>4500</v>
      </c>
      <c r="I6340" s="88">
        <f t="shared" si="852"/>
        <v>23355.360000000001</v>
      </c>
      <c r="K6340" s="62"/>
      <c r="L6340" s="2">
        <f t="shared" si="853"/>
        <v>18</v>
      </c>
      <c r="M6340">
        <f t="shared" si="854"/>
        <v>0</v>
      </c>
    </row>
    <row r="6341" spans="1:13" x14ac:dyDescent="0.3">
      <c r="A6341" s="3">
        <f t="shared" si="848"/>
        <v>45920</v>
      </c>
      <c r="B6341" s="11" t="s">
        <v>1160</v>
      </c>
      <c r="C6341" s="50" t="s">
        <v>5190</v>
      </c>
      <c r="E6341" s="90" t="s">
        <v>4720</v>
      </c>
      <c r="G6341" s="2">
        <v>2500</v>
      </c>
      <c r="I6341" s="88">
        <f t="shared" si="852"/>
        <v>25855.360000000001</v>
      </c>
      <c r="K6341" s="62"/>
      <c r="L6341" s="2">
        <f t="shared" si="853"/>
        <v>10</v>
      </c>
      <c r="M6341">
        <f t="shared" si="854"/>
        <v>0</v>
      </c>
    </row>
    <row r="6342" spans="1:13" x14ac:dyDescent="0.3">
      <c r="A6342" s="3">
        <f t="shared" si="848"/>
        <v>45920</v>
      </c>
      <c r="B6342" s="11" t="s">
        <v>9154</v>
      </c>
      <c r="E6342" s="90" t="s">
        <v>16</v>
      </c>
      <c r="H6342" s="2">
        <v>500</v>
      </c>
      <c r="I6342" s="88">
        <f t="shared" si="852"/>
        <v>25355.360000000001</v>
      </c>
      <c r="K6342" s="62"/>
      <c r="L6342" s="2">
        <f t="shared" si="853"/>
        <v>17</v>
      </c>
      <c r="M6342">
        <f t="shared" si="854"/>
        <v>0</v>
      </c>
    </row>
    <row r="6343" spans="1:13" x14ac:dyDescent="0.3">
      <c r="A6343" s="3">
        <f t="shared" si="848"/>
        <v>45920</v>
      </c>
      <c r="B6343" s="11" t="s">
        <v>9156</v>
      </c>
      <c r="C6343" s="50" t="s">
        <v>9155</v>
      </c>
      <c r="E6343" s="90" t="s">
        <v>2088</v>
      </c>
      <c r="G6343" s="2">
        <v>3000</v>
      </c>
      <c r="I6343" s="88">
        <f t="shared" si="852"/>
        <v>28355.360000000001</v>
      </c>
      <c r="K6343" s="62"/>
      <c r="L6343" s="2">
        <f t="shared" si="853"/>
        <v>17</v>
      </c>
      <c r="M6343">
        <f t="shared" si="854"/>
        <v>5</v>
      </c>
    </row>
    <row r="6344" spans="1:13" x14ac:dyDescent="0.3">
      <c r="A6344" s="3">
        <f t="shared" si="848"/>
        <v>45920</v>
      </c>
      <c r="B6344" s="11" t="s">
        <v>8504</v>
      </c>
      <c r="C6344" s="50" t="s">
        <v>9157</v>
      </c>
      <c r="E6344" s="90" t="s">
        <v>2088</v>
      </c>
      <c r="G6344" s="2">
        <v>5000</v>
      </c>
      <c r="I6344" s="88">
        <f t="shared" si="852"/>
        <v>33355.360000000001</v>
      </c>
      <c r="K6344" s="62"/>
      <c r="L6344" s="2">
        <f t="shared" si="853"/>
        <v>25</v>
      </c>
      <c r="M6344">
        <f t="shared" si="854"/>
        <v>5</v>
      </c>
    </row>
    <row r="6345" spans="1:13" x14ac:dyDescent="0.3">
      <c r="A6345" s="3">
        <f t="shared" si="848"/>
        <v>45920</v>
      </c>
      <c r="B6345" s="11" t="s">
        <v>7514</v>
      </c>
      <c r="C6345" s="50" t="s">
        <v>6985</v>
      </c>
      <c r="E6345" s="90" t="s">
        <v>4720</v>
      </c>
      <c r="G6345" s="2">
        <v>2000</v>
      </c>
      <c r="I6345" s="88">
        <f t="shared" si="852"/>
        <v>35355.360000000001</v>
      </c>
      <c r="K6345" s="62"/>
      <c r="L6345" s="2">
        <f t="shared" si="853"/>
        <v>8</v>
      </c>
      <c r="M6345">
        <f t="shared" si="854"/>
        <v>0</v>
      </c>
    </row>
    <row r="6346" spans="1:13" x14ac:dyDescent="0.3">
      <c r="A6346" s="3">
        <f t="shared" si="848"/>
        <v>45920</v>
      </c>
      <c r="B6346" s="11" t="s">
        <v>9158</v>
      </c>
      <c r="C6346" s="50" t="s">
        <v>9159</v>
      </c>
      <c r="E6346" s="90" t="s">
        <v>2088</v>
      </c>
      <c r="G6346" s="2">
        <v>0</v>
      </c>
      <c r="H6346" s="2">
        <v>0</v>
      </c>
      <c r="I6346" s="88">
        <f t="shared" ref="I6346:I6365" si="855">I6345+G6346-H6346</f>
        <v>35355.360000000001</v>
      </c>
      <c r="K6346" s="62"/>
      <c r="L6346" s="2">
        <f t="shared" ref="L6346:L6365" si="856">IF(E6346="C",0,IF((G6346+H6346)&lt;=5000,(G6346+H6346)*0.004,20)+IF(E6346="P",5,IF(E6346="Y",15,IF(E6346="YY",25))))</f>
        <v>5</v>
      </c>
      <c r="M6346">
        <f t="shared" ref="M6346:M6365" si="857">IF(E6346="p",5,0)</f>
        <v>5</v>
      </c>
    </row>
    <row r="6347" spans="1:13" x14ac:dyDescent="0.3">
      <c r="A6347" s="3">
        <f t="shared" si="848"/>
        <v>45920</v>
      </c>
      <c r="B6347" s="11" t="s">
        <v>9161</v>
      </c>
      <c r="C6347" s="50" t="s">
        <v>9162</v>
      </c>
      <c r="E6347" s="90" t="s">
        <v>16</v>
      </c>
      <c r="H6347" s="2">
        <v>500</v>
      </c>
      <c r="I6347" s="88">
        <f t="shared" si="855"/>
        <v>34855.360000000001</v>
      </c>
      <c r="K6347" s="62"/>
      <c r="L6347" s="2">
        <f t="shared" si="856"/>
        <v>17</v>
      </c>
      <c r="M6347">
        <f t="shared" si="857"/>
        <v>0</v>
      </c>
    </row>
    <row r="6348" spans="1:13" x14ac:dyDescent="0.3">
      <c r="A6348" s="3">
        <f t="shared" si="848"/>
        <v>45920</v>
      </c>
      <c r="C6348" s="50" t="s">
        <v>2490</v>
      </c>
      <c r="E6348" s="90" t="s">
        <v>8332</v>
      </c>
      <c r="H6348" s="2">
        <v>30000</v>
      </c>
      <c r="I6348" s="88">
        <f t="shared" si="855"/>
        <v>4855.3600000000006</v>
      </c>
      <c r="K6348" s="62"/>
      <c r="L6348" s="2">
        <f t="shared" si="856"/>
        <v>0</v>
      </c>
      <c r="M6348">
        <f t="shared" si="857"/>
        <v>0</v>
      </c>
    </row>
    <row r="6349" spans="1:13" x14ac:dyDescent="0.3">
      <c r="A6349" s="3">
        <f t="shared" si="848"/>
        <v>45920</v>
      </c>
      <c r="B6349" s="11" t="s">
        <v>1472</v>
      </c>
      <c r="C6349" s="50" t="s">
        <v>9016</v>
      </c>
      <c r="E6349" s="90" t="s">
        <v>4720</v>
      </c>
      <c r="G6349" s="2">
        <v>1000</v>
      </c>
      <c r="I6349" s="88">
        <f t="shared" si="855"/>
        <v>5855.3600000000006</v>
      </c>
      <c r="J6349" s="62"/>
      <c r="K6349" s="62"/>
      <c r="L6349" s="2">
        <f t="shared" si="856"/>
        <v>4</v>
      </c>
      <c r="M6349">
        <f t="shared" si="857"/>
        <v>0</v>
      </c>
    </row>
    <row r="6350" spans="1:13" x14ac:dyDescent="0.3">
      <c r="A6350" s="3">
        <f t="shared" si="848"/>
        <v>45920</v>
      </c>
      <c r="B6350" s="11" t="s">
        <v>3877</v>
      </c>
      <c r="C6350" s="50" t="s">
        <v>9163</v>
      </c>
      <c r="E6350" s="90" t="s">
        <v>2088</v>
      </c>
      <c r="G6350" s="2">
        <v>1200</v>
      </c>
      <c r="I6350" s="88">
        <f t="shared" si="855"/>
        <v>7055.3600000000006</v>
      </c>
      <c r="K6350" s="62"/>
      <c r="L6350" s="2">
        <f t="shared" si="856"/>
        <v>9.8000000000000007</v>
      </c>
      <c r="M6350">
        <f t="shared" si="857"/>
        <v>5</v>
      </c>
    </row>
    <row r="6351" spans="1:13" x14ac:dyDescent="0.3">
      <c r="A6351" s="3">
        <f t="shared" si="848"/>
        <v>45920</v>
      </c>
      <c r="B6351" s="11" t="s">
        <v>3039</v>
      </c>
      <c r="C6351" s="50" t="s">
        <v>8933</v>
      </c>
      <c r="E6351" s="90" t="s">
        <v>4720</v>
      </c>
      <c r="G6351" s="2">
        <v>3000</v>
      </c>
      <c r="I6351" s="88">
        <f t="shared" si="855"/>
        <v>10055.36</v>
      </c>
      <c r="K6351" s="62"/>
      <c r="L6351" s="2">
        <f t="shared" si="856"/>
        <v>12</v>
      </c>
      <c r="M6351">
        <f t="shared" si="857"/>
        <v>0</v>
      </c>
    </row>
    <row r="6352" spans="1:13" x14ac:dyDescent="0.3">
      <c r="A6352" s="3">
        <f t="shared" si="848"/>
        <v>45920</v>
      </c>
      <c r="B6352" s="11" t="s">
        <v>2448</v>
      </c>
      <c r="C6352" s="50" t="s">
        <v>2289</v>
      </c>
      <c r="E6352" s="90" t="s">
        <v>4720</v>
      </c>
      <c r="H6352" s="2">
        <v>4000</v>
      </c>
      <c r="I6352" s="88">
        <f t="shared" si="855"/>
        <v>6055.3600000000006</v>
      </c>
      <c r="K6352" s="62"/>
      <c r="L6352" s="2">
        <f t="shared" si="856"/>
        <v>16</v>
      </c>
      <c r="M6352">
        <f t="shared" si="857"/>
        <v>0</v>
      </c>
    </row>
    <row r="6353" spans="1:13" x14ac:dyDescent="0.3">
      <c r="A6353" s="3">
        <f t="shared" si="848"/>
        <v>45920</v>
      </c>
      <c r="B6353" s="11" t="s">
        <v>3849</v>
      </c>
      <c r="C6353" s="50" t="s">
        <v>2551</v>
      </c>
      <c r="E6353" s="90" t="s">
        <v>4720</v>
      </c>
      <c r="H6353" s="2">
        <v>5000</v>
      </c>
      <c r="I6353" s="88">
        <f t="shared" si="855"/>
        <v>1055.3600000000006</v>
      </c>
      <c r="K6353" s="62"/>
      <c r="L6353" s="2">
        <f t="shared" si="856"/>
        <v>20</v>
      </c>
      <c r="M6353">
        <f t="shared" si="857"/>
        <v>0</v>
      </c>
    </row>
    <row r="6354" spans="1:13" x14ac:dyDescent="0.3">
      <c r="A6354" s="3">
        <v>45921</v>
      </c>
      <c r="B6354" s="11" t="s">
        <v>5659</v>
      </c>
      <c r="C6354" s="50" t="s">
        <v>9167</v>
      </c>
      <c r="E6354" s="90" t="s">
        <v>2088</v>
      </c>
      <c r="G6354" s="2">
        <v>5000</v>
      </c>
      <c r="I6354" s="88">
        <f t="shared" si="855"/>
        <v>6055.3600000000006</v>
      </c>
      <c r="K6354" s="62"/>
      <c r="L6354" s="2">
        <f t="shared" si="856"/>
        <v>25</v>
      </c>
      <c r="M6354">
        <f t="shared" si="857"/>
        <v>5</v>
      </c>
    </row>
    <row r="6355" spans="1:13" x14ac:dyDescent="0.3">
      <c r="A6355" s="3">
        <f t="shared" si="848"/>
        <v>45921</v>
      </c>
      <c r="B6355" s="11" t="s">
        <v>1250</v>
      </c>
      <c r="C6355" s="50" t="s">
        <v>2443</v>
      </c>
      <c r="E6355" s="90" t="s">
        <v>4720</v>
      </c>
      <c r="G6355" s="2">
        <v>830</v>
      </c>
      <c r="I6355" s="88">
        <f t="shared" si="855"/>
        <v>6885.3600000000006</v>
      </c>
      <c r="K6355" s="62"/>
      <c r="L6355" s="2">
        <f t="shared" si="856"/>
        <v>3.3200000000000003</v>
      </c>
      <c r="M6355">
        <f t="shared" si="857"/>
        <v>0</v>
      </c>
    </row>
    <row r="6356" spans="1:13" x14ac:dyDescent="0.3">
      <c r="A6356" s="3">
        <f t="shared" si="848"/>
        <v>45921</v>
      </c>
      <c r="B6356" s="11" t="s">
        <v>7352</v>
      </c>
      <c r="C6356" s="50" t="s">
        <v>9168</v>
      </c>
      <c r="D6356" s="131">
        <v>8797750028</v>
      </c>
      <c r="E6356" s="90" t="s">
        <v>4720</v>
      </c>
      <c r="G6356" s="2">
        <v>3050</v>
      </c>
      <c r="I6356" s="88">
        <f t="shared" si="855"/>
        <v>9935.36</v>
      </c>
      <c r="K6356" s="62"/>
      <c r="L6356" s="2">
        <f t="shared" si="856"/>
        <v>12.200000000000001</v>
      </c>
      <c r="M6356">
        <f t="shared" si="857"/>
        <v>0</v>
      </c>
    </row>
    <row r="6357" spans="1:13" x14ac:dyDescent="0.3">
      <c r="A6357" s="3">
        <f t="shared" si="848"/>
        <v>45921</v>
      </c>
      <c r="B6357" s="11" t="s">
        <v>6844</v>
      </c>
      <c r="C6357" s="50" t="s">
        <v>7544</v>
      </c>
      <c r="E6357" s="90" t="s">
        <v>4720</v>
      </c>
      <c r="H6357" s="2">
        <v>1300</v>
      </c>
      <c r="I6357" s="88">
        <f t="shared" si="855"/>
        <v>8635.36</v>
      </c>
      <c r="K6357" s="62"/>
      <c r="L6357" s="2">
        <f t="shared" si="856"/>
        <v>5.2</v>
      </c>
      <c r="M6357">
        <f t="shared" si="857"/>
        <v>0</v>
      </c>
    </row>
    <row r="6358" spans="1:13" x14ac:dyDescent="0.3">
      <c r="A6358" s="3">
        <f t="shared" si="848"/>
        <v>45921</v>
      </c>
      <c r="B6358" s="11" t="s">
        <v>1160</v>
      </c>
      <c r="C6358" s="50" t="s">
        <v>8603</v>
      </c>
      <c r="E6358" s="90" t="s">
        <v>4720</v>
      </c>
      <c r="G6358" s="2">
        <v>3000</v>
      </c>
      <c r="I6358" s="88">
        <f t="shared" si="855"/>
        <v>11635.36</v>
      </c>
      <c r="K6358" s="62"/>
      <c r="L6358" s="2">
        <f t="shared" si="856"/>
        <v>12</v>
      </c>
      <c r="M6358">
        <f t="shared" si="857"/>
        <v>0</v>
      </c>
    </row>
    <row r="6359" spans="1:13" x14ac:dyDescent="0.3">
      <c r="A6359" s="3">
        <v>45922</v>
      </c>
      <c r="B6359" s="11" t="s">
        <v>5042</v>
      </c>
      <c r="C6359" s="50" t="s">
        <v>6176</v>
      </c>
      <c r="E6359" s="90" t="s">
        <v>2088</v>
      </c>
      <c r="H6359" s="2">
        <v>1000</v>
      </c>
      <c r="I6359" s="88">
        <f t="shared" si="855"/>
        <v>10635.36</v>
      </c>
      <c r="K6359" s="62"/>
      <c r="L6359" s="2">
        <f t="shared" si="856"/>
        <v>9</v>
      </c>
      <c r="M6359">
        <f t="shared" si="857"/>
        <v>5</v>
      </c>
    </row>
    <row r="6360" spans="1:13" x14ac:dyDescent="0.3">
      <c r="A6360" s="3">
        <f t="shared" si="848"/>
        <v>45922</v>
      </c>
      <c r="B6360" s="11" t="s">
        <v>7060</v>
      </c>
      <c r="C6360" s="50" t="s">
        <v>9169</v>
      </c>
      <c r="E6360" s="90" t="s">
        <v>2088</v>
      </c>
      <c r="G6360" s="2">
        <v>0</v>
      </c>
      <c r="H6360" s="2">
        <v>0</v>
      </c>
      <c r="I6360" s="88">
        <f t="shared" si="855"/>
        <v>10635.36</v>
      </c>
      <c r="K6360" s="62"/>
      <c r="L6360" s="2">
        <f t="shared" si="856"/>
        <v>5</v>
      </c>
      <c r="M6360">
        <f t="shared" si="857"/>
        <v>5</v>
      </c>
    </row>
    <row r="6361" spans="1:13" x14ac:dyDescent="0.3">
      <c r="A6361" s="3">
        <f t="shared" si="848"/>
        <v>45922</v>
      </c>
      <c r="B6361" s="11" t="s">
        <v>7060</v>
      </c>
      <c r="C6361" s="50" t="s">
        <v>9169</v>
      </c>
      <c r="E6361" s="90" t="s">
        <v>2088</v>
      </c>
      <c r="G6361" s="2">
        <v>5000</v>
      </c>
      <c r="I6361" s="88">
        <f t="shared" si="855"/>
        <v>15635.36</v>
      </c>
      <c r="K6361" s="62"/>
      <c r="L6361" s="2">
        <f t="shared" si="856"/>
        <v>25</v>
      </c>
      <c r="M6361">
        <f t="shared" si="857"/>
        <v>5</v>
      </c>
    </row>
    <row r="6362" spans="1:13" x14ac:dyDescent="0.3">
      <c r="A6362" s="3">
        <f t="shared" si="848"/>
        <v>45922</v>
      </c>
      <c r="B6362" s="11" t="s">
        <v>6743</v>
      </c>
      <c r="C6362" s="50" t="s">
        <v>9170</v>
      </c>
      <c r="E6362" s="90" t="s">
        <v>2088</v>
      </c>
      <c r="G6362" s="2">
        <v>3000</v>
      </c>
      <c r="I6362" s="88">
        <f t="shared" si="855"/>
        <v>18635.36</v>
      </c>
      <c r="K6362" s="62"/>
      <c r="L6362" s="2">
        <f t="shared" si="856"/>
        <v>17</v>
      </c>
      <c r="M6362">
        <f t="shared" si="857"/>
        <v>5</v>
      </c>
    </row>
    <row r="6363" spans="1:13" x14ac:dyDescent="0.3">
      <c r="A6363" s="3">
        <f t="shared" si="848"/>
        <v>45922</v>
      </c>
      <c r="B6363" s="11" t="s">
        <v>7547</v>
      </c>
      <c r="C6363" s="50" t="s">
        <v>7328</v>
      </c>
      <c r="E6363" s="90" t="s">
        <v>4720</v>
      </c>
      <c r="G6363" s="2">
        <v>2800</v>
      </c>
      <c r="I6363" s="88">
        <f t="shared" si="855"/>
        <v>21435.360000000001</v>
      </c>
      <c r="K6363" s="62"/>
      <c r="L6363" s="2">
        <f t="shared" si="856"/>
        <v>11.200000000000001</v>
      </c>
      <c r="M6363">
        <f t="shared" si="857"/>
        <v>0</v>
      </c>
    </row>
    <row r="6364" spans="1:13" x14ac:dyDescent="0.3">
      <c r="A6364" s="3">
        <f t="shared" si="848"/>
        <v>45922</v>
      </c>
      <c r="B6364" s="11" t="s">
        <v>7886</v>
      </c>
      <c r="C6364" s="50" t="s">
        <v>9046</v>
      </c>
      <c r="D6364" s="131">
        <v>9229455582</v>
      </c>
      <c r="E6364" s="90" t="s">
        <v>7772</v>
      </c>
      <c r="H6364" s="2">
        <v>2000</v>
      </c>
      <c r="I6364" s="88">
        <f t="shared" si="855"/>
        <v>19435.36</v>
      </c>
      <c r="K6364" s="62"/>
      <c r="L6364" s="2">
        <f t="shared" si="856"/>
        <v>13</v>
      </c>
      <c r="M6364">
        <f t="shared" si="857"/>
        <v>5</v>
      </c>
    </row>
    <row r="6365" spans="1:13" x14ac:dyDescent="0.3">
      <c r="A6365" s="3">
        <f t="shared" si="848"/>
        <v>45922</v>
      </c>
      <c r="B6365" s="11" t="s">
        <v>6728</v>
      </c>
      <c r="C6365" s="50" t="s">
        <v>9175</v>
      </c>
      <c r="E6365" s="90" t="s">
        <v>2088</v>
      </c>
      <c r="G6365" s="2">
        <v>1900</v>
      </c>
      <c r="I6365" s="88">
        <f t="shared" si="855"/>
        <v>21335.360000000001</v>
      </c>
      <c r="K6365" s="62"/>
      <c r="L6365" s="2">
        <f t="shared" si="856"/>
        <v>12.600000000000001</v>
      </c>
      <c r="M6365">
        <f t="shared" si="857"/>
        <v>5</v>
      </c>
    </row>
    <row r="6366" spans="1:13" x14ac:dyDescent="0.3">
      <c r="A6366" s="3">
        <f t="shared" si="848"/>
        <v>45922</v>
      </c>
      <c r="B6366" s="11" t="s">
        <v>6726</v>
      </c>
      <c r="C6366" s="50" t="s">
        <v>8784</v>
      </c>
      <c r="E6366" s="90" t="s">
        <v>2088</v>
      </c>
      <c r="G6366" s="2">
        <v>2300</v>
      </c>
      <c r="I6366" s="88">
        <f t="shared" ref="I6366:I6378" si="858">I6365+G6366-H6366</f>
        <v>23635.360000000001</v>
      </c>
      <c r="K6366" s="62"/>
      <c r="L6366" s="2">
        <f t="shared" ref="L6366:L6378" si="859">IF(E6366="C",0,IF((G6366+H6366)&lt;=5000,(G6366+H6366)*0.004,20)+IF(E6366="P",5,IF(E6366="Y",15,IF(E6366="YY",25))))</f>
        <v>14.200000000000001</v>
      </c>
      <c r="M6366">
        <f t="shared" ref="M6366:M6378" si="860">IF(E6366="p",5,0)</f>
        <v>5</v>
      </c>
    </row>
    <row r="6367" spans="1:13" x14ac:dyDescent="0.3">
      <c r="A6367" s="3">
        <f t="shared" si="848"/>
        <v>45922</v>
      </c>
      <c r="B6367" s="11" t="s">
        <v>1250</v>
      </c>
      <c r="C6367" s="50" t="s">
        <v>6288</v>
      </c>
      <c r="E6367" s="90" t="s">
        <v>4720</v>
      </c>
      <c r="G6367" s="2">
        <v>2000</v>
      </c>
      <c r="I6367" s="88">
        <f t="shared" si="858"/>
        <v>25635.360000000001</v>
      </c>
      <c r="K6367" s="62"/>
      <c r="L6367" s="2">
        <f t="shared" si="859"/>
        <v>8</v>
      </c>
      <c r="M6367">
        <f t="shared" si="860"/>
        <v>0</v>
      </c>
    </row>
    <row r="6368" spans="1:13" x14ac:dyDescent="0.3">
      <c r="A6368" s="3">
        <f t="shared" si="848"/>
        <v>45922</v>
      </c>
      <c r="B6368" s="11" t="s">
        <v>9083</v>
      </c>
      <c r="E6368" s="90" t="s">
        <v>2088</v>
      </c>
      <c r="I6368" s="88">
        <f t="shared" si="858"/>
        <v>25635.360000000001</v>
      </c>
      <c r="K6368" s="62"/>
      <c r="L6368" s="2">
        <f t="shared" si="859"/>
        <v>5</v>
      </c>
      <c r="M6368">
        <f t="shared" si="860"/>
        <v>5</v>
      </c>
    </row>
    <row r="6369" spans="1:13" x14ac:dyDescent="0.3">
      <c r="A6369" s="3">
        <f t="shared" si="848"/>
        <v>45922</v>
      </c>
      <c r="B6369" s="11" t="s">
        <v>9083</v>
      </c>
      <c r="E6369" s="90" t="s">
        <v>2088</v>
      </c>
      <c r="H6369" s="2">
        <v>50</v>
      </c>
      <c r="I6369" s="88">
        <f t="shared" si="858"/>
        <v>25585.360000000001</v>
      </c>
      <c r="K6369" s="62"/>
      <c r="L6369" s="2">
        <f t="shared" si="859"/>
        <v>5.2</v>
      </c>
      <c r="M6369">
        <f t="shared" si="860"/>
        <v>5</v>
      </c>
    </row>
    <row r="6370" spans="1:13" x14ac:dyDescent="0.3">
      <c r="A6370" s="3">
        <v>45923</v>
      </c>
      <c r="C6370" s="50" t="s">
        <v>2857</v>
      </c>
      <c r="E6370" s="90" t="s">
        <v>8332</v>
      </c>
      <c r="H6370" s="2">
        <v>25000</v>
      </c>
      <c r="I6370" s="88">
        <f t="shared" si="858"/>
        <v>585.36000000000058</v>
      </c>
      <c r="K6370" s="62"/>
      <c r="L6370" s="2">
        <f t="shared" si="859"/>
        <v>0</v>
      </c>
      <c r="M6370">
        <f t="shared" si="860"/>
        <v>0</v>
      </c>
    </row>
    <row r="6371" spans="1:13" x14ac:dyDescent="0.3">
      <c r="A6371" s="3">
        <f t="shared" si="848"/>
        <v>45923</v>
      </c>
      <c r="B6371" s="11" t="s">
        <v>6486</v>
      </c>
      <c r="C6371" s="50" t="s">
        <v>8841</v>
      </c>
      <c r="E6371" s="90" t="s">
        <v>2088</v>
      </c>
      <c r="G6371" s="2">
        <v>2000</v>
      </c>
      <c r="I6371" s="88">
        <f t="shared" si="858"/>
        <v>2585.3600000000006</v>
      </c>
      <c r="K6371" s="62"/>
      <c r="L6371" s="2">
        <f t="shared" si="859"/>
        <v>13</v>
      </c>
      <c r="M6371">
        <f t="shared" si="860"/>
        <v>5</v>
      </c>
    </row>
    <row r="6372" spans="1:13" x14ac:dyDescent="0.3">
      <c r="A6372" s="3">
        <f t="shared" si="848"/>
        <v>45923</v>
      </c>
      <c r="B6372" s="11" t="s">
        <v>1250</v>
      </c>
      <c r="C6372" s="50" t="s">
        <v>7613</v>
      </c>
      <c r="E6372" s="90" t="s">
        <v>4720</v>
      </c>
      <c r="G6372" s="2">
        <v>10000</v>
      </c>
      <c r="I6372" s="88">
        <f t="shared" si="858"/>
        <v>12585.36</v>
      </c>
      <c r="K6372" s="62"/>
      <c r="L6372" s="2">
        <f t="shared" si="859"/>
        <v>20</v>
      </c>
      <c r="M6372">
        <f t="shared" si="860"/>
        <v>0</v>
      </c>
    </row>
    <row r="6373" spans="1:13" x14ac:dyDescent="0.3">
      <c r="A6373" s="3">
        <f t="shared" ref="A6373:A6436" si="861">A6372</f>
        <v>45923</v>
      </c>
      <c r="B6373" s="11" t="s">
        <v>8674</v>
      </c>
      <c r="C6373" s="50" t="s">
        <v>8675</v>
      </c>
      <c r="E6373" s="90" t="s">
        <v>2088</v>
      </c>
      <c r="G6373" s="2">
        <v>0</v>
      </c>
      <c r="H6373" s="2">
        <v>0</v>
      </c>
      <c r="I6373" s="88">
        <f t="shared" si="858"/>
        <v>12585.36</v>
      </c>
      <c r="K6373" s="62"/>
      <c r="L6373" s="2">
        <f t="shared" si="859"/>
        <v>5</v>
      </c>
      <c r="M6373">
        <f t="shared" si="860"/>
        <v>5</v>
      </c>
    </row>
    <row r="6374" spans="1:13" x14ac:dyDescent="0.3">
      <c r="A6374" s="3">
        <f t="shared" si="861"/>
        <v>45923</v>
      </c>
      <c r="B6374" s="11" t="s">
        <v>8674</v>
      </c>
      <c r="C6374" s="50" t="s">
        <v>8675</v>
      </c>
      <c r="E6374" s="90" t="s">
        <v>2088</v>
      </c>
      <c r="G6374" s="2">
        <v>2700</v>
      </c>
      <c r="I6374" s="88">
        <f t="shared" si="858"/>
        <v>15285.36</v>
      </c>
      <c r="K6374" s="62"/>
      <c r="L6374" s="2">
        <f t="shared" si="859"/>
        <v>15.8</v>
      </c>
      <c r="M6374">
        <f t="shared" si="860"/>
        <v>5</v>
      </c>
    </row>
    <row r="6375" spans="1:13" x14ac:dyDescent="0.3">
      <c r="A6375" s="3">
        <f t="shared" si="861"/>
        <v>45923</v>
      </c>
      <c r="B6375" s="11" t="s">
        <v>9176</v>
      </c>
      <c r="C6375" s="50" t="s">
        <v>9177</v>
      </c>
      <c r="E6375" s="90" t="s">
        <v>2088</v>
      </c>
      <c r="G6375" s="2">
        <v>2500</v>
      </c>
      <c r="I6375" s="88">
        <f t="shared" si="858"/>
        <v>17785.36</v>
      </c>
      <c r="K6375" s="62"/>
      <c r="L6375" s="2">
        <f t="shared" si="859"/>
        <v>15</v>
      </c>
      <c r="M6375">
        <f t="shared" si="860"/>
        <v>5</v>
      </c>
    </row>
    <row r="6376" spans="1:13" x14ac:dyDescent="0.3">
      <c r="A6376" s="3">
        <f t="shared" si="861"/>
        <v>45923</v>
      </c>
      <c r="B6376" s="11" t="s">
        <v>7649</v>
      </c>
      <c r="C6376" s="50" t="s">
        <v>8378</v>
      </c>
      <c r="E6376" s="90" t="s">
        <v>4720</v>
      </c>
      <c r="H6376" s="2">
        <v>15000</v>
      </c>
      <c r="I6376" s="88">
        <f t="shared" si="858"/>
        <v>2785.3600000000006</v>
      </c>
      <c r="K6376" s="62"/>
      <c r="L6376" s="2">
        <f t="shared" si="859"/>
        <v>20</v>
      </c>
      <c r="M6376">
        <f t="shared" si="860"/>
        <v>0</v>
      </c>
    </row>
    <row r="6377" spans="1:13" x14ac:dyDescent="0.3">
      <c r="A6377" s="3">
        <f t="shared" si="861"/>
        <v>45923</v>
      </c>
      <c r="B6377" s="11" t="s">
        <v>1250</v>
      </c>
      <c r="C6377" s="50" t="s">
        <v>9178</v>
      </c>
      <c r="E6377" s="90" t="s">
        <v>4720</v>
      </c>
      <c r="G6377" s="2">
        <v>4000</v>
      </c>
      <c r="I6377" s="88">
        <f t="shared" si="858"/>
        <v>6785.3600000000006</v>
      </c>
      <c r="K6377" s="62"/>
      <c r="L6377" s="2">
        <f t="shared" si="859"/>
        <v>16</v>
      </c>
      <c r="M6377">
        <f t="shared" si="860"/>
        <v>0</v>
      </c>
    </row>
    <row r="6378" spans="1:13" x14ac:dyDescent="0.3">
      <c r="A6378" s="3">
        <v>45924</v>
      </c>
      <c r="B6378" s="11" t="s">
        <v>7834</v>
      </c>
      <c r="C6378" s="50" t="s">
        <v>8837</v>
      </c>
      <c r="E6378" s="90" t="s">
        <v>2088</v>
      </c>
      <c r="G6378" s="2">
        <v>2800</v>
      </c>
      <c r="I6378" s="88">
        <f t="shared" si="858"/>
        <v>9585.36</v>
      </c>
      <c r="K6378" s="62"/>
      <c r="L6378" s="2">
        <f t="shared" si="859"/>
        <v>16.200000000000003</v>
      </c>
      <c r="M6378">
        <f t="shared" si="860"/>
        <v>5</v>
      </c>
    </row>
    <row r="6379" spans="1:13" x14ac:dyDescent="0.3">
      <c r="A6379" s="3">
        <f t="shared" si="861"/>
        <v>45924</v>
      </c>
      <c r="B6379" s="11" t="s">
        <v>3915</v>
      </c>
      <c r="C6379" s="50" t="s">
        <v>9179</v>
      </c>
      <c r="E6379" s="90" t="s">
        <v>4720</v>
      </c>
      <c r="G6379" s="2">
        <v>5000</v>
      </c>
      <c r="I6379" s="88">
        <f t="shared" ref="I6379:I6396" si="862">I6378+G6379-H6379</f>
        <v>14585.36</v>
      </c>
      <c r="K6379" s="62"/>
      <c r="L6379" s="2">
        <f t="shared" ref="L6379:L6396" si="863">IF(E6379="C",0,IF((G6379+H6379)&lt;=5000,(G6379+H6379)*0.004,20)+IF(E6379="P",5,IF(E6379="Y",15,IF(E6379="YY",25))))</f>
        <v>20</v>
      </c>
      <c r="M6379">
        <f t="shared" ref="M6379:M6396" si="864">IF(E6379="p",5,0)</f>
        <v>0</v>
      </c>
    </row>
    <row r="6380" spans="1:13" x14ac:dyDescent="0.3">
      <c r="A6380" s="3">
        <f t="shared" si="861"/>
        <v>45924</v>
      </c>
      <c r="B6380" s="11" t="s">
        <v>1160</v>
      </c>
      <c r="C6380" s="50" t="s">
        <v>9180</v>
      </c>
      <c r="E6380" s="90" t="s">
        <v>4720</v>
      </c>
      <c r="G6380" s="2">
        <v>1200</v>
      </c>
      <c r="I6380" s="88">
        <f t="shared" si="862"/>
        <v>15785.36</v>
      </c>
      <c r="K6380" s="62"/>
      <c r="L6380" s="2">
        <f t="shared" si="863"/>
        <v>4.8</v>
      </c>
      <c r="M6380">
        <f t="shared" si="864"/>
        <v>0</v>
      </c>
    </row>
    <row r="6381" spans="1:13" x14ac:dyDescent="0.3">
      <c r="A6381" s="3">
        <f t="shared" si="861"/>
        <v>45924</v>
      </c>
      <c r="B6381" s="11" t="s">
        <v>1160</v>
      </c>
      <c r="C6381" s="50" t="s">
        <v>6244</v>
      </c>
      <c r="E6381" s="90" t="s">
        <v>4720</v>
      </c>
      <c r="G6381" s="2">
        <v>9000</v>
      </c>
      <c r="I6381" s="88">
        <f t="shared" si="862"/>
        <v>24785.360000000001</v>
      </c>
      <c r="K6381" s="62"/>
      <c r="L6381" s="2">
        <f t="shared" si="863"/>
        <v>20</v>
      </c>
      <c r="M6381">
        <f t="shared" si="864"/>
        <v>0</v>
      </c>
    </row>
    <row r="6382" spans="1:13" x14ac:dyDescent="0.3">
      <c r="A6382" s="3">
        <f t="shared" si="861"/>
        <v>45924</v>
      </c>
      <c r="B6382" s="11" t="s">
        <v>8156</v>
      </c>
      <c r="C6382" s="50" t="s">
        <v>9181</v>
      </c>
      <c r="E6382" s="90" t="s">
        <v>4720</v>
      </c>
      <c r="G6382" s="2">
        <v>5000</v>
      </c>
      <c r="I6382" s="88">
        <f t="shared" si="862"/>
        <v>29785.360000000001</v>
      </c>
      <c r="K6382" s="62"/>
      <c r="L6382" s="2">
        <f t="shared" si="863"/>
        <v>20</v>
      </c>
      <c r="M6382">
        <f t="shared" si="864"/>
        <v>0</v>
      </c>
    </row>
    <row r="6383" spans="1:13" x14ac:dyDescent="0.3">
      <c r="A6383" s="3">
        <f t="shared" si="861"/>
        <v>45924</v>
      </c>
      <c r="B6383" s="11" t="s">
        <v>4311</v>
      </c>
      <c r="C6383" s="50" t="s">
        <v>9016</v>
      </c>
      <c r="E6383" s="90" t="s">
        <v>4720</v>
      </c>
      <c r="G6383" s="2">
        <v>2000</v>
      </c>
      <c r="I6383" s="88">
        <f t="shared" si="862"/>
        <v>31785.360000000001</v>
      </c>
      <c r="K6383" s="62"/>
      <c r="L6383" s="2">
        <f t="shared" si="863"/>
        <v>8</v>
      </c>
      <c r="M6383">
        <f t="shared" si="864"/>
        <v>0</v>
      </c>
    </row>
    <row r="6384" spans="1:13" x14ac:dyDescent="0.3">
      <c r="A6384" s="3">
        <f t="shared" si="861"/>
        <v>45924</v>
      </c>
      <c r="B6384" s="11" t="s">
        <v>7108</v>
      </c>
      <c r="C6384" s="50" t="s">
        <v>9182</v>
      </c>
      <c r="D6384" s="50">
        <v>7209371904</v>
      </c>
      <c r="E6384" s="90" t="s">
        <v>2088</v>
      </c>
      <c r="G6384" s="2">
        <v>1000</v>
      </c>
      <c r="I6384" s="88">
        <f t="shared" si="862"/>
        <v>32785.360000000001</v>
      </c>
      <c r="K6384" s="62"/>
      <c r="L6384" s="2">
        <f t="shared" si="863"/>
        <v>9</v>
      </c>
      <c r="M6384">
        <f t="shared" si="864"/>
        <v>5</v>
      </c>
    </row>
    <row r="6385" spans="1:13" x14ac:dyDescent="0.3">
      <c r="A6385" s="3">
        <f t="shared" si="861"/>
        <v>45924</v>
      </c>
      <c r="B6385" s="11" t="s">
        <v>3420</v>
      </c>
      <c r="C6385" s="50" t="s">
        <v>9095</v>
      </c>
      <c r="D6385" s="50">
        <v>8538973840</v>
      </c>
      <c r="E6385" s="90" t="s">
        <v>2088</v>
      </c>
      <c r="H6385" s="2">
        <v>500</v>
      </c>
      <c r="I6385" s="88">
        <f t="shared" si="862"/>
        <v>32285.360000000001</v>
      </c>
      <c r="K6385" s="62"/>
      <c r="L6385" s="2">
        <f t="shared" si="863"/>
        <v>7</v>
      </c>
      <c r="M6385">
        <f t="shared" si="864"/>
        <v>5</v>
      </c>
    </row>
    <row r="6386" spans="1:13" x14ac:dyDescent="0.3">
      <c r="A6386" s="3">
        <v>45925</v>
      </c>
      <c r="B6386" s="11" t="s">
        <v>8922</v>
      </c>
      <c r="C6386" s="50" t="s">
        <v>9183</v>
      </c>
      <c r="E6386" s="90" t="s">
        <v>4720</v>
      </c>
      <c r="G6386" s="2">
        <v>5000</v>
      </c>
      <c r="I6386" s="88">
        <f t="shared" si="862"/>
        <v>37285.360000000001</v>
      </c>
      <c r="K6386" s="62"/>
      <c r="L6386" s="2">
        <f t="shared" si="863"/>
        <v>20</v>
      </c>
      <c r="M6386">
        <f t="shared" si="864"/>
        <v>0</v>
      </c>
    </row>
    <row r="6387" spans="1:13" x14ac:dyDescent="0.3">
      <c r="A6387" s="3">
        <f t="shared" si="861"/>
        <v>45925</v>
      </c>
      <c r="B6387" s="11" t="s">
        <v>6522</v>
      </c>
      <c r="C6387" s="50" t="s">
        <v>9184</v>
      </c>
      <c r="E6387" s="90" t="s">
        <v>4720</v>
      </c>
      <c r="G6387" s="2">
        <v>5000</v>
      </c>
      <c r="I6387" s="88">
        <f t="shared" si="862"/>
        <v>42285.36</v>
      </c>
      <c r="K6387" s="62"/>
      <c r="L6387" s="2">
        <f t="shared" si="863"/>
        <v>20</v>
      </c>
      <c r="M6387">
        <f t="shared" si="864"/>
        <v>0</v>
      </c>
    </row>
    <row r="6388" spans="1:13" x14ac:dyDescent="0.3">
      <c r="A6388" s="3">
        <f t="shared" si="861"/>
        <v>45925</v>
      </c>
      <c r="B6388" s="11" t="s">
        <v>7312</v>
      </c>
      <c r="C6388" s="50" t="s">
        <v>9185</v>
      </c>
      <c r="E6388" s="90" t="s">
        <v>2088</v>
      </c>
      <c r="G6388" s="2">
        <v>2500</v>
      </c>
      <c r="I6388" s="88">
        <f t="shared" si="862"/>
        <v>44785.36</v>
      </c>
      <c r="K6388" s="62"/>
      <c r="L6388" s="2">
        <f t="shared" si="863"/>
        <v>15</v>
      </c>
      <c r="M6388">
        <f t="shared" si="864"/>
        <v>5</v>
      </c>
    </row>
    <row r="6389" spans="1:13" x14ac:dyDescent="0.3">
      <c r="A6389" s="3">
        <f t="shared" si="861"/>
        <v>45925</v>
      </c>
      <c r="B6389" s="11" t="s">
        <v>5771</v>
      </c>
      <c r="C6389" s="50" t="s">
        <v>9186</v>
      </c>
      <c r="E6389" s="90" t="s">
        <v>7772</v>
      </c>
      <c r="G6389" s="2">
        <v>0</v>
      </c>
      <c r="H6389" s="2">
        <v>0</v>
      </c>
      <c r="I6389" s="88">
        <f t="shared" si="862"/>
        <v>44785.36</v>
      </c>
      <c r="K6389" s="62"/>
      <c r="L6389" s="2">
        <f t="shared" si="863"/>
        <v>5</v>
      </c>
      <c r="M6389">
        <f t="shared" si="864"/>
        <v>5</v>
      </c>
    </row>
    <row r="6390" spans="1:13" x14ac:dyDescent="0.3">
      <c r="A6390" s="3">
        <f t="shared" si="861"/>
        <v>45925</v>
      </c>
      <c r="B6390" s="11" t="s">
        <v>6766</v>
      </c>
      <c r="C6390" s="50" t="s">
        <v>8262</v>
      </c>
      <c r="E6390" s="90" t="s">
        <v>7772</v>
      </c>
      <c r="G6390" s="2">
        <v>0</v>
      </c>
      <c r="H6390" s="2">
        <v>0</v>
      </c>
      <c r="I6390" s="88">
        <f t="shared" si="862"/>
        <v>44785.36</v>
      </c>
      <c r="K6390" s="62"/>
      <c r="L6390" s="2">
        <f t="shared" si="863"/>
        <v>5</v>
      </c>
      <c r="M6390">
        <f t="shared" si="864"/>
        <v>5</v>
      </c>
    </row>
    <row r="6391" spans="1:13" x14ac:dyDescent="0.3">
      <c r="A6391" s="3">
        <f t="shared" si="861"/>
        <v>45925</v>
      </c>
      <c r="B6391" s="11" t="s">
        <v>6766</v>
      </c>
      <c r="C6391" s="50" t="s">
        <v>8262</v>
      </c>
      <c r="E6391" s="90" t="s">
        <v>7772</v>
      </c>
      <c r="G6391" s="2">
        <v>1000</v>
      </c>
      <c r="I6391" s="88">
        <f t="shared" si="862"/>
        <v>45785.36</v>
      </c>
      <c r="K6391" s="62"/>
      <c r="L6391" s="2">
        <f t="shared" si="863"/>
        <v>9</v>
      </c>
      <c r="M6391">
        <f t="shared" si="864"/>
        <v>5</v>
      </c>
    </row>
    <row r="6392" spans="1:13" x14ac:dyDescent="0.3">
      <c r="A6392" s="3">
        <f t="shared" si="861"/>
        <v>45925</v>
      </c>
      <c r="B6392" s="11" t="s">
        <v>8659</v>
      </c>
      <c r="C6392" s="50" t="s">
        <v>2626</v>
      </c>
      <c r="E6392" s="90" t="s">
        <v>4720</v>
      </c>
      <c r="G6392" s="2">
        <v>1000</v>
      </c>
      <c r="I6392" s="88">
        <f t="shared" si="862"/>
        <v>46785.36</v>
      </c>
      <c r="K6392" s="62"/>
      <c r="L6392" s="2">
        <f t="shared" si="863"/>
        <v>4</v>
      </c>
      <c r="M6392">
        <f t="shared" si="864"/>
        <v>0</v>
      </c>
    </row>
    <row r="6393" spans="1:13" x14ac:dyDescent="0.3">
      <c r="A6393" s="3">
        <f t="shared" si="861"/>
        <v>45925</v>
      </c>
      <c r="B6393" s="11" t="s">
        <v>3678</v>
      </c>
      <c r="C6393" s="50" t="s">
        <v>9187</v>
      </c>
      <c r="E6393" s="90" t="s">
        <v>2088</v>
      </c>
      <c r="G6393" s="2">
        <v>3000</v>
      </c>
      <c r="I6393" s="88">
        <f t="shared" si="862"/>
        <v>49785.36</v>
      </c>
      <c r="K6393" s="62"/>
      <c r="L6393" s="2">
        <f t="shared" si="863"/>
        <v>17</v>
      </c>
      <c r="M6393">
        <f t="shared" si="864"/>
        <v>5</v>
      </c>
    </row>
    <row r="6394" spans="1:13" x14ac:dyDescent="0.3">
      <c r="A6394" s="3">
        <f t="shared" si="861"/>
        <v>45925</v>
      </c>
      <c r="B6394" s="11" t="s">
        <v>3915</v>
      </c>
      <c r="C6394" s="50" t="s">
        <v>7874</v>
      </c>
      <c r="E6394" s="90" t="s">
        <v>4720</v>
      </c>
      <c r="G6394" s="2">
        <v>2500</v>
      </c>
      <c r="I6394" s="88">
        <f t="shared" si="862"/>
        <v>52285.36</v>
      </c>
      <c r="K6394" s="62"/>
      <c r="L6394" s="2">
        <f t="shared" si="863"/>
        <v>10</v>
      </c>
      <c r="M6394">
        <f t="shared" si="864"/>
        <v>0</v>
      </c>
    </row>
    <row r="6395" spans="1:13" x14ac:dyDescent="0.3">
      <c r="A6395" s="3">
        <f t="shared" si="861"/>
        <v>45925</v>
      </c>
      <c r="B6395" s="11" t="s">
        <v>7659</v>
      </c>
      <c r="C6395" s="50" t="s">
        <v>3941</v>
      </c>
      <c r="E6395" s="90" t="s">
        <v>2088</v>
      </c>
      <c r="G6395" s="2">
        <v>0</v>
      </c>
      <c r="H6395" s="2">
        <v>0</v>
      </c>
      <c r="I6395" s="88">
        <f t="shared" si="862"/>
        <v>52285.36</v>
      </c>
      <c r="K6395" s="62"/>
      <c r="L6395" s="2">
        <f t="shared" si="863"/>
        <v>5</v>
      </c>
      <c r="M6395">
        <f t="shared" si="864"/>
        <v>5</v>
      </c>
    </row>
    <row r="6396" spans="1:13" x14ac:dyDescent="0.3">
      <c r="A6396" s="3">
        <f t="shared" si="861"/>
        <v>45925</v>
      </c>
      <c r="B6396" s="11" t="s">
        <v>7659</v>
      </c>
      <c r="C6396" s="50" t="s">
        <v>3941</v>
      </c>
      <c r="E6396" s="90" t="s">
        <v>2088</v>
      </c>
      <c r="G6396" s="2">
        <v>2000</v>
      </c>
      <c r="I6396" s="88">
        <f t="shared" si="862"/>
        <v>54285.36</v>
      </c>
      <c r="K6396" s="62"/>
      <c r="L6396" s="2">
        <f t="shared" si="863"/>
        <v>13</v>
      </c>
      <c r="M6396">
        <f t="shared" si="864"/>
        <v>5</v>
      </c>
    </row>
    <row r="6397" spans="1:13" x14ac:dyDescent="0.3">
      <c r="A6397" s="3">
        <f t="shared" si="861"/>
        <v>45925</v>
      </c>
      <c r="B6397" s="11" t="s">
        <v>1250</v>
      </c>
      <c r="C6397" s="50" t="s">
        <v>9188</v>
      </c>
      <c r="E6397" s="90" t="s">
        <v>4720</v>
      </c>
      <c r="G6397" s="2">
        <v>300</v>
      </c>
      <c r="I6397" s="88">
        <f t="shared" ref="I6397:I6414" si="865">I6396+G6397-H6397</f>
        <v>54585.36</v>
      </c>
      <c r="K6397" s="62"/>
      <c r="L6397" s="2">
        <f t="shared" ref="L6397:L6414" si="866">IF(E6397="C",0,IF((G6397+H6397)&lt;=5000,(G6397+H6397)*0.004,20)+IF(E6397="P",5,IF(E6397="Y",15,IF(E6397="YY",25))))</f>
        <v>1.2</v>
      </c>
      <c r="M6397">
        <f t="shared" ref="M6397:M6414" si="867">IF(E6397="p",5,0)</f>
        <v>0</v>
      </c>
    </row>
    <row r="6398" spans="1:13" x14ac:dyDescent="0.3">
      <c r="A6398" s="3">
        <f t="shared" si="861"/>
        <v>45925</v>
      </c>
      <c r="B6398" s="11" t="s">
        <v>9189</v>
      </c>
      <c r="C6398" s="50" t="s">
        <v>9190</v>
      </c>
      <c r="E6398" s="90" t="s">
        <v>14</v>
      </c>
      <c r="H6398" s="2">
        <v>500</v>
      </c>
      <c r="I6398" s="88">
        <f t="shared" si="865"/>
        <v>54085.36</v>
      </c>
      <c r="K6398" s="62"/>
      <c r="L6398" s="2">
        <f t="shared" si="866"/>
        <v>17</v>
      </c>
      <c r="M6398">
        <f t="shared" si="867"/>
        <v>0</v>
      </c>
    </row>
    <row r="6399" spans="1:13" x14ac:dyDescent="0.3">
      <c r="A6399" s="3">
        <f t="shared" si="861"/>
        <v>45925</v>
      </c>
      <c r="B6399" s="11" t="s">
        <v>5888</v>
      </c>
      <c r="C6399" s="50" t="s">
        <v>9191</v>
      </c>
      <c r="E6399" s="90" t="s">
        <v>7772</v>
      </c>
      <c r="G6399" s="2">
        <v>0</v>
      </c>
      <c r="H6399" s="2">
        <v>0</v>
      </c>
      <c r="I6399" s="88">
        <f t="shared" si="865"/>
        <v>54085.36</v>
      </c>
      <c r="K6399" s="62"/>
      <c r="L6399" s="2">
        <f t="shared" si="866"/>
        <v>5</v>
      </c>
      <c r="M6399">
        <f t="shared" si="867"/>
        <v>5</v>
      </c>
    </row>
    <row r="6400" spans="1:13" x14ac:dyDescent="0.3">
      <c r="A6400" s="3">
        <f t="shared" si="861"/>
        <v>45925</v>
      </c>
      <c r="B6400" s="11" t="s">
        <v>5888</v>
      </c>
      <c r="C6400" s="50" t="s">
        <v>9191</v>
      </c>
      <c r="E6400" s="90" t="s">
        <v>7772</v>
      </c>
      <c r="G6400" s="2">
        <v>4000</v>
      </c>
      <c r="I6400" s="88">
        <f t="shared" si="865"/>
        <v>58085.36</v>
      </c>
      <c r="K6400" s="62"/>
      <c r="L6400" s="2">
        <f t="shared" si="866"/>
        <v>21</v>
      </c>
      <c r="M6400">
        <f t="shared" si="867"/>
        <v>5</v>
      </c>
    </row>
    <row r="6401" spans="1:13" x14ac:dyDescent="0.3">
      <c r="A6401" s="3">
        <f t="shared" si="861"/>
        <v>45925</v>
      </c>
      <c r="B6401" s="11" t="s">
        <v>6929</v>
      </c>
      <c r="C6401" s="50" t="s">
        <v>251</v>
      </c>
      <c r="E6401" s="90" t="s">
        <v>2088</v>
      </c>
      <c r="G6401" s="2">
        <v>5000</v>
      </c>
      <c r="I6401" s="88">
        <f t="shared" si="865"/>
        <v>63085.36</v>
      </c>
      <c r="K6401" s="62"/>
      <c r="L6401" s="2">
        <f t="shared" si="866"/>
        <v>25</v>
      </c>
      <c r="M6401">
        <f t="shared" si="867"/>
        <v>5</v>
      </c>
    </row>
    <row r="6402" spans="1:13" x14ac:dyDescent="0.3">
      <c r="A6402" s="3">
        <f t="shared" si="861"/>
        <v>45925</v>
      </c>
      <c r="B6402" s="11" t="s">
        <v>1250</v>
      </c>
      <c r="C6402" s="50" t="s">
        <v>6288</v>
      </c>
      <c r="E6402" s="90" t="s">
        <v>4720</v>
      </c>
      <c r="G6402" s="2">
        <v>700</v>
      </c>
      <c r="I6402" s="88">
        <f t="shared" si="865"/>
        <v>63785.36</v>
      </c>
      <c r="K6402" s="62"/>
      <c r="L6402" s="2">
        <f t="shared" si="866"/>
        <v>2.8000000000000003</v>
      </c>
      <c r="M6402">
        <f t="shared" si="867"/>
        <v>0</v>
      </c>
    </row>
    <row r="6403" spans="1:13" x14ac:dyDescent="0.3">
      <c r="A6403" s="3">
        <f t="shared" si="861"/>
        <v>45925</v>
      </c>
      <c r="B6403" s="11" t="s">
        <v>7329</v>
      </c>
      <c r="C6403" s="50" t="s">
        <v>7330</v>
      </c>
      <c r="E6403" s="90" t="s">
        <v>7772</v>
      </c>
      <c r="G6403" s="2">
        <v>2500</v>
      </c>
      <c r="I6403" s="88">
        <f t="shared" si="865"/>
        <v>66285.36</v>
      </c>
      <c r="K6403" s="62"/>
      <c r="L6403" s="2">
        <f t="shared" si="866"/>
        <v>15</v>
      </c>
      <c r="M6403">
        <f t="shared" si="867"/>
        <v>5</v>
      </c>
    </row>
    <row r="6404" spans="1:13" x14ac:dyDescent="0.3">
      <c r="A6404" s="3">
        <f t="shared" si="861"/>
        <v>45925</v>
      </c>
      <c r="C6404" s="50" t="s">
        <v>2857</v>
      </c>
      <c r="E6404" s="90" t="s">
        <v>8332</v>
      </c>
      <c r="H6404" s="2">
        <v>50000</v>
      </c>
      <c r="I6404" s="88">
        <f t="shared" si="865"/>
        <v>16285.36</v>
      </c>
      <c r="K6404" s="62"/>
      <c r="L6404" s="2">
        <f t="shared" si="866"/>
        <v>0</v>
      </c>
      <c r="M6404">
        <f t="shared" si="867"/>
        <v>0</v>
      </c>
    </row>
    <row r="6405" spans="1:13" x14ac:dyDescent="0.3">
      <c r="A6405" s="3">
        <f t="shared" si="861"/>
        <v>45925</v>
      </c>
      <c r="B6405" s="11" t="s">
        <v>2351</v>
      </c>
      <c r="C6405" s="50" t="s">
        <v>9192</v>
      </c>
      <c r="D6405" s="50">
        <v>9204215721</v>
      </c>
      <c r="E6405" s="90" t="s">
        <v>4720</v>
      </c>
      <c r="G6405" s="2">
        <v>7000</v>
      </c>
      <c r="I6405" s="88">
        <f t="shared" si="865"/>
        <v>23285.360000000001</v>
      </c>
      <c r="K6405" s="62"/>
      <c r="L6405" s="2">
        <f t="shared" si="866"/>
        <v>20</v>
      </c>
      <c r="M6405">
        <f t="shared" si="867"/>
        <v>0</v>
      </c>
    </row>
    <row r="6406" spans="1:13" x14ac:dyDescent="0.3">
      <c r="A6406" s="3">
        <f t="shared" si="861"/>
        <v>45925</v>
      </c>
      <c r="B6406" s="11" t="s">
        <v>1160</v>
      </c>
      <c r="C6406" s="50" t="s">
        <v>8603</v>
      </c>
      <c r="D6406" s="50">
        <v>9608192489</v>
      </c>
      <c r="E6406" s="90" t="s">
        <v>4720</v>
      </c>
      <c r="G6406" s="2">
        <v>5000</v>
      </c>
      <c r="I6406" s="88">
        <f t="shared" si="865"/>
        <v>28285.360000000001</v>
      </c>
      <c r="K6406" s="62"/>
      <c r="L6406" s="2">
        <f t="shared" si="866"/>
        <v>20</v>
      </c>
      <c r="M6406">
        <f t="shared" si="867"/>
        <v>0</v>
      </c>
    </row>
    <row r="6407" spans="1:13" x14ac:dyDescent="0.3">
      <c r="A6407" s="3">
        <f t="shared" si="861"/>
        <v>45925</v>
      </c>
      <c r="B6407" s="11" t="s">
        <v>8955</v>
      </c>
      <c r="C6407" s="50" t="s">
        <v>9195</v>
      </c>
      <c r="E6407" s="90" t="s">
        <v>2088</v>
      </c>
      <c r="G6407" s="2">
        <v>0</v>
      </c>
      <c r="H6407" s="2">
        <v>0</v>
      </c>
      <c r="I6407" s="88">
        <f t="shared" si="865"/>
        <v>28285.360000000001</v>
      </c>
      <c r="K6407" s="62"/>
      <c r="L6407" s="2">
        <f t="shared" si="866"/>
        <v>5</v>
      </c>
      <c r="M6407">
        <f t="shared" si="867"/>
        <v>5</v>
      </c>
    </row>
    <row r="6408" spans="1:13" x14ac:dyDescent="0.3">
      <c r="A6408" s="3">
        <f t="shared" si="861"/>
        <v>45925</v>
      </c>
      <c r="B6408" s="11" t="s">
        <v>1160</v>
      </c>
      <c r="C6408" s="50" t="s">
        <v>8616</v>
      </c>
      <c r="D6408" s="50">
        <v>8340752408</v>
      </c>
      <c r="E6408" s="90" t="s">
        <v>4720</v>
      </c>
      <c r="G6408" s="2">
        <v>2500</v>
      </c>
      <c r="I6408" s="88">
        <f t="shared" si="865"/>
        <v>30785.360000000001</v>
      </c>
      <c r="K6408" s="62"/>
      <c r="L6408" s="2">
        <f t="shared" si="866"/>
        <v>10</v>
      </c>
      <c r="M6408">
        <f t="shared" si="867"/>
        <v>0</v>
      </c>
    </row>
    <row r="6409" spans="1:13" x14ac:dyDescent="0.3">
      <c r="A6409" s="3">
        <f t="shared" si="861"/>
        <v>45925</v>
      </c>
      <c r="B6409" s="11" t="s">
        <v>5042</v>
      </c>
      <c r="C6409" s="50" t="s">
        <v>6176</v>
      </c>
      <c r="E6409" s="90" t="s">
        <v>2088</v>
      </c>
      <c r="G6409" s="2">
        <v>5500</v>
      </c>
      <c r="I6409" s="88">
        <f t="shared" si="865"/>
        <v>36285.360000000001</v>
      </c>
      <c r="K6409" s="62"/>
      <c r="L6409" s="2">
        <f t="shared" si="866"/>
        <v>25</v>
      </c>
      <c r="M6409">
        <f t="shared" si="867"/>
        <v>5</v>
      </c>
    </row>
    <row r="6410" spans="1:13" x14ac:dyDescent="0.3">
      <c r="A6410" s="3">
        <f t="shared" si="861"/>
        <v>45925</v>
      </c>
      <c r="B6410" s="11" t="s">
        <v>7299</v>
      </c>
      <c r="C6410" s="50" t="s">
        <v>7935</v>
      </c>
      <c r="E6410" s="90" t="s">
        <v>2088</v>
      </c>
      <c r="G6410" s="2">
        <v>0</v>
      </c>
      <c r="H6410" s="2">
        <v>0</v>
      </c>
      <c r="I6410" s="88">
        <f t="shared" si="865"/>
        <v>36285.360000000001</v>
      </c>
      <c r="K6410" s="62"/>
      <c r="L6410" s="2">
        <f t="shared" si="866"/>
        <v>5</v>
      </c>
      <c r="M6410">
        <f t="shared" si="867"/>
        <v>5</v>
      </c>
    </row>
    <row r="6411" spans="1:13" x14ac:dyDescent="0.3">
      <c r="A6411" s="3">
        <f t="shared" si="861"/>
        <v>45925</v>
      </c>
      <c r="B6411" s="11" t="s">
        <v>7299</v>
      </c>
      <c r="C6411" s="50" t="s">
        <v>7935</v>
      </c>
      <c r="E6411" s="90" t="s">
        <v>2088</v>
      </c>
      <c r="G6411" s="2">
        <v>5000</v>
      </c>
      <c r="I6411" s="88">
        <f t="shared" si="865"/>
        <v>41285.360000000001</v>
      </c>
      <c r="K6411" s="62"/>
      <c r="L6411" s="2">
        <f t="shared" si="866"/>
        <v>25</v>
      </c>
      <c r="M6411">
        <f t="shared" si="867"/>
        <v>5</v>
      </c>
    </row>
    <row r="6412" spans="1:13" x14ac:dyDescent="0.3">
      <c r="A6412" s="3">
        <f t="shared" si="861"/>
        <v>45925</v>
      </c>
      <c r="B6412" s="11" t="s">
        <v>9197</v>
      </c>
      <c r="C6412" s="65" t="s">
        <v>9198</v>
      </c>
      <c r="D6412" s="11"/>
      <c r="E6412" s="90" t="s">
        <v>14</v>
      </c>
      <c r="H6412" s="2">
        <v>500</v>
      </c>
      <c r="I6412" s="88">
        <f t="shared" si="865"/>
        <v>40785.360000000001</v>
      </c>
      <c r="K6412" s="62"/>
      <c r="L6412" s="2">
        <f>IF(C6412="C",0,IF((G6412+H6412)&lt;=5000,(G6412+H6412)*0.004,20)+IF(C6412="P",5,IF(C6412="Y",15,IF(C6412="YY",25))))</f>
        <v>2</v>
      </c>
      <c r="M6412">
        <f>IF(C6412="p",5,0)</f>
        <v>0</v>
      </c>
    </row>
    <row r="6413" spans="1:13" x14ac:dyDescent="0.3">
      <c r="A6413" s="3">
        <v>45926</v>
      </c>
      <c r="B6413" s="11" t="s">
        <v>8900</v>
      </c>
      <c r="C6413" s="50" t="s">
        <v>9203</v>
      </c>
      <c r="E6413" s="90" t="s">
        <v>2088</v>
      </c>
      <c r="G6413" s="2">
        <v>2500</v>
      </c>
      <c r="I6413" s="88">
        <f t="shared" si="865"/>
        <v>43285.36</v>
      </c>
      <c r="K6413" s="62"/>
      <c r="L6413" s="2">
        <f t="shared" si="866"/>
        <v>15</v>
      </c>
      <c r="M6413">
        <f t="shared" si="867"/>
        <v>5</v>
      </c>
    </row>
    <row r="6414" spans="1:13" x14ac:dyDescent="0.3">
      <c r="A6414" s="3">
        <f t="shared" si="861"/>
        <v>45926</v>
      </c>
      <c r="B6414" s="11" t="s">
        <v>1160</v>
      </c>
      <c r="C6414" s="50" t="s">
        <v>8810</v>
      </c>
      <c r="E6414" s="90" t="s">
        <v>4720</v>
      </c>
      <c r="G6414" s="2">
        <v>2000</v>
      </c>
      <c r="I6414" s="88">
        <f t="shared" si="865"/>
        <v>45285.36</v>
      </c>
      <c r="K6414" s="62"/>
      <c r="L6414" s="2">
        <f t="shared" si="866"/>
        <v>8</v>
      </c>
      <c r="M6414">
        <f t="shared" si="867"/>
        <v>0</v>
      </c>
    </row>
    <row r="6415" spans="1:13" x14ac:dyDescent="0.3">
      <c r="A6415" s="3">
        <f t="shared" si="861"/>
        <v>45926</v>
      </c>
      <c r="B6415" s="11" t="s">
        <v>7394</v>
      </c>
      <c r="C6415" s="50" t="s">
        <v>8899</v>
      </c>
      <c r="E6415" s="90" t="s">
        <v>4720</v>
      </c>
      <c r="G6415" s="2">
        <v>2500</v>
      </c>
      <c r="I6415" s="88">
        <f t="shared" ref="I6415:I6459" si="868">I6414+G6415-H6415</f>
        <v>47785.36</v>
      </c>
      <c r="K6415" s="62"/>
      <c r="L6415" s="2">
        <f t="shared" ref="L6415:L6422" si="869">IF(E6415="C",0,IF((G6415+H6415)&lt;=5000,(G6415+H6415)*0.004,20)+IF(E6415="P",5,IF(E6415="Y",15,IF(E6415="YY",25))))</f>
        <v>10</v>
      </c>
      <c r="M6415">
        <f t="shared" ref="M6415:M6422" si="870">IF(E6415="p",5,0)</f>
        <v>0</v>
      </c>
    </row>
    <row r="6416" spans="1:13" x14ac:dyDescent="0.3">
      <c r="A6416" s="3">
        <f t="shared" si="861"/>
        <v>45926</v>
      </c>
      <c r="B6416" s="11" t="s">
        <v>9140</v>
      </c>
      <c r="C6416" s="50" t="s">
        <v>9141</v>
      </c>
      <c r="E6416" s="90" t="s">
        <v>4720</v>
      </c>
      <c r="G6416" s="2">
        <v>2500</v>
      </c>
      <c r="I6416" s="88">
        <f t="shared" si="868"/>
        <v>50285.36</v>
      </c>
      <c r="K6416" s="62"/>
      <c r="L6416" s="2">
        <f t="shared" si="869"/>
        <v>10</v>
      </c>
      <c r="M6416">
        <f t="shared" si="870"/>
        <v>0</v>
      </c>
    </row>
    <row r="6417" spans="1:13" x14ac:dyDescent="0.3">
      <c r="A6417" s="3">
        <f t="shared" si="861"/>
        <v>45926</v>
      </c>
      <c r="B6417" s="11" t="s">
        <v>9189</v>
      </c>
      <c r="C6417" s="50" t="s">
        <v>9190</v>
      </c>
      <c r="E6417" s="90" t="s">
        <v>2088</v>
      </c>
      <c r="G6417" s="2">
        <v>0</v>
      </c>
      <c r="H6417" s="2">
        <v>0</v>
      </c>
      <c r="I6417" s="88">
        <f t="shared" si="868"/>
        <v>50285.36</v>
      </c>
      <c r="K6417" s="62"/>
      <c r="L6417" s="2">
        <f t="shared" si="869"/>
        <v>5</v>
      </c>
      <c r="M6417">
        <f t="shared" si="870"/>
        <v>5</v>
      </c>
    </row>
    <row r="6418" spans="1:13" x14ac:dyDescent="0.3">
      <c r="A6418" s="3">
        <f t="shared" si="861"/>
        <v>45926</v>
      </c>
      <c r="C6418" s="50" t="s">
        <v>2857</v>
      </c>
      <c r="E6418" s="90" t="s">
        <v>4134</v>
      </c>
      <c r="H6418" s="2">
        <f>50000+211</f>
        <v>50211</v>
      </c>
      <c r="I6418" s="88">
        <f t="shared" si="868"/>
        <v>74.360000000000582</v>
      </c>
      <c r="K6418" s="62"/>
      <c r="L6418" s="2">
        <f t="shared" si="869"/>
        <v>0</v>
      </c>
      <c r="M6418">
        <f t="shared" si="870"/>
        <v>0</v>
      </c>
    </row>
    <row r="6419" spans="1:13" x14ac:dyDescent="0.3">
      <c r="A6419" s="3">
        <f t="shared" si="861"/>
        <v>45926</v>
      </c>
      <c r="B6419" s="11" t="s">
        <v>1160</v>
      </c>
      <c r="C6419" s="50" t="s">
        <v>9204</v>
      </c>
      <c r="E6419" s="90" t="s">
        <v>4720</v>
      </c>
      <c r="G6419" s="2">
        <v>3000</v>
      </c>
      <c r="I6419" s="88">
        <f t="shared" si="868"/>
        <v>3074.3600000000006</v>
      </c>
      <c r="K6419" s="62"/>
      <c r="L6419" s="2">
        <f t="shared" si="869"/>
        <v>12</v>
      </c>
      <c r="M6419">
        <f t="shared" si="870"/>
        <v>0</v>
      </c>
    </row>
    <row r="6420" spans="1:13" x14ac:dyDescent="0.3">
      <c r="A6420" s="3">
        <f t="shared" si="861"/>
        <v>45926</v>
      </c>
      <c r="B6420" s="11" t="s">
        <v>1160</v>
      </c>
      <c r="C6420" s="50" t="s">
        <v>9205</v>
      </c>
      <c r="E6420" s="90" t="s">
        <v>4720</v>
      </c>
      <c r="G6420" s="2">
        <v>2000</v>
      </c>
      <c r="I6420" s="88">
        <f t="shared" si="868"/>
        <v>5074.3600000000006</v>
      </c>
      <c r="K6420" s="62"/>
      <c r="L6420" s="2">
        <f t="shared" si="869"/>
        <v>8</v>
      </c>
      <c r="M6420">
        <f t="shared" si="870"/>
        <v>0</v>
      </c>
    </row>
    <row r="6421" spans="1:13" x14ac:dyDescent="0.3">
      <c r="A6421" s="3">
        <f t="shared" si="861"/>
        <v>45926</v>
      </c>
      <c r="B6421" s="11" t="s">
        <v>1472</v>
      </c>
      <c r="C6421" s="50" t="s">
        <v>8082</v>
      </c>
      <c r="E6421" s="90" t="s">
        <v>4720</v>
      </c>
      <c r="G6421" s="2">
        <v>500</v>
      </c>
      <c r="I6421" s="88">
        <f t="shared" si="868"/>
        <v>5574.3600000000006</v>
      </c>
      <c r="K6421" s="62"/>
      <c r="L6421" s="2">
        <f t="shared" si="869"/>
        <v>2</v>
      </c>
      <c r="M6421">
        <f t="shared" si="870"/>
        <v>0</v>
      </c>
    </row>
    <row r="6422" spans="1:13" x14ac:dyDescent="0.3">
      <c r="A6422" s="3">
        <f t="shared" si="861"/>
        <v>45926</v>
      </c>
      <c r="B6422" s="11" t="s">
        <v>3232</v>
      </c>
      <c r="C6422" s="50" t="s">
        <v>9206</v>
      </c>
      <c r="E6422" s="90" t="s">
        <v>4720</v>
      </c>
      <c r="G6422" s="2">
        <v>5000</v>
      </c>
      <c r="I6422" s="88">
        <f t="shared" si="868"/>
        <v>10574.36</v>
      </c>
      <c r="K6422" s="62"/>
      <c r="L6422" s="2">
        <f t="shared" si="869"/>
        <v>20</v>
      </c>
      <c r="M6422">
        <f t="shared" si="870"/>
        <v>0</v>
      </c>
    </row>
    <row r="6423" spans="1:13" x14ac:dyDescent="0.3">
      <c r="A6423" s="3">
        <f t="shared" si="861"/>
        <v>45926</v>
      </c>
      <c r="B6423" s="11" t="s">
        <v>9208</v>
      </c>
      <c r="C6423" s="65" t="s">
        <v>9210</v>
      </c>
      <c r="D6423" s="11"/>
      <c r="E6423" s="90" t="s">
        <v>16</v>
      </c>
      <c r="H6423" s="2">
        <v>500</v>
      </c>
      <c r="I6423" s="88">
        <f t="shared" si="868"/>
        <v>10074.36</v>
      </c>
      <c r="K6423" s="62"/>
      <c r="L6423" s="2">
        <f>IF(C6423="C",0,IF((G6423+H6423)&lt;=5000,(G6423+H6423)*0.004,20)+IF(C6423="P",5,IF(C6423="Y",15,IF(C6423="YY",25))))</f>
        <v>2</v>
      </c>
      <c r="M6423">
        <f>IF(C6423="p",5,0)</f>
        <v>0</v>
      </c>
    </row>
    <row r="6424" spans="1:13" x14ac:dyDescent="0.3">
      <c r="A6424" s="3">
        <f t="shared" si="861"/>
        <v>45926</v>
      </c>
      <c r="B6424" s="11" t="s">
        <v>9213</v>
      </c>
      <c r="C6424" s="65" t="s">
        <v>9214</v>
      </c>
      <c r="D6424" s="11"/>
      <c r="E6424" s="90" t="s">
        <v>16</v>
      </c>
      <c r="H6424" s="2">
        <v>500</v>
      </c>
      <c r="I6424" s="88">
        <f t="shared" si="868"/>
        <v>9574.36</v>
      </c>
      <c r="K6424" s="62"/>
      <c r="L6424" s="2">
        <f>IF(C6424="C",0,IF((G6424+H6424)&lt;=5000,(G6424+H6424)*0.004,20)+IF(C6424="P",5,IF(C6424="Y",15,IF(C6424="YY",25))))</f>
        <v>2</v>
      </c>
      <c r="M6424">
        <f>IF(C6424="p",5,0)</f>
        <v>0</v>
      </c>
    </row>
    <row r="6425" spans="1:13" x14ac:dyDescent="0.3">
      <c r="A6425" s="3">
        <v>45927</v>
      </c>
      <c r="B6425" s="11" t="s">
        <v>5463</v>
      </c>
      <c r="C6425" s="50" t="s">
        <v>9215</v>
      </c>
      <c r="E6425" s="90" t="s">
        <v>2088</v>
      </c>
      <c r="G6425" s="2">
        <v>0</v>
      </c>
      <c r="H6425" s="2">
        <v>0</v>
      </c>
      <c r="I6425" s="88">
        <f t="shared" si="868"/>
        <v>9574.36</v>
      </c>
      <c r="K6425" s="62"/>
      <c r="L6425" s="2">
        <f t="shared" ref="L6425:L6437" si="871">IF(E6425="C",0,IF((G6425+H6425)&lt;=5000,(G6425+H6425)*0.004,20)+IF(E6425="P",5,IF(E6425="Y",15,IF(E6425="YY",25))))</f>
        <v>5</v>
      </c>
      <c r="M6425">
        <f t="shared" ref="M6425:M6437" si="872">IF(E6425="p",5,0)</f>
        <v>5</v>
      </c>
    </row>
    <row r="6426" spans="1:13" x14ac:dyDescent="0.3">
      <c r="A6426" s="3">
        <f t="shared" si="861"/>
        <v>45927</v>
      </c>
      <c r="B6426" s="11" t="s">
        <v>5463</v>
      </c>
      <c r="C6426" s="50" t="s">
        <v>9215</v>
      </c>
      <c r="E6426" s="90" t="s">
        <v>2088</v>
      </c>
      <c r="G6426" s="2">
        <v>2000</v>
      </c>
      <c r="I6426" s="88">
        <f t="shared" si="868"/>
        <v>11574.36</v>
      </c>
      <c r="K6426" s="62"/>
      <c r="L6426" s="2">
        <f t="shared" si="871"/>
        <v>13</v>
      </c>
      <c r="M6426">
        <f t="shared" si="872"/>
        <v>5</v>
      </c>
    </row>
    <row r="6427" spans="1:13" x14ac:dyDescent="0.3">
      <c r="A6427" s="3">
        <f t="shared" si="861"/>
        <v>45927</v>
      </c>
      <c r="B6427" s="11" t="s">
        <v>4072</v>
      </c>
      <c r="C6427" s="50" t="s">
        <v>3370</v>
      </c>
      <c r="E6427" s="90" t="s">
        <v>2088</v>
      </c>
      <c r="H6427" s="2">
        <v>0</v>
      </c>
      <c r="I6427" s="88">
        <f t="shared" si="868"/>
        <v>11574.36</v>
      </c>
      <c r="K6427" s="62"/>
      <c r="L6427" s="2">
        <f t="shared" si="871"/>
        <v>5</v>
      </c>
      <c r="M6427">
        <f t="shared" si="872"/>
        <v>5</v>
      </c>
    </row>
    <row r="6428" spans="1:13" x14ac:dyDescent="0.3">
      <c r="A6428" s="3">
        <f t="shared" si="861"/>
        <v>45927</v>
      </c>
      <c r="B6428" s="11" t="s">
        <v>4072</v>
      </c>
      <c r="C6428" s="50" t="s">
        <v>3370</v>
      </c>
      <c r="E6428" s="90" t="s">
        <v>2088</v>
      </c>
      <c r="H6428" s="2">
        <v>1000</v>
      </c>
      <c r="I6428" s="88">
        <f t="shared" si="868"/>
        <v>10574.36</v>
      </c>
      <c r="K6428" s="62"/>
      <c r="L6428" s="2">
        <f t="shared" si="871"/>
        <v>9</v>
      </c>
      <c r="M6428">
        <f t="shared" si="872"/>
        <v>5</v>
      </c>
    </row>
    <row r="6429" spans="1:13" x14ac:dyDescent="0.3">
      <c r="A6429" s="3">
        <f t="shared" si="861"/>
        <v>45927</v>
      </c>
      <c r="B6429" s="11" t="s">
        <v>8947</v>
      </c>
      <c r="C6429" s="50" t="s">
        <v>9216</v>
      </c>
      <c r="E6429" s="90" t="s">
        <v>2088</v>
      </c>
      <c r="G6429" s="2">
        <v>2500</v>
      </c>
      <c r="I6429" s="88">
        <f t="shared" si="868"/>
        <v>13074.36</v>
      </c>
      <c r="K6429" s="62"/>
      <c r="L6429" s="2">
        <f t="shared" si="871"/>
        <v>15</v>
      </c>
      <c r="M6429">
        <f t="shared" si="872"/>
        <v>5</v>
      </c>
    </row>
    <row r="6430" spans="1:13" x14ac:dyDescent="0.3">
      <c r="A6430" s="3">
        <f t="shared" si="861"/>
        <v>45927</v>
      </c>
      <c r="B6430" s="11" t="s">
        <v>6260</v>
      </c>
      <c r="C6430" s="50" t="s">
        <v>7117</v>
      </c>
      <c r="E6430" s="90" t="s">
        <v>4720</v>
      </c>
      <c r="H6430" s="2">
        <v>6000</v>
      </c>
      <c r="I6430" s="88">
        <f t="shared" si="868"/>
        <v>7074.3600000000006</v>
      </c>
      <c r="K6430" s="62"/>
      <c r="L6430" s="2">
        <f t="shared" si="871"/>
        <v>20</v>
      </c>
      <c r="M6430">
        <f t="shared" si="872"/>
        <v>0</v>
      </c>
    </row>
    <row r="6431" spans="1:13" x14ac:dyDescent="0.3">
      <c r="A6431" s="3">
        <f t="shared" si="861"/>
        <v>45927</v>
      </c>
      <c r="B6431" s="11" t="s">
        <v>4438</v>
      </c>
      <c r="C6431" s="50" t="s">
        <v>8874</v>
      </c>
      <c r="E6431" s="90" t="s">
        <v>4720</v>
      </c>
      <c r="G6431" s="2">
        <v>2500</v>
      </c>
      <c r="I6431" s="88">
        <f t="shared" si="868"/>
        <v>9574.36</v>
      </c>
      <c r="K6431" s="62"/>
      <c r="L6431" s="2">
        <f t="shared" si="871"/>
        <v>10</v>
      </c>
      <c r="M6431">
        <f t="shared" si="872"/>
        <v>0</v>
      </c>
    </row>
    <row r="6432" spans="1:13" x14ac:dyDescent="0.3">
      <c r="A6432" s="3">
        <f t="shared" si="861"/>
        <v>45927</v>
      </c>
      <c r="B6432" s="11" t="s">
        <v>7329</v>
      </c>
      <c r="C6432" s="50" t="s">
        <v>7330</v>
      </c>
      <c r="E6432" s="90" t="s">
        <v>2088</v>
      </c>
      <c r="G6432" s="2">
        <v>2500</v>
      </c>
      <c r="I6432" s="88">
        <f t="shared" si="868"/>
        <v>12074.36</v>
      </c>
      <c r="K6432" s="62"/>
      <c r="L6432" s="2">
        <f t="shared" si="871"/>
        <v>15</v>
      </c>
      <c r="M6432">
        <f t="shared" si="872"/>
        <v>5</v>
      </c>
    </row>
    <row r="6433" spans="1:13" x14ac:dyDescent="0.3">
      <c r="A6433" s="3">
        <f t="shared" si="861"/>
        <v>45927</v>
      </c>
      <c r="B6433" s="11" t="s">
        <v>6842</v>
      </c>
      <c r="C6433" s="50" t="s">
        <v>6843</v>
      </c>
      <c r="E6433" s="90" t="s">
        <v>2088</v>
      </c>
      <c r="G6433" s="2">
        <v>2000</v>
      </c>
      <c r="I6433" s="88">
        <f t="shared" si="868"/>
        <v>14074.36</v>
      </c>
      <c r="K6433" s="62"/>
      <c r="L6433" s="2">
        <f t="shared" si="871"/>
        <v>13</v>
      </c>
      <c r="M6433">
        <f t="shared" si="872"/>
        <v>5</v>
      </c>
    </row>
    <row r="6434" spans="1:13" x14ac:dyDescent="0.3">
      <c r="A6434" s="3">
        <f t="shared" si="861"/>
        <v>45927</v>
      </c>
      <c r="B6434" s="11" t="s">
        <v>6522</v>
      </c>
      <c r="C6434" s="50" t="s">
        <v>5014</v>
      </c>
      <c r="E6434" s="90" t="s">
        <v>4720</v>
      </c>
      <c r="G6434" s="2">
        <v>2000</v>
      </c>
      <c r="I6434" s="88">
        <f t="shared" si="868"/>
        <v>16074.36</v>
      </c>
      <c r="K6434" s="62"/>
      <c r="L6434" s="2">
        <f t="shared" si="871"/>
        <v>8</v>
      </c>
      <c r="M6434">
        <f t="shared" si="872"/>
        <v>0</v>
      </c>
    </row>
    <row r="6435" spans="1:13" x14ac:dyDescent="0.3">
      <c r="A6435" s="3">
        <f t="shared" si="861"/>
        <v>45927</v>
      </c>
      <c r="B6435" s="11" t="s">
        <v>6864</v>
      </c>
      <c r="C6435" s="50" t="s">
        <v>9217</v>
      </c>
      <c r="E6435" s="90" t="s">
        <v>2088</v>
      </c>
      <c r="G6435" s="2">
        <v>5000</v>
      </c>
      <c r="I6435" s="88">
        <f t="shared" si="868"/>
        <v>21074.36</v>
      </c>
      <c r="K6435" s="62"/>
      <c r="L6435" s="2">
        <f t="shared" si="871"/>
        <v>25</v>
      </c>
      <c r="M6435">
        <f t="shared" si="872"/>
        <v>5</v>
      </c>
    </row>
    <row r="6436" spans="1:13" x14ac:dyDescent="0.3">
      <c r="A6436" s="3">
        <f t="shared" si="861"/>
        <v>45927</v>
      </c>
      <c r="B6436" s="37" t="s">
        <v>8878</v>
      </c>
      <c r="C6436" s="114" t="s">
        <v>9064</v>
      </c>
      <c r="D6436" s="114"/>
      <c r="E6436" s="97" t="s">
        <v>2088</v>
      </c>
      <c r="F6436" s="10"/>
      <c r="G6436" s="64">
        <v>3500</v>
      </c>
      <c r="I6436" s="88">
        <f t="shared" si="868"/>
        <v>24574.36</v>
      </c>
      <c r="K6436" s="62"/>
      <c r="L6436" s="2">
        <f t="shared" si="871"/>
        <v>19</v>
      </c>
      <c r="M6436">
        <f t="shared" si="872"/>
        <v>5</v>
      </c>
    </row>
    <row r="6437" spans="1:13" x14ac:dyDescent="0.3">
      <c r="A6437" s="3">
        <f t="shared" ref="A6437:A6489" si="873">A6436</f>
        <v>45927</v>
      </c>
      <c r="B6437" s="11" t="s">
        <v>7757</v>
      </c>
      <c r="C6437" s="50" t="s">
        <v>8650</v>
      </c>
      <c r="E6437" s="90" t="s">
        <v>4720</v>
      </c>
      <c r="H6437" s="2">
        <v>5000</v>
      </c>
      <c r="I6437" s="88">
        <f t="shared" si="868"/>
        <v>19574.36</v>
      </c>
      <c r="K6437" s="62"/>
      <c r="L6437" s="2">
        <f t="shared" si="871"/>
        <v>20</v>
      </c>
      <c r="M6437">
        <f t="shared" si="872"/>
        <v>0</v>
      </c>
    </row>
    <row r="6438" spans="1:13" x14ac:dyDescent="0.3">
      <c r="A6438" s="3">
        <f t="shared" si="873"/>
        <v>45927</v>
      </c>
      <c r="B6438" s="11" t="s">
        <v>4297</v>
      </c>
      <c r="C6438" s="50" t="s">
        <v>4786</v>
      </c>
      <c r="H6438" s="2">
        <v>5000</v>
      </c>
      <c r="I6438" s="88">
        <f t="shared" si="868"/>
        <v>14574.36</v>
      </c>
      <c r="K6438" s="62"/>
      <c r="L6438" s="2">
        <f t="shared" ref="L6438:L6459" si="874">IF(E6438="C",0,IF((G6438+H6438)&lt;=5000,(G6438+H6438)*0.004,20)+IF(E6438="P",5,IF(E6438="Y",15,IF(E6438="YY",25))))</f>
        <v>20</v>
      </c>
      <c r="M6438">
        <f t="shared" ref="M6438:M6459" si="875">IF(E6438="p",5,0)</f>
        <v>0</v>
      </c>
    </row>
    <row r="6439" spans="1:13" x14ac:dyDescent="0.3">
      <c r="A6439" s="3">
        <f>A6437</f>
        <v>45927</v>
      </c>
      <c r="B6439" s="11" t="s">
        <v>7264</v>
      </c>
      <c r="C6439" s="50" t="s">
        <v>8064</v>
      </c>
      <c r="E6439" s="90" t="s">
        <v>2088</v>
      </c>
      <c r="G6439" s="2">
        <v>0</v>
      </c>
      <c r="I6439" s="88">
        <f t="shared" si="868"/>
        <v>14574.36</v>
      </c>
      <c r="K6439" s="62"/>
      <c r="L6439" s="2">
        <f t="shared" si="874"/>
        <v>5</v>
      </c>
      <c r="M6439">
        <f t="shared" si="875"/>
        <v>5</v>
      </c>
    </row>
    <row r="6440" spans="1:13" x14ac:dyDescent="0.3">
      <c r="A6440" s="3">
        <f t="shared" si="873"/>
        <v>45927</v>
      </c>
      <c r="B6440" s="11" t="s">
        <v>7264</v>
      </c>
      <c r="C6440" s="50" t="s">
        <v>8064</v>
      </c>
      <c r="E6440" s="90" t="s">
        <v>2088</v>
      </c>
      <c r="G6440" s="2">
        <v>2000</v>
      </c>
      <c r="I6440" s="88">
        <f t="shared" si="868"/>
        <v>16574.36</v>
      </c>
      <c r="K6440" s="62"/>
      <c r="L6440" s="2">
        <f t="shared" si="874"/>
        <v>13</v>
      </c>
      <c r="M6440">
        <f t="shared" si="875"/>
        <v>5</v>
      </c>
    </row>
    <row r="6441" spans="1:13" x14ac:dyDescent="0.3">
      <c r="A6441" s="3">
        <f t="shared" si="873"/>
        <v>45927</v>
      </c>
      <c r="B6441" s="11" t="s">
        <v>9218</v>
      </c>
      <c r="C6441" s="50" t="s">
        <v>9219</v>
      </c>
      <c r="E6441" s="90" t="s">
        <v>4720</v>
      </c>
      <c r="G6441" s="2">
        <v>6000</v>
      </c>
      <c r="I6441" s="88">
        <f t="shared" si="868"/>
        <v>22574.36</v>
      </c>
      <c r="K6441" s="62"/>
      <c r="L6441" s="2">
        <f t="shared" si="874"/>
        <v>20</v>
      </c>
      <c r="M6441">
        <f t="shared" si="875"/>
        <v>0</v>
      </c>
    </row>
    <row r="6442" spans="1:13" x14ac:dyDescent="0.3">
      <c r="A6442" s="3">
        <f t="shared" si="873"/>
        <v>45927</v>
      </c>
      <c r="B6442" s="11" t="s">
        <v>7259</v>
      </c>
      <c r="C6442" s="50" t="s">
        <v>2492</v>
      </c>
      <c r="D6442" s="71">
        <v>9065670302</v>
      </c>
      <c r="E6442" s="90" t="s">
        <v>4720</v>
      </c>
      <c r="G6442" s="2">
        <v>6500</v>
      </c>
      <c r="I6442" s="88">
        <f t="shared" si="868"/>
        <v>29074.36</v>
      </c>
      <c r="K6442" s="62"/>
      <c r="L6442" s="2">
        <f t="shared" si="874"/>
        <v>20</v>
      </c>
      <c r="M6442">
        <f t="shared" si="875"/>
        <v>0</v>
      </c>
    </row>
    <row r="6443" spans="1:13" x14ac:dyDescent="0.3">
      <c r="A6443" s="3">
        <f t="shared" si="873"/>
        <v>45927</v>
      </c>
      <c r="B6443" s="11" t="s">
        <v>3232</v>
      </c>
      <c r="C6443" s="50" t="s">
        <v>9220</v>
      </c>
      <c r="E6443" s="90" t="s">
        <v>4720</v>
      </c>
      <c r="G6443" s="2">
        <v>1000</v>
      </c>
      <c r="I6443" s="88">
        <f t="shared" si="868"/>
        <v>30074.36</v>
      </c>
      <c r="K6443" s="62"/>
      <c r="L6443" s="2">
        <f t="shared" si="874"/>
        <v>4</v>
      </c>
      <c r="M6443">
        <f t="shared" si="875"/>
        <v>0</v>
      </c>
    </row>
    <row r="6444" spans="1:13" x14ac:dyDescent="0.3">
      <c r="A6444" s="3">
        <f t="shared" si="873"/>
        <v>45927</v>
      </c>
      <c r="B6444" s="11" t="s">
        <v>7432</v>
      </c>
      <c r="C6444" s="50" t="s">
        <v>8512</v>
      </c>
      <c r="E6444" s="90" t="s">
        <v>2088</v>
      </c>
      <c r="G6444" s="2">
        <v>0</v>
      </c>
      <c r="H6444" s="2">
        <v>0</v>
      </c>
      <c r="I6444" s="88">
        <f t="shared" si="868"/>
        <v>30074.36</v>
      </c>
      <c r="K6444" s="62"/>
      <c r="L6444" s="2">
        <f t="shared" si="874"/>
        <v>5</v>
      </c>
      <c r="M6444">
        <f t="shared" si="875"/>
        <v>5</v>
      </c>
    </row>
    <row r="6445" spans="1:13" x14ac:dyDescent="0.3">
      <c r="A6445" s="3">
        <f t="shared" si="873"/>
        <v>45927</v>
      </c>
      <c r="B6445" s="11" t="s">
        <v>7432</v>
      </c>
      <c r="C6445" s="50" t="s">
        <v>8512</v>
      </c>
      <c r="E6445" s="90" t="s">
        <v>2088</v>
      </c>
      <c r="G6445" s="2">
        <v>2000</v>
      </c>
      <c r="I6445" s="88">
        <f t="shared" si="868"/>
        <v>32074.36</v>
      </c>
      <c r="K6445" s="62"/>
      <c r="L6445" s="2">
        <f t="shared" si="874"/>
        <v>13</v>
      </c>
      <c r="M6445">
        <f t="shared" si="875"/>
        <v>5</v>
      </c>
    </row>
    <row r="6446" spans="1:13" x14ac:dyDescent="0.3">
      <c r="A6446" s="3">
        <f t="shared" si="873"/>
        <v>45927</v>
      </c>
      <c r="B6446" s="11" t="s">
        <v>3232</v>
      </c>
      <c r="C6446" s="50" t="s">
        <v>9221</v>
      </c>
      <c r="E6446" s="90" t="s">
        <v>4720</v>
      </c>
      <c r="G6446" s="2">
        <v>10000</v>
      </c>
      <c r="I6446" s="88">
        <f t="shared" si="868"/>
        <v>42074.36</v>
      </c>
      <c r="K6446" s="62"/>
      <c r="L6446" s="2">
        <f t="shared" si="874"/>
        <v>20</v>
      </c>
      <c r="M6446">
        <f t="shared" si="875"/>
        <v>0</v>
      </c>
    </row>
    <row r="6447" spans="1:13" x14ac:dyDescent="0.3">
      <c r="A6447" s="3">
        <f t="shared" si="873"/>
        <v>45927</v>
      </c>
      <c r="B6447" s="11" t="s">
        <v>7051</v>
      </c>
      <c r="C6447" s="50" t="s">
        <v>7236</v>
      </c>
      <c r="E6447" s="90" t="s">
        <v>2088</v>
      </c>
      <c r="G6447" s="2">
        <v>5000</v>
      </c>
      <c r="I6447" s="88">
        <f t="shared" si="868"/>
        <v>47074.36</v>
      </c>
      <c r="K6447" s="62"/>
      <c r="L6447" s="2">
        <f t="shared" si="874"/>
        <v>25</v>
      </c>
      <c r="M6447">
        <f t="shared" si="875"/>
        <v>5</v>
      </c>
    </row>
    <row r="6448" spans="1:13" x14ac:dyDescent="0.3">
      <c r="A6448" s="3">
        <f t="shared" si="873"/>
        <v>45927</v>
      </c>
      <c r="B6448" s="11" t="s">
        <v>1472</v>
      </c>
      <c r="C6448" s="50" t="s">
        <v>9222</v>
      </c>
      <c r="E6448" s="90" t="s">
        <v>4720</v>
      </c>
      <c r="G6448" s="2">
        <v>2050</v>
      </c>
      <c r="I6448" s="88">
        <f t="shared" si="868"/>
        <v>49124.36</v>
      </c>
      <c r="K6448" s="62"/>
      <c r="L6448" s="2">
        <f t="shared" si="874"/>
        <v>8.1999999999999993</v>
      </c>
      <c r="M6448">
        <f t="shared" si="875"/>
        <v>0</v>
      </c>
    </row>
    <row r="6449" spans="1:13" x14ac:dyDescent="0.3">
      <c r="A6449" s="3">
        <f t="shared" si="873"/>
        <v>45927</v>
      </c>
      <c r="B6449" s="11" t="s">
        <v>5716</v>
      </c>
      <c r="C6449" s="50" t="s">
        <v>3519</v>
      </c>
      <c r="E6449" s="90" t="s">
        <v>4720</v>
      </c>
      <c r="G6449" s="2">
        <v>3000</v>
      </c>
      <c r="I6449" s="88">
        <f t="shared" si="868"/>
        <v>52124.36</v>
      </c>
      <c r="K6449" s="62"/>
      <c r="L6449" s="2">
        <f t="shared" si="874"/>
        <v>12</v>
      </c>
      <c r="M6449">
        <f t="shared" si="875"/>
        <v>0</v>
      </c>
    </row>
    <row r="6450" spans="1:13" x14ac:dyDescent="0.3">
      <c r="A6450" s="3">
        <f t="shared" si="873"/>
        <v>45927</v>
      </c>
      <c r="B6450" s="11" t="s">
        <v>6522</v>
      </c>
      <c r="C6450" s="50" t="s">
        <v>8836</v>
      </c>
      <c r="E6450" s="90" t="s">
        <v>4720</v>
      </c>
      <c r="G6450" s="2">
        <v>2000</v>
      </c>
      <c r="I6450" s="88">
        <f t="shared" si="868"/>
        <v>54124.36</v>
      </c>
      <c r="K6450" s="62"/>
      <c r="L6450" s="2">
        <f t="shared" si="874"/>
        <v>8</v>
      </c>
      <c r="M6450">
        <f t="shared" si="875"/>
        <v>0</v>
      </c>
    </row>
    <row r="6451" spans="1:13" x14ac:dyDescent="0.3">
      <c r="A6451" s="3">
        <f t="shared" si="873"/>
        <v>45927</v>
      </c>
      <c r="B6451" s="11" t="s">
        <v>1250</v>
      </c>
      <c r="C6451" s="50" t="s">
        <v>4335</v>
      </c>
      <c r="E6451" s="90" t="s">
        <v>4720</v>
      </c>
      <c r="G6451" s="2">
        <v>1000</v>
      </c>
      <c r="I6451" s="88">
        <f t="shared" si="868"/>
        <v>55124.36</v>
      </c>
      <c r="K6451" s="62"/>
      <c r="L6451" s="2">
        <f t="shared" si="874"/>
        <v>4</v>
      </c>
      <c r="M6451">
        <f t="shared" si="875"/>
        <v>0</v>
      </c>
    </row>
    <row r="6452" spans="1:13" x14ac:dyDescent="0.3">
      <c r="A6452" s="3">
        <f t="shared" si="873"/>
        <v>45927</v>
      </c>
      <c r="B6452" s="11" t="s">
        <v>8536</v>
      </c>
      <c r="C6452" s="50" t="s">
        <v>8884</v>
      </c>
      <c r="E6452" s="90" t="s">
        <v>2088</v>
      </c>
      <c r="G6452" s="2">
        <v>3000</v>
      </c>
      <c r="I6452" s="88">
        <f t="shared" si="868"/>
        <v>58124.36</v>
      </c>
      <c r="K6452" s="62"/>
      <c r="L6452" s="2">
        <f t="shared" si="874"/>
        <v>17</v>
      </c>
      <c r="M6452">
        <f t="shared" si="875"/>
        <v>5</v>
      </c>
    </row>
    <row r="6453" spans="1:13" x14ac:dyDescent="0.3">
      <c r="A6453" s="3">
        <f t="shared" si="873"/>
        <v>45927</v>
      </c>
      <c r="B6453" s="11" t="s">
        <v>6726</v>
      </c>
      <c r="C6453" s="50" t="s">
        <v>6727</v>
      </c>
      <c r="E6453" s="90" t="s">
        <v>2088</v>
      </c>
      <c r="G6453" s="2">
        <v>300</v>
      </c>
      <c r="I6453" s="88">
        <f t="shared" si="868"/>
        <v>58424.36</v>
      </c>
      <c r="K6453" s="62"/>
      <c r="L6453" s="2">
        <f t="shared" si="874"/>
        <v>6.2</v>
      </c>
      <c r="M6453">
        <f t="shared" si="875"/>
        <v>5</v>
      </c>
    </row>
    <row r="6454" spans="1:13" x14ac:dyDescent="0.3">
      <c r="A6454" s="3">
        <f t="shared" si="873"/>
        <v>45927</v>
      </c>
      <c r="B6454" s="11" t="s">
        <v>6728</v>
      </c>
      <c r="C6454" s="50" t="s">
        <v>8346</v>
      </c>
      <c r="E6454" s="90" t="s">
        <v>2088</v>
      </c>
      <c r="G6454" s="2">
        <v>0</v>
      </c>
      <c r="H6454" s="2">
        <v>0</v>
      </c>
      <c r="I6454" s="88">
        <f t="shared" si="868"/>
        <v>58424.36</v>
      </c>
      <c r="K6454" s="62"/>
      <c r="L6454" s="2">
        <f t="shared" si="874"/>
        <v>5</v>
      </c>
      <c r="M6454">
        <f t="shared" si="875"/>
        <v>5</v>
      </c>
    </row>
    <row r="6455" spans="1:13" x14ac:dyDescent="0.3">
      <c r="A6455" s="3">
        <f t="shared" si="873"/>
        <v>45927</v>
      </c>
      <c r="B6455" s="11" t="s">
        <v>6728</v>
      </c>
      <c r="C6455" s="50" t="s">
        <v>8346</v>
      </c>
      <c r="E6455" s="90" t="s">
        <v>2088</v>
      </c>
      <c r="G6455" s="2">
        <v>500</v>
      </c>
      <c r="I6455" s="88">
        <f t="shared" si="868"/>
        <v>58924.36</v>
      </c>
      <c r="K6455" s="62"/>
      <c r="L6455" s="2">
        <f t="shared" si="874"/>
        <v>7</v>
      </c>
      <c r="M6455">
        <f t="shared" si="875"/>
        <v>5</v>
      </c>
    </row>
    <row r="6456" spans="1:13" x14ac:dyDescent="0.3">
      <c r="A6456" s="3">
        <f t="shared" si="873"/>
        <v>45927</v>
      </c>
      <c r="B6456" s="11" t="s">
        <v>1472</v>
      </c>
      <c r="C6456" s="50" t="s">
        <v>9223</v>
      </c>
      <c r="E6456" s="90" t="s">
        <v>4720</v>
      </c>
      <c r="G6456" s="2">
        <v>3000</v>
      </c>
      <c r="I6456" s="88">
        <f t="shared" si="868"/>
        <v>61924.36</v>
      </c>
      <c r="K6456" s="62"/>
      <c r="L6456" s="2">
        <f t="shared" si="874"/>
        <v>12</v>
      </c>
      <c r="M6456">
        <f t="shared" si="875"/>
        <v>0</v>
      </c>
    </row>
    <row r="6457" spans="1:13" x14ac:dyDescent="0.3">
      <c r="A6457" s="3">
        <v>45929</v>
      </c>
      <c r="B6457" s="11" t="s">
        <v>6260</v>
      </c>
      <c r="C6457" s="50" t="s">
        <v>7117</v>
      </c>
      <c r="E6457" s="90" t="s">
        <v>4720</v>
      </c>
      <c r="H6457" s="2">
        <v>10000</v>
      </c>
      <c r="I6457" s="88">
        <f t="shared" si="868"/>
        <v>51924.36</v>
      </c>
      <c r="K6457" s="62"/>
      <c r="L6457" s="2">
        <f t="shared" si="874"/>
        <v>20</v>
      </c>
      <c r="M6457">
        <f t="shared" si="875"/>
        <v>0</v>
      </c>
    </row>
    <row r="6458" spans="1:13" x14ac:dyDescent="0.3">
      <c r="A6458" s="3">
        <f t="shared" si="873"/>
        <v>45929</v>
      </c>
      <c r="B6458" s="11" t="s">
        <v>7005</v>
      </c>
      <c r="C6458" s="50" t="s">
        <v>7004</v>
      </c>
      <c r="E6458" s="90" t="s">
        <v>2088</v>
      </c>
      <c r="G6458" s="2">
        <v>3000</v>
      </c>
      <c r="I6458" s="88">
        <f t="shared" si="868"/>
        <v>54924.36</v>
      </c>
      <c r="K6458" s="62"/>
      <c r="L6458" s="2">
        <f t="shared" si="874"/>
        <v>17</v>
      </c>
      <c r="M6458">
        <f t="shared" si="875"/>
        <v>5</v>
      </c>
    </row>
    <row r="6459" spans="1:13" x14ac:dyDescent="0.3">
      <c r="A6459" s="3">
        <f t="shared" si="873"/>
        <v>45929</v>
      </c>
      <c r="B6459" s="11" t="s">
        <v>8882</v>
      </c>
      <c r="C6459" s="50" t="s">
        <v>9224</v>
      </c>
      <c r="E6459" s="90" t="s">
        <v>2088</v>
      </c>
      <c r="G6459" s="2">
        <v>2500</v>
      </c>
      <c r="I6459" s="88">
        <f t="shared" si="868"/>
        <v>57424.36</v>
      </c>
      <c r="K6459" s="62"/>
      <c r="L6459" s="2">
        <f t="shared" si="874"/>
        <v>15</v>
      </c>
      <c r="M6459">
        <f t="shared" si="875"/>
        <v>5</v>
      </c>
    </row>
    <row r="6460" spans="1:13" x14ac:dyDescent="0.3">
      <c r="A6460" s="3">
        <f t="shared" si="873"/>
        <v>45929</v>
      </c>
      <c r="B6460" s="11" t="s">
        <v>8961</v>
      </c>
      <c r="C6460" s="50" t="s">
        <v>8698</v>
      </c>
      <c r="E6460" s="90" t="s">
        <v>4720</v>
      </c>
      <c r="H6460" s="2">
        <v>3000</v>
      </c>
      <c r="I6460" s="88">
        <f t="shared" ref="I6460:I6479" si="876">I6459+G6460-H6460</f>
        <v>54424.36</v>
      </c>
      <c r="K6460" s="62"/>
      <c r="L6460" s="2">
        <f t="shared" ref="L6460:L6479" si="877">IF(E6460="C",0,IF((G6460+H6460)&lt;=5000,(G6460+H6460)*0.004,20)+IF(E6460="P",5,IF(E6460="Y",15,IF(E6460="YY",25))))</f>
        <v>12</v>
      </c>
      <c r="M6460">
        <f t="shared" ref="M6460:M6479" si="878">IF(E6460="p",5,0)</f>
        <v>0</v>
      </c>
    </row>
    <row r="6461" spans="1:13" x14ac:dyDescent="0.3">
      <c r="A6461" s="3">
        <f t="shared" si="873"/>
        <v>45929</v>
      </c>
      <c r="B6461" s="11" t="s">
        <v>7859</v>
      </c>
      <c r="C6461" s="50" t="s">
        <v>9225</v>
      </c>
      <c r="E6461" s="90" t="s">
        <v>2088</v>
      </c>
      <c r="G6461" s="2">
        <v>2500</v>
      </c>
      <c r="I6461" s="88">
        <f t="shared" si="876"/>
        <v>56924.36</v>
      </c>
      <c r="K6461" s="62"/>
      <c r="L6461" s="2">
        <f t="shared" si="877"/>
        <v>15</v>
      </c>
      <c r="M6461">
        <f t="shared" si="878"/>
        <v>5</v>
      </c>
    </row>
    <row r="6462" spans="1:13" x14ac:dyDescent="0.3">
      <c r="A6462" s="3">
        <f t="shared" si="873"/>
        <v>45929</v>
      </c>
      <c r="B6462" s="11" t="s">
        <v>1250</v>
      </c>
      <c r="C6462" s="50" t="s">
        <v>8055</v>
      </c>
      <c r="E6462" s="90" t="s">
        <v>4720</v>
      </c>
      <c r="G6462" s="2">
        <v>2000</v>
      </c>
      <c r="I6462" s="88">
        <f t="shared" si="876"/>
        <v>58924.36</v>
      </c>
      <c r="K6462" s="62"/>
      <c r="L6462" s="2">
        <f t="shared" si="877"/>
        <v>8</v>
      </c>
      <c r="M6462">
        <f t="shared" si="878"/>
        <v>0</v>
      </c>
    </row>
    <row r="6463" spans="1:13" x14ac:dyDescent="0.3">
      <c r="A6463" s="3">
        <f t="shared" si="873"/>
        <v>45929</v>
      </c>
      <c r="B6463" s="11" t="s">
        <v>3232</v>
      </c>
      <c r="C6463" s="50" t="s">
        <v>9226</v>
      </c>
      <c r="E6463" s="90" t="s">
        <v>4720</v>
      </c>
      <c r="G6463" s="2">
        <v>5000</v>
      </c>
      <c r="I6463" s="88">
        <f t="shared" si="876"/>
        <v>63924.36</v>
      </c>
      <c r="K6463" s="62"/>
      <c r="L6463" s="2">
        <f t="shared" si="877"/>
        <v>20</v>
      </c>
      <c r="M6463">
        <f t="shared" si="878"/>
        <v>0</v>
      </c>
    </row>
    <row r="6464" spans="1:13" x14ac:dyDescent="0.3">
      <c r="A6464" s="3">
        <f t="shared" si="873"/>
        <v>45929</v>
      </c>
      <c r="B6464" s="11" t="s">
        <v>7204</v>
      </c>
      <c r="C6464" s="50" t="s">
        <v>8704</v>
      </c>
      <c r="E6464" s="90" t="s">
        <v>2088</v>
      </c>
      <c r="G6464" s="2">
        <v>0</v>
      </c>
      <c r="H6464" s="2">
        <v>0</v>
      </c>
      <c r="I6464" s="88">
        <f t="shared" si="876"/>
        <v>63924.36</v>
      </c>
      <c r="K6464" s="62"/>
      <c r="L6464" s="2">
        <f t="shared" si="877"/>
        <v>5</v>
      </c>
      <c r="M6464">
        <f t="shared" si="878"/>
        <v>5</v>
      </c>
    </row>
    <row r="6465" spans="1:13" x14ac:dyDescent="0.3">
      <c r="A6465" s="3">
        <f t="shared" si="873"/>
        <v>45929</v>
      </c>
      <c r="B6465" s="11" t="s">
        <v>6940</v>
      </c>
      <c r="C6465" s="50" t="s">
        <v>7470</v>
      </c>
      <c r="E6465" s="90" t="s">
        <v>2088</v>
      </c>
      <c r="G6465" s="2">
        <v>0</v>
      </c>
      <c r="H6465" s="2">
        <v>0</v>
      </c>
      <c r="I6465" s="88">
        <f t="shared" si="876"/>
        <v>63924.36</v>
      </c>
      <c r="K6465" s="62"/>
      <c r="L6465" s="2">
        <f t="shared" si="877"/>
        <v>5</v>
      </c>
      <c r="M6465">
        <f t="shared" si="878"/>
        <v>5</v>
      </c>
    </row>
    <row r="6466" spans="1:13" x14ac:dyDescent="0.3">
      <c r="A6466" s="3">
        <f t="shared" si="873"/>
        <v>45929</v>
      </c>
      <c r="B6466" s="11" t="s">
        <v>8955</v>
      </c>
      <c r="C6466" s="50" t="s">
        <v>9195</v>
      </c>
      <c r="E6466" s="90" t="s">
        <v>2088</v>
      </c>
      <c r="G6466" s="2">
        <v>7000</v>
      </c>
      <c r="I6466" s="88">
        <f t="shared" si="876"/>
        <v>70924.36</v>
      </c>
      <c r="K6466" s="62"/>
      <c r="L6466" s="2">
        <f t="shared" si="877"/>
        <v>25</v>
      </c>
      <c r="M6466">
        <f t="shared" si="878"/>
        <v>5</v>
      </c>
    </row>
    <row r="6467" spans="1:13" x14ac:dyDescent="0.3">
      <c r="A6467" s="3">
        <f t="shared" si="873"/>
        <v>45929</v>
      </c>
      <c r="B6467" s="11" t="s">
        <v>1250</v>
      </c>
      <c r="C6467" s="50" t="s">
        <v>5721</v>
      </c>
      <c r="E6467" s="90" t="s">
        <v>4720</v>
      </c>
      <c r="G6467" s="2">
        <v>10000</v>
      </c>
      <c r="I6467" s="88">
        <f t="shared" si="876"/>
        <v>80924.36</v>
      </c>
      <c r="K6467" s="62"/>
      <c r="L6467" s="2">
        <f t="shared" si="877"/>
        <v>20</v>
      </c>
      <c r="M6467">
        <f t="shared" si="878"/>
        <v>0</v>
      </c>
    </row>
    <row r="6468" spans="1:13" x14ac:dyDescent="0.3">
      <c r="A6468" s="3">
        <f t="shared" si="873"/>
        <v>45929</v>
      </c>
      <c r="B6468" s="11" t="s">
        <v>7514</v>
      </c>
      <c r="C6468" s="50" t="s">
        <v>6985</v>
      </c>
      <c r="E6468" s="90" t="s">
        <v>4720</v>
      </c>
      <c r="G6468" s="2">
        <v>3000</v>
      </c>
      <c r="I6468" s="88">
        <f t="shared" si="876"/>
        <v>83924.36</v>
      </c>
      <c r="K6468" s="62"/>
      <c r="L6468" s="2">
        <f t="shared" si="877"/>
        <v>12</v>
      </c>
      <c r="M6468">
        <f t="shared" si="878"/>
        <v>0</v>
      </c>
    </row>
    <row r="6469" spans="1:13" x14ac:dyDescent="0.3">
      <c r="A6469" s="3">
        <f t="shared" si="873"/>
        <v>45929</v>
      </c>
      <c r="B6469" s="11" t="s">
        <v>9227</v>
      </c>
      <c r="C6469" s="50" t="s">
        <v>9228</v>
      </c>
      <c r="E6469" s="90" t="s">
        <v>2088</v>
      </c>
      <c r="G6469" s="2">
        <v>0</v>
      </c>
      <c r="H6469" s="2">
        <v>0</v>
      </c>
      <c r="I6469" s="88">
        <f t="shared" si="876"/>
        <v>83924.36</v>
      </c>
      <c r="K6469" s="62"/>
      <c r="L6469" s="2">
        <f t="shared" si="877"/>
        <v>5</v>
      </c>
      <c r="M6469">
        <f t="shared" si="878"/>
        <v>5</v>
      </c>
    </row>
    <row r="6470" spans="1:13" x14ac:dyDescent="0.3">
      <c r="A6470" s="3">
        <f t="shared" si="873"/>
        <v>45929</v>
      </c>
      <c r="C6470" s="50" t="s">
        <v>2857</v>
      </c>
      <c r="E6470" s="90" t="s">
        <v>4134</v>
      </c>
      <c r="H6470" s="2">
        <v>80000</v>
      </c>
      <c r="I6470" s="88">
        <f t="shared" si="876"/>
        <v>3924.3600000000006</v>
      </c>
      <c r="K6470" s="62"/>
      <c r="L6470" s="2">
        <f t="shared" si="877"/>
        <v>0</v>
      </c>
      <c r="M6470">
        <f t="shared" si="878"/>
        <v>0</v>
      </c>
    </row>
    <row r="6471" spans="1:13" x14ac:dyDescent="0.3">
      <c r="A6471" s="3">
        <f t="shared" si="873"/>
        <v>45929</v>
      </c>
      <c r="B6471" s="11" t="s">
        <v>8895</v>
      </c>
      <c r="C6471" s="50" t="s">
        <v>8896</v>
      </c>
      <c r="E6471" s="90" t="s">
        <v>2088</v>
      </c>
      <c r="G6471" s="2">
        <v>2500</v>
      </c>
      <c r="I6471" s="88">
        <f t="shared" si="876"/>
        <v>6424.3600000000006</v>
      </c>
      <c r="K6471" s="62"/>
      <c r="L6471" s="2">
        <f t="shared" si="877"/>
        <v>15</v>
      </c>
      <c r="M6471">
        <f t="shared" si="878"/>
        <v>5</v>
      </c>
    </row>
    <row r="6472" spans="1:13" x14ac:dyDescent="0.3">
      <c r="A6472" s="3">
        <f t="shared" si="873"/>
        <v>45929</v>
      </c>
      <c r="B6472" s="11" t="s">
        <v>1160</v>
      </c>
      <c r="C6472" s="50" t="s">
        <v>9234</v>
      </c>
      <c r="E6472" s="90" t="s">
        <v>4720</v>
      </c>
      <c r="G6472" s="2">
        <v>3000</v>
      </c>
      <c r="I6472" s="88">
        <f t="shared" si="876"/>
        <v>9424.36</v>
      </c>
      <c r="K6472" s="62"/>
      <c r="L6472" s="2">
        <f t="shared" si="877"/>
        <v>12</v>
      </c>
      <c r="M6472">
        <f t="shared" si="878"/>
        <v>0</v>
      </c>
    </row>
    <row r="6473" spans="1:13" x14ac:dyDescent="0.3">
      <c r="A6473" s="3">
        <f t="shared" si="873"/>
        <v>45929</v>
      </c>
      <c r="B6473" s="11" t="s">
        <v>7405</v>
      </c>
      <c r="C6473" s="50" t="s">
        <v>9235</v>
      </c>
      <c r="E6473" s="90" t="s">
        <v>2088</v>
      </c>
      <c r="G6473" s="2">
        <v>5000</v>
      </c>
      <c r="I6473" s="88">
        <f t="shared" si="876"/>
        <v>14424.36</v>
      </c>
      <c r="K6473" s="62"/>
      <c r="L6473" s="2">
        <f t="shared" si="877"/>
        <v>25</v>
      </c>
      <c r="M6473">
        <f t="shared" si="878"/>
        <v>5</v>
      </c>
    </row>
    <row r="6474" spans="1:13" x14ac:dyDescent="0.3">
      <c r="A6474" s="3">
        <f t="shared" si="873"/>
        <v>45929</v>
      </c>
      <c r="B6474" s="11" t="s">
        <v>3456</v>
      </c>
      <c r="C6474" s="50" t="s">
        <v>4852</v>
      </c>
      <c r="E6474" s="90" t="s">
        <v>2088</v>
      </c>
      <c r="G6474" s="2">
        <v>0</v>
      </c>
      <c r="I6474" s="88">
        <f t="shared" si="876"/>
        <v>14424.36</v>
      </c>
      <c r="K6474" s="62"/>
      <c r="L6474" s="2">
        <f t="shared" si="877"/>
        <v>5</v>
      </c>
      <c r="M6474">
        <f t="shared" si="878"/>
        <v>5</v>
      </c>
    </row>
    <row r="6475" spans="1:13" x14ac:dyDescent="0.3">
      <c r="A6475" s="3">
        <f t="shared" si="873"/>
        <v>45929</v>
      </c>
      <c r="B6475" s="11" t="s">
        <v>3456</v>
      </c>
      <c r="C6475" s="50" t="s">
        <v>4852</v>
      </c>
      <c r="E6475" s="90" t="s">
        <v>2088</v>
      </c>
      <c r="G6475" s="2">
        <v>1000</v>
      </c>
      <c r="I6475" s="88">
        <f t="shared" si="876"/>
        <v>15424.36</v>
      </c>
      <c r="K6475" s="62"/>
      <c r="L6475" s="2">
        <f t="shared" si="877"/>
        <v>9</v>
      </c>
      <c r="M6475">
        <f t="shared" si="878"/>
        <v>5</v>
      </c>
    </row>
    <row r="6476" spans="1:13" x14ac:dyDescent="0.3">
      <c r="A6476" s="3">
        <f t="shared" si="873"/>
        <v>45929</v>
      </c>
      <c r="B6476" s="11" t="s">
        <v>7800</v>
      </c>
      <c r="C6476" s="50" t="s">
        <v>6424</v>
      </c>
      <c r="E6476" s="90" t="s">
        <v>2088</v>
      </c>
      <c r="G6476" s="2">
        <v>0</v>
      </c>
      <c r="H6476" s="2">
        <v>0</v>
      </c>
      <c r="I6476" s="88">
        <f t="shared" si="876"/>
        <v>15424.36</v>
      </c>
      <c r="K6476" s="62"/>
      <c r="L6476" s="2">
        <f t="shared" si="877"/>
        <v>5</v>
      </c>
      <c r="M6476">
        <f t="shared" si="878"/>
        <v>5</v>
      </c>
    </row>
    <row r="6477" spans="1:13" x14ac:dyDescent="0.3">
      <c r="A6477" s="3">
        <f t="shared" si="873"/>
        <v>45929</v>
      </c>
      <c r="B6477" s="11" t="s">
        <v>1160</v>
      </c>
      <c r="C6477" s="50" t="s">
        <v>9236</v>
      </c>
      <c r="E6477" s="90" t="s">
        <v>4720</v>
      </c>
      <c r="G6477" s="2">
        <v>2000</v>
      </c>
      <c r="I6477" s="88">
        <f t="shared" si="876"/>
        <v>17424.36</v>
      </c>
      <c r="K6477" s="62"/>
      <c r="L6477" s="2">
        <f t="shared" si="877"/>
        <v>8</v>
      </c>
      <c r="M6477">
        <f t="shared" si="878"/>
        <v>0</v>
      </c>
    </row>
    <row r="6478" spans="1:13" x14ac:dyDescent="0.3">
      <c r="A6478" s="3">
        <f t="shared" si="873"/>
        <v>45929</v>
      </c>
      <c r="B6478" s="11" t="s">
        <v>1472</v>
      </c>
      <c r="C6478" s="50" t="s">
        <v>9237</v>
      </c>
      <c r="E6478" s="90" t="s">
        <v>4720</v>
      </c>
      <c r="G6478" s="2">
        <v>4000</v>
      </c>
      <c r="I6478" s="88">
        <f t="shared" si="876"/>
        <v>21424.36</v>
      </c>
      <c r="K6478" s="62"/>
      <c r="L6478" s="2">
        <f t="shared" si="877"/>
        <v>16</v>
      </c>
      <c r="M6478">
        <f t="shared" si="878"/>
        <v>0</v>
      </c>
    </row>
    <row r="6479" spans="1:13" x14ac:dyDescent="0.3">
      <c r="A6479" s="3">
        <v>45930</v>
      </c>
      <c r="B6479" s="11" t="s">
        <v>9238</v>
      </c>
      <c r="C6479" s="50" t="s">
        <v>9239</v>
      </c>
      <c r="E6479" s="90" t="s">
        <v>4720</v>
      </c>
      <c r="G6479" s="2">
        <v>3000</v>
      </c>
      <c r="I6479" s="88">
        <f t="shared" si="876"/>
        <v>24424.36</v>
      </c>
      <c r="K6479" s="62"/>
      <c r="L6479" s="2">
        <f t="shared" si="877"/>
        <v>12</v>
      </c>
      <c r="M6479">
        <f t="shared" si="878"/>
        <v>0</v>
      </c>
    </row>
    <row r="6480" spans="1:13" x14ac:dyDescent="0.3">
      <c r="A6480" s="3">
        <f t="shared" si="873"/>
        <v>45930</v>
      </c>
      <c r="B6480" s="11" t="s">
        <v>6260</v>
      </c>
      <c r="C6480" s="50" t="s">
        <v>7117</v>
      </c>
      <c r="E6480" s="90" t="s">
        <v>4720</v>
      </c>
      <c r="H6480" s="2">
        <v>10000</v>
      </c>
      <c r="I6480" s="88">
        <f t="shared" ref="I6480:I6489" si="879">I6479+G6480-H6480</f>
        <v>14424.36</v>
      </c>
      <c r="K6480" s="62"/>
      <c r="L6480" s="2">
        <f t="shared" ref="L6480:L6489" si="880">IF(E6480="C",0,IF((G6480+H6480)&lt;=5000,(G6480+H6480)*0.004,20)+IF(E6480="P",5,IF(E6480="Y",15,IF(E6480="YY",25))))</f>
        <v>20</v>
      </c>
      <c r="M6480">
        <f t="shared" ref="M6480:M6489" si="881">IF(E6480="p",5,0)</f>
        <v>0</v>
      </c>
    </row>
    <row r="6481" spans="1:15" x14ac:dyDescent="0.3">
      <c r="A6481" s="3">
        <f t="shared" si="873"/>
        <v>45930</v>
      </c>
      <c r="B6481" s="11" t="s">
        <v>5467</v>
      </c>
      <c r="C6481" s="50" t="s">
        <v>9240</v>
      </c>
      <c r="E6481" s="90" t="s">
        <v>7772</v>
      </c>
      <c r="G6481" s="2">
        <v>0</v>
      </c>
      <c r="H6481" s="2">
        <v>0</v>
      </c>
      <c r="I6481" s="88">
        <f t="shared" si="879"/>
        <v>14424.36</v>
      </c>
      <c r="K6481" s="62"/>
      <c r="L6481" s="2">
        <f t="shared" si="880"/>
        <v>5</v>
      </c>
      <c r="M6481">
        <f t="shared" si="881"/>
        <v>5</v>
      </c>
    </row>
    <row r="6482" spans="1:15" x14ac:dyDescent="0.3">
      <c r="A6482" s="3">
        <f t="shared" si="873"/>
        <v>45930</v>
      </c>
      <c r="B6482" s="11" t="s">
        <v>5467</v>
      </c>
      <c r="C6482" s="50" t="s">
        <v>9240</v>
      </c>
      <c r="E6482" s="90" t="s">
        <v>7772</v>
      </c>
      <c r="G6482" s="2">
        <v>5400</v>
      </c>
      <c r="I6482" s="88">
        <f t="shared" si="879"/>
        <v>19824.36</v>
      </c>
      <c r="K6482" s="62"/>
      <c r="L6482" s="2">
        <f t="shared" si="880"/>
        <v>25</v>
      </c>
      <c r="M6482">
        <f t="shared" si="881"/>
        <v>5</v>
      </c>
    </row>
    <row r="6483" spans="1:15" x14ac:dyDescent="0.3">
      <c r="A6483" s="3">
        <f t="shared" si="873"/>
        <v>45930</v>
      </c>
      <c r="B6483" s="11" t="s">
        <v>4297</v>
      </c>
      <c r="C6483" s="50" t="s">
        <v>1279</v>
      </c>
      <c r="E6483" s="90" t="s">
        <v>4720</v>
      </c>
      <c r="H6483" s="2">
        <v>5000</v>
      </c>
      <c r="I6483" s="88">
        <f t="shared" si="879"/>
        <v>14824.36</v>
      </c>
      <c r="K6483" s="62"/>
      <c r="L6483" s="2">
        <f t="shared" si="880"/>
        <v>20</v>
      </c>
      <c r="M6483">
        <f t="shared" si="881"/>
        <v>0</v>
      </c>
    </row>
    <row r="6484" spans="1:15" x14ac:dyDescent="0.3">
      <c r="A6484" s="3">
        <f t="shared" si="873"/>
        <v>45930</v>
      </c>
      <c r="B6484" s="11" t="s">
        <v>7625</v>
      </c>
      <c r="C6484" s="50" t="s">
        <v>8616</v>
      </c>
      <c r="E6484" s="90" t="s">
        <v>2088</v>
      </c>
      <c r="G6484" s="2">
        <v>2500</v>
      </c>
      <c r="I6484" s="88">
        <f t="shared" si="879"/>
        <v>17324.36</v>
      </c>
      <c r="K6484" s="62"/>
      <c r="L6484" s="2">
        <f t="shared" si="880"/>
        <v>15</v>
      </c>
      <c r="M6484">
        <f t="shared" si="881"/>
        <v>5</v>
      </c>
    </row>
    <row r="6485" spans="1:15" x14ac:dyDescent="0.3">
      <c r="A6485" s="3">
        <f t="shared" si="873"/>
        <v>45930</v>
      </c>
      <c r="B6485" s="11" t="s">
        <v>1160</v>
      </c>
      <c r="C6485" s="50" t="s">
        <v>9241</v>
      </c>
      <c r="E6485" s="90" t="s">
        <v>4720</v>
      </c>
      <c r="G6485" s="2">
        <v>3050</v>
      </c>
      <c r="I6485" s="88">
        <f t="shared" si="879"/>
        <v>20374.36</v>
      </c>
      <c r="K6485" s="62"/>
      <c r="L6485" s="2">
        <f t="shared" si="880"/>
        <v>12.200000000000001</v>
      </c>
      <c r="M6485">
        <f t="shared" si="881"/>
        <v>0</v>
      </c>
    </row>
    <row r="6486" spans="1:15" x14ac:dyDescent="0.3">
      <c r="A6486" s="3">
        <f t="shared" si="873"/>
        <v>45930</v>
      </c>
      <c r="B6486" s="11" t="s">
        <v>1160</v>
      </c>
      <c r="C6486" s="50" t="s">
        <v>9242</v>
      </c>
      <c r="D6486" s="50">
        <v>9142166509</v>
      </c>
      <c r="E6486" s="90" t="s">
        <v>4720</v>
      </c>
      <c r="G6486" s="2">
        <v>8000</v>
      </c>
      <c r="I6486" s="88">
        <f t="shared" si="879"/>
        <v>28374.36</v>
      </c>
      <c r="K6486" s="62"/>
      <c r="L6486" s="2">
        <f t="shared" si="880"/>
        <v>20</v>
      </c>
      <c r="M6486">
        <f t="shared" si="881"/>
        <v>0</v>
      </c>
    </row>
    <row r="6487" spans="1:15" x14ac:dyDescent="0.3">
      <c r="A6487" s="3">
        <f t="shared" si="873"/>
        <v>45930</v>
      </c>
      <c r="B6487" s="11" t="s">
        <v>1250</v>
      </c>
      <c r="C6487" s="50" t="s">
        <v>3722</v>
      </c>
      <c r="E6487" s="90" t="s">
        <v>4720</v>
      </c>
      <c r="G6487" s="2">
        <v>1500</v>
      </c>
      <c r="I6487" s="88">
        <f t="shared" si="879"/>
        <v>29874.36</v>
      </c>
      <c r="K6487" s="62"/>
      <c r="L6487" s="2">
        <f t="shared" si="880"/>
        <v>6</v>
      </c>
      <c r="M6487">
        <f t="shared" si="881"/>
        <v>0</v>
      </c>
    </row>
    <row r="6488" spans="1:15" x14ac:dyDescent="0.3">
      <c r="A6488" s="3">
        <f t="shared" si="873"/>
        <v>45930</v>
      </c>
      <c r="B6488" s="11" t="s">
        <v>4678</v>
      </c>
      <c r="C6488" s="50" t="s">
        <v>8029</v>
      </c>
      <c r="E6488" s="90" t="s">
        <v>4720</v>
      </c>
      <c r="G6488" s="2">
        <v>500</v>
      </c>
      <c r="I6488" s="88">
        <f t="shared" si="879"/>
        <v>30374.36</v>
      </c>
      <c r="K6488" s="62"/>
      <c r="L6488" s="2">
        <f t="shared" si="880"/>
        <v>2</v>
      </c>
      <c r="M6488">
        <f t="shared" si="881"/>
        <v>0</v>
      </c>
    </row>
    <row r="6489" spans="1:15" x14ac:dyDescent="0.3">
      <c r="A6489" s="3">
        <f t="shared" si="873"/>
        <v>45930</v>
      </c>
      <c r="C6489" s="50" t="s">
        <v>2857</v>
      </c>
      <c r="E6489" s="90" t="s">
        <v>4720</v>
      </c>
      <c r="H6489" s="2">
        <v>25000</v>
      </c>
      <c r="I6489" s="88">
        <f t="shared" si="879"/>
        <v>5374.3600000000006</v>
      </c>
      <c r="K6489" s="62"/>
      <c r="L6489" s="2">
        <f t="shared" si="880"/>
        <v>20</v>
      </c>
      <c r="M6489">
        <f t="shared" si="881"/>
        <v>0</v>
      </c>
    </row>
    <row r="6490" spans="1:15" x14ac:dyDescent="0.3">
      <c r="A6490" s="77">
        <f>COUNT(A6115:A6489)</f>
        <v>374</v>
      </c>
      <c r="B6490" s="80" t="s">
        <v>7120</v>
      </c>
      <c r="C6490" s="112">
        <f>SUMIF(E6115:E6489,"C",H6115:H6489)+SUMIF(E6115:E6489,"C",G6115:G6489)</f>
        <v>510211</v>
      </c>
      <c r="D6490" s="112">
        <f>COUNTIF(E5808:E6489,"p")</f>
        <v>263</v>
      </c>
      <c r="E6490" s="92">
        <f>COUNTIF(E6115:E6489,"Y")</f>
        <v>22</v>
      </c>
      <c r="F6490" s="80">
        <f>SUM(F4182)</f>
        <v>0</v>
      </c>
      <c r="G6490" s="121">
        <f>SUM(G6115:G6489)</f>
        <v>786580</v>
      </c>
      <c r="H6490" s="121">
        <f>SUM(H6115:H6489)</f>
        <v>821861</v>
      </c>
      <c r="I6490" s="121">
        <f>G6490+H6490-C6490</f>
        <v>1098230</v>
      </c>
      <c r="J6490" s="122"/>
      <c r="K6490" s="122">
        <f>SUM(K6115:K6489)</f>
        <v>0</v>
      </c>
      <c r="L6490" s="121">
        <f>SUM(L6115:L6489)</f>
        <v>4561.9199999999983</v>
      </c>
      <c r="M6490" s="121">
        <f>SUM(M6115:M6489)</f>
        <v>765</v>
      </c>
      <c r="N6490" s="62">
        <f>M6490/5</f>
        <v>153</v>
      </c>
      <c r="O6490">
        <f>IF(D4649&gt;100,D6490*6,D6490*5)</f>
        <v>1315</v>
      </c>
    </row>
    <row r="6492" spans="1:15" x14ac:dyDescent="0.3">
      <c r="A6492" s="3">
        <v>45934</v>
      </c>
      <c r="C6492" s="50" t="s">
        <v>8029</v>
      </c>
      <c r="E6492" s="90" t="s">
        <v>4720</v>
      </c>
      <c r="G6492" s="88">
        <f>I6489</f>
        <v>5374.3600000000006</v>
      </c>
      <c r="I6492" s="88">
        <f t="shared" ref="I6492:I6505" si="882">I6491+G6492-H6492</f>
        <v>5374.3600000000006</v>
      </c>
      <c r="K6492" s="62"/>
      <c r="L6492" s="2">
        <v>0</v>
      </c>
      <c r="M6492">
        <f t="shared" ref="M6492" si="883">IF(E6492="p",5,0)</f>
        <v>0</v>
      </c>
    </row>
    <row r="6493" spans="1:15" x14ac:dyDescent="0.3">
      <c r="A6493" s="3">
        <f>A6492</f>
        <v>45934</v>
      </c>
      <c r="B6493" s="11" t="s">
        <v>8878</v>
      </c>
      <c r="C6493" s="50" t="s">
        <v>9244</v>
      </c>
      <c r="E6493" s="90" t="s">
        <v>2088</v>
      </c>
      <c r="I6493" s="88">
        <f t="shared" si="882"/>
        <v>5374.3600000000006</v>
      </c>
      <c r="K6493" s="62"/>
      <c r="L6493" s="2">
        <f t="shared" ref="L6493:L6505" si="884">IF(E6493="C",0,IF((G6493+H6493)&lt;=5000,(G6493+H6493)*0.004,20)+IF(E6493="P",5,IF(E6493="Y",15,IF(E6493="YY",25))))</f>
        <v>5</v>
      </c>
      <c r="M6493">
        <f t="shared" ref="M6493:M6505" si="885">IF(E6493="p",5,0)</f>
        <v>5</v>
      </c>
    </row>
    <row r="6494" spans="1:15" x14ac:dyDescent="0.3">
      <c r="A6494" s="3">
        <f t="shared" ref="A6494:A6557" si="886">A6493</f>
        <v>45934</v>
      </c>
      <c r="B6494" s="11" t="s">
        <v>8878</v>
      </c>
      <c r="C6494" s="50" t="s">
        <v>9244</v>
      </c>
      <c r="E6494" s="90" t="s">
        <v>2088</v>
      </c>
      <c r="G6494" s="2">
        <v>6500</v>
      </c>
      <c r="I6494" s="88">
        <f t="shared" si="882"/>
        <v>11874.36</v>
      </c>
      <c r="K6494" s="62"/>
      <c r="L6494" s="2">
        <f t="shared" si="884"/>
        <v>25</v>
      </c>
      <c r="M6494">
        <f t="shared" si="885"/>
        <v>5</v>
      </c>
    </row>
    <row r="6495" spans="1:15" x14ac:dyDescent="0.3">
      <c r="A6495" s="3">
        <f t="shared" si="886"/>
        <v>45934</v>
      </c>
      <c r="B6495" s="11" t="s">
        <v>1250</v>
      </c>
      <c r="C6495" s="50" t="s">
        <v>9245</v>
      </c>
      <c r="E6495" s="90" t="s">
        <v>4720</v>
      </c>
      <c r="G6495" s="2">
        <v>4000</v>
      </c>
      <c r="I6495" s="88">
        <f t="shared" si="882"/>
        <v>15874.36</v>
      </c>
      <c r="K6495" s="62"/>
      <c r="L6495" s="2">
        <f t="shared" si="884"/>
        <v>16</v>
      </c>
      <c r="M6495">
        <f t="shared" si="885"/>
        <v>0</v>
      </c>
    </row>
    <row r="6496" spans="1:15" x14ac:dyDescent="0.3">
      <c r="A6496" s="3">
        <f t="shared" si="886"/>
        <v>45934</v>
      </c>
      <c r="B6496" s="11" t="s">
        <v>6434</v>
      </c>
      <c r="C6496" s="50" t="s">
        <v>7117</v>
      </c>
      <c r="E6496" s="90" t="s">
        <v>4720</v>
      </c>
      <c r="H6496" s="2">
        <v>2500</v>
      </c>
      <c r="I6496" s="88">
        <f t="shared" si="882"/>
        <v>13374.36</v>
      </c>
      <c r="K6496" s="62"/>
      <c r="L6496" s="2">
        <f t="shared" si="884"/>
        <v>10</v>
      </c>
      <c r="M6496">
        <f t="shared" si="885"/>
        <v>0</v>
      </c>
    </row>
    <row r="6497" spans="1:13" x14ac:dyDescent="0.3">
      <c r="A6497" s="3">
        <f t="shared" si="886"/>
        <v>45934</v>
      </c>
      <c r="B6497" s="11" t="s">
        <v>7798</v>
      </c>
      <c r="C6497" s="50" t="s">
        <v>8441</v>
      </c>
      <c r="E6497" s="90" t="s">
        <v>4720</v>
      </c>
      <c r="G6497" s="2">
        <v>2000</v>
      </c>
      <c r="I6497" s="88">
        <f t="shared" si="882"/>
        <v>15374.36</v>
      </c>
      <c r="K6497" s="62"/>
      <c r="L6497" s="2">
        <f t="shared" si="884"/>
        <v>8</v>
      </c>
      <c r="M6497">
        <f t="shared" si="885"/>
        <v>0</v>
      </c>
    </row>
    <row r="6498" spans="1:13" x14ac:dyDescent="0.3">
      <c r="A6498" s="3">
        <f t="shared" si="886"/>
        <v>45934</v>
      </c>
      <c r="B6498" s="11" t="s">
        <v>9251</v>
      </c>
      <c r="C6498" s="50" t="s">
        <v>9252</v>
      </c>
      <c r="E6498" s="90" t="s">
        <v>14</v>
      </c>
      <c r="H6498" s="2">
        <v>500</v>
      </c>
      <c r="I6498" s="88">
        <f t="shared" si="882"/>
        <v>14874.36</v>
      </c>
      <c r="K6498" s="62"/>
      <c r="L6498" s="2">
        <f t="shared" si="884"/>
        <v>17</v>
      </c>
      <c r="M6498">
        <f t="shared" si="885"/>
        <v>0</v>
      </c>
    </row>
    <row r="6499" spans="1:13" x14ac:dyDescent="0.3">
      <c r="A6499" s="3">
        <f t="shared" si="886"/>
        <v>45934</v>
      </c>
      <c r="B6499" s="11" t="s">
        <v>7398</v>
      </c>
      <c r="C6499" s="50" t="s">
        <v>9253</v>
      </c>
      <c r="E6499" s="90" t="s">
        <v>7772</v>
      </c>
      <c r="G6499" s="2">
        <v>2500</v>
      </c>
      <c r="I6499" s="88">
        <f t="shared" si="882"/>
        <v>17374.36</v>
      </c>
      <c r="K6499" s="62"/>
      <c r="L6499" s="2">
        <f t="shared" si="884"/>
        <v>15</v>
      </c>
      <c r="M6499">
        <f t="shared" si="885"/>
        <v>5</v>
      </c>
    </row>
    <row r="6500" spans="1:13" x14ac:dyDescent="0.3">
      <c r="A6500" s="3">
        <f t="shared" si="886"/>
        <v>45934</v>
      </c>
      <c r="B6500" s="11" t="s">
        <v>9255</v>
      </c>
      <c r="C6500" s="50" t="s">
        <v>9258</v>
      </c>
      <c r="E6500" s="90" t="s">
        <v>14</v>
      </c>
      <c r="H6500" s="2">
        <v>500</v>
      </c>
      <c r="I6500" s="88">
        <f t="shared" si="882"/>
        <v>16874.36</v>
      </c>
      <c r="K6500" s="62"/>
      <c r="L6500" s="2">
        <f t="shared" si="884"/>
        <v>17</v>
      </c>
      <c r="M6500">
        <f t="shared" si="885"/>
        <v>0</v>
      </c>
    </row>
    <row r="6501" spans="1:13" x14ac:dyDescent="0.3">
      <c r="A6501" s="3">
        <f t="shared" si="886"/>
        <v>45934</v>
      </c>
      <c r="B6501" s="11" t="s">
        <v>5771</v>
      </c>
      <c r="C6501" s="50" t="s">
        <v>9186</v>
      </c>
      <c r="E6501" s="90" t="s">
        <v>14</v>
      </c>
      <c r="G6501" s="2">
        <v>2500</v>
      </c>
      <c r="I6501" s="88">
        <f t="shared" si="882"/>
        <v>19374.36</v>
      </c>
      <c r="K6501" s="62"/>
      <c r="L6501" s="2">
        <f t="shared" si="884"/>
        <v>25</v>
      </c>
      <c r="M6501">
        <f t="shared" si="885"/>
        <v>0</v>
      </c>
    </row>
    <row r="6502" spans="1:13" x14ac:dyDescent="0.3">
      <c r="A6502" s="3">
        <f t="shared" si="886"/>
        <v>45934</v>
      </c>
      <c r="B6502" s="11" t="s">
        <v>9260</v>
      </c>
      <c r="C6502" s="50" t="s">
        <v>9262</v>
      </c>
      <c r="E6502" s="90" t="s">
        <v>16</v>
      </c>
      <c r="H6502" s="2">
        <v>500</v>
      </c>
      <c r="I6502" s="88">
        <f t="shared" si="882"/>
        <v>18874.36</v>
      </c>
      <c r="K6502" s="62"/>
      <c r="L6502" s="2">
        <f t="shared" si="884"/>
        <v>17</v>
      </c>
      <c r="M6502">
        <f t="shared" si="885"/>
        <v>0</v>
      </c>
    </row>
    <row r="6503" spans="1:13" x14ac:dyDescent="0.3">
      <c r="A6503" s="3">
        <f t="shared" si="886"/>
        <v>45934</v>
      </c>
      <c r="B6503" s="11" t="s">
        <v>6522</v>
      </c>
      <c r="C6503" s="50" t="s">
        <v>9263</v>
      </c>
      <c r="D6503" s="50">
        <v>9934181692</v>
      </c>
      <c r="E6503" s="90" t="s">
        <v>16</v>
      </c>
      <c r="G6503" s="2">
        <v>6000</v>
      </c>
      <c r="I6503" s="88">
        <f t="shared" si="882"/>
        <v>24874.36</v>
      </c>
      <c r="K6503" s="62"/>
      <c r="L6503" s="2">
        <f t="shared" si="884"/>
        <v>35</v>
      </c>
      <c r="M6503">
        <f t="shared" si="885"/>
        <v>0</v>
      </c>
    </row>
    <row r="6504" spans="1:13" x14ac:dyDescent="0.3">
      <c r="A6504" s="3">
        <f t="shared" si="886"/>
        <v>45934</v>
      </c>
      <c r="B6504" s="11" t="s">
        <v>7834</v>
      </c>
      <c r="C6504" s="50" t="s">
        <v>9264</v>
      </c>
      <c r="E6504" s="90" t="s">
        <v>7772</v>
      </c>
      <c r="G6504" s="2">
        <v>2500</v>
      </c>
      <c r="I6504" s="88">
        <f t="shared" si="882"/>
        <v>27374.36</v>
      </c>
      <c r="K6504" s="62"/>
      <c r="L6504" s="2">
        <f t="shared" si="884"/>
        <v>15</v>
      </c>
      <c r="M6504">
        <f t="shared" si="885"/>
        <v>5</v>
      </c>
    </row>
    <row r="6505" spans="1:13" x14ac:dyDescent="0.3">
      <c r="A6505" s="3">
        <f t="shared" si="886"/>
        <v>45934</v>
      </c>
      <c r="B6505" s="11" t="s">
        <v>9265</v>
      </c>
      <c r="C6505" s="50" t="s">
        <v>9266</v>
      </c>
      <c r="E6505" s="90" t="s">
        <v>7772</v>
      </c>
      <c r="G6505" s="2">
        <v>10000</v>
      </c>
      <c r="I6505" s="88">
        <f t="shared" si="882"/>
        <v>37374.36</v>
      </c>
      <c r="K6505" s="62"/>
      <c r="L6505" s="2">
        <f t="shared" si="884"/>
        <v>25</v>
      </c>
      <c r="M6505">
        <f t="shared" si="885"/>
        <v>5</v>
      </c>
    </row>
    <row r="6506" spans="1:13" x14ac:dyDescent="0.3">
      <c r="A6506" s="3">
        <f t="shared" si="886"/>
        <v>45934</v>
      </c>
      <c r="B6506" s="11" t="s">
        <v>2448</v>
      </c>
      <c r="C6506" s="50" t="s">
        <v>3605</v>
      </c>
      <c r="E6506" s="90" t="s">
        <v>4720</v>
      </c>
      <c r="H6506" s="2">
        <v>10000</v>
      </c>
      <c r="I6506" s="88">
        <f t="shared" ref="I6506:I6517" si="887">I6505+G6506-H6506</f>
        <v>27374.36</v>
      </c>
      <c r="K6506" s="62"/>
      <c r="L6506" s="2">
        <f t="shared" ref="L6506:L6517" si="888">IF(E6506="C",0,IF((G6506+H6506)&lt;=5000,(G6506+H6506)*0.004,20)+IF(E6506="P",5,IF(E6506="Y",15,IF(E6506="YY",25))))</f>
        <v>20</v>
      </c>
      <c r="M6506">
        <f t="shared" ref="M6506:M6517" si="889">IF(E6506="p",5,0)</f>
        <v>0</v>
      </c>
    </row>
    <row r="6507" spans="1:13" x14ac:dyDescent="0.3">
      <c r="A6507" s="3">
        <f t="shared" si="886"/>
        <v>45934</v>
      </c>
      <c r="B6507" s="11" t="s">
        <v>2743</v>
      </c>
      <c r="C6507" s="50" t="s">
        <v>9273</v>
      </c>
      <c r="E6507" s="90" t="s">
        <v>4720</v>
      </c>
      <c r="G6507" s="2">
        <v>2500</v>
      </c>
      <c r="I6507" s="88">
        <f t="shared" si="887"/>
        <v>29874.36</v>
      </c>
      <c r="K6507" s="62"/>
      <c r="L6507" s="2">
        <f t="shared" si="888"/>
        <v>10</v>
      </c>
      <c r="M6507">
        <f t="shared" si="889"/>
        <v>0</v>
      </c>
    </row>
    <row r="6508" spans="1:13" x14ac:dyDescent="0.3">
      <c r="A6508" s="3">
        <f t="shared" si="886"/>
        <v>45934</v>
      </c>
      <c r="B6508" s="11" t="s">
        <v>9268</v>
      </c>
      <c r="C6508" s="50" t="s">
        <v>9274</v>
      </c>
      <c r="E6508" s="90" t="s">
        <v>14</v>
      </c>
      <c r="H6508" s="2">
        <v>500</v>
      </c>
      <c r="I6508" s="88">
        <f t="shared" si="887"/>
        <v>29374.36</v>
      </c>
      <c r="K6508" s="62"/>
      <c r="L6508" s="2">
        <f t="shared" si="888"/>
        <v>17</v>
      </c>
      <c r="M6508">
        <f t="shared" si="889"/>
        <v>0</v>
      </c>
    </row>
    <row r="6509" spans="1:13" x14ac:dyDescent="0.3">
      <c r="A6509" s="3">
        <f t="shared" si="886"/>
        <v>45934</v>
      </c>
      <c r="B6509" s="11" t="s">
        <v>3148</v>
      </c>
      <c r="C6509" s="50" t="s">
        <v>9275</v>
      </c>
      <c r="E6509" s="90" t="s">
        <v>4720</v>
      </c>
      <c r="G6509" s="2">
        <v>10000</v>
      </c>
      <c r="I6509" s="88">
        <f t="shared" si="887"/>
        <v>39374.36</v>
      </c>
      <c r="K6509" s="62"/>
      <c r="L6509" s="2">
        <f t="shared" si="888"/>
        <v>20</v>
      </c>
      <c r="M6509">
        <f t="shared" si="889"/>
        <v>0</v>
      </c>
    </row>
    <row r="6510" spans="1:13" x14ac:dyDescent="0.3">
      <c r="A6510" s="3">
        <f t="shared" si="886"/>
        <v>45934</v>
      </c>
      <c r="B6510" s="11" t="s">
        <v>3402</v>
      </c>
      <c r="C6510" s="50" t="s">
        <v>9276</v>
      </c>
      <c r="E6510" s="90" t="s">
        <v>4720</v>
      </c>
      <c r="G6510" s="2">
        <v>1800</v>
      </c>
      <c r="I6510" s="88">
        <f t="shared" si="887"/>
        <v>41174.36</v>
      </c>
      <c r="K6510" s="62"/>
      <c r="L6510" s="2">
        <f t="shared" si="888"/>
        <v>7.2</v>
      </c>
      <c r="M6510">
        <f t="shared" si="889"/>
        <v>0</v>
      </c>
    </row>
    <row r="6511" spans="1:13" x14ac:dyDescent="0.3">
      <c r="A6511" s="3">
        <f t="shared" si="886"/>
        <v>45934</v>
      </c>
      <c r="C6511" s="50" t="s">
        <v>2857</v>
      </c>
      <c r="E6511" s="90" t="s">
        <v>8332</v>
      </c>
      <c r="H6511" s="2">
        <v>25000</v>
      </c>
      <c r="I6511" s="88">
        <f t="shared" si="887"/>
        <v>16174.36</v>
      </c>
      <c r="K6511" s="62"/>
      <c r="L6511" s="2">
        <f t="shared" si="888"/>
        <v>0</v>
      </c>
      <c r="M6511">
        <f t="shared" si="889"/>
        <v>0</v>
      </c>
    </row>
    <row r="6512" spans="1:13" x14ac:dyDescent="0.3">
      <c r="A6512" s="3">
        <f t="shared" si="886"/>
        <v>45934</v>
      </c>
      <c r="C6512" s="50" t="s">
        <v>2857</v>
      </c>
      <c r="E6512" s="90" t="s">
        <v>8332</v>
      </c>
      <c r="H6512" s="2">
        <v>15000</v>
      </c>
      <c r="I6512" s="88">
        <f t="shared" si="887"/>
        <v>1174.3600000000006</v>
      </c>
      <c r="K6512" s="62"/>
      <c r="L6512" s="2">
        <f t="shared" si="888"/>
        <v>0</v>
      </c>
      <c r="M6512">
        <f t="shared" si="889"/>
        <v>0</v>
      </c>
    </row>
    <row r="6513" spans="1:13" x14ac:dyDescent="0.3">
      <c r="A6513" s="3">
        <f t="shared" si="886"/>
        <v>45934</v>
      </c>
      <c r="B6513" s="11" t="s">
        <v>7762</v>
      </c>
      <c r="C6513" s="50" t="s">
        <v>9277</v>
      </c>
      <c r="E6513" s="90" t="s">
        <v>2088</v>
      </c>
      <c r="H6513" s="2">
        <v>500</v>
      </c>
      <c r="I6513" s="88">
        <f t="shared" si="887"/>
        <v>674.36000000000058</v>
      </c>
      <c r="K6513" s="62"/>
      <c r="L6513" s="2">
        <f t="shared" si="888"/>
        <v>7</v>
      </c>
      <c r="M6513">
        <f t="shared" si="889"/>
        <v>5</v>
      </c>
    </row>
    <row r="6514" spans="1:13" x14ac:dyDescent="0.3">
      <c r="A6514" s="3">
        <f t="shared" si="886"/>
        <v>45934</v>
      </c>
      <c r="B6514" s="11" t="s">
        <v>9247</v>
      </c>
      <c r="C6514" s="50" t="s">
        <v>9252</v>
      </c>
      <c r="E6514" s="90" t="s">
        <v>2088</v>
      </c>
      <c r="G6514" s="2">
        <v>0</v>
      </c>
      <c r="H6514" s="2">
        <v>0</v>
      </c>
      <c r="I6514" s="88">
        <f t="shared" si="887"/>
        <v>674.36000000000058</v>
      </c>
      <c r="K6514" s="62"/>
      <c r="L6514" s="2">
        <f t="shared" si="888"/>
        <v>5</v>
      </c>
      <c r="M6514">
        <f t="shared" si="889"/>
        <v>5</v>
      </c>
    </row>
    <row r="6515" spans="1:13" x14ac:dyDescent="0.3">
      <c r="A6515" s="3">
        <f t="shared" si="886"/>
        <v>45934</v>
      </c>
      <c r="B6515" s="11" t="s">
        <v>9255</v>
      </c>
      <c r="C6515" s="50" t="s">
        <v>9258</v>
      </c>
      <c r="E6515" s="90" t="s">
        <v>2088</v>
      </c>
      <c r="G6515" s="2">
        <v>0</v>
      </c>
      <c r="H6515" s="2">
        <v>0</v>
      </c>
      <c r="I6515" s="88">
        <f t="shared" si="887"/>
        <v>674.36000000000058</v>
      </c>
      <c r="K6515" s="62"/>
      <c r="L6515" s="2">
        <f t="shared" si="888"/>
        <v>5</v>
      </c>
      <c r="M6515">
        <f t="shared" si="889"/>
        <v>5</v>
      </c>
    </row>
    <row r="6516" spans="1:13" x14ac:dyDescent="0.3">
      <c r="A6516" s="3">
        <f t="shared" si="886"/>
        <v>45934</v>
      </c>
      <c r="B6516" s="11" t="s">
        <v>2165</v>
      </c>
      <c r="C6516" s="50" t="s">
        <v>9279</v>
      </c>
      <c r="E6516" s="90" t="s">
        <v>4720</v>
      </c>
      <c r="G6516" s="2">
        <v>5000</v>
      </c>
      <c r="I6516" s="88">
        <f t="shared" si="887"/>
        <v>5674.3600000000006</v>
      </c>
      <c r="K6516" s="62"/>
      <c r="L6516" s="2">
        <f t="shared" si="888"/>
        <v>20</v>
      </c>
      <c r="M6516">
        <f t="shared" si="889"/>
        <v>0</v>
      </c>
    </row>
    <row r="6517" spans="1:13" x14ac:dyDescent="0.3">
      <c r="A6517" s="3">
        <f t="shared" si="886"/>
        <v>45934</v>
      </c>
      <c r="B6517" s="11" t="s">
        <v>1472</v>
      </c>
      <c r="C6517" s="50" t="s">
        <v>9280</v>
      </c>
      <c r="E6517" s="90" t="s">
        <v>4720</v>
      </c>
      <c r="G6517" s="2">
        <v>2500</v>
      </c>
      <c r="I6517" s="88">
        <f t="shared" si="887"/>
        <v>8174.3600000000006</v>
      </c>
      <c r="K6517" s="62"/>
      <c r="L6517" s="2">
        <f t="shared" si="888"/>
        <v>10</v>
      </c>
      <c r="M6517">
        <f t="shared" si="889"/>
        <v>0</v>
      </c>
    </row>
    <row r="6518" spans="1:13" x14ac:dyDescent="0.3">
      <c r="A6518" s="3">
        <f t="shared" si="886"/>
        <v>45934</v>
      </c>
      <c r="B6518" s="11" t="s">
        <v>9260</v>
      </c>
      <c r="C6518" s="50" t="s">
        <v>9262</v>
      </c>
      <c r="E6518" s="90" t="s">
        <v>2088</v>
      </c>
      <c r="G6518" s="2">
        <v>0</v>
      </c>
      <c r="H6518" s="2">
        <v>0</v>
      </c>
      <c r="I6518" s="88">
        <f t="shared" ref="I6518:I6526" si="890">I6517+G6518-H6518</f>
        <v>8174.3600000000006</v>
      </c>
      <c r="K6518" s="62"/>
      <c r="L6518" s="2">
        <f t="shared" ref="L6518:L6526" si="891">IF(E6518="C",0,IF((G6518+H6518)&lt;=5000,(G6518+H6518)*0.004,20)+IF(E6518="P",5,IF(E6518="Y",15,IF(E6518="YY",25))))</f>
        <v>5</v>
      </c>
      <c r="M6518">
        <f t="shared" ref="M6518:M6526" si="892">IF(E6518="p",5,0)</f>
        <v>5</v>
      </c>
    </row>
    <row r="6519" spans="1:13" x14ac:dyDescent="0.3">
      <c r="A6519" s="3">
        <f t="shared" si="886"/>
        <v>45934</v>
      </c>
      <c r="B6519" s="11" t="s">
        <v>3148</v>
      </c>
      <c r="C6519" s="50" t="s">
        <v>8321</v>
      </c>
      <c r="E6519" s="90" t="s">
        <v>4720</v>
      </c>
      <c r="G6519" s="2">
        <v>500</v>
      </c>
      <c r="I6519" s="88">
        <f t="shared" si="890"/>
        <v>8674.36</v>
      </c>
      <c r="K6519" s="62"/>
      <c r="L6519" s="2">
        <f t="shared" si="891"/>
        <v>2</v>
      </c>
      <c r="M6519">
        <f t="shared" si="892"/>
        <v>0</v>
      </c>
    </row>
    <row r="6520" spans="1:13" x14ac:dyDescent="0.3">
      <c r="A6520" s="3">
        <f t="shared" si="886"/>
        <v>45934</v>
      </c>
      <c r="B6520" s="11" t="s">
        <v>9284</v>
      </c>
      <c r="C6520" s="50" t="s">
        <v>9287</v>
      </c>
      <c r="E6520" s="90" t="s">
        <v>16</v>
      </c>
      <c r="H6520" s="2">
        <v>500</v>
      </c>
      <c r="I6520" s="88">
        <f t="shared" si="890"/>
        <v>8174.3600000000006</v>
      </c>
      <c r="K6520" s="62"/>
      <c r="L6520" s="2">
        <f t="shared" si="891"/>
        <v>17</v>
      </c>
      <c r="M6520">
        <f t="shared" si="892"/>
        <v>0</v>
      </c>
    </row>
    <row r="6521" spans="1:13" x14ac:dyDescent="0.3">
      <c r="A6521" s="3">
        <f t="shared" si="886"/>
        <v>45934</v>
      </c>
      <c r="B6521" s="11" t="s">
        <v>1472</v>
      </c>
      <c r="C6521" s="50" t="s">
        <v>8026</v>
      </c>
      <c r="E6521" s="90" t="s">
        <v>4720</v>
      </c>
      <c r="G6521" s="2">
        <v>2000</v>
      </c>
      <c r="I6521" s="88">
        <f t="shared" si="890"/>
        <v>10174.36</v>
      </c>
      <c r="K6521" s="62"/>
      <c r="L6521" s="2">
        <f t="shared" si="891"/>
        <v>8</v>
      </c>
      <c r="M6521">
        <f t="shared" si="892"/>
        <v>0</v>
      </c>
    </row>
    <row r="6522" spans="1:13" x14ac:dyDescent="0.3">
      <c r="A6522" s="3">
        <f t="shared" si="886"/>
        <v>45934</v>
      </c>
      <c r="B6522" s="11" t="s">
        <v>2761</v>
      </c>
      <c r="C6522" s="50" t="s">
        <v>5717</v>
      </c>
      <c r="E6522" s="90" t="s">
        <v>4720</v>
      </c>
      <c r="G6522" s="2">
        <v>2000</v>
      </c>
      <c r="I6522" s="88">
        <f t="shared" si="890"/>
        <v>12174.36</v>
      </c>
      <c r="K6522" s="62"/>
      <c r="L6522" s="2">
        <f t="shared" si="891"/>
        <v>8</v>
      </c>
      <c r="M6522">
        <f t="shared" si="892"/>
        <v>0</v>
      </c>
    </row>
    <row r="6523" spans="1:13" x14ac:dyDescent="0.3">
      <c r="A6523" s="3">
        <f t="shared" si="886"/>
        <v>45934</v>
      </c>
      <c r="B6523" s="11" t="s">
        <v>7852</v>
      </c>
      <c r="C6523" s="50" t="s">
        <v>8750</v>
      </c>
      <c r="E6523" s="90" t="s">
        <v>4720</v>
      </c>
      <c r="G6523" s="2">
        <v>2000</v>
      </c>
      <c r="I6523" s="88">
        <f t="shared" si="890"/>
        <v>14174.36</v>
      </c>
      <c r="K6523" s="62"/>
      <c r="L6523" s="2">
        <f t="shared" si="891"/>
        <v>8</v>
      </c>
      <c r="M6523">
        <f t="shared" si="892"/>
        <v>0</v>
      </c>
    </row>
    <row r="6524" spans="1:13" x14ac:dyDescent="0.3">
      <c r="A6524" s="3">
        <f t="shared" si="886"/>
        <v>45934</v>
      </c>
      <c r="B6524" s="11" t="s">
        <v>9288</v>
      </c>
      <c r="C6524" s="50" t="s">
        <v>6636</v>
      </c>
      <c r="E6524" s="90" t="s">
        <v>4720</v>
      </c>
      <c r="G6524" s="2">
        <v>2500</v>
      </c>
      <c r="I6524" s="88">
        <f t="shared" si="890"/>
        <v>16674.36</v>
      </c>
      <c r="K6524" s="62"/>
      <c r="L6524" s="2">
        <f t="shared" si="891"/>
        <v>10</v>
      </c>
      <c r="M6524">
        <f t="shared" si="892"/>
        <v>0</v>
      </c>
    </row>
    <row r="6525" spans="1:13" x14ac:dyDescent="0.3">
      <c r="A6525" s="3">
        <f t="shared" si="886"/>
        <v>45934</v>
      </c>
      <c r="B6525" s="11" t="s">
        <v>7659</v>
      </c>
      <c r="C6525" s="50" t="s">
        <v>3941</v>
      </c>
      <c r="E6525" s="90" t="s">
        <v>2088</v>
      </c>
      <c r="G6525" s="2">
        <v>3000</v>
      </c>
      <c r="I6525" s="88">
        <f t="shared" si="890"/>
        <v>19674.36</v>
      </c>
      <c r="K6525" s="62"/>
      <c r="L6525" s="2">
        <f t="shared" si="891"/>
        <v>17</v>
      </c>
      <c r="M6525">
        <f t="shared" si="892"/>
        <v>5</v>
      </c>
    </row>
    <row r="6526" spans="1:13" x14ac:dyDescent="0.3">
      <c r="A6526" s="3">
        <f t="shared" si="886"/>
        <v>45934</v>
      </c>
      <c r="B6526" s="11" t="s">
        <v>2241</v>
      </c>
      <c r="C6526" s="50" t="s">
        <v>9289</v>
      </c>
      <c r="E6526" s="90" t="s">
        <v>4720</v>
      </c>
      <c r="G6526" s="2">
        <v>1000</v>
      </c>
      <c r="I6526" s="88">
        <f t="shared" si="890"/>
        <v>20674.36</v>
      </c>
      <c r="K6526" s="62"/>
      <c r="L6526" s="2">
        <f t="shared" si="891"/>
        <v>4</v>
      </c>
      <c r="M6526">
        <f t="shared" si="892"/>
        <v>0</v>
      </c>
    </row>
    <row r="6527" spans="1:13" x14ac:dyDescent="0.3">
      <c r="A6527" s="3">
        <v>45935</v>
      </c>
      <c r="B6527" s="11" t="s">
        <v>8674</v>
      </c>
      <c r="C6527" s="50" t="s">
        <v>8675</v>
      </c>
      <c r="E6527" s="90" t="s">
        <v>2088</v>
      </c>
      <c r="G6527" s="2">
        <v>0</v>
      </c>
      <c r="H6527" s="2">
        <v>0</v>
      </c>
      <c r="I6527" s="88">
        <f t="shared" ref="I6527:I6541" si="893">I6526+G6527-H6527</f>
        <v>20674.36</v>
      </c>
      <c r="K6527" s="62"/>
      <c r="L6527" s="2">
        <f t="shared" ref="L6527:L6535" si="894">IF(E6527="C",0,IF((G6527+H6527)&lt;=5000,(G6527+H6527)*0.004,20)+IF(E6527="P",5,IF(E6527="Y",15,IF(E6527="YY",25))))</f>
        <v>5</v>
      </c>
      <c r="M6527">
        <f t="shared" ref="M6527:M6535" si="895">IF(E6527="p",5,0)</f>
        <v>5</v>
      </c>
    </row>
    <row r="6528" spans="1:13" x14ac:dyDescent="0.3">
      <c r="A6528" s="3">
        <f t="shared" si="886"/>
        <v>45935</v>
      </c>
      <c r="B6528" s="11" t="s">
        <v>8674</v>
      </c>
      <c r="C6528" s="50" t="s">
        <v>8675</v>
      </c>
      <c r="E6528" s="90" t="s">
        <v>2088</v>
      </c>
      <c r="G6528" s="2">
        <v>2500</v>
      </c>
      <c r="I6528" s="88">
        <f t="shared" si="893"/>
        <v>23174.36</v>
      </c>
      <c r="K6528" s="62"/>
      <c r="L6528" s="2">
        <f t="shared" si="894"/>
        <v>15</v>
      </c>
      <c r="M6528">
        <f t="shared" si="895"/>
        <v>5</v>
      </c>
    </row>
    <row r="6529" spans="1:13" x14ac:dyDescent="0.3">
      <c r="A6529" s="3">
        <f t="shared" si="886"/>
        <v>45935</v>
      </c>
      <c r="B6529" s="11" t="s">
        <v>2448</v>
      </c>
      <c r="C6529" s="50" t="s">
        <v>3605</v>
      </c>
      <c r="E6529" s="90" t="s">
        <v>4720</v>
      </c>
      <c r="H6529" s="2">
        <v>3000</v>
      </c>
      <c r="I6529" s="88">
        <f t="shared" si="893"/>
        <v>20174.36</v>
      </c>
      <c r="K6529" s="62"/>
      <c r="L6529" s="2">
        <f t="shared" si="894"/>
        <v>12</v>
      </c>
      <c r="M6529">
        <f t="shared" si="895"/>
        <v>0</v>
      </c>
    </row>
    <row r="6530" spans="1:13" x14ac:dyDescent="0.3">
      <c r="A6530" s="3">
        <f t="shared" si="886"/>
        <v>45935</v>
      </c>
      <c r="B6530" s="11" t="s">
        <v>2338</v>
      </c>
      <c r="C6530" s="50" t="s">
        <v>1279</v>
      </c>
      <c r="E6530" s="90" t="s">
        <v>4720</v>
      </c>
      <c r="H6530" s="2">
        <v>5000</v>
      </c>
      <c r="I6530" s="88">
        <f t="shared" si="893"/>
        <v>15174.36</v>
      </c>
      <c r="K6530" s="62"/>
      <c r="L6530" s="2">
        <f t="shared" si="894"/>
        <v>20</v>
      </c>
      <c r="M6530">
        <f t="shared" si="895"/>
        <v>0</v>
      </c>
    </row>
    <row r="6531" spans="1:13" x14ac:dyDescent="0.3">
      <c r="A6531" s="3">
        <f t="shared" si="886"/>
        <v>45935</v>
      </c>
      <c r="B6531" s="11" t="s">
        <v>1250</v>
      </c>
      <c r="C6531" s="50" t="s">
        <v>2443</v>
      </c>
      <c r="E6531" s="90" t="s">
        <v>4720</v>
      </c>
      <c r="G6531" s="2">
        <v>2020</v>
      </c>
      <c r="I6531" s="88">
        <f t="shared" si="893"/>
        <v>17194.36</v>
      </c>
      <c r="K6531" s="62"/>
      <c r="L6531" s="2">
        <f t="shared" si="894"/>
        <v>8.08</v>
      </c>
      <c r="M6531">
        <f t="shared" si="895"/>
        <v>0</v>
      </c>
    </row>
    <row r="6532" spans="1:13" x14ac:dyDescent="0.3">
      <c r="A6532" s="3">
        <f t="shared" si="886"/>
        <v>45935</v>
      </c>
      <c r="B6532" s="11" t="s">
        <v>9290</v>
      </c>
      <c r="C6532" s="50" t="s">
        <v>2577</v>
      </c>
      <c r="D6532" s="71">
        <v>8210278170</v>
      </c>
      <c r="E6532" s="90" t="s">
        <v>4720</v>
      </c>
      <c r="H6532" s="2">
        <v>1200</v>
      </c>
      <c r="I6532" s="88">
        <f t="shared" si="893"/>
        <v>15994.36</v>
      </c>
      <c r="K6532" s="62"/>
      <c r="L6532" s="2">
        <f t="shared" si="894"/>
        <v>4.8</v>
      </c>
      <c r="M6532">
        <f t="shared" si="895"/>
        <v>0</v>
      </c>
    </row>
    <row r="6533" spans="1:13" x14ac:dyDescent="0.3">
      <c r="A6533" s="3">
        <f t="shared" si="886"/>
        <v>45935</v>
      </c>
      <c r="B6533" s="11" t="s">
        <v>6260</v>
      </c>
      <c r="C6533" s="50" t="s">
        <v>7117</v>
      </c>
      <c r="E6533" s="90" t="s">
        <v>4720</v>
      </c>
      <c r="H6533" s="2">
        <v>10000</v>
      </c>
      <c r="I6533" s="88">
        <f t="shared" si="893"/>
        <v>5994.3600000000006</v>
      </c>
      <c r="K6533" s="62"/>
      <c r="L6533" s="2">
        <f t="shared" si="894"/>
        <v>20</v>
      </c>
      <c r="M6533">
        <f t="shared" si="895"/>
        <v>0</v>
      </c>
    </row>
    <row r="6534" spans="1:13" x14ac:dyDescent="0.3">
      <c r="A6534" s="3">
        <f t="shared" si="886"/>
        <v>45935</v>
      </c>
      <c r="B6534" s="11" t="s">
        <v>1160</v>
      </c>
      <c r="C6534" s="50" t="s">
        <v>8603</v>
      </c>
      <c r="D6534" s="71">
        <v>9608192489</v>
      </c>
      <c r="E6534" s="90" t="s">
        <v>4720</v>
      </c>
      <c r="G6534" s="2">
        <v>2000</v>
      </c>
      <c r="I6534" s="88">
        <f t="shared" si="893"/>
        <v>7994.3600000000006</v>
      </c>
      <c r="K6534" s="62"/>
      <c r="L6534" s="2">
        <f t="shared" si="894"/>
        <v>8</v>
      </c>
      <c r="M6534">
        <f t="shared" si="895"/>
        <v>0</v>
      </c>
    </row>
    <row r="6535" spans="1:13" x14ac:dyDescent="0.3">
      <c r="A6535" s="3">
        <f t="shared" si="886"/>
        <v>45935</v>
      </c>
      <c r="B6535" s="11" t="s">
        <v>2241</v>
      </c>
      <c r="E6535" s="90" t="s">
        <v>4720</v>
      </c>
      <c r="G6535" s="2">
        <v>2000</v>
      </c>
      <c r="I6535" s="88">
        <f t="shared" si="893"/>
        <v>9994.36</v>
      </c>
      <c r="K6535" s="62"/>
      <c r="L6535" s="2">
        <f t="shared" si="894"/>
        <v>8</v>
      </c>
      <c r="M6535">
        <f t="shared" si="895"/>
        <v>0</v>
      </c>
    </row>
    <row r="6536" spans="1:13" x14ac:dyDescent="0.3">
      <c r="A6536" s="3">
        <f t="shared" si="886"/>
        <v>45935</v>
      </c>
      <c r="B6536" s="11" t="s">
        <v>2581</v>
      </c>
      <c r="C6536" s="50" t="s">
        <v>9291</v>
      </c>
      <c r="E6536" s="90" t="s">
        <v>4720</v>
      </c>
      <c r="G6536" s="2">
        <v>1000</v>
      </c>
      <c r="I6536" s="88">
        <f t="shared" si="893"/>
        <v>10994.36</v>
      </c>
      <c r="K6536" s="62"/>
      <c r="L6536" s="2">
        <f t="shared" ref="L6536:L6541" si="896">IF(E6536="C",0,IF((G6536+H6536)&lt;=5000,(G6536+H6536)*0.004,20)+IF(E6536="P",5,IF(E6536="Y",15,IF(E6536="YY",25))))</f>
        <v>4</v>
      </c>
      <c r="M6536">
        <f t="shared" ref="M6536:M6541" si="897">IF(E6536="p",5,0)</f>
        <v>0</v>
      </c>
    </row>
    <row r="6537" spans="1:13" x14ac:dyDescent="0.3">
      <c r="A6537" s="3">
        <v>45936</v>
      </c>
      <c r="B6537" s="11" t="s">
        <v>2241</v>
      </c>
      <c r="C6537" s="50" t="s">
        <v>9295</v>
      </c>
      <c r="E6537" s="90" t="s">
        <v>4720</v>
      </c>
      <c r="G6537" s="2">
        <v>1000</v>
      </c>
      <c r="I6537" s="88">
        <f t="shared" si="893"/>
        <v>11994.36</v>
      </c>
      <c r="K6537" s="62"/>
      <c r="L6537" s="2">
        <f t="shared" si="896"/>
        <v>4</v>
      </c>
      <c r="M6537">
        <f t="shared" si="897"/>
        <v>0</v>
      </c>
    </row>
    <row r="6538" spans="1:13" x14ac:dyDescent="0.3">
      <c r="A6538" s="3">
        <f t="shared" si="886"/>
        <v>45936</v>
      </c>
      <c r="B6538" s="11" t="s">
        <v>2143</v>
      </c>
      <c r="C6538" s="50" t="s">
        <v>1279</v>
      </c>
      <c r="E6538" s="90" t="s">
        <v>4720</v>
      </c>
      <c r="H6538" s="2">
        <v>5000</v>
      </c>
      <c r="I6538" s="88">
        <f t="shared" si="893"/>
        <v>6994.3600000000006</v>
      </c>
      <c r="K6538" s="62"/>
      <c r="L6538" s="2">
        <f t="shared" si="896"/>
        <v>20</v>
      </c>
      <c r="M6538">
        <f t="shared" si="897"/>
        <v>0</v>
      </c>
    </row>
    <row r="6539" spans="1:13" x14ac:dyDescent="0.3">
      <c r="A6539" s="3">
        <f t="shared" si="886"/>
        <v>45936</v>
      </c>
      <c r="B6539" s="11" t="s">
        <v>6486</v>
      </c>
      <c r="C6539" s="50" t="s">
        <v>8841</v>
      </c>
      <c r="E6539" s="90" t="s">
        <v>2088</v>
      </c>
      <c r="G6539" s="2">
        <v>2000</v>
      </c>
      <c r="I6539" s="88">
        <f t="shared" si="893"/>
        <v>8994.36</v>
      </c>
      <c r="K6539" s="62"/>
      <c r="L6539" s="2">
        <f t="shared" si="896"/>
        <v>13</v>
      </c>
      <c r="M6539">
        <f t="shared" si="897"/>
        <v>5</v>
      </c>
    </row>
    <row r="6540" spans="1:13" x14ac:dyDescent="0.3">
      <c r="A6540" s="3">
        <f t="shared" si="886"/>
        <v>45936</v>
      </c>
      <c r="B6540" s="11" t="s">
        <v>4107</v>
      </c>
      <c r="C6540" s="50" t="s">
        <v>2443</v>
      </c>
      <c r="E6540" s="90" t="s">
        <v>4720</v>
      </c>
      <c r="G6540" s="2">
        <v>2700</v>
      </c>
      <c r="I6540" s="88">
        <f t="shared" si="893"/>
        <v>11694.36</v>
      </c>
      <c r="K6540" s="62"/>
      <c r="L6540" s="2">
        <f t="shared" si="896"/>
        <v>10.8</v>
      </c>
      <c r="M6540">
        <f t="shared" si="897"/>
        <v>0</v>
      </c>
    </row>
    <row r="6541" spans="1:13" x14ac:dyDescent="0.3">
      <c r="A6541" s="3">
        <f t="shared" si="886"/>
        <v>45936</v>
      </c>
      <c r="B6541" s="11" t="s">
        <v>6607</v>
      </c>
      <c r="C6541" s="50" t="s">
        <v>9296</v>
      </c>
      <c r="E6541" s="90" t="s">
        <v>4720</v>
      </c>
      <c r="G6541" s="2">
        <v>5000</v>
      </c>
      <c r="I6541" s="88">
        <f t="shared" si="893"/>
        <v>16694.36</v>
      </c>
      <c r="K6541" s="62"/>
      <c r="L6541" s="2">
        <f t="shared" si="896"/>
        <v>20</v>
      </c>
      <c r="M6541">
        <f t="shared" si="897"/>
        <v>0</v>
      </c>
    </row>
    <row r="6542" spans="1:13" x14ac:dyDescent="0.3">
      <c r="A6542" s="3">
        <f t="shared" si="886"/>
        <v>45936</v>
      </c>
      <c r="B6542" s="11" t="s">
        <v>8947</v>
      </c>
      <c r="C6542" s="50" t="s">
        <v>8697</v>
      </c>
      <c r="E6542" s="90" t="s">
        <v>2088</v>
      </c>
      <c r="G6542" s="2">
        <v>2500</v>
      </c>
      <c r="I6542" s="88">
        <f t="shared" ref="I6542:I6553" si="898">I6541+G6542-H6542</f>
        <v>19194.36</v>
      </c>
      <c r="K6542" s="62"/>
      <c r="L6542" s="2">
        <f t="shared" ref="L6542:L6553" si="899">IF(E6542="C",0,IF((G6542+H6542)&lt;=5000,(G6542+H6542)*0.004,20)+IF(E6542="P",5,IF(E6542="Y",15,IF(E6542="YY",25))))</f>
        <v>15</v>
      </c>
      <c r="M6542">
        <f t="shared" ref="M6542:M6553" si="900">IF(E6542="p",5,0)</f>
        <v>5</v>
      </c>
    </row>
    <row r="6543" spans="1:13" x14ac:dyDescent="0.3">
      <c r="A6543" s="3">
        <f t="shared" si="886"/>
        <v>45936</v>
      </c>
      <c r="B6543" s="11" t="s">
        <v>8536</v>
      </c>
      <c r="C6543" s="50" t="s">
        <v>8884</v>
      </c>
      <c r="E6543" s="90" t="s">
        <v>2088</v>
      </c>
      <c r="G6543" s="2">
        <v>5400</v>
      </c>
      <c r="I6543" s="88">
        <f t="shared" si="898"/>
        <v>24594.36</v>
      </c>
      <c r="K6543" s="62"/>
      <c r="L6543" s="2">
        <f t="shared" si="899"/>
        <v>25</v>
      </c>
      <c r="M6543">
        <f t="shared" si="900"/>
        <v>5</v>
      </c>
    </row>
    <row r="6544" spans="1:13" x14ac:dyDescent="0.3">
      <c r="A6544" s="3">
        <f t="shared" si="886"/>
        <v>45936</v>
      </c>
      <c r="C6544" s="50" t="s">
        <v>2887</v>
      </c>
      <c r="E6544" s="90" t="s">
        <v>8332</v>
      </c>
      <c r="G6544" s="2">
        <v>6000</v>
      </c>
      <c r="I6544" s="88">
        <f t="shared" si="898"/>
        <v>30594.36</v>
      </c>
      <c r="K6544" s="62"/>
      <c r="L6544" s="2">
        <f t="shared" si="899"/>
        <v>0</v>
      </c>
      <c r="M6544">
        <f t="shared" si="900"/>
        <v>0</v>
      </c>
    </row>
    <row r="6545" spans="1:13" x14ac:dyDescent="0.3">
      <c r="A6545" s="3">
        <f t="shared" si="886"/>
        <v>45936</v>
      </c>
      <c r="C6545" s="50" t="s">
        <v>2857</v>
      </c>
      <c r="E6545" s="90" t="s">
        <v>8332</v>
      </c>
      <c r="H6545" s="2">
        <v>30000</v>
      </c>
      <c r="I6545" s="88">
        <f t="shared" si="898"/>
        <v>594.36000000000058</v>
      </c>
      <c r="K6545" s="62"/>
      <c r="L6545" s="2">
        <f t="shared" si="899"/>
        <v>0</v>
      </c>
      <c r="M6545">
        <f t="shared" si="900"/>
        <v>0</v>
      </c>
    </row>
    <row r="6546" spans="1:13" x14ac:dyDescent="0.3">
      <c r="A6546" s="3">
        <f t="shared" si="886"/>
        <v>45936</v>
      </c>
      <c r="B6546" s="11" t="s">
        <v>3039</v>
      </c>
      <c r="C6546" s="50" t="s">
        <v>8933</v>
      </c>
      <c r="E6546" s="90" t="s">
        <v>4720</v>
      </c>
      <c r="G6546" s="2">
        <v>4000</v>
      </c>
      <c r="I6546" s="88">
        <f t="shared" si="898"/>
        <v>4594.3600000000006</v>
      </c>
      <c r="K6546" s="62"/>
      <c r="L6546" s="2">
        <f t="shared" si="899"/>
        <v>16</v>
      </c>
      <c r="M6546">
        <f t="shared" si="900"/>
        <v>0</v>
      </c>
    </row>
    <row r="6547" spans="1:13" x14ac:dyDescent="0.3">
      <c r="A6547" s="3">
        <f t="shared" si="886"/>
        <v>45936</v>
      </c>
      <c r="B6547" s="11" t="s">
        <v>7709</v>
      </c>
      <c r="C6547" s="50" t="s">
        <v>7372</v>
      </c>
      <c r="E6547" s="90" t="s">
        <v>4720</v>
      </c>
      <c r="G6547" s="2">
        <v>2000</v>
      </c>
      <c r="I6547" s="88">
        <f t="shared" si="898"/>
        <v>6594.3600000000006</v>
      </c>
      <c r="K6547" s="62"/>
      <c r="L6547" s="2">
        <f t="shared" si="899"/>
        <v>8</v>
      </c>
      <c r="M6547">
        <f t="shared" si="900"/>
        <v>0</v>
      </c>
    </row>
    <row r="6548" spans="1:13" x14ac:dyDescent="0.3">
      <c r="A6548" s="3">
        <f t="shared" si="886"/>
        <v>45936</v>
      </c>
      <c r="B6548" s="11" t="s">
        <v>1250</v>
      </c>
      <c r="C6548" s="50" t="s">
        <v>6288</v>
      </c>
      <c r="E6548" s="90" t="s">
        <v>4720</v>
      </c>
      <c r="G6548" s="2">
        <v>2000</v>
      </c>
      <c r="I6548" s="88">
        <f t="shared" si="898"/>
        <v>8594.36</v>
      </c>
      <c r="K6548" s="62"/>
      <c r="L6548" s="2">
        <f t="shared" si="899"/>
        <v>8</v>
      </c>
      <c r="M6548">
        <f t="shared" si="900"/>
        <v>0</v>
      </c>
    </row>
    <row r="6549" spans="1:13" x14ac:dyDescent="0.3">
      <c r="A6549" s="3">
        <f t="shared" si="886"/>
        <v>45936</v>
      </c>
      <c r="B6549" s="11" t="s">
        <v>7262</v>
      </c>
      <c r="C6549" s="50" t="s">
        <v>8104</v>
      </c>
      <c r="E6549" s="90" t="s">
        <v>2088</v>
      </c>
      <c r="G6549" s="2">
        <v>0</v>
      </c>
      <c r="H6549" s="2">
        <v>0</v>
      </c>
      <c r="I6549" s="88">
        <f t="shared" si="898"/>
        <v>8594.36</v>
      </c>
      <c r="K6549" s="62"/>
      <c r="L6549" s="2">
        <f t="shared" si="899"/>
        <v>5</v>
      </c>
      <c r="M6549">
        <f t="shared" si="900"/>
        <v>5</v>
      </c>
    </row>
    <row r="6550" spans="1:13" x14ac:dyDescent="0.3">
      <c r="A6550" s="3">
        <f t="shared" si="886"/>
        <v>45936</v>
      </c>
      <c r="B6550" s="11" t="s">
        <v>7262</v>
      </c>
      <c r="C6550" s="50" t="s">
        <v>8104</v>
      </c>
      <c r="E6550" s="90" t="s">
        <v>2088</v>
      </c>
      <c r="G6550" s="2">
        <v>4000</v>
      </c>
      <c r="I6550" s="88">
        <f t="shared" si="898"/>
        <v>12594.36</v>
      </c>
      <c r="K6550" s="62"/>
      <c r="L6550" s="2">
        <f t="shared" si="899"/>
        <v>21</v>
      </c>
      <c r="M6550">
        <f t="shared" si="900"/>
        <v>5</v>
      </c>
    </row>
    <row r="6551" spans="1:13" x14ac:dyDescent="0.3">
      <c r="A6551" s="3">
        <f t="shared" si="886"/>
        <v>45936</v>
      </c>
      <c r="B6551" s="11" t="s">
        <v>6927</v>
      </c>
      <c r="C6551" s="50" t="s">
        <v>7117</v>
      </c>
      <c r="E6551" s="90" t="s">
        <v>4720</v>
      </c>
      <c r="H6551" s="2">
        <v>6000</v>
      </c>
      <c r="I6551" s="88">
        <f t="shared" si="898"/>
        <v>6594.3600000000006</v>
      </c>
      <c r="K6551" s="62"/>
      <c r="L6551" s="2">
        <f t="shared" si="899"/>
        <v>20</v>
      </c>
      <c r="M6551">
        <f t="shared" si="900"/>
        <v>0</v>
      </c>
    </row>
    <row r="6552" spans="1:13" x14ac:dyDescent="0.3">
      <c r="A6552" s="3">
        <f t="shared" si="886"/>
        <v>45936</v>
      </c>
      <c r="B6552" s="11" t="s">
        <v>9197</v>
      </c>
      <c r="C6552" s="50" t="s">
        <v>9275</v>
      </c>
      <c r="E6552" s="90" t="s">
        <v>2088</v>
      </c>
      <c r="G6552" s="2">
        <v>0</v>
      </c>
      <c r="H6552" s="2">
        <v>0</v>
      </c>
      <c r="I6552" s="88">
        <f t="shared" si="898"/>
        <v>6594.3600000000006</v>
      </c>
      <c r="K6552" s="62"/>
      <c r="L6552" s="2">
        <f t="shared" si="899"/>
        <v>5</v>
      </c>
      <c r="M6552">
        <f t="shared" si="900"/>
        <v>5</v>
      </c>
    </row>
    <row r="6553" spans="1:13" x14ac:dyDescent="0.3">
      <c r="A6553" s="3">
        <f t="shared" si="886"/>
        <v>45936</v>
      </c>
      <c r="B6553" s="11" t="s">
        <v>7142</v>
      </c>
      <c r="C6553" s="50" t="s">
        <v>7143</v>
      </c>
      <c r="E6553" s="90" t="s">
        <v>4720</v>
      </c>
      <c r="G6553" s="2">
        <v>1000</v>
      </c>
      <c r="I6553" s="88">
        <f t="shared" si="898"/>
        <v>7594.3600000000006</v>
      </c>
      <c r="K6553" s="62"/>
      <c r="L6553" s="2">
        <f t="shared" si="899"/>
        <v>4</v>
      </c>
      <c r="M6553">
        <f t="shared" si="900"/>
        <v>0</v>
      </c>
    </row>
    <row r="6554" spans="1:13" x14ac:dyDescent="0.3">
      <c r="A6554" s="3">
        <f t="shared" si="886"/>
        <v>45936</v>
      </c>
      <c r="B6554" s="11" t="s">
        <v>3204</v>
      </c>
      <c r="C6554" s="50" t="s">
        <v>7464</v>
      </c>
      <c r="E6554" s="90" t="s">
        <v>4720</v>
      </c>
      <c r="G6554" s="2">
        <v>5000</v>
      </c>
      <c r="I6554" s="88">
        <f t="shared" ref="I6554:I6561" si="901">I6553+G6554-H6554</f>
        <v>12594.36</v>
      </c>
      <c r="K6554" s="62"/>
      <c r="L6554" s="2">
        <f t="shared" ref="L6554:L6561" si="902">IF(E6554="C",0,IF((G6554+H6554)&lt;=5000,(G6554+H6554)*0.004,20)+IF(E6554="P",5,IF(E6554="Y",15,IF(E6554="YY",25))))</f>
        <v>20</v>
      </c>
      <c r="M6554">
        <f t="shared" ref="M6554:M6561" si="903">IF(E6554="p",5,0)</f>
        <v>0</v>
      </c>
    </row>
    <row r="6555" spans="1:13" x14ac:dyDescent="0.3">
      <c r="A6555" s="3">
        <v>45937</v>
      </c>
      <c r="B6555" s="11" t="s">
        <v>2241</v>
      </c>
      <c r="C6555" s="50" t="s">
        <v>4310</v>
      </c>
      <c r="E6555" s="90" t="s">
        <v>4720</v>
      </c>
      <c r="G6555" s="2">
        <v>1000</v>
      </c>
      <c r="I6555" s="88">
        <f t="shared" si="901"/>
        <v>13594.36</v>
      </c>
      <c r="K6555" s="62"/>
      <c r="L6555" s="2">
        <f t="shared" si="902"/>
        <v>4</v>
      </c>
      <c r="M6555">
        <f t="shared" si="903"/>
        <v>0</v>
      </c>
    </row>
    <row r="6556" spans="1:13" x14ac:dyDescent="0.3">
      <c r="A6556" s="3">
        <f t="shared" si="886"/>
        <v>45937</v>
      </c>
      <c r="B6556" s="11" t="s">
        <v>8900</v>
      </c>
      <c r="C6556" s="50" t="s">
        <v>9203</v>
      </c>
      <c r="E6556" s="90" t="s">
        <v>4720</v>
      </c>
      <c r="G6556" s="2">
        <v>2400</v>
      </c>
      <c r="I6556" s="88">
        <f t="shared" si="901"/>
        <v>15994.36</v>
      </c>
      <c r="K6556" s="62"/>
      <c r="L6556" s="2">
        <f t="shared" si="902"/>
        <v>9.6</v>
      </c>
      <c r="M6556">
        <f t="shared" si="903"/>
        <v>0</v>
      </c>
    </row>
    <row r="6557" spans="1:13" x14ac:dyDescent="0.3">
      <c r="A6557" s="3">
        <f t="shared" si="886"/>
        <v>45937</v>
      </c>
      <c r="B6557" s="11" t="s">
        <v>3369</v>
      </c>
      <c r="C6557" s="50" t="s">
        <v>3370</v>
      </c>
      <c r="E6557" s="90" t="s">
        <v>4720</v>
      </c>
      <c r="G6557" s="2">
        <v>1000</v>
      </c>
      <c r="I6557" s="88">
        <f t="shared" si="901"/>
        <v>16994.36</v>
      </c>
      <c r="K6557" s="62"/>
      <c r="L6557" s="2">
        <f t="shared" si="902"/>
        <v>4</v>
      </c>
      <c r="M6557">
        <f t="shared" si="903"/>
        <v>0</v>
      </c>
    </row>
    <row r="6558" spans="1:13" x14ac:dyDescent="0.3">
      <c r="A6558" s="3">
        <f t="shared" ref="A6558:A6621" si="904">A6557</f>
        <v>45937</v>
      </c>
      <c r="B6558" s="11" t="s">
        <v>3232</v>
      </c>
      <c r="C6558" s="50" t="s">
        <v>9297</v>
      </c>
      <c r="E6558" s="90" t="s">
        <v>4720</v>
      </c>
      <c r="G6558" s="2">
        <v>1000</v>
      </c>
      <c r="I6558" s="88">
        <f t="shared" si="901"/>
        <v>17994.36</v>
      </c>
      <c r="K6558" s="62"/>
      <c r="L6558" s="2">
        <f t="shared" si="902"/>
        <v>4</v>
      </c>
      <c r="M6558">
        <f t="shared" si="903"/>
        <v>0</v>
      </c>
    </row>
    <row r="6559" spans="1:13" x14ac:dyDescent="0.3">
      <c r="A6559" s="3">
        <f t="shared" si="904"/>
        <v>45937</v>
      </c>
      <c r="B6559" s="11" t="s">
        <v>7649</v>
      </c>
      <c r="C6559" s="50" t="s">
        <v>9298</v>
      </c>
      <c r="E6559" s="90" t="s">
        <v>4720</v>
      </c>
      <c r="H6559" s="2">
        <v>2400</v>
      </c>
      <c r="I6559" s="88">
        <f t="shared" si="901"/>
        <v>15594.36</v>
      </c>
      <c r="K6559" s="62"/>
      <c r="L6559" s="2">
        <f t="shared" si="902"/>
        <v>9.6</v>
      </c>
      <c r="M6559">
        <f t="shared" si="903"/>
        <v>0</v>
      </c>
    </row>
    <row r="6560" spans="1:13" x14ac:dyDescent="0.3">
      <c r="A6560" s="3">
        <f t="shared" si="904"/>
        <v>45937</v>
      </c>
      <c r="B6560" s="11" t="s">
        <v>9299</v>
      </c>
      <c r="C6560" s="50" t="s">
        <v>6581</v>
      </c>
      <c r="E6560" s="90" t="s">
        <v>4720</v>
      </c>
      <c r="G6560" s="2">
        <v>10000</v>
      </c>
      <c r="I6560" s="88">
        <f t="shared" si="901"/>
        <v>25594.36</v>
      </c>
      <c r="K6560" s="62"/>
      <c r="L6560" s="2">
        <f t="shared" si="902"/>
        <v>20</v>
      </c>
      <c r="M6560">
        <f t="shared" si="903"/>
        <v>0</v>
      </c>
    </row>
    <row r="6561" spans="1:13" x14ac:dyDescent="0.3">
      <c r="A6561" s="3">
        <f t="shared" si="904"/>
        <v>45937</v>
      </c>
      <c r="C6561" s="50" t="s">
        <v>2857</v>
      </c>
      <c r="E6561" s="90" t="s">
        <v>8332</v>
      </c>
      <c r="H6561" s="2">
        <v>25000</v>
      </c>
      <c r="I6561" s="88">
        <f t="shared" si="901"/>
        <v>594.36000000000058</v>
      </c>
      <c r="K6561" s="62"/>
      <c r="L6561" s="2">
        <f t="shared" si="902"/>
        <v>0</v>
      </c>
      <c r="M6561">
        <f t="shared" si="903"/>
        <v>0</v>
      </c>
    </row>
    <row r="6562" spans="1:13" x14ac:dyDescent="0.3">
      <c r="A6562" s="3">
        <f t="shared" si="904"/>
        <v>45937</v>
      </c>
      <c r="B6562" s="11" t="s">
        <v>8880</v>
      </c>
      <c r="C6562" s="50" t="s">
        <v>8881</v>
      </c>
      <c r="E6562" s="90" t="s">
        <v>2088</v>
      </c>
      <c r="G6562" s="2">
        <v>0</v>
      </c>
      <c r="H6562" s="2">
        <v>0</v>
      </c>
      <c r="I6562" s="88">
        <f t="shared" ref="I6562:I6584" si="905">I6561+G6562-H6562</f>
        <v>594.36000000000058</v>
      </c>
      <c r="K6562" s="62"/>
      <c r="L6562" s="2">
        <f t="shared" ref="L6562:L6584" si="906">IF(E6562="C",0,IF((G6562+H6562)&lt;=5000,(G6562+H6562)*0.004,20)+IF(E6562="P",5,IF(E6562="Y",15,IF(E6562="YY",25))))</f>
        <v>5</v>
      </c>
      <c r="M6562">
        <f t="shared" ref="M6562:M6584" si="907">IF(E6562="p",5,0)</f>
        <v>5</v>
      </c>
    </row>
    <row r="6563" spans="1:13" x14ac:dyDescent="0.3">
      <c r="A6563" s="3">
        <f t="shared" si="904"/>
        <v>45937</v>
      </c>
      <c r="B6563" s="11" t="s">
        <v>8880</v>
      </c>
      <c r="C6563" s="50" t="s">
        <v>8881</v>
      </c>
      <c r="E6563" s="90" t="s">
        <v>2088</v>
      </c>
      <c r="G6563" s="2">
        <v>5000</v>
      </c>
      <c r="I6563" s="88">
        <f t="shared" si="905"/>
        <v>5594.3600000000006</v>
      </c>
      <c r="K6563" s="62"/>
      <c r="L6563" s="2">
        <f t="shared" si="906"/>
        <v>25</v>
      </c>
      <c r="M6563">
        <f t="shared" si="907"/>
        <v>5</v>
      </c>
    </row>
    <row r="6564" spans="1:13" x14ac:dyDescent="0.3">
      <c r="A6564" s="3">
        <f t="shared" si="904"/>
        <v>45937</v>
      </c>
      <c r="B6564" s="11" t="s">
        <v>9300</v>
      </c>
      <c r="C6564" s="50" t="s">
        <v>9301</v>
      </c>
      <c r="E6564" s="90" t="s">
        <v>2088</v>
      </c>
      <c r="G6564" s="2">
        <v>2500</v>
      </c>
      <c r="I6564" s="88">
        <f t="shared" si="905"/>
        <v>8094.3600000000006</v>
      </c>
      <c r="K6564" s="62"/>
      <c r="L6564" s="2">
        <f t="shared" si="906"/>
        <v>15</v>
      </c>
      <c r="M6564">
        <f t="shared" si="907"/>
        <v>5</v>
      </c>
    </row>
    <row r="6565" spans="1:13" x14ac:dyDescent="0.3">
      <c r="A6565" s="3">
        <f t="shared" si="904"/>
        <v>45937</v>
      </c>
      <c r="B6565" s="11" t="s">
        <v>3232</v>
      </c>
      <c r="C6565" s="50" t="s">
        <v>9302</v>
      </c>
      <c r="D6565" s="50">
        <v>9708459805</v>
      </c>
      <c r="E6565" s="90" t="s">
        <v>4720</v>
      </c>
      <c r="G6565" s="2">
        <v>9500</v>
      </c>
      <c r="I6565" s="88">
        <f t="shared" si="905"/>
        <v>17594.36</v>
      </c>
      <c r="K6565" s="62"/>
      <c r="L6565" s="2">
        <f t="shared" si="906"/>
        <v>20</v>
      </c>
      <c r="M6565">
        <f t="shared" si="907"/>
        <v>0</v>
      </c>
    </row>
    <row r="6566" spans="1:13" x14ac:dyDescent="0.3">
      <c r="A6566" s="3">
        <f t="shared" si="904"/>
        <v>45937</v>
      </c>
      <c r="B6566" s="11" t="s">
        <v>6260</v>
      </c>
      <c r="C6566" s="50" t="s">
        <v>7117</v>
      </c>
      <c r="E6566" s="90" t="s">
        <v>4720</v>
      </c>
      <c r="H6566" s="2">
        <v>10000</v>
      </c>
      <c r="I6566" s="88">
        <f t="shared" si="905"/>
        <v>7594.3600000000006</v>
      </c>
      <c r="K6566" s="62"/>
      <c r="L6566" s="2">
        <f t="shared" si="906"/>
        <v>20</v>
      </c>
      <c r="M6566">
        <f t="shared" si="907"/>
        <v>0</v>
      </c>
    </row>
    <row r="6567" spans="1:13" x14ac:dyDescent="0.3">
      <c r="A6567" s="3">
        <v>45938</v>
      </c>
      <c r="B6567" s="11" t="s">
        <v>7394</v>
      </c>
      <c r="C6567" s="50" t="s">
        <v>7395</v>
      </c>
      <c r="E6567" s="90" t="s">
        <v>2088</v>
      </c>
      <c r="G6567" s="2">
        <v>2600</v>
      </c>
      <c r="I6567" s="88">
        <f t="shared" si="905"/>
        <v>10194.36</v>
      </c>
      <c r="K6567" s="62"/>
      <c r="L6567" s="2">
        <f t="shared" si="906"/>
        <v>15.4</v>
      </c>
      <c r="M6567">
        <f t="shared" si="907"/>
        <v>5</v>
      </c>
    </row>
    <row r="6568" spans="1:13" x14ac:dyDescent="0.3">
      <c r="A6568" s="3">
        <f t="shared" si="904"/>
        <v>45938</v>
      </c>
      <c r="B6568" s="11" t="s">
        <v>6522</v>
      </c>
      <c r="C6568" s="50" t="s">
        <v>8691</v>
      </c>
      <c r="E6568" s="90" t="s">
        <v>4720</v>
      </c>
      <c r="G6568" s="2">
        <v>5000</v>
      </c>
      <c r="I6568" s="88">
        <f t="shared" si="905"/>
        <v>15194.36</v>
      </c>
      <c r="K6568" s="62"/>
      <c r="L6568" s="2">
        <f t="shared" si="906"/>
        <v>20</v>
      </c>
      <c r="M6568">
        <f t="shared" si="907"/>
        <v>0</v>
      </c>
    </row>
    <row r="6569" spans="1:13" x14ac:dyDescent="0.3">
      <c r="A6569" s="3">
        <f t="shared" si="904"/>
        <v>45938</v>
      </c>
      <c r="B6569" s="11" t="s">
        <v>2241</v>
      </c>
      <c r="C6569" s="50" t="s">
        <v>9303</v>
      </c>
      <c r="E6569" s="90" t="s">
        <v>4720</v>
      </c>
      <c r="G6569" s="2">
        <v>500</v>
      </c>
      <c r="I6569" s="88">
        <f t="shared" si="905"/>
        <v>15694.36</v>
      </c>
      <c r="K6569" s="62"/>
      <c r="L6569" s="2">
        <f t="shared" si="906"/>
        <v>2</v>
      </c>
      <c r="M6569">
        <f t="shared" si="907"/>
        <v>0</v>
      </c>
    </row>
    <row r="6570" spans="1:13" x14ac:dyDescent="0.3">
      <c r="A6570" s="3">
        <f t="shared" si="904"/>
        <v>45938</v>
      </c>
      <c r="B6570" s="11" t="s">
        <v>3849</v>
      </c>
      <c r="C6570" s="50" t="s">
        <v>3974</v>
      </c>
      <c r="E6570" s="90" t="s">
        <v>4720</v>
      </c>
      <c r="H6570" s="2">
        <v>2000</v>
      </c>
      <c r="I6570" s="88">
        <f t="shared" si="905"/>
        <v>13694.36</v>
      </c>
      <c r="K6570" s="62"/>
      <c r="L6570" s="2">
        <f t="shared" si="906"/>
        <v>8</v>
      </c>
      <c r="M6570">
        <f t="shared" si="907"/>
        <v>0</v>
      </c>
    </row>
    <row r="6571" spans="1:13" x14ac:dyDescent="0.3">
      <c r="A6571" s="3">
        <f t="shared" si="904"/>
        <v>45938</v>
      </c>
      <c r="B6571" s="11" t="s">
        <v>5783</v>
      </c>
      <c r="C6571" s="50" t="s">
        <v>9304</v>
      </c>
      <c r="E6571" s="90" t="s">
        <v>2088</v>
      </c>
      <c r="I6571" s="88">
        <f t="shared" si="905"/>
        <v>13694.36</v>
      </c>
      <c r="K6571" s="62"/>
      <c r="L6571" s="2">
        <f t="shared" si="906"/>
        <v>5</v>
      </c>
      <c r="M6571">
        <f t="shared" si="907"/>
        <v>5</v>
      </c>
    </row>
    <row r="6572" spans="1:13" x14ac:dyDescent="0.3">
      <c r="A6572" s="3">
        <f t="shared" si="904"/>
        <v>45938</v>
      </c>
      <c r="B6572" s="11" t="s">
        <v>5783</v>
      </c>
      <c r="C6572" s="50" t="s">
        <v>9304</v>
      </c>
      <c r="E6572" s="90" t="s">
        <v>2088</v>
      </c>
      <c r="H6572" s="2">
        <v>200</v>
      </c>
      <c r="I6572" s="88">
        <f t="shared" si="905"/>
        <v>13494.36</v>
      </c>
      <c r="K6572" s="62"/>
      <c r="L6572" s="2">
        <f t="shared" si="906"/>
        <v>5.8</v>
      </c>
      <c r="M6572">
        <f t="shared" si="907"/>
        <v>5</v>
      </c>
    </row>
    <row r="6573" spans="1:13" x14ac:dyDescent="0.3">
      <c r="A6573" s="3">
        <f t="shared" si="904"/>
        <v>45938</v>
      </c>
      <c r="B6573" s="11" t="s">
        <v>4081</v>
      </c>
      <c r="C6573" s="50" t="s">
        <v>3526</v>
      </c>
      <c r="E6573" s="90" t="s">
        <v>2088</v>
      </c>
      <c r="G6573" s="2">
        <v>5000</v>
      </c>
      <c r="I6573" s="88">
        <f t="shared" si="905"/>
        <v>18494.36</v>
      </c>
      <c r="K6573" s="62"/>
      <c r="L6573" s="2">
        <f t="shared" si="906"/>
        <v>25</v>
      </c>
      <c r="M6573">
        <f t="shared" si="907"/>
        <v>5</v>
      </c>
    </row>
    <row r="6574" spans="1:13" x14ac:dyDescent="0.3">
      <c r="A6574" s="3">
        <f t="shared" si="904"/>
        <v>45938</v>
      </c>
      <c r="B6574" s="11" t="s">
        <v>1160</v>
      </c>
      <c r="C6574" s="50" t="s">
        <v>8296</v>
      </c>
      <c r="E6574" s="90" t="s">
        <v>4720</v>
      </c>
      <c r="G6574" s="2">
        <v>2000</v>
      </c>
      <c r="I6574" s="88">
        <f t="shared" si="905"/>
        <v>20494.36</v>
      </c>
      <c r="K6574" s="62"/>
      <c r="L6574" s="2">
        <f t="shared" si="906"/>
        <v>8</v>
      </c>
      <c r="M6574">
        <f t="shared" si="907"/>
        <v>0</v>
      </c>
    </row>
    <row r="6575" spans="1:13" x14ac:dyDescent="0.3">
      <c r="A6575" s="3">
        <f t="shared" si="904"/>
        <v>45938</v>
      </c>
      <c r="C6575" s="50" t="s">
        <v>2857</v>
      </c>
      <c r="E6575" s="90" t="s">
        <v>4720</v>
      </c>
      <c r="H6575" s="2">
        <v>20000</v>
      </c>
      <c r="I6575" s="88">
        <f t="shared" si="905"/>
        <v>494.36000000000058</v>
      </c>
      <c r="K6575" s="62"/>
      <c r="L6575" s="2">
        <f t="shared" si="906"/>
        <v>20</v>
      </c>
      <c r="M6575">
        <f t="shared" si="907"/>
        <v>0</v>
      </c>
    </row>
    <row r="6576" spans="1:13" x14ac:dyDescent="0.3">
      <c r="A6576" s="3">
        <f t="shared" si="904"/>
        <v>45938</v>
      </c>
      <c r="B6576" s="11" t="s">
        <v>2351</v>
      </c>
      <c r="C6576" s="50" t="s">
        <v>7641</v>
      </c>
      <c r="E6576" s="90" t="s">
        <v>4720</v>
      </c>
      <c r="G6576" s="2">
        <v>2000</v>
      </c>
      <c r="I6576" s="88">
        <f t="shared" si="905"/>
        <v>2494.3600000000006</v>
      </c>
      <c r="K6576" s="62"/>
      <c r="L6576" s="2">
        <f t="shared" si="906"/>
        <v>8</v>
      </c>
      <c r="M6576">
        <f t="shared" si="907"/>
        <v>0</v>
      </c>
    </row>
    <row r="6577" spans="1:13" x14ac:dyDescent="0.3">
      <c r="A6577" s="3">
        <f t="shared" si="904"/>
        <v>45938</v>
      </c>
      <c r="B6577" s="11" t="s">
        <v>5042</v>
      </c>
      <c r="C6577" s="50" t="s">
        <v>6176</v>
      </c>
      <c r="E6577" s="90" t="s">
        <v>2088</v>
      </c>
      <c r="G6577" s="2">
        <v>1000</v>
      </c>
      <c r="I6577" s="88">
        <f t="shared" si="905"/>
        <v>3494.3600000000006</v>
      </c>
      <c r="K6577" s="62"/>
      <c r="L6577" s="2">
        <f t="shared" si="906"/>
        <v>9</v>
      </c>
      <c r="M6577">
        <f t="shared" si="907"/>
        <v>5</v>
      </c>
    </row>
    <row r="6578" spans="1:13" x14ac:dyDescent="0.3">
      <c r="A6578" s="3">
        <f t="shared" si="904"/>
        <v>45938</v>
      </c>
      <c r="B6578" s="11" t="s">
        <v>7312</v>
      </c>
      <c r="C6578" s="50" t="s">
        <v>8521</v>
      </c>
      <c r="E6578" s="90" t="s">
        <v>2088</v>
      </c>
      <c r="G6578" s="2">
        <v>0</v>
      </c>
      <c r="H6578" s="2">
        <v>0</v>
      </c>
      <c r="I6578" s="88">
        <f t="shared" si="905"/>
        <v>3494.3600000000006</v>
      </c>
      <c r="K6578" s="62"/>
      <c r="L6578" s="2">
        <f t="shared" si="906"/>
        <v>5</v>
      </c>
      <c r="M6578">
        <f t="shared" si="907"/>
        <v>5</v>
      </c>
    </row>
    <row r="6579" spans="1:13" x14ac:dyDescent="0.3">
      <c r="A6579" s="3">
        <f t="shared" si="904"/>
        <v>45938</v>
      </c>
      <c r="B6579" s="11" t="s">
        <v>7312</v>
      </c>
      <c r="C6579" s="50" t="s">
        <v>8521</v>
      </c>
      <c r="E6579" s="90" t="s">
        <v>2088</v>
      </c>
      <c r="G6579" s="2">
        <v>2500</v>
      </c>
      <c r="I6579" s="88">
        <f t="shared" si="905"/>
        <v>5994.3600000000006</v>
      </c>
      <c r="K6579" s="62"/>
      <c r="L6579" s="2">
        <f t="shared" si="906"/>
        <v>15</v>
      </c>
      <c r="M6579">
        <f t="shared" si="907"/>
        <v>5</v>
      </c>
    </row>
    <row r="6580" spans="1:13" x14ac:dyDescent="0.3">
      <c r="A6580" s="3">
        <f t="shared" si="904"/>
        <v>45938</v>
      </c>
      <c r="B6580" s="11" t="s">
        <v>3524</v>
      </c>
      <c r="C6580" s="50" t="s">
        <v>2679</v>
      </c>
      <c r="E6580" s="90" t="s">
        <v>4720</v>
      </c>
      <c r="H6580" s="2">
        <v>2500</v>
      </c>
      <c r="I6580" s="88">
        <f t="shared" si="905"/>
        <v>3494.3600000000006</v>
      </c>
      <c r="K6580" s="62"/>
      <c r="L6580" s="2">
        <f t="shared" si="906"/>
        <v>10</v>
      </c>
      <c r="M6580">
        <f t="shared" si="907"/>
        <v>0</v>
      </c>
    </row>
    <row r="6581" spans="1:13" x14ac:dyDescent="0.3">
      <c r="A6581" s="3">
        <f t="shared" si="904"/>
        <v>45938</v>
      </c>
      <c r="B6581" s="11" t="s">
        <v>6522</v>
      </c>
      <c r="C6581" s="50" t="s">
        <v>8468</v>
      </c>
      <c r="E6581" s="90" t="s">
        <v>4720</v>
      </c>
      <c r="G6581" s="2">
        <v>2500</v>
      </c>
      <c r="I6581" s="88">
        <f t="shared" si="905"/>
        <v>5994.3600000000006</v>
      </c>
      <c r="K6581" s="62"/>
      <c r="L6581" s="2">
        <f t="shared" si="906"/>
        <v>10</v>
      </c>
      <c r="M6581">
        <f t="shared" si="907"/>
        <v>0</v>
      </c>
    </row>
    <row r="6582" spans="1:13" x14ac:dyDescent="0.3">
      <c r="A6582" s="3">
        <f t="shared" si="904"/>
        <v>45938</v>
      </c>
      <c r="B6582" s="11" t="s">
        <v>2448</v>
      </c>
      <c r="C6582" s="50" t="s">
        <v>3605</v>
      </c>
      <c r="E6582" s="90" t="s">
        <v>4720</v>
      </c>
      <c r="H6582" s="2">
        <v>5000</v>
      </c>
      <c r="I6582" s="88">
        <f t="shared" si="905"/>
        <v>994.36000000000058</v>
      </c>
      <c r="K6582" s="62"/>
      <c r="L6582" s="2">
        <f t="shared" si="906"/>
        <v>20</v>
      </c>
      <c r="M6582">
        <f t="shared" si="907"/>
        <v>0</v>
      </c>
    </row>
    <row r="6583" spans="1:13" x14ac:dyDescent="0.3">
      <c r="A6583" s="3">
        <f t="shared" si="904"/>
        <v>45938</v>
      </c>
      <c r="B6583" s="11" t="s">
        <v>9284</v>
      </c>
      <c r="C6583" s="50" t="s">
        <v>9287</v>
      </c>
      <c r="E6583" s="90" t="s">
        <v>2088</v>
      </c>
      <c r="G6583" s="2">
        <v>0</v>
      </c>
      <c r="H6583" s="2">
        <v>0</v>
      </c>
      <c r="I6583" s="88">
        <f t="shared" si="905"/>
        <v>994.36000000000058</v>
      </c>
      <c r="K6583" s="62"/>
      <c r="L6583" s="2">
        <f t="shared" si="906"/>
        <v>5</v>
      </c>
      <c r="M6583">
        <f t="shared" si="907"/>
        <v>5</v>
      </c>
    </row>
    <row r="6584" spans="1:13" x14ac:dyDescent="0.3">
      <c r="A6584" s="3">
        <f t="shared" si="904"/>
        <v>45938</v>
      </c>
      <c r="B6584" s="11" t="s">
        <v>8998</v>
      </c>
      <c r="C6584" s="50" t="s">
        <v>9306</v>
      </c>
      <c r="E6584" s="90" t="s">
        <v>4720</v>
      </c>
      <c r="G6584" s="2">
        <v>0</v>
      </c>
      <c r="H6584" s="2">
        <v>0</v>
      </c>
      <c r="I6584" s="88">
        <f t="shared" si="905"/>
        <v>994.36000000000058</v>
      </c>
      <c r="K6584" s="62"/>
      <c r="L6584" s="2">
        <f t="shared" si="906"/>
        <v>0</v>
      </c>
      <c r="M6584">
        <f t="shared" si="907"/>
        <v>0</v>
      </c>
    </row>
    <row r="6585" spans="1:13" x14ac:dyDescent="0.3">
      <c r="A6585" s="3">
        <f t="shared" si="904"/>
        <v>45938</v>
      </c>
      <c r="B6585" s="11" t="s">
        <v>2743</v>
      </c>
      <c r="C6585" s="50" t="s">
        <v>9307</v>
      </c>
      <c r="E6585" s="90" t="s">
        <v>4720</v>
      </c>
      <c r="G6585" s="2">
        <v>4000</v>
      </c>
      <c r="I6585" s="88">
        <f t="shared" ref="I6585:I6598" si="908">I6584+G6585-H6585</f>
        <v>4994.3600000000006</v>
      </c>
      <c r="K6585" s="62"/>
      <c r="L6585" s="2">
        <f t="shared" ref="L6585:L6598" si="909">IF(E6585="C",0,IF((G6585+H6585)&lt;=5000,(G6585+H6585)*0.004,20)+IF(E6585="P",5,IF(E6585="Y",15,IF(E6585="YY",25))))</f>
        <v>16</v>
      </c>
      <c r="M6585">
        <f t="shared" ref="M6585:M6598" si="910">IF(E6585="p",5,0)</f>
        <v>0</v>
      </c>
    </row>
    <row r="6586" spans="1:13" x14ac:dyDescent="0.3">
      <c r="A6586" s="3">
        <v>45939</v>
      </c>
      <c r="B6586" s="11" t="s">
        <v>1472</v>
      </c>
      <c r="C6586" s="50" t="s">
        <v>9004</v>
      </c>
      <c r="E6586" s="90" t="s">
        <v>4720</v>
      </c>
      <c r="G6586" s="2">
        <v>3500</v>
      </c>
      <c r="I6586" s="88">
        <f t="shared" si="908"/>
        <v>8494.36</v>
      </c>
      <c r="K6586" s="62"/>
      <c r="L6586" s="2">
        <f t="shared" si="909"/>
        <v>14</v>
      </c>
      <c r="M6586">
        <f t="shared" si="910"/>
        <v>0</v>
      </c>
    </row>
    <row r="6587" spans="1:13" x14ac:dyDescent="0.3">
      <c r="A6587" s="3">
        <f t="shared" si="904"/>
        <v>45939</v>
      </c>
      <c r="B6587" s="11" t="s">
        <v>2241</v>
      </c>
      <c r="C6587" s="50" t="s">
        <v>9308</v>
      </c>
      <c r="E6587" s="90" t="s">
        <v>4720</v>
      </c>
      <c r="G6587" s="2">
        <v>1000</v>
      </c>
      <c r="I6587" s="88">
        <f t="shared" si="908"/>
        <v>9494.36</v>
      </c>
      <c r="K6587" s="62"/>
      <c r="L6587" s="2">
        <f t="shared" si="909"/>
        <v>4</v>
      </c>
      <c r="M6587">
        <f t="shared" si="910"/>
        <v>0</v>
      </c>
    </row>
    <row r="6588" spans="1:13" x14ac:dyDescent="0.3">
      <c r="A6588" s="3">
        <f t="shared" si="904"/>
        <v>45939</v>
      </c>
      <c r="B6588" s="11" t="s">
        <v>3849</v>
      </c>
      <c r="C6588" s="50" t="s">
        <v>2551</v>
      </c>
      <c r="E6588" s="90" t="s">
        <v>4720</v>
      </c>
      <c r="H6588" s="2">
        <v>9000</v>
      </c>
      <c r="I6588" s="88">
        <f t="shared" si="908"/>
        <v>494.36000000000058</v>
      </c>
      <c r="K6588" s="62"/>
      <c r="L6588" s="2">
        <f t="shared" si="909"/>
        <v>20</v>
      </c>
      <c r="M6588">
        <f t="shared" si="910"/>
        <v>0</v>
      </c>
    </row>
    <row r="6589" spans="1:13" x14ac:dyDescent="0.3">
      <c r="A6589" s="3">
        <f t="shared" si="904"/>
        <v>45939</v>
      </c>
      <c r="B6589" s="11" t="s">
        <v>7289</v>
      </c>
      <c r="C6589" s="50" t="s">
        <v>7290</v>
      </c>
      <c r="E6589" s="90" t="s">
        <v>2088</v>
      </c>
      <c r="I6589" s="88">
        <f t="shared" si="908"/>
        <v>494.36000000000058</v>
      </c>
      <c r="K6589" s="62"/>
      <c r="L6589" s="2">
        <f t="shared" si="909"/>
        <v>5</v>
      </c>
      <c r="M6589">
        <f t="shared" si="910"/>
        <v>5</v>
      </c>
    </row>
    <row r="6590" spans="1:13" x14ac:dyDescent="0.3">
      <c r="A6590" s="3">
        <f t="shared" si="904"/>
        <v>45939</v>
      </c>
      <c r="B6590" s="11" t="s">
        <v>7289</v>
      </c>
      <c r="C6590" s="50" t="s">
        <v>7290</v>
      </c>
      <c r="E6590" s="90" t="s">
        <v>2088</v>
      </c>
      <c r="G6590" s="2">
        <v>7500</v>
      </c>
      <c r="I6590" s="88">
        <f t="shared" si="908"/>
        <v>7994.3600000000006</v>
      </c>
      <c r="K6590" s="62"/>
      <c r="L6590" s="2">
        <f t="shared" si="909"/>
        <v>25</v>
      </c>
      <c r="M6590">
        <f t="shared" si="910"/>
        <v>5</v>
      </c>
    </row>
    <row r="6591" spans="1:13" x14ac:dyDescent="0.3">
      <c r="A6591" s="3">
        <f t="shared" si="904"/>
        <v>45939</v>
      </c>
      <c r="B6591" s="11" t="s">
        <v>6844</v>
      </c>
      <c r="C6591" s="50" t="s">
        <v>9309</v>
      </c>
      <c r="E6591" s="90" t="s">
        <v>4720</v>
      </c>
      <c r="H6591" s="2">
        <v>3200</v>
      </c>
      <c r="I6591" s="88">
        <f t="shared" si="908"/>
        <v>4794.3600000000006</v>
      </c>
      <c r="K6591" s="62"/>
      <c r="L6591" s="2">
        <f t="shared" si="909"/>
        <v>12.8</v>
      </c>
      <c r="M6591">
        <f t="shared" si="910"/>
        <v>0</v>
      </c>
    </row>
    <row r="6592" spans="1:13" x14ac:dyDescent="0.3">
      <c r="A6592" s="3">
        <f t="shared" si="904"/>
        <v>45939</v>
      </c>
      <c r="B6592" s="11" t="s">
        <v>3232</v>
      </c>
      <c r="C6592" s="50" t="s">
        <v>5621</v>
      </c>
      <c r="E6592" s="90" t="s">
        <v>4720</v>
      </c>
      <c r="G6592" s="2">
        <v>1500</v>
      </c>
      <c r="I6592" s="88">
        <f t="shared" si="908"/>
        <v>6294.3600000000006</v>
      </c>
      <c r="K6592" s="62"/>
      <c r="L6592" s="2">
        <f t="shared" si="909"/>
        <v>6</v>
      </c>
      <c r="M6592">
        <f t="shared" si="910"/>
        <v>0</v>
      </c>
    </row>
    <row r="6593" spans="1:13" x14ac:dyDescent="0.3">
      <c r="A6593" s="3">
        <f t="shared" si="904"/>
        <v>45939</v>
      </c>
      <c r="B6593" s="11" t="s">
        <v>1160</v>
      </c>
      <c r="C6593" s="50" t="s">
        <v>9310</v>
      </c>
      <c r="E6593" s="90" t="s">
        <v>4720</v>
      </c>
      <c r="G6593" s="2">
        <v>2000</v>
      </c>
      <c r="I6593" s="88">
        <f t="shared" si="908"/>
        <v>8294.36</v>
      </c>
      <c r="K6593" s="62"/>
      <c r="L6593" s="2">
        <f t="shared" si="909"/>
        <v>8</v>
      </c>
      <c r="M6593">
        <f t="shared" si="910"/>
        <v>0</v>
      </c>
    </row>
    <row r="6594" spans="1:13" x14ac:dyDescent="0.3">
      <c r="A6594" s="3">
        <f t="shared" si="904"/>
        <v>45939</v>
      </c>
      <c r="B6594" s="11" t="s">
        <v>5995</v>
      </c>
      <c r="C6594" s="50" t="s">
        <v>9311</v>
      </c>
      <c r="E6594" s="90" t="s">
        <v>2088</v>
      </c>
      <c r="G6594" s="2">
        <v>5000</v>
      </c>
      <c r="I6594" s="88">
        <f t="shared" si="908"/>
        <v>13294.36</v>
      </c>
      <c r="K6594" s="62"/>
      <c r="L6594" s="2">
        <f t="shared" si="909"/>
        <v>25</v>
      </c>
      <c r="M6594">
        <f t="shared" si="910"/>
        <v>5</v>
      </c>
    </row>
    <row r="6595" spans="1:13" x14ac:dyDescent="0.3">
      <c r="A6595" s="3">
        <f t="shared" si="904"/>
        <v>45939</v>
      </c>
      <c r="B6595" s="11" t="s">
        <v>1250</v>
      </c>
      <c r="C6595" s="50" t="s">
        <v>9312</v>
      </c>
      <c r="E6595" s="90" t="s">
        <v>4720</v>
      </c>
      <c r="G6595" s="2">
        <v>1420</v>
      </c>
      <c r="I6595" s="88">
        <f t="shared" si="908"/>
        <v>14714.36</v>
      </c>
      <c r="K6595" s="62"/>
      <c r="L6595" s="2">
        <f t="shared" si="909"/>
        <v>5.68</v>
      </c>
      <c r="M6595">
        <f t="shared" si="910"/>
        <v>0</v>
      </c>
    </row>
    <row r="6596" spans="1:13" x14ac:dyDescent="0.3">
      <c r="A6596" s="3">
        <f t="shared" si="904"/>
        <v>45939</v>
      </c>
      <c r="C6596" s="50" t="s">
        <v>2857</v>
      </c>
      <c r="E6596" s="90" t="s">
        <v>8332</v>
      </c>
      <c r="H6596" s="2">
        <v>14000</v>
      </c>
      <c r="I6596" s="88">
        <f t="shared" si="908"/>
        <v>714.36000000000058</v>
      </c>
      <c r="K6596" s="62"/>
      <c r="L6596" s="2">
        <f t="shared" si="909"/>
        <v>0</v>
      </c>
      <c r="M6596">
        <f t="shared" si="910"/>
        <v>0</v>
      </c>
    </row>
    <row r="6597" spans="1:13" x14ac:dyDescent="0.3">
      <c r="A6597" s="3">
        <f t="shared" si="904"/>
        <v>45939</v>
      </c>
      <c r="B6597" s="11" t="s">
        <v>1250</v>
      </c>
      <c r="C6597" s="50" t="s">
        <v>4437</v>
      </c>
      <c r="E6597" s="90" t="s">
        <v>4720</v>
      </c>
      <c r="G6597" s="2">
        <v>1900</v>
      </c>
      <c r="I6597" s="88">
        <f t="shared" si="908"/>
        <v>2614.3600000000006</v>
      </c>
      <c r="K6597" s="62"/>
      <c r="L6597" s="2">
        <f t="shared" si="909"/>
        <v>7.6000000000000005</v>
      </c>
      <c r="M6597">
        <f t="shared" si="910"/>
        <v>0</v>
      </c>
    </row>
    <row r="6598" spans="1:13" x14ac:dyDescent="0.3">
      <c r="A6598" s="3">
        <f t="shared" si="904"/>
        <v>45939</v>
      </c>
      <c r="B6598" s="11" t="s">
        <v>9313</v>
      </c>
      <c r="C6598" s="50" t="s">
        <v>9314</v>
      </c>
      <c r="E6598" s="90" t="s">
        <v>4720</v>
      </c>
      <c r="G6598" s="2">
        <v>3500</v>
      </c>
      <c r="I6598" s="88">
        <f t="shared" si="908"/>
        <v>6114.3600000000006</v>
      </c>
      <c r="K6598" s="62"/>
      <c r="L6598" s="2">
        <f t="shared" si="909"/>
        <v>14</v>
      </c>
      <c r="M6598">
        <f t="shared" si="910"/>
        <v>0</v>
      </c>
    </row>
    <row r="6599" spans="1:13" x14ac:dyDescent="0.3">
      <c r="A6599" s="3">
        <f t="shared" si="904"/>
        <v>45939</v>
      </c>
      <c r="B6599" s="11" t="s">
        <v>8929</v>
      </c>
      <c r="C6599" s="50" t="s">
        <v>7613</v>
      </c>
      <c r="E6599" s="90" t="s">
        <v>4720</v>
      </c>
      <c r="G6599" s="2">
        <v>1200</v>
      </c>
      <c r="I6599" s="88">
        <f t="shared" ref="I6599:I6609" si="911">I6598+G6599-H6599</f>
        <v>7314.3600000000006</v>
      </c>
      <c r="K6599" s="62"/>
      <c r="L6599" s="2">
        <f t="shared" ref="L6599:L6609" si="912">IF(E6599="C",0,IF((G6599+H6599)&lt;=5000,(G6599+H6599)*0.004,20)+IF(E6599="P",5,IF(E6599="Y",15,IF(E6599="YY",25))))</f>
        <v>4.8</v>
      </c>
      <c r="M6599">
        <f t="shared" ref="M6599:M6609" si="913">IF(E6599="p",5,0)</f>
        <v>0</v>
      </c>
    </row>
    <row r="6600" spans="1:13" x14ac:dyDescent="0.3">
      <c r="A6600" s="3">
        <f t="shared" si="904"/>
        <v>45939</v>
      </c>
      <c r="B6600" s="11" t="s">
        <v>3420</v>
      </c>
      <c r="C6600" s="50" t="s">
        <v>8602</v>
      </c>
      <c r="E6600" s="90" t="s">
        <v>2088</v>
      </c>
      <c r="G6600" s="2">
        <v>1000</v>
      </c>
      <c r="I6600" s="88">
        <f t="shared" si="911"/>
        <v>8314.36</v>
      </c>
      <c r="K6600" s="62"/>
      <c r="L6600" s="2">
        <f t="shared" si="912"/>
        <v>9</v>
      </c>
      <c r="M6600">
        <f t="shared" si="913"/>
        <v>5</v>
      </c>
    </row>
    <row r="6601" spans="1:13" x14ac:dyDescent="0.3">
      <c r="A6601" s="3">
        <f t="shared" si="904"/>
        <v>45939</v>
      </c>
      <c r="B6601" s="11" t="s">
        <v>7142</v>
      </c>
      <c r="C6601" s="50" t="s">
        <v>7143</v>
      </c>
      <c r="E6601" s="90" t="s">
        <v>4720</v>
      </c>
      <c r="G6601" s="2">
        <v>1500</v>
      </c>
      <c r="I6601" s="88">
        <f t="shared" si="911"/>
        <v>9814.36</v>
      </c>
      <c r="K6601" s="62"/>
      <c r="L6601" s="2">
        <f t="shared" si="912"/>
        <v>6</v>
      </c>
      <c r="M6601">
        <f t="shared" si="913"/>
        <v>0</v>
      </c>
    </row>
    <row r="6602" spans="1:13" x14ac:dyDescent="0.3">
      <c r="A6602" s="3">
        <v>45940</v>
      </c>
      <c r="B6602" s="11" t="s">
        <v>5123</v>
      </c>
      <c r="C6602" s="50" t="s">
        <v>7782</v>
      </c>
      <c r="E6602" s="90" t="s">
        <v>4720</v>
      </c>
      <c r="G6602" s="2">
        <v>9000</v>
      </c>
      <c r="I6602" s="88">
        <f t="shared" si="911"/>
        <v>18814.36</v>
      </c>
      <c r="K6602" s="62"/>
      <c r="L6602" s="2">
        <f t="shared" si="912"/>
        <v>20</v>
      </c>
      <c r="M6602">
        <f t="shared" si="913"/>
        <v>0</v>
      </c>
    </row>
    <row r="6603" spans="1:13" x14ac:dyDescent="0.3">
      <c r="A6603" s="3">
        <f t="shared" si="904"/>
        <v>45940</v>
      </c>
      <c r="B6603" s="11" t="s">
        <v>1472</v>
      </c>
      <c r="C6603" s="50" t="s">
        <v>9315</v>
      </c>
      <c r="D6603" s="50">
        <v>7001029550</v>
      </c>
      <c r="E6603" s="90" t="s">
        <v>4720</v>
      </c>
      <c r="G6603" s="2">
        <v>4500</v>
      </c>
      <c r="I6603" s="88">
        <f t="shared" si="911"/>
        <v>23314.36</v>
      </c>
      <c r="K6603" s="62"/>
      <c r="L6603" s="2">
        <f t="shared" si="912"/>
        <v>18</v>
      </c>
      <c r="M6603">
        <f t="shared" si="913"/>
        <v>0</v>
      </c>
    </row>
    <row r="6604" spans="1:13" x14ac:dyDescent="0.3">
      <c r="A6604" s="3">
        <f t="shared" si="904"/>
        <v>45940</v>
      </c>
      <c r="B6604" s="11" t="s">
        <v>1250</v>
      </c>
      <c r="C6604" s="50" t="s">
        <v>2443</v>
      </c>
      <c r="E6604" s="90" t="s">
        <v>4720</v>
      </c>
      <c r="G6604" s="2">
        <v>1500</v>
      </c>
      <c r="I6604" s="88">
        <f t="shared" si="911"/>
        <v>24814.36</v>
      </c>
      <c r="K6604" s="62"/>
      <c r="L6604" s="2">
        <f t="shared" si="912"/>
        <v>6</v>
      </c>
      <c r="M6604">
        <f t="shared" si="913"/>
        <v>0</v>
      </c>
    </row>
    <row r="6605" spans="1:13" x14ac:dyDescent="0.3">
      <c r="A6605" s="3">
        <f t="shared" si="904"/>
        <v>45940</v>
      </c>
      <c r="B6605" s="11" t="s">
        <v>7547</v>
      </c>
      <c r="C6605" s="50" t="s">
        <v>6685</v>
      </c>
      <c r="E6605" s="90" t="s">
        <v>4720</v>
      </c>
      <c r="G6605" s="2">
        <v>2800</v>
      </c>
      <c r="I6605" s="88">
        <f t="shared" si="911"/>
        <v>27614.36</v>
      </c>
      <c r="K6605" s="62"/>
      <c r="L6605" s="2">
        <f t="shared" si="912"/>
        <v>11.200000000000001</v>
      </c>
      <c r="M6605">
        <f t="shared" si="913"/>
        <v>0</v>
      </c>
    </row>
    <row r="6606" spans="1:13" x14ac:dyDescent="0.3">
      <c r="A6606" s="3">
        <f t="shared" si="904"/>
        <v>45940</v>
      </c>
      <c r="B6606" s="11" t="s">
        <v>7329</v>
      </c>
      <c r="C6606" s="50" t="s">
        <v>8632</v>
      </c>
      <c r="E6606" s="90" t="s">
        <v>4720</v>
      </c>
      <c r="G6606" s="2">
        <v>3800</v>
      </c>
      <c r="I6606" s="88">
        <f t="shared" si="911"/>
        <v>31414.36</v>
      </c>
      <c r="K6606" s="62"/>
      <c r="L6606" s="2">
        <f t="shared" si="912"/>
        <v>15.200000000000001</v>
      </c>
      <c r="M6606">
        <f t="shared" si="913"/>
        <v>0</v>
      </c>
    </row>
    <row r="6607" spans="1:13" x14ac:dyDescent="0.3">
      <c r="A6607" s="3">
        <f t="shared" si="904"/>
        <v>45940</v>
      </c>
      <c r="B6607" s="11" t="s">
        <v>8020</v>
      </c>
      <c r="C6607" s="50" t="s">
        <v>9316</v>
      </c>
      <c r="E6607" s="90" t="s">
        <v>2088</v>
      </c>
      <c r="G6607" s="2">
        <v>2000</v>
      </c>
      <c r="I6607" s="88">
        <f t="shared" si="911"/>
        <v>33414.36</v>
      </c>
      <c r="K6607" s="62"/>
      <c r="L6607" s="2">
        <f t="shared" si="912"/>
        <v>13</v>
      </c>
      <c r="M6607">
        <f t="shared" si="913"/>
        <v>5</v>
      </c>
    </row>
    <row r="6608" spans="1:13" x14ac:dyDescent="0.3">
      <c r="A6608" s="3">
        <f t="shared" si="904"/>
        <v>45940</v>
      </c>
      <c r="B6608" s="11" t="s">
        <v>7259</v>
      </c>
      <c r="C6608" s="50" t="s">
        <v>2892</v>
      </c>
      <c r="E6608" s="90" t="s">
        <v>4720</v>
      </c>
      <c r="G6608" s="2">
        <v>2000</v>
      </c>
      <c r="I6608" s="88">
        <f t="shared" si="911"/>
        <v>35414.36</v>
      </c>
      <c r="K6608" s="62"/>
      <c r="L6608" s="2">
        <f t="shared" si="912"/>
        <v>8</v>
      </c>
      <c r="M6608">
        <f t="shared" si="913"/>
        <v>0</v>
      </c>
    </row>
    <row r="6609" spans="1:13" x14ac:dyDescent="0.3">
      <c r="A6609" s="3">
        <f t="shared" si="904"/>
        <v>45940</v>
      </c>
      <c r="B6609" s="11" t="s">
        <v>9317</v>
      </c>
      <c r="C6609" s="50" t="s">
        <v>8616</v>
      </c>
      <c r="E6609" s="90" t="s">
        <v>4720</v>
      </c>
      <c r="G6609" s="2">
        <v>3000</v>
      </c>
      <c r="I6609" s="88">
        <f t="shared" si="911"/>
        <v>38414.36</v>
      </c>
      <c r="K6609" s="62"/>
      <c r="L6609" s="2">
        <f t="shared" si="912"/>
        <v>12</v>
      </c>
      <c r="M6609">
        <f t="shared" si="913"/>
        <v>0</v>
      </c>
    </row>
    <row r="6610" spans="1:13" x14ac:dyDescent="0.3">
      <c r="A6610" s="3">
        <f t="shared" si="904"/>
        <v>45940</v>
      </c>
      <c r="B6610" s="11" t="s">
        <v>5604</v>
      </c>
      <c r="C6610" s="50" t="s">
        <v>5605</v>
      </c>
      <c r="E6610" s="90" t="s">
        <v>4720</v>
      </c>
      <c r="G6610" s="2">
        <v>1000</v>
      </c>
      <c r="I6610" s="88">
        <f t="shared" ref="I6610:I6624" si="914">I6609+G6610-H6610</f>
        <v>39414.36</v>
      </c>
      <c r="K6610" s="62"/>
      <c r="L6610" s="2">
        <f t="shared" ref="L6610:L6624" si="915">IF(E6610="C",0,IF((G6610+H6610)&lt;=5000,(G6610+H6610)*0.004,20)+IF(E6610="P",5,IF(E6610="Y",15,IF(E6610="YY",25))))</f>
        <v>4</v>
      </c>
      <c r="M6610">
        <f t="shared" ref="M6610:M6624" si="916">IF(E6610="p",5,0)</f>
        <v>0</v>
      </c>
    </row>
    <row r="6611" spans="1:13" x14ac:dyDescent="0.3">
      <c r="A6611" s="3">
        <f t="shared" si="904"/>
        <v>45940</v>
      </c>
      <c r="C6611" s="50" t="s">
        <v>2857</v>
      </c>
      <c r="E6611" s="90" t="s">
        <v>8332</v>
      </c>
      <c r="H6611" s="2">
        <v>35000</v>
      </c>
      <c r="I6611" s="88">
        <f t="shared" si="914"/>
        <v>4414.3600000000006</v>
      </c>
      <c r="K6611" s="62"/>
      <c r="L6611" s="2">
        <f t="shared" si="915"/>
        <v>0</v>
      </c>
      <c r="M6611">
        <f t="shared" si="916"/>
        <v>0</v>
      </c>
    </row>
    <row r="6612" spans="1:13" x14ac:dyDescent="0.3">
      <c r="A6612" s="3">
        <f t="shared" si="904"/>
        <v>45940</v>
      </c>
      <c r="B6612" s="11" t="s">
        <v>2241</v>
      </c>
      <c r="C6612" s="50" t="s">
        <v>7727</v>
      </c>
      <c r="E6612" s="90" t="s">
        <v>4720</v>
      </c>
      <c r="G6612" s="2">
        <v>2000</v>
      </c>
      <c r="I6612" s="88">
        <f t="shared" si="914"/>
        <v>6414.3600000000006</v>
      </c>
      <c r="K6612" s="62"/>
      <c r="L6612" s="2">
        <f t="shared" si="915"/>
        <v>8</v>
      </c>
      <c r="M6612">
        <f t="shared" si="916"/>
        <v>0</v>
      </c>
    </row>
    <row r="6613" spans="1:13" x14ac:dyDescent="0.3">
      <c r="A6613" s="3">
        <f t="shared" si="904"/>
        <v>45940</v>
      </c>
      <c r="B6613" s="11" t="s">
        <v>7800</v>
      </c>
      <c r="C6613" s="50" t="s">
        <v>7610</v>
      </c>
      <c r="E6613" s="90" t="s">
        <v>7772</v>
      </c>
      <c r="G6613" s="2">
        <v>3000</v>
      </c>
      <c r="I6613" s="88">
        <f t="shared" si="914"/>
        <v>9414.36</v>
      </c>
      <c r="K6613" s="62"/>
      <c r="L6613" s="2">
        <f t="shared" si="915"/>
        <v>17</v>
      </c>
      <c r="M6613">
        <f t="shared" si="916"/>
        <v>5</v>
      </c>
    </row>
    <row r="6614" spans="1:13" x14ac:dyDescent="0.3">
      <c r="A6614" s="3">
        <v>45941</v>
      </c>
      <c r="B6614" s="11" t="s">
        <v>7279</v>
      </c>
      <c r="C6614" s="50" t="s">
        <v>8601</v>
      </c>
      <c r="E6614" s="90" t="s">
        <v>4720</v>
      </c>
      <c r="G6614" s="2">
        <v>0</v>
      </c>
      <c r="H6614" s="2">
        <v>0</v>
      </c>
      <c r="I6614" s="88">
        <f t="shared" si="914"/>
        <v>9414.36</v>
      </c>
      <c r="K6614" s="62"/>
      <c r="L6614" s="2">
        <f t="shared" si="915"/>
        <v>0</v>
      </c>
      <c r="M6614">
        <f t="shared" si="916"/>
        <v>0</v>
      </c>
    </row>
    <row r="6615" spans="1:13" x14ac:dyDescent="0.3">
      <c r="A6615" s="3">
        <f t="shared" si="904"/>
        <v>45941</v>
      </c>
      <c r="B6615" s="11" t="s">
        <v>9318</v>
      </c>
      <c r="C6615" s="50" t="s">
        <v>9319</v>
      </c>
      <c r="E6615" s="90" t="s">
        <v>2088</v>
      </c>
      <c r="G6615" s="2">
        <v>0</v>
      </c>
      <c r="H6615" s="2">
        <v>0</v>
      </c>
      <c r="I6615" s="88">
        <f t="shared" si="914"/>
        <v>9414.36</v>
      </c>
      <c r="K6615" s="62"/>
      <c r="L6615" s="2">
        <f t="shared" si="915"/>
        <v>5</v>
      </c>
      <c r="M6615">
        <f t="shared" si="916"/>
        <v>5</v>
      </c>
    </row>
    <row r="6616" spans="1:13" x14ac:dyDescent="0.3">
      <c r="A6616" s="3">
        <f t="shared" si="904"/>
        <v>45941</v>
      </c>
      <c r="B6616" s="11" t="s">
        <v>9318</v>
      </c>
      <c r="C6616" s="50" t="s">
        <v>9319</v>
      </c>
      <c r="E6616" s="90" t="s">
        <v>2088</v>
      </c>
      <c r="G6616" s="2">
        <v>2000</v>
      </c>
      <c r="I6616" s="88">
        <f t="shared" si="914"/>
        <v>11414.36</v>
      </c>
      <c r="K6616" s="62"/>
      <c r="L6616" s="2">
        <f t="shared" si="915"/>
        <v>13</v>
      </c>
      <c r="M6616">
        <f t="shared" si="916"/>
        <v>5</v>
      </c>
    </row>
    <row r="6617" spans="1:13" x14ac:dyDescent="0.3">
      <c r="A6617" s="3">
        <f t="shared" si="904"/>
        <v>45941</v>
      </c>
      <c r="B6617" s="11" t="s">
        <v>5042</v>
      </c>
      <c r="C6617" s="50" t="s">
        <v>6176</v>
      </c>
      <c r="E6617" s="90" t="s">
        <v>2088</v>
      </c>
      <c r="G6617" s="2">
        <v>7000</v>
      </c>
      <c r="I6617" s="88">
        <f t="shared" si="914"/>
        <v>18414.36</v>
      </c>
      <c r="K6617" s="62"/>
      <c r="L6617" s="2">
        <f t="shared" si="915"/>
        <v>25</v>
      </c>
      <c r="M6617">
        <f t="shared" si="916"/>
        <v>5</v>
      </c>
    </row>
    <row r="6618" spans="1:13" x14ac:dyDescent="0.3">
      <c r="A6618" s="3">
        <f t="shared" si="904"/>
        <v>45941</v>
      </c>
      <c r="B6618" s="11" t="s">
        <v>6233</v>
      </c>
      <c r="C6618" s="50" t="s">
        <v>8971</v>
      </c>
      <c r="E6618" s="90" t="s">
        <v>2088</v>
      </c>
      <c r="G6618" s="2">
        <v>0</v>
      </c>
      <c r="H6618" s="2">
        <v>0</v>
      </c>
      <c r="I6618" s="88">
        <f t="shared" si="914"/>
        <v>18414.36</v>
      </c>
      <c r="K6618" s="62"/>
      <c r="L6618" s="2">
        <f t="shared" si="915"/>
        <v>5</v>
      </c>
      <c r="M6618">
        <f t="shared" si="916"/>
        <v>5</v>
      </c>
    </row>
    <row r="6619" spans="1:13" x14ac:dyDescent="0.3">
      <c r="A6619" s="3">
        <f t="shared" si="904"/>
        <v>45941</v>
      </c>
      <c r="B6619" s="11" t="s">
        <v>6233</v>
      </c>
      <c r="C6619" s="50" t="s">
        <v>8971</v>
      </c>
      <c r="D6619" s="71">
        <v>6203185767</v>
      </c>
      <c r="E6619" s="90" t="s">
        <v>2088</v>
      </c>
      <c r="G6619" s="2">
        <v>2500</v>
      </c>
      <c r="I6619" s="88">
        <f t="shared" si="914"/>
        <v>20914.36</v>
      </c>
      <c r="K6619" s="62"/>
      <c r="L6619" s="2">
        <f t="shared" si="915"/>
        <v>15</v>
      </c>
      <c r="M6619">
        <f t="shared" si="916"/>
        <v>5</v>
      </c>
    </row>
    <row r="6620" spans="1:13" x14ac:dyDescent="0.3">
      <c r="A6620" s="3">
        <f t="shared" si="904"/>
        <v>45941</v>
      </c>
      <c r="B6620" s="11" t="s">
        <v>6549</v>
      </c>
      <c r="C6620" s="50" t="s">
        <v>7990</v>
      </c>
      <c r="E6620" s="90" t="s">
        <v>2088</v>
      </c>
      <c r="G6620" s="2">
        <v>0</v>
      </c>
      <c r="H6620" s="2">
        <v>0</v>
      </c>
      <c r="I6620" s="88">
        <f t="shared" si="914"/>
        <v>20914.36</v>
      </c>
      <c r="K6620" s="62"/>
      <c r="L6620" s="2">
        <f t="shared" si="915"/>
        <v>5</v>
      </c>
      <c r="M6620">
        <f t="shared" si="916"/>
        <v>5</v>
      </c>
    </row>
    <row r="6621" spans="1:13" x14ac:dyDescent="0.3">
      <c r="A6621" s="3">
        <f t="shared" si="904"/>
        <v>45941</v>
      </c>
      <c r="B6621" s="11" t="s">
        <v>1250</v>
      </c>
      <c r="C6621" s="50" t="s">
        <v>2443</v>
      </c>
      <c r="E6621" s="90" t="s">
        <v>4720</v>
      </c>
      <c r="G6621" s="2">
        <v>1600</v>
      </c>
      <c r="I6621" s="88">
        <f t="shared" si="914"/>
        <v>22514.36</v>
      </c>
      <c r="K6621" s="62"/>
      <c r="L6621" s="2">
        <f t="shared" si="915"/>
        <v>6.4</v>
      </c>
      <c r="M6621">
        <f t="shared" si="916"/>
        <v>0</v>
      </c>
    </row>
    <row r="6622" spans="1:13" x14ac:dyDescent="0.3">
      <c r="A6622" s="3">
        <f t="shared" ref="A6622:A6685" si="917">A6621</f>
        <v>45941</v>
      </c>
      <c r="B6622" s="11" t="s">
        <v>6260</v>
      </c>
      <c r="C6622" s="50" t="s">
        <v>7117</v>
      </c>
      <c r="E6622" s="90" t="s">
        <v>4720</v>
      </c>
      <c r="H6622" s="2">
        <v>3500</v>
      </c>
      <c r="I6622" s="88">
        <f t="shared" si="914"/>
        <v>19014.36</v>
      </c>
      <c r="K6622" s="62"/>
      <c r="L6622" s="2">
        <f t="shared" si="915"/>
        <v>14</v>
      </c>
      <c r="M6622">
        <f t="shared" si="916"/>
        <v>0</v>
      </c>
    </row>
    <row r="6623" spans="1:13" x14ac:dyDescent="0.3">
      <c r="A6623" s="3">
        <f t="shared" si="917"/>
        <v>45941</v>
      </c>
      <c r="B6623" s="11" t="s">
        <v>7649</v>
      </c>
      <c r="C6623" s="50" t="s">
        <v>9298</v>
      </c>
      <c r="E6623" s="90" t="s">
        <v>4720</v>
      </c>
      <c r="H6623" s="2">
        <v>14000</v>
      </c>
      <c r="I6623" s="88">
        <f t="shared" si="914"/>
        <v>5014.3600000000006</v>
      </c>
      <c r="K6623" s="62"/>
      <c r="L6623" s="2">
        <f t="shared" si="915"/>
        <v>20</v>
      </c>
      <c r="M6623">
        <f t="shared" si="916"/>
        <v>0</v>
      </c>
    </row>
    <row r="6624" spans="1:13" x14ac:dyDescent="0.3">
      <c r="A6624" s="3">
        <f t="shared" si="917"/>
        <v>45941</v>
      </c>
      <c r="B6624" s="11" t="s">
        <v>9321</v>
      </c>
      <c r="E6624" s="90" t="s">
        <v>14</v>
      </c>
      <c r="H6624" s="2">
        <v>500</v>
      </c>
      <c r="I6624" s="88">
        <f t="shared" si="914"/>
        <v>4514.3600000000006</v>
      </c>
      <c r="K6624" s="62"/>
      <c r="L6624" s="2">
        <f t="shared" si="915"/>
        <v>17</v>
      </c>
      <c r="M6624">
        <f t="shared" si="916"/>
        <v>0</v>
      </c>
    </row>
    <row r="6625" spans="1:13" x14ac:dyDescent="0.3">
      <c r="A6625" s="3">
        <f t="shared" si="917"/>
        <v>45941</v>
      </c>
      <c r="B6625" s="11" t="s">
        <v>3524</v>
      </c>
      <c r="C6625" s="50" t="s">
        <v>9325</v>
      </c>
      <c r="E6625" s="90" t="s">
        <v>4720</v>
      </c>
      <c r="H6625" s="2">
        <v>3000</v>
      </c>
      <c r="I6625" s="88">
        <f t="shared" ref="I6625:I6639" si="918">I6624+G6625-H6625</f>
        <v>1514.3600000000006</v>
      </c>
      <c r="K6625" s="62"/>
      <c r="L6625" s="2">
        <f t="shared" ref="L6625:L6639" si="919">IF(E6625="C",0,IF((G6625+H6625)&lt;=5000,(G6625+H6625)*0.004,20)+IF(E6625="P",5,IF(E6625="Y",15,IF(E6625="YY",25))))</f>
        <v>12</v>
      </c>
      <c r="M6625">
        <f t="shared" ref="M6625:M6639" si="920">IF(E6625="p",5,0)</f>
        <v>0</v>
      </c>
    </row>
    <row r="6626" spans="1:13" x14ac:dyDescent="0.3">
      <c r="A6626" s="3">
        <f t="shared" si="917"/>
        <v>45941</v>
      </c>
      <c r="B6626" s="11" t="s">
        <v>7476</v>
      </c>
      <c r="C6626" s="50" t="s">
        <v>7475</v>
      </c>
      <c r="E6626" s="90" t="s">
        <v>2088</v>
      </c>
      <c r="G6626" s="2">
        <v>0</v>
      </c>
      <c r="H6626" s="2">
        <v>0</v>
      </c>
      <c r="I6626" s="88">
        <f t="shared" si="918"/>
        <v>1514.3600000000006</v>
      </c>
      <c r="K6626" s="62"/>
      <c r="L6626" s="2">
        <f t="shared" si="919"/>
        <v>5</v>
      </c>
      <c r="M6626">
        <f t="shared" si="920"/>
        <v>5</v>
      </c>
    </row>
    <row r="6627" spans="1:13" x14ac:dyDescent="0.3">
      <c r="A6627" s="3">
        <f t="shared" si="917"/>
        <v>45941</v>
      </c>
      <c r="B6627" s="11" t="s">
        <v>7476</v>
      </c>
      <c r="C6627" s="50" t="s">
        <v>7475</v>
      </c>
      <c r="E6627" s="90" t="s">
        <v>2088</v>
      </c>
      <c r="G6627" s="2">
        <v>2500</v>
      </c>
      <c r="I6627" s="88">
        <f t="shared" si="918"/>
        <v>4014.3600000000006</v>
      </c>
      <c r="K6627" s="62"/>
      <c r="L6627" s="2">
        <f t="shared" si="919"/>
        <v>15</v>
      </c>
      <c r="M6627">
        <f t="shared" si="920"/>
        <v>5</v>
      </c>
    </row>
    <row r="6628" spans="1:13" x14ac:dyDescent="0.3">
      <c r="A6628" s="3">
        <f t="shared" si="917"/>
        <v>45941</v>
      </c>
      <c r="B6628" s="11" t="s">
        <v>1250</v>
      </c>
      <c r="C6628" s="50" t="s">
        <v>6288</v>
      </c>
      <c r="E6628" s="90" t="s">
        <v>4720</v>
      </c>
      <c r="G6628" s="2">
        <v>1000</v>
      </c>
      <c r="I6628" s="88">
        <f t="shared" si="918"/>
        <v>5014.3600000000006</v>
      </c>
      <c r="K6628" s="62"/>
      <c r="L6628" s="2">
        <f t="shared" si="919"/>
        <v>4</v>
      </c>
      <c r="M6628">
        <f t="shared" si="920"/>
        <v>0</v>
      </c>
    </row>
    <row r="6629" spans="1:13" x14ac:dyDescent="0.3">
      <c r="A6629" s="3">
        <f t="shared" si="917"/>
        <v>45941</v>
      </c>
      <c r="B6629" s="11" t="s">
        <v>1250</v>
      </c>
      <c r="C6629" s="50" t="s">
        <v>6482</v>
      </c>
      <c r="E6629" s="90" t="s">
        <v>4720</v>
      </c>
      <c r="G6629" s="2">
        <v>1500</v>
      </c>
      <c r="I6629" s="88">
        <f t="shared" si="918"/>
        <v>6514.3600000000006</v>
      </c>
      <c r="K6629" s="62"/>
      <c r="L6629" s="2">
        <f t="shared" si="919"/>
        <v>6</v>
      </c>
      <c r="M6629">
        <f t="shared" si="920"/>
        <v>0</v>
      </c>
    </row>
    <row r="6630" spans="1:13" x14ac:dyDescent="0.3">
      <c r="A6630" s="3">
        <f t="shared" si="917"/>
        <v>45941</v>
      </c>
      <c r="B6630" s="11" t="s">
        <v>3232</v>
      </c>
      <c r="C6630" s="50" t="s">
        <v>6482</v>
      </c>
      <c r="E6630" s="90" t="s">
        <v>4720</v>
      </c>
      <c r="G6630" s="2">
        <v>500</v>
      </c>
      <c r="I6630" s="88">
        <f t="shared" si="918"/>
        <v>7014.3600000000006</v>
      </c>
      <c r="K6630" s="62"/>
      <c r="L6630" s="2">
        <f t="shared" si="919"/>
        <v>2</v>
      </c>
      <c r="M6630">
        <f t="shared" si="920"/>
        <v>0</v>
      </c>
    </row>
    <row r="6631" spans="1:13" x14ac:dyDescent="0.3">
      <c r="A6631" s="3">
        <v>45942</v>
      </c>
      <c r="B6631" s="11" t="s">
        <v>1160</v>
      </c>
      <c r="C6631" s="50" t="s">
        <v>9326</v>
      </c>
      <c r="E6631" s="90" t="s">
        <v>4720</v>
      </c>
      <c r="G6631" s="2">
        <v>3000</v>
      </c>
      <c r="I6631" s="88">
        <f t="shared" si="918"/>
        <v>10014.36</v>
      </c>
      <c r="K6631" s="62"/>
      <c r="L6631" s="2">
        <f t="shared" si="919"/>
        <v>12</v>
      </c>
      <c r="M6631">
        <f t="shared" si="920"/>
        <v>0</v>
      </c>
    </row>
    <row r="6632" spans="1:13" x14ac:dyDescent="0.3">
      <c r="A6632" s="3">
        <f t="shared" si="917"/>
        <v>45942</v>
      </c>
      <c r="B6632" s="11" t="s">
        <v>1250</v>
      </c>
      <c r="C6632" s="50" t="s">
        <v>9326</v>
      </c>
      <c r="E6632" s="90" t="s">
        <v>4720</v>
      </c>
      <c r="G6632" s="2">
        <v>2500</v>
      </c>
      <c r="I6632" s="88">
        <f t="shared" si="918"/>
        <v>12514.36</v>
      </c>
      <c r="K6632" s="62"/>
      <c r="L6632" s="2">
        <f t="shared" si="919"/>
        <v>10</v>
      </c>
      <c r="M6632">
        <f t="shared" si="920"/>
        <v>0</v>
      </c>
    </row>
    <row r="6633" spans="1:13" x14ac:dyDescent="0.3">
      <c r="A6633" s="3">
        <f t="shared" si="917"/>
        <v>45942</v>
      </c>
      <c r="B6633" s="11" t="s">
        <v>6892</v>
      </c>
      <c r="C6633" s="50" t="s">
        <v>6668</v>
      </c>
      <c r="E6633" s="90" t="s">
        <v>4720</v>
      </c>
      <c r="G6633" s="2">
        <v>2500</v>
      </c>
      <c r="I6633" s="88">
        <f t="shared" si="918"/>
        <v>15014.36</v>
      </c>
      <c r="K6633" s="62"/>
      <c r="L6633" s="2">
        <f t="shared" si="919"/>
        <v>10</v>
      </c>
      <c r="M6633">
        <f t="shared" si="920"/>
        <v>0</v>
      </c>
    </row>
    <row r="6634" spans="1:13" x14ac:dyDescent="0.3">
      <c r="A6634" s="3">
        <f t="shared" si="917"/>
        <v>45942</v>
      </c>
      <c r="B6634" s="11" t="s">
        <v>6929</v>
      </c>
      <c r="C6634" s="50" t="s">
        <v>251</v>
      </c>
      <c r="E6634" s="90" t="s">
        <v>2088</v>
      </c>
      <c r="G6634" s="2">
        <v>2500</v>
      </c>
      <c r="I6634" s="88">
        <f t="shared" si="918"/>
        <v>17514.36</v>
      </c>
      <c r="K6634" s="62"/>
      <c r="L6634" s="2">
        <f t="shared" si="919"/>
        <v>15</v>
      </c>
      <c r="M6634">
        <f t="shared" si="920"/>
        <v>5</v>
      </c>
    </row>
    <row r="6635" spans="1:13" x14ac:dyDescent="0.3">
      <c r="A6635" s="3">
        <v>45943</v>
      </c>
      <c r="B6635" s="11" t="s">
        <v>7264</v>
      </c>
      <c r="C6635" s="50" t="s">
        <v>8064</v>
      </c>
      <c r="E6635" s="90" t="s">
        <v>2088</v>
      </c>
      <c r="G6635" s="2">
        <v>500</v>
      </c>
      <c r="I6635" s="88">
        <f t="shared" si="918"/>
        <v>18014.36</v>
      </c>
      <c r="K6635" s="62"/>
      <c r="L6635" s="2">
        <f t="shared" si="919"/>
        <v>7</v>
      </c>
      <c r="M6635">
        <f t="shared" si="920"/>
        <v>5</v>
      </c>
    </row>
    <row r="6636" spans="1:13" x14ac:dyDescent="0.3">
      <c r="A6636" s="3">
        <f t="shared" si="917"/>
        <v>45943</v>
      </c>
      <c r="B6636" s="11" t="s">
        <v>1472</v>
      </c>
      <c r="C6636" s="50" t="s">
        <v>8082</v>
      </c>
      <c r="E6636" s="90" t="s">
        <v>4720</v>
      </c>
      <c r="G6636" s="2">
        <v>1000</v>
      </c>
      <c r="I6636" s="88">
        <f t="shared" si="918"/>
        <v>19014.36</v>
      </c>
      <c r="K6636" s="62"/>
      <c r="L6636" s="2">
        <f t="shared" si="919"/>
        <v>4</v>
      </c>
      <c r="M6636">
        <f t="shared" si="920"/>
        <v>0</v>
      </c>
    </row>
    <row r="6637" spans="1:13" x14ac:dyDescent="0.3">
      <c r="A6637" s="3">
        <f t="shared" si="917"/>
        <v>45943</v>
      </c>
      <c r="B6637" s="11" t="s">
        <v>6940</v>
      </c>
      <c r="C6637" s="50" t="s">
        <v>7470</v>
      </c>
      <c r="E6637" s="90" t="s">
        <v>2088</v>
      </c>
      <c r="G6637" s="2">
        <v>0</v>
      </c>
      <c r="H6637" s="2">
        <v>0</v>
      </c>
      <c r="I6637" s="88">
        <f t="shared" si="918"/>
        <v>19014.36</v>
      </c>
      <c r="K6637" s="62"/>
      <c r="L6637" s="2">
        <f t="shared" si="919"/>
        <v>5</v>
      </c>
      <c r="M6637">
        <f t="shared" si="920"/>
        <v>5</v>
      </c>
    </row>
    <row r="6638" spans="1:13" x14ac:dyDescent="0.3">
      <c r="A6638" s="3">
        <f t="shared" si="917"/>
        <v>45943</v>
      </c>
      <c r="B6638" s="11" t="s">
        <v>6940</v>
      </c>
      <c r="C6638" s="50" t="s">
        <v>7470</v>
      </c>
      <c r="E6638" s="90" t="s">
        <v>2088</v>
      </c>
      <c r="G6638" s="2">
        <v>2500</v>
      </c>
      <c r="I6638" s="88">
        <f t="shared" si="918"/>
        <v>21514.36</v>
      </c>
      <c r="K6638" s="62"/>
      <c r="L6638" s="2">
        <f t="shared" si="919"/>
        <v>15</v>
      </c>
      <c r="M6638">
        <f t="shared" si="920"/>
        <v>5</v>
      </c>
    </row>
    <row r="6639" spans="1:13" x14ac:dyDescent="0.3">
      <c r="A6639" s="3">
        <f t="shared" si="917"/>
        <v>45943</v>
      </c>
      <c r="B6639" s="11" t="s">
        <v>9327</v>
      </c>
      <c r="C6639" s="50" t="s">
        <v>9328</v>
      </c>
      <c r="E6639" s="90" t="s">
        <v>4720</v>
      </c>
      <c r="G6639" s="2">
        <v>990</v>
      </c>
      <c r="I6639" s="88">
        <f t="shared" si="918"/>
        <v>22504.36</v>
      </c>
      <c r="K6639" s="62"/>
      <c r="L6639" s="2">
        <f t="shared" si="919"/>
        <v>3.96</v>
      </c>
      <c r="M6639">
        <f t="shared" si="920"/>
        <v>0</v>
      </c>
    </row>
    <row r="6640" spans="1:13" x14ac:dyDescent="0.3">
      <c r="A6640" s="3">
        <f t="shared" si="917"/>
        <v>45943</v>
      </c>
      <c r="B6640" s="11" t="s">
        <v>6260</v>
      </c>
      <c r="C6640" s="50" t="s">
        <v>7117</v>
      </c>
      <c r="E6640" s="90" t="s">
        <v>4720</v>
      </c>
      <c r="H6640" s="2">
        <v>2000</v>
      </c>
      <c r="I6640" s="88">
        <f t="shared" ref="I6640:I6651" si="921">I6639+G6640-H6640</f>
        <v>20504.36</v>
      </c>
      <c r="K6640" s="62"/>
      <c r="L6640" s="2">
        <f t="shared" ref="L6640:L6651" si="922">IF(E6640="C",0,IF((G6640+H6640)&lt;=5000,(G6640+H6640)*0.004,20)+IF(E6640="P",5,IF(E6640="Y",15,IF(E6640="YY",25))))</f>
        <v>8</v>
      </c>
      <c r="M6640">
        <f t="shared" ref="M6640:M6651" si="923">IF(E6640="p",5,0)</f>
        <v>0</v>
      </c>
    </row>
    <row r="6641" spans="1:13" x14ac:dyDescent="0.3">
      <c r="A6641" s="3">
        <f t="shared" si="917"/>
        <v>45943</v>
      </c>
      <c r="C6641" s="50" t="s">
        <v>2887</v>
      </c>
      <c r="E6641" s="90" t="s">
        <v>8332</v>
      </c>
      <c r="G6641" s="2">
        <v>9500</v>
      </c>
      <c r="I6641" s="88">
        <f t="shared" si="921"/>
        <v>30004.36</v>
      </c>
      <c r="K6641" s="62"/>
      <c r="L6641" s="2">
        <f t="shared" si="922"/>
        <v>0</v>
      </c>
      <c r="M6641">
        <f t="shared" si="923"/>
        <v>0</v>
      </c>
    </row>
    <row r="6642" spans="1:13" x14ac:dyDescent="0.3">
      <c r="A6642" s="3">
        <v>45944</v>
      </c>
      <c r="C6642" s="50" t="s">
        <v>2857</v>
      </c>
      <c r="E6642" s="90" t="s">
        <v>8332</v>
      </c>
      <c r="H6642" s="2">
        <v>30000</v>
      </c>
      <c r="I6642" s="88">
        <f t="shared" si="921"/>
        <v>4.3600000000005821</v>
      </c>
      <c r="K6642" s="62"/>
      <c r="L6642" s="2">
        <f t="shared" si="922"/>
        <v>0</v>
      </c>
      <c r="M6642">
        <f t="shared" si="923"/>
        <v>0</v>
      </c>
    </row>
    <row r="6643" spans="1:13" x14ac:dyDescent="0.3">
      <c r="A6643" s="3">
        <f t="shared" si="917"/>
        <v>45944</v>
      </c>
      <c r="B6643" s="11" t="s">
        <v>3289</v>
      </c>
      <c r="C6643" s="50" t="s">
        <v>9329</v>
      </c>
      <c r="E6643" s="90" t="s">
        <v>4720</v>
      </c>
      <c r="G6643" s="2">
        <v>500</v>
      </c>
      <c r="I6643" s="88">
        <f t="shared" si="921"/>
        <v>504.36000000000058</v>
      </c>
      <c r="K6643" s="62"/>
      <c r="L6643" s="2">
        <f t="shared" si="922"/>
        <v>2</v>
      </c>
      <c r="M6643">
        <f t="shared" si="923"/>
        <v>0</v>
      </c>
    </row>
    <row r="6644" spans="1:13" x14ac:dyDescent="0.3">
      <c r="A6644" s="3">
        <f t="shared" si="917"/>
        <v>45944</v>
      </c>
      <c r="B6644" s="11" t="s">
        <v>1160</v>
      </c>
      <c r="C6644" s="50" t="s">
        <v>3513</v>
      </c>
      <c r="E6644" s="90" t="s">
        <v>4720</v>
      </c>
      <c r="G6644" s="2">
        <v>1900</v>
      </c>
      <c r="I6644" s="88">
        <f t="shared" si="921"/>
        <v>2404.3600000000006</v>
      </c>
      <c r="K6644" s="62"/>
      <c r="L6644" s="2">
        <f t="shared" si="922"/>
        <v>7.6000000000000005</v>
      </c>
      <c r="M6644">
        <f t="shared" si="923"/>
        <v>0</v>
      </c>
    </row>
    <row r="6645" spans="1:13" x14ac:dyDescent="0.3">
      <c r="A6645" s="3">
        <f t="shared" si="917"/>
        <v>45944</v>
      </c>
      <c r="B6645" s="11" t="s">
        <v>6867</v>
      </c>
      <c r="C6645" s="50" t="s">
        <v>7317</v>
      </c>
      <c r="E6645" s="90" t="s">
        <v>2088</v>
      </c>
      <c r="G6645" s="2">
        <v>1500</v>
      </c>
      <c r="I6645" s="88">
        <f t="shared" si="921"/>
        <v>3904.3600000000006</v>
      </c>
      <c r="K6645" s="62"/>
      <c r="L6645" s="2">
        <f t="shared" si="922"/>
        <v>11</v>
      </c>
      <c r="M6645">
        <f t="shared" si="923"/>
        <v>5</v>
      </c>
    </row>
    <row r="6646" spans="1:13" x14ac:dyDescent="0.3">
      <c r="A6646" s="3">
        <f t="shared" si="917"/>
        <v>45944</v>
      </c>
      <c r="B6646" s="11" t="s">
        <v>2416</v>
      </c>
      <c r="C6646" s="50" t="s">
        <v>9330</v>
      </c>
      <c r="E6646" s="90" t="s">
        <v>4720</v>
      </c>
      <c r="G6646" s="2">
        <v>2550</v>
      </c>
      <c r="I6646" s="88">
        <f t="shared" si="921"/>
        <v>6454.3600000000006</v>
      </c>
      <c r="K6646" s="62"/>
      <c r="L6646" s="2">
        <f t="shared" si="922"/>
        <v>10.200000000000001</v>
      </c>
      <c r="M6646">
        <f t="shared" si="923"/>
        <v>0</v>
      </c>
    </row>
    <row r="6647" spans="1:13" x14ac:dyDescent="0.3">
      <c r="A6647" s="3">
        <f t="shared" si="917"/>
        <v>45944</v>
      </c>
      <c r="B6647" s="11" t="s">
        <v>9334</v>
      </c>
      <c r="C6647" s="50" t="s">
        <v>9338</v>
      </c>
      <c r="E6647" s="90" t="s">
        <v>8557</v>
      </c>
      <c r="H6647" s="2">
        <v>2000</v>
      </c>
      <c r="I6647" s="88">
        <f t="shared" si="921"/>
        <v>4454.3600000000006</v>
      </c>
      <c r="K6647" s="62"/>
      <c r="L6647" s="2">
        <f t="shared" si="922"/>
        <v>33</v>
      </c>
      <c r="M6647">
        <f t="shared" si="923"/>
        <v>0</v>
      </c>
    </row>
    <row r="6648" spans="1:13" x14ac:dyDescent="0.3">
      <c r="A6648" s="3">
        <f t="shared" si="917"/>
        <v>45944</v>
      </c>
      <c r="B6648" s="11" t="s">
        <v>9317</v>
      </c>
      <c r="C6648" s="50" t="s">
        <v>9335</v>
      </c>
      <c r="E6648" s="90" t="s">
        <v>4720</v>
      </c>
      <c r="G6648" s="2">
        <v>1800</v>
      </c>
      <c r="I6648" s="88">
        <f t="shared" si="921"/>
        <v>6254.3600000000006</v>
      </c>
      <c r="K6648" s="62"/>
      <c r="L6648" s="2">
        <f t="shared" si="922"/>
        <v>7.2</v>
      </c>
      <c r="M6648">
        <f t="shared" si="923"/>
        <v>0</v>
      </c>
    </row>
    <row r="6649" spans="1:13" x14ac:dyDescent="0.3">
      <c r="A6649" s="3">
        <f t="shared" si="917"/>
        <v>45944</v>
      </c>
      <c r="B6649" s="11" t="s">
        <v>9333</v>
      </c>
      <c r="C6649" s="50" t="s">
        <v>9337</v>
      </c>
      <c r="E6649" s="90" t="s">
        <v>14</v>
      </c>
      <c r="H6649" s="2">
        <v>500</v>
      </c>
      <c r="I6649" s="88">
        <f t="shared" si="921"/>
        <v>5754.3600000000006</v>
      </c>
      <c r="K6649" s="62"/>
      <c r="L6649" s="2">
        <f t="shared" si="922"/>
        <v>17</v>
      </c>
      <c r="M6649">
        <f t="shared" si="923"/>
        <v>0</v>
      </c>
    </row>
    <row r="6650" spans="1:13" x14ac:dyDescent="0.3">
      <c r="A6650" s="3">
        <f t="shared" si="917"/>
        <v>45944</v>
      </c>
      <c r="B6650" s="11" t="s">
        <v>2143</v>
      </c>
      <c r="C6650" s="50" t="s">
        <v>1279</v>
      </c>
      <c r="E6650" s="90" t="s">
        <v>4720</v>
      </c>
      <c r="H6650" s="2">
        <v>5000</v>
      </c>
      <c r="I6650" s="88">
        <f t="shared" si="921"/>
        <v>754.36000000000058</v>
      </c>
      <c r="K6650" s="62"/>
      <c r="L6650" s="2">
        <f t="shared" si="922"/>
        <v>20</v>
      </c>
      <c r="M6650">
        <f t="shared" si="923"/>
        <v>0</v>
      </c>
    </row>
    <row r="6651" spans="1:13" x14ac:dyDescent="0.3">
      <c r="A6651" s="3">
        <f t="shared" si="917"/>
        <v>45944</v>
      </c>
      <c r="B6651" s="11" t="s">
        <v>1170</v>
      </c>
      <c r="C6651" s="50" t="s">
        <v>7773</v>
      </c>
      <c r="D6651" s="50">
        <v>8406934598</v>
      </c>
      <c r="E6651" s="90" t="s">
        <v>4720</v>
      </c>
      <c r="G6651" s="2">
        <v>3000</v>
      </c>
      <c r="I6651" s="88">
        <f t="shared" si="921"/>
        <v>3754.3600000000006</v>
      </c>
      <c r="K6651" s="62"/>
      <c r="L6651" s="2">
        <f t="shared" si="922"/>
        <v>12</v>
      </c>
      <c r="M6651">
        <f t="shared" si="923"/>
        <v>0</v>
      </c>
    </row>
    <row r="6652" spans="1:13" x14ac:dyDescent="0.3">
      <c r="A6652" s="3">
        <f t="shared" si="917"/>
        <v>45944</v>
      </c>
      <c r="B6652" s="11" t="s">
        <v>6260</v>
      </c>
      <c r="C6652" s="50" t="s">
        <v>7117</v>
      </c>
      <c r="E6652" s="90" t="s">
        <v>4720</v>
      </c>
      <c r="H6652" s="2">
        <v>3500</v>
      </c>
      <c r="I6652" s="88">
        <f t="shared" ref="I6652:I6664" si="924">I6651+G6652-H6652</f>
        <v>254.36000000000058</v>
      </c>
      <c r="K6652" s="62"/>
      <c r="L6652" s="2">
        <f t="shared" ref="L6652:L6664" si="925">IF(E6652="C",0,IF((G6652+H6652)&lt;=5000,(G6652+H6652)*0.004,20)+IF(E6652="P",5,IF(E6652="Y",15,IF(E6652="YY",25))))</f>
        <v>14</v>
      </c>
      <c r="M6652">
        <f t="shared" ref="M6652:M6664" si="926">IF(E6652="p",5,0)</f>
        <v>0</v>
      </c>
    </row>
    <row r="6653" spans="1:13" x14ac:dyDescent="0.3">
      <c r="A6653" s="3">
        <f t="shared" si="917"/>
        <v>45944</v>
      </c>
      <c r="B6653" s="11" t="s">
        <v>7985</v>
      </c>
      <c r="C6653" s="50" t="s">
        <v>7459</v>
      </c>
      <c r="E6653" s="90" t="s">
        <v>2088</v>
      </c>
      <c r="G6653" s="2">
        <v>2500</v>
      </c>
      <c r="I6653" s="88">
        <f t="shared" si="924"/>
        <v>2754.3600000000006</v>
      </c>
      <c r="K6653" s="62"/>
      <c r="L6653" s="2">
        <f t="shared" si="925"/>
        <v>15</v>
      </c>
      <c r="M6653">
        <f t="shared" si="926"/>
        <v>5</v>
      </c>
    </row>
    <row r="6654" spans="1:13" x14ac:dyDescent="0.3">
      <c r="A6654" s="3">
        <f t="shared" si="917"/>
        <v>45944</v>
      </c>
      <c r="B6654" s="11" t="s">
        <v>1160</v>
      </c>
      <c r="C6654" s="50" t="s">
        <v>9348</v>
      </c>
      <c r="E6654" s="90" t="s">
        <v>4720</v>
      </c>
      <c r="G6654" s="2">
        <v>5000</v>
      </c>
      <c r="I6654" s="88">
        <f t="shared" si="924"/>
        <v>7754.3600000000006</v>
      </c>
      <c r="K6654" s="62"/>
      <c r="L6654" s="2">
        <f t="shared" si="925"/>
        <v>20</v>
      </c>
      <c r="M6654">
        <f t="shared" si="926"/>
        <v>0</v>
      </c>
    </row>
    <row r="6655" spans="1:13" x14ac:dyDescent="0.3">
      <c r="A6655" s="3">
        <f t="shared" si="917"/>
        <v>45944</v>
      </c>
      <c r="B6655" s="11" t="s">
        <v>1160</v>
      </c>
      <c r="C6655" s="50" t="s">
        <v>5190</v>
      </c>
      <c r="E6655" s="90" t="s">
        <v>4720</v>
      </c>
      <c r="G6655" s="2">
        <v>2500</v>
      </c>
      <c r="I6655" s="88">
        <f t="shared" si="924"/>
        <v>10254.36</v>
      </c>
      <c r="K6655" s="62">
        <v>10</v>
      </c>
      <c r="L6655" s="2">
        <f t="shared" si="925"/>
        <v>10</v>
      </c>
      <c r="M6655">
        <f t="shared" si="926"/>
        <v>0</v>
      </c>
    </row>
    <row r="6656" spans="1:13" x14ac:dyDescent="0.3">
      <c r="A6656" s="3">
        <f t="shared" si="917"/>
        <v>45944</v>
      </c>
      <c r="B6656" s="11" t="s">
        <v>7870</v>
      </c>
      <c r="C6656" s="50" t="s">
        <v>9349</v>
      </c>
      <c r="E6656" s="90" t="s">
        <v>2088</v>
      </c>
      <c r="G6656" s="2">
        <v>2000</v>
      </c>
      <c r="I6656" s="88">
        <f t="shared" si="924"/>
        <v>12254.36</v>
      </c>
      <c r="K6656" s="62"/>
      <c r="L6656" s="2">
        <f t="shared" si="925"/>
        <v>13</v>
      </c>
      <c r="M6656">
        <f t="shared" si="926"/>
        <v>5</v>
      </c>
    </row>
    <row r="6657" spans="1:13" x14ac:dyDescent="0.3">
      <c r="A6657" s="3">
        <f t="shared" si="917"/>
        <v>45944</v>
      </c>
      <c r="B6657" s="11" t="s">
        <v>6522</v>
      </c>
      <c r="C6657" s="50" t="s">
        <v>9350</v>
      </c>
      <c r="E6657" s="90" t="s">
        <v>4720</v>
      </c>
      <c r="G6657" s="2">
        <v>7000</v>
      </c>
      <c r="I6657" s="88">
        <f t="shared" si="924"/>
        <v>19254.36</v>
      </c>
      <c r="K6657" s="62"/>
      <c r="L6657" s="2">
        <f t="shared" si="925"/>
        <v>20</v>
      </c>
      <c r="M6657">
        <f t="shared" si="926"/>
        <v>0</v>
      </c>
    </row>
    <row r="6658" spans="1:13" x14ac:dyDescent="0.3">
      <c r="A6658" s="3">
        <f t="shared" si="917"/>
        <v>45944</v>
      </c>
      <c r="B6658" s="11" t="s">
        <v>2448</v>
      </c>
      <c r="C6658" s="50" t="s">
        <v>4997</v>
      </c>
      <c r="E6658" s="90" t="s">
        <v>4720</v>
      </c>
      <c r="H6658" s="2">
        <v>6000</v>
      </c>
      <c r="I6658" s="88">
        <f t="shared" si="924"/>
        <v>13254.36</v>
      </c>
      <c r="K6658" s="62"/>
      <c r="L6658" s="2">
        <f t="shared" si="925"/>
        <v>20</v>
      </c>
      <c r="M6658">
        <f t="shared" si="926"/>
        <v>0</v>
      </c>
    </row>
    <row r="6659" spans="1:13" x14ac:dyDescent="0.3">
      <c r="A6659" s="3">
        <f t="shared" si="917"/>
        <v>45944</v>
      </c>
      <c r="B6659" s="11" t="s">
        <v>7142</v>
      </c>
      <c r="C6659" s="50" t="s">
        <v>7143</v>
      </c>
      <c r="E6659" s="90" t="s">
        <v>4720</v>
      </c>
      <c r="G6659" s="2">
        <v>300</v>
      </c>
      <c r="I6659" s="88">
        <f t="shared" si="924"/>
        <v>13554.36</v>
      </c>
      <c r="K6659" s="62"/>
      <c r="L6659" s="2">
        <f t="shared" si="925"/>
        <v>1.2</v>
      </c>
      <c r="M6659">
        <f t="shared" si="926"/>
        <v>0</v>
      </c>
    </row>
    <row r="6660" spans="1:13" x14ac:dyDescent="0.3">
      <c r="A6660" s="3">
        <f t="shared" si="917"/>
        <v>45944</v>
      </c>
      <c r="B6660" s="11" t="s">
        <v>8878</v>
      </c>
      <c r="C6660" s="50" t="s">
        <v>704</v>
      </c>
      <c r="E6660" s="90" t="s">
        <v>2088</v>
      </c>
      <c r="G6660" s="2">
        <v>1300</v>
      </c>
      <c r="I6660" s="88">
        <f t="shared" si="924"/>
        <v>14854.36</v>
      </c>
      <c r="K6660" s="62"/>
      <c r="L6660" s="2">
        <f t="shared" si="925"/>
        <v>10.199999999999999</v>
      </c>
      <c r="M6660">
        <f t="shared" si="926"/>
        <v>5</v>
      </c>
    </row>
    <row r="6661" spans="1:13" x14ac:dyDescent="0.3">
      <c r="A6661" s="3">
        <f t="shared" si="917"/>
        <v>45944</v>
      </c>
      <c r="B6661" s="11" t="s">
        <v>9351</v>
      </c>
      <c r="C6661" s="50" t="s">
        <v>9352</v>
      </c>
      <c r="E6661" s="90" t="s">
        <v>2088</v>
      </c>
      <c r="G6661" s="2">
        <v>2000</v>
      </c>
      <c r="I6661" s="88">
        <f t="shared" si="924"/>
        <v>16854.36</v>
      </c>
      <c r="K6661" s="62"/>
      <c r="L6661" s="2">
        <f t="shared" si="925"/>
        <v>13</v>
      </c>
      <c r="M6661">
        <f t="shared" si="926"/>
        <v>5</v>
      </c>
    </row>
    <row r="6662" spans="1:13" x14ac:dyDescent="0.3">
      <c r="A6662" s="3">
        <f t="shared" si="917"/>
        <v>45944</v>
      </c>
      <c r="B6662" s="11" t="s">
        <v>7432</v>
      </c>
      <c r="C6662" s="50" t="s">
        <v>8512</v>
      </c>
      <c r="E6662" s="90" t="s">
        <v>2088</v>
      </c>
      <c r="G6662" s="2">
        <v>2500</v>
      </c>
      <c r="I6662" s="88">
        <f t="shared" si="924"/>
        <v>19354.36</v>
      </c>
      <c r="K6662" s="62"/>
      <c r="L6662" s="2">
        <f t="shared" si="925"/>
        <v>15</v>
      </c>
      <c r="M6662">
        <f t="shared" si="926"/>
        <v>5</v>
      </c>
    </row>
    <row r="6663" spans="1:13" x14ac:dyDescent="0.3">
      <c r="A6663" s="3">
        <v>45945</v>
      </c>
      <c r="B6663" s="11" t="s">
        <v>1250</v>
      </c>
      <c r="C6663" s="50" t="s">
        <v>3393</v>
      </c>
      <c r="E6663" s="90" t="s">
        <v>4720</v>
      </c>
      <c r="G6663" s="2">
        <v>1100</v>
      </c>
      <c r="I6663" s="88">
        <f t="shared" si="924"/>
        <v>20454.36</v>
      </c>
      <c r="K6663" s="62"/>
      <c r="L6663" s="2">
        <f t="shared" si="925"/>
        <v>4.4000000000000004</v>
      </c>
      <c r="M6663">
        <f t="shared" si="926"/>
        <v>0</v>
      </c>
    </row>
    <row r="6664" spans="1:13" x14ac:dyDescent="0.3">
      <c r="A6664" s="3">
        <f t="shared" si="917"/>
        <v>45945</v>
      </c>
      <c r="B6664" s="11" t="s">
        <v>1250</v>
      </c>
      <c r="C6664" s="50" t="s">
        <v>3625</v>
      </c>
      <c r="E6664" s="90" t="s">
        <v>4720</v>
      </c>
      <c r="G6664" s="2">
        <v>1100</v>
      </c>
      <c r="I6664" s="88">
        <f t="shared" si="924"/>
        <v>21554.36</v>
      </c>
      <c r="K6664" s="62"/>
      <c r="L6664" s="2">
        <f t="shared" si="925"/>
        <v>4.4000000000000004</v>
      </c>
      <c r="M6664">
        <f t="shared" si="926"/>
        <v>0</v>
      </c>
    </row>
    <row r="6665" spans="1:13" x14ac:dyDescent="0.3">
      <c r="A6665" s="3">
        <f t="shared" si="917"/>
        <v>45945</v>
      </c>
      <c r="B6665" s="11" t="s">
        <v>1250</v>
      </c>
      <c r="C6665" s="50" t="s">
        <v>7037</v>
      </c>
      <c r="D6665" s="50">
        <v>7033271039</v>
      </c>
      <c r="E6665" s="90" t="s">
        <v>4720</v>
      </c>
      <c r="G6665" s="2">
        <v>5000</v>
      </c>
      <c r="I6665" s="88">
        <f t="shared" ref="I6665:I6677" si="927">I6664+G6665-H6665</f>
        <v>26554.36</v>
      </c>
      <c r="K6665" s="62"/>
      <c r="L6665" s="2">
        <f t="shared" ref="L6665:L6677" si="928">IF(E6665="C",0,IF((G6665+H6665)&lt;=5000,(G6665+H6665)*0.004,20)+IF(E6665="P",5,IF(E6665="Y",15,IF(E6665="YY",25))))</f>
        <v>20</v>
      </c>
      <c r="M6665">
        <f t="shared" ref="M6665:M6677" si="929">IF(E6665="p",5,0)</f>
        <v>0</v>
      </c>
    </row>
    <row r="6666" spans="1:13" x14ac:dyDescent="0.3">
      <c r="A6666" s="3">
        <f t="shared" si="917"/>
        <v>45945</v>
      </c>
      <c r="C6666" s="50" t="s">
        <v>2887</v>
      </c>
      <c r="E6666" s="90" t="s">
        <v>8332</v>
      </c>
      <c r="G6666" s="2">
        <v>4000</v>
      </c>
      <c r="I6666" s="88">
        <f t="shared" si="927"/>
        <v>30554.36</v>
      </c>
      <c r="K6666" s="62"/>
      <c r="L6666" s="2">
        <f t="shared" si="928"/>
        <v>0</v>
      </c>
      <c r="M6666">
        <f t="shared" si="929"/>
        <v>0</v>
      </c>
    </row>
    <row r="6667" spans="1:13" x14ac:dyDescent="0.3">
      <c r="A6667" s="3">
        <f t="shared" si="917"/>
        <v>45945</v>
      </c>
      <c r="C6667" s="50" t="s">
        <v>2857</v>
      </c>
      <c r="E6667" s="90" t="s">
        <v>8332</v>
      </c>
      <c r="H6667" s="2">
        <v>30000</v>
      </c>
      <c r="I6667" s="88">
        <f t="shared" si="927"/>
        <v>554.36000000000058</v>
      </c>
      <c r="K6667" s="62"/>
      <c r="L6667" s="2">
        <f t="shared" si="928"/>
        <v>0</v>
      </c>
      <c r="M6667">
        <f t="shared" si="929"/>
        <v>0</v>
      </c>
    </row>
    <row r="6668" spans="1:13" x14ac:dyDescent="0.3">
      <c r="A6668" s="3">
        <f t="shared" si="917"/>
        <v>45945</v>
      </c>
      <c r="B6668" s="11" t="s">
        <v>1160</v>
      </c>
      <c r="C6668" s="50" t="s">
        <v>9355</v>
      </c>
      <c r="E6668" s="90" t="s">
        <v>4720</v>
      </c>
      <c r="G6668" s="2">
        <v>2500</v>
      </c>
      <c r="I6668" s="88">
        <f t="shared" si="927"/>
        <v>3054.3600000000006</v>
      </c>
      <c r="K6668" s="62"/>
      <c r="L6668" s="2">
        <f t="shared" si="928"/>
        <v>10</v>
      </c>
      <c r="M6668">
        <f t="shared" si="929"/>
        <v>0</v>
      </c>
    </row>
    <row r="6669" spans="1:13" x14ac:dyDescent="0.3">
      <c r="A6669" s="3">
        <f t="shared" si="917"/>
        <v>45945</v>
      </c>
      <c r="B6669" s="11" t="s">
        <v>9317</v>
      </c>
      <c r="C6669" s="50" t="s">
        <v>8616</v>
      </c>
      <c r="E6669" s="90" t="s">
        <v>4720</v>
      </c>
      <c r="G6669" s="2">
        <v>1100</v>
      </c>
      <c r="I6669" s="88">
        <f t="shared" si="927"/>
        <v>4154.3600000000006</v>
      </c>
      <c r="K6669" s="62"/>
      <c r="L6669" s="2">
        <f t="shared" si="928"/>
        <v>4.4000000000000004</v>
      </c>
      <c r="M6669">
        <f t="shared" si="929"/>
        <v>0</v>
      </c>
    </row>
    <row r="6670" spans="1:13" x14ac:dyDescent="0.3">
      <c r="A6670" s="3">
        <v>45946</v>
      </c>
      <c r="B6670" s="11" t="s">
        <v>1472</v>
      </c>
      <c r="C6670" s="50" t="s">
        <v>9315</v>
      </c>
      <c r="E6670" s="90" t="s">
        <v>4720</v>
      </c>
      <c r="G6670" s="2">
        <v>1500</v>
      </c>
      <c r="I6670" s="88">
        <f t="shared" si="927"/>
        <v>5654.3600000000006</v>
      </c>
      <c r="K6670" s="62"/>
      <c r="L6670" s="2">
        <f t="shared" si="928"/>
        <v>6</v>
      </c>
      <c r="M6670">
        <f t="shared" si="929"/>
        <v>0</v>
      </c>
    </row>
    <row r="6671" spans="1:13" x14ac:dyDescent="0.3">
      <c r="A6671" s="3">
        <f t="shared" si="917"/>
        <v>45946</v>
      </c>
      <c r="B6671" s="11" t="s">
        <v>3289</v>
      </c>
      <c r="C6671" s="50" t="s">
        <v>2734</v>
      </c>
      <c r="E6671" s="90" t="s">
        <v>4720</v>
      </c>
      <c r="H6671" s="2">
        <v>3000</v>
      </c>
      <c r="I6671" s="88">
        <f t="shared" si="927"/>
        <v>2654.3600000000006</v>
      </c>
      <c r="K6671" s="62"/>
      <c r="L6671" s="2">
        <f t="shared" si="928"/>
        <v>12</v>
      </c>
      <c r="M6671">
        <f t="shared" si="929"/>
        <v>0</v>
      </c>
    </row>
    <row r="6672" spans="1:13" x14ac:dyDescent="0.3">
      <c r="A6672" s="3">
        <f t="shared" si="917"/>
        <v>45946</v>
      </c>
      <c r="B6672" s="11" t="s">
        <v>9356</v>
      </c>
      <c r="C6672" s="50" t="s">
        <v>9360</v>
      </c>
      <c r="E6672" s="90" t="s">
        <v>16</v>
      </c>
      <c r="H6672" s="2">
        <v>500</v>
      </c>
      <c r="I6672" s="88">
        <f t="shared" si="927"/>
        <v>2154.3600000000006</v>
      </c>
      <c r="K6672" s="62"/>
      <c r="L6672" s="2">
        <f t="shared" si="928"/>
        <v>17</v>
      </c>
      <c r="M6672">
        <f t="shared" si="929"/>
        <v>0</v>
      </c>
    </row>
    <row r="6673" spans="1:20" x14ac:dyDescent="0.3">
      <c r="A6673" s="3">
        <f t="shared" si="917"/>
        <v>45946</v>
      </c>
      <c r="B6673" s="11" t="s">
        <v>5355</v>
      </c>
      <c r="C6673" s="50" t="s">
        <v>5357</v>
      </c>
      <c r="E6673" s="90" t="s">
        <v>2088</v>
      </c>
      <c r="G6673" s="2">
        <v>2000</v>
      </c>
      <c r="I6673" s="88">
        <f t="shared" si="927"/>
        <v>4154.3600000000006</v>
      </c>
      <c r="K6673" s="62"/>
      <c r="L6673" s="2">
        <f t="shared" si="928"/>
        <v>13</v>
      </c>
      <c r="M6673">
        <f t="shared" si="929"/>
        <v>5</v>
      </c>
    </row>
    <row r="6674" spans="1:20" x14ac:dyDescent="0.3">
      <c r="A6674" s="3">
        <f t="shared" si="917"/>
        <v>45946</v>
      </c>
      <c r="B6674" s="11" t="s">
        <v>5186</v>
      </c>
      <c r="C6674" s="50" t="s">
        <v>8838</v>
      </c>
      <c r="D6674" s="50" t="s">
        <v>9361</v>
      </c>
      <c r="E6674" s="90" t="s">
        <v>2088</v>
      </c>
      <c r="G6674" s="2">
        <v>0</v>
      </c>
      <c r="H6674" s="2">
        <v>0</v>
      </c>
      <c r="I6674" s="88">
        <f t="shared" si="927"/>
        <v>4154.3600000000006</v>
      </c>
      <c r="K6674" s="62"/>
      <c r="L6674" s="2">
        <f t="shared" si="928"/>
        <v>5</v>
      </c>
      <c r="M6674">
        <f t="shared" si="929"/>
        <v>5</v>
      </c>
    </row>
    <row r="6675" spans="1:20" x14ac:dyDescent="0.3">
      <c r="A6675" s="3">
        <f t="shared" si="917"/>
        <v>45946</v>
      </c>
      <c r="B6675" s="11" t="s">
        <v>5186</v>
      </c>
      <c r="C6675" s="50" t="s">
        <v>8838</v>
      </c>
      <c r="E6675" s="90" t="s">
        <v>2088</v>
      </c>
      <c r="G6675" s="2">
        <v>6000</v>
      </c>
      <c r="H6675" s="2">
        <v>0</v>
      </c>
      <c r="I6675" s="88">
        <f t="shared" si="927"/>
        <v>10154.36</v>
      </c>
      <c r="K6675" s="62"/>
      <c r="L6675" s="2">
        <f t="shared" si="928"/>
        <v>25</v>
      </c>
      <c r="M6675">
        <f t="shared" si="929"/>
        <v>5</v>
      </c>
    </row>
    <row r="6676" spans="1:20" x14ac:dyDescent="0.3">
      <c r="A6676" s="3">
        <f t="shared" si="917"/>
        <v>45946</v>
      </c>
      <c r="B6676" s="11" t="s">
        <v>3148</v>
      </c>
      <c r="C6676" s="50" t="s">
        <v>9362</v>
      </c>
      <c r="E6676" s="90" t="s">
        <v>4720</v>
      </c>
      <c r="G6676" s="2">
        <v>4000</v>
      </c>
      <c r="I6676" s="88">
        <f t="shared" si="927"/>
        <v>14154.36</v>
      </c>
      <c r="K6676" s="62"/>
      <c r="L6676" s="2">
        <f t="shared" si="928"/>
        <v>16</v>
      </c>
      <c r="M6676">
        <f t="shared" si="929"/>
        <v>0</v>
      </c>
    </row>
    <row r="6677" spans="1:20" x14ac:dyDescent="0.3">
      <c r="A6677" s="3">
        <f t="shared" si="917"/>
        <v>45946</v>
      </c>
      <c r="B6677" s="11" t="s">
        <v>7174</v>
      </c>
      <c r="C6677" s="50" t="s">
        <v>7421</v>
      </c>
      <c r="E6677" s="90" t="s">
        <v>4720</v>
      </c>
      <c r="G6677" s="2">
        <v>8000</v>
      </c>
      <c r="I6677" s="88">
        <f t="shared" si="927"/>
        <v>22154.36</v>
      </c>
      <c r="K6677" s="62"/>
      <c r="L6677" s="2">
        <f t="shared" si="928"/>
        <v>20</v>
      </c>
      <c r="M6677">
        <f t="shared" si="929"/>
        <v>0</v>
      </c>
    </row>
    <row r="6678" spans="1:20" x14ac:dyDescent="0.3">
      <c r="A6678" s="3">
        <f t="shared" si="917"/>
        <v>45946</v>
      </c>
      <c r="B6678" s="11" t="s">
        <v>8895</v>
      </c>
      <c r="C6678" s="50" t="s">
        <v>9363</v>
      </c>
      <c r="E6678" s="90" t="s">
        <v>2088</v>
      </c>
      <c r="G6678" s="2">
        <v>2500</v>
      </c>
      <c r="I6678" s="88">
        <f t="shared" ref="I6678:I6686" si="930">I6677+G6678-H6678</f>
        <v>24654.36</v>
      </c>
      <c r="K6678" s="62"/>
      <c r="L6678" s="2">
        <f t="shared" ref="L6678:L6686" si="931">IF(E6678="C",0,IF((G6678+H6678)&lt;=5000,(G6678+H6678)*0.004,20)+IF(E6678="P",5,IF(E6678="Y",15,IF(E6678="YY",25))))</f>
        <v>15</v>
      </c>
      <c r="M6678">
        <f t="shared" ref="M6678:M6686" si="932">IF(E6678="p",5,0)</f>
        <v>5</v>
      </c>
    </row>
    <row r="6679" spans="1:20" x14ac:dyDescent="0.3">
      <c r="A6679" s="3">
        <f t="shared" si="917"/>
        <v>45946</v>
      </c>
      <c r="B6679" s="11" t="s">
        <v>6260</v>
      </c>
      <c r="C6679" s="50" t="s">
        <v>7117</v>
      </c>
      <c r="E6679" s="90" t="s">
        <v>4720</v>
      </c>
      <c r="H6679" s="2">
        <v>3500</v>
      </c>
      <c r="I6679" s="88">
        <f t="shared" si="930"/>
        <v>21154.36</v>
      </c>
      <c r="K6679" s="62"/>
      <c r="L6679" s="2">
        <f t="shared" si="931"/>
        <v>14</v>
      </c>
      <c r="M6679">
        <f t="shared" si="932"/>
        <v>0</v>
      </c>
    </row>
    <row r="6680" spans="1:20" x14ac:dyDescent="0.3">
      <c r="A6680" s="3">
        <f t="shared" si="917"/>
        <v>45946</v>
      </c>
      <c r="B6680" s="11" t="s">
        <v>7886</v>
      </c>
      <c r="C6680" s="50" t="s">
        <v>9364</v>
      </c>
      <c r="E6680" s="90" t="s">
        <v>4720</v>
      </c>
      <c r="H6680" s="2">
        <v>2500</v>
      </c>
      <c r="I6680" s="88">
        <f t="shared" si="930"/>
        <v>18654.36</v>
      </c>
      <c r="K6680" s="62"/>
      <c r="L6680" s="2">
        <f t="shared" si="931"/>
        <v>10</v>
      </c>
      <c r="M6680">
        <f t="shared" si="932"/>
        <v>0</v>
      </c>
    </row>
    <row r="6681" spans="1:20" x14ac:dyDescent="0.3">
      <c r="A6681" s="3">
        <f t="shared" si="917"/>
        <v>45946</v>
      </c>
      <c r="C6681" s="50" t="s">
        <v>2857</v>
      </c>
      <c r="E6681" s="90" t="s">
        <v>8332</v>
      </c>
      <c r="H6681" s="2">
        <v>18000</v>
      </c>
      <c r="I6681" s="88">
        <f t="shared" si="930"/>
        <v>654.36000000000058</v>
      </c>
      <c r="K6681" s="62"/>
      <c r="L6681" s="2">
        <f t="shared" si="931"/>
        <v>0</v>
      </c>
      <c r="M6681">
        <f t="shared" si="932"/>
        <v>0</v>
      </c>
    </row>
    <row r="6682" spans="1:20" x14ac:dyDescent="0.3">
      <c r="A6682" s="3">
        <f t="shared" si="917"/>
        <v>45946</v>
      </c>
      <c r="B6682" s="11" t="s">
        <v>2241</v>
      </c>
      <c r="C6682" s="50" t="s">
        <v>9303</v>
      </c>
      <c r="E6682" s="90" t="s">
        <v>4720</v>
      </c>
      <c r="G6682" s="2">
        <v>1000</v>
      </c>
      <c r="I6682" s="88">
        <f t="shared" si="930"/>
        <v>1654.3600000000006</v>
      </c>
      <c r="K6682" s="62"/>
      <c r="L6682" s="2">
        <f t="shared" si="931"/>
        <v>4</v>
      </c>
      <c r="M6682">
        <f t="shared" si="932"/>
        <v>0</v>
      </c>
    </row>
    <row r="6683" spans="1:20" x14ac:dyDescent="0.3">
      <c r="A6683" s="3">
        <f t="shared" si="917"/>
        <v>45946</v>
      </c>
      <c r="B6683" s="11" t="s">
        <v>1472</v>
      </c>
      <c r="C6683" s="50" t="s">
        <v>9366</v>
      </c>
      <c r="E6683" s="90" t="s">
        <v>4720</v>
      </c>
      <c r="G6683" s="2">
        <v>4800</v>
      </c>
      <c r="I6683" s="88">
        <f t="shared" si="930"/>
        <v>6454.3600000000006</v>
      </c>
      <c r="K6683" s="62"/>
      <c r="L6683" s="2">
        <f t="shared" si="931"/>
        <v>19.2</v>
      </c>
      <c r="M6683">
        <f t="shared" si="932"/>
        <v>0</v>
      </c>
    </row>
    <row r="6684" spans="1:20" x14ac:dyDescent="0.3">
      <c r="A6684" s="3">
        <f t="shared" si="917"/>
        <v>45946</v>
      </c>
      <c r="B6684" s="11" t="s">
        <v>4622</v>
      </c>
      <c r="C6684" s="50" t="s">
        <v>8340</v>
      </c>
      <c r="E6684" s="90" t="s">
        <v>2088</v>
      </c>
      <c r="G6684" s="2">
        <v>6000</v>
      </c>
      <c r="I6684" s="88">
        <f t="shared" si="930"/>
        <v>12454.36</v>
      </c>
      <c r="K6684" s="62"/>
      <c r="L6684" s="2">
        <f t="shared" si="931"/>
        <v>25</v>
      </c>
      <c r="M6684">
        <f t="shared" si="932"/>
        <v>5</v>
      </c>
    </row>
    <row r="6685" spans="1:20" x14ac:dyDescent="0.3">
      <c r="A6685" s="3">
        <f t="shared" si="917"/>
        <v>45946</v>
      </c>
      <c r="B6685" s="11" t="s">
        <v>3987</v>
      </c>
      <c r="C6685" s="50" t="s">
        <v>2295</v>
      </c>
      <c r="D6685" s="50">
        <v>6206344407</v>
      </c>
      <c r="E6685" s="90" t="s">
        <v>4720</v>
      </c>
      <c r="F6685" s="50">
        <v>893708640079</v>
      </c>
      <c r="G6685" s="2">
        <v>5000</v>
      </c>
      <c r="I6685" s="88">
        <f t="shared" si="930"/>
        <v>17454.36</v>
      </c>
      <c r="K6685" s="62"/>
      <c r="L6685" s="2">
        <f t="shared" si="931"/>
        <v>20</v>
      </c>
      <c r="M6685">
        <f t="shared" si="932"/>
        <v>0</v>
      </c>
    </row>
    <row r="6686" spans="1:20" x14ac:dyDescent="0.3">
      <c r="A6686" s="3">
        <f t="shared" ref="A6686:A6690" si="933">A6685</f>
        <v>45946</v>
      </c>
      <c r="B6686" s="11" t="s">
        <v>2689</v>
      </c>
      <c r="C6686" s="50" t="s">
        <v>1279</v>
      </c>
      <c r="E6686" s="90" t="s">
        <v>4720</v>
      </c>
      <c r="H6686" s="2">
        <v>5000</v>
      </c>
      <c r="I6686" s="88">
        <f t="shared" si="930"/>
        <v>12454.36</v>
      </c>
      <c r="K6686" s="62"/>
      <c r="L6686" s="2">
        <f t="shared" si="931"/>
        <v>20</v>
      </c>
      <c r="M6686">
        <f t="shared" si="932"/>
        <v>0</v>
      </c>
      <c r="O6686">
        <v>7897</v>
      </c>
      <c r="Q6686">
        <f>O6686*0.18</f>
        <v>1421.46</v>
      </c>
      <c r="R6686">
        <f>O6686+Q6686</f>
        <v>9318.4599999999991</v>
      </c>
      <c r="S6686">
        <f>O6686*0.3</f>
        <v>2369.1</v>
      </c>
      <c r="T6686" t="s">
        <v>9365</v>
      </c>
    </row>
    <row r="6687" spans="1:20" x14ac:dyDescent="0.3">
      <c r="A6687" s="3">
        <f t="shared" si="933"/>
        <v>45946</v>
      </c>
      <c r="B6687" s="11" t="s">
        <v>2942</v>
      </c>
      <c r="C6687" s="50" t="s">
        <v>9367</v>
      </c>
      <c r="E6687" s="90" t="s">
        <v>4720</v>
      </c>
      <c r="G6687" s="2">
        <v>5000</v>
      </c>
      <c r="I6687" s="88">
        <f t="shared" ref="I6687:I6691" si="934">I6686+G6687-H6687</f>
        <v>17454.36</v>
      </c>
      <c r="K6687" s="62"/>
      <c r="L6687" s="2">
        <f t="shared" ref="L6687:L6691" si="935">IF(E6687="C",0,IF((G6687+H6687)&lt;=5000,(G6687+H6687)*0.004,20)+IF(E6687="P",5,IF(E6687="Y",15,IF(E6687="YY",25))))</f>
        <v>20</v>
      </c>
      <c r="M6687">
        <f t="shared" ref="M6687:M6691" si="936">IF(E6687="p",5,0)</f>
        <v>0</v>
      </c>
    </row>
    <row r="6688" spans="1:20" x14ac:dyDescent="0.3">
      <c r="A6688" s="3">
        <f t="shared" si="933"/>
        <v>45946</v>
      </c>
      <c r="B6688" s="11" t="s">
        <v>8955</v>
      </c>
      <c r="C6688" s="50" t="s">
        <v>191</v>
      </c>
      <c r="E6688" s="90" t="s">
        <v>2088</v>
      </c>
      <c r="I6688" s="88">
        <f t="shared" si="934"/>
        <v>17454.36</v>
      </c>
      <c r="K6688" s="62"/>
      <c r="L6688" s="2">
        <f t="shared" si="935"/>
        <v>5</v>
      </c>
      <c r="M6688">
        <f t="shared" si="936"/>
        <v>5</v>
      </c>
    </row>
    <row r="6689" spans="1:13" x14ac:dyDescent="0.3">
      <c r="A6689" s="3">
        <f t="shared" si="933"/>
        <v>45946</v>
      </c>
      <c r="B6689" s="11" t="s">
        <v>8955</v>
      </c>
      <c r="C6689" s="50" t="s">
        <v>191</v>
      </c>
      <c r="E6689" s="90" t="s">
        <v>2088</v>
      </c>
      <c r="G6689" s="2">
        <v>1000</v>
      </c>
      <c r="I6689" s="88">
        <f t="shared" si="934"/>
        <v>18454.36</v>
      </c>
      <c r="K6689" s="62"/>
      <c r="L6689" s="2">
        <f t="shared" si="935"/>
        <v>9</v>
      </c>
      <c r="M6689">
        <f t="shared" si="936"/>
        <v>5</v>
      </c>
    </row>
    <row r="6690" spans="1:13" x14ac:dyDescent="0.3">
      <c r="A6690" s="3">
        <f t="shared" si="933"/>
        <v>45946</v>
      </c>
      <c r="B6690" s="11" t="s">
        <v>6733</v>
      </c>
      <c r="C6690" s="50" t="s">
        <v>9368</v>
      </c>
      <c r="E6690" s="90" t="s">
        <v>7772</v>
      </c>
      <c r="G6690" s="2">
        <v>0</v>
      </c>
      <c r="H6690" s="2">
        <v>0</v>
      </c>
      <c r="I6690" s="88">
        <f t="shared" si="934"/>
        <v>18454.36</v>
      </c>
      <c r="K6690" s="62"/>
      <c r="L6690" s="2">
        <f t="shared" si="935"/>
        <v>5</v>
      </c>
      <c r="M6690">
        <f t="shared" si="936"/>
        <v>5</v>
      </c>
    </row>
    <row r="6691" spans="1:13" x14ac:dyDescent="0.3">
      <c r="A6691" s="3">
        <v>45947</v>
      </c>
      <c r="B6691" s="11" t="s">
        <v>1472</v>
      </c>
      <c r="C6691" s="50" t="s">
        <v>9315</v>
      </c>
      <c r="E6691" s="90" t="s">
        <v>4720</v>
      </c>
      <c r="G6691" s="2">
        <v>1000</v>
      </c>
      <c r="I6691" s="88">
        <f t="shared" si="934"/>
        <v>19454.36</v>
      </c>
      <c r="K6691" s="62"/>
      <c r="L6691" s="2">
        <f t="shared" si="935"/>
        <v>4</v>
      </c>
      <c r="M6691">
        <f t="shared" si="936"/>
        <v>0</v>
      </c>
    </row>
    <row r="6692" spans="1:13" x14ac:dyDescent="0.3">
      <c r="A6692" s="3">
        <f>A6691</f>
        <v>45947</v>
      </c>
      <c r="B6692" s="11" t="s">
        <v>6733</v>
      </c>
      <c r="C6692" s="50" t="s">
        <v>9368</v>
      </c>
      <c r="E6692" s="90" t="s">
        <v>4720</v>
      </c>
      <c r="G6692" s="2">
        <v>10000</v>
      </c>
      <c r="I6692" s="88">
        <f t="shared" ref="I6692:I6708" si="937">I6691+G6692-H6692</f>
        <v>29454.36</v>
      </c>
      <c r="K6692" s="62"/>
      <c r="L6692" s="2">
        <f t="shared" ref="L6692:L6708" si="938">IF(E6692="C",0,IF((G6692+H6692)&lt;=5000,(G6692+H6692)*0.004,20)+IF(E6692="P",5,IF(E6692="Y",15,IF(E6692="YY",25))))</f>
        <v>20</v>
      </c>
      <c r="M6692">
        <f t="shared" ref="M6692:M6708" si="939">IF(E6692="p",5,0)</f>
        <v>0</v>
      </c>
    </row>
    <row r="6693" spans="1:13" x14ac:dyDescent="0.3">
      <c r="A6693" s="3">
        <f t="shared" ref="A6693:A6756" si="940">A6692</f>
        <v>45947</v>
      </c>
      <c r="B6693" s="11" t="s">
        <v>7804</v>
      </c>
      <c r="C6693" s="50" t="s">
        <v>7805</v>
      </c>
      <c r="E6693" s="90" t="s">
        <v>2088</v>
      </c>
      <c r="G6693" s="2">
        <v>2000</v>
      </c>
      <c r="I6693" s="88">
        <f t="shared" si="937"/>
        <v>31454.36</v>
      </c>
      <c r="K6693" s="62"/>
      <c r="L6693" s="2">
        <f t="shared" si="938"/>
        <v>13</v>
      </c>
      <c r="M6693">
        <f t="shared" si="939"/>
        <v>5</v>
      </c>
    </row>
    <row r="6694" spans="1:13" x14ac:dyDescent="0.3">
      <c r="A6694" s="3">
        <f t="shared" si="940"/>
        <v>45947</v>
      </c>
      <c r="B6694" s="11" t="s">
        <v>2416</v>
      </c>
      <c r="C6694" s="50" t="s">
        <v>9128</v>
      </c>
      <c r="E6694" s="90" t="s">
        <v>4720</v>
      </c>
      <c r="G6694" s="2">
        <v>2200</v>
      </c>
      <c r="I6694" s="88">
        <f t="shared" si="937"/>
        <v>33654.36</v>
      </c>
      <c r="K6694" s="62"/>
      <c r="L6694" s="2">
        <f t="shared" si="938"/>
        <v>8.8000000000000007</v>
      </c>
      <c r="M6694">
        <f t="shared" si="939"/>
        <v>0</v>
      </c>
    </row>
    <row r="6695" spans="1:13" x14ac:dyDescent="0.3">
      <c r="A6695" s="3">
        <f t="shared" si="940"/>
        <v>45947</v>
      </c>
      <c r="C6695" s="50" t="s">
        <v>2857</v>
      </c>
      <c r="E6695" s="90" t="s">
        <v>8332</v>
      </c>
      <c r="H6695" s="2">
        <v>30000</v>
      </c>
      <c r="I6695" s="88">
        <f t="shared" si="937"/>
        <v>3654.3600000000006</v>
      </c>
      <c r="K6695" s="62"/>
      <c r="L6695" s="2">
        <f t="shared" si="938"/>
        <v>0</v>
      </c>
      <c r="M6695">
        <f t="shared" si="939"/>
        <v>0</v>
      </c>
    </row>
    <row r="6696" spans="1:13" x14ac:dyDescent="0.3">
      <c r="A6696" s="3">
        <f t="shared" si="940"/>
        <v>45947</v>
      </c>
      <c r="B6696" s="11" t="s">
        <v>1250</v>
      </c>
      <c r="C6696" s="50" t="s">
        <v>7372</v>
      </c>
      <c r="E6696" s="90" t="s">
        <v>4720</v>
      </c>
      <c r="G6696" s="2">
        <v>5500</v>
      </c>
      <c r="I6696" s="88">
        <f t="shared" si="937"/>
        <v>9154.36</v>
      </c>
      <c r="K6696" s="62"/>
      <c r="L6696" s="2">
        <f t="shared" si="938"/>
        <v>20</v>
      </c>
      <c r="M6696">
        <f t="shared" si="939"/>
        <v>0</v>
      </c>
    </row>
    <row r="6697" spans="1:13" x14ac:dyDescent="0.3">
      <c r="A6697" s="3">
        <f t="shared" si="940"/>
        <v>45947</v>
      </c>
      <c r="B6697" s="11" t="s">
        <v>8536</v>
      </c>
      <c r="C6697" s="50" t="s">
        <v>8884</v>
      </c>
      <c r="E6697" s="90" t="s">
        <v>2088</v>
      </c>
      <c r="G6697" s="2">
        <v>0</v>
      </c>
      <c r="I6697" s="88">
        <f t="shared" si="937"/>
        <v>9154.36</v>
      </c>
      <c r="K6697" s="62"/>
      <c r="L6697" s="2">
        <f t="shared" si="938"/>
        <v>5</v>
      </c>
      <c r="M6697">
        <f t="shared" si="939"/>
        <v>5</v>
      </c>
    </row>
    <row r="6698" spans="1:13" x14ac:dyDescent="0.3">
      <c r="A6698" s="3">
        <f t="shared" si="940"/>
        <v>45947</v>
      </c>
      <c r="B6698" s="11" t="s">
        <v>8536</v>
      </c>
      <c r="C6698" s="50" t="s">
        <v>8884</v>
      </c>
      <c r="E6698" s="90" t="s">
        <v>2088</v>
      </c>
      <c r="G6698" s="2">
        <v>1700</v>
      </c>
      <c r="I6698" s="88">
        <f t="shared" si="937"/>
        <v>10854.36</v>
      </c>
      <c r="K6698" s="62"/>
      <c r="L6698" s="2">
        <f t="shared" si="938"/>
        <v>11.8</v>
      </c>
      <c r="M6698">
        <f t="shared" si="939"/>
        <v>5</v>
      </c>
    </row>
    <row r="6699" spans="1:13" x14ac:dyDescent="0.3">
      <c r="A6699" s="3">
        <f t="shared" si="940"/>
        <v>45947</v>
      </c>
      <c r="B6699" s="11" t="s">
        <v>6260</v>
      </c>
      <c r="C6699" s="50" t="s">
        <v>7117</v>
      </c>
      <c r="E6699" s="90" t="s">
        <v>4720</v>
      </c>
      <c r="H6699" s="2">
        <v>10000</v>
      </c>
      <c r="I6699" s="88">
        <f t="shared" si="937"/>
        <v>854.36000000000058</v>
      </c>
      <c r="K6699" s="62"/>
      <c r="L6699" s="2">
        <f t="shared" si="938"/>
        <v>20</v>
      </c>
      <c r="M6699">
        <f t="shared" si="939"/>
        <v>0</v>
      </c>
    </row>
    <row r="6700" spans="1:13" x14ac:dyDescent="0.3">
      <c r="A6700" s="3">
        <f t="shared" si="940"/>
        <v>45947</v>
      </c>
      <c r="B6700" s="11" t="s">
        <v>5508</v>
      </c>
      <c r="C6700" s="50" t="s">
        <v>7278</v>
      </c>
      <c r="E6700" s="90" t="s">
        <v>2088</v>
      </c>
      <c r="G6700" s="2">
        <v>2500</v>
      </c>
      <c r="I6700" s="88">
        <f t="shared" si="937"/>
        <v>3354.3600000000006</v>
      </c>
      <c r="K6700" s="62"/>
      <c r="L6700" s="2">
        <f t="shared" si="938"/>
        <v>15</v>
      </c>
      <c r="M6700">
        <f t="shared" si="939"/>
        <v>5</v>
      </c>
    </row>
    <row r="6701" spans="1:13" x14ac:dyDescent="0.3">
      <c r="A6701" s="3">
        <f t="shared" si="940"/>
        <v>45947</v>
      </c>
      <c r="B6701" s="11" t="s">
        <v>8465</v>
      </c>
      <c r="C6701" s="50" t="s">
        <v>9096</v>
      </c>
      <c r="E6701" s="90" t="s">
        <v>4720</v>
      </c>
      <c r="G6701" s="2">
        <v>1000</v>
      </c>
      <c r="I6701" s="88">
        <f t="shared" si="937"/>
        <v>4354.3600000000006</v>
      </c>
      <c r="K6701" s="62"/>
      <c r="L6701" s="2">
        <f t="shared" si="938"/>
        <v>4</v>
      </c>
      <c r="M6701">
        <f t="shared" si="939"/>
        <v>0</v>
      </c>
    </row>
    <row r="6702" spans="1:13" x14ac:dyDescent="0.3">
      <c r="A6702" s="3">
        <f t="shared" si="940"/>
        <v>45947</v>
      </c>
      <c r="B6702" s="11" t="s">
        <v>3420</v>
      </c>
      <c r="C6702" s="50" t="s">
        <v>8602</v>
      </c>
      <c r="E6702" s="90" t="s">
        <v>2088</v>
      </c>
      <c r="G6702" s="2">
        <v>7000</v>
      </c>
      <c r="I6702" s="88">
        <f t="shared" si="937"/>
        <v>11354.36</v>
      </c>
      <c r="K6702" s="62"/>
      <c r="L6702" s="2">
        <f t="shared" si="938"/>
        <v>25</v>
      </c>
      <c r="M6702">
        <f t="shared" si="939"/>
        <v>5</v>
      </c>
    </row>
    <row r="6703" spans="1:13" x14ac:dyDescent="0.3">
      <c r="A6703" s="3">
        <f t="shared" si="940"/>
        <v>45947</v>
      </c>
      <c r="B6703" s="11" t="s">
        <v>9119</v>
      </c>
      <c r="C6703" s="50" t="s">
        <v>9120</v>
      </c>
      <c r="E6703" s="90" t="s">
        <v>2088</v>
      </c>
      <c r="G6703" s="2">
        <v>0</v>
      </c>
      <c r="H6703" s="2">
        <v>0</v>
      </c>
      <c r="I6703" s="88">
        <f t="shared" si="937"/>
        <v>11354.36</v>
      </c>
      <c r="K6703" s="62"/>
      <c r="L6703" s="2">
        <f t="shared" si="938"/>
        <v>5</v>
      </c>
      <c r="M6703">
        <f t="shared" si="939"/>
        <v>5</v>
      </c>
    </row>
    <row r="6704" spans="1:13" x14ac:dyDescent="0.3">
      <c r="A6704" s="3">
        <f t="shared" si="940"/>
        <v>45947</v>
      </c>
      <c r="B6704" s="11" t="s">
        <v>6778</v>
      </c>
      <c r="C6704" s="50" t="s">
        <v>9371</v>
      </c>
      <c r="E6704" s="90" t="s">
        <v>2088</v>
      </c>
      <c r="G6704" s="2">
        <v>0</v>
      </c>
      <c r="H6704" s="2">
        <v>0</v>
      </c>
      <c r="I6704" s="88">
        <f t="shared" si="937"/>
        <v>11354.36</v>
      </c>
      <c r="K6704" s="62"/>
      <c r="L6704" s="2">
        <f t="shared" si="938"/>
        <v>5</v>
      </c>
      <c r="M6704">
        <f t="shared" si="939"/>
        <v>5</v>
      </c>
    </row>
    <row r="6705" spans="1:13" x14ac:dyDescent="0.3">
      <c r="A6705" s="3">
        <f t="shared" si="940"/>
        <v>45947</v>
      </c>
      <c r="B6705" s="11" t="s">
        <v>6778</v>
      </c>
      <c r="C6705" s="50" t="s">
        <v>9371</v>
      </c>
      <c r="E6705" s="90" t="s">
        <v>2088</v>
      </c>
      <c r="G6705" s="2">
        <v>2000</v>
      </c>
      <c r="I6705" s="88">
        <f t="shared" si="937"/>
        <v>13354.36</v>
      </c>
      <c r="K6705" s="62"/>
      <c r="L6705" s="2">
        <f t="shared" si="938"/>
        <v>13</v>
      </c>
      <c r="M6705">
        <f t="shared" si="939"/>
        <v>5</v>
      </c>
    </row>
    <row r="6706" spans="1:13" x14ac:dyDescent="0.3">
      <c r="A6706" s="3">
        <f t="shared" si="940"/>
        <v>45947</v>
      </c>
      <c r="B6706" s="11" t="s">
        <v>9119</v>
      </c>
      <c r="C6706" s="50" t="s">
        <v>9120</v>
      </c>
      <c r="E6706" s="90" t="s">
        <v>2088</v>
      </c>
      <c r="H6706" s="2">
        <v>2000</v>
      </c>
      <c r="I6706" s="88">
        <f t="shared" si="937"/>
        <v>11354.36</v>
      </c>
      <c r="K6706" s="62"/>
      <c r="L6706" s="2">
        <f t="shared" si="938"/>
        <v>13</v>
      </c>
      <c r="M6706">
        <f t="shared" si="939"/>
        <v>5</v>
      </c>
    </row>
    <row r="6707" spans="1:13" x14ac:dyDescent="0.3">
      <c r="A6707" s="3">
        <f t="shared" si="940"/>
        <v>45947</v>
      </c>
      <c r="B6707" s="11" t="s">
        <v>7870</v>
      </c>
      <c r="C6707" s="50" t="s">
        <v>9349</v>
      </c>
      <c r="E6707" s="90" t="s">
        <v>2088</v>
      </c>
      <c r="G6707" s="2">
        <v>2000</v>
      </c>
      <c r="I6707" s="88">
        <f t="shared" si="937"/>
        <v>13354.36</v>
      </c>
      <c r="K6707" s="62"/>
      <c r="L6707" s="2">
        <f t="shared" si="938"/>
        <v>13</v>
      </c>
      <c r="M6707">
        <f t="shared" si="939"/>
        <v>5</v>
      </c>
    </row>
    <row r="6708" spans="1:13" x14ac:dyDescent="0.3">
      <c r="A6708" s="3">
        <f t="shared" si="940"/>
        <v>45947</v>
      </c>
      <c r="B6708" s="11" t="s">
        <v>2448</v>
      </c>
      <c r="C6708" s="50" t="s">
        <v>4108</v>
      </c>
      <c r="E6708" s="90" t="s">
        <v>4720</v>
      </c>
      <c r="H6708" s="2">
        <v>6000</v>
      </c>
      <c r="I6708" s="88">
        <f t="shared" si="937"/>
        <v>7354.3600000000006</v>
      </c>
      <c r="K6708" s="62"/>
      <c r="L6708" s="2">
        <f t="shared" si="938"/>
        <v>20</v>
      </c>
      <c r="M6708">
        <f t="shared" si="939"/>
        <v>0</v>
      </c>
    </row>
    <row r="6709" spans="1:13" x14ac:dyDescent="0.3">
      <c r="A6709" s="3">
        <v>45948</v>
      </c>
      <c r="B6709" s="11" t="s">
        <v>1250</v>
      </c>
      <c r="C6709" s="50" t="s">
        <v>3658</v>
      </c>
      <c r="E6709" s="90" t="s">
        <v>4720</v>
      </c>
      <c r="G6709" s="2">
        <v>10000</v>
      </c>
      <c r="I6709" s="88">
        <f t="shared" ref="I6709:I6743" si="941">I6708+G6709-H6709</f>
        <v>17354.36</v>
      </c>
      <c r="K6709" s="62"/>
      <c r="L6709" s="2">
        <f t="shared" ref="L6709:L6731" si="942">IF(E6709="C",0,IF((G6709+H6709)&lt;=5000,(G6709+H6709)*0.004,20)+IF(E6709="P",5,IF(E6709="Y",15,IF(E6709="YY",25))))</f>
        <v>20</v>
      </c>
      <c r="M6709">
        <f t="shared" ref="M6709:M6731" si="943">IF(E6709="p",5,0)</f>
        <v>0</v>
      </c>
    </row>
    <row r="6710" spans="1:13" x14ac:dyDescent="0.3">
      <c r="A6710" s="3">
        <f t="shared" si="940"/>
        <v>45948</v>
      </c>
      <c r="B6710" s="11" t="s">
        <v>9373</v>
      </c>
      <c r="E6710" s="90" t="s">
        <v>4720</v>
      </c>
      <c r="G6710" s="2">
        <v>9000</v>
      </c>
      <c r="I6710" s="88">
        <f t="shared" si="941"/>
        <v>26354.36</v>
      </c>
      <c r="K6710" s="62"/>
      <c r="L6710" s="2">
        <f t="shared" si="942"/>
        <v>20</v>
      </c>
      <c r="M6710">
        <f t="shared" si="943"/>
        <v>0</v>
      </c>
    </row>
    <row r="6711" spans="1:13" x14ac:dyDescent="0.3">
      <c r="A6711" s="3">
        <f t="shared" si="940"/>
        <v>45948</v>
      </c>
      <c r="B6711" s="11" t="s">
        <v>5825</v>
      </c>
      <c r="C6711" s="50" t="s">
        <v>6619</v>
      </c>
      <c r="E6711" s="90" t="s">
        <v>4720</v>
      </c>
      <c r="G6711" s="2">
        <v>5000</v>
      </c>
      <c r="I6711" s="88">
        <f t="shared" si="941"/>
        <v>31354.36</v>
      </c>
      <c r="K6711" s="62"/>
      <c r="L6711" s="2">
        <f t="shared" si="942"/>
        <v>20</v>
      </c>
      <c r="M6711">
        <f t="shared" si="943"/>
        <v>0</v>
      </c>
    </row>
    <row r="6712" spans="1:13" x14ac:dyDescent="0.3">
      <c r="A6712" s="3">
        <f t="shared" si="940"/>
        <v>45948</v>
      </c>
      <c r="B6712" s="11" t="s">
        <v>1472</v>
      </c>
      <c r="C6712" s="50" t="s">
        <v>9372</v>
      </c>
      <c r="E6712" s="90" t="s">
        <v>4720</v>
      </c>
      <c r="G6712" s="2">
        <v>7000</v>
      </c>
      <c r="I6712" s="88">
        <f t="shared" si="941"/>
        <v>38354.36</v>
      </c>
      <c r="K6712" s="62"/>
      <c r="L6712" s="2">
        <f t="shared" si="942"/>
        <v>20</v>
      </c>
      <c r="M6712">
        <f t="shared" si="943"/>
        <v>0</v>
      </c>
    </row>
    <row r="6713" spans="1:13" x14ac:dyDescent="0.3">
      <c r="A6713" s="3">
        <f t="shared" si="940"/>
        <v>45948</v>
      </c>
      <c r="B6713" s="11" t="s">
        <v>6896</v>
      </c>
      <c r="C6713" s="50" t="s">
        <v>7894</v>
      </c>
      <c r="E6713" s="90" t="s">
        <v>2088</v>
      </c>
      <c r="G6713" s="2">
        <v>0</v>
      </c>
      <c r="H6713" s="2">
        <v>0</v>
      </c>
      <c r="I6713" s="88">
        <f t="shared" si="941"/>
        <v>38354.36</v>
      </c>
      <c r="K6713" s="62"/>
      <c r="L6713" s="2">
        <f t="shared" si="942"/>
        <v>5</v>
      </c>
      <c r="M6713">
        <f t="shared" si="943"/>
        <v>5</v>
      </c>
    </row>
    <row r="6714" spans="1:13" x14ac:dyDescent="0.3">
      <c r="A6714" s="3">
        <f t="shared" si="940"/>
        <v>45948</v>
      </c>
      <c r="B6714" s="11" t="s">
        <v>6289</v>
      </c>
      <c r="C6714" s="50" t="s">
        <v>6288</v>
      </c>
      <c r="E6714" s="90" t="s">
        <v>4720</v>
      </c>
      <c r="G6714" s="2">
        <v>2000</v>
      </c>
      <c r="I6714" s="88">
        <f t="shared" si="941"/>
        <v>40354.36</v>
      </c>
      <c r="K6714" s="62"/>
      <c r="L6714" s="2">
        <f t="shared" si="942"/>
        <v>8</v>
      </c>
      <c r="M6714">
        <f t="shared" si="943"/>
        <v>0</v>
      </c>
    </row>
    <row r="6715" spans="1:13" x14ac:dyDescent="0.3">
      <c r="A6715" s="3">
        <f t="shared" si="940"/>
        <v>45948</v>
      </c>
      <c r="B6715" s="11" t="s">
        <v>3232</v>
      </c>
      <c r="C6715" s="50" t="s">
        <v>9375</v>
      </c>
      <c r="E6715" s="90" t="s">
        <v>4720</v>
      </c>
      <c r="G6715" s="2">
        <v>2000</v>
      </c>
      <c r="I6715" s="88">
        <f t="shared" si="941"/>
        <v>42354.36</v>
      </c>
      <c r="K6715" s="62"/>
      <c r="L6715" s="2">
        <f t="shared" si="942"/>
        <v>8</v>
      </c>
      <c r="M6715">
        <f t="shared" si="943"/>
        <v>0</v>
      </c>
    </row>
    <row r="6716" spans="1:13" x14ac:dyDescent="0.3">
      <c r="A6716" s="3">
        <f t="shared" si="940"/>
        <v>45948</v>
      </c>
      <c r="C6716" s="50" t="s">
        <v>2857</v>
      </c>
      <c r="E6716" s="90" t="s">
        <v>8332</v>
      </c>
      <c r="H6716" s="2">
        <v>40000</v>
      </c>
      <c r="I6716" s="88">
        <f t="shared" si="941"/>
        <v>2354.3600000000006</v>
      </c>
      <c r="K6716" s="62"/>
      <c r="L6716" s="2">
        <f t="shared" si="942"/>
        <v>0</v>
      </c>
      <c r="M6716">
        <f t="shared" si="943"/>
        <v>0</v>
      </c>
    </row>
    <row r="6717" spans="1:13" x14ac:dyDescent="0.3">
      <c r="A6717" s="3">
        <f t="shared" si="940"/>
        <v>45948</v>
      </c>
      <c r="B6717" s="11" t="s">
        <v>6021</v>
      </c>
      <c r="C6717" s="50" t="s">
        <v>9376</v>
      </c>
      <c r="E6717" s="90" t="s">
        <v>2088</v>
      </c>
      <c r="G6717" s="2">
        <v>200</v>
      </c>
      <c r="I6717" s="88">
        <f t="shared" si="941"/>
        <v>2554.3600000000006</v>
      </c>
      <c r="K6717" s="62"/>
      <c r="L6717" s="2">
        <f t="shared" si="942"/>
        <v>5.8</v>
      </c>
      <c r="M6717">
        <f t="shared" si="943"/>
        <v>5</v>
      </c>
    </row>
    <row r="6718" spans="1:13" x14ac:dyDescent="0.3">
      <c r="A6718" s="3">
        <f t="shared" si="940"/>
        <v>45948</v>
      </c>
      <c r="B6718" s="11" t="s">
        <v>5076</v>
      </c>
      <c r="C6718" s="50" t="s">
        <v>9377</v>
      </c>
      <c r="E6718" s="90" t="s">
        <v>4720</v>
      </c>
      <c r="G6718" s="2">
        <v>0</v>
      </c>
      <c r="H6718" s="2">
        <v>0</v>
      </c>
      <c r="I6718" s="88">
        <f t="shared" si="941"/>
        <v>2554.3600000000006</v>
      </c>
      <c r="K6718" s="62"/>
      <c r="L6718" s="2">
        <f t="shared" si="942"/>
        <v>0</v>
      </c>
      <c r="M6718">
        <f t="shared" si="943"/>
        <v>0</v>
      </c>
    </row>
    <row r="6719" spans="1:13" x14ac:dyDescent="0.3">
      <c r="A6719" s="3">
        <f t="shared" si="940"/>
        <v>45948</v>
      </c>
      <c r="B6719" s="11" t="s">
        <v>7329</v>
      </c>
      <c r="C6719" s="50" t="s">
        <v>8632</v>
      </c>
      <c r="E6719" s="90" t="s">
        <v>2088</v>
      </c>
      <c r="G6719" s="2">
        <v>0</v>
      </c>
      <c r="H6719" s="2">
        <v>0</v>
      </c>
      <c r="I6719" s="88">
        <f t="shared" si="941"/>
        <v>2554.3600000000006</v>
      </c>
      <c r="K6719" s="62"/>
      <c r="L6719" s="2">
        <f t="shared" si="942"/>
        <v>5</v>
      </c>
      <c r="M6719">
        <f t="shared" si="943"/>
        <v>5</v>
      </c>
    </row>
    <row r="6720" spans="1:13" x14ac:dyDescent="0.3">
      <c r="A6720" s="3">
        <f t="shared" si="940"/>
        <v>45948</v>
      </c>
      <c r="B6720" s="11" t="s">
        <v>7329</v>
      </c>
      <c r="C6720" s="50" t="s">
        <v>8632</v>
      </c>
      <c r="E6720" s="90" t="s">
        <v>2088</v>
      </c>
      <c r="G6720" s="2">
        <v>3700</v>
      </c>
      <c r="H6720" s="2">
        <v>0</v>
      </c>
      <c r="I6720" s="88">
        <f t="shared" si="941"/>
        <v>6254.3600000000006</v>
      </c>
      <c r="K6720" s="62"/>
      <c r="L6720" s="2">
        <f t="shared" si="942"/>
        <v>19.8</v>
      </c>
      <c r="M6720">
        <f t="shared" si="943"/>
        <v>5</v>
      </c>
    </row>
    <row r="6721" spans="1:13" x14ac:dyDescent="0.3">
      <c r="A6721" s="3">
        <f t="shared" si="940"/>
        <v>45948</v>
      </c>
      <c r="B6721" s="11" t="s">
        <v>6289</v>
      </c>
      <c r="C6721" s="50" t="s">
        <v>6288</v>
      </c>
      <c r="E6721" s="90" t="s">
        <v>4720</v>
      </c>
      <c r="G6721" s="2">
        <v>1200</v>
      </c>
      <c r="I6721" s="88">
        <f t="shared" si="941"/>
        <v>7454.3600000000006</v>
      </c>
      <c r="K6721" s="62"/>
      <c r="L6721" s="2">
        <f t="shared" si="942"/>
        <v>4.8</v>
      </c>
      <c r="M6721">
        <f t="shared" si="943"/>
        <v>0</v>
      </c>
    </row>
    <row r="6722" spans="1:13" x14ac:dyDescent="0.3">
      <c r="A6722" s="3">
        <f t="shared" si="940"/>
        <v>45948</v>
      </c>
      <c r="B6722" s="11" t="s">
        <v>9379</v>
      </c>
      <c r="C6722" s="50" t="s">
        <v>6985</v>
      </c>
      <c r="E6722" s="90" t="s">
        <v>4720</v>
      </c>
      <c r="G6722" s="2">
        <v>3000</v>
      </c>
      <c r="I6722" s="88">
        <f t="shared" si="941"/>
        <v>10454.36</v>
      </c>
      <c r="K6722" s="62"/>
      <c r="L6722" s="2">
        <f t="shared" si="942"/>
        <v>12</v>
      </c>
      <c r="M6722">
        <f t="shared" si="943"/>
        <v>0</v>
      </c>
    </row>
    <row r="6723" spans="1:13" x14ac:dyDescent="0.3">
      <c r="A6723" s="3">
        <v>45949</v>
      </c>
      <c r="B6723" s="11" t="s">
        <v>2528</v>
      </c>
      <c r="C6723" s="50" t="s">
        <v>4207</v>
      </c>
      <c r="E6723" s="90" t="s">
        <v>2088</v>
      </c>
      <c r="G6723" s="2">
        <v>8000</v>
      </c>
      <c r="I6723" s="88">
        <f t="shared" si="941"/>
        <v>18454.36</v>
      </c>
      <c r="K6723" s="62"/>
      <c r="L6723" s="2">
        <f t="shared" si="942"/>
        <v>25</v>
      </c>
      <c r="M6723">
        <f t="shared" si="943"/>
        <v>5</v>
      </c>
    </row>
    <row r="6724" spans="1:13" x14ac:dyDescent="0.3">
      <c r="A6724" s="3">
        <f t="shared" si="940"/>
        <v>45949</v>
      </c>
      <c r="B6724" s="11" t="s">
        <v>2241</v>
      </c>
      <c r="C6724" s="50" t="s">
        <v>9380</v>
      </c>
      <c r="E6724" s="90" t="s">
        <v>4720</v>
      </c>
      <c r="G6724" s="2">
        <v>1000</v>
      </c>
      <c r="I6724" s="88">
        <f t="shared" si="941"/>
        <v>19454.36</v>
      </c>
      <c r="K6724" s="62"/>
      <c r="L6724" s="2">
        <f t="shared" si="942"/>
        <v>4</v>
      </c>
      <c r="M6724">
        <f t="shared" si="943"/>
        <v>0</v>
      </c>
    </row>
    <row r="6725" spans="1:13" x14ac:dyDescent="0.3">
      <c r="A6725" s="3">
        <f t="shared" si="940"/>
        <v>45949</v>
      </c>
      <c r="B6725" s="11" t="s">
        <v>6701</v>
      </c>
      <c r="C6725" s="50" t="s">
        <v>839</v>
      </c>
      <c r="E6725" s="90" t="s">
        <v>4720</v>
      </c>
      <c r="G6725" s="2">
        <v>2500</v>
      </c>
      <c r="I6725" s="88">
        <f t="shared" si="941"/>
        <v>21954.36</v>
      </c>
      <c r="K6725" s="62"/>
      <c r="L6725" s="2">
        <f t="shared" si="942"/>
        <v>10</v>
      </c>
      <c r="M6725">
        <f t="shared" si="943"/>
        <v>0</v>
      </c>
    </row>
    <row r="6726" spans="1:13" x14ac:dyDescent="0.3">
      <c r="A6726" s="3">
        <f t="shared" si="940"/>
        <v>45949</v>
      </c>
      <c r="B6726" s="11" t="s">
        <v>9381</v>
      </c>
      <c r="C6726" s="50" t="s">
        <v>9382</v>
      </c>
      <c r="E6726" s="90" t="s">
        <v>2088</v>
      </c>
      <c r="G6726" s="2">
        <v>0</v>
      </c>
      <c r="H6726" s="2">
        <v>0</v>
      </c>
      <c r="I6726" s="88">
        <f t="shared" si="941"/>
        <v>21954.36</v>
      </c>
      <c r="K6726" s="62"/>
      <c r="L6726" s="2">
        <f t="shared" si="942"/>
        <v>5</v>
      </c>
      <c r="M6726">
        <f t="shared" si="943"/>
        <v>5</v>
      </c>
    </row>
    <row r="6727" spans="1:13" x14ac:dyDescent="0.3">
      <c r="A6727" s="3">
        <f t="shared" si="940"/>
        <v>45949</v>
      </c>
      <c r="B6727" s="11" t="s">
        <v>9381</v>
      </c>
      <c r="C6727" s="50" t="s">
        <v>9382</v>
      </c>
      <c r="D6727" s="112">
        <v>7209811286</v>
      </c>
      <c r="E6727" s="90" t="s">
        <v>2088</v>
      </c>
      <c r="G6727" s="2">
        <v>6500</v>
      </c>
      <c r="I6727" s="88">
        <f t="shared" si="941"/>
        <v>28454.36</v>
      </c>
      <c r="K6727" s="62"/>
      <c r="L6727" s="2">
        <f t="shared" si="942"/>
        <v>25</v>
      </c>
      <c r="M6727">
        <f t="shared" si="943"/>
        <v>5</v>
      </c>
    </row>
    <row r="6728" spans="1:13" x14ac:dyDescent="0.3">
      <c r="A6728" s="3">
        <f t="shared" si="940"/>
        <v>45949</v>
      </c>
      <c r="B6728" s="11" t="s">
        <v>9356</v>
      </c>
      <c r="C6728" s="50" t="s">
        <v>9383</v>
      </c>
      <c r="E6728" s="90" t="s">
        <v>4720</v>
      </c>
      <c r="G6728" s="2">
        <v>2000</v>
      </c>
      <c r="I6728" s="88">
        <f t="shared" si="941"/>
        <v>30454.36</v>
      </c>
      <c r="K6728" s="62"/>
      <c r="L6728" s="2">
        <f t="shared" si="942"/>
        <v>8</v>
      </c>
      <c r="M6728">
        <f t="shared" si="943"/>
        <v>0</v>
      </c>
    </row>
    <row r="6729" spans="1:13" x14ac:dyDescent="0.3">
      <c r="A6729" s="3">
        <f t="shared" si="940"/>
        <v>45949</v>
      </c>
      <c r="B6729" s="11" t="s">
        <v>9385</v>
      </c>
      <c r="C6729" s="50" t="s">
        <v>9386</v>
      </c>
      <c r="E6729" s="90" t="s">
        <v>4720</v>
      </c>
      <c r="G6729" s="2">
        <v>10000</v>
      </c>
      <c r="I6729" s="88">
        <f t="shared" si="941"/>
        <v>40454.36</v>
      </c>
      <c r="K6729" s="62"/>
      <c r="L6729" s="2">
        <f t="shared" si="942"/>
        <v>20</v>
      </c>
      <c r="M6729">
        <f t="shared" si="943"/>
        <v>0</v>
      </c>
    </row>
    <row r="6730" spans="1:13" x14ac:dyDescent="0.3">
      <c r="A6730" s="3">
        <f t="shared" si="940"/>
        <v>45949</v>
      </c>
      <c r="B6730" s="11" t="s">
        <v>3232</v>
      </c>
      <c r="C6730" s="50" t="s">
        <v>9387</v>
      </c>
      <c r="E6730" s="90" t="s">
        <v>4720</v>
      </c>
      <c r="G6730" s="2">
        <v>2000</v>
      </c>
      <c r="I6730" s="88">
        <f t="shared" si="941"/>
        <v>42454.36</v>
      </c>
      <c r="K6730" s="62"/>
      <c r="L6730" s="2">
        <f t="shared" si="942"/>
        <v>8</v>
      </c>
      <c r="M6730">
        <f t="shared" si="943"/>
        <v>0</v>
      </c>
    </row>
    <row r="6731" spans="1:13" x14ac:dyDescent="0.3">
      <c r="A6731" s="3">
        <f t="shared" si="940"/>
        <v>45949</v>
      </c>
      <c r="B6731" s="11" t="s">
        <v>1160</v>
      </c>
      <c r="C6731" s="50" t="s">
        <v>9388</v>
      </c>
      <c r="E6731" s="90" t="s">
        <v>4720</v>
      </c>
      <c r="G6731" s="2">
        <v>2000</v>
      </c>
      <c r="I6731" s="88">
        <f t="shared" si="941"/>
        <v>44454.36</v>
      </c>
      <c r="K6731" s="62"/>
      <c r="L6731" s="2">
        <f t="shared" si="942"/>
        <v>8</v>
      </c>
      <c r="M6731">
        <f t="shared" si="943"/>
        <v>0</v>
      </c>
    </row>
    <row r="6732" spans="1:13" x14ac:dyDescent="0.3">
      <c r="A6732" s="3">
        <f t="shared" si="940"/>
        <v>45949</v>
      </c>
      <c r="B6732" s="11" t="s">
        <v>3039</v>
      </c>
      <c r="C6732" s="50" t="s">
        <v>9389</v>
      </c>
      <c r="D6732" s="112">
        <v>9608908781</v>
      </c>
      <c r="E6732" s="90" t="s">
        <v>4720</v>
      </c>
      <c r="G6732" s="2">
        <v>2500</v>
      </c>
      <c r="I6732" s="88">
        <f t="shared" si="941"/>
        <v>46954.36</v>
      </c>
      <c r="K6732" s="62"/>
      <c r="L6732" s="2">
        <f t="shared" ref="L6732:L6738" si="944">IF(E6732="C",0,IF((G6732+H6732)&lt;=5000,(G6732+H6732)*0.004,20)+IF(E6732="P",5,IF(E6732="Y",15,IF(E6732="YY",25))))</f>
        <v>10</v>
      </c>
      <c r="M6732">
        <f t="shared" ref="M6732:M6738" si="945">IF(E6732="p",5,0)</f>
        <v>0</v>
      </c>
    </row>
    <row r="6733" spans="1:13" x14ac:dyDescent="0.3">
      <c r="A6733" s="3">
        <f t="shared" si="940"/>
        <v>45949</v>
      </c>
      <c r="B6733" s="11" t="s">
        <v>1250</v>
      </c>
      <c r="C6733" s="50" t="s">
        <v>9390</v>
      </c>
      <c r="E6733" s="90" t="s">
        <v>4720</v>
      </c>
      <c r="G6733" s="2">
        <v>2500</v>
      </c>
      <c r="I6733" s="88">
        <f t="shared" si="941"/>
        <v>49454.36</v>
      </c>
      <c r="K6733" s="62"/>
      <c r="L6733" s="2">
        <f t="shared" si="944"/>
        <v>10</v>
      </c>
      <c r="M6733">
        <f t="shared" si="945"/>
        <v>0</v>
      </c>
    </row>
    <row r="6734" spans="1:13" x14ac:dyDescent="0.3">
      <c r="A6734" s="3">
        <f t="shared" si="940"/>
        <v>45949</v>
      </c>
      <c r="B6734" s="11" t="s">
        <v>6842</v>
      </c>
      <c r="C6734" s="50" t="s">
        <v>6843</v>
      </c>
      <c r="E6734" s="90" t="s">
        <v>2088</v>
      </c>
      <c r="G6734" s="2">
        <v>8000</v>
      </c>
      <c r="I6734" s="88">
        <f t="shared" si="941"/>
        <v>57454.36</v>
      </c>
      <c r="K6734" s="62"/>
      <c r="L6734" s="2">
        <f t="shared" si="944"/>
        <v>25</v>
      </c>
      <c r="M6734">
        <f t="shared" si="945"/>
        <v>5</v>
      </c>
    </row>
    <row r="6735" spans="1:13" x14ac:dyDescent="0.3">
      <c r="A6735" s="3">
        <f t="shared" si="940"/>
        <v>45949</v>
      </c>
      <c r="B6735" s="11" t="s">
        <v>2143</v>
      </c>
      <c r="C6735" s="50" t="s">
        <v>1279</v>
      </c>
      <c r="E6735" s="90" t="s">
        <v>4720</v>
      </c>
      <c r="H6735" s="2">
        <v>10000</v>
      </c>
      <c r="I6735" s="88">
        <f t="shared" si="941"/>
        <v>47454.36</v>
      </c>
      <c r="K6735" s="62"/>
      <c r="L6735" s="2">
        <f t="shared" si="944"/>
        <v>20</v>
      </c>
      <c r="M6735">
        <f t="shared" si="945"/>
        <v>0</v>
      </c>
    </row>
    <row r="6736" spans="1:13" x14ac:dyDescent="0.3">
      <c r="A6736" s="3">
        <f t="shared" si="940"/>
        <v>45949</v>
      </c>
      <c r="B6736" s="11" t="s">
        <v>7798</v>
      </c>
      <c r="C6736" s="50" t="s">
        <v>8441</v>
      </c>
      <c r="E6736" s="90" t="s">
        <v>4720</v>
      </c>
      <c r="G6736" s="2">
        <v>2400</v>
      </c>
      <c r="I6736" s="88">
        <f t="shared" si="941"/>
        <v>49854.36</v>
      </c>
      <c r="K6736" s="62"/>
      <c r="L6736" s="2">
        <f t="shared" si="944"/>
        <v>9.6</v>
      </c>
      <c r="M6736">
        <f t="shared" si="945"/>
        <v>0</v>
      </c>
    </row>
    <row r="6737" spans="1:13" x14ac:dyDescent="0.3">
      <c r="A6737" s="3">
        <f t="shared" si="940"/>
        <v>45949</v>
      </c>
      <c r="B6737" s="11" t="s">
        <v>3232</v>
      </c>
      <c r="C6737" s="50" t="s">
        <v>9391</v>
      </c>
      <c r="E6737" s="90" t="s">
        <v>4720</v>
      </c>
      <c r="G6737" s="2">
        <v>3000</v>
      </c>
      <c r="I6737" s="88">
        <f t="shared" si="941"/>
        <v>52854.36</v>
      </c>
      <c r="K6737" s="62"/>
      <c r="L6737" s="2">
        <f t="shared" si="944"/>
        <v>12</v>
      </c>
      <c r="M6737">
        <f t="shared" si="945"/>
        <v>0</v>
      </c>
    </row>
    <row r="6738" spans="1:13" x14ac:dyDescent="0.3">
      <c r="A6738" s="3">
        <f t="shared" si="940"/>
        <v>45949</v>
      </c>
      <c r="B6738" s="11" t="s">
        <v>1160</v>
      </c>
      <c r="C6738" s="50" t="s">
        <v>8748</v>
      </c>
      <c r="E6738" s="90" t="s">
        <v>4720</v>
      </c>
      <c r="G6738" s="2">
        <v>4500</v>
      </c>
      <c r="I6738" s="88">
        <f t="shared" si="941"/>
        <v>57354.36</v>
      </c>
      <c r="K6738" s="62"/>
      <c r="L6738" s="2">
        <f t="shared" si="944"/>
        <v>18</v>
      </c>
      <c r="M6738">
        <f t="shared" si="945"/>
        <v>0</v>
      </c>
    </row>
    <row r="6739" spans="1:13" x14ac:dyDescent="0.3">
      <c r="A6739" s="3">
        <f t="shared" si="940"/>
        <v>45949</v>
      </c>
      <c r="B6739" s="11" t="s">
        <v>4678</v>
      </c>
      <c r="C6739" s="50" t="s">
        <v>8029</v>
      </c>
      <c r="E6739" s="90" t="s">
        <v>4720</v>
      </c>
      <c r="G6739" s="2">
        <v>5000</v>
      </c>
      <c r="I6739" s="88">
        <f t="shared" si="941"/>
        <v>62354.36</v>
      </c>
      <c r="K6739" s="62"/>
      <c r="L6739" s="2">
        <f t="shared" ref="L6739:L6748" si="946">IF(E6739="C",0,IF((G6739+H6739)&lt;=5000,(G6739+H6739)*0.004,20)+IF(E6739="P",5,IF(E6739="Y",15,IF(E6739="YY",25))))</f>
        <v>20</v>
      </c>
      <c r="M6739">
        <f t="shared" ref="M6739:M6748" si="947">IF(E6739="p",5,0)</f>
        <v>0</v>
      </c>
    </row>
    <row r="6740" spans="1:13" x14ac:dyDescent="0.3">
      <c r="A6740" s="3">
        <f t="shared" si="940"/>
        <v>45949</v>
      </c>
      <c r="B6740" s="11" t="s">
        <v>8754</v>
      </c>
      <c r="C6740" s="50" t="s">
        <v>8755</v>
      </c>
      <c r="E6740" s="90" t="s">
        <v>2088</v>
      </c>
      <c r="G6740" s="2">
        <v>0</v>
      </c>
      <c r="H6740" s="2">
        <v>0</v>
      </c>
      <c r="I6740" s="88">
        <f t="shared" si="941"/>
        <v>62354.36</v>
      </c>
      <c r="K6740" s="62"/>
      <c r="L6740" s="2">
        <f t="shared" si="946"/>
        <v>5</v>
      </c>
      <c r="M6740">
        <f t="shared" si="947"/>
        <v>5</v>
      </c>
    </row>
    <row r="6741" spans="1:13" x14ac:dyDescent="0.3">
      <c r="A6741" s="3">
        <v>45950</v>
      </c>
      <c r="B6741" s="11" t="s">
        <v>1250</v>
      </c>
      <c r="C6741" s="50" t="s">
        <v>5721</v>
      </c>
      <c r="E6741" s="90" t="s">
        <v>4720</v>
      </c>
      <c r="G6741" s="2">
        <v>10000</v>
      </c>
      <c r="I6741" s="88">
        <f t="shared" si="941"/>
        <v>72354.36</v>
      </c>
      <c r="K6741" s="62"/>
      <c r="L6741" s="2">
        <f t="shared" si="946"/>
        <v>20</v>
      </c>
      <c r="M6741">
        <f t="shared" si="947"/>
        <v>0</v>
      </c>
    </row>
    <row r="6742" spans="1:13" x14ac:dyDescent="0.3">
      <c r="A6742" s="3">
        <f t="shared" si="940"/>
        <v>45950</v>
      </c>
      <c r="B6742" s="11" t="s">
        <v>9393</v>
      </c>
      <c r="C6742" s="50" t="s">
        <v>2013</v>
      </c>
      <c r="E6742" s="90" t="s">
        <v>2088</v>
      </c>
      <c r="G6742" s="2">
        <v>2900</v>
      </c>
      <c r="I6742" s="88">
        <f t="shared" si="941"/>
        <v>75254.36</v>
      </c>
      <c r="K6742" s="62"/>
      <c r="L6742" s="2">
        <f t="shared" si="946"/>
        <v>16.600000000000001</v>
      </c>
      <c r="M6742">
        <f t="shared" si="947"/>
        <v>5</v>
      </c>
    </row>
    <row r="6743" spans="1:13" x14ac:dyDescent="0.3">
      <c r="A6743" s="3">
        <f t="shared" si="940"/>
        <v>45950</v>
      </c>
      <c r="B6743" s="11" t="s">
        <v>6683</v>
      </c>
      <c r="C6743" s="50" t="s">
        <v>8067</v>
      </c>
      <c r="E6743" s="90" t="s">
        <v>4720</v>
      </c>
      <c r="H6743" s="2">
        <v>1000</v>
      </c>
      <c r="I6743" s="88">
        <f t="shared" si="941"/>
        <v>74254.36</v>
      </c>
      <c r="K6743" s="62"/>
      <c r="L6743" s="2">
        <f t="shared" si="946"/>
        <v>4</v>
      </c>
      <c r="M6743">
        <f t="shared" si="947"/>
        <v>0</v>
      </c>
    </row>
    <row r="6744" spans="1:13" x14ac:dyDescent="0.3">
      <c r="A6744" s="3">
        <f t="shared" si="940"/>
        <v>45950</v>
      </c>
      <c r="B6744" s="11" t="s">
        <v>6522</v>
      </c>
      <c r="C6744" s="50" t="s">
        <v>9394</v>
      </c>
      <c r="E6744" s="90" t="s">
        <v>4720</v>
      </c>
      <c r="G6744" s="2">
        <v>1000</v>
      </c>
      <c r="I6744" s="88">
        <f t="shared" ref="I6744:I6748" si="948">I6743+G6744-H6744</f>
        <v>75254.36</v>
      </c>
      <c r="K6744" s="62"/>
      <c r="L6744" s="2">
        <f t="shared" si="946"/>
        <v>4</v>
      </c>
      <c r="M6744">
        <f t="shared" si="947"/>
        <v>0</v>
      </c>
    </row>
    <row r="6745" spans="1:13" x14ac:dyDescent="0.3">
      <c r="A6745" s="3">
        <f t="shared" si="940"/>
        <v>45950</v>
      </c>
      <c r="B6745" s="11" t="s">
        <v>2143</v>
      </c>
      <c r="C6745" s="50" t="s">
        <v>1279</v>
      </c>
      <c r="E6745" s="90" t="s">
        <v>4720</v>
      </c>
      <c r="H6745" s="2">
        <v>10000</v>
      </c>
      <c r="I6745" s="88">
        <f t="shared" si="948"/>
        <v>65254.36</v>
      </c>
      <c r="K6745" s="62"/>
      <c r="L6745" s="2">
        <f t="shared" si="946"/>
        <v>20</v>
      </c>
      <c r="M6745">
        <f t="shared" si="947"/>
        <v>0</v>
      </c>
    </row>
    <row r="6746" spans="1:13" x14ac:dyDescent="0.3">
      <c r="A6746" s="3">
        <f t="shared" si="940"/>
        <v>45950</v>
      </c>
      <c r="B6746" s="11" t="s">
        <v>3524</v>
      </c>
      <c r="C6746" s="50" t="s">
        <v>2679</v>
      </c>
      <c r="E6746" s="90" t="s">
        <v>4720</v>
      </c>
      <c r="H6746" s="2">
        <v>10000</v>
      </c>
      <c r="I6746" s="88">
        <f t="shared" si="948"/>
        <v>55254.36</v>
      </c>
      <c r="K6746" s="62"/>
      <c r="L6746" s="2">
        <f t="shared" si="946"/>
        <v>20</v>
      </c>
      <c r="M6746">
        <f t="shared" si="947"/>
        <v>0</v>
      </c>
    </row>
    <row r="6747" spans="1:13" x14ac:dyDescent="0.3">
      <c r="A6747" s="3">
        <f t="shared" si="940"/>
        <v>45950</v>
      </c>
      <c r="B6747" s="11" t="s">
        <v>3504</v>
      </c>
      <c r="C6747" s="50" t="s">
        <v>3894</v>
      </c>
      <c r="E6747" s="90" t="s">
        <v>4720</v>
      </c>
      <c r="H6747" s="2">
        <v>10000</v>
      </c>
      <c r="I6747" s="88">
        <f t="shared" si="948"/>
        <v>45254.36</v>
      </c>
      <c r="K6747" s="62"/>
      <c r="L6747" s="2">
        <f t="shared" si="946"/>
        <v>20</v>
      </c>
      <c r="M6747">
        <f t="shared" si="947"/>
        <v>0</v>
      </c>
    </row>
    <row r="6748" spans="1:13" x14ac:dyDescent="0.3">
      <c r="A6748" s="3">
        <f t="shared" si="940"/>
        <v>45950</v>
      </c>
      <c r="B6748" s="11" t="s">
        <v>3039</v>
      </c>
      <c r="C6748" s="50" t="s">
        <v>9395</v>
      </c>
      <c r="E6748" s="90" t="s">
        <v>4720</v>
      </c>
      <c r="G6748" s="2">
        <v>5000</v>
      </c>
      <c r="I6748" s="88">
        <f t="shared" si="948"/>
        <v>50254.36</v>
      </c>
      <c r="K6748" s="62"/>
      <c r="L6748" s="2">
        <f t="shared" si="946"/>
        <v>20</v>
      </c>
      <c r="M6748">
        <f t="shared" si="947"/>
        <v>0</v>
      </c>
    </row>
    <row r="6749" spans="1:13" x14ac:dyDescent="0.3">
      <c r="A6749" s="3">
        <f t="shared" si="940"/>
        <v>45950</v>
      </c>
      <c r="B6749" s="11" t="s">
        <v>9396</v>
      </c>
      <c r="C6749" s="50" t="s">
        <v>9397</v>
      </c>
      <c r="E6749" s="90" t="s">
        <v>4720</v>
      </c>
      <c r="G6749" s="2">
        <v>3000</v>
      </c>
      <c r="I6749" s="88">
        <f t="shared" ref="I6749:I6762" si="949">I6748+G6749-H6749</f>
        <v>53254.36</v>
      </c>
      <c r="K6749" s="62"/>
      <c r="L6749" s="2">
        <f t="shared" ref="L6749:L6762" si="950">IF(E6749="C",0,IF((G6749+H6749)&lt;=5000,(G6749+H6749)*0.004,20)+IF(E6749="P",5,IF(E6749="Y",15,IF(E6749="YY",25))))</f>
        <v>12</v>
      </c>
      <c r="M6749">
        <f t="shared" ref="M6749:M6762" si="951">IF(E6749="p",5,0)</f>
        <v>0</v>
      </c>
    </row>
    <row r="6750" spans="1:13" x14ac:dyDescent="0.3">
      <c r="A6750" s="3">
        <f t="shared" si="940"/>
        <v>45950</v>
      </c>
      <c r="B6750" s="11" t="s">
        <v>2634</v>
      </c>
      <c r="C6750" s="50" t="s">
        <v>3251</v>
      </c>
      <c r="E6750" s="90" t="s">
        <v>4720</v>
      </c>
      <c r="H6750" s="2">
        <v>500</v>
      </c>
      <c r="I6750" s="88">
        <f t="shared" si="949"/>
        <v>52754.36</v>
      </c>
      <c r="K6750" s="62"/>
      <c r="L6750" s="2">
        <f t="shared" si="950"/>
        <v>2</v>
      </c>
      <c r="M6750">
        <f t="shared" si="951"/>
        <v>0</v>
      </c>
    </row>
    <row r="6751" spans="1:13" x14ac:dyDescent="0.3">
      <c r="A6751" s="3">
        <f t="shared" si="940"/>
        <v>45950</v>
      </c>
      <c r="B6751" s="11" t="s">
        <v>6892</v>
      </c>
      <c r="C6751" s="50" t="s">
        <v>6668</v>
      </c>
      <c r="E6751" s="90" t="s">
        <v>2088</v>
      </c>
      <c r="G6751" s="2">
        <v>2500</v>
      </c>
      <c r="I6751" s="88">
        <f t="shared" si="949"/>
        <v>55254.36</v>
      </c>
      <c r="K6751" s="62"/>
      <c r="L6751" s="2">
        <f t="shared" si="950"/>
        <v>15</v>
      </c>
      <c r="M6751">
        <f t="shared" si="951"/>
        <v>5</v>
      </c>
    </row>
    <row r="6752" spans="1:13" x14ac:dyDescent="0.3">
      <c r="A6752" s="3">
        <f t="shared" si="940"/>
        <v>45950</v>
      </c>
      <c r="B6752" s="11" t="s">
        <v>8900</v>
      </c>
      <c r="C6752" s="50" t="s">
        <v>9203</v>
      </c>
      <c r="D6752" s="50" t="s">
        <v>9398</v>
      </c>
      <c r="E6752" s="90" t="s">
        <v>2088</v>
      </c>
      <c r="G6752" s="2">
        <v>2500</v>
      </c>
      <c r="I6752" s="88">
        <f t="shared" si="949"/>
        <v>57754.36</v>
      </c>
      <c r="K6752" s="62"/>
      <c r="L6752" s="2">
        <f t="shared" si="950"/>
        <v>15</v>
      </c>
      <c r="M6752">
        <f t="shared" si="951"/>
        <v>5</v>
      </c>
    </row>
    <row r="6753" spans="1:13" x14ac:dyDescent="0.3">
      <c r="A6753" s="3">
        <f t="shared" si="940"/>
        <v>45950</v>
      </c>
      <c r="B6753" s="11" t="s">
        <v>5888</v>
      </c>
      <c r="C6753" s="50" t="s">
        <v>8167</v>
      </c>
      <c r="E6753" s="90" t="s">
        <v>2088</v>
      </c>
      <c r="G6753" s="2">
        <v>1000</v>
      </c>
      <c r="I6753" s="88">
        <f t="shared" si="949"/>
        <v>58754.36</v>
      </c>
      <c r="K6753" s="62"/>
      <c r="L6753" s="2">
        <f t="shared" si="950"/>
        <v>9</v>
      </c>
      <c r="M6753">
        <f t="shared" si="951"/>
        <v>5</v>
      </c>
    </row>
    <row r="6754" spans="1:13" x14ac:dyDescent="0.3">
      <c r="A6754" s="3">
        <f t="shared" si="940"/>
        <v>45950</v>
      </c>
      <c r="B6754" s="11" t="s">
        <v>5042</v>
      </c>
      <c r="C6754" s="50" t="s">
        <v>7258</v>
      </c>
      <c r="E6754" s="90" t="s">
        <v>7772</v>
      </c>
      <c r="H6754" s="2">
        <v>300</v>
      </c>
      <c r="I6754" s="88">
        <f t="shared" si="949"/>
        <v>58454.36</v>
      </c>
      <c r="K6754" s="62"/>
      <c r="L6754" s="2">
        <f t="shared" si="950"/>
        <v>6.2</v>
      </c>
      <c r="M6754">
        <f t="shared" si="951"/>
        <v>5</v>
      </c>
    </row>
    <row r="6755" spans="1:13" x14ac:dyDescent="0.3">
      <c r="A6755" s="3">
        <f t="shared" si="940"/>
        <v>45950</v>
      </c>
      <c r="B6755" s="11" t="s">
        <v>2743</v>
      </c>
      <c r="C6755" s="50" t="s">
        <v>9399</v>
      </c>
      <c r="E6755" s="90" t="s">
        <v>4720</v>
      </c>
      <c r="G6755" s="2">
        <v>3000</v>
      </c>
      <c r="I6755" s="88">
        <f t="shared" si="949"/>
        <v>61454.36</v>
      </c>
      <c r="K6755" s="62"/>
      <c r="L6755" s="2">
        <f t="shared" si="950"/>
        <v>12</v>
      </c>
      <c r="M6755">
        <f t="shared" si="951"/>
        <v>0</v>
      </c>
    </row>
    <row r="6756" spans="1:13" x14ac:dyDescent="0.3">
      <c r="A6756" s="3">
        <f t="shared" si="940"/>
        <v>45950</v>
      </c>
      <c r="B6756" s="11" t="s">
        <v>9400</v>
      </c>
      <c r="C6756" s="50" t="s">
        <v>9401</v>
      </c>
      <c r="E6756" s="90" t="s">
        <v>4720</v>
      </c>
      <c r="G6756" s="2">
        <v>3000</v>
      </c>
      <c r="I6756" s="88">
        <f t="shared" si="949"/>
        <v>64454.36</v>
      </c>
      <c r="K6756" s="62"/>
      <c r="L6756" s="2">
        <f t="shared" si="950"/>
        <v>12</v>
      </c>
      <c r="M6756">
        <f t="shared" si="951"/>
        <v>0</v>
      </c>
    </row>
    <row r="6757" spans="1:13" x14ac:dyDescent="0.3">
      <c r="A6757" s="3">
        <f t="shared" ref="A6757:A6821" si="952">A6756</f>
        <v>45950</v>
      </c>
      <c r="B6757" s="11" t="s">
        <v>8553</v>
      </c>
      <c r="C6757" s="50" t="s">
        <v>8703</v>
      </c>
      <c r="E6757" s="90" t="s">
        <v>2088</v>
      </c>
      <c r="G6757" s="2">
        <v>2800</v>
      </c>
      <c r="I6757" s="88">
        <f t="shared" si="949"/>
        <v>67254.36</v>
      </c>
      <c r="K6757" s="62"/>
      <c r="L6757" s="2">
        <f t="shared" si="950"/>
        <v>16.200000000000003</v>
      </c>
      <c r="M6757">
        <f t="shared" si="951"/>
        <v>5</v>
      </c>
    </row>
    <row r="6758" spans="1:13" x14ac:dyDescent="0.3">
      <c r="A6758" s="3">
        <f t="shared" si="952"/>
        <v>45950</v>
      </c>
      <c r="B6758" s="11" t="s">
        <v>3849</v>
      </c>
      <c r="C6758" s="50" t="s">
        <v>388</v>
      </c>
      <c r="E6758" s="90" t="s">
        <v>4720</v>
      </c>
      <c r="H6758" s="2">
        <v>2000</v>
      </c>
      <c r="I6758" s="88">
        <f t="shared" si="949"/>
        <v>65254.36</v>
      </c>
      <c r="K6758" s="62"/>
      <c r="L6758" s="2">
        <f t="shared" si="950"/>
        <v>8</v>
      </c>
      <c r="M6758">
        <f t="shared" si="951"/>
        <v>0</v>
      </c>
    </row>
    <row r="6759" spans="1:13" x14ac:dyDescent="0.3">
      <c r="A6759" s="3">
        <f t="shared" si="952"/>
        <v>45950</v>
      </c>
      <c r="B6759" s="11" t="s">
        <v>7352</v>
      </c>
      <c r="C6759" s="50" t="s">
        <v>6073</v>
      </c>
      <c r="E6759" s="90" t="s">
        <v>7772</v>
      </c>
      <c r="I6759" s="88">
        <f t="shared" si="949"/>
        <v>65254.36</v>
      </c>
      <c r="K6759" s="62"/>
      <c r="L6759" s="2">
        <f t="shared" si="950"/>
        <v>5</v>
      </c>
      <c r="M6759">
        <f t="shared" si="951"/>
        <v>5</v>
      </c>
    </row>
    <row r="6760" spans="1:13" x14ac:dyDescent="0.3">
      <c r="A6760" s="3">
        <f t="shared" si="952"/>
        <v>45950</v>
      </c>
      <c r="B6760" s="11" t="s">
        <v>7352</v>
      </c>
      <c r="C6760" s="50" t="s">
        <v>6073</v>
      </c>
      <c r="E6760" s="90" t="s">
        <v>7772</v>
      </c>
      <c r="G6760" s="2">
        <v>1000</v>
      </c>
      <c r="I6760" s="88">
        <f t="shared" si="949"/>
        <v>66254.36</v>
      </c>
      <c r="K6760" s="62"/>
      <c r="L6760" s="2">
        <f t="shared" si="950"/>
        <v>9</v>
      </c>
      <c r="M6760">
        <f t="shared" si="951"/>
        <v>5</v>
      </c>
    </row>
    <row r="6761" spans="1:13" x14ac:dyDescent="0.3">
      <c r="A6761" s="3">
        <f t="shared" si="952"/>
        <v>45950</v>
      </c>
      <c r="B6761" s="11" t="s">
        <v>3849</v>
      </c>
      <c r="C6761" s="50" t="s">
        <v>388</v>
      </c>
      <c r="E6761" s="90" t="s">
        <v>4720</v>
      </c>
      <c r="H6761" s="2">
        <v>2000</v>
      </c>
      <c r="I6761" s="88">
        <f t="shared" si="949"/>
        <v>64254.36</v>
      </c>
      <c r="K6761" s="62"/>
      <c r="L6761" s="2">
        <f t="shared" si="950"/>
        <v>8</v>
      </c>
      <c r="M6761">
        <f t="shared" si="951"/>
        <v>0</v>
      </c>
    </row>
    <row r="6762" spans="1:13" x14ac:dyDescent="0.3">
      <c r="A6762" s="3">
        <f t="shared" si="952"/>
        <v>45950</v>
      </c>
      <c r="B6762" s="11" t="s">
        <v>7834</v>
      </c>
      <c r="C6762" s="50" t="s">
        <v>8837</v>
      </c>
      <c r="E6762" s="90" t="s">
        <v>2088</v>
      </c>
      <c r="G6762" s="2">
        <v>2500</v>
      </c>
      <c r="I6762" s="88">
        <f t="shared" si="949"/>
        <v>66754.36</v>
      </c>
      <c r="K6762" s="62"/>
      <c r="L6762" s="2">
        <f t="shared" si="950"/>
        <v>15</v>
      </c>
      <c r="M6762">
        <f t="shared" si="951"/>
        <v>5</v>
      </c>
    </row>
    <row r="6763" spans="1:13" x14ac:dyDescent="0.3">
      <c r="A6763" s="3">
        <v>45953</v>
      </c>
      <c r="B6763" s="11" t="s">
        <v>9334</v>
      </c>
      <c r="E6763" s="90" t="s">
        <v>2088</v>
      </c>
      <c r="G6763" s="2">
        <v>0</v>
      </c>
      <c r="H6763" s="2">
        <v>0</v>
      </c>
      <c r="I6763" s="88">
        <f t="shared" ref="I6763:I6777" si="953">I6762+G6763-H6763</f>
        <v>66754.36</v>
      </c>
      <c r="K6763" s="62"/>
      <c r="L6763" s="2">
        <f t="shared" ref="L6763:L6777" si="954">IF(E6763="C",0,IF((G6763+H6763)&lt;=5000,(G6763+H6763)*0.004,20)+IF(E6763="P",5,IF(E6763="Y",15,IF(E6763="YY",25))))</f>
        <v>5</v>
      </c>
      <c r="M6763">
        <f t="shared" ref="M6763:M6777" si="955">IF(E6763="p",5,0)</f>
        <v>5</v>
      </c>
    </row>
    <row r="6764" spans="1:13" x14ac:dyDescent="0.3">
      <c r="A6764" s="3">
        <f t="shared" si="952"/>
        <v>45953</v>
      </c>
      <c r="B6764" s="11" t="s">
        <v>9404</v>
      </c>
      <c r="C6764" s="50" t="s">
        <v>8262</v>
      </c>
      <c r="E6764" s="90" t="s">
        <v>2088</v>
      </c>
      <c r="G6764" s="2">
        <v>0</v>
      </c>
      <c r="H6764" s="2">
        <v>0</v>
      </c>
      <c r="I6764" s="88">
        <f t="shared" si="953"/>
        <v>66754.36</v>
      </c>
      <c r="K6764" s="62"/>
      <c r="L6764" s="2">
        <f t="shared" si="954"/>
        <v>5</v>
      </c>
      <c r="M6764">
        <f t="shared" si="955"/>
        <v>5</v>
      </c>
    </row>
    <row r="6765" spans="1:13" x14ac:dyDescent="0.3">
      <c r="A6765" s="3">
        <f t="shared" si="952"/>
        <v>45953</v>
      </c>
      <c r="B6765" s="11" t="s">
        <v>9404</v>
      </c>
      <c r="C6765" s="50" t="s">
        <v>8262</v>
      </c>
      <c r="E6765" s="90" t="s">
        <v>2088</v>
      </c>
      <c r="G6765" s="2">
        <v>1000</v>
      </c>
      <c r="I6765" s="88">
        <f t="shared" si="953"/>
        <v>67754.36</v>
      </c>
      <c r="K6765" s="62"/>
      <c r="L6765" s="2">
        <f t="shared" si="954"/>
        <v>9</v>
      </c>
      <c r="M6765">
        <f t="shared" si="955"/>
        <v>5</v>
      </c>
    </row>
    <row r="6766" spans="1:13" x14ac:dyDescent="0.3">
      <c r="A6766" s="3">
        <f t="shared" si="952"/>
        <v>45953</v>
      </c>
      <c r="B6766" s="11" t="s">
        <v>3232</v>
      </c>
      <c r="C6766" s="50" t="s">
        <v>9406</v>
      </c>
      <c r="E6766" s="90" t="s">
        <v>4720</v>
      </c>
      <c r="G6766" s="2">
        <v>1300</v>
      </c>
      <c r="I6766" s="88">
        <f t="shared" si="953"/>
        <v>69054.36</v>
      </c>
      <c r="K6766" s="62"/>
      <c r="L6766" s="2">
        <f t="shared" si="954"/>
        <v>5.2</v>
      </c>
      <c r="M6766">
        <f t="shared" si="955"/>
        <v>0</v>
      </c>
    </row>
    <row r="6767" spans="1:13" x14ac:dyDescent="0.3">
      <c r="A6767" s="3">
        <f t="shared" si="952"/>
        <v>45953</v>
      </c>
      <c r="B6767" s="11" t="s">
        <v>1250</v>
      </c>
      <c r="C6767" s="50" t="s">
        <v>9405</v>
      </c>
      <c r="E6767" s="90" t="s">
        <v>4720</v>
      </c>
      <c r="G6767" s="2">
        <v>1000</v>
      </c>
      <c r="I6767" s="88">
        <f t="shared" si="953"/>
        <v>70054.36</v>
      </c>
      <c r="K6767" s="62"/>
      <c r="L6767" s="2">
        <f t="shared" si="954"/>
        <v>4</v>
      </c>
      <c r="M6767">
        <f t="shared" si="955"/>
        <v>0</v>
      </c>
    </row>
    <row r="6768" spans="1:13" x14ac:dyDescent="0.3">
      <c r="A6768" s="3">
        <f t="shared" si="952"/>
        <v>45953</v>
      </c>
      <c r="C6768" s="50" t="s">
        <v>2857</v>
      </c>
      <c r="E6768" s="90" t="s">
        <v>8332</v>
      </c>
      <c r="H6768" s="2">
        <v>50000</v>
      </c>
      <c r="I6768" s="88">
        <f t="shared" si="953"/>
        <v>20054.36</v>
      </c>
      <c r="K6768" s="62"/>
      <c r="L6768" s="2">
        <f t="shared" si="954"/>
        <v>0</v>
      </c>
      <c r="M6768">
        <f t="shared" si="955"/>
        <v>0</v>
      </c>
    </row>
    <row r="6769" spans="1:13" x14ac:dyDescent="0.3">
      <c r="A6769" s="3">
        <f t="shared" si="952"/>
        <v>45953</v>
      </c>
      <c r="B6769" s="11" t="s">
        <v>7659</v>
      </c>
      <c r="C6769" s="50" t="s">
        <v>3941</v>
      </c>
      <c r="E6769" s="90" t="s">
        <v>2088</v>
      </c>
      <c r="G6769" s="2">
        <v>2000</v>
      </c>
      <c r="I6769" s="88">
        <f t="shared" si="953"/>
        <v>22054.36</v>
      </c>
      <c r="K6769" s="62"/>
      <c r="L6769" s="2">
        <f t="shared" si="954"/>
        <v>13</v>
      </c>
      <c r="M6769">
        <f t="shared" si="955"/>
        <v>5</v>
      </c>
    </row>
    <row r="6770" spans="1:13" x14ac:dyDescent="0.3">
      <c r="A6770" s="3">
        <f t="shared" si="952"/>
        <v>45953</v>
      </c>
      <c r="B6770" s="11" t="s">
        <v>1250</v>
      </c>
      <c r="C6770" s="50" t="s">
        <v>2626</v>
      </c>
      <c r="E6770" s="90" t="s">
        <v>4720</v>
      </c>
      <c r="G6770" s="2">
        <v>500</v>
      </c>
      <c r="I6770" s="88">
        <f t="shared" si="953"/>
        <v>22554.36</v>
      </c>
      <c r="K6770" s="62"/>
      <c r="L6770" s="2">
        <f t="shared" si="954"/>
        <v>2</v>
      </c>
      <c r="M6770">
        <f t="shared" si="955"/>
        <v>0</v>
      </c>
    </row>
    <row r="6771" spans="1:13" x14ac:dyDescent="0.3">
      <c r="A6771" s="3">
        <f t="shared" si="952"/>
        <v>45953</v>
      </c>
      <c r="B6771" s="11" t="s">
        <v>5323</v>
      </c>
      <c r="C6771" s="50" t="s">
        <v>5321</v>
      </c>
      <c r="E6771" s="90" t="s">
        <v>2088</v>
      </c>
      <c r="G6771" s="2">
        <v>0</v>
      </c>
      <c r="H6771" s="2">
        <v>0</v>
      </c>
      <c r="I6771" s="88">
        <f t="shared" si="953"/>
        <v>22554.36</v>
      </c>
      <c r="K6771" s="62"/>
      <c r="L6771" s="2">
        <f t="shared" si="954"/>
        <v>5</v>
      </c>
      <c r="M6771">
        <f t="shared" si="955"/>
        <v>5</v>
      </c>
    </row>
    <row r="6772" spans="1:13" x14ac:dyDescent="0.3">
      <c r="A6772" s="3">
        <f t="shared" si="952"/>
        <v>45953</v>
      </c>
      <c r="B6772" s="11" t="s">
        <v>5323</v>
      </c>
      <c r="C6772" s="50" t="s">
        <v>5321</v>
      </c>
      <c r="E6772" s="90" t="s">
        <v>2088</v>
      </c>
      <c r="G6772" s="2">
        <v>7500</v>
      </c>
      <c r="I6772" s="88">
        <f t="shared" si="953"/>
        <v>30054.36</v>
      </c>
      <c r="K6772" s="62"/>
      <c r="L6772" s="2">
        <f t="shared" si="954"/>
        <v>25</v>
      </c>
      <c r="M6772">
        <f t="shared" si="955"/>
        <v>5</v>
      </c>
    </row>
    <row r="6773" spans="1:13" x14ac:dyDescent="0.3">
      <c r="A6773" s="3">
        <f t="shared" si="952"/>
        <v>45953</v>
      </c>
      <c r="B6773" s="11" t="s">
        <v>4081</v>
      </c>
      <c r="C6773" s="50" t="s">
        <v>4870</v>
      </c>
      <c r="E6773" s="90" t="s">
        <v>2088</v>
      </c>
      <c r="G6773" s="2">
        <v>0</v>
      </c>
      <c r="H6773" s="2">
        <v>0</v>
      </c>
      <c r="I6773" s="88">
        <f t="shared" si="953"/>
        <v>30054.36</v>
      </c>
      <c r="K6773" s="62"/>
      <c r="L6773" s="2">
        <f t="shared" si="954"/>
        <v>5</v>
      </c>
      <c r="M6773">
        <f t="shared" si="955"/>
        <v>5</v>
      </c>
    </row>
    <row r="6774" spans="1:13" x14ac:dyDescent="0.3">
      <c r="A6774" s="3">
        <f t="shared" si="952"/>
        <v>45953</v>
      </c>
      <c r="B6774" s="11" t="s">
        <v>8880</v>
      </c>
      <c r="C6774" s="50" t="s">
        <v>9407</v>
      </c>
      <c r="E6774" s="90" t="s">
        <v>2088</v>
      </c>
      <c r="G6774" s="2">
        <v>4000</v>
      </c>
      <c r="I6774" s="88">
        <f t="shared" si="953"/>
        <v>34054.36</v>
      </c>
      <c r="K6774" s="62"/>
      <c r="L6774" s="2">
        <f t="shared" si="954"/>
        <v>21</v>
      </c>
      <c r="M6774">
        <f t="shared" si="955"/>
        <v>5</v>
      </c>
    </row>
    <row r="6775" spans="1:13" x14ac:dyDescent="0.3">
      <c r="A6775" s="3">
        <v>45954</v>
      </c>
      <c r="B6775" s="11" t="s">
        <v>4520</v>
      </c>
      <c r="C6775" s="50" t="s">
        <v>8383</v>
      </c>
      <c r="E6775" s="90" t="s">
        <v>2088</v>
      </c>
      <c r="G6775" s="2">
        <v>4000</v>
      </c>
      <c r="I6775" s="88">
        <f t="shared" si="953"/>
        <v>38054.36</v>
      </c>
      <c r="K6775" s="62"/>
      <c r="L6775" s="2">
        <f t="shared" si="954"/>
        <v>21</v>
      </c>
      <c r="M6775">
        <f t="shared" si="955"/>
        <v>5</v>
      </c>
    </row>
    <row r="6776" spans="1:13" x14ac:dyDescent="0.3">
      <c r="A6776" s="3">
        <f t="shared" si="952"/>
        <v>45954</v>
      </c>
      <c r="B6776" s="11" t="s">
        <v>3877</v>
      </c>
      <c r="C6776" s="50" t="s">
        <v>9163</v>
      </c>
      <c r="E6776" s="90" t="s">
        <v>2088</v>
      </c>
      <c r="G6776" s="2">
        <v>0</v>
      </c>
      <c r="H6776" s="2">
        <v>0</v>
      </c>
      <c r="I6776" s="88">
        <f t="shared" si="953"/>
        <v>38054.36</v>
      </c>
      <c r="K6776" s="62"/>
      <c r="L6776" s="2">
        <f t="shared" si="954"/>
        <v>5</v>
      </c>
      <c r="M6776">
        <f t="shared" si="955"/>
        <v>5</v>
      </c>
    </row>
    <row r="6777" spans="1:13" x14ac:dyDescent="0.3">
      <c r="A6777" s="3">
        <f t="shared" si="952"/>
        <v>45954</v>
      </c>
      <c r="B6777" s="11" t="s">
        <v>3877</v>
      </c>
      <c r="C6777" s="50" t="s">
        <v>9163</v>
      </c>
      <c r="D6777" s="50">
        <v>9142715553</v>
      </c>
      <c r="E6777" s="90" t="s">
        <v>2088</v>
      </c>
      <c r="G6777" s="2">
        <v>1000</v>
      </c>
      <c r="I6777" s="88">
        <f t="shared" si="953"/>
        <v>39054.36</v>
      </c>
      <c r="K6777" s="62"/>
      <c r="L6777" s="2">
        <f t="shared" si="954"/>
        <v>9</v>
      </c>
      <c r="M6777">
        <f t="shared" si="955"/>
        <v>5</v>
      </c>
    </row>
    <row r="6778" spans="1:13" x14ac:dyDescent="0.3">
      <c r="A6778" s="3">
        <f t="shared" si="952"/>
        <v>45954</v>
      </c>
      <c r="B6778" s="11" t="s">
        <v>7329</v>
      </c>
      <c r="C6778" s="50" t="s">
        <v>8632</v>
      </c>
      <c r="E6778" s="90" t="s">
        <v>2088</v>
      </c>
      <c r="G6778" s="2">
        <v>0</v>
      </c>
      <c r="H6778" s="2">
        <v>0</v>
      </c>
      <c r="I6778" s="88">
        <f t="shared" ref="I6778:I6824" si="956">I6777+G6778-H6778</f>
        <v>39054.36</v>
      </c>
      <c r="K6778" s="62"/>
      <c r="L6778" s="2">
        <f t="shared" ref="L6778:L6790" si="957">IF(E6778="C",0,IF((G6778+H6778)&lt;=5000,(G6778+H6778)*0.004,20)+IF(E6778="P",5,IF(E6778="Y",15,IF(E6778="YY",25))))</f>
        <v>5</v>
      </c>
      <c r="M6778">
        <f t="shared" ref="M6778:M6790" si="958">IF(E6778="p",5,0)</f>
        <v>5</v>
      </c>
    </row>
    <row r="6779" spans="1:13" x14ac:dyDescent="0.3">
      <c r="A6779" s="3">
        <f t="shared" si="952"/>
        <v>45954</v>
      </c>
      <c r="B6779" s="11" t="s">
        <v>7329</v>
      </c>
      <c r="C6779" s="50" t="s">
        <v>8632</v>
      </c>
      <c r="E6779" s="90" t="s">
        <v>2088</v>
      </c>
      <c r="G6779" s="2">
        <v>3700</v>
      </c>
      <c r="I6779" s="88">
        <f t="shared" si="956"/>
        <v>42754.36</v>
      </c>
      <c r="K6779" s="62"/>
      <c r="L6779" s="2">
        <f t="shared" si="957"/>
        <v>19.8</v>
      </c>
      <c r="M6779">
        <f t="shared" si="958"/>
        <v>5</v>
      </c>
    </row>
    <row r="6780" spans="1:13" x14ac:dyDescent="0.3">
      <c r="A6780" s="3">
        <f t="shared" si="952"/>
        <v>45954</v>
      </c>
      <c r="B6780" s="11" t="s">
        <v>7547</v>
      </c>
      <c r="C6780" s="50" t="s">
        <v>6685</v>
      </c>
      <c r="E6780" s="90" t="s">
        <v>4720</v>
      </c>
      <c r="G6780" s="2">
        <v>2900</v>
      </c>
      <c r="I6780" s="88">
        <f t="shared" si="956"/>
        <v>45654.36</v>
      </c>
      <c r="K6780" s="62"/>
      <c r="L6780" s="2">
        <f t="shared" si="957"/>
        <v>11.6</v>
      </c>
      <c r="M6780">
        <f t="shared" si="958"/>
        <v>0</v>
      </c>
    </row>
    <row r="6781" spans="1:13" x14ac:dyDescent="0.3">
      <c r="A6781" s="3">
        <f t="shared" si="952"/>
        <v>45954</v>
      </c>
      <c r="B6781" s="11" t="s">
        <v>6743</v>
      </c>
      <c r="C6781" s="50" t="s">
        <v>9408</v>
      </c>
      <c r="E6781" s="90" t="s">
        <v>2088</v>
      </c>
      <c r="G6781" s="2">
        <v>5000</v>
      </c>
      <c r="I6781" s="88">
        <f t="shared" si="956"/>
        <v>50654.36</v>
      </c>
      <c r="K6781" s="62"/>
      <c r="L6781" s="2">
        <f t="shared" si="957"/>
        <v>25</v>
      </c>
      <c r="M6781">
        <f t="shared" si="958"/>
        <v>5</v>
      </c>
    </row>
    <row r="6782" spans="1:13" x14ac:dyDescent="0.3">
      <c r="A6782" s="3">
        <f t="shared" si="952"/>
        <v>45954</v>
      </c>
      <c r="B6782" s="11" t="s">
        <v>9410</v>
      </c>
      <c r="C6782" s="50" t="s">
        <v>9416</v>
      </c>
      <c r="E6782" s="90" t="s">
        <v>14</v>
      </c>
      <c r="H6782" s="2">
        <v>500</v>
      </c>
      <c r="I6782" s="88">
        <f t="shared" si="956"/>
        <v>50154.36</v>
      </c>
      <c r="K6782" s="62"/>
      <c r="L6782" s="2">
        <f t="shared" si="957"/>
        <v>17</v>
      </c>
      <c r="M6782">
        <f t="shared" si="958"/>
        <v>0</v>
      </c>
    </row>
    <row r="6783" spans="1:13" x14ac:dyDescent="0.3">
      <c r="A6783" s="3">
        <f t="shared" si="952"/>
        <v>45954</v>
      </c>
      <c r="B6783" s="11" t="s">
        <v>9414</v>
      </c>
      <c r="C6783" s="50" t="s">
        <v>9415</v>
      </c>
      <c r="E6783" s="90" t="s">
        <v>8364</v>
      </c>
      <c r="H6783" s="2">
        <v>2000</v>
      </c>
      <c r="I6783" s="88">
        <f t="shared" si="956"/>
        <v>48154.36</v>
      </c>
      <c r="K6783" s="62"/>
      <c r="L6783" s="2">
        <f t="shared" si="957"/>
        <v>33</v>
      </c>
      <c r="M6783">
        <f t="shared" si="958"/>
        <v>0</v>
      </c>
    </row>
    <row r="6784" spans="1:13" x14ac:dyDescent="0.3">
      <c r="A6784" s="3">
        <f t="shared" si="952"/>
        <v>45954</v>
      </c>
      <c r="B6784" s="11" t="s">
        <v>1250</v>
      </c>
      <c r="C6784" s="50" t="s">
        <v>6288</v>
      </c>
      <c r="E6784" s="90" t="s">
        <v>4720</v>
      </c>
      <c r="G6784" s="2">
        <v>2000</v>
      </c>
      <c r="I6784" s="88">
        <f t="shared" si="956"/>
        <v>50154.36</v>
      </c>
      <c r="K6784" s="62"/>
      <c r="L6784" s="2">
        <f t="shared" si="957"/>
        <v>8</v>
      </c>
      <c r="M6784">
        <f t="shared" si="958"/>
        <v>0</v>
      </c>
    </row>
    <row r="6785" spans="1:13" x14ac:dyDescent="0.3">
      <c r="A6785" s="3">
        <f t="shared" si="952"/>
        <v>45954</v>
      </c>
      <c r="B6785" s="11" t="s">
        <v>8806</v>
      </c>
      <c r="C6785" s="50" t="s">
        <v>2615</v>
      </c>
      <c r="E6785" s="90" t="s">
        <v>2088</v>
      </c>
      <c r="G6785" s="2">
        <v>1000</v>
      </c>
      <c r="I6785" s="88">
        <f t="shared" si="956"/>
        <v>51154.36</v>
      </c>
      <c r="K6785" s="62"/>
      <c r="L6785" s="2">
        <f t="shared" si="957"/>
        <v>9</v>
      </c>
      <c r="M6785">
        <f t="shared" si="958"/>
        <v>5</v>
      </c>
    </row>
    <row r="6786" spans="1:13" x14ac:dyDescent="0.3">
      <c r="A6786" s="3">
        <f t="shared" si="952"/>
        <v>45954</v>
      </c>
      <c r="B6786" s="11" t="s">
        <v>8893</v>
      </c>
      <c r="C6786" s="50" t="s">
        <v>8894</v>
      </c>
      <c r="E6786" s="90" t="s">
        <v>2088</v>
      </c>
      <c r="G6786" s="2">
        <v>2500</v>
      </c>
      <c r="I6786" s="88">
        <f t="shared" si="956"/>
        <v>53654.36</v>
      </c>
      <c r="K6786" s="62"/>
      <c r="L6786" s="2">
        <f t="shared" si="957"/>
        <v>15</v>
      </c>
      <c r="M6786">
        <f t="shared" si="958"/>
        <v>5</v>
      </c>
    </row>
    <row r="6787" spans="1:13" x14ac:dyDescent="0.3">
      <c r="A6787" s="3">
        <f t="shared" si="952"/>
        <v>45954</v>
      </c>
      <c r="C6787" s="50" t="s">
        <v>2857</v>
      </c>
      <c r="E6787" s="90" t="s">
        <v>8332</v>
      </c>
      <c r="H6787" s="2">
        <v>50000</v>
      </c>
      <c r="I6787" s="88">
        <f t="shared" si="956"/>
        <v>3654.3600000000006</v>
      </c>
      <c r="K6787" s="62"/>
      <c r="L6787" s="2">
        <f t="shared" si="957"/>
        <v>0</v>
      </c>
      <c r="M6787">
        <f t="shared" si="958"/>
        <v>0</v>
      </c>
    </row>
    <row r="6788" spans="1:13" x14ac:dyDescent="0.3">
      <c r="A6788" s="3">
        <f t="shared" si="952"/>
        <v>45954</v>
      </c>
      <c r="B6788" s="11" t="s">
        <v>2351</v>
      </c>
      <c r="C6788" s="50" t="s">
        <v>5083</v>
      </c>
      <c r="D6788" s="71">
        <v>6299431638</v>
      </c>
      <c r="E6788" s="90" t="s">
        <v>4720</v>
      </c>
      <c r="G6788" s="2">
        <v>200</v>
      </c>
      <c r="I6788" s="88">
        <f t="shared" si="956"/>
        <v>3854.3600000000006</v>
      </c>
      <c r="K6788" s="62"/>
      <c r="L6788" s="2">
        <f t="shared" si="957"/>
        <v>0.8</v>
      </c>
      <c r="M6788">
        <f t="shared" si="958"/>
        <v>0</v>
      </c>
    </row>
    <row r="6789" spans="1:13" x14ac:dyDescent="0.3">
      <c r="A6789" s="3">
        <f t="shared" si="952"/>
        <v>45954</v>
      </c>
      <c r="B6789" s="11" t="s">
        <v>4678</v>
      </c>
      <c r="C6789" s="50" t="s">
        <v>8029</v>
      </c>
      <c r="E6789" s="90" t="s">
        <v>4720</v>
      </c>
      <c r="G6789" s="2">
        <v>1800</v>
      </c>
      <c r="I6789" s="88">
        <f t="shared" si="956"/>
        <v>5654.3600000000006</v>
      </c>
      <c r="K6789" s="62"/>
      <c r="L6789" s="2">
        <f t="shared" si="957"/>
        <v>7.2</v>
      </c>
      <c r="M6789">
        <f t="shared" si="958"/>
        <v>0</v>
      </c>
    </row>
    <row r="6790" spans="1:13" x14ac:dyDescent="0.3">
      <c r="A6790" s="3">
        <f t="shared" si="952"/>
        <v>45954</v>
      </c>
      <c r="B6790" s="11" t="s">
        <v>7859</v>
      </c>
      <c r="C6790" s="50" t="s">
        <v>7858</v>
      </c>
      <c r="E6790" s="90" t="s">
        <v>2088</v>
      </c>
      <c r="G6790" s="2">
        <v>5000</v>
      </c>
      <c r="I6790" s="88">
        <f t="shared" si="956"/>
        <v>10654.36</v>
      </c>
      <c r="K6790" s="62"/>
      <c r="L6790" s="2">
        <f t="shared" si="957"/>
        <v>25</v>
      </c>
      <c r="M6790">
        <f t="shared" si="958"/>
        <v>5</v>
      </c>
    </row>
    <row r="6791" spans="1:13" x14ac:dyDescent="0.3">
      <c r="A6791" s="3">
        <f t="shared" si="952"/>
        <v>45954</v>
      </c>
      <c r="B6791" s="11" t="s">
        <v>7870</v>
      </c>
      <c r="C6791" s="50" t="s">
        <v>9417</v>
      </c>
      <c r="D6791" s="71">
        <v>8969763506</v>
      </c>
      <c r="E6791" s="90" t="s">
        <v>4720</v>
      </c>
      <c r="G6791" s="2">
        <v>2000</v>
      </c>
      <c r="I6791" s="88">
        <f t="shared" si="956"/>
        <v>12654.36</v>
      </c>
      <c r="K6791" s="62"/>
      <c r="L6791" s="2">
        <f t="shared" ref="L6791:L6805" si="959">IF(E6791="C",0,IF((G6791+H6791)&lt;=5000,(G6791+H6791)*0.004,20)+IF(E6791="P",5,IF(E6791="Y",15,IF(E6791="YY",25))))</f>
        <v>8</v>
      </c>
      <c r="M6791">
        <f t="shared" ref="M6791:M6805" si="960">IF(E6791="p",5,0)</f>
        <v>0</v>
      </c>
    </row>
    <row r="6792" spans="1:13" x14ac:dyDescent="0.3">
      <c r="A6792" s="3">
        <f t="shared" si="952"/>
        <v>45954</v>
      </c>
      <c r="B6792" s="11" t="s">
        <v>9419</v>
      </c>
      <c r="C6792" s="50" t="s">
        <v>9418</v>
      </c>
      <c r="D6792" s="50">
        <v>8210164031</v>
      </c>
      <c r="E6792" s="90" t="s">
        <v>4720</v>
      </c>
      <c r="G6792" s="2">
        <v>10000</v>
      </c>
      <c r="I6792" s="88">
        <f t="shared" si="956"/>
        <v>22654.36</v>
      </c>
      <c r="K6792" s="62"/>
      <c r="L6792" s="2">
        <f t="shared" si="959"/>
        <v>20</v>
      </c>
      <c r="M6792">
        <f t="shared" si="960"/>
        <v>0</v>
      </c>
    </row>
    <row r="6793" spans="1:13" x14ac:dyDescent="0.3">
      <c r="A6793" s="3">
        <f t="shared" si="952"/>
        <v>45954</v>
      </c>
      <c r="G6793" s="2">
        <v>1000</v>
      </c>
      <c r="I6793" s="88">
        <f t="shared" si="956"/>
        <v>23654.36</v>
      </c>
      <c r="K6793" s="62"/>
      <c r="L6793" s="2">
        <f t="shared" si="959"/>
        <v>4</v>
      </c>
      <c r="M6793">
        <f t="shared" si="960"/>
        <v>0</v>
      </c>
    </row>
    <row r="6794" spans="1:13" x14ac:dyDescent="0.3">
      <c r="A6794" s="3">
        <f>A6792</f>
        <v>45954</v>
      </c>
      <c r="B6794" s="11" t="s">
        <v>7108</v>
      </c>
      <c r="C6794" s="50" t="s">
        <v>9182</v>
      </c>
      <c r="E6794" s="90" t="s">
        <v>4720</v>
      </c>
      <c r="G6794" s="2">
        <v>2000</v>
      </c>
      <c r="I6794" s="88">
        <f t="shared" si="956"/>
        <v>25654.36</v>
      </c>
      <c r="K6794" s="62"/>
      <c r="L6794" s="2">
        <f t="shared" si="959"/>
        <v>8</v>
      </c>
      <c r="M6794">
        <f t="shared" si="960"/>
        <v>0</v>
      </c>
    </row>
    <row r="6795" spans="1:13" x14ac:dyDescent="0.3">
      <c r="A6795" s="3">
        <f t="shared" si="952"/>
        <v>45954</v>
      </c>
      <c r="B6795" s="11" t="s">
        <v>6728</v>
      </c>
      <c r="C6795" s="50" t="s">
        <v>8346</v>
      </c>
      <c r="E6795" s="90" t="s">
        <v>2088</v>
      </c>
      <c r="G6795" s="2">
        <v>0</v>
      </c>
      <c r="H6795" s="2">
        <v>0</v>
      </c>
      <c r="I6795" s="88">
        <f t="shared" si="956"/>
        <v>25654.36</v>
      </c>
      <c r="K6795" s="62"/>
      <c r="L6795" s="2">
        <f t="shared" si="959"/>
        <v>5</v>
      </c>
      <c r="M6795">
        <f t="shared" si="960"/>
        <v>5</v>
      </c>
    </row>
    <row r="6796" spans="1:13" x14ac:dyDescent="0.3">
      <c r="A6796" s="3">
        <f t="shared" si="952"/>
        <v>45954</v>
      </c>
      <c r="B6796" s="11" t="s">
        <v>6728</v>
      </c>
      <c r="C6796" s="50" t="s">
        <v>8346</v>
      </c>
      <c r="E6796" s="90" t="s">
        <v>2088</v>
      </c>
      <c r="G6796" s="2">
        <v>5000</v>
      </c>
      <c r="I6796" s="88">
        <f t="shared" si="956"/>
        <v>30654.36</v>
      </c>
      <c r="K6796" s="62"/>
      <c r="L6796" s="2">
        <f t="shared" si="959"/>
        <v>25</v>
      </c>
      <c r="M6796">
        <f t="shared" si="960"/>
        <v>5</v>
      </c>
    </row>
    <row r="6797" spans="1:13" x14ac:dyDescent="0.3">
      <c r="A6797" s="3">
        <v>45955</v>
      </c>
      <c r="B6797" s="11" t="s">
        <v>1250</v>
      </c>
      <c r="C6797" s="50" t="s">
        <v>5721</v>
      </c>
      <c r="E6797" s="90" t="s">
        <v>4720</v>
      </c>
      <c r="G6797" s="2">
        <v>8800</v>
      </c>
      <c r="I6797" s="88">
        <f t="shared" si="956"/>
        <v>39454.36</v>
      </c>
      <c r="K6797" s="62"/>
      <c r="L6797" s="2">
        <f t="shared" si="959"/>
        <v>20</v>
      </c>
      <c r="M6797">
        <f t="shared" si="960"/>
        <v>0</v>
      </c>
    </row>
    <row r="6798" spans="1:13" x14ac:dyDescent="0.3">
      <c r="A6798" s="3">
        <f t="shared" si="952"/>
        <v>45955</v>
      </c>
      <c r="C6798" s="114" t="s">
        <v>4215</v>
      </c>
      <c r="E6798" s="90" t="s">
        <v>4720</v>
      </c>
      <c r="G6798" s="64">
        <v>1600</v>
      </c>
      <c r="I6798" s="88">
        <f t="shared" si="956"/>
        <v>41054.36</v>
      </c>
      <c r="K6798" s="62"/>
      <c r="L6798" s="2">
        <f t="shared" si="959"/>
        <v>6.4</v>
      </c>
      <c r="M6798">
        <f t="shared" si="960"/>
        <v>0</v>
      </c>
    </row>
    <row r="6799" spans="1:13" x14ac:dyDescent="0.3">
      <c r="A6799" s="3">
        <f t="shared" si="952"/>
        <v>45955</v>
      </c>
      <c r="B6799" s="11" t="s">
        <v>6486</v>
      </c>
      <c r="C6799" s="50" t="s">
        <v>8763</v>
      </c>
      <c r="E6799" s="90" t="s">
        <v>2088</v>
      </c>
      <c r="G6799" s="2">
        <v>2000</v>
      </c>
      <c r="I6799" s="88">
        <f t="shared" si="956"/>
        <v>43054.36</v>
      </c>
      <c r="K6799" s="62"/>
      <c r="L6799" s="2">
        <f t="shared" si="959"/>
        <v>13</v>
      </c>
      <c r="M6799">
        <f t="shared" si="960"/>
        <v>5</v>
      </c>
    </row>
    <row r="6800" spans="1:13" x14ac:dyDescent="0.3">
      <c r="A6800" s="3">
        <f t="shared" si="952"/>
        <v>45955</v>
      </c>
      <c r="B6800" s="11" t="s">
        <v>1250</v>
      </c>
      <c r="C6800" s="50" t="s">
        <v>7470</v>
      </c>
      <c r="E6800" s="90" t="s">
        <v>4720</v>
      </c>
      <c r="G6800" s="2">
        <v>2300</v>
      </c>
      <c r="I6800" s="88">
        <f t="shared" si="956"/>
        <v>45354.36</v>
      </c>
      <c r="K6800" s="62"/>
      <c r="L6800" s="2">
        <f t="shared" si="959"/>
        <v>9.2000000000000011</v>
      </c>
      <c r="M6800">
        <f t="shared" si="960"/>
        <v>0</v>
      </c>
    </row>
    <row r="6801" spans="1:13" x14ac:dyDescent="0.3">
      <c r="A6801" s="3">
        <f t="shared" si="952"/>
        <v>45955</v>
      </c>
      <c r="B6801" s="11" t="s">
        <v>1250</v>
      </c>
      <c r="C6801" s="50" t="s">
        <v>6288</v>
      </c>
      <c r="E6801" s="90" t="s">
        <v>4720</v>
      </c>
      <c r="G6801" s="2">
        <v>1000</v>
      </c>
      <c r="I6801" s="88">
        <f t="shared" si="956"/>
        <v>46354.36</v>
      </c>
      <c r="K6801" s="62"/>
      <c r="L6801" s="2">
        <f t="shared" si="959"/>
        <v>4</v>
      </c>
      <c r="M6801">
        <f t="shared" si="960"/>
        <v>0</v>
      </c>
    </row>
    <row r="6802" spans="1:13" x14ac:dyDescent="0.3">
      <c r="A6802" s="3">
        <f t="shared" si="952"/>
        <v>45955</v>
      </c>
      <c r="B6802" s="11" t="s">
        <v>1160</v>
      </c>
      <c r="C6802" s="50" t="s">
        <v>9423</v>
      </c>
      <c r="E6802" s="90" t="s">
        <v>4720</v>
      </c>
      <c r="G6802" s="2">
        <v>2000</v>
      </c>
      <c r="I6802" s="88">
        <f t="shared" si="956"/>
        <v>48354.36</v>
      </c>
      <c r="K6802" s="62"/>
      <c r="L6802" s="2">
        <f t="shared" si="959"/>
        <v>8</v>
      </c>
      <c r="M6802">
        <f t="shared" si="960"/>
        <v>0</v>
      </c>
    </row>
    <row r="6803" spans="1:13" x14ac:dyDescent="0.3">
      <c r="A6803" s="3">
        <f t="shared" si="952"/>
        <v>45955</v>
      </c>
      <c r="C6803" s="50" t="s">
        <v>5522</v>
      </c>
      <c r="E6803" s="90" t="s">
        <v>4720</v>
      </c>
      <c r="H6803" s="2">
        <v>10000</v>
      </c>
      <c r="I6803" s="88">
        <f t="shared" si="956"/>
        <v>38354.36</v>
      </c>
      <c r="K6803" s="62"/>
      <c r="L6803" s="2">
        <f t="shared" si="959"/>
        <v>20</v>
      </c>
      <c r="M6803">
        <f t="shared" si="960"/>
        <v>0</v>
      </c>
    </row>
    <row r="6804" spans="1:13" x14ac:dyDescent="0.3">
      <c r="A6804" s="3">
        <f t="shared" si="952"/>
        <v>45955</v>
      </c>
      <c r="B6804" s="11" t="s">
        <v>5771</v>
      </c>
      <c r="C6804" s="50" t="s">
        <v>8873</v>
      </c>
      <c r="E6804" s="90" t="s">
        <v>2088</v>
      </c>
      <c r="G6804" s="2">
        <v>1000</v>
      </c>
      <c r="I6804" s="88">
        <f t="shared" si="956"/>
        <v>39354.36</v>
      </c>
      <c r="K6804" s="62"/>
      <c r="L6804" s="2">
        <f t="shared" si="959"/>
        <v>9</v>
      </c>
      <c r="M6804">
        <f t="shared" si="960"/>
        <v>5</v>
      </c>
    </row>
    <row r="6805" spans="1:13" x14ac:dyDescent="0.3">
      <c r="A6805" s="3">
        <f t="shared" si="952"/>
        <v>45955</v>
      </c>
      <c r="B6805" s="11" t="s">
        <v>5771</v>
      </c>
      <c r="C6805" s="50" t="s">
        <v>8873</v>
      </c>
      <c r="E6805" s="90" t="s">
        <v>2088</v>
      </c>
      <c r="H6805" s="2">
        <v>0</v>
      </c>
      <c r="I6805" s="88">
        <f t="shared" si="956"/>
        <v>39354.36</v>
      </c>
      <c r="K6805" s="62"/>
      <c r="L6805" s="2">
        <f t="shared" si="959"/>
        <v>5</v>
      </c>
      <c r="M6805">
        <f t="shared" si="960"/>
        <v>5</v>
      </c>
    </row>
    <row r="6806" spans="1:13" x14ac:dyDescent="0.3">
      <c r="A6806" s="3">
        <f t="shared" si="952"/>
        <v>45955</v>
      </c>
      <c r="C6806" s="50" t="s">
        <v>3894</v>
      </c>
      <c r="E6806" s="90" t="s">
        <v>4720</v>
      </c>
      <c r="H6806" s="2">
        <v>10000</v>
      </c>
      <c r="I6806" s="88">
        <f t="shared" si="956"/>
        <v>29354.36</v>
      </c>
      <c r="K6806" s="62"/>
      <c r="L6806" s="2">
        <f t="shared" ref="L6806:L6824" si="961">IF(E6806="C",0,IF((G6806+H6806)&lt;=5000,(G6806+H6806)*0.004,20)+IF(E6806="P",5,IF(E6806="Y",15,IF(E6806="YY",25))))</f>
        <v>20</v>
      </c>
      <c r="M6806">
        <f t="shared" ref="M6806:M6824" si="962">IF(E6806="p",5,0)</f>
        <v>0</v>
      </c>
    </row>
    <row r="6807" spans="1:13" x14ac:dyDescent="0.3">
      <c r="A6807" s="3">
        <f t="shared" si="952"/>
        <v>45955</v>
      </c>
      <c r="C6807" s="50" t="s">
        <v>9424</v>
      </c>
      <c r="E6807" s="90" t="s">
        <v>4720</v>
      </c>
      <c r="H6807" s="2">
        <v>10000</v>
      </c>
      <c r="I6807" s="88">
        <f t="shared" si="956"/>
        <v>19354.36</v>
      </c>
      <c r="K6807" s="62"/>
      <c r="L6807" s="2">
        <f t="shared" si="961"/>
        <v>20</v>
      </c>
      <c r="M6807">
        <f t="shared" si="962"/>
        <v>0</v>
      </c>
    </row>
    <row r="6808" spans="1:13" x14ac:dyDescent="0.3">
      <c r="A6808" s="3">
        <f t="shared" si="952"/>
        <v>45955</v>
      </c>
      <c r="B6808" s="11" t="s">
        <v>6522</v>
      </c>
      <c r="C6808" s="50" t="s">
        <v>9425</v>
      </c>
      <c r="E6808" s="90" t="s">
        <v>4720</v>
      </c>
      <c r="G6808" s="2">
        <v>6000</v>
      </c>
      <c r="I6808" s="88">
        <f t="shared" si="956"/>
        <v>25354.36</v>
      </c>
      <c r="K6808" s="62"/>
      <c r="L6808" s="2">
        <f t="shared" si="961"/>
        <v>20</v>
      </c>
      <c r="M6808">
        <f t="shared" si="962"/>
        <v>0</v>
      </c>
    </row>
    <row r="6809" spans="1:13" x14ac:dyDescent="0.3">
      <c r="A6809" s="3">
        <f t="shared" si="952"/>
        <v>45955</v>
      </c>
      <c r="B6809" s="11" t="s">
        <v>1250</v>
      </c>
      <c r="E6809" s="90" t="s">
        <v>4720</v>
      </c>
      <c r="G6809" s="2">
        <v>3800</v>
      </c>
      <c r="I6809" s="88">
        <f t="shared" si="956"/>
        <v>29154.36</v>
      </c>
      <c r="K6809" s="62"/>
      <c r="L6809" s="2">
        <f t="shared" si="961"/>
        <v>15.200000000000001</v>
      </c>
      <c r="M6809">
        <f t="shared" si="962"/>
        <v>0</v>
      </c>
    </row>
    <row r="6810" spans="1:13" x14ac:dyDescent="0.3">
      <c r="A6810" s="3">
        <f>A6808</f>
        <v>45955</v>
      </c>
      <c r="B6810" s="11" t="s">
        <v>3915</v>
      </c>
      <c r="C6810" s="50" t="s">
        <v>7874</v>
      </c>
      <c r="E6810" s="90" t="s">
        <v>4720</v>
      </c>
      <c r="G6810" s="2">
        <v>3500</v>
      </c>
      <c r="I6810" s="88">
        <f t="shared" si="956"/>
        <v>32654.36</v>
      </c>
      <c r="K6810" s="62"/>
      <c r="L6810" s="2">
        <f t="shared" si="961"/>
        <v>14</v>
      </c>
      <c r="M6810">
        <f t="shared" si="962"/>
        <v>0</v>
      </c>
    </row>
    <row r="6811" spans="1:13" x14ac:dyDescent="0.3">
      <c r="A6811" s="3">
        <f t="shared" si="952"/>
        <v>45955</v>
      </c>
      <c r="B6811" s="11" t="s">
        <v>1250</v>
      </c>
      <c r="C6811" s="50" t="s">
        <v>9426</v>
      </c>
      <c r="D6811" s="50">
        <v>6206344407</v>
      </c>
      <c r="E6811" s="90" t="s">
        <v>4720</v>
      </c>
      <c r="G6811" s="2">
        <v>10000</v>
      </c>
      <c r="I6811" s="88">
        <f t="shared" si="956"/>
        <v>42654.36</v>
      </c>
      <c r="K6811" s="62"/>
      <c r="L6811" s="2">
        <f t="shared" si="961"/>
        <v>20</v>
      </c>
      <c r="M6811">
        <f t="shared" si="962"/>
        <v>0</v>
      </c>
    </row>
    <row r="6812" spans="1:13" x14ac:dyDescent="0.3">
      <c r="A6812" s="3">
        <f t="shared" si="952"/>
        <v>45955</v>
      </c>
      <c r="B6812" s="11" t="s">
        <v>8955</v>
      </c>
      <c r="C6812" s="50" t="s">
        <v>191</v>
      </c>
      <c r="E6812" s="90" t="s">
        <v>2088</v>
      </c>
      <c r="G6812" s="2">
        <v>0</v>
      </c>
      <c r="H6812" s="2">
        <v>0</v>
      </c>
      <c r="I6812" s="88">
        <f t="shared" si="956"/>
        <v>42654.36</v>
      </c>
      <c r="K6812" s="62"/>
      <c r="L6812" s="2">
        <f t="shared" si="961"/>
        <v>5</v>
      </c>
      <c r="M6812">
        <f t="shared" si="962"/>
        <v>5</v>
      </c>
    </row>
    <row r="6813" spans="1:13" x14ac:dyDescent="0.3">
      <c r="A6813" s="3">
        <f t="shared" si="952"/>
        <v>45955</v>
      </c>
      <c r="B6813" s="11" t="s">
        <v>8553</v>
      </c>
      <c r="C6813" s="50" t="s">
        <v>9427</v>
      </c>
      <c r="E6813" s="90" t="s">
        <v>2088</v>
      </c>
      <c r="G6813" s="2">
        <v>2000</v>
      </c>
      <c r="I6813" s="88">
        <f t="shared" si="956"/>
        <v>44654.36</v>
      </c>
      <c r="K6813" s="62"/>
      <c r="L6813" s="2">
        <f t="shared" si="961"/>
        <v>13</v>
      </c>
      <c r="M6813">
        <f t="shared" si="962"/>
        <v>5</v>
      </c>
    </row>
    <row r="6814" spans="1:13" x14ac:dyDescent="0.3">
      <c r="A6814" s="3">
        <f t="shared" si="952"/>
        <v>45955</v>
      </c>
      <c r="B6814" s="11" t="s">
        <v>6260</v>
      </c>
      <c r="C6814" s="50" t="s">
        <v>9428</v>
      </c>
      <c r="E6814" s="90" t="s">
        <v>4720</v>
      </c>
      <c r="H6814" s="2">
        <v>4000</v>
      </c>
      <c r="I6814" s="88">
        <f t="shared" si="956"/>
        <v>40654.36</v>
      </c>
      <c r="K6814" s="62"/>
      <c r="L6814" s="2">
        <f t="shared" si="961"/>
        <v>16</v>
      </c>
      <c r="M6814">
        <f t="shared" si="962"/>
        <v>0</v>
      </c>
    </row>
    <row r="6815" spans="1:13" x14ac:dyDescent="0.3">
      <c r="A6815" s="3">
        <f t="shared" si="952"/>
        <v>45955</v>
      </c>
      <c r="B6815" s="11" t="s">
        <v>3148</v>
      </c>
      <c r="C6815" s="50" t="s">
        <v>9429</v>
      </c>
      <c r="E6815" s="90" t="s">
        <v>4720</v>
      </c>
      <c r="G6815" s="2">
        <v>4500</v>
      </c>
      <c r="I6815" s="88">
        <f t="shared" si="956"/>
        <v>45154.36</v>
      </c>
      <c r="K6815" s="62"/>
      <c r="L6815" s="2">
        <f t="shared" si="961"/>
        <v>18</v>
      </c>
      <c r="M6815">
        <f t="shared" si="962"/>
        <v>0</v>
      </c>
    </row>
    <row r="6816" spans="1:13" x14ac:dyDescent="0.3">
      <c r="A6816" s="3">
        <f t="shared" si="952"/>
        <v>45955</v>
      </c>
      <c r="B6816" s="11" t="s">
        <v>9432</v>
      </c>
      <c r="C6816" s="50" t="s">
        <v>9433</v>
      </c>
      <c r="E6816" s="90" t="s">
        <v>2088</v>
      </c>
      <c r="G6816" s="2">
        <v>0</v>
      </c>
      <c r="H6816" s="2">
        <v>0</v>
      </c>
      <c r="I6816" s="88">
        <f t="shared" si="956"/>
        <v>45154.36</v>
      </c>
      <c r="K6816" s="62"/>
      <c r="L6816" s="2">
        <f t="shared" si="961"/>
        <v>5</v>
      </c>
      <c r="M6816">
        <f t="shared" si="962"/>
        <v>5</v>
      </c>
    </row>
    <row r="6817" spans="1:19" x14ac:dyDescent="0.3">
      <c r="A6817" s="3">
        <v>45956</v>
      </c>
      <c r="B6817" s="11" t="s">
        <v>5355</v>
      </c>
      <c r="C6817" s="50" t="s">
        <v>9436</v>
      </c>
      <c r="E6817" s="90" t="s">
        <v>2088</v>
      </c>
      <c r="G6817" s="2">
        <v>1000</v>
      </c>
      <c r="I6817" s="88">
        <f t="shared" si="956"/>
        <v>46154.36</v>
      </c>
      <c r="K6817" s="62"/>
      <c r="L6817" s="2">
        <f t="shared" si="961"/>
        <v>9</v>
      </c>
      <c r="M6817">
        <f t="shared" si="962"/>
        <v>5</v>
      </c>
    </row>
    <row r="6818" spans="1:19" x14ac:dyDescent="0.3">
      <c r="A6818" s="3">
        <f t="shared" si="952"/>
        <v>45956</v>
      </c>
      <c r="B6818" s="11" t="s">
        <v>3232</v>
      </c>
      <c r="C6818" s="50" t="s">
        <v>9437</v>
      </c>
      <c r="E6818" s="90" t="s">
        <v>4720</v>
      </c>
      <c r="G6818" s="2">
        <v>1000</v>
      </c>
      <c r="I6818" s="88">
        <f t="shared" si="956"/>
        <v>47154.36</v>
      </c>
      <c r="K6818" s="62"/>
      <c r="L6818" s="2">
        <f t="shared" si="961"/>
        <v>4</v>
      </c>
      <c r="M6818">
        <f t="shared" si="962"/>
        <v>0</v>
      </c>
    </row>
    <row r="6819" spans="1:19" x14ac:dyDescent="0.3">
      <c r="A6819" s="3">
        <v>45957</v>
      </c>
      <c r="B6819" s="11" t="s">
        <v>9438</v>
      </c>
      <c r="C6819" s="50" t="s">
        <v>9439</v>
      </c>
      <c r="E6819" s="90" t="s">
        <v>4720</v>
      </c>
      <c r="H6819" s="2">
        <v>20000</v>
      </c>
      <c r="I6819" s="88">
        <f t="shared" si="956"/>
        <v>27154.36</v>
      </c>
      <c r="K6819" s="62"/>
      <c r="L6819" s="2">
        <f t="shared" si="961"/>
        <v>20</v>
      </c>
      <c r="M6819">
        <f t="shared" si="962"/>
        <v>0</v>
      </c>
    </row>
    <row r="6820" spans="1:19" x14ac:dyDescent="0.3">
      <c r="A6820" s="3">
        <f t="shared" si="952"/>
        <v>45957</v>
      </c>
      <c r="B6820" s="11" t="s">
        <v>8320</v>
      </c>
      <c r="C6820" s="50" t="s">
        <v>9440</v>
      </c>
      <c r="E6820" s="90" t="s">
        <v>4720</v>
      </c>
      <c r="G6820" s="2">
        <v>1500</v>
      </c>
      <c r="I6820" s="88">
        <f t="shared" si="956"/>
        <v>28654.36</v>
      </c>
      <c r="K6820" s="62"/>
      <c r="L6820" s="2">
        <f t="shared" si="961"/>
        <v>6</v>
      </c>
      <c r="M6820">
        <f t="shared" si="962"/>
        <v>0</v>
      </c>
      <c r="Q6820" t="s">
        <v>4688</v>
      </c>
      <c r="R6820" t="s">
        <v>4687</v>
      </c>
    </row>
    <row r="6821" spans="1:19" x14ac:dyDescent="0.3">
      <c r="A6821" s="3">
        <f t="shared" si="952"/>
        <v>45957</v>
      </c>
      <c r="B6821" s="11" t="s">
        <v>3148</v>
      </c>
      <c r="C6821" s="50" t="s">
        <v>9440</v>
      </c>
      <c r="E6821" s="90" t="s">
        <v>4720</v>
      </c>
      <c r="G6821" s="2">
        <v>1500</v>
      </c>
      <c r="I6821" s="88">
        <f t="shared" si="956"/>
        <v>30154.36</v>
      </c>
      <c r="K6821" s="62"/>
      <c r="L6821" s="2">
        <f t="shared" si="961"/>
        <v>6</v>
      </c>
      <c r="M6821">
        <f t="shared" si="962"/>
        <v>0</v>
      </c>
    </row>
    <row r="6822" spans="1:19" x14ac:dyDescent="0.3">
      <c r="A6822" s="3">
        <f t="shared" ref="A6822:A6846" si="963">A6821</f>
        <v>45957</v>
      </c>
      <c r="B6822" s="11" t="s">
        <v>5659</v>
      </c>
      <c r="C6822" s="50" t="s">
        <v>5660</v>
      </c>
      <c r="E6822" s="90" t="s">
        <v>2088</v>
      </c>
      <c r="G6822" s="2">
        <v>5000</v>
      </c>
      <c r="I6822" s="88">
        <f t="shared" si="956"/>
        <v>35154.36</v>
      </c>
      <c r="K6822" s="62"/>
      <c r="L6822" s="2">
        <f t="shared" si="961"/>
        <v>25</v>
      </c>
      <c r="M6822">
        <f t="shared" si="962"/>
        <v>5</v>
      </c>
      <c r="Q6822">
        <f>SUM(G6819:G6830)+1000</f>
        <v>36500</v>
      </c>
      <c r="R6822">
        <f>H6819+H6828+15000</f>
        <v>37000</v>
      </c>
      <c r="S6822">
        <f>R6822-Q6822</f>
        <v>500</v>
      </c>
    </row>
    <row r="6823" spans="1:19" x14ac:dyDescent="0.3">
      <c r="A6823" s="3">
        <f t="shared" si="963"/>
        <v>45957</v>
      </c>
      <c r="B6823" s="11" t="s">
        <v>8156</v>
      </c>
      <c r="C6823" s="50" t="s">
        <v>9441</v>
      </c>
      <c r="E6823" s="90" t="s">
        <v>4720</v>
      </c>
      <c r="G6823" s="2">
        <v>10000</v>
      </c>
      <c r="I6823" s="88">
        <f t="shared" si="956"/>
        <v>45154.36</v>
      </c>
      <c r="K6823" s="62"/>
      <c r="L6823" s="2">
        <f t="shared" si="961"/>
        <v>20</v>
      </c>
      <c r="M6823">
        <f t="shared" si="962"/>
        <v>0</v>
      </c>
    </row>
    <row r="6824" spans="1:19" x14ac:dyDescent="0.3">
      <c r="A6824" s="3">
        <f t="shared" si="963"/>
        <v>45957</v>
      </c>
      <c r="B6824" s="11" t="s">
        <v>1160</v>
      </c>
      <c r="C6824" s="50" t="s">
        <v>8616</v>
      </c>
      <c r="E6824" s="90" t="s">
        <v>4720</v>
      </c>
      <c r="G6824" s="2">
        <v>10000</v>
      </c>
      <c r="I6824" s="88">
        <f t="shared" si="956"/>
        <v>55154.36</v>
      </c>
      <c r="K6824" s="62"/>
      <c r="L6824" s="2">
        <f t="shared" si="961"/>
        <v>20</v>
      </c>
      <c r="M6824">
        <f t="shared" si="962"/>
        <v>0</v>
      </c>
    </row>
    <row r="6825" spans="1:19" x14ac:dyDescent="0.3">
      <c r="A6825" s="3">
        <f t="shared" si="963"/>
        <v>45957</v>
      </c>
      <c r="C6825" s="50" t="s">
        <v>5522</v>
      </c>
      <c r="E6825" s="90" t="s">
        <v>4720</v>
      </c>
      <c r="H6825" s="2">
        <v>10000</v>
      </c>
      <c r="I6825" s="88">
        <f t="shared" ref="I6825:I6835" si="964">I6824+G6825-H6825</f>
        <v>45154.36</v>
      </c>
      <c r="K6825" s="62"/>
      <c r="L6825" s="2">
        <f t="shared" ref="L6825:L6835" si="965">IF(E6825="C",0,IF((G6825+H6825)&lt;=5000,(G6825+H6825)*0.004,20)+IF(E6825="P",5,IF(E6825="Y",15,IF(E6825="YY",25))))</f>
        <v>20</v>
      </c>
      <c r="M6825">
        <f t="shared" ref="M6825:M6835" si="966">IF(E6825="p",5,0)</f>
        <v>0</v>
      </c>
    </row>
    <row r="6826" spans="1:19" x14ac:dyDescent="0.3">
      <c r="A6826" s="3">
        <f t="shared" si="963"/>
        <v>45957</v>
      </c>
      <c r="B6826" s="11" t="s">
        <v>3524</v>
      </c>
      <c r="C6826" s="50" t="s">
        <v>2679</v>
      </c>
      <c r="E6826" s="90" t="s">
        <v>4720</v>
      </c>
      <c r="H6826" s="54">
        <v>10000</v>
      </c>
      <c r="I6826" s="88">
        <f t="shared" si="964"/>
        <v>35154.36</v>
      </c>
      <c r="K6826" s="62"/>
      <c r="L6826" s="2">
        <f t="shared" si="965"/>
        <v>20</v>
      </c>
      <c r="M6826">
        <f t="shared" si="966"/>
        <v>0</v>
      </c>
    </row>
    <row r="6827" spans="1:19" x14ac:dyDescent="0.3">
      <c r="A6827" s="3">
        <f t="shared" si="963"/>
        <v>45957</v>
      </c>
      <c r="B6827" s="11" t="s">
        <v>1250</v>
      </c>
      <c r="C6827" s="50" t="s">
        <v>9426</v>
      </c>
      <c r="E6827" s="90" t="s">
        <v>4720</v>
      </c>
      <c r="F6827" s="4">
        <v>30</v>
      </c>
      <c r="G6827" s="2">
        <v>2500</v>
      </c>
      <c r="I6827" s="88">
        <f t="shared" si="964"/>
        <v>37654.36</v>
      </c>
      <c r="K6827" s="62"/>
      <c r="L6827" s="2">
        <f t="shared" si="965"/>
        <v>10</v>
      </c>
      <c r="M6827">
        <f t="shared" si="966"/>
        <v>0</v>
      </c>
      <c r="Q6827">
        <f>40500+9000+6000+5000+10000</f>
        <v>70500</v>
      </c>
    </row>
    <row r="6828" spans="1:19" x14ac:dyDescent="0.3">
      <c r="A6828" s="3">
        <f t="shared" si="963"/>
        <v>45957</v>
      </c>
      <c r="B6828" s="11" t="s">
        <v>9447</v>
      </c>
      <c r="E6828" s="90" t="s">
        <v>16</v>
      </c>
      <c r="H6828" s="2">
        <v>2000</v>
      </c>
      <c r="I6828" s="88">
        <f t="shared" si="964"/>
        <v>35654.36</v>
      </c>
      <c r="K6828" s="62"/>
      <c r="L6828" s="2">
        <f t="shared" si="965"/>
        <v>23</v>
      </c>
      <c r="M6828">
        <f t="shared" si="966"/>
        <v>0</v>
      </c>
    </row>
    <row r="6829" spans="1:19" x14ac:dyDescent="0.3">
      <c r="A6829" s="3">
        <f t="shared" si="963"/>
        <v>45957</v>
      </c>
      <c r="B6829" s="11" t="s">
        <v>1472</v>
      </c>
      <c r="C6829" s="50" t="s">
        <v>9448</v>
      </c>
      <c r="E6829" s="90" t="s">
        <v>4720</v>
      </c>
      <c r="G6829" s="2">
        <v>3000</v>
      </c>
      <c r="I6829" s="88">
        <f t="shared" si="964"/>
        <v>38654.36</v>
      </c>
      <c r="K6829" s="62"/>
      <c r="L6829" s="2">
        <f t="shared" si="965"/>
        <v>12</v>
      </c>
      <c r="M6829">
        <f t="shared" si="966"/>
        <v>0</v>
      </c>
    </row>
    <row r="6830" spans="1:19" x14ac:dyDescent="0.3">
      <c r="A6830" s="3">
        <f t="shared" si="963"/>
        <v>45957</v>
      </c>
      <c r="B6830" s="11" t="s">
        <v>1472</v>
      </c>
      <c r="C6830" s="50" t="s">
        <v>9449</v>
      </c>
      <c r="E6830" s="90" t="s">
        <v>4720</v>
      </c>
      <c r="G6830" s="2">
        <v>2000</v>
      </c>
      <c r="I6830" s="88">
        <f t="shared" si="964"/>
        <v>40654.36</v>
      </c>
      <c r="K6830" s="62"/>
      <c r="L6830" s="2">
        <f t="shared" si="965"/>
        <v>8</v>
      </c>
      <c r="M6830">
        <f t="shared" si="966"/>
        <v>0</v>
      </c>
      <c r="Q6830">
        <f>80000-Q6827</f>
        <v>9500</v>
      </c>
    </row>
    <row r="6831" spans="1:19" x14ac:dyDescent="0.3">
      <c r="A6831" s="3">
        <v>45958</v>
      </c>
      <c r="C6831" s="50" t="s">
        <v>2857</v>
      </c>
      <c r="E6831" s="90" t="s">
        <v>8332</v>
      </c>
      <c r="H6831" s="2">
        <v>40000</v>
      </c>
      <c r="I6831" s="88">
        <f t="shared" si="964"/>
        <v>654.36000000000058</v>
      </c>
      <c r="K6831" s="62"/>
      <c r="L6831" s="2">
        <f t="shared" si="965"/>
        <v>0</v>
      </c>
      <c r="M6831">
        <f t="shared" si="966"/>
        <v>0</v>
      </c>
    </row>
    <row r="6832" spans="1:19" x14ac:dyDescent="0.3">
      <c r="A6832" s="3">
        <f t="shared" si="963"/>
        <v>45958</v>
      </c>
      <c r="B6832" s="11" t="s">
        <v>8659</v>
      </c>
      <c r="C6832" s="50" t="s">
        <v>9450</v>
      </c>
      <c r="E6832" s="90" t="s">
        <v>4720</v>
      </c>
      <c r="G6832" s="2">
        <v>1000</v>
      </c>
      <c r="I6832" s="88">
        <f t="shared" si="964"/>
        <v>1654.3600000000006</v>
      </c>
      <c r="K6832" s="62"/>
      <c r="L6832" s="2">
        <f t="shared" si="965"/>
        <v>4</v>
      </c>
      <c r="M6832">
        <f t="shared" si="966"/>
        <v>0</v>
      </c>
    </row>
    <row r="6833" spans="1:13" x14ac:dyDescent="0.3">
      <c r="A6833" s="3">
        <f t="shared" si="963"/>
        <v>45958</v>
      </c>
      <c r="B6833" s="11" t="s">
        <v>7250</v>
      </c>
      <c r="C6833" s="50" t="s">
        <v>7251</v>
      </c>
      <c r="E6833" s="90" t="s">
        <v>2088</v>
      </c>
      <c r="G6833" s="2">
        <v>5000</v>
      </c>
      <c r="I6833" s="88">
        <f t="shared" si="964"/>
        <v>6654.3600000000006</v>
      </c>
      <c r="K6833" s="62"/>
      <c r="L6833" s="2">
        <f t="shared" si="965"/>
        <v>25</v>
      </c>
      <c r="M6833">
        <f t="shared" si="966"/>
        <v>5</v>
      </c>
    </row>
    <row r="6834" spans="1:13" x14ac:dyDescent="0.3">
      <c r="A6834" s="3">
        <f t="shared" si="963"/>
        <v>45958</v>
      </c>
      <c r="B6834" s="11" t="s">
        <v>8320</v>
      </c>
      <c r="C6834" s="50" t="s">
        <v>9451</v>
      </c>
      <c r="E6834" s="90" t="s">
        <v>4720</v>
      </c>
      <c r="G6834" s="2">
        <v>2500</v>
      </c>
      <c r="I6834" s="88">
        <f t="shared" si="964"/>
        <v>9154.36</v>
      </c>
      <c r="K6834" s="62"/>
      <c r="L6834" s="2">
        <f t="shared" si="965"/>
        <v>10</v>
      </c>
      <c r="M6834">
        <f t="shared" si="966"/>
        <v>0</v>
      </c>
    </row>
    <row r="6835" spans="1:13" x14ac:dyDescent="0.3">
      <c r="A6835" s="3">
        <f t="shared" si="963"/>
        <v>45958</v>
      </c>
      <c r="B6835" s="11" t="s">
        <v>2581</v>
      </c>
      <c r="C6835" s="50" t="s">
        <v>9452</v>
      </c>
      <c r="E6835" s="90" t="s">
        <v>4720</v>
      </c>
      <c r="G6835" s="2">
        <v>8000</v>
      </c>
      <c r="I6835" s="88">
        <f t="shared" si="964"/>
        <v>17154.36</v>
      </c>
      <c r="K6835" s="62"/>
      <c r="L6835" s="2">
        <f t="shared" si="965"/>
        <v>20</v>
      </c>
      <c r="M6835">
        <f t="shared" si="966"/>
        <v>0</v>
      </c>
    </row>
    <row r="6836" spans="1:13" x14ac:dyDescent="0.3">
      <c r="A6836" s="3">
        <f t="shared" si="963"/>
        <v>45958</v>
      </c>
      <c r="B6836" s="11" t="s">
        <v>6728</v>
      </c>
      <c r="C6836" s="50" t="s">
        <v>9175</v>
      </c>
      <c r="E6836" s="90" t="s">
        <v>2088</v>
      </c>
      <c r="G6836" s="2">
        <v>3000</v>
      </c>
      <c r="I6836" s="88">
        <f t="shared" ref="I6836:I6846" si="967">I6835+G6836-H6836</f>
        <v>20154.36</v>
      </c>
      <c r="K6836" s="62"/>
      <c r="L6836" s="2">
        <f t="shared" ref="L6836:L6846" si="968">IF(E6836="C",0,IF((G6836+H6836)&lt;=5000,(G6836+H6836)*0.004,20)+IF(E6836="P",5,IF(E6836="Y",15,IF(E6836="YY",25))))</f>
        <v>17</v>
      </c>
      <c r="M6836">
        <f t="shared" ref="M6836:M6846" si="969">IF(E6836="p",5,0)</f>
        <v>5</v>
      </c>
    </row>
    <row r="6837" spans="1:13" x14ac:dyDescent="0.3">
      <c r="A6837" s="3">
        <f t="shared" si="963"/>
        <v>45958</v>
      </c>
      <c r="B6837" s="11" t="s">
        <v>8163</v>
      </c>
      <c r="C6837" s="50" t="s">
        <v>5963</v>
      </c>
      <c r="E6837" s="90" t="s">
        <v>4720</v>
      </c>
      <c r="G6837" s="2">
        <v>3000</v>
      </c>
      <c r="I6837" s="88">
        <f t="shared" si="967"/>
        <v>23154.36</v>
      </c>
      <c r="K6837" s="62"/>
      <c r="L6837" s="2">
        <f t="shared" si="968"/>
        <v>12</v>
      </c>
      <c r="M6837">
        <f t="shared" si="969"/>
        <v>0</v>
      </c>
    </row>
    <row r="6838" spans="1:13" x14ac:dyDescent="0.3">
      <c r="A6838" s="3">
        <v>45961</v>
      </c>
      <c r="B6838" s="11" t="s">
        <v>5355</v>
      </c>
      <c r="C6838" s="50" t="s">
        <v>5357</v>
      </c>
      <c r="E6838" s="90" t="s">
        <v>2088</v>
      </c>
      <c r="G6838" s="2">
        <v>4000</v>
      </c>
      <c r="I6838" s="88">
        <f t="shared" si="967"/>
        <v>27154.36</v>
      </c>
      <c r="K6838" s="62"/>
      <c r="L6838" s="2">
        <f t="shared" si="968"/>
        <v>21</v>
      </c>
      <c r="M6838">
        <f t="shared" si="969"/>
        <v>5</v>
      </c>
    </row>
    <row r="6839" spans="1:13" x14ac:dyDescent="0.3">
      <c r="A6839" s="3">
        <f t="shared" si="963"/>
        <v>45961</v>
      </c>
      <c r="B6839" s="11" t="s">
        <v>9140</v>
      </c>
      <c r="C6839" s="50" t="s">
        <v>9453</v>
      </c>
      <c r="E6839" s="90" t="s">
        <v>7772</v>
      </c>
      <c r="G6839" s="2">
        <v>2000</v>
      </c>
      <c r="I6839" s="88">
        <f t="shared" si="967"/>
        <v>29154.36</v>
      </c>
      <c r="K6839" s="62"/>
      <c r="L6839" s="2">
        <f t="shared" si="968"/>
        <v>13</v>
      </c>
      <c r="M6839">
        <f t="shared" si="969"/>
        <v>5</v>
      </c>
    </row>
    <row r="6840" spans="1:13" x14ac:dyDescent="0.3">
      <c r="A6840" s="3">
        <f t="shared" si="963"/>
        <v>45961</v>
      </c>
      <c r="E6840" s="90" t="s">
        <v>14</v>
      </c>
      <c r="H6840" s="2">
        <v>500</v>
      </c>
      <c r="I6840" s="88">
        <f t="shared" si="967"/>
        <v>28654.36</v>
      </c>
      <c r="K6840" s="62"/>
      <c r="L6840" s="2">
        <f t="shared" si="968"/>
        <v>17</v>
      </c>
      <c r="M6840">
        <f t="shared" si="969"/>
        <v>0</v>
      </c>
    </row>
    <row r="6841" spans="1:13" x14ac:dyDescent="0.3">
      <c r="A6841" s="3">
        <f t="shared" si="963"/>
        <v>45961</v>
      </c>
      <c r="B6841" s="11" t="s">
        <v>6906</v>
      </c>
      <c r="C6841" s="50" t="s">
        <v>9455</v>
      </c>
      <c r="E6841" s="90" t="s">
        <v>2088</v>
      </c>
      <c r="G6841" s="2">
        <v>3000</v>
      </c>
      <c r="I6841" s="88">
        <f t="shared" si="967"/>
        <v>31654.36</v>
      </c>
      <c r="K6841" s="62"/>
      <c r="L6841" s="2">
        <f t="shared" si="968"/>
        <v>17</v>
      </c>
      <c r="M6841">
        <f t="shared" si="969"/>
        <v>5</v>
      </c>
    </row>
    <row r="6842" spans="1:13" x14ac:dyDescent="0.3">
      <c r="A6842" s="3">
        <f t="shared" si="963"/>
        <v>45961</v>
      </c>
      <c r="B6842" s="11" t="s">
        <v>7471</v>
      </c>
      <c r="C6842" s="50" t="s">
        <v>6612</v>
      </c>
      <c r="E6842" s="90" t="s">
        <v>2088</v>
      </c>
      <c r="G6842" s="2">
        <v>3000</v>
      </c>
      <c r="I6842" s="88">
        <f t="shared" si="967"/>
        <v>34654.36</v>
      </c>
      <c r="K6842" s="62"/>
      <c r="L6842" s="2">
        <f t="shared" si="968"/>
        <v>17</v>
      </c>
      <c r="M6842">
        <f t="shared" si="969"/>
        <v>5</v>
      </c>
    </row>
    <row r="6843" spans="1:13" x14ac:dyDescent="0.3">
      <c r="A6843" s="3">
        <f t="shared" si="963"/>
        <v>45961</v>
      </c>
      <c r="C6843" s="50" t="s">
        <v>2857</v>
      </c>
      <c r="E6843" s="90" t="s">
        <v>8332</v>
      </c>
      <c r="H6843" s="2">
        <v>30000</v>
      </c>
      <c r="I6843" s="88">
        <f t="shared" si="967"/>
        <v>4654.3600000000006</v>
      </c>
      <c r="K6843" s="62"/>
      <c r="L6843" s="2">
        <f t="shared" si="968"/>
        <v>0</v>
      </c>
      <c r="M6843">
        <f t="shared" si="969"/>
        <v>0</v>
      </c>
    </row>
    <row r="6844" spans="1:13" x14ac:dyDescent="0.3">
      <c r="A6844" s="3"/>
      <c r="H6844" s="2">
        <v>2800</v>
      </c>
      <c r="I6844" s="88">
        <f t="shared" si="967"/>
        <v>1854.3600000000006</v>
      </c>
      <c r="K6844" s="62"/>
    </row>
    <row r="6845" spans="1:13" x14ac:dyDescent="0.3">
      <c r="A6845" s="3">
        <f>A6843</f>
        <v>45961</v>
      </c>
      <c r="B6845" s="11" t="s">
        <v>1160</v>
      </c>
      <c r="C6845" s="50" t="s">
        <v>1348</v>
      </c>
      <c r="E6845" s="90" t="s">
        <v>4720</v>
      </c>
      <c r="G6845" s="2">
        <v>3000</v>
      </c>
      <c r="I6845" s="88">
        <f t="shared" si="967"/>
        <v>4854.3600000000006</v>
      </c>
      <c r="K6845" s="62"/>
      <c r="L6845" s="2">
        <f t="shared" si="968"/>
        <v>12</v>
      </c>
      <c r="M6845">
        <f t="shared" si="969"/>
        <v>0</v>
      </c>
    </row>
    <row r="6846" spans="1:13" x14ac:dyDescent="0.3">
      <c r="A6846" s="3">
        <f t="shared" si="963"/>
        <v>45961</v>
      </c>
      <c r="B6846" s="11" t="s">
        <v>1160</v>
      </c>
      <c r="C6846" s="50" t="s">
        <v>9456</v>
      </c>
      <c r="E6846" s="90" t="s">
        <v>4720</v>
      </c>
      <c r="G6846" s="2">
        <v>4000</v>
      </c>
      <c r="I6846" s="88">
        <f t="shared" si="967"/>
        <v>8854.36</v>
      </c>
      <c r="K6846" s="62"/>
      <c r="L6846" s="2">
        <f t="shared" si="968"/>
        <v>16</v>
      </c>
      <c r="M6846">
        <f t="shared" si="969"/>
        <v>0</v>
      </c>
    </row>
    <row r="6847" spans="1:13" x14ac:dyDescent="0.3">
      <c r="A6847" s="77">
        <f>COUNT(A6493:A6846)</f>
        <v>353</v>
      </c>
      <c r="B6847" s="80" t="s">
        <v>7120</v>
      </c>
      <c r="C6847" s="112">
        <f>SUMIF(E6493:E6846,"C",H6493:H6846)+SUMIF(E6493:E6846,"C",G6119:G6846)</f>
        <v>487600</v>
      </c>
      <c r="D6847" s="112">
        <f>COUNTIF(E6493:E6846,"P")</f>
        <v>122</v>
      </c>
      <c r="E6847" s="92">
        <f>COUNTIF(E6493:E6846,"Y")</f>
        <v>13</v>
      </c>
      <c r="F6847" s="80">
        <f>SUM(F4186)</f>
        <v>0</v>
      </c>
      <c r="G6847" s="121">
        <f>SUM(G6493:G6846)</f>
        <v>765580</v>
      </c>
      <c r="H6847" s="121">
        <f>SUM(H6493:H6846)</f>
        <v>762100</v>
      </c>
      <c r="I6847" s="121">
        <f>G6847+H6847-C6847</f>
        <v>1040080</v>
      </c>
      <c r="J6847" s="122"/>
      <c r="K6847" s="122">
        <f>SUM(K6493:K6846)</f>
        <v>10</v>
      </c>
      <c r="L6847" s="121">
        <f>SUM(L6493:L6846)</f>
        <v>4167.72</v>
      </c>
      <c r="M6847" s="121">
        <f>SUM(M6493:M6846)</f>
        <v>610</v>
      </c>
    </row>
    <row r="6849" spans="1:13" x14ac:dyDescent="0.3">
      <c r="A6849" s="3">
        <v>45962</v>
      </c>
      <c r="C6849" s="50" t="s">
        <v>6831</v>
      </c>
      <c r="E6849" s="90" t="s">
        <v>8332</v>
      </c>
      <c r="G6849" s="88">
        <f>I6846</f>
        <v>8854.36</v>
      </c>
      <c r="I6849" s="88">
        <f t="shared" ref="I6849:I6850" si="970">I6848+G6849-H6849</f>
        <v>8854.36</v>
      </c>
      <c r="K6849" s="62"/>
      <c r="L6849" s="2">
        <f t="shared" ref="L6849:L6850" si="971">IF(E6849="C",0,IF((G6849+H6849)&lt;=5000,(G6849+H6849)*0.004,20)+IF(E6849="P",5,IF(E6849="Y",15,IF(E6849="YY",25))))</f>
        <v>0</v>
      </c>
      <c r="M6849">
        <f t="shared" ref="M6849:M6850" si="972">IF(E6849="p",5,0)</f>
        <v>0</v>
      </c>
    </row>
    <row r="6850" spans="1:13" x14ac:dyDescent="0.3">
      <c r="A6850" s="3">
        <f>A6849</f>
        <v>45962</v>
      </c>
      <c r="B6850" s="11" t="s">
        <v>8286</v>
      </c>
      <c r="C6850" s="50" t="s">
        <v>8395</v>
      </c>
      <c r="E6850" s="90" t="s">
        <v>2088</v>
      </c>
      <c r="H6850" s="2">
        <v>2100</v>
      </c>
      <c r="I6850" s="88">
        <f t="shared" si="970"/>
        <v>6754.3600000000006</v>
      </c>
      <c r="K6850" s="62"/>
      <c r="L6850" s="2">
        <f t="shared" si="971"/>
        <v>13.4</v>
      </c>
      <c r="M6850">
        <f t="shared" si="972"/>
        <v>5</v>
      </c>
    </row>
    <row r="6851" spans="1:13" x14ac:dyDescent="0.3">
      <c r="A6851" s="3">
        <f t="shared" ref="A6851:A6914" si="973">A6850</f>
        <v>45962</v>
      </c>
      <c r="B6851" s="11" t="s">
        <v>8679</v>
      </c>
      <c r="C6851" s="50" t="s">
        <v>889</v>
      </c>
      <c r="E6851" s="90" t="s">
        <v>2088</v>
      </c>
      <c r="G6851" s="2">
        <v>2000</v>
      </c>
      <c r="I6851" s="88">
        <f t="shared" ref="I6851:I6861" si="974">I6850+G6851-H6851</f>
        <v>8754.36</v>
      </c>
      <c r="K6851" s="62"/>
      <c r="L6851" s="2">
        <f t="shared" ref="L6851:L6861" si="975">IF(E6851="C",0,IF((G6851+H6851)&lt;=5000,(G6851+H6851)*0.004,20)+IF(E6851="P",5,IF(E6851="Y",15,IF(E6851="YY",25))))</f>
        <v>13</v>
      </c>
      <c r="M6851">
        <f t="shared" ref="M6851:M6861" si="976">IF(E6851="p",5,0)</f>
        <v>5</v>
      </c>
    </row>
    <row r="6852" spans="1:13" x14ac:dyDescent="0.3">
      <c r="A6852" s="3">
        <f t="shared" si="973"/>
        <v>45962</v>
      </c>
      <c r="B6852" s="11" t="s">
        <v>3039</v>
      </c>
      <c r="C6852" s="50" t="s">
        <v>8933</v>
      </c>
      <c r="E6852" s="90" t="s">
        <v>4720</v>
      </c>
      <c r="G6852" s="2">
        <v>2000</v>
      </c>
      <c r="I6852" s="88">
        <f t="shared" si="974"/>
        <v>10754.36</v>
      </c>
      <c r="K6852" s="62"/>
      <c r="L6852" s="2">
        <f t="shared" si="975"/>
        <v>8</v>
      </c>
      <c r="M6852">
        <f t="shared" si="976"/>
        <v>0</v>
      </c>
    </row>
    <row r="6853" spans="1:13" x14ac:dyDescent="0.3">
      <c r="A6853" s="3">
        <f t="shared" si="973"/>
        <v>45962</v>
      </c>
      <c r="B6853" s="11" t="s">
        <v>5508</v>
      </c>
      <c r="C6853" s="50" t="s">
        <v>6157</v>
      </c>
      <c r="E6853" s="90" t="s">
        <v>4720</v>
      </c>
      <c r="G6853" s="2">
        <v>2500</v>
      </c>
      <c r="I6853" s="88">
        <f t="shared" si="974"/>
        <v>13254.36</v>
      </c>
      <c r="K6853" s="62"/>
      <c r="L6853" s="2">
        <f t="shared" si="975"/>
        <v>10</v>
      </c>
      <c r="M6853">
        <f t="shared" si="976"/>
        <v>0</v>
      </c>
    </row>
    <row r="6854" spans="1:13" x14ac:dyDescent="0.3">
      <c r="A6854" s="3">
        <f t="shared" si="973"/>
        <v>45962</v>
      </c>
      <c r="B6854" s="11" t="s">
        <v>6854</v>
      </c>
      <c r="C6854" s="50" t="s">
        <v>9460</v>
      </c>
      <c r="E6854" s="90" t="s">
        <v>2088</v>
      </c>
      <c r="G6854" s="2">
        <v>0</v>
      </c>
      <c r="H6854" s="2">
        <v>0</v>
      </c>
      <c r="I6854" s="88">
        <f t="shared" si="974"/>
        <v>13254.36</v>
      </c>
      <c r="K6854" s="62"/>
      <c r="L6854" s="2">
        <f t="shared" si="975"/>
        <v>5</v>
      </c>
      <c r="M6854">
        <f t="shared" si="976"/>
        <v>5</v>
      </c>
    </row>
    <row r="6855" spans="1:13" x14ac:dyDescent="0.3">
      <c r="A6855" s="3">
        <f t="shared" si="973"/>
        <v>45962</v>
      </c>
      <c r="B6855" s="11" t="s">
        <v>6847</v>
      </c>
      <c r="C6855" s="50" t="s">
        <v>9461</v>
      </c>
      <c r="E6855" s="90" t="s">
        <v>2088</v>
      </c>
      <c r="G6855" s="2">
        <v>0</v>
      </c>
      <c r="H6855" s="2">
        <v>0</v>
      </c>
      <c r="I6855" s="88">
        <f t="shared" si="974"/>
        <v>13254.36</v>
      </c>
      <c r="K6855" s="62"/>
      <c r="L6855" s="2">
        <f t="shared" si="975"/>
        <v>5</v>
      </c>
      <c r="M6855">
        <f t="shared" si="976"/>
        <v>5</v>
      </c>
    </row>
    <row r="6856" spans="1:13" x14ac:dyDescent="0.3">
      <c r="A6856" s="3">
        <f t="shared" si="973"/>
        <v>45962</v>
      </c>
      <c r="B6856" s="11" t="s">
        <v>7870</v>
      </c>
      <c r="C6856" s="50" t="s">
        <v>8380</v>
      </c>
      <c r="E6856" s="90" t="s">
        <v>2088</v>
      </c>
      <c r="G6856" s="2">
        <v>1000</v>
      </c>
      <c r="I6856" s="88">
        <f t="shared" si="974"/>
        <v>14254.36</v>
      </c>
      <c r="K6856" s="62"/>
      <c r="L6856" s="2">
        <f t="shared" si="975"/>
        <v>9</v>
      </c>
      <c r="M6856">
        <f t="shared" si="976"/>
        <v>5</v>
      </c>
    </row>
    <row r="6857" spans="1:13" x14ac:dyDescent="0.3">
      <c r="A6857" s="3">
        <f t="shared" si="973"/>
        <v>45962</v>
      </c>
      <c r="B6857" s="11" t="s">
        <v>3849</v>
      </c>
      <c r="C6857" s="50" t="s">
        <v>2551</v>
      </c>
      <c r="E6857" s="90" t="s">
        <v>4720</v>
      </c>
      <c r="H6857" s="2">
        <v>3500</v>
      </c>
      <c r="I6857" s="88">
        <f t="shared" si="974"/>
        <v>10754.36</v>
      </c>
      <c r="K6857" s="62"/>
      <c r="L6857" s="2">
        <f t="shared" si="975"/>
        <v>14</v>
      </c>
      <c r="M6857">
        <f t="shared" si="976"/>
        <v>0</v>
      </c>
    </row>
    <row r="6858" spans="1:13" x14ac:dyDescent="0.3">
      <c r="A6858" s="3">
        <f t="shared" si="973"/>
        <v>45962</v>
      </c>
      <c r="B6858" s="11" t="s">
        <v>6864</v>
      </c>
      <c r="C6858" s="50" t="s">
        <v>264</v>
      </c>
      <c r="E6858" s="90" t="s">
        <v>2088</v>
      </c>
      <c r="G6858" s="2">
        <v>5000</v>
      </c>
      <c r="I6858" s="88">
        <f t="shared" si="974"/>
        <v>15754.36</v>
      </c>
      <c r="K6858" s="62"/>
      <c r="L6858" s="2">
        <f t="shared" si="975"/>
        <v>25</v>
      </c>
      <c r="M6858">
        <f t="shared" si="976"/>
        <v>5</v>
      </c>
    </row>
    <row r="6859" spans="1:13" x14ac:dyDescent="0.3">
      <c r="A6859" s="3">
        <f t="shared" si="973"/>
        <v>45962</v>
      </c>
      <c r="B6859" s="11" t="s">
        <v>6233</v>
      </c>
      <c r="C6859" s="50" t="s">
        <v>9465</v>
      </c>
      <c r="E6859" s="90" t="s">
        <v>7772</v>
      </c>
      <c r="G6859" s="2">
        <v>0</v>
      </c>
      <c r="H6859" s="2">
        <v>0</v>
      </c>
      <c r="I6859" s="88">
        <f t="shared" si="974"/>
        <v>15754.36</v>
      </c>
      <c r="K6859" s="62"/>
      <c r="L6859" s="2">
        <f t="shared" si="975"/>
        <v>5</v>
      </c>
      <c r="M6859">
        <f t="shared" si="976"/>
        <v>5</v>
      </c>
    </row>
    <row r="6860" spans="1:13" x14ac:dyDescent="0.3">
      <c r="A6860" s="3">
        <f t="shared" si="973"/>
        <v>45962</v>
      </c>
      <c r="B6860" s="11" t="s">
        <v>6233</v>
      </c>
      <c r="C6860" s="50" t="s">
        <v>9465</v>
      </c>
      <c r="E6860" s="90" t="s">
        <v>7772</v>
      </c>
      <c r="G6860" s="2">
        <v>1500</v>
      </c>
      <c r="I6860" s="88">
        <f t="shared" si="974"/>
        <v>17254.36</v>
      </c>
      <c r="K6860" s="62"/>
      <c r="L6860" s="2">
        <f t="shared" si="975"/>
        <v>11</v>
      </c>
      <c r="M6860">
        <f t="shared" si="976"/>
        <v>5</v>
      </c>
    </row>
    <row r="6861" spans="1:13" x14ac:dyDescent="0.3">
      <c r="A6861" s="3">
        <f t="shared" si="973"/>
        <v>45962</v>
      </c>
      <c r="B6861" s="11" t="s">
        <v>6549</v>
      </c>
      <c r="C6861" s="50" t="s">
        <v>7990</v>
      </c>
      <c r="E6861" s="90" t="s">
        <v>2088</v>
      </c>
      <c r="G6861" s="2">
        <v>0</v>
      </c>
      <c r="H6861" s="2">
        <v>0</v>
      </c>
      <c r="I6861" s="88">
        <f t="shared" si="974"/>
        <v>17254.36</v>
      </c>
      <c r="K6861" s="62"/>
      <c r="L6861" s="2">
        <f t="shared" si="975"/>
        <v>5</v>
      </c>
      <c r="M6861">
        <f t="shared" si="976"/>
        <v>5</v>
      </c>
    </row>
    <row r="6862" spans="1:13" x14ac:dyDescent="0.3">
      <c r="A6862" s="3">
        <f t="shared" si="973"/>
        <v>45962</v>
      </c>
      <c r="B6862" s="11" t="s">
        <v>9457</v>
      </c>
      <c r="C6862" s="50" t="s">
        <v>220</v>
      </c>
      <c r="E6862" s="90" t="s">
        <v>2088</v>
      </c>
      <c r="G6862" s="2">
        <v>0</v>
      </c>
      <c r="H6862" s="2">
        <v>0</v>
      </c>
      <c r="I6862" s="88">
        <f t="shared" ref="I6862:I6875" si="977">I6861+G6862-H6862</f>
        <v>17254.36</v>
      </c>
      <c r="K6862" s="62"/>
      <c r="L6862" s="2">
        <f t="shared" ref="L6862:L6875" si="978">IF(E6862="C",0,IF((G6862+H6862)&lt;=5000,(G6862+H6862)*0.004,20)+IF(E6862="P",5,IF(E6862="Y",15,IF(E6862="YY",25))))</f>
        <v>5</v>
      </c>
      <c r="M6862">
        <f t="shared" ref="M6862:M6875" si="979">IF(E6862="p",5,0)</f>
        <v>5</v>
      </c>
    </row>
    <row r="6863" spans="1:13" x14ac:dyDescent="0.3">
      <c r="A6863" s="3">
        <f t="shared" si="973"/>
        <v>45962</v>
      </c>
      <c r="B6863" s="11" t="s">
        <v>3148</v>
      </c>
      <c r="C6863" s="50" t="s">
        <v>9467</v>
      </c>
      <c r="E6863" s="90" t="s">
        <v>4720</v>
      </c>
      <c r="G6863" s="2">
        <v>300</v>
      </c>
      <c r="I6863" s="88">
        <f t="shared" si="977"/>
        <v>17554.36</v>
      </c>
      <c r="K6863" s="62"/>
      <c r="L6863" s="2">
        <f t="shared" si="978"/>
        <v>1.2</v>
      </c>
      <c r="M6863">
        <f t="shared" si="979"/>
        <v>0</v>
      </c>
    </row>
    <row r="6864" spans="1:13" x14ac:dyDescent="0.3">
      <c r="A6864" s="3">
        <f t="shared" si="973"/>
        <v>45962</v>
      </c>
      <c r="B6864" s="11" t="s">
        <v>5825</v>
      </c>
      <c r="C6864" s="50" t="s">
        <v>9468</v>
      </c>
      <c r="E6864" s="90" t="s">
        <v>4720</v>
      </c>
      <c r="G6864" s="2">
        <v>2500</v>
      </c>
      <c r="I6864" s="88">
        <f t="shared" si="977"/>
        <v>20054.36</v>
      </c>
      <c r="K6864" s="62"/>
      <c r="L6864" s="2">
        <f t="shared" si="978"/>
        <v>10</v>
      </c>
      <c r="M6864">
        <f t="shared" si="979"/>
        <v>0</v>
      </c>
    </row>
    <row r="6865" spans="1:13" x14ac:dyDescent="0.3">
      <c r="A6865" s="3">
        <f t="shared" si="973"/>
        <v>45962</v>
      </c>
      <c r="B6865" s="11" t="s">
        <v>7852</v>
      </c>
      <c r="C6865" s="50" t="s">
        <v>8750</v>
      </c>
      <c r="E6865" s="90" t="s">
        <v>4720</v>
      </c>
      <c r="G6865" s="2">
        <v>1600</v>
      </c>
      <c r="I6865" s="88">
        <f t="shared" si="977"/>
        <v>21654.36</v>
      </c>
      <c r="K6865" s="62"/>
      <c r="L6865" s="2">
        <f t="shared" si="978"/>
        <v>6.4</v>
      </c>
      <c r="M6865">
        <f t="shared" si="979"/>
        <v>0</v>
      </c>
    </row>
    <row r="6866" spans="1:13" x14ac:dyDescent="0.3">
      <c r="A6866" s="3">
        <f t="shared" si="973"/>
        <v>45962</v>
      </c>
      <c r="B6866" s="11" t="s">
        <v>9469</v>
      </c>
      <c r="C6866" s="50" t="s">
        <v>9470</v>
      </c>
      <c r="E6866" s="90" t="s">
        <v>4720</v>
      </c>
      <c r="H6866" s="2">
        <v>500</v>
      </c>
      <c r="I6866" s="88">
        <f t="shared" si="977"/>
        <v>21154.36</v>
      </c>
      <c r="K6866" s="62"/>
      <c r="L6866" s="2">
        <f t="shared" si="978"/>
        <v>2</v>
      </c>
      <c r="M6866">
        <f t="shared" si="979"/>
        <v>0</v>
      </c>
    </row>
    <row r="6867" spans="1:13" x14ac:dyDescent="0.3">
      <c r="A6867" s="3">
        <f t="shared" si="973"/>
        <v>45962</v>
      </c>
      <c r="B6867" s="11" t="s">
        <v>6522</v>
      </c>
      <c r="C6867" s="50" t="s">
        <v>2490</v>
      </c>
      <c r="E6867" s="90" t="s">
        <v>8332</v>
      </c>
      <c r="H6867" s="2">
        <v>20000</v>
      </c>
      <c r="I6867" s="88">
        <f t="shared" si="977"/>
        <v>1154.3600000000006</v>
      </c>
      <c r="K6867" s="62"/>
      <c r="L6867" s="2">
        <f t="shared" si="978"/>
        <v>0</v>
      </c>
      <c r="M6867">
        <f t="shared" si="979"/>
        <v>0</v>
      </c>
    </row>
    <row r="6868" spans="1:13" x14ac:dyDescent="0.3">
      <c r="A6868" s="3">
        <f t="shared" si="973"/>
        <v>45962</v>
      </c>
      <c r="B6868" s="11" t="s">
        <v>6522</v>
      </c>
      <c r="C6868" s="50" t="s">
        <v>8468</v>
      </c>
      <c r="E6868" s="90" t="s">
        <v>4720</v>
      </c>
      <c r="G6868" s="2">
        <v>2500</v>
      </c>
      <c r="I6868" s="88">
        <f t="shared" si="977"/>
        <v>3654.3600000000006</v>
      </c>
      <c r="K6868" s="62"/>
      <c r="L6868" s="2">
        <f t="shared" si="978"/>
        <v>10</v>
      </c>
      <c r="M6868">
        <f t="shared" si="979"/>
        <v>0</v>
      </c>
    </row>
    <row r="6869" spans="1:13" x14ac:dyDescent="0.3">
      <c r="A6869" s="3">
        <f t="shared" si="973"/>
        <v>45962</v>
      </c>
      <c r="B6869" s="11" t="s">
        <v>8553</v>
      </c>
      <c r="C6869" s="50" t="s">
        <v>9471</v>
      </c>
      <c r="E6869" s="90" t="s">
        <v>2088</v>
      </c>
      <c r="G6869" s="2">
        <v>5100</v>
      </c>
      <c r="I6869" s="88">
        <f t="shared" si="977"/>
        <v>8754.36</v>
      </c>
      <c r="K6869" s="62"/>
      <c r="L6869" s="2">
        <f t="shared" si="978"/>
        <v>25</v>
      </c>
      <c r="M6869">
        <f t="shared" si="979"/>
        <v>5</v>
      </c>
    </row>
    <row r="6870" spans="1:13" x14ac:dyDescent="0.3">
      <c r="A6870" s="3">
        <f t="shared" si="973"/>
        <v>45962</v>
      </c>
      <c r="B6870" s="11" t="s">
        <v>3289</v>
      </c>
      <c r="C6870" s="50" t="s">
        <v>2734</v>
      </c>
      <c r="E6870" s="90" t="s">
        <v>4720</v>
      </c>
      <c r="G6870" s="2">
        <v>1000</v>
      </c>
      <c r="I6870" s="88">
        <f t="shared" si="977"/>
        <v>9754.36</v>
      </c>
      <c r="K6870" s="62"/>
      <c r="L6870" s="2">
        <f t="shared" si="978"/>
        <v>4</v>
      </c>
      <c r="M6870">
        <f t="shared" si="979"/>
        <v>0</v>
      </c>
    </row>
    <row r="6871" spans="1:13" x14ac:dyDescent="0.3">
      <c r="A6871" s="3">
        <f t="shared" si="973"/>
        <v>45962</v>
      </c>
      <c r="B6871" s="11" t="s">
        <v>9472</v>
      </c>
      <c r="C6871" s="50" t="s">
        <v>9473</v>
      </c>
      <c r="E6871" s="90" t="s">
        <v>4720</v>
      </c>
      <c r="G6871" s="2">
        <v>4000</v>
      </c>
      <c r="I6871" s="88">
        <f t="shared" si="977"/>
        <v>13754.36</v>
      </c>
      <c r="K6871" s="62"/>
      <c r="L6871" s="2">
        <f t="shared" si="978"/>
        <v>16</v>
      </c>
      <c r="M6871">
        <f t="shared" si="979"/>
        <v>0</v>
      </c>
    </row>
    <row r="6872" spans="1:13" x14ac:dyDescent="0.3">
      <c r="A6872" s="3">
        <f t="shared" si="973"/>
        <v>45962</v>
      </c>
      <c r="B6872" s="11" t="s">
        <v>7108</v>
      </c>
      <c r="C6872" s="50" t="s">
        <v>9182</v>
      </c>
      <c r="E6872" s="90" t="s">
        <v>4720</v>
      </c>
      <c r="G6872" s="2">
        <v>5000</v>
      </c>
      <c r="I6872" s="88">
        <f t="shared" si="977"/>
        <v>18754.36</v>
      </c>
      <c r="K6872" s="62"/>
      <c r="L6872" s="2">
        <f t="shared" si="978"/>
        <v>20</v>
      </c>
      <c r="M6872">
        <f t="shared" si="979"/>
        <v>0</v>
      </c>
    </row>
    <row r="6873" spans="1:13" x14ac:dyDescent="0.3">
      <c r="A6873" s="3">
        <f t="shared" si="973"/>
        <v>45962</v>
      </c>
      <c r="B6873" s="11" t="s">
        <v>9474</v>
      </c>
      <c r="C6873" s="50" t="s">
        <v>9475</v>
      </c>
      <c r="E6873" s="90" t="s">
        <v>4720</v>
      </c>
      <c r="H6873" s="2">
        <v>5000</v>
      </c>
      <c r="I6873" s="88">
        <f t="shared" si="977"/>
        <v>13754.36</v>
      </c>
      <c r="K6873" s="62"/>
      <c r="L6873" s="2">
        <f t="shared" si="978"/>
        <v>20</v>
      </c>
      <c r="M6873">
        <f t="shared" si="979"/>
        <v>0</v>
      </c>
    </row>
    <row r="6874" spans="1:13" x14ac:dyDescent="0.3">
      <c r="A6874" s="3">
        <v>45963</v>
      </c>
      <c r="B6874" s="11" t="s">
        <v>6260</v>
      </c>
      <c r="C6874" s="50" t="s">
        <v>8398</v>
      </c>
      <c r="E6874" s="90" t="s">
        <v>4720</v>
      </c>
      <c r="H6874" s="2">
        <v>7000</v>
      </c>
      <c r="I6874" s="88">
        <f t="shared" si="977"/>
        <v>6754.3600000000006</v>
      </c>
      <c r="K6874" s="62"/>
      <c r="L6874" s="2">
        <f t="shared" si="978"/>
        <v>20</v>
      </c>
      <c r="M6874">
        <f t="shared" si="979"/>
        <v>0</v>
      </c>
    </row>
    <row r="6875" spans="1:13" x14ac:dyDescent="0.3">
      <c r="A6875" s="3">
        <f t="shared" si="973"/>
        <v>45963</v>
      </c>
      <c r="B6875" s="11" t="s">
        <v>1472</v>
      </c>
      <c r="C6875" s="50" t="s">
        <v>9476</v>
      </c>
      <c r="E6875" s="90" t="s">
        <v>4720</v>
      </c>
      <c r="G6875" s="2">
        <v>1000</v>
      </c>
      <c r="I6875" s="88">
        <f t="shared" si="977"/>
        <v>7754.3600000000006</v>
      </c>
      <c r="K6875" s="62"/>
      <c r="L6875" s="2">
        <f t="shared" si="978"/>
        <v>4</v>
      </c>
      <c r="M6875">
        <f t="shared" si="979"/>
        <v>0</v>
      </c>
    </row>
    <row r="6876" spans="1:13" x14ac:dyDescent="0.3">
      <c r="A6876" s="3">
        <f t="shared" si="973"/>
        <v>45963</v>
      </c>
      <c r="B6876" s="11" t="s">
        <v>2241</v>
      </c>
      <c r="C6876" s="50" t="s">
        <v>2627</v>
      </c>
      <c r="E6876" s="90" t="s">
        <v>4720</v>
      </c>
      <c r="G6876" s="2">
        <v>3000</v>
      </c>
      <c r="I6876" s="88">
        <f t="shared" ref="I6876:I6898" si="980">I6875+G6876-H6876</f>
        <v>10754.36</v>
      </c>
      <c r="K6876" s="62"/>
      <c r="L6876" s="2">
        <f t="shared" ref="L6876:L6884" si="981">IF(E6876="C",0,IF((G6876+H6876)&lt;=5000,(G6876+H6876)*0.004,20)+IF(E6876="P",5,IF(E6876="Y",15,IF(E6876="YY",25))))</f>
        <v>12</v>
      </c>
      <c r="M6876">
        <f t="shared" ref="M6876:M6884" si="982">IF(E6876="p",5,0)</f>
        <v>0</v>
      </c>
    </row>
    <row r="6877" spans="1:13" x14ac:dyDescent="0.3">
      <c r="A6877" s="3">
        <f t="shared" si="973"/>
        <v>45963</v>
      </c>
      <c r="B6877" s="11" t="s">
        <v>1160</v>
      </c>
      <c r="C6877" s="50" t="s">
        <v>8603</v>
      </c>
      <c r="E6877" s="90" t="s">
        <v>4720</v>
      </c>
      <c r="G6877" s="2">
        <v>3000</v>
      </c>
      <c r="I6877" s="88">
        <f t="shared" si="980"/>
        <v>13754.36</v>
      </c>
      <c r="K6877" s="62"/>
      <c r="L6877" s="2">
        <f t="shared" si="981"/>
        <v>12</v>
      </c>
      <c r="M6877">
        <f t="shared" si="982"/>
        <v>0</v>
      </c>
    </row>
    <row r="6878" spans="1:13" x14ac:dyDescent="0.3">
      <c r="A6878" s="3">
        <f t="shared" si="973"/>
        <v>45963</v>
      </c>
      <c r="B6878" s="11" t="s">
        <v>1160</v>
      </c>
      <c r="C6878" s="50" t="s">
        <v>9477</v>
      </c>
      <c r="E6878" s="90" t="s">
        <v>4720</v>
      </c>
      <c r="G6878" s="2">
        <v>1000</v>
      </c>
      <c r="I6878" s="88">
        <f t="shared" si="980"/>
        <v>14754.36</v>
      </c>
      <c r="K6878" s="62"/>
      <c r="L6878" s="2">
        <f t="shared" si="981"/>
        <v>4</v>
      </c>
      <c r="M6878">
        <f t="shared" si="982"/>
        <v>0</v>
      </c>
    </row>
    <row r="6879" spans="1:13" x14ac:dyDescent="0.3">
      <c r="A6879" s="3">
        <f t="shared" si="973"/>
        <v>45963</v>
      </c>
      <c r="B6879" s="11" t="s">
        <v>1160</v>
      </c>
      <c r="C6879" s="50" t="s">
        <v>9478</v>
      </c>
      <c r="E6879" s="90" t="s">
        <v>4720</v>
      </c>
      <c r="G6879" s="2">
        <v>1000</v>
      </c>
      <c r="I6879" s="88">
        <f t="shared" si="980"/>
        <v>15754.36</v>
      </c>
      <c r="K6879" s="62"/>
      <c r="L6879" s="2">
        <f t="shared" si="981"/>
        <v>4</v>
      </c>
      <c r="M6879">
        <f t="shared" si="982"/>
        <v>0</v>
      </c>
    </row>
    <row r="6880" spans="1:13" x14ac:dyDescent="0.3">
      <c r="A6880" s="3">
        <v>45964</v>
      </c>
      <c r="B6880" s="11" t="s">
        <v>1250</v>
      </c>
      <c r="C6880" s="50" t="s">
        <v>6288</v>
      </c>
      <c r="E6880" s="90" t="s">
        <v>4720</v>
      </c>
      <c r="H6880" s="2">
        <v>500</v>
      </c>
      <c r="I6880" s="88">
        <f t="shared" si="980"/>
        <v>15254.36</v>
      </c>
      <c r="K6880" s="62"/>
      <c r="L6880" s="2">
        <f t="shared" si="981"/>
        <v>2</v>
      </c>
      <c r="M6880">
        <f t="shared" si="982"/>
        <v>0</v>
      </c>
    </row>
    <row r="6881" spans="1:13" x14ac:dyDescent="0.3">
      <c r="A6881" s="3">
        <f t="shared" si="973"/>
        <v>45964</v>
      </c>
      <c r="B6881" s="11" t="s">
        <v>6434</v>
      </c>
      <c r="C6881" s="50" t="s">
        <v>8398</v>
      </c>
      <c r="E6881" s="90" t="s">
        <v>4720</v>
      </c>
      <c r="H6881" s="2">
        <v>4000</v>
      </c>
      <c r="I6881" s="88">
        <f t="shared" si="980"/>
        <v>11254.36</v>
      </c>
      <c r="K6881" s="62"/>
      <c r="L6881" s="2">
        <f t="shared" si="981"/>
        <v>16</v>
      </c>
      <c r="M6881">
        <f t="shared" si="982"/>
        <v>0</v>
      </c>
    </row>
    <row r="6882" spans="1:13" x14ac:dyDescent="0.3">
      <c r="A6882" s="3">
        <f t="shared" si="973"/>
        <v>45964</v>
      </c>
      <c r="B6882" s="11" t="s">
        <v>9268</v>
      </c>
      <c r="C6882" s="50" t="s">
        <v>9480</v>
      </c>
      <c r="E6882" s="90" t="s">
        <v>2088</v>
      </c>
      <c r="G6882" s="2">
        <v>0</v>
      </c>
      <c r="H6882" s="2">
        <v>0</v>
      </c>
      <c r="I6882" s="88">
        <f t="shared" si="980"/>
        <v>11254.36</v>
      </c>
      <c r="K6882" s="62"/>
      <c r="L6882" s="2">
        <f t="shared" si="981"/>
        <v>5</v>
      </c>
      <c r="M6882">
        <f t="shared" si="982"/>
        <v>5</v>
      </c>
    </row>
    <row r="6883" spans="1:13" x14ac:dyDescent="0.3">
      <c r="A6883" s="3">
        <f t="shared" si="973"/>
        <v>45964</v>
      </c>
      <c r="B6883" s="11" t="s">
        <v>9356</v>
      </c>
      <c r="C6883" s="50" t="s">
        <v>9357</v>
      </c>
      <c r="E6883" s="90" t="s">
        <v>2088</v>
      </c>
      <c r="G6883" s="2">
        <v>0</v>
      </c>
      <c r="H6883" s="2">
        <v>0</v>
      </c>
      <c r="I6883" s="88">
        <f t="shared" si="980"/>
        <v>11254.36</v>
      </c>
      <c r="K6883" s="62"/>
      <c r="L6883" s="2">
        <f t="shared" si="981"/>
        <v>5</v>
      </c>
      <c r="M6883">
        <f t="shared" si="982"/>
        <v>5</v>
      </c>
    </row>
    <row r="6884" spans="1:13" x14ac:dyDescent="0.3">
      <c r="A6884" s="3">
        <f t="shared" si="973"/>
        <v>45964</v>
      </c>
      <c r="B6884" s="11" t="s">
        <v>3039</v>
      </c>
      <c r="C6884" s="50" t="s">
        <v>8933</v>
      </c>
      <c r="E6884" s="90" t="s">
        <v>4720</v>
      </c>
      <c r="G6884" s="2">
        <v>2000</v>
      </c>
      <c r="I6884" s="88">
        <f t="shared" si="980"/>
        <v>13254.36</v>
      </c>
      <c r="K6884" s="62"/>
      <c r="L6884" s="2">
        <f t="shared" si="981"/>
        <v>8</v>
      </c>
      <c r="M6884">
        <f t="shared" si="982"/>
        <v>0</v>
      </c>
    </row>
    <row r="6885" spans="1:13" x14ac:dyDescent="0.3">
      <c r="A6885" s="3">
        <f t="shared" si="973"/>
        <v>45964</v>
      </c>
      <c r="B6885" s="11" t="s">
        <v>6844</v>
      </c>
      <c r="C6885" s="50" t="s">
        <v>9481</v>
      </c>
      <c r="E6885" s="90" t="s">
        <v>4720</v>
      </c>
      <c r="H6885" s="2">
        <v>2000</v>
      </c>
      <c r="I6885" s="88">
        <f t="shared" si="980"/>
        <v>11254.36</v>
      </c>
      <c r="K6885" s="62"/>
      <c r="L6885" s="2">
        <f t="shared" ref="L6885:L6898" si="983">IF(E6885="C",0,IF((G6885+H6885)&lt;=5000,(G6885+H6885)*0.004,20)+IF(E6885="P",5,IF(E6885="Y",15,IF(E6885="YY",25))))</f>
        <v>8</v>
      </c>
      <c r="M6885">
        <f t="shared" ref="M6885:M6898" si="984">IF(E6885="p",5,0)</f>
        <v>0</v>
      </c>
    </row>
    <row r="6886" spans="1:13" x14ac:dyDescent="0.3">
      <c r="A6886" s="3">
        <f t="shared" si="973"/>
        <v>45964</v>
      </c>
      <c r="B6886" s="11" t="s">
        <v>9482</v>
      </c>
      <c r="C6886" s="50" t="s">
        <v>9483</v>
      </c>
      <c r="E6886" s="90" t="s">
        <v>2088</v>
      </c>
      <c r="G6886" s="2">
        <v>5000</v>
      </c>
      <c r="I6886" s="88">
        <f t="shared" si="980"/>
        <v>16254.36</v>
      </c>
      <c r="K6886" s="62"/>
      <c r="L6886" s="2">
        <f t="shared" si="983"/>
        <v>25</v>
      </c>
      <c r="M6886">
        <f t="shared" si="984"/>
        <v>5</v>
      </c>
    </row>
    <row r="6887" spans="1:13" x14ac:dyDescent="0.3">
      <c r="A6887" s="3">
        <f t="shared" si="973"/>
        <v>45964</v>
      </c>
      <c r="B6887" s="11" t="s">
        <v>8806</v>
      </c>
      <c r="C6887" s="50" t="s">
        <v>2615</v>
      </c>
      <c r="E6887" s="90" t="s">
        <v>2088</v>
      </c>
      <c r="H6887" s="2">
        <v>3500</v>
      </c>
      <c r="I6887" s="88">
        <f t="shared" si="980"/>
        <v>12754.36</v>
      </c>
      <c r="K6887" s="62"/>
      <c r="L6887" s="2">
        <f t="shared" si="983"/>
        <v>19</v>
      </c>
      <c r="M6887">
        <f t="shared" si="984"/>
        <v>5</v>
      </c>
    </row>
    <row r="6888" spans="1:13" x14ac:dyDescent="0.3">
      <c r="A6888" s="3">
        <f t="shared" si="973"/>
        <v>45964</v>
      </c>
      <c r="B6888" s="11" t="s">
        <v>8156</v>
      </c>
      <c r="C6888" s="50" t="s">
        <v>8157</v>
      </c>
      <c r="E6888" s="90" t="s">
        <v>4720</v>
      </c>
      <c r="G6888" s="2">
        <v>10000</v>
      </c>
      <c r="I6888" s="88">
        <f t="shared" si="980"/>
        <v>22754.36</v>
      </c>
      <c r="K6888" s="62"/>
      <c r="L6888" s="2">
        <f t="shared" si="983"/>
        <v>20</v>
      </c>
      <c r="M6888">
        <f t="shared" si="984"/>
        <v>0</v>
      </c>
    </row>
    <row r="6889" spans="1:13" x14ac:dyDescent="0.3">
      <c r="A6889" s="3">
        <f t="shared" si="973"/>
        <v>45964</v>
      </c>
      <c r="B6889" s="11" t="s">
        <v>9484</v>
      </c>
      <c r="C6889" s="50" t="s">
        <v>7290</v>
      </c>
      <c r="E6889" s="90" t="s">
        <v>2088</v>
      </c>
      <c r="G6889" s="2">
        <v>2500</v>
      </c>
      <c r="I6889" s="88">
        <f t="shared" si="980"/>
        <v>25254.36</v>
      </c>
      <c r="K6889" s="62"/>
      <c r="L6889" s="2">
        <f t="shared" si="983"/>
        <v>15</v>
      </c>
      <c r="M6889">
        <f t="shared" si="984"/>
        <v>5</v>
      </c>
    </row>
    <row r="6890" spans="1:13" x14ac:dyDescent="0.3">
      <c r="A6890" s="3">
        <f>A6889</f>
        <v>45964</v>
      </c>
      <c r="B6890" s="11" t="s">
        <v>4996</v>
      </c>
      <c r="C6890" s="50" t="s">
        <v>9486</v>
      </c>
      <c r="E6890" s="90" t="s">
        <v>7772</v>
      </c>
      <c r="G6890" s="2">
        <v>5000</v>
      </c>
      <c r="H6890" s="2">
        <v>0</v>
      </c>
      <c r="I6890" s="88">
        <f>I6889+G6890-H6890</f>
        <v>30254.36</v>
      </c>
      <c r="K6890" s="62"/>
      <c r="L6890" s="2">
        <f t="shared" si="983"/>
        <v>25</v>
      </c>
      <c r="M6890">
        <f t="shared" si="984"/>
        <v>5</v>
      </c>
    </row>
    <row r="6891" spans="1:13" x14ac:dyDescent="0.3">
      <c r="A6891" s="3">
        <f t="shared" si="973"/>
        <v>45964</v>
      </c>
      <c r="B6891" s="11" t="s">
        <v>9079</v>
      </c>
      <c r="C6891" s="50" t="s">
        <v>9081</v>
      </c>
      <c r="E6891" s="90" t="s">
        <v>7772</v>
      </c>
      <c r="G6891" s="2">
        <v>0</v>
      </c>
      <c r="I6891" s="88">
        <f t="shared" si="980"/>
        <v>30254.36</v>
      </c>
      <c r="K6891" s="62"/>
      <c r="L6891" s="2">
        <f t="shared" si="983"/>
        <v>5</v>
      </c>
      <c r="M6891">
        <f t="shared" si="984"/>
        <v>5</v>
      </c>
    </row>
    <row r="6892" spans="1:13" x14ac:dyDescent="0.3">
      <c r="A6892" s="3">
        <f t="shared" si="973"/>
        <v>45964</v>
      </c>
      <c r="B6892" s="11" t="s">
        <v>4576</v>
      </c>
      <c r="C6892" s="50" t="s">
        <v>9485</v>
      </c>
      <c r="E6892" s="90" t="s">
        <v>4720</v>
      </c>
      <c r="G6892" s="2">
        <v>10000</v>
      </c>
      <c r="I6892" s="88">
        <f t="shared" si="980"/>
        <v>40254.36</v>
      </c>
      <c r="K6892" s="62"/>
      <c r="L6892" s="2">
        <f t="shared" si="983"/>
        <v>20</v>
      </c>
      <c r="M6892">
        <f t="shared" si="984"/>
        <v>0</v>
      </c>
    </row>
    <row r="6893" spans="1:13" x14ac:dyDescent="0.3">
      <c r="A6893" s="3">
        <f t="shared" si="973"/>
        <v>45964</v>
      </c>
      <c r="B6893" s="11" t="s">
        <v>7120</v>
      </c>
      <c r="C6893" s="50" t="s">
        <v>2857</v>
      </c>
      <c r="E6893" s="90" t="s">
        <v>8332</v>
      </c>
      <c r="G6893" s="2">
        <v>1000</v>
      </c>
      <c r="H6893" s="2">
        <v>40000</v>
      </c>
      <c r="I6893" s="88">
        <f t="shared" si="980"/>
        <v>1254.3600000000006</v>
      </c>
      <c r="K6893" s="62"/>
      <c r="L6893" s="2">
        <f t="shared" si="983"/>
        <v>0</v>
      </c>
      <c r="M6893">
        <f t="shared" si="984"/>
        <v>0</v>
      </c>
    </row>
    <row r="6894" spans="1:13" x14ac:dyDescent="0.3">
      <c r="A6894" s="3">
        <f t="shared" si="973"/>
        <v>45964</v>
      </c>
      <c r="B6894" s="11" t="s">
        <v>1250</v>
      </c>
      <c r="C6894" s="50" t="s">
        <v>2616</v>
      </c>
      <c r="E6894" s="90" t="s">
        <v>4720</v>
      </c>
      <c r="G6894" s="2">
        <v>1500</v>
      </c>
      <c r="I6894" s="88">
        <f t="shared" si="980"/>
        <v>2754.3600000000006</v>
      </c>
      <c r="K6894" s="62"/>
      <c r="L6894" s="2">
        <f t="shared" si="983"/>
        <v>6</v>
      </c>
      <c r="M6894">
        <f t="shared" si="984"/>
        <v>0</v>
      </c>
    </row>
    <row r="6895" spans="1:13" x14ac:dyDescent="0.3">
      <c r="A6895" s="3">
        <f t="shared" si="973"/>
        <v>45964</v>
      </c>
      <c r="B6895" s="11" t="s">
        <v>7757</v>
      </c>
      <c r="C6895" s="50" t="s">
        <v>8650</v>
      </c>
      <c r="E6895" s="90" t="s">
        <v>4720</v>
      </c>
      <c r="H6895" s="2">
        <v>1000</v>
      </c>
      <c r="I6895" s="88">
        <f t="shared" si="980"/>
        <v>1754.3600000000006</v>
      </c>
      <c r="K6895" s="62"/>
      <c r="L6895" s="2">
        <f t="shared" si="983"/>
        <v>4</v>
      </c>
      <c r="M6895">
        <f t="shared" si="984"/>
        <v>0</v>
      </c>
    </row>
    <row r="6896" spans="1:13" x14ac:dyDescent="0.3">
      <c r="A6896" s="3">
        <f t="shared" si="973"/>
        <v>45964</v>
      </c>
      <c r="B6896" s="11" t="s">
        <v>7262</v>
      </c>
      <c r="C6896" s="50" t="s">
        <v>7263</v>
      </c>
      <c r="E6896" s="90" t="s">
        <v>2088</v>
      </c>
      <c r="G6896" s="2">
        <v>4000</v>
      </c>
      <c r="I6896" s="88">
        <f t="shared" si="980"/>
        <v>5754.3600000000006</v>
      </c>
      <c r="K6896" s="62"/>
      <c r="L6896" s="2">
        <f t="shared" si="983"/>
        <v>21</v>
      </c>
      <c r="M6896">
        <f t="shared" si="984"/>
        <v>5</v>
      </c>
    </row>
    <row r="6897" spans="1:13" x14ac:dyDescent="0.3">
      <c r="A6897" s="3">
        <f t="shared" si="973"/>
        <v>45964</v>
      </c>
      <c r="B6897" s="11" t="s">
        <v>3456</v>
      </c>
      <c r="C6897" s="50" t="s">
        <v>4852</v>
      </c>
      <c r="E6897" s="90" t="s">
        <v>2088</v>
      </c>
      <c r="G6897" s="2">
        <v>0</v>
      </c>
      <c r="H6897" s="2">
        <v>0</v>
      </c>
      <c r="I6897" s="88">
        <f t="shared" si="980"/>
        <v>5754.3600000000006</v>
      </c>
      <c r="K6897" s="62"/>
      <c r="L6897" s="2">
        <f t="shared" si="983"/>
        <v>5</v>
      </c>
      <c r="M6897">
        <f t="shared" si="984"/>
        <v>5</v>
      </c>
    </row>
    <row r="6898" spans="1:13" x14ac:dyDescent="0.3">
      <c r="A6898" s="3">
        <f t="shared" si="973"/>
        <v>45964</v>
      </c>
      <c r="B6898" s="11" t="s">
        <v>3456</v>
      </c>
      <c r="C6898" s="50" t="s">
        <v>4852</v>
      </c>
      <c r="E6898" s="90" t="s">
        <v>2088</v>
      </c>
      <c r="G6898" s="2">
        <v>1000</v>
      </c>
      <c r="I6898" s="88">
        <f t="shared" si="980"/>
        <v>6754.3600000000006</v>
      </c>
      <c r="K6898" s="62"/>
      <c r="L6898" s="2">
        <f t="shared" si="983"/>
        <v>9</v>
      </c>
      <c r="M6898">
        <f t="shared" si="984"/>
        <v>5</v>
      </c>
    </row>
    <row r="6899" spans="1:13" x14ac:dyDescent="0.3">
      <c r="A6899" s="3">
        <f t="shared" si="973"/>
        <v>45964</v>
      </c>
      <c r="B6899" s="11" t="s">
        <v>7800</v>
      </c>
      <c r="C6899" s="50" t="s">
        <v>7284</v>
      </c>
      <c r="E6899" s="90" t="s">
        <v>2088</v>
      </c>
      <c r="G6899" s="2">
        <v>0</v>
      </c>
      <c r="H6899" s="2">
        <v>0</v>
      </c>
      <c r="I6899" s="88">
        <f t="shared" ref="I6899:I6910" si="985">I6898+G6899-H6899</f>
        <v>6754.3600000000006</v>
      </c>
      <c r="K6899" s="62"/>
      <c r="L6899" s="2">
        <f t="shared" ref="L6899:L6910" si="986">IF(E6899="C",0,IF((G6899+H6899)&lt;=5000,(G6899+H6899)*0.004,20)+IF(E6899="P",5,IF(E6899="Y",15,IF(E6899="YY",25))))</f>
        <v>5</v>
      </c>
      <c r="M6899">
        <f t="shared" ref="M6899:M6910" si="987">IF(E6899="p",5,0)</f>
        <v>5</v>
      </c>
    </row>
    <row r="6900" spans="1:13" x14ac:dyDescent="0.3">
      <c r="A6900" s="3">
        <f t="shared" si="973"/>
        <v>45964</v>
      </c>
      <c r="B6900" s="11" t="s">
        <v>4622</v>
      </c>
      <c r="C6900" s="50" t="s">
        <v>9490</v>
      </c>
      <c r="E6900" s="90" t="s">
        <v>7772</v>
      </c>
      <c r="G6900" s="2">
        <v>0</v>
      </c>
      <c r="H6900" s="2">
        <v>0</v>
      </c>
      <c r="I6900" s="88">
        <f t="shared" si="985"/>
        <v>6754.3600000000006</v>
      </c>
      <c r="K6900" s="62"/>
      <c r="L6900" s="2">
        <f t="shared" si="986"/>
        <v>5</v>
      </c>
      <c r="M6900">
        <f t="shared" si="987"/>
        <v>5</v>
      </c>
    </row>
    <row r="6901" spans="1:13" x14ac:dyDescent="0.3">
      <c r="A6901" s="3">
        <f t="shared" si="973"/>
        <v>45964</v>
      </c>
      <c r="B6901" s="11" t="s">
        <v>4622</v>
      </c>
      <c r="C6901" s="50" t="s">
        <v>9490</v>
      </c>
      <c r="E6901" s="90" t="s">
        <v>7772</v>
      </c>
      <c r="G6901" s="2">
        <v>5000</v>
      </c>
      <c r="I6901" s="88">
        <f t="shared" si="985"/>
        <v>11754.36</v>
      </c>
      <c r="K6901" s="62"/>
      <c r="L6901" s="2">
        <f t="shared" si="986"/>
        <v>25</v>
      </c>
      <c r="M6901">
        <f t="shared" si="987"/>
        <v>5</v>
      </c>
    </row>
    <row r="6902" spans="1:13" x14ac:dyDescent="0.3">
      <c r="A6902" s="3">
        <f t="shared" si="973"/>
        <v>45964</v>
      </c>
      <c r="B6902" s="11" t="s">
        <v>5604</v>
      </c>
      <c r="C6902" s="50" t="s">
        <v>9491</v>
      </c>
      <c r="E6902" s="90" t="s">
        <v>4720</v>
      </c>
      <c r="G6902" s="2">
        <v>500</v>
      </c>
      <c r="I6902" s="88">
        <f t="shared" si="985"/>
        <v>12254.36</v>
      </c>
      <c r="K6902" s="62"/>
      <c r="L6902" s="2">
        <f t="shared" si="986"/>
        <v>2</v>
      </c>
      <c r="M6902">
        <f t="shared" si="987"/>
        <v>0</v>
      </c>
    </row>
    <row r="6903" spans="1:13" x14ac:dyDescent="0.3">
      <c r="A6903" s="3">
        <f t="shared" si="973"/>
        <v>45964</v>
      </c>
      <c r="B6903" s="11" t="s">
        <v>7374</v>
      </c>
      <c r="C6903" s="50" t="s">
        <v>9492</v>
      </c>
      <c r="D6903" s="50">
        <v>7543993969</v>
      </c>
      <c r="E6903" s="90" t="s">
        <v>2088</v>
      </c>
      <c r="G6903" s="2">
        <v>10000</v>
      </c>
      <c r="I6903" s="88">
        <f t="shared" si="985"/>
        <v>22254.36</v>
      </c>
      <c r="K6903" s="62"/>
      <c r="L6903" s="2">
        <f t="shared" si="986"/>
        <v>25</v>
      </c>
      <c r="M6903">
        <f t="shared" si="987"/>
        <v>5</v>
      </c>
    </row>
    <row r="6904" spans="1:13" x14ac:dyDescent="0.3">
      <c r="A6904" s="3">
        <f t="shared" si="973"/>
        <v>45964</v>
      </c>
      <c r="B6904" s="11" t="s">
        <v>3232</v>
      </c>
      <c r="C6904" s="50" t="s">
        <v>8140</v>
      </c>
      <c r="E6904" s="90" t="s">
        <v>4720</v>
      </c>
      <c r="G6904" s="2">
        <v>1500</v>
      </c>
      <c r="I6904" s="88">
        <f t="shared" si="985"/>
        <v>23754.36</v>
      </c>
      <c r="K6904" s="62"/>
      <c r="L6904" s="2">
        <f t="shared" si="986"/>
        <v>6</v>
      </c>
      <c r="M6904">
        <f t="shared" si="987"/>
        <v>0</v>
      </c>
    </row>
    <row r="6905" spans="1:13" x14ac:dyDescent="0.3">
      <c r="A6905" s="3">
        <f t="shared" si="973"/>
        <v>45964</v>
      </c>
      <c r="B6905" s="11" t="s">
        <v>8955</v>
      </c>
      <c r="C6905" s="50" t="s">
        <v>191</v>
      </c>
      <c r="E6905" s="90" t="s">
        <v>2088</v>
      </c>
      <c r="G6905" s="2">
        <v>2500</v>
      </c>
      <c r="I6905" s="88">
        <f t="shared" si="985"/>
        <v>26254.36</v>
      </c>
      <c r="K6905" s="62"/>
      <c r="L6905" s="2">
        <f t="shared" si="986"/>
        <v>15</v>
      </c>
      <c r="M6905">
        <f t="shared" si="987"/>
        <v>5</v>
      </c>
    </row>
    <row r="6906" spans="1:13" x14ac:dyDescent="0.3">
      <c r="A6906" s="3">
        <f t="shared" si="973"/>
        <v>45964</v>
      </c>
      <c r="B6906" s="11" t="s">
        <v>1250</v>
      </c>
      <c r="C6906" s="50" t="s">
        <v>2348</v>
      </c>
      <c r="E6906" s="90" t="s">
        <v>4720</v>
      </c>
      <c r="G6906" s="2">
        <v>5000</v>
      </c>
      <c r="I6906" s="88">
        <f t="shared" si="985"/>
        <v>31254.36</v>
      </c>
      <c r="K6906" s="62"/>
      <c r="L6906" s="2">
        <f t="shared" si="986"/>
        <v>20</v>
      </c>
      <c r="M6906">
        <f t="shared" si="987"/>
        <v>0</v>
      </c>
    </row>
    <row r="6907" spans="1:13" x14ac:dyDescent="0.3">
      <c r="A6907" s="3">
        <v>45965</v>
      </c>
      <c r="B6907" s="11" t="s">
        <v>1250</v>
      </c>
      <c r="C6907" s="50" t="s">
        <v>9493</v>
      </c>
      <c r="E6907" s="90" t="s">
        <v>4720</v>
      </c>
      <c r="G6907" s="2">
        <v>6000</v>
      </c>
      <c r="I6907" s="88">
        <f t="shared" si="985"/>
        <v>37254.36</v>
      </c>
      <c r="K6907" s="62"/>
      <c r="L6907" s="2">
        <f t="shared" si="986"/>
        <v>20</v>
      </c>
      <c r="M6907">
        <f t="shared" si="987"/>
        <v>0</v>
      </c>
    </row>
    <row r="6908" spans="1:13" x14ac:dyDescent="0.3">
      <c r="A6908" s="3">
        <f t="shared" si="973"/>
        <v>45965</v>
      </c>
      <c r="B6908" s="11" t="s">
        <v>6434</v>
      </c>
      <c r="C6908" s="50" t="s">
        <v>8398</v>
      </c>
      <c r="E6908" s="90" t="s">
        <v>4720</v>
      </c>
      <c r="H6908" s="2">
        <v>9000</v>
      </c>
      <c r="I6908" s="88">
        <f t="shared" si="985"/>
        <v>28254.36</v>
      </c>
      <c r="K6908" s="62"/>
      <c r="L6908" s="2">
        <f t="shared" si="986"/>
        <v>20</v>
      </c>
      <c r="M6908">
        <f t="shared" si="987"/>
        <v>0</v>
      </c>
    </row>
    <row r="6909" spans="1:13" x14ac:dyDescent="0.3">
      <c r="A6909" s="3">
        <f t="shared" si="973"/>
        <v>45965</v>
      </c>
      <c r="B6909" s="11" t="s">
        <v>1472</v>
      </c>
      <c r="C6909" s="50" t="s">
        <v>9448</v>
      </c>
      <c r="E6909" s="90" t="s">
        <v>4720</v>
      </c>
      <c r="G6909" s="2">
        <v>5000</v>
      </c>
      <c r="I6909" s="88">
        <f t="shared" si="985"/>
        <v>33254.36</v>
      </c>
      <c r="K6909" s="62"/>
      <c r="L6909" s="2">
        <f t="shared" si="986"/>
        <v>20</v>
      </c>
      <c r="M6909">
        <f t="shared" si="987"/>
        <v>0</v>
      </c>
    </row>
    <row r="6910" spans="1:13" x14ac:dyDescent="0.3">
      <c r="A6910" s="3">
        <f t="shared" si="973"/>
        <v>45965</v>
      </c>
      <c r="B6910" s="11" t="s">
        <v>7757</v>
      </c>
      <c r="C6910" s="50" t="s">
        <v>8650</v>
      </c>
      <c r="E6910" s="90" t="s">
        <v>4720</v>
      </c>
      <c r="H6910" s="2">
        <v>2100</v>
      </c>
      <c r="I6910" s="88">
        <f t="shared" si="985"/>
        <v>31154.36</v>
      </c>
      <c r="K6910" s="62"/>
      <c r="L6910" s="2">
        <f t="shared" si="986"/>
        <v>8.4</v>
      </c>
      <c r="M6910">
        <f t="shared" si="987"/>
        <v>0</v>
      </c>
    </row>
    <row r="6911" spans="1:13" x14ac:dyDescent="0.3">
      <c r="A6911" s="3">
        <f t="shared" si="973"/>
        <v>45965</v>
      </c>
      <c r="B6911" s="11" t="s">
        <v>8465</v>
      </c>
      <c r="C6911" s="50" t="s">
        <v>9096</v>
      </c>
      <c r="D6911" s="50">
        <v>8434705625</v>
      </c>
      <c r="E6911" s="90" t="s">
        <v>4720</v>
      </c>
      <c r="G6911" s="2">
        <v>2000</v>
      </c>
      <c r="I6911" s="88">
        <f t="shared" ref="I6911:I6918" si="988">I6910+G6911-H6911</f>
        <v>33154.36</v>
      </c>
      <c r="K6911" s="62"/>
      <c r="L6911" s="2">
        <f t="shared" ref="L6911:L6918" si="989">IF(E6911="C",0,IF((G6911+H6911)&lt;=5000,(G6911+H6911)*0.004,20)+IF(E6911="P",5,IF(E6911="Y",15,IF(E6911="YY",25))))</f>
        <v>8</v>
      </c>
      <c r="M6911">
        <f t="shared" ref="M6911:M6918" si="990">IF(E6911="p",5,0)</f>
        <v>0</v>
      </c>
    </row>
    <row r="6912" spans="1:13" x14ac:dyDescent="0.3">
      <c r="A6912" s="3">
        <f t="shared" si="973"/>
        <v>45965</v>
      </c>
      <c r="B6912" s="11" t="s">
        <v>3148</v>
      </c>
      <c r="C6912" s="50" t="s">
        <v>9495</v>
      </c>
      <c r="E6912" s="90" t="s">
        <v>4720</v>
      </c>
      <c r="G6912" s="2">
        <v>800</v>
      </c>
      <c r="I6912" s="88">
        <f t="shared" si="988"/>
        <v>33954.36</v>
      </c>
      <c r="K6912" s="62"/>
      <c r="L6912" s="2">
        <f t="shared" si="989"/>
        <v>3.2</v>
      </c>
      <c r="M6912">
        <f t="shared" si="990"/>
        <v>0</v>
      </c>
    </row>
    <row r="6913" spans="1:13" x14ac:dyDescent="0.3">
      <c r="A6913" s="3">
        <f t="shared" si="973"/>
        <v>45965</v>
      </c>
      <c r="B6913" s="11" t="s">
        <v>5267</v>
      </c>
      <c r="C6913" s="50" t="s">
        <v>7319</v>
      </c>
      <c r="E6913" s="90" t="s">
        <v>2088</v>
      </c>
      <c r="G6913" s="2">
        <v>1000</v>
      </c>
      <c r="I6913" s="88">
        <f t="shared" si="988"/>
        <v>34954.36</v>
      </c>
      <c r="K6913" s="62"/>
      <c r="L6913" s="2">
        <f t="shared" si="989"/>
        <v>9</v>
      </c>
      <c r="M6913">
        <f t="shared" si="990"/>
        <v>5</v>
      </c>
    </row>
    <row r="6914" spans="1:13" x14ac:dyDescent="0.3">
      <c r="A6914" s="3">
        <f t="shared" si="973"/>
        <v>45965</v>
      </c>
      <c r="B6914" s="11" t="s">
        <v>9496</v>
      </c>
      <c r="C6914" s="50" t="s">
        <v>9497</v>
      </c>
      <c r="E6914" s="90" t="s">
        <v>4720</v>
      </c>
      <c r="H6914" s="2">
        <v>1500</v>
      </c>
      <c r="I6914" s="88">
        <f t="shared" si="988"/>
        <v>33454.36</v>
      </c>
      <c r="K6914" s="62"/>
      <c r="L6914" s="2">
        <f t="shared" si="989"/>
        <v>6</v>
      </c>
      <c r="M6914">
        <f t="shared" si="990"/>
        <v>0</v>
      </c>
    </row>
    <row r="6915" spans="1:13" x14ac:dyDescent="0.3">
      <c r="A6915" s="3">
        <f t="shared" ref="A6915:A6978" si="991">A6914</f>
        <v>45965</v>
      </c>
      <c r="B6915" s="11" t="s">
        <v>3849</v>
      </c>
      <c r="C6915" s="50" t="s">
        <v>2551</v>
      </c>
      <c r="E6915" s="90" t="s">
        <v>4720</v>
      </c>
      <c r="H6915" s="2">
        <v>3500</v>
      </c>
      <c r="I6915" s="88">
        <f t="shared" si="988"/>
        <v>29954.36</v>
      </c>
      <c r="K6915" s="62"/>
      <c r="L6915" s="2">
        <f t="shared" si="989"/>
        <v>14</v>
      </c>
      <c r="M6915">
        <f t="shared" si="990"/>
        <v>0</v>
      </c>
    </row>
    <row r="6916" spans="1:13" x14ac:dyDescent="0.3">
      <c r="A6916" s="3">
        <f t="shared" si="991"/>
        <v>45965</v>
      </c>
      <c r="B6916" s="11" t="s">
        <v>8674</v>
      </c>
      <c r="C6916" s="50" t="s">
        <v>8675</v>
      </c>
      <c r="E6916" s="90" t="s">
        <v>2088</v>
      </c>
      <c r="G6916" s="2">
        <v>0</v>
      </c>
      <c r="H6916" s="2">
        <v>0</v>
      </c>
      <c r="I6916" s="88">
        <f t="shared" si="988"/>
        <v>29954.36</v>
      </c>
      <c r="K6916" s="62"/>
      <c r="L6916" s="2">
        <f t="shared" si="989"/>
        <v>5</v>
      </c>
      <c r="M6916">
        <f t="shared" si="990"/>
        <v>5</v>
      </c>
    </row>
    <row r="6917" spans="1:13" x14ac:dyDescent="0.3">
      <c r="A6917" s="3">
        <f t="shared" si="991"/>
        <v>45965</v>
      </c>
      <c r="B6917" s="11" t="s">
        <v>8674</v>
      </c>
      <c r="C6917" s="50" t="s">
        <v>8675</v>
      </c>
      <c r="E6917" s="90" t="s">
        <v>2088</v>
      </c>
      <c r="G6917" s="2">
        <v>2500</v>
      </c>
      <c r="I6917" s="88">
        <f t="shared" si="988"/>
        <v>32454.36</v>
      </c>
      <c r="K6917" s="62"/>
      <c r="L6917" s="2">
        <f t="shared" si="989"/>
        <v>15</v>
      </c>
      <c r="M6917">
        <f t="shared" si="990"/>
        <v>5</v>
      </c>
    </row>
    <row r="6918" spans="1:13" x14ac:dyDescent="0.3">
      <c r="A6918" s="3">
        <f t="shared" si="991"/>
        <v>45965</v>
      </c>
      <c r="B6918" s="11" t="s">
        <v>7804</v>
      </c>
      <c r="C6918" s="50" t="s">
        <v>7805</v>
      </c>
      <c r="E6918" s="90" t="s">
        <v>2088</v>
      </c>
      <c r="G6918" s="2">
        <v>2000</v>
      </c>
      <c r="I6918" s="88">
        <f t="shared" si="988"/>
        <v>34454.36</v>
      </c>
      <c r="K6918" s="62"/>
      <c r="L6918" s="2">
        <f t="shared" si="989"/>
        <v>13</v>
      </c>
      <c r="M6918">
        <f t="shared" si="990"/>
        <v>5</v>
      </c>
    </row>
    <row r="6919" spans="1:13" x14ac:dyDescent="0.3">
      <c r="A6919" s="3">
        <f t="shared" si="991"/>
        <v>45965</v>
      </c>
      <c r="B6919" s="11" t="s">
        <v>9518</v>
      </c>
      <c r="E6919" s="90" t="s">
        <v>16</v>
      </c>
      <c r="H6919" s="2">
        <v>2000</v>
      </c>
      <c r="I6919" s="88">
        <f t="shared" ref="I6919:I6951" si="992">I6918+G6919-H6919</f>
        <v>32454.36</v>
      </c>
      <c r="K6919" s="62"/>
      <c r="L6919" s="2">
        <f t="shared" ref="L6919:L6951" si="993">IF(E6919="C",0,IF((G6919+H6919)&lt;=5000,(G6919+H6919)*0.004,20)+IF(E6919="P",5,IF(E6919="Y",15,IF(E6919="YY",25))))</f>
        <v>23</v>
      </c>
      <c r="M6919">
        <f t="shared" ref="M6919:M6951" si="994">IF(E6919="p",5,0)</f>
        <v>0</v>
      </c>
    </row>
    <row r="6920" spans="1:13" x14ac:dyDescent="0.3">
      <c r="A6920" s="3">
        <f>A6918</f>
        <v>45965</v>
      </c>
      <c r="B6920" s="11" t="s">
        <v>7418</v>
      </c>
      <c r="C6920" s="50" t="s">
        <v>9498</v>
      </c>
      <c r="E6920" s="90" t="s">
        <v>2088</v>
      </c>
      <c r="G6920" s="2">
        <v>2500</v>
      </c>
      <c r="I6920" s="88">
        <f t="shared" si="992"/>
        <v>34954.36</v>
      </c>
      <c r="K6920" s="62"/>
      <c r="L6920" s="2">
        <f t="shared" si="993"/>
        <v>15</v>
      </c>
      <c r="M6920">
        <f t="shared" si="994"/>
        <v>5</v>
      </c>
    </row>
    <row r="6921" spans="1:13" s="156" customFormat="1" ht="18" x14ac:dyDescent="0.35">
      <c r="A6921" s="3">
        <f t="shared" si="991"/>
        <v>45965</v>
      </c>
      <c r="B6921" s="11">
        <v>4065</v>
      </c>
      <c r="C6921" s="50" t="s">
        <v>2615</v>
      </c>
      <c r="E6921" s="90" t="s">
        <v>2088</v>
      </c>
      <c r="F6921" s="4"/>
      <c r="G6921" s="2">
        <v>1000</v>
      </c>
      <c r="H6921" s="2"/>
      <c r="I6921" s="88">
        <f t="shared" si="992"/>
        <v>35954.36</v>
      </c>
      <c r="J6921"/>
      <c r="K6921" s="62"/>
      <c r="L6921" s="2">
        <f t="shared" si="993"/>
        <v>9</v>
      </c>
      <c r="M6921">
        <f t="shared" si="994"/>
        <v>5</v>
      </c>
    </row>
    <row r="6922" spans="1:13" s="156" customFormat="1" ht="18" x14ac:dyDescent="0.35">
      <c r="A6922" s="3">
        <f t="shared" si="991"/>
        <v>45965</v>
      </c>
      <c r="B6922" s="11" t="s">
        <v>9499</v>
      </c>
      <c r="C6922" s="50" t="s">
        <v>2857</v>
      </c>
      <c r="E6922" s="90" t="s">
        <v>8332</v>
      </c>
      <c r="F6922" s="4"/>
      <c r="G6922" s="2"/>
      <c r="H6922" s="2">
        <v>35000</v>
      </c>
      <c r="I6922" s="88">
        <f t="shared" si="992"/>
        <v>954.36000000000058</v>
      </c>
      <c r="J6922"/>
      <c r="K6922" s="62"/>
      <c r="L6922" s="2">
        <f t="shared" si="993"/>
        <v>0</v>
      </c>
      <c r="M6922">
        <f t="shared" si="994"/>
        <v>0</v>
      </c>
    </row>
    <row r="6923" spans="1:13" s="156" customFormat="1" ht="18" x14ac:dyDescent="0.35">
      <c r="A6923" s="3">
        <v>45974</v>
      </c>
      <c r="B6923" s="11">
        <v>5805</v>
      </c>
      <c r="C6923" s="50" t="s">
        <v>6688</v>
      </c>
      <c r="E6923" s="90" t="s">
        <v>4720</v>
      </c>
      <c r="F6923" s="4"/>
      <c r="G6923" s="2">
        <v>500</v>
      </c>
      <c r="H6923" s="2"/>
      <c r="I6923" s="88">
        <f t="shared" si="992"/>
        <v>1454.3600000000006</v>
      </c>
      <c r="J6923"/>
      <c r="K6923" s="62"/>
      <c r="L6923" s="2">
        <f t="shared" si="993"/>
        <v>2</v>
      </c>
      <c r="M6923">
        <f t="shared" si="994"/>
        <v>0</v>
      </c>
    </row>
    <row r="6924" spans="1:13" s="156" customFormat="1" ht="18" x14ac:dyDescent="0.35">
      <c r="A6924" s="3">
        <f t="shared" si="991"/>
        <v>45974</v>
      </c>
      <c r="B6924" s="11">
        <v>4970</v>
      </c>
      <c r="C6924" s="50" t="s">
        <v>9291</v>
      </c>
      <c r="E6924" s="90" t="s">
        <v>4720</v>
      </c>
      <c r="F6924" s="4"/>
      <c r="G6924" s="2">
        <v>1000</v>
      </c>
      <c r="H6924" s="2"/>
      <c r="I6924" s="88">
        <f t="shared" si="992"/>
        <v>2454.3600000000006</v>
      </c>
      <c r="J6924"/>
      <c r="K6924" s="62"/>
      <c r="L6924" s="2">
        <f t="shared" si="993"/>
        <v>4</v>
      </c>
      <c r="M6924">
        <f t="shared" si="994"/>
        <v>0</v>
      </c>
    </row>
    <row r="6925" spans="1:13" s="156" customFormat="1" ht="18" x14ac:dyDescent="0.35">
      <c r="A6925" s="3">
        <v>45975</v>
      </c>
      <c r="B6925" s="11">
        <v>2405</v>
      </c>
      <c r="C6925" s="50" t="s">
        <v>9064</v>
      </c>
      <c r="E6925" s="90" t="s">
        <v>2088</v>
      </c>
      <c r="F6925" s="4"/>
      <c r="G6925" s="2">
        <v>5000</v>
      </c>
      <c r="H6925" s="2"/>
      <c r="I6925" s="88">
        <f t="shared" si="992"/>
        <v>7454.3600000000006</v>
      </c>
      <c r="J6925"/>
      <c r="K6925" s="62"/>
      <c r="L6925" s="2">
        <f t="shared" si="993"/>
        <v>25</v>
      </c>
      <c r="M6925">
        <f t="shared" si="994"/>
        <v>5</v>
      </c>
    </row>
    <row r="6926" spans="1:13" s="156" customFormat="1" ht="18" x14ac:dyDescent="0.35">
      <c r="A6926" s="3">
        <v>45975</v>
      </c>
      <c r="B6926" s="11">
        <v>5450</v>
      </c>
      <c r="C6926" s="50" t="s">
        <v>6379</v>
      </c>
      <c r="E6926" s="90" t="s">
        <v>7772</v>
      </c>
      <c r="F6926" s="4"/>
      <c r="G6926" s="2">
        <v>0</v>
      </c>
      <c r="H6926" s="2">
        <v>0</v>
      </c>
      <c r="I6926" s="88">
        <f t="shared" si="992"/>
        <v>7454.3600000000006</v>
      </c>
      <c r="J6926"/>
      <c r="K6926" s="62"/>
      <c r="L6926" s="2">
        <f t="shared" si="993"/>
        <v>5</v>
      </c>
      <c r="M6926">
        <f t="shared" si="994"/>
        <v>5</v>
      </c>
    </row>
    <row r="6927" spans="1:13" s="156" customFormat="1" ht="18" x14ac:dyDescent="0.35">
      <c r="A6927" s="3">
        <f>A6925</f>
        <v>45975</v>
      </c>
      <c r="B6927" s="11">
        <v>5450</v>
      </c>
      <c r="C6927" s="50" t="s">
        <v>6379</v>
      </c>
      <c r="E6927" s="90" t="s">
        <v>2088</v>
      </c>
      <c r="F6927" s="4"/>
      <c r="G6927" s="2">
        <v>5000</v>
      </c>
      <c r="H6927" s="2"/>
      <c r="I6927" s="88">
        <f t="shared" si="992"/>
        <v>12454.36</v>
      </c>
      <c r="J6927"/>
      <c r="K6927" s="62"/>
      <c r="L6927" s="2">
        <f t="shared" si="993"/>
        <v>25</v>
      </c>
      <c r="M6927">
        <f t="shared" si="994"/>
        <v>5</v>
      </c>
    </row>
    <row r="6928" spans="1:13" s="156" customFormat="1" ht="18" x14ac:dyDescent="0.35">
      <c r="A6928" s="3">
        <f t="shared" si="991"/>
        <v>45975</v>
      </c>
      <c r="B6928" s="11">
        <v>6139</v>
      </c>
      <c r="C6928" s="50" t="s">
        <v>9509</v>
      </c>
      <c r="E6928" s="90" t="s">
        <v>14</v>
      </c>
      <c r="F6928" s="4"/>
      <c r="G6928" s="2"/>
      <c r="H6928" s="2">
        <v>500</v>
      </c>
      <c r="I6928" s="88">
        <f t="shared" si="992"/>
        <v>11954.36</v>
      </c>
      <c r="J6928"/>
      <c r="K6928" s="62"/>
      <c r="L6928" s="2">
        <f t="shared" si="993"/>
        <v>17</v>
      </c>
      <c r="M6928">
        <f t="shared" si="994"/>
        <v>0</v>
      </c>
    </row>
    <row r="6929" spans="1:13" s="156" customFormat="1" ht="18" x14ac:dyDescent="0.35">
      <c r="A6929" s="3">
        <f t="shared" si="991"/>
        <v>45975</v>
      </c>
      <c r="B6929" s="11">
        <v>1601</v>
      </c>
      <c r="C6929" s="50" t="s">
        <v>9510</v>
      </c>
      <c r="E6929" s="90" t="s">
        <v>2088</v>
      </c>
      <c r="F6929" s="4"/>
      <c r="G6929" s="2">
        <v>0</v>
      </c>
      <c r="H6929" s="2">
        <v>0</v>
      </c>
      <c r="I6929" s="88">
        <f t="shared" si="992"/>
        <v>11954.36</v>
      </c>
      <c r="J6929"/>
      <c r="K6929" s="62"/>
      <c r="L6929" s="2">
        <f t="shared" si="993"/>
        <v>5</v>
      </c>
      <c r="M6929">
        <f t="shared" si="994"/>
        <v>5</v>
      </c>
    </row>
    <row r="6930" spans="1:13" s="156" customFormat="1" ht="18" x14ac:dyDescent="0.35">
      <c r="A6930" s="3">
        <f t="shared" si="991"/>
        <v>45975</v>
      </c>
      <c r="B6930" s="11">
        <v>1601</v>
      </c>
      <c r="C6930" s="50" t="s">
        <v>9510</v>
      </c>
      <c r="E6930" s="90" t="s">
        <v>2088</v>
      </c>
      <c r="F6930" s="4"/>
      <c r="G6930" s="2">
        <v>5000</v>
      </c>
      <c r="H6930" s="2">
        <v>0</v>
      </c>
      <c r="I6930" s="88">
        <f t="shared" si="992"/>
        <v>16954.36</v>
      </c>
      <c r="J6930"/>
      <c r="K6930" s="62"/>
      <c r="L6930" s="2">
        <f t="shared" si="993"/>
        <v>25</v>
      </c>
      <c r="M6930">
        <f t="shared" si="994"/>
        <v>5</v>
      </c>
    </row>
    <row r="6931" spans="1:13" s="156" customFormat="1" ht="18" x14ac:dyDescent="0.35">
      <c r="A6931" s="3">
        <f t="shared" si="991"/>
        <v>45975</v>
      </c>
      <c r="B6931" s="11" t="s">
        <v>1160</v>
      </c>
      <c r="C6931" s="50" t="s">
        <v>3896</v>
      </c>
      <c r="E6931" s="90" t="s">
        <v>4720</v>
      </c>
      <c r="F6931" s="4"/>
      <c r="G6931" s="2">
        <v>500</v>
      </c>
      <c r="H6931" s="2">
        <v>0</v>
      </c>
      <c r="I6931" s="88">
        <f t="shared" si="992"/>
        <v>17454.36</v>
      </c>
      <c r="J6931"/>
      <c r="K6931" s="62"/>
      <c r="L6931" s="2">
        <f t="shared" si="993"/>
        <v>2</v>
      </c>
      <c r="M6931">
        <f t="shared" si="994"/>
        <v>0</v>
      </c>
    </row>
    <row r="6932" spans="1:13" s="156" customFormat="1" ht="18" x14ac:dyDescent="0.35">
      <c r="A6932" s="3">
        <f t="shared" si="991"/>
        <v>45975</v>
      </c>
      <c r="B6932" s="11">
        <v>5583</v>
      </c>
      <c r="C6932" s="50" t="s">
        <v>6157</v>
      </c>
      <c r="E6932" s="90" t="s">
        <v>2088</v>
      </c>
      <c r="F6932" s="4"/>
      <c r="G6932" s="2">
        <v>3000</v>
      </c>
      <c r="H6932" s="2">
        <v>0</v>
      </c>
      <c r="I6932" s="88">
        <f t="shared" si="992"/>
        <v>20454.36</v>
      </c>
      <c r="J6932"/>
      <c r="K6932" s="62"/>
      <c r="L6932" s="2">
        <f t="shared" si="993"/>
        <v>17</v>
      </c>
      <c r="M6932">
        <f t="shared" si="994"/>
        <v>5</v>
      </c>
    </row>
    <row r="6933" spans="1:13" s="156" customFormat="1" ht="18" x14ac:dyDescent="0.35">
      <c r="A6933" s="3">
        <f t="shared" si="991"/>
        <v>45975</v>
      </c>
      <c r="B6933" s="11" t="s">
        <v>9511</v>
      </c>
      <c r="C6933" s="50" t="s">
        <v>7720</v>
      </c>
      <c r="E6933" s="90" t="s">
        <v>4720</v>
      </c>
      <c r="F6933" s="4"/>
      <c r="G6933" s="2">
        <v>5000</v>
      </c>
      <c r="H6933" s="2">
        <v>0</v>
      </c>
      <c r="I6933" s="88">
        <f t="shared" si="992"/>
        <v>25454.36</v>
      </c>
      <c r="J6933"/>
      <c r="K6933" s="62"/>
      <c r="L6933" s="2">
        <f t="shared" si="993"/>
        <v>20</v>
      </c>
      <c r="M6933">
        <f t="shared" si="994"/>
        <v>0</v>
      </c>
    </row>
    <row r="6934" spans="1:13" s="156" customFormat="1" ht="18" x14ac:dyDescent="0.35">
      <c r="A6934" s="3">
        <f t="shared" si="991"/>
        <v>45975</v>
      </c>
      <c r="B6934" s="11">
        <v>260</v>
      </c>
      <c r="C6934" s="50" t="s">
        <v>9512</v>
      </c>
      <c r="E6934" s="90" t="s">
        <v>4720</v>
      </c>
      <c r="F6934" s="4"/>
      <c r="G6934" s="2">
        <v>0</v>
      </c>
      <c r="H6934" s="2">
        <v>1000</v>
      </c>
      <c r="I6934" s="88">
        <f t="shared" si="992"/>
        <v>24454.36</v>
      </c>
      <c r="J6934"/>
      <c r="K6934" s="62"/>
      <c r="L6934" s="2">
        <f t="shared" si="993"/>
        <v>4</v>
      </c>
      <c r="M6934">
        <f t="shared" si="994"/>
        <v>0</v>
      </c>
    </row>
    <row r="6935" spans="1:13" s="156" customFormat="1" ht="18" x14ac:dyDescent="0.35">
      <c r="A6935" s="3">
        <f t="shared" si="991"/>
        <v>45975</v>
      </c>
      <c r="B6935" s="11">
        <v>785</v>
      </c>
      <c r="C6935" s="50" t="s">
        <v>9513</v>
      </c>
      <c r="E6935" s="90" t="s">
        <v>4720</v>
      </c>
      <c r="F6935" s="4"/>
      <c r="G6935" s="2">
        <v>2500</v>
      </c>
      <c r="H6935" s="2">
        <v>0</v>
      </c>
      <c r="I6935" s="88">
        <f t="shared" si="992"/>
        <v>26954.36</v>
      </c>
      <c r="J6935"/>
      <c r="K6935" s="62"/>
      <c r="L6935" s="2">
        <f t="shared" si="993"/>
        <v>10</v>
      </c>
      <c r="M6935">
        <f t="shared" si="994"/>
        <v>0</v>
      </c>
    </row>
    <row r="6936" spans="1:13" s="156" customFormat="1" ht="18" x14ac:dyDescent="0.35">
      <c r="A6936" s="3">
        <f t="shared" si="991"/>
        <v>45975</v>
      </c>
      <c r="B6936" s="11" t="s">
        <v>8855</v>
      </c>
      <c r="C6936" s="50" t="s">
        <v>9514</v>
      </c>
      <c r="E6936" s="90" t="s">
        <v>4720</v>
      </c>
      <c r="F6936" s="4"/>
      <c r="G6936" s="2">
        <v>1500</v>
      </c>
      <c r="H6936" s="2">
        <v>0</v>
      </c>
      <c r="I6936" s="88">
        <f t="shared" si="992"/>
        <v>28454.36</v>
      </c>
      <c r="J6936"/>
      <c r="K6936" s="62"/>
      <c r="L6936" s="2">
        <f t="shared" si="993"/>
        <v>6</v>
      </c>
      <c r="M6936">
        <f t="shared" si="994"/>
        <v>0</v>
      </c>
    </row>
    <row r="6937" spans="1:13" s="156" customFormat="1" ht="18" x14ac:dyDescent="0.35">
      <c r="A6937" s="3">
        <f t="shared" si="991"/>
        <v>45975</v>
      </c>
      <c r="B6937" s="11" t="s">
        <v>7329</v>
      </c>
      <c r="C6937" s="50" t="s">
        <v>7330</v>
      </c>
      <c r="E6937" s="90" t="s">
        <v>2088</v>
      </c>
      <c r="F6937" s="4"/>
      <c r="G6937" s="2">
        <v>2500</v>
      </c>
      <c r="H6937" s="2">
        <v>0</v>
      </c>
      <c r="I6937" s="88">
        <f t="shared" si="992"/>
        <v>30954.36</v>
      </c>
      <c r="J6937"/>
      <c r="K6937" s="62"/>
      <c r="L6937" s="2">
        <f t="shared" si="993"/>
        <v>15</v>
      </c>
      <c r="M6937">
        <f t="shared" si="994"/>
        <v>5</v>
      </c>
    </row>
    <row r="6938" spans="1:13" s="156" customFormat="1" ht="18" x14ac:dyDescent="0.35">
      <c r="A6938" s="3">
        <f t="shared" si="991"/>
        <v>45975</v>
      </c>
      <c r="B6938" s="11" t="s">
        <v>7547</v>
      </c>
      <c r="C6938" s="50" t="s">
        <v>6685</v>
      </c>
      <c r="E6938" s="90" t="s">
        <v>4720</v>
      </c>
      <c r="F6938" s="4"/>
      <c r="G6938" s="2">
        <v>2800</v>
      </c>
      <c r="H6938" s="2">
        <v>0</v>
      </c>
      <c r="I6938" s="88">
        <f t="shared" si="992"/>
        <v>33754.36</v>
      </c>
      <c r="J6938"/>
      <c r="K6938" s="62"/>
      <c r="L6938" s="2">
        <f t="shared" si="993"/>
        <v>11.200000000000001</v>
      </c>
      <c r="M6938">
        <f t="shared" si="994"/>
        <v>0</v>
      </c>
    </row>
    <row r="6939" spans="1:13" s="156" customFormat="1" ht="18" x14ac:dyDescent="0.35">
      <c r="A6939" s="3">
        <f t="shared" si="991"/>
        <v>45975</v>
      </c>
      <c r="B6939" s="11" t="s">
        <v>1160</v>
      </c>
      <c r="C6939" s="162" t="s">
        <v>8616</v>
      </c>
      <c r="E6939" s="90" t="s">
        <v>4720</v>
      </c>
      <c r="F6939" s="4"/>
      <c r="G6939" s="2">
        <v>5000</v>
      </c>
      <c r="H6939" s="2">
        <v>0</v>
      </c>
      <c r="I6939" s="88">
        <f t="shared" si="992"/>
        <v>38754.36</v>
      </c>
      <c r="J6939"/>
      <c r="K6939" s="62"/>
      <c r="L6939" s="2">
        <f t="shared" si="993"/>
        <v>20</v>
      </c>
      <c r="M6939">
        <f t="shared" si="994"/>
        <v>0</v>
      </c>
    </row>
    <row r="6940" spans="1:13" s="156" customFormat="1" ht="18" x14ac:dyDescent="0.35">
      <c r="A6940" s="3">
        <f t="shared" si="991"/>
        <v>45975</v>
      </c>
      <c r="B6940" s="11" t="s">
        <v>8900</v>
      </c>
      <c r="C6940" s="162" t="s">
        <v>9515</v>
      </c>
      <c r="E6940" s="90" t="s">
        <v>2088</v>
      </c>
      <c r="F6940" s="4"/>
      <c r="G6940" s="2">
        <v>2500</v>
      </c>
      <c r="H6940" s="2">
        <v>0</v>
      </c>
      <c r="I6940" s="88">
        <f t="shared" si="992"/>
        <v>41254.36</v>
      </c>
      <c r="J6940"/>
      <c r="K6940" s="62"/>
      <c r="L6940" s="2">
        <f t="shared" si="993"/>
        <v>15</v>
      </c>
      <c r="M6940">
        <f t="shared" si="994"/>
        <v>5</v>
      </c>
    </row>
    <row r="6941" spans="1:13" s="156" customFormat="1" ht="18" x14ac:dyDescent="0.35">
      <c r="A6941" s="3">
        <f t="shared" si="991"/>
        <v>45975</v>
      </c>
      <c r="B6941" s="11" t="s">
        <v>5604</v>
      </c>
      <c r="C6941" s="162" t="s">
        <v>9491</v>
      </c>
      <c r="E6941" s="90" t="s">
        <v>4720</v>
      </c>
      <c r="F6941" s="4"/>
      <c r="G6941" s="2">
        <v>500</v>
      </c>
      <c r="H6941" s="2">
        <v>0</v>
      </c>
      <c r="I6941" s="88">
        <f t="shared" si="992"/>
        <v>41754.36</v>
      </c>
      <c r="J6941"/>
      <c r="K6941" s="62"/>
      <c r="L6941" s="2">
        <f t="shared" si="993"/>
        <v>2</v>
      </c>
      <c r="M6941">
        <f t="shared" si="994"/>
        <v>0</v>
      </c>
    </row>
    <row r="6942" spans="1:13" s="156" customFormat="1" ht="18" x14ac:dyDescent="0.35">
      <c r="A6942" s="3">
        <f t="shared" si="991"/>
        <v>45975</v>
      </c>
      <c r="B6942" s="11" t="s">
        <v>3420</v>
      </c>
      <c r="C6942" s="162" t="s">
        <v>9095</v>
      </c>
      <c r="E6942" s="90" t="s">
        <v>2088</v>
      </c>
      <c r="F6942" s="4"/>
      <c r="G6942" s="2">
        <v>0</v>
      </c>
      <c r="H6942" s="2">
        <v>0</v>
      </c>
      <c r="I6942" s="88">
        <f t="shared" si="992"/>
        <v>41754.36</v>
      </c>
      <c r="J6942"/>
      <c r="K6942" s="62"/>
      <c r="L6942" s="2">
        <f t="shared" si="993"/>
        <v>5</v>
      </c>
      <c r="M6942">
        <f t="shared" si="994"/>
        <v>5</v>
      </c>
    </row>
    <row r="6943" spans="1:13" s="156" customFormat="1" ht="18" x14ac:dyDescent="0.35">
      <c r="A6943" s="3">
        <f t="shared" si="991"/>
        <v>45975</v>
      </c>
      <c r="B6943" s="11" t="s">
        <v>3420</v>
      </c>
      <c r="C6943" s="162" t="s">
        <v>9095</v>
      </c>
      <c r="E6943" s="90" t="s">
        <v>2088</v>
      </c>
      <c r="F6943" s="4"/>
      <c r="G6943" s="2">
        <v>0</v>
      </c>
      <c r="H6943" s="2">
        <v>1000</v>
      </c>
      <c r="I6943" s="88">
        <f t="shared" si="992"/>
        <v>40754.36</v>
      </c>
      <c r="J6943"/>
      <c r="K6943" s="62"/>
      <c r="L6943" s="2">
        <f t="shared" si="993"/>
        <v>9</v>
      </c>
      <c r="M6943">
        <f t="shared" si="994"/>
        <v>5</v>
      </c>
    </row>
    <row r="6944" spans="1:13" s="156" customFormat="1" ht="18" x14ac:dyDescent="0.35">
      <c r="A6944" s="3">
        <f t="shared" si="991"/>
        <v>45975</v>
      </c>
      <c r="B6944" s="11" t="s">
        <v>2743</v>
      </c>
      <c r="C6944" s="162" t="s">
        <v>9516</v>
      </c>
      <c r="E6944" s="90" t="s">
        <v>4720</v>
      </c>
      <c r="F6944" s="4"/>
      <c r="G6944" s="2">
        <v>1000</v>
      </c>
      <c r="H6944" s="2">
        <v>0</v>
      </c>
      <c r="I6944" s="88">
        <f t="shared" si="992"/>
        <v>41754.36</v>
      </c>
      <c r="J6944"/>
      <c r="K6944" s="62"/>
      <c r="L6944" s="2">
        <f t="shared" si="993"/>
        <v>4</v>
      </c>
      <c r="M6944">
        <f t="shared" si="994"/>
        <v>0</v>
      </c>
    </row>
    <row r="6945" spans="1:13" s="156" customFormat="1" ht="18" x14ac:dyDescent="0.35">
      <c r="A6945" s="3">
        <f t="shared" si="991"/>
        <v>45975</v>
      </c>
      <c r="B6945" s="11" t="s">
        <v>1250</v>
      </c>
      <c r="C6945" s="162" t="s">
        <v>6570</v>
      </c>
      <c r="E6945" s="90" t="s">
        <v>4720</v>
      </c>
      <c r="F6945" s="4"/>
      <c r="G6945" s="2">
        <v>3000</v>
      </c>
      <c r="H6945" s="2">
        <v>0</v>
      </c>
      <c r="I6945" s="88">
        <f t="shared" si="992"/>
        <v>44754.36</v>
      </c>
      <c r="J6945"/>
      <c r="K6945" s="62"/>
      <c r="L6945" s="2">
        <f t="shared" si="993"/>
        <v>12</v>
      </c>
      <c r="M6945">
        <f t="shared" si="994"/>
        <v>0</v>
      </c>
    </row>
    <row r="6946" spans="1:13" s="156" customFormat="1" ht="18" x14ac:dyDescent="0.35">
      <c r="A6946" s="3">
        <f t="shared" si="991"/>
        <v>45975</v>
      </c>
      <c r="B6946" s="11" t="s">
        <v>7237</v>
      </c>
      <c r="C6946" s="162" t="s">
        <v>7040</v>
      </c>
      <c r="E6946" s="90" t="s">
        <v>2088</v>
      </c>
      <c r="F6946" s="4"/>
      <c r="G6946" s="2">
        <v>1000</v>
      </c>
      <c r="H6946" s="2">
        <v>0</v>
      </c>
      <c r="I6946" s="88">
        <f t="shared" si="992"/>
        <v>45754.36</v>
      </c>
      <c r="J6946"/>
      <c r="K6946" s="62"/>
      <c r="L6946" s="2">
        <f t="shared" si="993"/>
        <v>9</v>
      </c>
      <c r="M6946">
        <f t="shared" si="994"/>
        <v>5</v>
      </c>
    </row>
    <row r="6947" spans="1:13" s="156" customFormat="1" ht="18" x14ac:dyDescent="0.35">
      <c r="A6947" s="3">
        <f t="shared" si="991"/>
        <v>45975</v>
      </c>
      <c r="B6947" s="11" t="s">
        <v>6683</v>
      </c>
      <c r="C6947" s="162" t="s">
        <v>9180</v>
      </c>
      <c r="E6947" s="90" t="s">
        <v>4720</v>
      </c>
      <c r="F6947" s="4"/>
      <c r="G6947" s="2">
        <v>0</v>
      </c>
      <c r="H6947" s="2">
        <v>2500</v>
      </c>
      <c r="I6947" s="88">
        <f t="shared" si="992"/>
        <v>43254.36</v>
      </c>
      <c r="J6947"/>
      <c r="K6947" s="62"/>
      <c r="L6947" s="2">
        <f t="shared" si="993"/>
        <v>10</v>
      </c>
      <c r="M6947">
        <f t="shared" si="994"/>
        <v>0</v>
      </c>
    </row>
    <row r="6948" spans="1:13" s="156" customFormat="1" ht="18" x14ac:dyDescent="0.35">
      <c r="A6948" s="3">
        <f t="shared" si="991"/>
        <v>45975</v>
      </c>
      <c r="B6948" s="11" t="s">
        <v>6905</v>
      </c>
      <c r="C6948" s="162" t="s">
        <v>8398</v>
      </c>
      <c r="E6948" s="90" t="s">
        <v>4720</v>
      </c>
      <c r="F6948" s="4"/>
      <c r="G6948" s="2">
        <v>0</v>
      </c>
      <c r="H6948" s="2">
        <v>9000</v>
      </c>
      <c r="I6948" s="88">
        <f t="shared" si="992"/>
        <v>34254.36</v>
      </c>
      <c r="J6948"/>
      <c r="K6948" s="62"/>
      <c r="L6948" s="2">
        <f t="shared" si="993"/>
        <v>20</v>
      </c>
      <c r="M6948">
        <f t="shared" si="994"/>
        <v>0</v>
      </c>
    </row>
    <row r="6949" spans="1:13" s="156" customFormat="1" ht="18" x14ac:dyDescent="0.35">
      <c r="A6949" s="3">
        <f t="shared" si="991"/>
        <v>45975</v>
      </c>
      <c r="B6949" s="11" t="s">
        <v>1472</v>
      </c>
      <c r="C6949" s="162" t="s">
        <v>9449</v>
      </c>
      <c r="E6949" s="90" t="s">
        <v>4720</v>
      </c>
      <c r="F6949" s="4"/>
      <c r="G6949" s="2">
        <v>7900</v>
      </c>
      <c r="H6949" s="2">
        <v>0</v>
      </c>
      <c r="I6949" s="88">
        <f t="shared" si="992"/>
        <v>42154.36</v>
      </c>
      <c r="J6949"/>
      <c r="K6949" s="62"/>
      <c r="L6949" s="2">
        <f t="shared" si="993"/>
        <v>20</v>
      </c>
      <c r="M6949">
        <f t="shared" si="994"/>
        <v>0</v>
      </c>
    </row>
    <row r="6950" spans="1:13" s="156" customFormat="1" ht="18" x14ac:dyDescent="0.35">
      <c r="A6950" s="3">
        <f t="shared" si="991"/>
        <v>45975</v>
      </c>
      <c r="B6950" s="11" t="s">
        <v>1472</v>
      </c>
      <c r="C6950" s="162" t="s">
        <v>9517</v>
      </c>
      <c r="E6950" s="90" t="s">
        <v>4720</v>
      </c>
      <c r="F6950" s="4"/>
      <c r="G6950" s="2">
        <v>1000</v>
      </c>
      <c r="H6950" s="2">
        <v>0</v>
      </c>
      <c r="I6950" s="88">
        <f t="shared" si="992"/>
        <v>43154.36</v>
      </c>
      <c r="J6950"/>
      <c r="K6950" s="62"/>
      <c r="L6950" s="2">
        <f t="shared" si="993"/>
        <v>4</v>
      </c>
      <c r="M6950">
        <f t="shared" si="994"/>
        <v>0</v>
      </c>
    </row>
    <row r="6951" spans="1:13" s="156" customFormat="1" ht="18" x14ac:dyDescent="0.35">
      <c r="A6951" s="3">
        <v>45976</v>
      </c>
      <c r="B6951" s="11" t="s">
        <v>6706</v>
      </c>
      <c r="C6951" s="162" t="s">
        <v>7732</v>
      </c>
      <c r="E6951" s="90" t="s">
        <v>2088</v>
      </c>
      <c r="F6951" s="4"/>
      <c r="G6951" s="2">
        <v>8000</v>
      </c>
      <c r="H6951" s="2">
        <v>0</v>
      </c>
      <c r="I6951" s="88">
        <f t="shared" si="992"/>
        <v>51154.36</v>
      </c>
      <c r="J6951"/>
      <c r="K6951" s="62"/>
      <c r="L6951" s="2">
        <f t="shared" si="993"/>
        <v>25</v>
      </c>
      <c r="M6951">
        <f t="shared" si="994"/>
        <v>5</v>
      </c>
    </row>
    <row r="6952" spans="1:13" s="156" customFormat="1" ht="18" x14ac:dyDescent="0.35">
      <c r="A6952" s="3">
        <f t="shared" si="991"/>
        <v>45976</v>
      </c>
      <c r="B6952" s="11" t="s">
        <v>8922</v>
      </c>
      <c r="C6952" s="162" t="s">
        <v>9183</v>
      </c>
      <c r="E6952" s="90" t="s">
        <v>4720</v>
      </c>
      <c r="F6952" s="4"/>
      <c r="G6952" s="2">
        <v>4000</v>
      </c>
      <c r="H6952" s="2">
        <v>0</v>
      </c>
      <c r="I6952" s="88">
        <f t="shared" ref="I6952:I6955" si="995">I6951+G6952-H6952</f>
        <v>55154.36</v>
      </c>
      <c r="J6952"/>
      <c r="K6952" s="62"/>
      <c r="L6952" s="2">
        <f t="shared" ref="L6952:L6955" si="996">IF(E6952="C",0,IF((G6952+H6952)&lt;=5000,(G6952+H6952)*0.004,20)+IF(E6952="P",5,IF(E6952="Y",15,IF(E6952="YY",25))))</f>
        <v>16</v>
      </c>
      <c r="M6952">
        <f t="shared" ref="M6952:M6955" si="997">IF(E6952="p",5,0)</f>
        <v>0</v>
      </c>
    </row>
    <row r="6953" spans="1:13" s="156" customFormat="1" ht="18" x14ac:dyDescent="0.35">
      <c r="A6953" s="3">
        <f t="shared" si="991"/>
        <v>45976</v>
      </c>
      <c r="B6953" s="11" t="s">
        <v>9522</v>
      </c>
      <c r="C6953" s="162" t="s">
        <v>9521</v>
      </c>
      <c r="E6953" s="90" t="s">
        <v>16</v>
      </c>
      <c r="F6953" s="4"/>
      <c r="G6953" s="2">
        <v>0</v>
      </c>
      <c r="H6953" s="2">
        <v>500</v>
      </c>
      <c r="I6953" s="88">
        <f t="shared" si="995"/>
        <v>54654.36</v>
      </c>
      <c r="J6953"/>
      <c r="K6953" s="62"/>
      <c r="L6953" s="2">
        <f t="shared" si="996"/>
        <v>17</v>
      </c>
      <c r="M6953">
        <f t="shared" si="997"/>
        <v>0</v>
      </c>
    </row>
    <row r="6954" spans="1:13" s="156" customFormat="1" ht="18" x14ac:dyDescent="0.35">
      <c r="A6954" s="3">
        <f t="shared" si="991"/>
        <v>45976</v>
      </c>
      <c r="B6954" s="11" t="s">
        <v>1472</v>
      </c>
      <c r="C6954" s="162" t="s">
        <v>8026</v>
      </c>
      <c r="E6954" s="90" t="s">
        <v>4720</v>
      </c>
      <c r="F6954" s="4"/>
      <c r="G6954" s="2">
        <v>1500</v>
      </c>
      <c r="H6954" s="2">
        <v>0</v>
      </c>
      <c r="I6954" s="88">
        <f t="shared" si="995"/>
        <v>56154.36</v>
      </c>
      <c r="J6954"/>
      <c r="K6954" s="62"/>
      <c r="L6954" s="2">
        <f t="shared" si="996"/>
        <v>6</v>
      </c>
      <c r="M6954">
        <f t="shared" si="997"/>
        <v>0</v>
      </c>
    </row>
    <row r="6955" spans="1:13" s="156" customFormat="1" ht="18" x14ac:dyDescent="0.35">
      <c r="A6955" s="3">
        <f t="shared" si="991"/>
        <v>45976</v>
      </c>
      <c r="B6955" s="11" t="s">
        <v>6947</v>
      </c>
      <c r="C6955" s="162" t="s">
        <v>8969</v>
      </c>
      <c r="E6955" s="90" t="s">
        <v>2088</v>
      </c>
      <c r="F6955" s="4"/>
      <c r="G6955" s="2">
        <v>0</v>
      </c>
      <c r="H6955" s="2">
        <v>0</v>
      </c>
      <c r="I6955" s="88">
        <f t="shared" si="995"/>
        <v>56154.36</v>
      </c>
      <c r="J6955"/>
      <c r="K6955" s="62"/>
      <c r="L6955" s="2">
        <f t="shared" si="996"/>
        <v>5</v>
      </c>
      <c r="M6955">
        <f t="shared" si="997"/>
        <v>5</v>
      </c>
    </row>
    <row r="6956" spans="1:13" s="156" customFormat="1" ht="18" x14ac:dyDescent="0.35">
      <c r="A6956" s="3">
        <f t="shared" si="991"/>
        <v>45976</v>
      </c>
      <c r="B6956" s="11" t="s">
        <v>6947</v>
      </c>
      <c r="C6956" s="162" t="s">
        <v>8969</v>
      </c>
      <c r="E6956" s="90" t="s">
        <v>2088</v>
      </c>
      <c r="F6956" s="4"/>
      <c r="G6956" s="2">
        <v>1000</v>
      </c>
      <c r="H6956" s="2">
        <v>0</v>
      </c>
      <c r="I6956" s="88">
        <f t="shared" ref="I6956:I6969" si="998">I6955+G6956-H6956</f>
        <v>57154.36</v>
      </c>
      <c r="J6956"/>
      <c r="K6956" s="62"/>
      <c r="L6956" s="2">
        <f t="shared" ref="L6956:L6969" si="999">IF(E6956="C",0,IF((G6956+H6956)&lt;=5000,(G6956+H6956)*0.004,20)+IF(E6956="P",5,IF(E6956="Y",15,IF(E6956="YY",25))))</f>
        <v>9</v>
      </c>
      <c r="M6956">
        <f t="shared" ref="M6956:M6969" si="1000">IF(E6956="p",5,0)</f>
        <v>5</v>
      </c>
    </row>
    <row r="6957" spans="1:13" s="156" customFormat="1" ht="18" x14ac:dyDescent="0.35">
      <c r="A6957" s="3">
        <f t="shared" si="991"/>
        <v>45976</v>
      </c>
      <c r="B6957" s="11" t="s">
        <v>9505</v>
      </c>
      <c r="C6957" s="162" t="s">
        <v>9524</v>
      </c>
      <c r="E6957" s="90" t="s">
        <v>2088</v>
      </c>
      <c r="F6957" s="4"/>
      <c r="G6957" s="2">
        <v>0</v>
      </c>
      <c r="H6957" s="2">
        <v>0</v>
      </c>
      <c r="I6957" s="88">
        <f t="shared" si="998"/>
        <v>57154.36</v>
      </c>
      <c r="J6957"/>
      <c r="K6957" s="62"/>
      <c r="L6957" s="2">
        <f t="shared" si="999"/>
        <v>5</v>
      </c>
      <c r="M6957">
        <f t="shared" si="1000"/>
        <v>5</v>
      </c>
    </row>
    <row r="6958" spans="1:13" s="156" customFormat="1" ht="18" x14ac:dyDescent="0.35">
      <c r="A6958" s="3">
        <f t="shared" si="991"/>
        <v>45976</v>
      </c>
      <c r="B6958" s="11" t="s">
        <v>8955</v>
      </c>
      <c r="C6958" s="162" t="s">
        <v>9195</v>
      </c>
      <c r="E6958" s="90" t="s">
        <v>2088</v>
      </c>
      <c r="F6958" s="4"/>
      <c r="G6958" s="2">
        <v>0</v>
      </c>
      <c r="H6958" s="2">
        <v>0</v>
      </c>
      <c r="I6958" s="88">
        <f t="shared" si="998"/>
        <v>57154.36</v>
      </c>
      <c r="J6958"/>
      <c r="K6958" s="62"/>
      <c r="L6958" s="2">
        <f t="shared" si="999"/>
        <v>5</v>
      </c>
      <c r="M6958">
        <f t="shared" si="1000"/>
        <v>5</v>
      </c>
    </row>
    <row r="6959" spans="1:13" s="156" customFormat="1" ht="18" x14ac:dyDescent="0.35">
      <c r="A6959" s="3">
        <f t="shared" si="991"/>
        <v>45976</v>
      </c>
      <c r="B6959" s="11" t="s">
        <v>3877</v>
      </c>
      <c r="C6959" s="162" t="s">
        <v>9163</v>
      </c>
      <c r="E6959" s="90" t="s">
        <v>2088</v>
      </c>
      <c r="F6959" s="4"/>
      <c r="G6959" s="2">
        <v>2000</v>
      </c>
      <c r="H6959" s="2">
        <v>0</v>
      </c>
      <c r="I6959" s="88">
        <f t="shared" si="998"/>
        <v>59154.36</v>
      </c>
      <c r="J6959"/>
      <c r="K6959" s="62"/>
      <c r="L6959" s="2">
        <f t="shared" si="999"/>
        <v>13</v>
      </c>
      <c r="M6959">
        <f t="shared" si="1000"/>
        <v>5</v>
      </c>
    </row>
    <row r="6960" spans="1:13" s="156" customFormat="1" ht="18" x14ac:dyDescent="0.35">
      <c r="A6960" s="3">
        <f t="shared" si="991"/>
        <v>45976</v>
      </c>
      <c r="B6960" s="11" t="s">
        <v>3865</v>
      </c>
      <c r="C6960" s="162" t="s">
        <v>2890</v>
      </c>
      <c r="E6960" s="90" t="s">
        <v>4720</v>
      </c>
      <c r="F6960" s="4"/>
      <c r="G6960" s="2">
        <v>4000</v>
      </c>
      <c r="H6960" s="2">
        <v>0</v>
      </c>
      <c r="I6960" s="88">
        <f t="shared" si="998"/>
        <v>63154.36</v>
      </c>
      <c r="J6960"/>
      <c r="K6960" s="62"/>
      <c r="L6960" s="2">
        <f t="shared" si="999"/>
        <v>16</v>
      </c>
      <c r="M6960">
        <f t="shared" si="1000"/>
        <v>0</v>
      </c>
    </row>
    <row r="6961" spans="1:13" s="156" customFormat="1" ht="18" x14ac:dyDescent="0.35">
      <c r="A6961" s="3">
        <f t="shared" si="991"/>
        <v>45976</v>
      </c>
      <c r="B6961" s="11" t="s">
        <v>3232</v>
      </c>
      <c r="C6961" s="162" t="s">
        <v>2414</v>
      </c>
      <c r="E6961" s="90" t="s">
        <v>4720</v>
      </c>
      <c r="F6961" s="4"/>
      <c r="G6961" s="2">
        <v>1000</v>
      </c>
      <c r="H6961" s="2">
        <v>0</v>
      </c>
      <c r="I6961" s="88">
        <f t="shared" si="998"/>
        <v>64154.36</v>
      </c>
      <c r="J6961"/>
      <c r="K6961" s="62"/>
      <c r="L6961" s="2">
        <f t="shared" si="999"/>
        <v>4</v>
      </c>
      <c r="M6961">
        <f t="shared" si="1000"/>
        <v>0</v>
      </c>
    </row>
    <row r="6962" spans="1:13" s="156" customFormat="1" ht="18" x14ac:dyDescent="0.35">
      <c r="A6962" s="3">
        <f t="shared" si="991"/>
        <v>45976</v>
      </c>
      <c r="B6962" s="11" t="s">
        <v>7250</v>
      </c>
      <c r="C6962" s="162" t="s">
        <v>3580</v>
      </c>
      <c r="E6962" s="90" t="s">
        <v>4720</v>
      </c>
      <c r="F6962" s="4"/>
      <c r="G6962" s="2">
        <v>0</v>
      </c>
      <c r="H6962" s="2">
        <v>0</v>
      </c>
      <c r="I6962" s="88">
        <f t="shared" si="998"/>
        <v>64154.36</v>
      </c>
      <c r="J6962"/>
      <c r="K6962" s="62"/>
      <c r="L6962" s="2">
        <f t="shared" si="999"/>
        <v>0</v>
      </c>
      <c r="M6962">
        <f t="shared" si="1000"/>
        <v>0</v>
      </c>
    </row>
    <row r="6963" spans="1:13" s="156" customFormat="1" ht="18" x14ac:dyDescent="0.35">
      <c r="A6963" s="3">
        <f t="shared" si="991"/>
        <v>45976</v>
      </c>
      <c r="B6963" s="11" t="s">
        <v>6549</v>
      </c>
      <c r="C6963" s="162" t="s">
        <v>7990</v>
      </c>
      <c r="E6963" s="90" t="s">
        <v>2088</v>
      </c>
      <c r="F6963" s="4"/>
      <c r="G6963" s="2">
        <v>1000</v>
      </c>
      <c r="H6963" s="2">
        <v>0</v>
      </c>
      <c r="I6963" s="88">
        <f t="shared" si="998"/>
        <v>65154.36</v>
      </c>
      <c r="J6963"/>
      <c r="K6963" s="62"/>
      <c r="L6963" s="2">
        <f t="shared" si="999"/>
        <v>9</v>
      </c>
      <c r="M6963">
        <f t="shared" si="1000"/>
        <v>5</v>
      </c>
    </row>
    <row r="6964" spans="1:13" s="156" customFormat="1" ht="18" x14ac:dyDescent="0.35">
      <c r="A6964" s="3">
        <f t="shared" si="991"/>
        <v>45976</v>
      </c>
      <c r="B6964" s="11" t="s">
        <v>7250</v>
      </c>
      <c r="C6964" s="162" t="s">
        <v>3580</v>
      </c>
      <c r="E6964" s="90" t="s">
        <v>2088</v>
      </c>
      <c r="F6964" s="4"/>
      <c r="G6964" s="2">
        <v>2500</v>
      </c>
      <c r="H6964" s="2">
        <v>0</v>
      </c>
      <c r="I6964" s="88">
        <f t="shared" si="998"/>
        <v>67654.36</v>
      </c>
      <c r="J6964"/>
      <c r="K6964" s="62"/>
      <c r="L6964" s="2">
        <f t="shared" si="999"/>
        <v>15</v>
      </c>
      <c r="M6964">
        <f t="shared" si="1000"/>
        <v>5</v>
      </c>
    </row>
    <row r="6965" spans="1:13" s="156" customFormat="1" ht="18" x14ac:dyDescent="0.35">
      <c r="A6965" s="3">
        <f t="shared" si="991"/>
        <v>45976</v>
      </c>
      <c r="B6965" s="11"/>
      <c r="C6965" s="162" t="s">
        <v>6581</v>
      </c>
      <c r="E6965" s="90" t="s">
        <v>4720</v>
      </c>
      <c r="F6965" s="4"/>
      <c r="G6965" s="2">
        <v>5000</v>
      </c>
      <c r="H6965" s="2">
        <v>0</v>
      </c>
      <c r="I6965" s="88">
        <f t="shared" si="998"/>
        <v>72654.36</v>
      </c>
      <c r="J6965"/>
      <c r="K6965" s="62"/>
      <c r="L6965" s="2">
        <f t="shared" si="999"/>
        <v>20</v>
      </c>
      <c r="M6965">
        <f t="shared" si="1000"/>
        <v>0</v>
      </c>
    </row>
    <row r="6966" spans="1:13" s="156" customFormat="1" ht="18" x14ac:dyDescent="0.35">
      <c r="A6966" s="3">
        <f t="shared" si="991"/>
        <v>45976</v>
      </c>
      <c r="B6966" s="11" t="s">
        <v>6233</v>
      </c>
      <c r="C6966" s="162" t="s">
        <v>8971</v>
      </c>
      <c r="E6966" s="90" t="s">
        <v>7772</v>
      </c>
      <c r="F6966" s="4"/>
      <c r="G6966" s="2">
        <v>2000</v>
      </c>
      <c r="H6966" s="2">
        <v>0</v>
      </c>
      <c r="I6966" s="88">
        <f t="shared" si="998"/>
        <v>74654.36</v>
      </c>
      <c r="J6966"/>
      <c r="K6966" s="62"/>
      <c r="L6966" s="2">
        <f t="shared" si="999"/>
        <v>13</v>
      </c>
      <c r="M6966">
        <f t="shared" si="1000"/>
        <v>5</v>
      </c>
    </row>
    <row r="6967" spans="1:13" s="156" customFormat="1" ht="18" x14ac:dyDescent="0.35">
      <c r="A6967" s="3">
        <f t="shared" si="991"/>
        <v>45976</v>
      </c>
      <c r="B6967" s="11" t="s">
        <v>1250</v>
      </c>
      <c r="C6967" s="162" t="s">
        <v>2884</v>
      </c>
      <c r="E6967" s="90" t="s">
        <v>4720</v>
      </c>
      <c r="F6967" s="4"/>
      <c r="G6967" s="2">
        <v>1100</v>
      </c>
      <c r="H6967" s="2">
        <v>0</v>
      </c>
      <c r="I6967" s="88">
        <f t="shared" si="998"/>
        <v>75754.36</v>
      </c>
      <c r="J6967"/>
      <c r="K6967" s="62"/>
      <c r="L6967" s="2">
        <f t="shared" si="999"/>
        <v>4.4000000000000004</v>
      </c>
      <c r="M6967">
        <f t="shared" si="1000"/>
        <v>0</v>
      </c>
    </row>
    <row r="6968" spans="1:13" s="156" customFormat="1" ht="18" x14ac:dyDescent="0.35">
      <c r="A6968" s="3">
        <f t="shared" si="991"/>
        <v>45976</v>
      </c>
      <c r="B6968" s="11" t="s">
        <v>1250</v>
      </c>
      <c r="C6968" s="162" t="s">
        <v>3393</v>
      </c>
      <c r="E6968" s="90" t="s">
        <v>4720</v>
      </c>
      <c r="F6968" s="4"/>
      <c r="G6968" s="2">
        <v>1100</v>
      </c>
      <c r="H6968" s="2">
        <v>0</v>
      </c>
      <c r="I6968" s="88">
        <f t="shared" si="998"/>
        <v>76854.36</v>
      </c>
      <c r="J6968"/>
      <c r="K6968" s="62"/>
      <c r="L6968" s="2">
        <f t="shared" si="999"/>
        <v>4.4000000000000004</v>
      </c>
      <c r="M6968">
        <f t="shared" si="1000"/>
        <v>0</v>
      </c>
    </row>
    <row r="6969" spans="1:13" s="156" customFormat="1" ht="18" x14ac:dyDescent="0.35">
      <c r="A6969" s="3">
        <f t="shared" si="991"/>
        <v>45976</v>
      </c>
      <c r="B6969" s="11" t="s">
        <v>1472</v>
      </c>
      <c r="C6969" s="162" t="s">
        <v>9527</v>
      </c>
      <c r="E6969" s="90" t="s">
        <v>4720</v>
      </c>
      <c r="F6969" s="4"/>
      <c r="G6969" s="2">
        <v>1400</v>
      </c>
      <c r="H6969" s="2">
        <v>0</v>
      </c>
      <c r="I6969" s="88">
        <f t="shared" si="998"/>
        <v>78254.36</v>
      </c>
      <c r="J6969"/>
      <c r="K6969" s="62"/>
      <c r="L6969" s="2">
        <f t="shared" si="999"/>
        <v>5.6000000000000005</v>
      </c>
      <c r="M6969">
        <f t="shared" si="1000"/>
        <v>0</v>
      </c>
    </row>
    <row r="6970" spans="1:13" s="156" customFormat="1" ht="18" x14ac:dyDescent="0.35">
      <c r="A6970" s="3">
        <f t="shared" si="991"/>
        <v>45976</v>
      </c>
      <c r="B6970" s="11" t="s">
        <v>9528</v>
      </c>
      <c r="C6970" s="162" t="s">
        <v>8751</v>
      </c>
      <c r="E6970" s="90" t="s">
        <v>2088</v>
      </c>
      <c r="F6970" s="4"/>
      <c r="G6970" s="2">
        <v>3000</v>
      </c>
      <c r="H6970" s="2">
        <v>0</v>
      </c>
      <c r="I6970" s="88">
        <f t="shared" ref="I6970:I6983" si="1001">I6969+G6970-H6970</f>
        <v>81254.36</v>
      </c>
      <c r="J6970"/>
      <c r="K6970" s="62"/>
      <c r="L6970" s="2">
        <f t="shared" ref="L6970:L6983" si="1002">IF(E6970="C",0,IF((G6970+H6970)&lt;=5000,(G6970+H6970)*0.004,20)+IF(E6970="P",5,IF(E6970="Y",15,IF(E6970="YY",25))))</f>
        <v>17</v>
      </c>
      <c r="M6970">
        <f t="shared" ref="M6970:M6983" si="1003">IF(E6970="p",5,0)</f>
        <v>5</v>
      </c>
    </row>
    <row r="6971" spans="1:13" s="156" customFormat="1" ht="18" x14ac:dyDescent="0.35">
      <c r="A6971" s="3">
        <f t="shared" si="991"/>
        <v>45976</v>
      </c>
      <c r="B6971" s="11" t="s">
        <v>1170</v>
      </c>
      <c r="C6971" s="162" t="s">
        <v>7773</v>
      </c>
      <c r="E6971" s="90" t="s">
        <v>4720</v>
      </c>
      <c r="F6971" s="4"/>
      <c r="G6971" s="2">
        <v>3050</v>
      </c>
      <c r="H6971" s="2">
        <v>0</v>
      </c>
      <c r="I6971" s="88">
        <f t="shared" si="1001"/>
        <v>84304.36</v>
      </c>
      <c r="J6971" s="62"/>
      <c r="K6971" s="62"/>
      <c r="L6971" s="2">
        <f t="shared" si="1002"/>
        <v>12.200000000000001</v>
      </c>
      <c r="M6971">
        <f t="shared" si="1003"/>
        <v>0</v>
      </c>
    </row>
    <row r="6972" spans="1:13" s="156" customFormat="1" ht="18" x14ac:dyDescent="0.35">
      <c r="A6972" s="3">
        <f t="shared" si="991"/>
        <v>45976</v>
      </c>
      <c r="B6972" s="11" t="s">
        <v>6384</v>
      </c>
      <c r="C6972" s="162" t="s">
        <v>8276</v>
      </c>
      <c r="E6972" s="90" t="s">
        <v>4720</v>
      </c>
      <c r="F6972" s="4"/>
      <c r="G6972" s="2">
        <v>0</v>
      </c>
      <c r="H6972" s="2">
        <v>3000</v>
      </c>
      <c r="I6972" s="88">
        <f t="shared" si="1001"/>
        <v>81304.36</v>
      </c>
      <c r="J6972"/>
      <c r="K6972" s="62"/>
      <c r="L6972" s="2">
        <f t="shared" si="1002"/>
        <v>12</v>
      </c>
      <c r="M6972">
        <f t="shared" si="1003"/>
        <v>0</v>
      </c>
    </row>
    <row r="6973" spans="1:13" s="156" customFormat="1" ht="18" x14ac:dyDescent="0.35">
      <c r="A6973" s="3">
        <f t="shared" si="991"/>
        <v>45976</v>
      </c>
      <c r="B6973" s="11" t="s">
        <v>7870</v>
      </c>
      <c r="C6973" s="162" t="s">
        <v>1026</v>
      </c>
      <c r="E6973" s="90" t="s">
        <v>2088</v>
      </c>
      <c r="F6973" s="4"/>
      <c r="G6973" s="2">
        <v>2000</v>
      </c>
      <c r="H6973" s="2">
        <v>0</v>
      </c>
      <c r="I6973" s="88">
        <f t="shared" si="1001"/>
        <v>83304.36</v>
      </c>
      <c r="J6973"/>
      <c r="K6973" s="62"/>
      <c r="L6973" s="2">
        <f t="shared" si="1002"/>
        <v>13</v>
      </c>
      <c r="M6973">
        <f t="shared" si="1003"/>
        <v>5</v>
      </c>
    </row>
    <row r="6974" spans="1:13" s="156" customFormat="1" ht="18" x14ac:dyDescent="0.35">
      <c r="A6974" s="3">
        <f t="shared" si="991"/>
        <v>45976</v>
      </c>
      <c r="B6974" s="11" t="s">
        <v>9511</v>
      </c>
      <c r="C6974" s="162" t="s">
        <v>9529</v>
      </c>
      <c r="E6974" s="90" t="s">
        <v>4720</v>
      </c>
      <c r="F6974" s="4"/>
      <c r="G6974" s="2">
        <v>10000</v>
      </c>
      <c r="H6974" s="2">
        <v>0</v>
      </c>
      <c r="I6974" s="88">
        <f t="shared" si="1001"/>
        <v>93304.36</v>
      </c>
      <c r="J6974"/>
      <c r="K6974" s="62"/>
      <c r="L6974" s="2">
        <f t="shared" si="1002"/>
        <v>20</v>
      </c>
      <c r="M6974">
        <f t="shared" si="1003"/>
        <v>0</v>
      </c>
    </row>
    <row r="6975" spans="1:13" s="156" customFormat="1" ht="18" x14ac:dyDescent="0.35">
      <c r="A6975" s="3">
        <f t="shared" si="991"/>
        <v>45976</v>
      </c>
      <c r="B6975" s="11" t="s">
        <v>3524</v>
      </c>
      <c r="C6975" s="162" t="s">
        <v>2679</v>
      </c>
      <c r="E6975" s="90" t="s">
        <v>4720</v>
      </c>
      <c r="F6975" s="4"/>
      <c r="G6975" s="2">
        <v>0</v>
      </c>
      <c r="H6975" s="2">
        <v>10000</v>
      </c>
      <c r="I6975" s="88">
        <f t="shared" si="1001"/>
        <v>83304.36</v>
      </c>
      <c r="J6975"/>
      <c r="K6975" s="62"/>
      <c r="L6975" s="2">
        <f t="shared" si="1002"/>
        <v>20</v>
      </c>
      <c r="M6975">
        <f t="shared" si="1003"/>
        <v>0</v>
      </c>
    </row>
    <row r="6976" spans="1:13" s="156" customFormat="1" ht="18" x14ac:dyDescent="0.35">
      <c r="A6976" s="3">
        <f t="shared" si="991"/>
        <v>45976</v>
      </c>
      <c r="B6976" s="11" t="s">
        <v>6369</v>
      </c>
      <c r="C6976" s="162" t="s">
        <v>7569</v>
      </c>
      <c r="E6976" s="90" t="s">
        <v>2088</v>
      </c>
      <c r="F6976" s="4"/>
      <c r="G6976" s="2">
        <v>0</v>
      </c>
      <c r="H6976" s="2">
        <v>10000</v>
      </c>
      <c r="I6976" s="88">
        <f t="shared" si="1001"/>
        <v>73304.36</v>
      </c>
      <c r="J6976"/>
      <c r="K6976" s="62"/>
      <c r="L6976" s="2">
        <f t="shared" si="1002"/>
        <v>25</v>
      </c>
      <c r="M6976">
        <f t="shared" si="1003"/>
        <v>5</v>
      </c>
    </row>
    <row r="6977" spans="1:13" s="156" customFormat="1" ht="18" x14ac:dyDescent="0.35">
      <c r="A6977" s="3">
        <f t="shared" si="991"/>
        <v>45976</v>
      </c>
      <c r="B6977" s="11" t="s">
        <v>1472</v>
      </c>
      <c r="C6977" s="162" t="s">
        <v>8507</v>
      </c>
      <c r="E6977" s="90" t="s">
        <v>4720</v>
      </c>
      <c r="F6977" s="4"/>
      <c r="G6977" s="2">
        <v>10000</v>
      </c>
      <c r="H6977" s="2">
        <v>0</v>
      </c>
      <c r="I6977" s="88">
        <f t="shared" si="1001"/>
        <v>83304.36</v>
      </c>
      <c r="J6977"/>
      <c r="K6977" s="62"/>
      <c r="L6977" s="2">
        <f t="shared" si="1002"/>
        <v>20</v>
      </c>
      <c r="M6977">
        <f t="shared" si="1003"/>
        <v>0</v>
      </c>
    </row>
    <row r="6978" spans="1:13" s="156" customFormat="1" ht="18" x14ac:dyDescent="0.35">
      <c r="A6978" s="3">
        <f t="shared" si="991"/>
        <v>45976</v>
      </c>
      <c r="B6978" s="11" t="s">
        <v>1250</v>
      </c>
      <c r="C6978" s="162" t="s">
        <v>7326</v>
      </c>
      <c r="E6978" s="90" t="s">
        <v>4720</v>
      </c>
      <c r="F6978" s="4"/>
      <c r="G6978" s="2">
        <v>7800</v>
      </c>
      <c r="H6978" s="2">
        <v>0</v>
      </c>
      <c r="I6978" s="88">
        <f t="shared" si="1001"/>
        <v>91104.36</v>
      </c>
      <c r="J6978"/>
      <c r="K6978" s="62"/>
      <c r="L6978" s="2">
        <f t="shared" si="1002"/>
        <v>20</v>
      </c>
      <c r="M6978">
        <f t="shared" si="1003"/>
        <v>0</v>
      </c>
    </row>
    <row r="6979" spans="1:13" s="156" customFormat="1" ht="18" x14ac:dyDescent="0.35">
      <c r="A6979" s="3">
        <v>45977</v>
      </c>
      <c r="B6979" s="11" t="s">
        <v>7734</v>
      </c>
      <c r="C6979" s="162" t="s">
        <v>9533</v>
      </c>
      <c r="E6979" s="90" t="s">
        <v>2088</v>
      </c>
      <c r="F6979" s="4"/>
      <c r="G6979" s="2">
        <v>0</v>
      </c>
      <c r="H6979" s="2">
        <v>0</v>
      </c>
      <c r="I6979" s="88">
        <f t="shared" si="1001"/>
        <v>91104.36</v>
      </c>
      <c r="J6979"/>
      <c r="K6979" s="62"/>
      <c r="L6979" s="2">
        <f t="shared" si="1002"/>
        <v>5</v>
      </c>
      <c r="M6979">
        <f t="shared" si="1003"/>
        <v>5</v>
      </c>
    </row>
    <row r="6980" spans="1:13" s="156" customFormat="1" ht="18" x14ac:dyDescent="0.35">
      <c r="A6980" s="3">
        <v>45978</v>
      </c>
      <c r="B6980" s="11"/>
      <c r="C6980" s="162" t="s">
        <v>2857</v>
      </c>
      <c r="E6980" s="90" t="s">
        <v>4134</v>
      </c>
      <c r="F6980" s="4"/>
      <c r="G6980" s="2">
        <v>0</v>
      </c>
      <c r="H6980" s="2">
        <v>80000</v>
      </c>
      <c r="I6980" s="88">
        <f t="shared" si="1001"/>
        <v>11104.36</v>
      </c>
      <c r="J6980"/>
      <c r="K6980" s="62"/>
      <c r="L6980" s="2">
        <f t="shared" si="1002"/>
        <v>0</v>
      </c>
      <c r="M6980">
        <f t="shared" si="1003"/>
        <v>0</v>
      </c>
    </row>
    <row r="6981" spans="1:13" s="156" customFormat="1" ht="18" x14ac:dyDescent="0.35">
      <c r="A6981" s="3">
        <f t="shared" ref="A6981:A7044" si="1004">A6980</f>
        <v>45978</v>
      </c>
      <c r="B6981" s="11" t="s">
        <v>4520</v>
      </c>
      <c r="C6981" s="162" t="s">
        <v>7460</v>
      </c>
      <c r="E6981" s="90" t="s">
        <v>2088</v>
      </c>
      <c r="F6981" s="4"/>
      <c r="G6981" s="2">
        <v>0</v>
      </c>
      <c r="H6981" s="2">
        <v>0</v>
      </c>
      <c r="I6981" s="88">
        <f t="shared" si="1001"/>
        <v>11104.36</v>
      </c>
      <c r="J6981"/>
      <c r="K6981" s="62"/>
      <c r="L6981" s="2">
        <f t="shared" si="1002"/>
        <v>5</v>
      </c>
      <c r="M6981">
        <f t="shared" si="1003"/>
        <v>5</v>
      </c>
    </row>
    <row r="6982" spans="1:13" s="156" customFormat="1" ht="18" x14ac:dyDescent="0.35">
      <c r="A6982" s="3">
        <f t="shared" si="1004"/>
        <v>45978</v>
      </c>
      <c r="B6982" s="11" t="s">
        <v>4520</v>
      </c>
      <c r="C6982" s="162" t="s">
        <v>7460</v>
      </c>
      <c r="E6982" s="90" t="s">
        <v>2088</v>
      </c>
      <c r="F6982" s="4"/>
      <c r="G6982" s="2">
        <v>2000</v>
      </c>
      <c r="H6982" s="2">
        <v>0</v>
      </c>
      <c r="I6982" s="88">
        <f t="shared" si="1001"/>
        <v>13104.36</v>
      </c>
      <c r="J6982"/>
      <c r="K6982" s="62"/>
      <c r="L6982" s="2">
        <f t="shared" si="1002"/>
        <v>13</v>
      </c>
      <c r="M6982">
        <f t="shared" si="1003"/>
        <v>5</v>
      </c>
    </row>
    <row r="6983" spans="1:13" s="156" customFormat="1" ht="18" x14ac:dyDescent="0.35">
      <c r="A6983" s="3">
        <f t="shared" si="1004"/>
        <v>45978</v>
      </c>
      <c r="B6983" s="11" t="s">
        <v>7394</v>
      </c>
      <c r="C6983" s="162" t="s">
        <v>7395</v>
      </c>
      <c r="E6983" s="90" t="s">
        <v>2088</v>
      </c>
      <c r="F6983" s="4"/>
      <c r="G6983" s="2">
        <v>5000</v>
      </c>
      <c r="H6983" s="2">
        <v>0</v>
      </c>
      <c r="I6983" s="88">
        <f t="shared" si="1001"/>
        <v>18104.36</v>
      </c>
      <c r="J6983"/>
      <c r="K6983" s="62"/>
      <c r="L6983" s="2">
        <f t="shared" si="1002"/>
        <v>25</v>
      </c>
      <c r="M6983">
        <f t="shared" si="1003"/>
        <v>5</v>
      </c>
    </row>
    <row r="6984" spans="1:13" s="156" customFormat="1" ht="18" x14ac:dyDescent="0.35">
      <c r="A6984" s="3">
        <f t="shared" si="1004"/>
        <v>45978</v>
      </c>
      <c r="B6984" s="11" t="s">
        <v>9537</v>
      </c>
      <c r="C6984" s="162" t="s">
        <v>9538</v>
      </c>
      <c r="E6984" s="90" t="s">
        <v>16</v>
      </c>
      <c r="F6984" s="4"/>
      <c r="G6984" s="2">
        <v>0</v>
      </c>
      <c r="H6984" s="2">
        <v>500</v>
      </c>
      <c r="I6984" s="88">
        <f t="shared" ref="I6984:I6996" si="1005">I6983+G6984-H6984</f>
        <v>17604.36</v>
      </c>
      <c r="J6984"/>
      <c r="K6984" s="62"/>
      <c r="L6984" s="2">
        <f t="shared" ref="L6984:L6986" si="1006">IF(E6984="C",0,IF((G6984+H6984)&lt;=5000,(G6984+H6984)*0.004,20)+IF(E6984="P",5,IF(E6984="Y",15,IF(E6984="YY",25))))</f>
        <v>17</v>
      </c>
      <c r="M6984">
        <f t="shared" ref="M6984:M6986" si="1007">IF(E6984="p",5,0)</f>
        <v>0</v>
      </c>
    </row>
    <row r="6985" spans="1:13" s="156" customFormat="1" ht="18" x14ac:dyDescent="0.35">
      <c r="A6985" s="3">
        <f t="shared" si="1004"/>
        <v>45978</v>
      </c>
      <c r="B6985" s="11" t="s">
        <v>9522</v>
      </c>
      <c r="C6985" s="162" t="s">
        <v>9521</v>
      </c>
      <c r="E6985" s="90" t="s">
        <v>2088</v>
      </c>
      <c r="F6985" s="4"/>
      <c r="G6985" s="2">
        <v>0</v>
      </c>
      <c r="H6985" s="2">
        <v>0</v>
      </c>
      <c r="I6985" s="88">
        <f t="shared" si="1005"/>
        <v>17604.36</v>
      </c>
      <c r="J6985"/>
      <c r="K6985" s="62"/>
      <c r="L6985" s="2">
        <f t="shared" si="1006"/>
        <v>5</v>
      </c>
      <c r="M6985">
        <f t="shared" si="1007"/>
        <v>5</v>
      </c>
    </row>
    <row r="6986" spans="1:13" s="156" customFormat="1" ht="18" x14ac:dyDescent="0.35">
      <c r="A6986" s="3">
        <f t="shared" si="1004"/>
        <v>45978</v>
      </c>
      <c r="B6986" s="11" t="s">
        <v>6844</v>
      </c>
      <c r="C6986" s="162" t="s">
        <v>9543</v>
      </c>
      <c r="E6986" s="90" t="s">
        <v>4720</v>
      </c>
      <c r="F6986" s="4"/>
      <c r="G6986" s="2">
        <v>0</v>
      </c>
      <c r="H6986" s="2">
        <v>6500</v>
      </c>
      <c r="I6986" s="88">
        <f t="shared" si="1005"/>
        <v>11104.36</v>
      </c>
      <c r="J6986"/>
      <c r="K6986" s="62"/>
      <c r="L6986" s="2">
        <f t="shared" si="1006"/>
        <v>20</v>
      </c>
      <c r="M6986">
        <f t="shared" si="1007"/>
        <v>0</v>
      </c>
    </row>
    <row r="6987" spans="1:13" s="156" customFormat="1" ht="18" x14ac:dyDescent="0.35">
      <c r="A6987" s="3">
        <f t="shared" si="1004"/>
        <v>45978</v>
      </c>
      <c r="B6987" s="11" t="s">
        <v>9540</v>
      </c>
      <c r="C6987" s="162" t="s">
        <v>9553</v>
      </c>
      <c r="E6987" s="90" t="s">
        <v>16</v>
      </c>
      <c r="F6987" s="4"/>
      <c r="G6987" s="2"/>
      <c r="H6987" s="2">
        <v>500</v>
      </c>
      <c r="I6987" s="88">
        <f t="shared" si="1005"/>
        <v>10604.36</v>
      </c>
      <c r="J6987"/>
      <c r="K6987" s="62"/>
      <c r="L6987" s="2">
        <f t="shared" ref="L6987:L6996" si="1008">IF(E6987="C",0,IF((G6987+H6987)&lt;=5000,(G6987+H6987)*0.004,20)+IF(E6987="P",5,IF(E6987="Y",15,IF(E6987="YY",25))))</f>
        <v>17</v>
      </c>
      <c r="M6987">
        <f t="shared" ref="M6987:M6996" si="1009">IF(E6987="p",5,0)</f>
        <v>0</v>
      </c>
    </row>
    <row r="6988" spans="1:13" s="156" customFormat="1" ht="18" x14ac:dyDescent="0.35">
      <c r="A6988" s="3">
        <f>A6986</f>
        <v>45978</v>
      </c>
      <c r="B6988" s="11" t="s">
        <v>9547</v>
      </c>
      <c r="C6988" s="162" t="s">
        <v>9548</v>
      </c>
      <c r="E6988" s="90" t="s">
        <v>16</v>
      </c>
      <c r="F6988" s="4"/>
      <c r="G6988" s="2">
        <v>0</v>
      </c>
      <c r="H6988" s="2">
        <v>500</v>
      </c>
      <c r="I6988" s="88">
        <f t="shared" si="1005"/>
        <v>10104.36</v>
      </c>
      <c r="J6988"/>
      <c r="K6988" s="62"/>
      <c r="L6988" s="2">
        <f t="shared" si="1008"/>
        <v>17</v>
      </c>
      <c r="M6988">
        <f t="shared" si="1009"/>
        <v>0</v>
      </c>
    </row>
    <row r="6989" spans="1:13" s="156" customFormat="1" ht="18" x14ac:dyDescent="0.35">
      <c r="A6989" s="3">
        <f t="shared" si="1004"/>
        <v>45978</v>
      </c>
      <c r="B6989" s="11" t="s">
        <v>6847</v>
      </c>
      <c r="C6989" s="162" t="s">
        <v>9551</v>
      </c>
      <c r="E6989" s="90" t="s">
        <v>2088</v>
      </c>
      <c r="F6989" s="4"/>
      <c r="G6989" s="2">
        <v>3500</v>
      </c>
      <c r="H6989" s="2">
        <v>0</v>
      </c>
      <c r="I6989" s="88">
        <f t="shared" si="1005"/>
        <v>13604.36</v>
      </c>
      <c r="J6989"/>
      <c r="K6989" s="62"/>
      <c r="L6989" s="2">
        <f t="shared" si="1008"/>
        <v>19</v>
      </c>
      <c r="M6989">
        <f t="shared" si="1009"/>
        <v>5</v>
      </c>
    </row>
    <row r="6990" spans="1:13" s="156" customFormat="1" ht="18" x14ac:dyDescent="0.35">
      <c r="A6990" s="3">
        <f t="shared" si="1004"/>
        <v>45978</v>
      </c>
      <c r="B6990" s="11" t="s">
        <v>2743</v>
      </c>
      <c r="C6990" s="162" t="s">
        <v>9552</v>
      </c>
      <c r="E6990" s="90" t="s">
        <v>4720</v>
      </c>
      <c r="F6990" s="4"/>
      <c r="G6990" s="2">
        <v>4000</v>
      </c>
      <c r="H6990" s="2">
        <v>0</v>
      </c>
      <c r="I6990" s="88">
        <f t="shared" si="1005"/>
        <v>17604.36</v>
      </c>
      <c r="J6990"/>
      <c r="K6990" s="62"/>
      <c r="L6990" s="2">
        <f t="shared" si="1008"/>
        <v>16</v>
      </c>
      <c r="M6990">
        <f t="shared" si="1009"/>
        <v>0</v>
      </c>
    </row>
    <row r="6991" spans="1:13" s="156" customFormat="1" ht="18" x14ac:dyDescent="0.35">
      <c r="A6991" s="3">
        <f t="shared" si="1004"/>
        <v>45978</v>
      </c>
      <c r="B6991" s="11" t="s">
        <v>1250</v>
      </c>
      <c r="C6991" s="162" t="s">
        <v>4437</v>
      </c>
      <c r="E6991" s="90" t="s">
        <v>4720</v>
      </c>
      <c r="F6991" s="4"/>
      <c r="G6991" s="2">
        <v>2300</v>
      </c>
      <c r="H6991" s="2">
        <v>0</v>
      </c>
      <c r="I6991" s="88">
        <f t="shared" si="1005"/>
        <v>19904.36</v>
      </c>
      <c r="J6991"/>
      <c r="K6991" s="62"/>
      <c r="L6991" s="2">
        <f t="shared" si="1008"/>
        <v>9.2000000000000011</v>
      </c>
      <c r="M6991">
        <f t="shared" si="1009"/>
        <v>0</v>
      </c>
    </row>
    <row r="6992" spans="1:13" s="156" customFormat="1" ht="18" x14ac:dyDescent="0.35">
      <c r="A6992" s="3">
        <f t="shared" si="1004"/>
        <v>45978</v>
      </c>
      <c r="B6992" s="11" t="s">
        <v>8806</v>
      </c>
      <c r="C6992" s="162" t="s">
        <v>2615</v>
      </c>
      <c r="E6992" s="90" t="s">
        <v>2088</v>
      </c>
      <c r="F6992" s="4"/>
      <c r="G6992" s="2">
        <v>0</v>
      </c>
      <c r="H6992" s="2">
        <v>3000</v>
      </c>
      <c r="I6992" s="88">
        <f t="shared" si="1005"/>
        <v>16904.36</v>
      </c>
      <c r="J6992"/>
      <c r="K6992" s="62"/>
      <c r="L6992" s="2">
        <f t="shared" si="1008"/>
        <v>17</v>
      </c>
      <c r="M6992">
        <f t="shared" si="1009"/>
        <v>5</v>
      </c>
    </row>
    <row r="6993" spans="1:13" s="156" customFormat="1" ht="18" x14ac:dyDescent="0.35">
      <c r="A6993" s="3">
        <f t="shared" si="1004"/>
        <v>45978</v>
      </c>
      <c r="B6993" s="11" t="s">
        <v>9554</v>
      </c>
      <c r="C6993" s="162" t="s">
        <v>2295</v>
      </c>
      <c r="E6993" s="90" t="s">
        <v>4720</v>
      </c>
      <c r="F6993" s="4"/>
      <c r="G6993" s="2">
        <v>10000</v>
      </c>
      <c r="H6993" s="2">
        <v>0</v>
      </c>
      <c r="I6993" s="88">
        <f t="shared" si="1005"/>
        <v>26904.36</v>
      </c>
      <c r="J6993"/>
      <c r="K6993" s="62"/>
      <c r="L6993" s="2">
        <f t="shared" si="1008"/>
        <v>20</v>
      </c>
      <c r="M6993">
        <f t="shared" si="1009"/>
        <v>0</v>
      </c>
    </row>
    <row r="6994" spans="1:13" s="156" customFormat="1" ht="18" x14ac:dyDescent="0.35">
      <c r="A6994" s="3">
        <f t="shared" si="1004"/>
        <v>45978</v>
      </c>
      <c r="B6994" s="11" t="s">
        <v>8998</v>
      </c>
      <c r="C6994" s="162" t="s">
        <v>1020</v>
      </c>
      <c r="E6994" s="90" t="s">
        <v>4720</v>
      </c>
      <c r="F6994" s="4"/>
      <c r="G6994" s="2">
        <v>10000</v>
      </c>
      <c r="H6994" s="2">
        <v>0</v>
      </c>
      <c r="I6994" s="88">
        <f t="shared" si="1005"/>
        <v>36904.36</v>
      </c>
      <c r="J6994"/>
      <c r="K6994" s="62"/>
      <c r="L6994" s="2">
        <f t="shared" si="1008"/>
        <v>20</v>
      </c>
      <c r="M6994">
        <f t="shared" si="1009"/>
        <v>0</v>
      </c>
    </row>
    <row r="6995" spans="1:13" s="156" customFormat="1" ht="18" x14ac:dyDescent="0.35">
      <c r="A6995" s="3">
        <f t="shared" si="1004"/>
        <v>45978</v>
      </c>
      <c r="B6995" s="11" t="s">
        <v>6549</v>
      </c>
      <c r="C6995" s="162" t="s">
        <v>7990</v>
      </c>
      <c r="E6995" s="90" t="s">
        <v>2088</v>
      </c>
      <c r="F6995" s="4"/>
      <c r="G6995" s="2">
        <v>1000</v>
      </c>
      <c r="H6995" s="2">
        <v>0</v>
      </c>
      <c r="I6995" s="88">
        <f t="shared" si="1005"/>
        <v>37904.36</v>
      </c>
      <c r="J6995"/>
      <c r="K6995" s="62"/>
      <c r="L6995" s="2">
        <f t="shared" si="1008"/>
        <v>9</v>
      </c>
      <c r="M6995">
        <f t="shared" si="1009"/>
        <v>5</v>
      </c>
    </row>
    <row r="6996" spans="1:13" s="156" customFormat="1" ht="18" x14ac:dyDescent="0.35">
      <c r="A6996" s="3">
        <f t="shared" si="1004"/>
        <v>45978</v>
      </c>
      <c r="B6996" s="11" t="s">
        <v>7886</v>
      </c>
      <c r="C6996" s="162" t="s">
        <v>9046</v>
      </c>
      <c r="E6996" s="90" t="s">
        <v>2088</v>
      </c>
      <c r="F6996" s="4"/>
      <c r="G6996" s="2">
        <v>0</v>
      </c>
      <c r="H6996" s="2">
        <v>0</v>
      </c>
      <c r="I6996" s="88">
        <f t="shared" si="1005"/>
        <v>37904.36</v>
      </c>
      <c r="J6996"/>
      <c r="K6996" s="62"/>
      <c r="L6996" s="2">
        <f t="shared" si="1008"/>
        <v>5</v>
      </c>
      <c r="M6996">
        <f t="shared" si="1009"/>
        <v>5</v>
      </c>
    </row>
    <row r="6997" spans="1:13" s="156" customFormat="1" ht="18" x14ac:dyDescent="0.35">
      <c r="A6997" s="3">
        <f t="shared" si="1004"/>
        <v>45978</v>
      </c>
      <c r="B6997" s="11" t="s">
        <v>9556</v>
      </c>
      <c r="C6997" s="162" t="s">
        <v>9560</v>
      </c>
      <c r="E6997" s="90" t="s">
        <v>16</v>
      </c>
      <c r="F6997" s="4"/>
      <c r="G6997" s="2">
        <v>0</v>
      </c>
      <c r="H6997" s="2">
        <v>500</v>
      </c>
      <c r="I6997" s="88">
        <f t="shared" ref="I6997:I7008" si="1010">I6996+G6997-H6997</f>
        <v>37404.36</v>
      </c>
      <c r="J6997"/>
      <c r="K6997" s="62"/>
      <c r="L6997" s="2">
        <f t="shared" ref="L6997:L7008" si="1011">IF(E6997="C",0,IF((G6997+H6997)&lt;=5000,(G6997+H6997)*0.004,20)+IF(E6997="P",5,IF(E6997="Y",15,IF(E6997="YY",25))))</f>
        <v>17</v>
      </c>
      <c r="M6997">
        <f t="shared" ref="M6997:M7008" si="1012">IF(E6997="p",5,0)</f>
        <v>0</v>
      </c>
    </row>
    <row r="6998" spans="1:13" s="156" customFormat="1" ht="18" x14ac:dyDescent="0.35">
      <c r="A6998" s="3">
        <v>45979</v>
      </c>
      <c r="B6998" s="11" t="s">
        <v>7394</v>
      </c>
      <c r="C6998" s="162" t="s">
        <v>7395</v>
      </c>
      <c r="E6998" s="90" t="s">
        <v>4720</v>
      </c>
      <c r="F6998" s="4"/>
      <c r="G6998" s="2">
        <v>0</v>
      </c>
      <c r="H6998" s="2">
        <v>200</v>
      </c>
      <c r="I6998" s="88">
        <f t="shared" si="1010"/>
        <v>37204.36</v>
      </c>
      <c r="J6998"/>
      <c r="K6998" s="62"/>
      <c r="L6998" s="2">
        <f t="shared" si="1011"/>
        <v>0.8</v>
      </c>
      <c r="M6998">
        <f t="shared" si="1012"/>
        <v>0</v>
      </c>
    </row>
    <row r="6999" spans="1:13" s="156" customFormat="1" ht="18" x14ac:dyDescent="0.35">
      <c r="A6999" s="3">
        <f t="shared" si="1004"/>
        <v>45979</v>
      </c>
      <c r="B6999" s="11" t="s">
        <v>3232</v>
      </c>
      <c r="C6999" s="162" t="s">
        <v>9437</v>
      </c>
      <c r="E6999" s="90" t="s">
        <v>4720</v>
      </c>
      <c r="F6999" s="4"/>
      <c r="G6999" s="2">
        <v>5000</v>
      </c>
      <c r="H6999" s="2">
        <v>0</v>
      </c>
      <c r="I6999" s="88">
        <f t="shared" si="1010"/>
        <v>42204.36</v>
      </c>
      <c r="J6999"/>
      <c r="K6999" s="62"/>
      <c r="L6999" s="2">
        <f t="shared" si="1011"/>
        <v>20</v>
      </c>
      <c r="M6999">
        <f t="shared" si="1012"/>
        <v>0</v>
      </c>
    </row>
    <row r="7000" spans="1:13" s="156" customFormat="1" ht="18" x14ac:dyDescent="0.35">
      <c r="A7000" s="3">
        <f t="shared" si="1004"/>
        <v>45979</v>
      </c>
      <c r="B7000" s="11" t="s">
        <v>2241</v>
      </c>
      <c r="C7000" s="162" t="s">
        <v>8195</v>
      </c>
      <c r="E7000" s="90" t="s">
        <v>4720</v>
      </c>
      <c r="F7000" s="4"/>
      <c r="G7000" s="2">
        <v>2000</v>
      </c>
      <c r="H7000" s="2">
        <v>0</v>
      </c>
      <c r="I7000" s="88">
        <f t="shared" si="1010"/>
        <v>44204.36</v>
      </c>
      <c r="J7000"/>
      <c r="K7000" s="62"/>
      <c r="L7000" s="2">
        <f t="shared" si="1011"/>
        <v>8</v>
      </c>
      <c r="M7000">
        <f t="shared" si="1012"/>
        <v>0</v>
      </c>
    </row>
    <row r="7001" spans="1:13" s="156" customFormat="1" ht="18" x14ac:dyDescent="0.35">
      <c r="A7001" s="3">
        <f t="shared" si="1004"/>
        <v>45979</v>
      </c>
      <c r="B7001" s="11" t="s">
        <v>9561</v>
      </c>
      <c r="C7001" s="162" t="s">
        <v>3416</v>
      </c>
      <c r="E7001" s="90" t="s">
        <v>4720</v>
      </c>
      <c r="F7001" s="4"/>
      <c r="G7001" s="2">
        <v>0</v>
      </c>
      <c r="H7001" s="2">
        <v>3400</v>
      </c>
      <c r="I7001" s="88">
        <f t="shared" si="1010"/>
        <v>40804.36</v>
      </c>
      <c r="J7001"/>
      <c r="K7001" s="62"/>
      <c r="L7001" s="2">
        <f t="shared" si="1011"/>
        <v>13.6</v>
      </c>
      <c r="M7001">
        <f t="shared" si="1012"/>
        <v>0</v>
      </c>
    </row>
    <row r="7002" spans="1:13" s="156" customFormat="1" ht="18" x14ac:dyDescent="0.35">
      <c r="A7002" s="3">
        <f t="shared" si="1004"/>
        <v>45979</v>
      </c>
      <c r="B7002" s="11" t="s">
        <v>1250</v>
      </c>
      <c r="C7002" s="162" t="s">
        <v>9405</v>
      </c>
      <c r="E7002" s="90" t="s">
        <v>4720</v>
      </c>
      <c r="F7002" s="4"/>
      <c r="G7002" s="2">
        <v>2000</v>
      </c>
      <c r="H7002" s="2">
        <v>0</v>
      </c>
      <c r="I7002" s="88">
        <f t="shared" si="1010"/>
        <v>42804.36</v>
      </c>
      <c r="J7002"/>
      <c r="K7002" s="62"/>
      <c r="L7002" s="2">
        <f t="shared" si="1011"/>
        <v>8</v>
      </c>
      <c r="M7002">
        <f t="shared" si="1012"/>
        <v>0</v>
      </c>
    </row>
    <row r="7003" spans="1:13" s="156" customFormat="1" ht="18" x14ac:dyDescent="0.35">
      <c r="A7003" s="3">
        <f t="shared" si="1004"/>
        <v>45979</v>
      </c>
      <c r="B7003" s="11" t="s">
        <v>3415</v>
      </c>
      <c r="C7003" s="162" t="s">
        <v>6246</v>
      </c>
      <c r="E7003" s="90" t="s">
        <v>4720</v>
      </c>
      <c r="F7003" s="4"/>
      <c r="G7003" s="2">
        <v>0</v>
      </c>
      <c r="H7003" s="2">
        <v>1000</v>
      </c>
      <c r="I7003" s="88">
        <f t="shared" si="1010"/>
        <v>41804.36</v>
      </c>
      <c r="J7003"/>
      <c r="K7003" s="62"/>
      <c r="L7003" s="2">
        <f t="shared" si="1011"/>
        <v>4</v>
      </c>
      <c r="M7003">
        <f t="shared" si="1012"/>
        <v>0</v>
      </c>
    </row>
    <row r="7004" spans="1:13" s="156" customFormat="1" ht="18" x14ac:dyDescent="0.35">
      <c r="A7004" s="3">
        <f t="shared" si="1004"/>
        <v>45979</v>
      </c>
      <c r="B7004" s="11" t="s">
        <v>8508</v>
      </c>
      <c r="C7004" s="162" t="s">
        <v>8509</v>
      </c>
      <c r="E7004" s="90" t="s">
        <v>2088</v>
      </c>
      <c r="F7004" s="4"/>
      <c r="G7004" s="2">
        <v>0</v>
      </c>
      <c r="H7004" s="2">
        <v>0</v>
      </c>
      <c r="I7004" s="88">
        <f t="shared" si="1010"/>
        <v>41804.36</v>
      </c>
      <c r="J7004"/>
      <c r="K7004" s="62"/>
      <c r="L7004" s="2">
        <f t="shared" si="1011"/>
        <v>5</v>
      </c>
      <c r="M7004">
        <f t="shared" si="1012"/>
        <v>5</v>
      </c>
    </row>
    <row r="7005" spans="1:13" s="156" customFormat="1" ht="18" x14ac:dyDescent="0.35">
      <c r="A7005" s="3">
        <f t="shared" si="1004"/>
        <v>45979</v>
      </c>
      <c r="B7005" s="11" t="s">
        <v>8508</v>
      </c>
      <c r="C7005" s="162" t="s">
        <v>8509</v>
      </c>
      <c r="E7005" s="90" t="s">
        <v>2088</v>
      </c>
      <c r="F7005" s="4"/>
      <c r="G7005" s="2">
        <v>8000</v>
      </c>
      <c r="H7005" s="2">
        <v>0</v>
      </c>
      <c r="I7005" s="88">
        <f t="shared" si="1010"/>
        <v>49804.36</v>
      </c>
      <c r="J7005"/>
      <c r="K7005" s="62"/>
      <c r="L7005" s="2">
        <f t="shared" si="1011"/>
        <v>25</v>
      </c>
      <c r="M7005">
        <f t="shared" si="1012"/>
        <v>5</v>
      </c>
    </row>
    <row r="7006" spans="1:13" s="156" customFormat="1" ht="18" x14ac:dyDescent="0.35">
      <c r="A7006" s="3">
        <f t="shared" si="1004"/>
        <v>45979</v>
      </c>
      <c r="B7006" s="11" t="s">
        <v>7476</v>
      </c>
      <c r="C7006" s="162" t="s">
        <v>8138</v>
      </c>
      <c r="E7006" s="90" t="s">
        <v>2088</v>
      </c>
      <c r="F7006" s="4"/>
      <c r="G7006" s="2">
        <v>0</v>
      </c>
      <c r="H7006" s="2">
        <v>0</v>
      </c>
      <c r="I7006" s="88">
        <f t="shared" si="1010"/>
        <v>49804.36</v>
      </c>
      <c r="J7006"/>
      <c r="K7006" s="62"/>
      <c r="L7006" s="2">
        <f t="shared" si="1011"/>
        <v>5</v>
      </c>
      <c r="M7006">
        <f t="shared" si="1012"/>
        <v>5</v>
      </c>
    </row>
    <row r="7007" spans="1:13" s="156" customFormat="1" ht="18" x14ac:dyDescent="0.35">
      <c r="A7007" s="3">
        <f t="shared" si="1004"/>
        <v>45979</v>
      </c>
      <c r="B7007" s="11" t="s">
        <v>9562</v>
      </c>
      <c r="C7007" s="162" t="s">
        <v>9563</v>
      </c>
      <c r="E7007" s="90" t="s">
        <v>4720</v>
      </c>
      <c r="F7007" s="4"/>
      <c r="G7007" s="2">
        <v>0</v>
      </c>
      <c r="H7007" s="2">
        <v>500</v>
      </c>
      <c r="I7007" s="88">
        <f t="shared" si="1010"/>
        <v>49304.36</v>
      </c>
      <c r="J7007"/>
      <c r="K7007" s="62"/>
      <c r="L7007" s="2">
        <f t="shared" si="1011"/>
        <v>2</v>
      </c>
      <c r="M7007">
        <f t="shared" si="1012"/>
        <v>0</v>
      </c>
    </row>
    <row r="7008" spans="1:13" s="156" customFormat="1" ht="18" x14ac:dyDescent="0.35">
      <c r="A7008" s="3">
        <f t="shared" si="1004"/>
        <v>45979</v>
      </c>
      <c r="B7008" s="11" t="s">
        <v>8674</v>
      </c>
      <c r="C7008" s="162" t="s">
        <v>8675</v>
      </c>
      <c r="E7008" s="90" t="s">
        <v>2088</v>
      </c>
      <c r="F7008" s="4"/>
      <c r="G7008" s="2">
        <v>2500</v>
      </c>
      <c r="H7008" s="2">
        <v>0</v>
      </c>
      <c r="I7008" s="88">
        <f t="shared" si="1010"/>
        <v>51804.36</v>
      </c>
      <c r="J7008"/>
      <c r="K7008" s="62"/>
      <c r="L7008" s="2">
        <f t="shared" si="1011"/>
        <v>15</v>
      </c>
      <c r="M7008">
        <f t="shared" si="1012"/>
        <v>5</v>
      </c>
    </row>
    <row r="7009" spans="1:13" s="156" customFormat="1" ht="18" x14ac:dyDescent="0.35">
      <c r="A7009" s="3">
        <f t="shared" si="1004"/>
        <v>45979</v>
      </c>
      <c r="B7009" s="11" t="s">
        <v>3232</v>
      </c>
      <c r="C7009" s="162" t="s">
        <v>7500</v>
      </c>
      <c r="E7009" s="90" t="s">
        <v>4720</v>
      </c>
      <c r="F7009" s="4"/>
      <c r="G7009" s="2">
        <v>5000</v>
      </c>
      <c r="H7009" s="2">
        <v>0</v>
      </c>
      <c r="I7009" s="88">
        <f t="shared" ref="I7009" si="1013">I7008+G7009-H7009</f>
        <v>56804.36</v>
      </c>
      <c r="J7009"/>
      <c r="K7009" s="62"/>
      <c r="L7009" s="2">
        <f t="shared" ref="L7009" si="1014">IF(E7009="C",0,IF((G7009+H7009)&lt;=5000,(G7009+H7009)*0.004,20)+IF(E7009="P",5,IF(E7009="Y",15,IF(E7009="YY",25))))</f>
        <v>20</v>
      </c>
      <c r="M7009">
        <f t="shared" ref="M7009" si="1015">IF(E7009="p",5,0)</f>
        <v>0</v>
      </c>
    </row>
    <row r="7010" spans="1:13" s="156" customFormat="1" ht="18" x14ac:dyDescent="0.35">
      <c r="A7010" s="3">
        <f t="shared" si="1004"/>
        <v>45979</v>
      </c>
      <c r="B7010" s="11" t="s">
        <v>9566</v>
      </c>
      <c r="C7010" s="162" t="s">
        <v>9567</v>
      </c>
      <c r="E7010" s="90" t="s">
        <v>16</v>
      </c>
      <c r="F7010" s="4"/>
      <c r="G7010" s="2"/>
      <c r="H7010" s="2">
        <v>500</v>
      </c>
      <c r="I7010" s="88">
        <f t="shared" ref="I7010:I7028" si="1016">I7009+G7010-H7010</f>
        <v>56304.36</v>
      </c>
      <c r="J7010"/>
      <c r="K7010" s="62"/>
      <c r="L7010" s="2">
        <f t="shared" ref="L7010:L7028" si="1017">IF(E7010="C",0,IF((G7010+H7010)&lt;=5000,(G7010+H7010)*0.004,20)+IF(E7010="P",5,IF(E7010="Y",15,IF(E7010="YY",25))))</f>
        <v>17</v>
      </c>
      <c r="M7010">
        <f t="shared" ref="M7010:M7028" si="1018">IF(E7010="p",5,0)</f>
        <v>0</v>
      </c>
    </row>
    <row r="7011" spans="1:13" s="156" customFormat="1" ht="18" x14ac:dyDescent="0.35">
      <c r="A7011" s="3">
        <f>A7009</f>
        <v>45979</v>
      </c>
      <c r="B7011" s="11" t="s">
        <v>8676</v>
      </c>
      <c r="C7011" s="162" t="s">
        <v>9564</v>
      </c>
      <c r="E7011" s="90" t="s">
        <v>2088</v>
      </c>
      <c r="F7011" s="4"/>
      <c r="G7011" s="2">
        <v>0</v>
      </c>
      <c r="H7011" s="2">
        <v>0</v>
      </c>
      <c r="I7011" s="88">
        <f t="shared" si="1016"/>
        <v>56304.36</v>
      </c>
      <c r="J7011"/>
      <c r="K7011" s="62"/>
      <c r="L7011" s="2">
        <f t="shared" si="1017"/>
        <v>5</v>
      </c>
      <c r="M7011">
        <f t="shared" si="1018"/>
        <v>5</v>
      </c>
    </row>
    <row r="7012" spans="1:13" s="156" customFormat="1" ht="18" x14ac:dyDescent="0.35">
      <c r="A7012" s="3">
        <f t="shared" si="1004"/>
        <v>45979</v>
      </c>
      <c r="B7012" s="11" t="s">
        <v>8676</v>
      </c>
      <c r="C7012" s="162" t="s">
        <v>9564</v>
      </c>
      <c r="E7012" s="90" t="s">
        <v>2088</v>
      </c>
      <c r="F7012" s="4"/>
      <c r="G7012" s="2">
        <v>8000</v>
      </c>
      <c r="H7012" s="2">
        <v>0</v>
      </c>
      <c r="I7012" s="88">
        <f t="shared" si="1016"/>
        <v>64304.36</v>
      </c>
      <c r="J7012"/>
      <c r="K7012" s="62"/>
      <c r="L7012" s="2">
        <f t="shared" si="1017"/>
        <v>25</v>
      </c>
      <c r="M7012">
        <f t="shared" si="1018"/>
        <v>5</v>
      </c>
    </row>
    <row r="7013" spans="1:13" s="156" customFormat="1" ht="18" x14ac:dyDescent="0.35">
      <c r="A7013" s="3">
        <f t="shared" si="1004"/>
        <v>45979</v>
      </c>
      <c r="B7013" s="11" t="s">
        <v>8895</v>
      </c>
      <c r="C7013" s="162" t="s">
        <v>8896</v>
      </c>
      <c r="E7013" s="90" t="s">
        <v>2088</v>
      </c>
      <c r="F7013" s="4"/>
      <c r="G7013" s="2">
        <v>2500</v>
      </c>
      <c r="H7013" s="2">
        <v>0</v>
      </c>
      <c r="I7013" s="88">
        <f t="shared" si="1016"/>
        <v>66804.36</v>
      </c>
      <c r="J7013"/>
      <c r="K7013" s="62"/>
      <c r="L7013" s="2">
        <f t="shared" si="1017"/>
        <v>15</v>
      </c>
      <c r="M7013">
        <f t="shared" si="1018"/>
        <v>5</v>
      </c>
    </row>
    <row r="7014" spans="1:13" s="156" customFormat="1" ht="18" x14ac:dyDescent="0.35">
      <c r="A7014" s="3">
        <f t="shared" si="1004"/>
        <v>45979</v>
      </c>
      <c r="B7014" s="11" t="s">
        <v>9570</v>
      </c>
      <c r="C7014" s="162" t="s">
        <v>9513</v>
      </c>
      <c r="E7014" s="90" t="s">
        <v>4720</v>
      </c>
      <c r="F7014" s="4"/>
      <c r="G7014" s="2">
        <v>9500</v>
      </c>
      <c r="H7014" s="2">
        <v>0</v>
      </c>
      <c r="I7014" s="88">
        <f t="shared" si="1016"/>
        <v>76304.36</v>
      </c>
      <c r="J7014"/>
      <c r="K7014" s="62"/>
      <c r="L7014" s="2">
        <f t="shared" si="1017"/>
        <v>20</v>
      </c>
      <c r="M7014">
        <f t="shared" si="1018"/>
        <v>0</v>
      </c>
    </row>
    <row r="7015" spans="1:13" s="156" customFormat="1" ht="18" x14ac:dyDescent="0.35">
      <c r="A7015" s="3">
        <f t="shared" si="1004"/>
        <v>45979</v>
      </c>
      <c r="B7015" s="11" t="s">
        <v>1160</v>
      </c>
      <c r="C7015" s="162" t="s">
        <v>9574</v>
      </c>
      <c r="E7015" s="90" t="s">
        <v>4720</v>
      </c>
      <c r="F7015" s="4"/>
      <c r="G7015" s="2">
        <v>6000</v>
      </c>
      <c r="H7015" s="2">
        <v>0</v>
      </c>
      <c r="I7015" s="88">
        <f t="shared" si="1016"/>
        <v>82304.36</v>
      </c>
      <c r="J7015"/>
      <c r="K7015" s="62"/>
      <c r="L7015" s="2">
        <f t="shared" si="1017"/>
        <v>20</v>
      </c>
      <c r="M7015">
        <f t="shared" si="1018"/>
        <v>0</v>
      </c>
    </row>
    <row r="7016" spans="1:13" s="156" customFormat="1" ht="18" x14ac:dyDescent="0.35">
      <c r="A7016" s="3">
        <f t="shared" si="1004"/>
        <v>45979</v>
      </c>
      <c r="B7016" s="11" t="s">
        <v>1160</v>
      </c>
      <c r="C7016" s="162" t="s">
        <v>5984</v>
      </c>
      <c r="E7016" s="90" t="s">
        <v>4720</v>
      </c>
      <c r="F7016" s="4"/>
      <c r="G7016" s="2">
        <v>3500</v>
      </c>
      <c r="H7016" s="2">
        <v>0</v>
      </c>
      <c r="I7016" s="88">
        <f t="shared" si="1016"/>
        <v>85804.36</v>
      </c>
      <c r="J7016"/>
      <c r="K7016" s="62"/>
      <c r="L7016" s="2">
        <f t="shared" si="1017"/>
        <v>14</v>
      </c>
      <c r="M7016">
        <f t="shared" si="1018"/>
        <v>0</v>
      </c>
    </row>
    <row r="7017" spans="1:13" s="156" customFormat="1" ht="18" x14ac:dyDescent="0.35">
      <c r="A7017" s="3">
        <f t="shared" si="1004"/>
        <v>45979</v>
      </c>
      <c r="B7017" s="11" t="s">
        <v>6940</v>
      </c>
      <c r="C7017" s="162" t="s">
        <v>7470</v>
      </c>
      <c r="E7017" s="90" t="s">
        <v>2088</v>
      </c>
      <c r="F7017" s="4"/>
      <c r="G7017" s="2">
        <v>0</v>
      </c>
      <c r="H7017" s="2">
        <v>0</v>
      </c>
      <c r="I7017" s="88">
        <f t="shared" si="1016"/>
        <v>85804.36</v>
      </c>
      <c r="J7017"/>
      <c r="K7017" s="62"/>
      <c r="L7017" s="2">
        <f t="shared" si="1017"/>
        <v>5</v>
      </c>
      <c r="M7017">
        <f t="shared" si="1018"/>
        <v>5</v>
      </c>
    </row>
    <row r="7018" spans="1:13" s="156" customFormat="1" ht="18" x14ac:dyDescent="0.35">
      <c r="A7018" s="3">
        <f t="shared" si="1004"/>
        <v>45979</v>
      </c>
      <c r="B7018" s="11" t="s">
        <v>6940</v>
      </c>
      <c r="C7018" s="162" t="s">
        <v>7470</v>
      </c>
      <c r="E7018" s="90" t="s">
        <v>2088</v>
      </c>
      <c r="F7018" s="4"/>
      <c r="G7018" s="2">
        <v>6000</v>
      </c>
      <c r="H7018" s="2">
        <v>0</v>
      </c>
      <c r="I7018" s="88">
        <f t="shared" si="1016"/>
        <v>91804.36</v>
      </c>
      <c r="J7018"/>
      <c r="K7018" s="62"/>
      <c r="L7018" s="2">
        <f t="shared" si="1017"/>
        <v>25</v>
      </c>
      <c r="M7018">
        <f t="shared" si="1018"/>
        <v>5</v>
      </c>
    </row>
    <row r="7019" spans="1:13" s="156" customFormat="1" ht="18" x14ac:dyDescent="0.35">
      <c r="A7019" s="3">
        <v>45980</v>
      </c>
      <c r="B7019" s="11" t="s">
        <v>9575</v>
      </c>
      <c r="C7019" s="162" t="s">
        <v>9576</v>
      </c>
      <c r="E7019" s="90" t="s">
        <v>4720</v>
      </c>
      <c r="F7019" s="4"/>
      <c r="G7019" s="2">
        <v>5000</v>
      </c>
      <c r="H7019" s="2">
        <v>0</v>
      </c>
      <c r="I7019" s="88">
        <f t="shared" si="1016"/>
        <v>96804.36</v>
      </c>
      <c r="J7019"/>
      <c r="K7019" s="62"/>
      <c r="L7019" s="2">
        <f t="shared" si="1017"/>
        <v>20</v>
      </c>
      <c r="M7019">
        <f t="shared" si="1018"/>
        <v>0</v>
      </c>
    </row>
    <row r="7020" spans="1:13" s="156" customFormat="1" ht="18" x14ac:dyDescent="0.35">
      <c r="A7020" s="3">
        <f t="shared" si="1004"/>
        <v>45980</v>
      </c>
      <c r="B7020" s="11" t="s">
        <v>1250</v>
      </c>
      <c r="C7020" s="162" t="s">
        <v>5721</v>
      </c>
      <c r="E7020" s="90" t="s">
        <v>4720</v>
      </c>
      <c r="F7020" s="4"/>
      <c r="G7020" s="2">
        <v>10000</v>
      </c>
      <c r="H7020" s="2">
        <v>0</v>
      </c>
      <c r="I7020" s="88">
        <f t="shared" si="1016"/>
        <v>106804.36</v>
      </c>
      <c r="J7020"/>
      <c r="K7020" s="62"/>
      <c r="L7020" s="2">
        <f t="shared" si="1017"/>
        <v>20</v>
      </c>
      <c r="M7020">
        <f t="shared" si="1018"/>
        <v>0</v>
      </c>
    </row>
    <row r="7021" spans="1:13" s="156" customFormat="1" ht="18" x14ac:dyDescent="0.35">
      <c r="A7021" s="3">
        <f t="shared" si="1004"/>
        <v>45980</v>
      </c>
      <c r="B7021" s="11" t="s">
        <v>6676</v>
      </c>
      <c r="C7021" s="162" t="s">
        <v>7675</v>
      </c>
      <c r="E7021" s="90" t="s">
        <v>4720</v>
      </c>
      <c r="F7021" s="4"/>
      <c r="G7021" s="2">
        <v>0</v>
      </c>
      <c r="H7021" s="2">
        <v>1000</v>
      </c>
      <c r="I7021" s="88">
        <f t="shared" si="1016"/>
        <v>105804.36</v>
      </c>
      <c r="J7021"/>
      <c r="K7021" s="62"/>
      <c r="L7021" s="2">
        <f t="shared" si="1017"/>
        <v>4</v>
      </c>
      <c r="M7021">
        <f t="shared" si="1018"/>
        <v>0</v>
      </c>
    </row>
    <row r="7022" spans="1:13" s="156" customFormat="1" ht="18" x14ac:dyDescent="0.35">
      <c r="A7022" s="3">
        <f t="shared" si="1004"/>
        <v>45980</v>
      </c>
      <c r="B7022" s="11"/>
      <c r="C7022" s="162" t="s">
        <v>2857</v>
      </c>
      <c r="E7022" s="90" t="s">
        <v>8332</v>
      </c>
      <c r="F7022" s="4"/>
      <c r="G7022" s="2">
        <v>0</v>
      </c>
      <c r="H7022" s="2">
        <v>80000</v>
      </c>
      <c r="I7022" s="88">
        <f t="shared" si="1016"/>
        <v>25804.36</v>
      </c>
      <c r="J7022"/>
      <c r="K7022" s="62"/>
      <c r="L7022" s="2">
        <f t="shared" si="1017"/>
        <v>0</v>
      </c>
      <c r="M7022">
        <f t="shared" si="1018"/>
        <v>0</v>
      </c>
    </row>
    <row r="7023" spans="1:13" s="156" customFormat="1" ht="18" x14ac:dyDescent="0.35">
      <c r="A7023" s="3">
        <f t="shared" si="1004"/>
        <v>45980</v>
      </c>
      <c r="B7023" s="11" t="s">
        <v>9537</v>
      </c>
      <c r="C7023" s="162" t="s">
        <v>9538</v>
      </c>
      <c r="E7023" s="90" t="s">
        <v>2088</v>
      </c>
      <c r="F7023" s="4"/>
      <c r="G7023" s="2">
        <v>0</v>
      </c>
      <c r="H7023" s="2">
        <v>0</v>
      </c>
      <c r="I7023" s="88">
        <f t="shared" si="1016"/>
        <v>25804.36</v>
      </c>
      <c r="J7023"/>
      <c r="K7023" s="62"/>
      <c r="L7023" s="2">
        <f t="shared" si="1017"/>
        <v>5</v>
      </c>
      <c r="M7023">
        <f t="shared" si="1018"/>
        <v>5</v>
      </c>
    </row>
    <row r="7024" spans="1:13" s="156" customFormat="1" ht="18" x14ac:dyDescent="0.35">
      <c r="A7024" s="3">
        <f t="shared" si="1004"/>
        <v>45980</v>
      </c>
      <c r="B7024" s="11" t="s">
        <v>8947</v>
      </c>
      <c r="C7024" s="162" t="s">
        <v>8697</v>
      </c>
      <c r="E7024" s="90" t="s">
        <v>2088</v>
      </c>
      <c r="F7024" s="4"/>
      <c r="G7024" s="2">
        <v>2500</v>
      </c>
      <c r="H7024" s="2">
        <v>0</v>
      </c>
      <c r="I7024" s="88">
        <f t="shared" si="1016"/>
        <v>28304.36</v>
      </c>
      <c r="J7024"/>
      <c r="K7024" s="62"/>
      <c r="L7024" s="2">
        <f t="shared" si="1017"/>
        <v>15</v>
      </c>
      <c r="M7024">
        <f t="shared" si="1018"/>
        <v>5</v>
      </c>
    </row>
    <row r="7025" spans="1:13" s="156" customFormat="1" ht="18" x14ac:dyDescent="0.35">
      <c r="A7025" s="3">
        <f t="shared" si="1004"/>
        <v>45980</v>
      </c>
      <c r="B7025" s="11" t="s">
        <v>6522</v>
      </c>
      <c r="C7025" s="162" t="s">
        <v>8980</v>
      </c>
      <c r="E7025" s="90" t="s">
        <v>4720</v>
      </c>
      <c r="F7025" s="4"/>
      <c r="G7025" s="2">
        <v>7000</v>
      </c>
      <c r="H7025" s="2">
        <v>0</v>
      </c>
      <c r="I7025" s="88">
        <f t="shared" si="1016"/>
        <v>35304.36</v>
      </c>
      <c r="J7025"/>
      <c r="K7025" s="62"/>
      <c r="L7025" s="2">
        <f t="shared" si="1017"/>
        <v>20</v>
      </c>
      <c r="M7025">
        <f t="shared" si="1018"/>
        <v>0</v>
      </c>
    </row>
    <row r="7026" spans="1:13" s="156" customFormat="1" ht="18" x14ac:dyDescent="0.35">
      <c r="A7026" s="3">
        <f t="shared" si="1004"/>
        <v>45980</v>
      </c>
      <c r="B7026" s="11" t="s">
        <v>3232</v>
      </c>
      <c r="C7026" s="162" t="s">
        <v>9206</v>
      </c>
      <c r="E7026" s="90" t="s">
        <v>4720</v>
      </c>
      <c r="F7026" s="4"/>
      <c r="G7026" s="2">
        <v>10000</v>
      </c>
      <c r="H7026" s="2">
        <v>0</v>
      </c>
      <c r="I7026" s="88">
        <f t="shared" si="1016"/>
        <v>45304.36</v>
      </c>
      <c r="J7026"/>
      <c r="K7026" s="62"/>
      <c r="L7026" s="2">
        <f t="shared" si="1017"/>
        <v>20</v>
      </c>
      <c r="M7026">
        <f t="shared" si="1018"/>
        <v>0</v>
      </c>
    </row>
    <row r="7027" spans="1:13" s="156" customFormat="1" ht="18" x14ac:dyDescent="0.35">
      <c r="A7027" s="3">
        <f t="shared" si="1004"/>
        <v>45980</v>
      </c>
      <c r="B7027" s="11" t="s">
        <v>5986</v>
      </c>
      <c r="C7027" s="162" t="s">
        <v>5985</v>
      </c>
      <c r="E7027" s="90" t="s">
        <v>4720</v>
      </c>
      <c r="F7027" s="4"/>
      <c r="G7027" s="2">
        <v>0</v>
      </c>
      <c r="H7027" s="2">
        <v>6500</v>
      </c>
      <c r="I7027" s="88">
        <f t="shared" si="1016"/>
        <v>38804.36</v>
      </c>
      <c r="J7027"/>
      <c r="K7027" s="62"/>
      <c r="L7027" s="2">
        <f t="shared" si="1017"/>
        <v>20</v>
      </c>
      <c r="M7027">
        <f t="shared" si="1018"/>
        <v>0</v>
      </c>
    </row>
    <row r="7028" spans="1:13" s="156" customFormat="1" ht="18" x14ac:dyDescent="0.35">
      <c r="A7028" s="3">
        <f t="shared" si="1004"/>
        <v>45980</v>
      </c>
      <c r="B7028" s="11" t="s">
        <v>1160</v>
      </c>
      <c r="C7028" s="162" t="s">
        <v>9579</v>
      </c>
      <c r="E7028" s="90" t="s">
        <v>4720</v>
      </c>
      <c r="F7028" s="4"/>
      <c r="G7028" s="2">
        <v>1000</v>
      </c>
      <c r="H7028" s="2">
        <v>0</v>
      </c>
      <c r="I7028" s="88">
        <f t="shared" si="1016"/>
        <v>39804.36</v>
      </c>
      <c r="J7028"/>
      <c r="K7028" s="62"/>
      <c r="L7028" s="2">
        <f t="shared" si="1017"/>
        <v>4</v>
      </c>
      <c r="M7028">
        <f t="shared" si="1018"/>
        <v>0</v>
      </c>
    </row>
    <row r="7029" spans="1:13" s="156" customFormat="1" ht="18" x14ac:dyDescent="0.35">
      <c r="A7029" s="3">
        <f t="shared" si="1004"/>
        <v>45980</v>
      </c>
      <c r="B7029" s="11" t="s">
        <v>7834</v>
      </c>
      <c r="C7029" s="162" t="s">
        <v>8837</v>
      </c>
      <c r="E7029" s="90" t="s">
        <v>2088</v>
      </c>
      <c r="F7029" s="4"/>
      <c r="G7029" s="2">
        <v>2500</v>
      </c>
      <c r="H7029" s="2">
        <v>0</v>
      </c>
      <c r="I7029" s="88">
        <f t="shared" ref="I7029:I7043" si="1019">I7028+G7029-H7029</f>
        <v>42304.36</v>
      </c>
      <c r="J7029"/>
      <c r="K7029" s="62"/>
      <c r="L7029" s="2">
        <f t="shared" ref="L7029:L7043" si="1020">IF(E7029="C",0,IF((G7029+H7029)&lt;=5000,(G7029+H7029)*0.004,20)+IF(E7029="P",5,IF(E7029="Y",15,IF(E7029="YY",25))))</f>
        <v>15</v>
      </c>
      <c r="M7029">
        <f t="shared" ref="M7029:M7043" si="1021">IF(E7029="p",5,0)</f>
        <v>5</v>
      </c>
    </row>
    <row r="7030" spans="1:13" s="156" customFormat="1" ht="18" x14ac:dyDescent="0.35">
      <c r="A7030" s="3">
        <f t="shared" si="1004"/>
        <v>45980</v>
      </c>
      <c r="B7030" s="11" t="s">
        <v>8247</v>
      </c>
      <c r="C7030" s="162" t="s">
        <v>9580</v>
      </c>
      <c r="E7030" s="90" t="s">
        <v>2088</v>
      </c>
      <c r="F7030" s="4"/>
      <c r="G7030" s="2">
        <v>10000</v>
      </c>
      <c r="H7030" s="2">
        <v>0</v>
      </c>
      <c r="I7030" s="88">
        <f t="shared" si="1019"/>
        <v>52304.36</v>
      </c>
      <c r="J7030"/>
      <c r="K7030" s="62"/>
      <c r="L7030" s="2">
        <f t="shared" si="1020"/>
        <v>25</v>
      </c>
      <c r="M7030">
        <f t="shared" si="1021"/>
        <v>5</v>
      </c>
    </row>
    <row r="7031" spans="1:13" s="156" customFormat="1" ht="18" x14ac:dyDescent="0.35">
      <c r="A7031" s="3">
        <f t="shared" si="1004"/>
        <v>45980</v>
      </c>
      <c r="B7031" s="11" t="s">
        <v>9581</v>
      </c>
      <c r="C7031" s="162" t="s">
        <v>8195</v>
      </c>
      <c r="E7031" s="90" t="s">
        <v>4720</v>
      </c>
      <c r="F7031" s="4"/>
      <c r="G7031" s="2">
        <v>5000</v>
      </c>
      <c r="H7031" s="2">
        <v>0</v>
      </c>
      <c r="I7031" s="88">
        <f t="shared" si="1019"/>
        <v>57304.36</v>
      </c>
      <c r="J7031"/>
      <c r="K7031" s="62"/>
      <c r="L7031" s="2">
        <f t="shared" si="1020"/>
        <v>20</v>
      </c>
      <c r="M7031">
        <f t="shared" si="1021"/>
        <v>0</v>
      </c>
    </row>
    <row r="7032" spans="1:13" s="156" customFormat="1" ht="18" x14ac:dyDescent="0.35">
      <c r="A7032" s="3">
        <f t="shared" si="1004"/>
        <v>45980</v>
      </c>
      <c r="B7032" s="11"/>
      <c r="C7032" s="162" t="s">
        <v>2857</v>
      </c>
      <c r="E7032" s="90" t="s">
        <v>4720</v>
      </c>
      <c r="F7032" s="4"/>
      <c r="G7032" s="2">
        <v>0</v>
      </c>
      <c r="H7032" s="2">
        <v>50000</v>
      </c>
      <c r="I7032" s="88">
        <f t="shared" si="1019"/>
        <v>7304.3600000000006</v>
      </c>
      <c r="J7032"/>
      <c r="K7032" s="62"/>
      <c r="L7032" s="2">
        <f t="shared" si="1020"/>
        <v>20</v>
      </c>
      <c r="M7032">
        <f t="shared" si="1021"/>
        <v>0</v>
      </c>
    </row>
    <row r="7033" spans="1:13" s="156" customFormat="1" ht="18" x14ac:dyDescent="0.35">
      <c r="A7033" s="3">
        <f t="shared" si="1004"/>
        <v>45980</v>
      </c>
      <c r="B7033" s="11" t="s">
        <v>9583</v>
      </c>
      <c r="C7033" s="162" t="s">
        <v>358</v>
      </c>
      <c r="E7033" s="90" t="s">
        <v>16</v>
      </c>
      <c r="F7033" s="4"/>
      <c r="G7033" s="2">
        <v>0</v>
      </c>
      <c r="H7033" s="2">
        <v>500</v>
      </c>
      <c r="I7033" s="88">
        <f t="shared" si="1019"/>
        <v>6804.3600000000006</v>
      </c>
      <c r="J7033"/>
      <c r="K7033" s="62"/>
      <c r="L7033" s="2">
        <f t="shared" si="1020"/>
        <v>17</v>
      </c>
      <c r="M7033">
        <f t="shared" si="1021"/>
        <v>0</v>
      </c>
    </row>
    <row r="7034" spans="1:13" s="156" customFormat="1" ht="18" x14ac:dyDescent="0.35">
      <c r="A7034" s="3">
        <v>45981</v>
      </c>
      <c r="B7034" s="11" t="s">
        <v>2241</v>
      </c>
      <c r="C7034" s="162" t="s">
        <v>2627</v>
      </c>
      <c r="E7034" s="90" t="s">
        <v>4720</v>
      </c>
      <c r="F7034" s="4"/>
      <c r="G7034" s="2">
        <v>3000</v>
      </c>
      <c r="H7034" s="2">
        <v>0</v>
      </c>
      <c r="I7034" s="88">
        <f t="shared" si="1019"/>
        <v>9804.36</v>
      </c>
      <c r="J7034"/>
      <c r="K7034" s="62"/>
      <c r="L7034" s="2">
        <f t="shared" si="1020"/>
        <v>12</v>
      </c>
      <c r="M7034">
        <f t="shared" si="1021"/>
        <v>0</v>
      </c>
    </row>
    <row r="7035" spans="1:13" s="156" customFormat="1" ht="18" x14ac:dyDescent="0.35">
      <c r="A7035" s="3">
        <f t="shared" si="1004"/>
        <v>45981</v>
      </c>
      <c r="B7035" s="11" t="s">
        <v>9511</v>
      </c>
      <c r="C7035" s="162" t="s">
        <v>3604</v>
      </c>
      <c r="E7035" s="90" t="s">
        <v>4720</v>
      </c>
      <c r="F7035" s="4"/>
      <c r="G7035" s="2">
        <v>3000</v>
      </c>
      <c r="H7035" s="2">
        <v>0</v>
      </c>
      <c r="I7035" s="88">
        <f t="shared" si="1019"/>
        <v>12804.36</v>
      </c>
      <c r="J7035"/>
      <c r="K7035" s="62"/>
      <c r="L7035" s="2">
        <f t="shared" si="1020"/>
        <v>12</v>
      </c>
      <c r="M7035">
        <f t="shared" si="1021"/>
        <v>0</v>
      </c>
    </row>
    <row r="7036" spans="1:13" s="156" customFormat="1" ht="18" x14ac:dyDescent="0.35">
      <c r="A7036" s="3">
        <f t="shared" si="1004"/>
        <v>45981</v>
      </c>
      <c r="B7036" s="11" t="s">
        <v>5872</v>
      </c>
      <c r="C7036" s="162" t="s">
        <v>9586</v>
      </c>
      <c r="E7036" s="90" t="s">
        <v>4720</v>
      </c>
      <c r="F7036" s="4"/>
      <c r="G7036" s="2">
        <v>7500</v>
      </c>
      <c r="H7036" s="2">
        <v>0</v>
      </c>
      <c r="I7036" s="88">
        <f t="shared" si="1019"/>
        <v>20304.36</v>
      </c>
      <c r="J7036"/>
      <c r="K7036" s="62"/>
      <c r="L7036" s="2">
        <f t="shared" si="1020"/>
        <v>20</v>
      </c>
      <c r="M7036">
        <f t="shared" si="1021"/>
        <v>0</v>
      </c>
    </row>
    <row r="7037" spans="1:13" s="156" customFormat="1" ht="18" x14ac:dyDescent="0.35">
      <c r="A7037" s="3">
        <f t="shared" si="1004"/>
        <v>45981</v>
      </c>
      <c r="B7037" s="11" t="s">
        <v>9318</v>
      </c>
      <c r="C7037" s="162" t="s">
        <v>9319</v>
      </c>
      <c r="E7037" s="90" t="s">
        <v>4720</v>
      </c>
      <c r="F7037" s="4"/>
      <c r="G7037" s="2">
        <v>4000</v>
      </c>
      <c r="H7037" s="2">
        <v>0</v>
      </c>
      <c r="I7037" s="88">
        <f t="shared" si="1019"/>
        <v>24304.36</v>
      </c>
      <c r="J7037"/>
      <c r="K7037" s="62"/>
      <c r="L7037" s="2">
        <f t="shared" si="1020"/>
        <v>16</v>
      </c>
      <c r="M7037">
        <f t="shared" si="1021"/>
        <v>0</v>
      </c>
    </row>
    <row r="7038" spans="1:13" s="156" customFormat="1" ht="18" x14ac:dyDescent="0.35">
      <c r="A7038" s="3">
        <f t="shared" si="1004"/>
        <v>45981</v>
      </c>
      <c r="B7038" s="11" t="s">
        <v>8597</v>
      </c>
      <c r="C7038" s="162" t="s">
        <v>9587</v>
      </c>
      <c r="E7038" s="90" t="s">
        <v>4720</v>
      </c>
      <c r="F7038" s="4"/>
      <c r="G7038" s="2">
        <v>7000</v>
      </c>
      <c r="H7038" s="2">
        <v>0</v>
      </c>
      <c r="I7038" s="88">
        <f t="shared" si="1019"/>
        <v>31304.36</v>
      </c>
      <c r="J7038"/>
      <c r="K7038" s="62"/>
      <c r="L7038" s="2">
        <f t="shared" si="1020"/>
        <v>20</v>
      </c>
      <c r="M7038">
        <f t="shared" si="1021"/>
        <v>0</v>
      </c>
    </row>
    <row r="7039" spans="1:13" s="156" customFormat="1" ht="18" x14ac:dyDescent="0.35">
      <c r="A7039" s="3">
        <f t="shared" si="1004"/>
        <v>45981</v>
      </c>
      <c r="B7039" s="11" t="s">
        <v>6233</v>
      </c>
      <c r="C7039" s="162" t="s">
        <v>8971</v>
      </c>
      <c r="E7039" s="90" t="s">
        <v>4720</v>
      </c>
      <c r="F7039" s="4"/>
      <c r="G7039" s="2">
        <v>500</v>
      </c>
      <c r="H7039" s="2">
        <v>0</v>
      </c>
      <c r="I7039" s="88">
        <f t="shared" si="1019"/>
        <v>31804.36</v>
      </c>
      <c r="J7039"/>
      <c r="K7039" s="62"/>
      <c r="L7039" s="2">
        <f t="shared" si="1020"/>
        <v>2</v>
      </c>
      <c r="M7039">
        <f t="shared" si="1021"/>
        <v>0</v>
      </c>
    </row>
    <row r="7040" spans="1:13" s="156" customFormat="1" ht="18" x14ac:dyDescent="0.35">
      <c r="A7040" s="3">
        <f t="shared" si="1004"/>
        <v>45981</v>
      </c>
      <c r="B7040" s="11" t="s">
        <v>4477</v>
      </c>
      <c r="C7040" s="162" t="s">
        <v>9588</v>
      </c>
      <c r="E7040" s="90" t="s">
        <v>4720</v>
      </c>
      <c r="F7040" s="4"/>
      <c r="G7040" s="2">
        <v>0</v>
      </c>
      <c r="H7040" s="2">
        <v>1000</v>
      </c>
      <c r="I7040" s="88">
        <f t="shared" si="1019"/>
        <v>30804.36</v>
      </c>
      <c r="J7040"/>
      <c r="K7040" s="62"/>
      <c r="L7040" s="2">
        <f t="shared" si="1020"/>
        <v>4</v>
      </c>
      <c r="M7040">
        <f t="shared" si="1021"/>
        <v>0</v>
      </c>
    </row>
    <row r="7041" spans="1:13" s="156" customFormat="1" ht="18" x14ac:dyDescent="0.35">
      <c r="A7041" s="3">
        <f t="shared" si="1004"/>
        <v>45981</v>
      </c>
      <c r="B7041" s="11" t="s">
        <v>5042</v>
      </c>
      <c r="C7041" s="162" t="s">
        <v>6379</v>
      </c>
      <c r="E7041" s="90" t="s">
        <v>2088</v>
      </c>
      <c r="F7041" s="4"/>
      <c r="G7041" s="2">
        <v>700</v>
      </c>
      <c r="H7041" s="2">
        <v>0</v>
      </c>
      <c r="I7041" s="88">
        <f t="shared" si="1019"/>
        <v>31504.36</v>
      </c>
      <c r="J7041"/>
      <c r="K7041" s="62"/>
      <c r="L7041" s="2">
        <f t="shared" si="1020"/>
        <v>7.8000000000000007</v>
      </c>
      <c r="M7041">
        <f t="shared" si="1021"/>
        <v>5</v>
      </c>
    </row>
    <row r="7042" spans="1:13" s="156" customFormat="1" ht="18" x14ac:dyDescent="0.35">
      <c r="A7042" s="3">
        <f t="shared" si="1004"/>
        <v>45981</v>
      </c>
      <c r="B7042" s="11" t="s">
        <v>6940</v>
      </c>
      <c r="C7042" s="162" t="s">
        <v>7470</v>
      </c>
      <c r="E7042" s="90" t="s">
        <v>2088</v>
      </c>
      <c r="F7042" s="4"/>
      <c r="G7042" s="2">
        <v>4000</v>
      </c>
      <c r="H7042" s="2">
        <v>0</v>
      </c>
      <c r="I7042" s="88">
        <f t="shared" si="1019"/>
        <v>35504.36</v>
      </c>
      <c r="J7042"/>
      <c r="K7042" s="62"/>
      <c r="L7042" s="2">
        <f t="shared" si="1020"/>
        <v>21</v>
      </c>
      <c r="M7042">
        <f t="shared" si="1021"/>
        <v>5</v>
      </c>
    </row>
    <row r="7043" spans="1:13" s="156" customFormat="1" ht="18" x14ac:dyDescent="0.35">
      <c r="A7043" s="3">
        <f t="shared" si="1004"/>
        <v>45981</v>
      </c>
      <c r="B7043" s="11" t="s">
        <v>1250</v>
      </c>
      <c r="C7043" s="162" t="s">
        <v>9589</v>
      </c>
      <c r="E7043" s="90" t="s">
        <v>4720</v>
      </c>
      <c r="F7043" s="4"/>
      <c r="G7043" s="2">
        <v>2500</v>
      </c>
      <c r="H7043" s="2">
        <v>0</v>
      </c>
      <c r="I7043" s="88">
        <f t="shared" si="1019"/>
        <v>38004.36</v>
      </c>
      <c r="J7043"/>
      <c r="K7043" s="62"/>
      <c r="L7043" s="2">
        <f t="shared" si="1020"/>
        <v>10</v>
      </c>
      <c r="M7043">
        <f t="shared" si="1021"/>
        <v>0</v>
      </c>
    </row>
    <row r="7044" spans="1:13" s="156" customFormat="1" ht="18" x14ac:dyDescent="0.35">
      <c r="A7044" s="3">
        <f t="shared" si="1004"/>
        <v>45981</v>
      </c>
      <c r="B7044" s="11" t="s">
        <v>9590</v>
      </c>
      <c r="C7044" s="162" t="s">
        <v>9591</v>
      </c>
      <c r="E7044" s="90" t="s">
        <v>2088</v>
      </c>
      <c r="F7044" s="4"/>
      <c r="G7044" s="2">
        <v>2000</v>
      </c>
      <c r="H7044" s="2"/>
      <c r="I7044" s="88">
        <f t="shared" ref="I7044:I7054" si="1022">I7043+G7044-H7044</f>
        <v>40004.36</v>
      </c>
      <c r="J7044"/>
      <c r="K7044" s="62"/>
      <c r="L7044" s="2">
        <f t="shared" ref="L7044:L7054" si="1023">IF(E7044="C",0,IF((G7044+H7044)&lt;=5000,(G7044+H7044)*0.004,20)+IF(E7044="P",5,IF(E7044="Y",15,IF(E7044="YY",25))))</f>
        <v>13</v>
      </c>
      <c r="M7044">
        <f t="shared" ref="M7044:M7054" si="1024">IF(E7044="p",5,0)</f>
        <v>5</v>
      </c>
    </row>
    <row r="7045" spans="1:13" s="156" customFormat="1" ht="18" x14ac:dyDescent="0.35">
      <c r="A7045" s="3">
        <f t="shared" ref="A7045:A7108" si="1025">A7044</f>
        <v>45981</v>
      </c>
      <c r="B7045" s="11"/>
      <c r="C7045" s="162" t="s">
        <v>2857</v>
      </c>
      <c r="E7045" s="90" t="s">
        <v>4720</v>
      </c>
      <c r="F7045" s="4"/>
      <c r="G7045" s="2"/>
      <c r="H7045" s="2">
        <v>30000</v>
      </c>
      <c r="I7045" s="88">
        <f t="shared" si="1022"/>
        <v>10004.36</v>
      </c>
      <c r="J7045"/>
      <c r="K7045" s="62"/>
      <c r="L7045" s="2">
        <f t="shared" si="1023"/>
        <v>20</v>
      </c>
      <c r="M7045">
        <f t="shared" si="1024"/>
        <v>0</v>
      </c>
    </row>
    <row r="7046" spans="1:13" s="156" customFormat="1" ht="18" x14ac:dyDescent="0.35">
      <c r="A7046" s="3">
        <f t="shared" si="1025"/>
        <v>45981</v>
      </c>
      <c r="B7046" s="11" t="s">
        <v>1250</v>
      </c>
      <c r="C7046" s="162" t="s">
        <v>9592</v>
      </c>
      <c r="E7046" s="90" t="s">
        <v>4720</v>
      </c>
      <c r="F7046" s="4"/>
      <c r="G7046" s="2">
        <v>3000</v>
      </c>
      <c r="H7046" s="2"/>
      <c r="I7046" s="88">
        <f t="shared" si="1022"/>
        <v>13004.36</v>
      </c>
      <c r="J7046"/>
      <c r="K7046" s="62"/>
      <c r="L7046" s="2">
        <f t="shared" si="1023"/>
        <v>12</v>
      </c>
      <c r="M7046">
        <f t="shared" si="1024"/>
        <v>0</v>
      </c>
    </row>
    <row r="7047" spans="1:13" s="156" customFormat="1" ht="18" x14ac:dyDescent="0.35">
      <c r="A7047" s="3">
        <f t="shared" si="1025"/>
        <v>45981</v>
      </c>
      <c r="B7047" s="11" t="s">
        <v>1250</v>
      </c>
      <c r="C7047" s="162" t="s">
        <v>9593</v>
      </c>
      <c r="E7047" s="90" t="s">
        <v>4720</v>
      </c>
      <c r="F7047" s="4"/>
      <c r="G7047" s="2">
        <v>8000</v>
      </c>
      <c r="H7047" s="2"/>
      <c r="I7047" s="88">
        <f t="shared" si="1022"/>
        <v>21004.36</v>
      </c>
      <c r="J7047"/>
      <c r="K7047" s="62"/>
      <c r="L7047" s="2">
        <f t="shared" si="1023"/>
        <v>20</v>
      </c>
      <c r="M7047">
        <f t="shared" si="1024"/>
        <v>0</v>
      </c>
    </row>
    <row r="7048" spans="1:13" s="156" customFormat="1" ht="18" x14ac:dyDescent="0.35">
      <c r="A7048" s="3">
        <f t="shared" si="1025"/>
        <v>45981</v>
      </c>
      <c r="B7048" s="11" t="s">
        <v>9595</v>
      </c>
      <c r="C7048" s="162" t="s">
        <v>9601</v>
      </c>
      <c r="E7048" s="90" t="s">
        <v>14</v>
      </c>
      <c r="F7048" s="4"/>
      <c r="G7048" s="2"/>
      <c r="H7048" s="2">
        <v>500</v>
      </c>
      <c r="I7048" s="88">
        <f t="shared" si="1022"/>
        <v>20504.36</v>
      </c>
      <c r="J7048"/>
      <c r="K7048" s="62"/>
      <c r="L7048" s="2">
        <f t="shared" si="1023"/>
        <v>17</v>
      </c>
      <c r="M7048">
        <f t="shared" si="1024"/>
        <v>0</v>
      </c>
    </row>
    <row r="7049" spans="1:13" s="156" customFormat="1" ht="18" x14ac:dyDescent="0.35">
      <c r="A7049" s="3">
        <f t="shared" si="1025"/>
        <v>45981</v>
      </c>
      <c r="B7049" s="11" t="s">
        <v>9583</v>
      </c>
      <c r="C7049" s="162" t="s">
        <v>9602</v>
      </c>
      <c r="E7049" s="90" t="s">
        <v>2088</v>
      </c>
      <c r="F7049" s="4"/>
      <c r="G7049" s="2">
        <v>0</v>
      </c>
      <c r="H7049" s="2">
        <v>0</v>
      </c>
      <c r="I7049" s="88">
        <f t="shared" si="1022"/>
        <v>20504.36</v>
      </c>
      <c r="J7049"/>
      <c r="K7049" s="62"/>
      <c r="L7049" s="2">
        <f t="shared" si="1023"/>
        <v>5</v>
      </c>
      <c r="M7049">
        <f t="shared" si="1024"/>
        <v>5</v>
      </c>
    </row>
    <row r="7050" spans="1:13" s="156" customFormat="1" ht="18" x14ac:dyDescent="0.35">
      <c r="A7050" s="3">
        <f t="shared" si="1025"/>
        <v>45981</v>
      </c>
      <c r="B7050" s="11" t="s">
        <v>9604</v>
      </c>
      <c r="C7050" s="162" t="s">
        <v>9607</v>
      </c>
      <c r="E7050" s="90" t="s">
        <v>16</v>
      </c>
      <c r="F7050" s="4"/>
      <c r="G7050" s="2">
        <v>0</v>
      </c>
      <c r="H7050" s="2">
        <v>500</v>
      </c>
      <c r="I7050" s="88">
        <f t="shared" si="1022"/>
        <v>20004.36</v>
      </c>
      <c r="J7050"/>
      <c r="K7050" s="62"/>
      <c r="L7050" s="2">
        <f t="shared" si="1023"/>
        <v>17</v>
      </c>
      <c r="M7050">
        <f t="shared" si="1024"/>
        <v>0</v>
      </c>
    </row>
    <row r="7051" spans="1:13" s="156" customFormat="1" ht="18" x14ac:dyDescent="0.35">
      <c r="A7051" s="3">
        <v>45982</v>
      </c>
      <c r="B7051" s="11" t="s">
        <v>1250</v>
      </c>
      <c r="C7051" s="162" t="s">
        <v>3370</v>
      </c>
      <c r="E7051" s="90" t="s">
        <v>4720</v>
      </c>
      <c r="F7051" s="4"/>
      <c r="G7051" s="2">
        <v>3000</v>
      </c>
      <c r="H7051" s="2">
        <v>0</v>
      </c>
      <c r="I7051" s="88">
        <f t="shared" si="1022"/>
        <v>23004.36</v>
      </c>
      <c r="J7051"/>
      <c r="K7051" s="62"/>
      <c r="L7051" s="2">
        <f t="shared" si="1023"/>
        <v>12</v>
      </c>
      <c r="M7051">
        <f t="shared" si="1024"/>
        <v>0</v>
      </c>
    </row>
    <row r="7052" spans="1:13" s="156" customFormat="1" ht="18" x14ac:dyDescent="0.35">
      <c r="A7052" s="3">
        <f t="shared" si="1025"/>
        <v>45982</v>
      </c>
      <c r="B7052" s="11" t="s">
        <v>5042</v>
      </c>
      <c r="C7052" s="162" t="s">
        <v>6379</v>
      </c>
      <c r="E7052" s="90" t="s">
        <v>2088</v>
      </c>
      <c r="F7052" s="4"/>
      <c r="G7052" s="2">
        <v>3500</v>
      </c>
      <c r="H7052" s="2">
        <v>0</v>
      </c>
      <c r="I7052" s="88">
        <f t="shared" si="1022"/>
        <v>26504.36</v>
      </c>
      <c r="J7052"/>
      <c r="K7052" s="62"/>
      <c r="L7052" s="2">
        <f t="shared" si="1023"/>
        <v>19</v>
      </c>
      <c r="M7052">
        <f t="shared" si="1024"/>
        <v>5</v>
      </c>
    </row>
    <row r="7053" spans="1:13" s="156" customFormat="1" ht="18" x14ac:dyDescent="0.35">
      <c r="A7053" s="3">
        <f t="shared" si="1025"/>
        <v>45982</v>
      </c>
      <c r="B7053" s="11" t="s">
        <v>9540</v>
      </c>
      <c r="C7053" s="162" t="s">
        <v>9553</v>
      </c>
      <c r="E7053" s="90" t="s">
        <v>16</v>
      </c>
      <c r="F7053" s="4"/>
      <c r="G7053" s="2">
        <v>0</v>
      </c>
      <c r="H7053" s="2">
        <v>1000</v>
      </c>
      <c r="I7053" s="88">
        <f t="shared" si="1022"/>
        <v>25504.36</v>
      </c>
      <c r="J7053"/>
      <c r="K7053" s="62"/>
      <c r="L7053" s="2">
        <f t="shared" si="1023"/>
        <v>19</v>
      </c>
      <c r="M7053">
        <f t="shared" si="1024"/>
        <v>0</v>
      </c>
    </row>
    <row r="7054" spans="1:13" s="156" customFormat="1" ht="18" x14ac:dyDescent="0.35">
      <c r="A7054" s="3">
        <f t="shared" si="1025"/>
        <v>45982</v>
      </c>
      <c r="B7054" s="11" t="s">
        <v>9140</v>
      </c>
      <c r="C7054" s="162" t="s">
        <v>9609</v>
      </c>
      <c r="E7054" s="90" t="s">
        <v>2088</v>
      </c>
      <c r="F7054" s="4"/>
      <c r="G7054" s="2">
        <v>10000</v>
      </c>
      <c r="H7054" s="2">
        <v>0</v>
      </c>
      <c r="I7054" s="88">
        <f t="shared" si="1022"/>
        <v>35504.36</v>
      </c>
      <c r="J7054"/>
      <c r="K7054" s="62"/>
      <c r="L7054" s="2">
        <f t="shared" si="1023"/>
        <v>25</v>
      </c>
      <c r="M7054">
        <f t="shared" si="1024"/>
        <v>5</v>
      </c>
    </row>
    <row r="7055" spans="1:13" s="156" customFormat="1" ht="18" x14ac:dyDescent="0.35">
      <c r="A7055" s="3">
        <f t="shared" si="1025"/>
        <v>45982</v>
      </c>
      <c r="B7055" s="11" t="s">
        <v>7026</v>
      </c>
      <c r="C7055" s="162" t="s">
        <v>9053</v>
      </c>
      <c r="E7055" s="90" t="s">
        <v>2088</v>
      </c>
      <c r="F7055" s="4"/>
      <c r="G7055" s="2">
        <v>0</v>
      </c>
      <c r="H7055" s="2">
        <v>0</v>
      </c>
      <c r="I7055" s="88">
        <f t="shared" ref="I7055:I7068" si="1026">I7054+G7055-H7055</f>
        <v>35504.36</v>
      </c>
      <c r="J7055"/>
      <c r="K7055" s="62"/>
      <c r="L7055" s="2">
        <f t="shared" ref="L7055:L7068" si="1027">IF(E7055="C",0,IF((G7055+H7055)&lt;=5000,(G7055+H7055)*0.004,20)+IF(E7055="P",5,IF(E7055="Y",15,IF(E7055="YY",25))))</f>
        <v>5</v>
      </c>
      <c r="M7055">
        <f t="shared" ref="M7055:M7068" si="1028">IF(E7055="p",5,0)</f>
        <v>5</v>
      </c>
    </row>
    <row r="7056" spans="1:13" s="156" customFormat="1" ht="18" x14ac:dyDescent="0.35">
      <c r="A7056" s="3">
        <f t="shared" si="1025"/>
        <v>45982</v>
      </c>
      <c r="B7056" s="11" t="s">
        <v>7026</v>
      </c>
      <c r="C7056" s="162" t="s">
        <v>9053</v>
      </c>
      <c r="E7056" s="90" t="s">
        <v>2088</v>
      </c>
      <c r="F7056" s="4"/>
      <c r="G7056" s="2">
        <v>5000</v>
      </c>
      <c r="H7056" s="2">
        <v>0</v>
      </c>
      <c r="I7056" s="88">
        <f t="shared" si="1026"/>
        <v>40504.36</v>
      </c>
      <c r="J7056"/>
      <c r="K7056" s="62"/>
      <c r="L7056" s="2">
        <f t="shared" si="1027"/>
        <v>25</v>
      </c>
      <c r="M7056">
        <f t="shared" si="1028"/>
        <v>5</v>
      </c>
    </row>
    <row r="7057" spans="1:13" s="156" customFormat="1" ht="18" x14ac:dyDescent="0.35">
      <c r="A7057" s="3">
        <f t="shared" si="1025"/>
        <v>45982</v>
      </c>
      <c r="B7057" s="11" t="s">
        <v>3232</v>
      </c>
      <c r="C7057" s="162" t="s">
        <v>9610</v>
      </c>
      <c r="E7057" s="90" t="s">
        <v>4720</v>
      </c>
      <c r="F7057" s="4"/>
      <c r="G7057" s="2">
        <v>1500</v>
      </c>
      <c r="H7057" s="2">
        <v>0</v>
      </c>
      <c r="I7057" s="88">
        <f t="shared" si="1026"/>
        <v>42004.36</v>
      </c>
      <c r="J7057"/>
      <c r="K7057" s="62"/>
      <c r="L7057" s="2">
        <f t="shared" si="1027"/>
        <v>6</v>
      </c>
      <c r="M7057">
        <f t="shared" si="1028"/>
        <v>0</v>
      </c>
    </row>
    <row r="7058" spans="1:13" s="156" customFormat="1" ht="18" x14ac:dyDescent="0.35">
      <c r="A7058" s="3">
        <f t="shared" si="1025"/>
        <v>45982</v>
      </c>
      <c r="B7058" s="11" t="s">
        <v>4234</v>
      </c>
      <c r="C7058" s="162" t="s">
        <v>3231</v>
      </c>
      <c r="E7058" s="90" t="s">
        <v>2088</v>
      </c>
      <c r="F7058" s="4"/>
      <c r="G7058" s="2">
        <v>10000</v>
      </c>
      <c r="H7058" s="2">
        <v>0</v>
      </c>
      <c r="I7058" s="88">
        <f t="shared" si="1026"/>
        <v>52004.36</v>
      </c>
      <c r="J7058"/>
      <c r="K7058" s="62"/>
      <c r="L7058" s="2">
        <f t="shared" si="1027"/>
        <v>25</v>
      </c>
      <c r="M7058">
        <f t="shared" si="1028"/>
        <v>5</v>
      </c>
    </row>
    <row r="7059" spans="1:13" s="156" customFormat="1" ht="18" x14ac:dyDescent="0.35">
      <c r="A7059" s="3">
        <f t="shared" si="1025"/>
        <v>45982</v>
      </c>
      <c r="B7059" s="11" t="s">
        <v>9612</v>
      </c>
      <c r="C7059" s="162"/>
      <c r="E7059" s="90" t="s">
        <v>16</v>
      </c>
      <c r="F7059" s="4"/>
      <c r="G7059" s="2">
        <v>0</v>
      </c>
      <c r="H7059" s="2">
        <v>500</v>
      </c>
      <c r="I7059" s="88">
        <f t="shared" si="1026"/>
        <v>51504.36</v>
      </c>
      <c r="J7059"/>
      <c r="K7059" s="62"/>
      <c r="L7059" s="2">
        <f t="shared" si="1027"/>
        <v>17</v>
      </c>
      <c r="M7059">
        <f t="shared" si="1028"/>
        <v>0</v>
      </c>
    </row>
    <row r="7060" spans="1:13" s="156" customFormat="1" ht="18" x14ac:dyDescent="0.35">
      <c r="A7060" s="3">
        <f t="shared" si="1025"/>
        <v>45982</v>
      </c>
      <c r="B7060" s="11" t="s">
        <v>9619</v>
      </c>
      <c r="C7060" s="162"/>
      <c r="E7060" s="90" t="s">
        <v>16</v>
      </c>
      <c r="F7060" s="4"/>
      <c r="G7060" s="2">
        <v>0</v>
      </c>
      <c r="H7060" s="2">
        <v>500</v>
      </c>
      <c r="I7060" s="88">
        <f t="shared" si="1026"/>
        <v>51004.36</v>
      </c>
      <c r="J7060"/>
      <c r="K7060" s="62"/>
      <c r="L7060" s="2">
        <f t="shared" si="1027"/>
        <v>17</v>
      </c>
      <c r="M7060">
        <f t="shared" si="1028"/>
        <v>0</v>
      </c>
    </row>
    <row r="7061" spans="1:13" s="156" customFormat="1" ht="18" x14ac:dyDescent="0.35">
      <c r="A7061" s="3">
        <f t="shared" si="1025"/>
        <v>45982</v>
      </c>
      <c r="B7061" s="11"/>
      <c r="C7061" s="162" t="s">
        <v>2857</v>
      </c>
      <c r="E7061" s="90" t="s">
        <v>8332</v>
      </c>
      <c r="F7061" s="4"/>
      <c r="G7061" s="2">
        <v>0</v>
      </c>
      <c r="H7061" s="2">
        <v>50000</v>
      </c>
      <c r="I7061" s="88">
        <f t="shared" si="1026"/>
        <v>1004.3600000000006</v>
      </c>
      <c r="J7061"/>
      <c r="K7061" s="62"/>
      <c r="L7061" s="2">
        <f t="shared" si="1027"/>
        <v>0</v>
      </c>
      <c r="M7061">
        <f t="shared" si="1028"/>
        <v>0</v>
      </c>
    </row>
    <row r="7062" spans="1:13" s="156" customFormat="1" ht="18" x14ac:dyDescent="0.35">
      <c r="A7062" s="3">
        <f t="shared" si="1025"/>
        <v>45982</v>
      </c>
      <c r="B7062" s="11" t="s">
        <v>6840</v>
      </c>
      <c r="C7062" s="162" t="s">
        <v>6841</v>
      </c>
      <c r="E7062" s="90" t="s">
        <v>2088</v>
      </c>
      <c r="F7062" s="4"/>
      <c r="G7062" s="2">
        <v>0</v>
      </c>
      <c r="H7062" s="2">
        <v>0</v>
      </c>
      <c r="I7062" s="88">
        <f t="shared" si="1026"/>
        <v>1004.3600000000006</v>
      </c>
      <c r="J7062"/>
      <c r="K7062" s="62"/>
      <c r="L7062" s="2">
        <f t="shared" si="1027"/>
        <v>5</v>
      </c>
      <c r="M7062">
        <f t="shared" si="1028"/>
        <v>5</v>
      </c>
    </row>
    <row r="7063" spans="1:13" s="156" customFormat="1" ht="18" x14ac:dyDescent="0.35">
      <c r="A7063" s="3">
        <f t="shared" si="1025"/>
        <v>45982</v>
      </c>
      <c r="B7063" s="11" t="s">
        <v>6687</v>
      </c>
      <c r="C7063" s="162" t="s">
        <v>9625</v>
      </c>
      <c r="E7063" s="90" t="s">
        <v>4720</v>
      </c>
      <c r="F7063" s="4"/>
      <c r="G7063" s="2">
        <v>3500</v>
      </c>
      <c r="H7063" s="2">
        <v>0</v>
      </c>
      <c r="I7063" s="88">
        <f t="shared" si="1026"/>
        <v>4504.3600000000006</v>
      </c>
      <c r="J7063"/>
      <c r="K7063" s="62"/>
      <c r="L7063" s="2">
        <f t="shared" si="1027"/>
        <v>14</v>
      </c>
      <c r="M7063">
        <f t="shared" si="1028"/>
        <v>0</v>
      </c>
    </row>
    <row r="7064" spans="1:13" s="156" customFormat="1" ht="18" x14ac:dyDescent="0.35">
      <c r="A7064" s="3">
        <f t="shared" si="1025"/>
        <v>45982</v>
      </c>
      <c r="B7064" s="11" t="s">
        <v>9595</v>
      </c>
      <c r="C7064" s="162" t="s">
        <v>9601</v>
      </c>
      <c r="E7064" s="90" t="s">
        <v>2088</v>
      </c>
      <c r="F7064" s="4"/>
      <c r="G7064" s="2">
        <v>0</v>
      </c>
      <c r="H7064" s="2">
        <v>0</v>
      </c>
      <c r="I7064" s="88">
        <f t="shared" si="1026"/>
        <v>4504.3600000000006</v>
      </c>
      <c r="J7064"/>
      <c r="K7064" s="62"/>
      <c r="L7064" s="2">
        <f t="shared" si="1027"/>
        <v>5</v>
      </c>
      <c r="M7064">
        <f t="shared" si="1028"/>
        <v>5</v>
      </c>
    </row>
    <row r="7065" spans="1:13" s="156" customFormat="1" ht="18" x14ac:dyDescent="0.35">
      <c r="A7065" s="3">
        <f t="shared" si="1025"/>
        <v>45982</v>
      </c>
      <c r="B7065" s="11" t="s">
        <v>6522</v>
      </c>
      <c r="C7065" s="162"/>
      <c r="E7065" s="90" t="s">
        <v>4720</v>
      </c>
      <c r="F7065" s="4"/>
      <c r="G7065" s="2">
        <v>3000</v>
      </c>
      <c r="H7065" s="2">
        <v>0</v>
      </c>
      <c r="I7065" s="88">
        <f t="shared" si="1026"/>
        <v>7504.3600000000006</v>
      </c>
      <c r="J7065"/>
      <c r="K7065" s="62"/>
      <c r="L7065" s="2">
        <f t="shared" si="1027"/>
        <v>12</v>
      </c>
      <c r="M7065">
        <f t="shared" si="1028"/>
        <v>0</v>
      </c>
    </row>
    <row r="7066" spans="1:13" s="156" customFormat="1" ht="18" x14ac:dyDescent="0.35">
      <c r="A7066" s="3">
        <f t="shared" si="1025"/>
        <v>45982</v>
      </c>
      <c r="B7066" s="11" t="s">
        <v>1250</v>
      </c>
      <c r="C7066" s="162" t="s">
        <v>6985</v>
      </c>
      <c r="E7066" s="90" t="s">
        <v>4720</v>
      </c>
      <c r="F7066" s="4"/>
      <c r="G7066" s="2">
        <v>2000</v>
      </c>
      <c r="H7066" s="2">
        <v>0</v>
      </c>
      <c r="I7066" s="88">
        <f t="shared" si="1026"/>
        <v>9504.36</v>
      </c>
      <c r="J7066"/>
      <c r="K7066" s="62"/>
      <c r="L7066" s="2">
        <f t="shared" si="1027"/>
        <v>8</v>
      </c>
      <c r="M7066">
        <f t="shared" si="1028"/>
        <v>0</v>
      </c>
    </row>
    <row r="7067" spans="1:13" s="156" customFormat="1" ht="18" x14ac:dyDescent="0.35">
      <c r="A7067" s="3">
        <v>45983</v>
      </c>
      <c r="B7067" s="11" t="s">
        <v>6434</v>
      </c>
      <c r="C7067" s="162" t="s">
        <v>8398</v>
      </c>
      <c r="E7067" s="90" t="s">
        <v>4720</v>
      </c>
      <c r="F7067" s="4"/>
      <c r="G7067" s="2">
        <v>0</v>
      </c>
      <c r="H7067" s="2">
        <v>7500</v>
      </c>
      <c r="I7067" s="88">
        <f t="shared" si="1026"/>
        <v>2004.3600000000006</v>
      </c>
      <c r="J7067"/>
      <c r="K7067" s="62"/>
      <c r="L7067" s="2">
        <f t="shared" si="1027"/>
        <v>20</v>
      </c>
      <c r="M7067">
        <f t="shared" si="1028"/>
        <v>0</v>
      </c>
    </row>
    <row r="7068" spans="1:13" s="156" customFormat="1" ht="18" x14ac:dyDescent="0.35">
      <c r="A7068" s="3">
        <f t="shared" si="1025"/>
        <v>45983</v>
      </c>
      <c r="B7068" s="11" t="s">
        <v>8553</v>
      </c>
      <c r="C7068" s="162" t="s">
        <v>8703</v>
      </c>
      <c r="E7068" s="90" t="s">
        <v>4720</v>
      </c>
      <c r="F7068" s="4"/>
      <c r="G7068" s="2">
        <v>1100</v>
      </c>
      <c r="H7068" s="2">
        <v>0</v>
      </c>
      <c r="I7068" s="88">
        <f t="shared" si="1026"/>
        <v>3104.3600000000006</v>
      </c>
      <c r="J7068"/>
      <c r="K7068" s="62"/>
      <c r="L7068" s="2">
        <f t="shared" si="1027"/>
        <v>4.4000000000000004</v>
      </c>
      <c r="M7068">
        <f t="shared" si="1028"/>
        <v>0</v>
      </c>
    </row>
    <row r="7069" spans="1:13" s="156" customFormat="1" ht="18" x14ac:dyDescent="0.35">
      <c r="A7069" s="3">
        <f t="shared" si="1025"/>
        <v>45983</v>
      </c>
      <c r="B7069" s="11" t="s">
        <v>5348</v>
      </c>
      <c r="C7069" s="162" t="s">
        <v>9626</v>
      </c>
      <c r="E7069" s="90" t="s">
        <v>4720</v>
      </c>
      <c r="F7069" s="4"/>
      <c r="G7069" s="2">
        <v>5500</v>
      </c>
      <c r="H7069" s="2">
        <v>0</v>
      </c>
      <c r="I7069" s="88">
        <f t="shared" ref="I7069:I7080" si="1029">I7068+G7069-H7069</f>
        <v>8604.36</v>
      </c>
      <c r="J7069"/>
      <c r="K7069" s="62"/>
      <c r="L7069" s="2">
        <f t="shared" ref="L7069:L7080" si="1030">IF(E7069="C",0,IF((G7069+H7069)&lt;=5000,(G7069+H7069)*0.004,20)+IF(E7069="P",5,IF(E7069="Y",15,IF(E7069="YY",25))))</f>
        <v>20</v>
      </c>
      <c r="M7069">
        <f t="shared" ref="M7069:M7080" si="1031">IF(E7069="p",5,0)</f>
        <v>0</v>
      </c>
    </row>
    <row r="7070" spans="1:13" s="156" customFormat="1" ht="18" x14ac:dyDescent="0.35">
      <c r="A7070" s="3">
        <f t="shared" si="1025"/>
        <v>45983</v>
      </c>
      <c r="B7070" s="11" t="s">
        <v>4234</v>
      </c>
      <c r="C7070" s="162" t="s">
        <v>3231</v>
      </c>
      <c r="E7070" s="90" t="s">
        <v>4720</v>
      </c>
      <c r="F7070" s="4"/>
      <c r="G7070" s="2">
        <v>10000</v>
      </c>
      <c r="H7070" s="2">
        <v>0</v>
      </c>
      <c r="I7070" s="88">
        <f t="shared" si="1029"/>
        <v>18604.36</v>
      </c>
      <c r="J7070"/>
      <c r="K7070" s="62"/>
      <c r="L7070" s="2">
        <f t="shared" si="1030"/>
        <v>20</v>
      </c>
      <c r="M7070">
        <f t="shared" si="1031"/>
        <v>0</v>
      </c>
    </row>
    <row r="7071" spans="1:13" s="156" customFormat="1" ht="18" x14ac:dyDescent="0.35">
      <c r="A7071" s="3">
        <f t="shared" si="1025"/>
        <v>45983</v>
      </c>
      <c r="B7071" s="11" t="s">
        <v>6522</v>
      </c>
      <c r="C7071" s="162" t="s">
        <v>9627</v>
      </c>
      <c r="E7071" s="90" t="s">
        <v>4720</v>
      </c>
      <c r="F7071" s="4"/>
      <c r="G7071" s="2">
        <v>4000</v>
      </c>
      <c r="H7071" s="2">
        <v>0</v>
      </c>
      <c r="I7071" s="88">
        <f t="shared" si="1029"/>
        <v>22604.36</v>
      </c>
      <c r="J7071"/>
      <c r="K7071" s="62"/>
      <c r="L7071" s="2">
        <f t="shared" si="1030"/>
        <v>16</v>
      </c>
      <c r="M7071">
        <f t="shared" si="1031"/>
        <v>0</v>
      </c>
    </row>
    <row r="7072" spans="1:13" s="156" customFormat="1" ht="18" x14ac:dyDescent="0.35">
      <c r="A7072" s="3">
        <f t="shared" si="1025"/>
        <v>45983</v>
      </c>
      <c r="B7072" s="11" t="s">
        <v>1160</v>
      </c>
      <c r="C7072" s="162" t="s">
        <v>4331</v>
      </c>
      <c r="E7072" s="90" t="s">
        <v>4720</v>
      </c>
      <c r="F7072" s="4"/>
      <c r="G7072" s="2">
        <v>500</v>
      </c>
      <c r="H7072" s="2">
        <v>0</v>
      </c>
      <c r="I7072" s="88">
        <f t="shared" si="1029"/>
        <v>23104.36</v>
      </c>
      <c r="J7072"/>
      <c r="K7072" s="62"/>
      <c r="L7072" s="2">
        <f t="shared" si="1030"/>
        <v>2</v>
      </c>
      <c r="M7072">
        <f t="shared" si="1031"/>
        <v>0</v>
      </c>
    </row>
    <row r="7073" spans="1:13" s="156" customFormat="1" ht="18" x14ac:dyDescent="0.35">
      <c r="A7073" s="3">
        <f t="shared" si="1025"/>
        <v>45983</v>
      </c>
      <c r="B7073" s="11" t="s">
        <v>7374</v>
      </c>
      <c r="C7073" s="162" t="s">
        <v>8655</v>
      </c>
      <c r="E7073" s="90" t="s">
        <v>2088</v>
      </c>
      <c r="F7073" s="4"/>
      <c r="G7073" s="2">
        <v>10000</v>
      </c>
      <c r="H7073" s="2">
        <v>0</v>
      </c>
      <c r="I7073" s="88">
        <f t="shared" si="1029"/>
        <v>33104.36</v>
      </c>
      <c r="J7073"/>
      <c r="K7073" s="62"/>
      <c r="L7073" s="2">
        <f t="shared" si="1030"/>
        <v>25</v>
      </c>
      <c r="M7073">
        <f t="shared" si="1031"/>
        <v>5</v>
      </c>
    </row>
    <row r="7074" spans="1:13" s="156" customFormat="1" ht="18" x14ac:dyDescent="0.35">
      <c r="A7074" s="3">
        <f t="shared" si="1025"/>
        <v>45983</v>
      </c>
      <c r="B7074" s="11" t="s">
        <v>3877</v>
      </c>
      <c r="C7074" s="162" t="s">
        <v>9163</v>
      </c>
      <c r="E7074" s="90" t="s">
        <v>2088</v>
      </c>
      <c r="F7074" s="4"/>
      <c r="G7074" s="2">
        <v>3000</v>
      </c>
      <c r="H7074" s="2">
        <v>0</v>
      </c>
      <c r="I7074" s="88">
        <f t="shared" si="1029"/>
        <v>36104.36</v>
      </c>
      <c r="J7074"/>
      <c r="K7074" s="62"/>
      <c r="L7074" s="2">
        <f t="shared" si="1030"/>
        <v>17</v>
      </c>
      <c r="M7074">
        <f t="shared" si="1031"/>
        <v>5</v>
      </c>
    </row>
    <row r="7075" spans="1:13" s="156" customFormat="1" ht="18" x14ac:dyDescent="0.35">
      <c r="A7075" s="3">
        <f t="shared" si="1025"/>
        <v>45983</v>
      </c>
      <c r="B7075" s="11" t="s">
        <v>9604</v>
      </c>
      <c r="C7075" s="162" t="s">
        <v>9607</v>
      </c>
      <c r="E7075" s="90" t="s">
        <v>2088</v>
      </c>
      <c r="F7075" s="4"/>
      <c r="G7075" s="2">
        <v>0</v>
      </c>
      <c r="H7075" s="2">
        <v>0</v>
      </c>
      <c r="I7075" s="88">
        <f t="shared" si="1029"/>
        <v>36104.36</v>
      </c>
      <c r="J7075"/>
      <c r="K7075" s="62"/>
      <c r="L7075" s="2">
        <f t="shared" si="1030"/>
        <v>5</v>
      </c>
      <c r="M7075">
        <f t="shared" si="1031"/>
        <v>5</v>
      </c>
    </row>
    <row r="7076" spans="1:13" s="156" customFormat="1" ht="18" x14ac:dyDescent="0.35">
      <c r="A7076" s="3">
        <f t="shared" si="1025"/>
        <v>45983</v>
      </c>
      <c r="B7076" s="11" t="s">
        <v>9629</v>
      </c>
      <c r="C7076" s="162" t="s">
        <v>8654</v>
      </c>
      <c r="E7076" s="90" t="s">
        <v>4720</v>
      </c>
      <c r="F7076" s="4"/>
      <c r="G7076" s="2">
        <v>0</v>
      </c>
      <c r="H7076" s="2">
        <v>7000</v>
      </c>
      <c r="I7076" s="88">
        <f t="shared" si="1029"/>
        <v>29104.36</v>
      </c>
      <c r="J7076"/>
      <c r="K7076" s="62"/>
      <c r="L7076" s="2">
        <f t="shared" si="1030"/>
        <v>20</v>
      </c>
      <c r="M7076">
        <f t="shared" si="1031"/>
        <v>0</v>
      </c>
    </row>
    <row r="7077" spans="1:13" s="156" customFormat="1" ht="18" x14ac:dyDescent="0.35">
      <c r="A7077" s="3">
        <f t="shared" si="1025"/>
        <v>45983</v>
      </c>
      <c r="B7077" s="11" t="s">
        <v>9631</v>
      </c>
      <c r="C7077" s="162" t="s">
        <v>6157</v>
      </c>
      <c r="E7077" s="90" t="s">
        <v>16</v>
      </c>
      <c r="F7077" s="4"/>
      <c r="G7077" s="2">
        <v>0</v>
      </c>
      <c r="H7077" s="2">
        <v>500</v>
      </c>
      <c r="I7077" s="88">
        <f t="shared" si="1029"/>
        <v>28604.36</v>
      </c>
      <c r="J7077"/>
      <c r="K7077" s="62"/>
      <c r="L7077" s="2">
        <f t="shared" si="1030"/>
        <v>17</v>
      </c>
      <c r="M7077">
        <f t="shared" si="1031"/>
        <v>0</v>
      </c>
    </row>
    <row r="7078" spans="1:13" s="156" customFormat="1" ht="18" x14ac:dyDescent="0.35">
      <c r="A7078" s="3">
        <v>45984</v>
      </c>
      <c r="B7078" s="11" t="s">
        <v>1250</v>
      </c>
      <c r="C7078" s="162" t="s">
        <v>9635</v>
      </c>
      <c r="E7078" s="90" t="s">
        <v>4720</v>
      </c>
      <c r="F7078" s="4"/>
      <c r="G7078" s="2">
        <v>1000</v>
      </c>
      <c r="H7078" s="2">
        <v>0</v>
      </c>
      <c r="I7078" s="88">
        <f t="shared" si="1029"/>
        <v>29604.36</v>
      </c>
      <c r="J7078"/>
      <c r="K7078" s="62"/>
      <c r="L7078" s="2">
        <f t="shared" si="1030"/>
        <v>4</v>
      </c>
      <c r="M7078">
        <f t="shared" si="1031"/>
        <v>0</v>
      </c>
    </row>
    <row r="7079" spans="1:13" s="156" customFormat="1" ht="18" x14ac:dyDescent="0.35">
      <c r="A7079" s="3">
        <f t="shared" si="1025"/>
        <v>45984</v>
      </c>
      <c r="B7079" s="11" t="s">
        <v>5355</v>
      </c>
      <c r="C7079" s="162" t="s">
        <v>9636</v>
      </c>
      <c r="E7079" s="90" t="s">
        <v>4720</v>
      </c>
      <c r="F7079" s="4"/>
      <c r="G7079" s="2">
        <v>2000</v>
      </c>
      <c r="H7079" s="2">
        <v>0</v>
      </c>
      <c r="I7079" s="88">
        <f t="shared" si="1029"/>
        <v>31604.36</v>
      </c>
      <c r="J7079"/>
      <c r="K7079" s="62"/>
      <c r="L7079" s="2">
        <f t="shared" si="1030"/>
        <v>8</v>
      </c>
      <c r="M7079">
        <f t="shared" si="1031"/>
        <v>0</v>
      </c>
    </row>
    <row r="7080" spans="1:13" s="156" customFormat="1" ht="18" x14ac:dyDescent="0.35">
      <c r="A7080" s="3">
        <v>45985</v>
      </c>
      <c r="B7080" s="11" t="s">
        <v>9540</v>
      </c>
      <c r="C7080" s="162"/>
      <c r="E7080" s="90" t="s">
        <v>16</v>
      </c>
      <c r="F7080" s="4"/>
      <c r="G7080" s="2">
        <v>0</v>
      </c>
      <c r="H7080" s="2">
        <v>500</v>
      </c>
      <c r="I7080" s="88">
        <f t="shared" si="1029"/>
        <v>31104.36</v>
      </c>
      <c r="J7080"/>
      <c r="K7080" s="62"/>
      <c r="L7080" s="2">
        <f t="shared" si="1030"/>
        <v>17</v>
      </c>
      <c r="M7080">
        <f t="shared" si="1031"/>
        <v>0</v>
      </c>
    </row>
    <row r="7081" spans="1:13" s="156" customFormat="1" ht="18" x14ac:dyDescent="0.35">
      <c r="A7081" s="3">
        <f t="shared" si="1025"/>
        <v>45985</v>
      </c>
      <c r="B7081" s="11" t="s">
        <v>1472</v>
      </c>
      <c r="C7081" s="162"/>
      <c r="E7081" s="90" t="s">
        <v>4720</v>
      </c>
      <c r="F7081" s="4"/>
      <c r="G7081" s="2">
        <v>2000</v>
      </c>
      <c r="H7081" s="2">
        <v>0</v>
      </c>
      <c r="I7081" s="88">
        <f t="shared" ref="I7081:I7092" si="1032">I7080+G7081-H7081</f>
        <v>33104.36</v>
      </c>
      <c r="J7081"/>
      <c r="K7081" s="62"/>
      <c r="L7081" s="2">
        <f t="shared" ref="L7081:L7092" si="1033">IF(E7081="C",0,IF((G7081+H7081)&lt;=5000,(G7081+H7081)*0.004,20)+IF(E7081="P",5,IF(E7081="Y",15,IF(E7081="YY",25))))</f>
        <v>8</v>
      </c>
      <c r="M7081">
        <f t="shared" ref="M7081:M7092" si="1034">IF(E7081="p",5,0)</f>
        <v>0</v>
      </c>
    </row>
    <row r="7082" spans="1:13" s="156" customFormat="1" ht="18" x14ac:dyDescent="0.35">
      <c r="A7082" s="3">
        <f t="shared" si="1025"/>
        <v>45985</v>
      </c>
      <c r="B7082" s="11" t="s">
        <v>9612</v>
      </c>
      <c r="C7082" s="162" t="s">
        <v>9639</v>
      </c>
      <c r="E7082" s="90" t="s">
        <v>2088</v>
      </c>
      <c r="F7082" s="4"/>
      <c r="G7082" s="2">
        <v>0</v>
      </c>
      <c r="H7082" s="2">
        <v>0</v>
      </c>
      <c r="I7082" s="88">
        <f t="shared" si="1032"/>
        <v>33104.36</v>
      </c>
      <c r="J7082"/>
      <c r="K7082" s="62"/>
      <c r="L7082" s="2">
        <f t="shared" si="1033"/>
        <v>5</v>
      </c>
      <c r="M7082">
        <f t="shared" si="1034"/>
        <v>5</v>
      </c>
    </row>
    <row r="7083" spans="1:13" s="156" customFormat="1" ht="18" x14ac:dyDescent="0.35">
      <c r="A7083" s="3">
        <f t="shared" si="1025"/>
        <v>45985</v>
      </c>
      <c r="B7083" s="11" t="s">
        <v>9644</v>
      </c>
      <c r="C7083" s="162"/>
      <c r="E7083" s="90" t="s">
        <v>14</v>
      </c>
      <c r="F7083" s="4"/>
      <c r="G7083" s="2">
        <v>0</v>
      </c>
      <c r="H7083" s="2">
        <v>500</v>
      </c>
      <c r="I7083" s="88">
        <f t="shared" si="1032"/>
        <v>32604.36</v>
      </c>
      <c r="J7083"/>
      <c r="K7083" s="62"/>
      <c r="L7083" s="2">
        <f t="shared" si="1033"/>
        <v>17</v>
      </c>
      <c r="M7083">
        <f t="shared" si="1034"/>
        <v>0</v>
      </c>
    </row>
    <row r="7084" spans="1:13" s="156" customFormat="1" ht="18" x14ac:dyDescent="0.35">
      <c r="A7084" s="3">
        <f t="shared" si="1025"/>
        <v>45985</v>
      </c>
      <c r="B7084" s="11" t="s">
        <v>3148</v>
      </c>
      <c r="C7084" s="162" t="s">
        <v>9642</v>
      </c>
      <c r="E7084" s="90" t="s">
        <v>9641</v>
      </c>
      <c r="F7084" s="4"/>
      <c r="G7084" s="2">
        <v>1000</v>
      </c>
      <c r="H7084" s="2">
        <v>0</v>
      </c>
      <c r="I7084" s="88">
        <f t="shared" si="1032"/>
        <v>33604.36</v>
      </c>
      <c r="J7084"/>
      <c r="K7084" s="62"/>
      <c r="L7084" s="2">
        <f t="shared" si="1033"/>
        <v>4</v>
      </c>
      <c r="M7084">
        <f t="shared" si="1034"/>
        <v>0</v>
      </c>
    </row>
    <row r="7085" spans="1:13" s="156" customFormat="1" ht="18" x14ac:dyDescent="0.35">
      <c r="A7085" s="3">
        <f t="shared" si="1025"/>
        <v>45985</v>
      </c>
      <c r="B7085" s="11" t="s">
        <v>6701</v>
      </c>
      <c r="C7085" s="162" t="s">
        <v>6702</v>
      </c>
      <c r="E7085" s="90" t="s">
        <v>4720</v>
      </c>
      <c r="F7085" s="4"/>
      <c r="G7085" s="2">
        <v>6000</v>
      </c>
      <c r="H7085" s="2">
        <v>0</v>
      </c>
      <c r="I7085" s="88">
        <f t="shared" si="1032"/>
        <v>39604.36</v>
      </c>
      <c r="J7085"/>
      <c r="K7085" s="62"/>
      <c r="L7085" s="2">
        <f t="shared" si="1033"/>
        <v>20</v>
      </c>
      <c r="M7085">
        <f t="shared" si="1034"/>
        <v>0</v>
      </c>
    </row>
    <row r="7086" spans="1:13" s="156" customFormat="1" ht="18" x14ac:dyDescent="0.35">
      <c r="A7086" s="3">
        <f t="shared" si="1025"/>
        <v>45985</v>
      </c>
      <c r="B7086" s="11" t="s">
        <v>6289</v>
      </c>
      <c r="C7086" s="162" t="s">
        <v>6288</v>
      </c>
      <c r="E7086" s="90" t="s">
        <v>4720</v>
      </c>
      <c r="F7086" s="4"/>
      <c r="G7086" s="2">
        <v>5000</v>
      </c>
      <c r="H7086" s="2">
        <v>0</v>
      </c>
      <c r="I7086" s="88">
        <f t="shared" si="1032"/>
        <v>44604.36</v>
      </c>
      <c r="J7086"/>
      <c r="K7086" s="62"/>
      <c r="L7086" s="2">
        <f t="shared" si="1033"/>
        <v>20</v>
      </c>
      <c r="M7086">
        <f t="shared" si="1034"/>
        <v>0</v>
      </c>
    </row>
    <row r="7087" spans="1:13" s="156" customFormat="1" ht="18" x14ac:dyDescent="0.35">
      <c r="A7087" s="3">
        <f t="shared" si="1025"/>
        <v>45985</v>
      </c>
      <c r="B7087" s="11" t="s">
        <v>2448</v>
      </c>
      <c r="C7087" s="162" t="s">
        <v>2274</v>
      </c>
      <c r="E7087" s="90" t="s">
        <v>4720</v>
      </c>
      <c r="F7087" s="4"/>
      <c r="G7087" s="2">
        <v>0</v>
      </c>
      <c r="H7087" s="2">
        <v>7000</v>
      </c>
      <c r="I7087" s="88">
        <f t="shared" si="1032"/>
        <v>37604.36</v>
      </c>
      <c r="J7087"/>
      <c r="K7087" s="62"/>
      <c r="L7087" s="2">
        <f t="shared" si="1033"/>
        <v>20</v>
      </c>
      <c r="M7087">
        <f t="shared" si="1034"/>
        <v>0</v>
      </c>
    </row>
    <row r="7088" spans="1:13" s="156" customFormat="1" ht="18" x14ac:dyDescent="0.35">
      <c r="A7088" s="3">
        <f t="shared" si="1025"/>
        <v>45985</v>
      </c>
      <c r="B7088" s="11"/>
      <c r="C7088" s="162" t="s">
        <v>2857</v>
      </c>
      <c r="E7088" s="90" t="s">
        <v>8332</v>
      </c>
      <c r="F7088" s="4"/>
      <c r="G7088" s="2">
        <v>0</v>
      </c>
      <c r="H7088" s="2">
        <v>20000</v>
      </c>
      <c r="I7088" s="88">
        <f t="shared" si="1032"/>
        <v>17604.36</v>
      </c>
      <c r="J7088"/>
      <c r="K7088" s="62"/>
      <c r="L7088" s="2">
        <f t="shared" si="1033"/>
        <v>0</v>
      </c>
      <c r="M7088">
        <f t="shared" si="1034"/>
        <v>0</v>
      </c>
    </row>
    <row r="7089" spans="1:13" s="156" customFormat="1" ht="18" x14ac:dyDescent="0.35">
      <c r="A7089" s="3">
        <f t="shared" si="1025"/>
        <v>45985</v>
      </c>
      <c r="B7089" s="11" t="s">
        <v>1160</v>
      </c>
      <c r="C7089" s="162" t="s">
        <v>5190</v>
      </c>
      <c r="E7089" s="90" t="s">
        <v>4720</v>
      </c>
      <c r="F7089" s="4"/>
      <c r="G7089" s="2">
        <v>5000</v>
      </c>
      <c r="H7089" s="2">
        <v>0</v>
      </c>
      <c r="I7089" s="88">
        <f t="shared" si="1032"/>
        <v>22604.36</v>
      </c>
      <c r="J7089"/>
      <c r="K7089" s="62"/>
      <c r="L7089" s="2">
        <f t="shared" si="1033"/>
        <v>20</v>
      </c>
      <c r="M7089">
        <f t="shared" si="1034"/>
        <v>0</v>
      </c>
    </row>
    <row r="7090" spans="1:13" s="156" customFormat="1" ht="18" x14ac:dyDescent="0.35">
      <c r="A7090" s="3">
        <f t="shared" si="1025"/>
        <v>45985</v>
      </c>
      <c r="B7090" s="11" t="s">
        <v>6867</v>
      </c>
      <c r="C7090" s="162" t="s">
        <v>8300</v>
      </c>
      <c r="E7090" s="90" t="s">
        <v>2088</v>
      </c>
      <c r="F7090" s="4"/>
      <c r="G7090" s="2">
        <v>10000</v>
      </c>
      <c r="H7090" s="2">
        <v>0</v>
      </c>
      <c r="I7090" s="88">
        <f t="shared" si="1032"/>
        <v>32604.36</v>
      </c>
      <c r="J7090"/>
      <c r="K7090" s="62"/>
      <c r="L7090" s="2">
        <f t="shared" si="1033"/>
        <v>25</v>
      </c>
      <c r="M7090">
        <f t="shared" si="1034"/>
        <v>5</v>
      </c>
    </row>
    <row r="7091" spans="1:13" s="156" customFormat="1" ht="18" x14ac:dyDescent="0.35">
      <c r="A7091" s="3">
        <f t="shared" si="1025"/>
        <v>45985</v>
      </c>
      <c r="B7091" s="11" t="s">
        <v>8950</v>
      </c>
      <c r="C7091" s="162" t="s">
        <v>762</v>
      </c>
      <c r="E7091" s="90" t="s">
        <v>2088</v>
      </c>
      <c r="F7091" s="4"/>
      <c r="G7091" s="2">
        <v>0</v>
      </c>
      <c r="H7091" s="2">
        <v>0</v>
      </c>
      <c r="I7091" s="88">
        <f t="shared" si="1032"/>
        <v>32604.36</v>
      </c>
      <c r="J7091"/>
      <c r="K7091" s="62"/>
      <c r="L7091" s="2">
        <f t="shared" si="1033"/>
        <v>5</v>
      </c>
      <c r="M7091">
        <f t="shared" si="1034"/>
        <v>5</v>
      </c>
    </row>
    <row r="7092" spans="1:13" s="156" customFormat="1" ht="18" x14ac:dyDescent="0.35">
      <c r="A7092" s="3">
        <f t="shared" si="1025"/>
        <v>45985</v>
      </c>
      <c r="B7092" s="11" t="s">
        <v>8950</v>
      </c>
      <c r="C7092" s="162" t="s">
        <v>762</v>
      </c>
      <c r="E7092" s="90" t="s">
        <v>2088</v>
      </c>
      <c r="F7092" s="4"/>
      <c r="G7092" s="2">
        <v>9000</v>
      </c>
      <c r="H7092" s="2">
        <v>0</v>
      </c>
      <c r="I7092" s="88">
        <f t="shared" si="1032"/>
        <v>41604.36</v>
      </c>
      <c r="J7092"/>
      <c r="K7092" s="62"/>
      <c r="L7092" s="2">
        <f t="shared" si="1033"/>
        <v>25</v>
      </c>
      <c r="M7092">
        <f t="shared" si="1034"/>
        <v>5</v>
      </c>
    </row>
    <row r="7093" spans="1:13" s="156" customFormat="1" ht="18" x14ac:dyDescent="0.35">
      <c r="A7093" s="3">
        <f t="shared" si="1025"/>
        <v>45985</v>
      </c>
      <c r="B7093" s="11"/>
      <c r="C7093" s="162"/>
      <c r="E7093" s="90" t="s">
        <v>4720</v>
      </c>
      <c r="F7093" s="4"/>
      <c r="G7093" s="64">
        <v>2000</v>
      </c>
      <c r="H7093" s="2">
        <v>0</v>
      </c>
      <c r="I7093" s="88">
        <f t="shared" ref="I7093:I7098" si="1035">I7092+G7093-H7093</f>
        <v>43604.36</v>
      </c>
      <c r="J7093"/>
      <c r="K7093" s="62"/>
      <c r="L7093" s="2">
        <f t="shared" ref="L7093:L7098" si="1036">IF(E7093="C",0,IF((G7093+H7093)&lt;=5000,(G7093+H7093)*0.004,20)+IF(E7093="P",5,IF(E7093="Y",15,IF(E7093="YY",25))))</f>
        <v>8</v>
      </c>
      <c r="M7093">
        <f t="shared" ref="M7093:M7098" si="1037">IF(E7093="p",5,0)</f>
        <v>0</v>
      </c>
    </row>
    <row r="7094" spans="1:13" s="156" customFormat="1" ht="18" x14ac:dyDescent="0.35">
      <c r="A7094" s="3">
        <f t="shared" si="1025"/>
        <v>45985</v>
      </c>
      <c r="B7094" s="11" t="s">
        <v>8400</v>
      </c>
      <c r="C7094" s="162" t="s">
        <v>2627</v>
      </c>
      <c r="E7094" s="90" t="s">
        <v>4720</v>
      </c>
      <c r="F7094" s="4"/>
      <c r="G7094" s="2">
        <v>2000</v>
      </c>
      <c r="H7094" s="2">
        <v>0</v>
      </c>
      <c r="I7094" s="88">
        <f t="shared" si="1035"/>
        <v>45604.36</v>
      </c>
      <c r="J7094"/>
      <c r="K7094" s="62"/>
      <c r="L7094" s="2">
        <f t="shared" si="1036"/>
        <v>8</v>
      </c>
      <c r="M7094">
        <f t="shared" si="1037"/>
        <v>0</v>
      </c>
    </row>
    <row r="7095" spans="1:13" s="156" customFormat="1" ht="18" x14ac:dyDescent="0.35">
      <c r="A7095" s="3">
        <f t="shared" si="1025"/>
        <v>45985</v>
      </c>
      <c r="B7095" s="11" t="s">
        <v>1250</v>
      </c>
      <c r="C7095" s="162" t="s">
        <v>6424</v>
      </c>
      <c r="E7095" s="90" t="s">
        <v>4720</v>
      </c>
      <c r="F7095" s="4"/>
      <c r="G7095" s="2">
        <v>2000</v>
      </c>
      <c r="H7095" s="2">
        <v>0</v>
      </c>
      <c r="I7095" s="88">
        <f t="shared" si="1035"/>
        <v>47604.36</v>
      </c>
      <c r="J7095"/>
      <c r="K7095" s="62"/>
      <c r="L7095" s="2">
        <f t="shared" si="1036"/>
        <v>8</v>
      </c>
      <c r="M7095">
        <f t="shared" si="1037"/>
        <v>0</v>
      </c>
    </row>
    <row r="7096" spans="1:13" s="156" customFormat="1" ht="18" x14ac:dyDescent="0.35">
      <c r="A7096" s="3">
        <f t="shared" si="1025"/>
        <v>45985</v>
      </c>
      <c r="B7096" s="11" t="s">
        <v>4558</v>
      </c>
      <c r="C7096" s="162" t="s">
        <v>9645</v>
      </c>
      <c r="E7096" s="90" t="s">
        <v>4720</v>
      </c>
      <c r="F7096" s="4"/>
      <c r="G7096" s="2">
        <v>4000</v>
      </c>
      <c r="H7096" s="2">
        <v>0</v>
      </c>
      <c r="I7096" s="88">
        <f t="shared" si="1035"/>
        <v>51604.36</v>
      </c>
      <c r="J7096"/>
      <c r="K7096" s="62"/>
      <c r="L7096" s="2">
        <f t="shared" si="1036"/>
        <v>16</v>
      </c>
      <c r="M7096">
        <f t="shared" si="1037"/>
        <v>0</v>
      </c>
    </row>
    <row r="7097" spans="1:13" s="156" customFormat="1" ht="18" x14ac:dyDescent="0.35">
      <c r="A7097" s="3">
        <f t="shared" si="1025"/>
        <v>45985</v>
      </c>
      <c r="B7097" s="11" t="s">
        <v>9644</v>
      </c>
      <c r="C7097" s="162" t="s">
        <v>9648</v>
      </c>
      <c r="E7097" s="90" t="s">
        <v>2088</v>
      </c>
      <c r="F7097" s="4"/>
      <c r="G7097" s="2">
        <v>0</v>
      </c>
      <c r="H7097" s="2">
        <v>0</v>
      </c>
      <c r="I7097" s="88">
        <f t="shared" si="1035"/>
        <v>51604.36</v>
      </c>
      <c r="J7097"/>
      <c r="K7097" s="62"/>
      <c r="L7097" s="2">
        <f t="shared" si="1036"/>
        <v>5</v>
      </c>
      <c r="M7097">
        <f t="shared" si="1037"/>
        <v>5</v>
      </c>
    </row>
    <row r="7098" spans="1:13" s="156" customFormat="1" ht="18" x14ac:dyDescent="0.35">
      <c r="A7098" s="3">
        <v>45986</v>
      </c>
      <c r="B7098" s="11" t="s">
        <v>3754</v>
      </c>
      <c r="C7098" s="162"/>
      <c r="E7098" s="90" t="s">
        <v>16</v>
      </c>
      <c r="F7098" s="4"/>
      <c r="G7098" s="2"/>
      <c r="H7098" s="2">
        <v>500</v>
      </c>
      <c r="I7098" s="88">
        <f t="shared" si="1035"/>
        <v>51104.36</v>
      </c>
      <c r="J7098"/>
      <c r="K7098" s="62"/>
      <c r="L7098" s="2">
        <f t="shared" si="1036"/>
        <v>17</v>
      </c>
      <c r="M7098">
        <f t="shared" si="1037"/>
        <v>0</v>
      </c>
    </row>
    <row r="7099" spans="1:13" s="156" customFormat="1" ht="18" x14ac:dyDescent="0.35">
      <c r="A7099" s="3">
        <f t="shared" si="1025"/>
        <v>45986</v>
      </c>
      <c r="B7099" s="11" t="s">
        <v>1472</v>
      </c>
      <c r="C7099" s="162" t="s">
        <v>9651</v>
      </c>
      <c r="E7099" s="90" t="s">
        <v>4720</v>
      </c>
      <c r="F7099" s="4"/>
      <c r="G7099" s="2">
        <v>3000</v>
      </c>
      <c r="H7099" s="2">
        <v>0</v>
      </c>
      <c r="I7099" s="88">
        <f t="shared" ref="I7099:I7110" si="1038">I7098+G7099-H7099</f>
        <v>54104.36</v>
      </c>
      <c r="J7099"/>
      <c r="K7099" s="62"/>
      <c r="L7099" s="2">
        <f t="shared" ref="L7099:L7110" si="1039">IF(E7099="C",0,IF((G7099+H7099)&lt;=5000,(G7099+H7099)*0.004,20)+IF(E7099="P",5,IF(E7099="Y",15,IF(E7099="YY",25))))</f>
        <v>12</v>
      </c>
      <c r="M7099">
        <f t="shared" ref="M7099:M7110" si="1040">IF(E7099="p",5,0)</f>
        <v>0</v>
      </c>
    </row>
    <row r="7100" spans="1:13" s="156" customFormat="1" ht="18" x14ac:dyDescent="0.35">
      <c r="A7100" s="3">
        <f t="shared" si="1025"/>
        <v>45986</v>
      </c>
      <c r="B7100" s="11" t="s">
        <v>3232</v>
      </c>
      <c r="C7100" s="162" t="s">
        <v>9652</v>
      </c>
      <c r="E7100" s="90" t="s">
        <v>4720</v>
      </c>
      <c r="F7100" s="4"/>
      <c r="G7100" s="2">
        <v>2500</v>
      </c>
      <c r="H7100" s="2">
        <v>0</v>
      </c>
      <c r="I7100" s="88">
        <f t="shared" si="1038"/>
        <v>56604.36</v>
      </c>
      <c r="J7100"/>
      <c r="K7100" s="62"/>
      <c r="L7100" s="2">
        <f t="shared" si="1039"/>
        <v>10</v>
      </c>
      <c r="M7100">
        <f t="shared" si="1040"/>
        <v>0</v>
      </c>
    </row>
    <row r="7101" spans="1:13" s="156" customFormat="1" ht="18" x14ac:dyDescent="0.35">
      <c r="A7101" s="3">
        <f t="shared" si="1025"/>
        <v>45986</v>
      </c>
      <c r="B7101" s="11" t="s">
        <v>9643</v>
      </c>
      <c r="C7101" s="162" t="s">
        <v>9662</v>
      </c>
      <c r="E7101" s="90" t="s">
        <v>2088</v>
      </c>
      <c r="F7101" s="4"/>
      <c r="G7101" s="2">
        <v>0</v>
      </c>
      <c r="H7101" s="2">
        <v>0</v>
      </c>
      <c r="I7101" s="88">
        <f t="shared" si="1038"/>
        <v>56604.36</v>
      </c>
      <c r="J7101"/>
      <c r="K7101" s="62"/>
      <c r="L7101" s="2">
        <f t="shared" si="1039"/>
        <v>5</v>
      </c>
      <c r="M7101">
        <f t="shared" si="1040"/>
        <v>5</v>
      </c>
    </row>
    <row r="7102" spans="1:13" s="156" customFormat="1" ht="18" x14ac:dyDescent="0.35">
      <c r="A7102" s="3">
        <f t="shared" si="1025"/>
        <v>45986</v>
      </c>
      <c r="B7102" s="11" t="s">
        <v>7279</v>
      </c>
      <c r="C7102" s="162" t="s">
        <v>9669</v>
      </c>
      <c r="E7102" s="90" t="s">
        <v>2088</v>
      </c>
      <c r="F7102" s="4"/>
      <c r="G7102" s="2">
        <v>10000</v>
      </c>
      <c r="H7102" s="2">
        <v>0</v>
      </c>
      <c r="I7102" s="88">
        <f t="shared" si="1038"/>
        <v>66604.36</v>
      </c>
      <c r="J7102"/>
      <c r="K7102" s="62"/>
      <c r="L7102" s="2">
        <f t="shared" si="1039"/>
        <v>25</v>
      </c>
      <c r="M7102">
        <f t="shared" si="1040"/>
        <v>5</v>
      </c>
    </row>
    <row r="7103" spans="1:13" s="156" customFormat="1" ht="18" x14ac:dyDescent="0.35">
      <c r="A7103" s="3">
        <f t="shared" si="1025"/>
        <v>45986</v>
      </c>
      <c r="B7103" s="11" t="s">
        <v>9664</v>
      </c>
      <c r="C7103" s="162" t="s">
        <v>9670</v>
      </c>
      <c r="E7103" s="90" t="s">
        <v>14</v>
      </c>
      <c r="F7103" s="4"/>
      <c r="G7103" s="2">
        <v>0</v>
      </c>
      <c r="H7103" s="2">
        <v>500</v>
      </c>
      <c r="I7103" s="88">
        <f t="shared" si="1038"/>
        <v>66104.36</v>
      </c>
      <c r="J7103"/>
      <c r="K7103" s="62"/>
      <c r="L7103" s="2">
        <f t="shared" si="1039"/>
        <v>17</v>
      </c>
      <c r="M7103">
        <f t="shared" si="1040"/>
        <v>0</v>
      </c>
    </row>
    <row r="7104" spans="1:13" s="156" customFormat="1" ht="18" x14ac:dyDescent="0.35">
      <c r="A7104" s="3">
        <f t="shared" si="1025"/>
        <v>45986</v>
      </c>
      <c r="B7104" s="11" t="s">
        <v>6459</v>
      </c>
      <c r="C7104" s="162" t="s">
        <v>8288</v>
      </c>
      <c r="E7104" s="90" t="s">
        <v>4720</v>
      </c>
      <c r="F7104" s="4"/>
      <c r="G7104" s="2">
        <v>0</v>
      </c>
      <c r="H7104" s="2">
        <v>1500</v>
      </c>
      <c r="I7104" s="88">
        <f t="shared" si="1038"/>
        <v>64604.36</v>
      </c>
      <c r="J7104"/>
      <c r="K7104" s="62"/>
      <c r="L7104" s="2">
        <f t="shared" si="1039"/>
        <v>6</v>
      </c>
      <c r="M7104">
        <f t="shared" si="1040"/>
        <v>0</v>
      </c>
    </row>
    <row r="7105" spans="1:13" s="156" customFormat="1" ht="18" x14ac:dyDescent="0.35">
      <c r="A7105" s="3">
        <f t="shared" si="1025"/>
        <v>45986</v>
      </c>
      <c r="B7105" s="11" t="s">
        <v>9671</v>
      </c>
      <c r="C7105" s="162" t="s">
        <v>9672</v>
      </c>
      <c r="E7105" s="90" t="s">
        <v>4720</v>
      </c>
      <c r="F7105" s="4"/>
      <c r="G7105" s="2">
        <v>2000</v>
      </c>
      <c r="H7105" s="2">
        <v>0</v>
      </c>
      <c r="I7105" s="88">
        <f t="shared" si="1038"/>
        <v>66604.36</v>
      </c>
      <c r="J7105"/>
      <c r="K7105" s="62"/>
      <c r="L7105" s="2">
        <f t="shared" si="1039"/>
        <v>8</v>
      </c>
      <c r="M7105">
        <f t="shared" si="1040"/>
        <v>0</v>
      </c>
    </row>
    <row r="7106" spans="1:13" s="156" customFormat="1" ht="18" x14ac:dyDescent="0.35">
      <c r="A7106" s="3">
        <f t="shared" si="1025"/>
        <v>45986</v>
      </c>
      <c r="B7106" s="11" t="s">
        <v>3524</v>
      </c>
      <c r="C7106" s="162" t="s">
        <v>2679</v>
      </c>
      <c r="E7106" s="90" t="s">
        <v>4720</v>
      </c>
      <c r="F7106" s="4"/>
      <c r="G7106" s="2">
        <v>0</v>
      </c>
      <c r="H7106" s="2">
        <v>10000</v>
      </c>
      <c r="I7106" s="88">
        <f t="shared" si="1038"/>
        <v>56604.36</v>
      </c>
      <c r="J7106"/>
      <c r="K7106" s="62"/>
      <c r="L7106" s="2">
        <f t="shared" si="1039"/>
        <v>20</v>
      </c>
      <c r="M7106">
        <f t="shared" si="1040"/>
        <v>0</v>
      </c>
    </row>
    <row r="7107" spans="1:13" s="156" customFormat="1" ht="18" x14ac:dyDescent="0.35">
      <c r="A7107" s="3">
        <f t="shared" si="1025"/>
        <v>45986</v>
      </c>
      <c r="B7107" s="11"/>
      <c r="C7107" s="162" t="s">
        <v>2857</v>
      </c>
      <c r="E7107" s="90" t="s">
        <v>8332</v>
      </c>
      <c r="F7107" s="4"/>
      <c r="G7107" s="2"/>
      <c r="H7107" s="2">
        <v>50000</v>
      </c>
      <c r="I7107" s="88">
        <f t="shared" si="1038"/>
        <v>6604.3600000000006</v>
      </c>
      <c r="J7107"/>
      <c r="K7107" s="62"/>
      <c r="L7107" s="2">
        <f t="shared" si="1039"/>
        <v>0</v>
      </c>
      <c r="M7107">
        <f t="shared" si="1040"/>
        <v>0</v>
      </c>
    </row>
    <row r="7108" spans="1:13" s="156" customFormat="1" ht="18" x14ac:dyDescent="0.35">
      <c r="A7108" s="3">
        <f t="shared" si="1025"/>
        <v>45986</v>
      </c>
      <c r="B7108" s="11" t="s">
        <v>6847</v>
      </c>
      <c r="C7108" s="162" t="s">
        <v>9551</v>
      </c>
      <c r="E7108" s="90" t="s">
        <v>2088</v>
      </c>
      <c r="F7108" s="4"/>
      <c r="G7108" s="2">
        <v>2500</v>
      </c>
      <c r="H7108" s="2">
        <v>0</v>
      </c>
      <c r="I7108" s="88">
        <f t="shared" si="1038"/>
        <v>9104.36</v>
      </c>
      <c r="J7108"/>
      <c r="K7108" s="62"/>
      <c r="L7108" s="2">
        <f t="shared" si="1039"/>
        <v>15</v>
      </c>
      <c r="M7108">
        <f t="shared" si="1040"/>
        <v>5</v>
      </c>
    </row>
    <row r="7109" spans="1:13" s="156" customFormat="1" ht="18" x14ac:dyDescent="0.35">
      <c r="A7109" s="3">
        <f t="shared" ref="A7109:A7117" si="1041">A7108</f>
        <v>45986</v>
      </c>
      <c r="B7109" s="11" t="s">
        <v>6434</v>
      </c>
      <c r="C7109" s="162" t="s">
        <v>8398</v>
      </c>
      <c r="E7109" s="90" t="s">
        <v>4720</v>
      </c>
      <c r="F7109" s="4"/>
      <c r="G7109" s="2">
        <v>0</v>
      </c>
      <c r="H7109" s="2">
        <v>4000</v>
      </c>
      <c r="I7109" s="88">
        <f t="shared" si="1038"/>
        <v>5104.3600000000006</v>
      </c>
      <c r="J7109"/>
      <c r="K7109" s="62"/>
      <c r="L7109" s="2">
        <f t="shared" si="1039"/>
        <v>16</v>
      </c>
      <c r="M7109">
        <f t="shared" si="1040"/>
        <v>0</v>
      </c>
    </row>
    <row r="7110" spans="1:13" s="156" customFormat="1" ht="18" x14ac:dyDescent="0.35">
      <c r="A7110" s="3">
        <f t="shared" si="1041"/>
        <v>45986</v>
      </c>
      <c r="B7110" s="11" t="s">
        <v>7476</v>
      </c>
      <c r="C7110" s="162" t="s">
        <v>8138</v>
      </c>
      <c r="E7110" s="90" t="s">
        <v>4720</v>
      </c>
      <c r="F7110" s="4"/>
      <c r="G7110" s="2">
        <v>0</v>
      </c>
      <c r="H7110" s="2">
        <v>500</v>
      </c>
      <c r="I7110" s="88">
        <f t="shared" si="1038"/>
        <v>4604.3600000000006</v>
      </c>
      <c r="J7110"/>
      <c r="K7110" s="62"/>
      <c r="L7110" s="2">
        <f t="shared" si="1039"/>
        <v>2</v>
      </c>
      <c r="M7110">
        <f t="shared" si="1040"/>
        <v>0</v>
      </c>
    </row>
    <row r="7111" spans="1:13" s="156" customFormat="1" ht="18" x14ac:dyDescent="0.35">
      <c r="A7111" s="3">
        <f t="shared" si="1041"/>
        <v>45986</v>
      </c>
      <c r="B7111" s="11" t="s">
        <v>9619</v>
      </c>
      <c r="C7111" s="162" t="s">
        <v>9674</v>
      </c>
      <c r="E7111" s="90" t="s">
        <v>2088</v>
      </c>
      <c r="F7111" s="4"/>
      <c r="G7111" s="2">
        <v>0</v>
      </c>
      <c r="H7111" s="2">
        <v>0</v>
      </c>
      <c r="I7111" s="88">
        <f t="shared" ref="I7111:I7121" si="1042">I7110+G7111-H7111</f>
        <v>4604.3600000000006</v>
      </c>
      <c r="J7111"/>
      <c r="K7111" s="62"/>
      <c r="L7111" s="2">
        <f t="shared" ref="L7111:L7120" si="1043">IF(E7111="C",0,IF((G7111+H7111)&lt;=5000,(G7111+H7111)*0.004,20)+IF(E7111="P",5,IF(E7111="Y",15,IF(E7111="YY",25))))</f>
        <v>5</v>
      </c>
      <c r="M7111">
        <f t="shared" ref="M7111:M7120" si="1044">IF(E7111="p",5,0)</f>
        <v>5</v>
      </c>
    </row>
    <row r="7112" spans="1:13" s="156" customFormat="1" ht="18" x14ac:dyDescent="0.35">
      <c r="A7112" s="3">
        <f t="shared" si="1041"/>
        <v>45986</v>
      </c>
      <c r="B7112" s="11" t="s">
        <v>2500</v>
      </c>
      <c r="C7112" s="162" t="s">
        <v>8643</v>
      </c>
      <c r="E7112" s="90" t="s">
        <v>4720</v>
      </c>
      <c r="F7112" s="4"/>
      <c r="G7112" s="2">
        <v>5000</v>
      </c>
      <c r="H7112" s="2">
        <v>0</v>
      </c>
      <c r="I7112" s="88">
        <f t="shared" si="1042"/>
        <v>9604.36</v>
      </c>
      <c r="J7112"/>
      <c r="K7112" s="62"/>
      <c r="L7112" s="2">
        <f t="shared" si="1043"/>
        <v>20</v>
      </c>
      <c r="M7112">
        <f t="shared" si="1044"/>
        <v>0</v>
      </c>
    </row>
    <row r="7113" spans="1:13" s="156" customFormat="1" ht="18" x14ac:dyDescent="0.35">
      <c r="A7113" s="3">
        <f t="shared" si="1041"/>
        <v>45986</v>
      </c>
      <c r="B7113" s="11" t="s">
        <v>1160</v>
      </c>
      <c r="C7113" s="162" t="s">
        <v>6426</v>
      </c>
      <c r="E7113" s="90" t="s">
        <v>4720</v>
      </c>
      <c r="F7113" s="4"/>
      <c r="G7113" s="2">
        <v>1000</v>
      </c>
      <c r="H7113" s="2">
        <v>0</v>
      </c>
      <c r="I7113" s="88">
        <f t="shared" si="1042"/>
        <v>10604.36</v>
      </c>
      <c r="J7113"/>
      <c r="K7113" s="62"/>
      <c r="L7113" s="2">
        <f t="shared" si="1043"/>
        <v>4</v>
      </c>
      <c r="M7113">
        <f t="shared" si="1044"/>
        <v>0</v>
      </c>
    </row>
    <row r="7114" spans="1:13" s="156" customFormat="1" ht="18" x14ac:dyDescent="0.35">
      <c r="A7114" s="3">
        <f t="shared" si="1041"/>
        <v>45986</v>
      </c>
      <c r="B7114" s="11" t="s">
        <v>8553</v>
      </c>
      <c r="C7114" s="162" t="s">
        <v>8703</v>
      </c>
      <c r="E7114" s="90" t="s">
        <v>2088</v>
      </c>
      <c r="F7114" s="4"/>
      <c r="G7114" s="2">
        <v>0</v>
      </c>
      <c r="H7114" s="2">
        <v>0</v>
      </c>
      <c r="I7114" s="88">
        <f t="shared" si="1042"/>
        <v>10604.36</v>
      </c>
      <c r="J7114"/>
      <c r="K7114" s="62"/>
      <c r="L7114" s="2">
        <f t="shared" si="1043"/>
        <v>5</v>
      </c>
      <c r="M7114">
        <f t="shared" si="1044"/>
        <v>5</v>
      </c>
    </row>
    <row r="7115" spans="1:13" s="156" customFormat="1" ht="18" x14ac:dyDescent="0.35">
      <c r="A7115" s="3">
        <f t="shared" si="1041"/>
        <v>45986</v>
      </c>
      <c r="B7115" s="11" t="s">
        <v>8553</v>
      </c>
      <c r="C7115" s="162" t="s">
        <v>8703</v>
      </c>
      <c r="E7115" s="90" t="s">
        <v>2088</v>
      </c>
      <c r="F7115" s="4"/>
      <c r="G7115" s="2">
        <v>600</v>
      </c>
      <c r="H7115" s="2">
        <v>0</v>
      </c>
      <c r="I7115" s="88">
        <f t="shared" si="1042"/>
        <v>11204.36</v>
      </c>
      <c r="J7115"/>
      <c r="K7115" s="62"/>
      <c r="L7115" s="2">
        <f t="shared" si="1043"/>
        <v>7.4</v>
      </c>
      <c r="M7115">
        <f t="shared" si="1044"/>
        <v>5</v>
      </c>
    </row>
    <row r="7116" spans="1:13" s="156" customFormat="1" ht="18" x14ac:dyDescent="0.35">
      <c r="A7116" s="3">
        <f t="shared" si="1041"/>
        <v>45986</v>
      </c>
      <c r="B7116" s="11" t="s">
        <v>7852</v>
      </c>
      <c r="C7116" s="162" t="s">
        <v>476</v>
      </c>
      <c r="E7116" s="90" t="s">
        <v>2088</v>
      </c>
      <c r="F7116" s="4"/>
      <c r="G7116" s="2">
        <v>2000</v>
      </c>
      <c r="H7116" s="2">
        <v>0</v>
      </c>
      <c r="I7116" s="88">
        <f t="shared" si="1042"/>
        <v>13204.36</v>
      </c>
      <c r="J7116"/>
      <c r="K7116" s="62"/>
      <c r="L7116" s="2">
        <f t="shared" si="1043"/>
        <v>13</v>
      </c>
      <c r="M7116">
        <f t="shared" si="1044"/>
        <v>5</v>
      </c>
    </row>
    <row r="7117" spans="1:13" s="156" customFormat="1" ht="18" x14ac:dyDescent="0.35">
      <c r="A7117" s="3">
        <f t="shared" si="1041"/>
        <v>45986</v>
      </c>
      <c r="B7117" s="11"/>
      <c r="C7117" s="163" t="s">
        <v>4215</v>
      </c>
      <c r="D7117" s="157"/>
      <c r="E7117" s="97" t="s">
        <v>4720</v>
      </c>
      <c r="F7117" s="10"/>
      <c r="G7117" s="64">
        <v>0</v>
      </c>
      <c r="H7117" s="64">
        <v>1800</v>
      </c>
      <c r="I7117" s="88">
        <f t="shared" si="1042"/>
        <v>11404.36</v>
      </c>
      <c r="J7117" s="62"/>
      <c r="K7117" s="62"/>
      <c r="L7117" s="2">
        <f t="shared" si="1043"/>
        <v>7.2</v>
      </c>
      <c r="M7117">
        <f t="shared" si="1044"/>
        <v>0</v>
      </c>
    </row>
    <row r="7118" spans="1:13" s="156" customFormat="1" ht="18" x14ac:dyDescent="0.35">
      <c r="A7118" s="3">
        <v>45987</v>
      </c>
      <c r="B7118" s="11" t="s">
        <v>5825</v>
      </c>
      <c r="C7118" s="162" t="s">
        <v>6619</v>
      </c>
      <c r="E7118" s="90" t="s">
        <v>4720</v>
      </c>
      <c r="F7118" s="4"/>
      <c r="G7118" s="2">
        <v>2500</v>
      </c>
      <c r="H7118" s="2">
        <v>0</v>
      </c>
      <c r="I7118" s="88">
        <f t="shared" si="1042"/>
        <v>13904.36</v>
      </c>
      <c r="J7118"/>
      <c r="K7118" s="62"/>
      <c r="L7118" s="2">
        <f t="shared" si="1043"/>
        <v>10</v>
      </c>
      <c r="M7118">
        <f t="shared" si="1044"/>
        <v>0</v>
      </c>
    </row>
    <row r="7119" spans="1:13" s="156" customFormat="1" ht="18" x14ac:dyDescent="0.35">
      <c r="A7119" s="3">
        <f>A7118</f>
        <v>45987</v>
      </c>
      <c r="B7119" s="11" t="s">
        <v>5259</v>
      </c>
      <c r="C7119" s="162" t="s">
        <v>9675</v>
      </c>
      <c r="E7119" s="90" t="s">
        <v>4720</v>
      </c>
      <c r="F7119" s="4"/>
      <c r="G7119" s="2">
        <v>0</v>
      </c>
      <c r="H7119" s="2">
        <v>200</v>
      </c>
      <c r="I7119" s="88">
        <f t="shared" si="1042"/>
        <v>13704.36</v>
      </c>
      <c r="J7119"/>
      <c r="K7119" s="62"/>
      <c r="L7119" s="2">
        <f t="shared" si="1043"/>
        <v>0.8</v>
      </c>
      <c r="M7119">
        <f t="shared" si="1044"/>
        <v>0</v>
      </c>
    </row>
    <row r="7120" spans="1:13" s="156" customFormat="1" ht="18" x14ac:dyDescent="0.35">
      <c r="A7120" s="3">
        <f t="shared" ref="A7120:A7183" si="1045">A7119</f>
        <v>45987</v>
      </c>
      <c r="B7120" s="11" t="s">
        <v>9664</v>
      </c>
      <c r="C7120" s="162" t="s">
        <v>9676</v>
      </c>
      <c r="E7120" s="90" t="s">
        <v>2088</v>
      </c>
      <c r="F7120" s="4"/>
      <c r="G7120" s="2">
        <v>0</v>
      </c>
      <c r="H7120" s="2">
        <v>0</v>
      </c>
      <c r="I7120" s="88">
        <f t="shared" si="1042"/>
        <v>13704.36</v>
      </c>
      <c r="J7120"/>
      <c r="K7120" s="62"/>
      <c r="L7120" s="2">
        <f t="shared" si="1043"/>
        <v>5</v>
      </c>
      <c r="M7120">
        <f t="shared" si="1044"/>
        <v>5</v>
      </c>
    </row>
    <row r="7121" spans="1:13" s="156" customFormat="1" ht="18" x14ac:dyDescent="0.35">
      <c r="A7121" s="3">
        <f t="shared" si="1045"/>
        <v>45987</v>
      </c>
      <c r="B7121" s="11" t="s">
        <v>9678</v>
      </c>
      <c r="C7121" s="65" t="s">
        <v>9679</v>
      </c>
      <c r="D7121" s="11"/>
      <c r="E7121" s="90" t="s">
        <v>14</v>
      </c>
      <c r="F7121" s="4"/>
      <c r="G7121" s="2">
        <v>0</v>
      </c>
      <c r="H7121" s="2">
        <v>1000</v>
      </c>
      <c r="I7121" s="88">
        <f t="shared" si="1042"/>
        <v>12704.36</v>
      </c>
      <c r="J7121"/>
      <c r="K7121" s="62"/>
      <c r="L7121" s="2">
        <f>IF(C7121="C",0,IF((G7121+H7121)&lt;=5000,(G7121+H7121)*0.004,20)+IF(C7121="P",5,IF(C7121="Y",15,IF(C7121="YY",25))))</f>
        <v>4</v>
      </c>
      <c r="M7121">
        <f>IF(C7121="p",5,0)</f>
        <v>0</v>
      </c>
    </row>
    <row r="7122" spans="1:13" s="156" customFormat="1" ht="18" x14ac:dyDescent="0.35">
      <c r="A7122" s="3">
        <f t="shared" si="1045"/>
        <v>45987</v>
      </c>
      <c r="B7122" s="11" t="s">
        <v>9683</v>
      </c>
      <c r="C7122" s="65" t="s">
        <v>9684</v>
      </c>
      <c r="D7122" s="11"/>
      <c r="E7122" s="90" t="s">
        <v>16</v>
      </c>
      <c r="F7122" s="4"/>
      <c r="G7122" s="2">
        <v>0</v>
      </c>
      <c r="H7122" s="2">
        <v>500</v>
      </c>
      <c r="I7122" s="88">
        <f t="shared" ref="I7122:I7126" si="1046">I7121+G7122-H7122</f>
        <v>12204.36</v>
      </c>
      <c r="J7122"/>
      <c r="K7122" s="62"/>
      <c r="L7122" s="2">
        <f>IF(C7122="C",0,IF((G7122+H7122)&lt;=5000,(G7122+H7122)*0.004,20)+IF(C7122="P",5,IF(C7122="Y",15,IF(C7122="YY",25))))</f>
        <v>2</v>
      </c>
      <c r="M7122">
        <f>IF(C7122="p",5,0)</f>
        <v>0</v>
      </c>
    </row>
    <row r="7123" spans="1:13" s="156" customFormat="1" ht="18" x14ac:dyDescent="0.35">
      <c r="A7123" s="3">
        <f t="shared" si="1045"/>
        <v>45987</v>
      </c>
      <c r="B7123" s="11" t="s">
        <v>9687</v>
      </c>
      <c r="C7123" s="65" t="s">
        <v>9688</v>
      </c>
      <c r="D7123" s="11"/>
      <c r="E7123" s="90" t="s">
        <v>16</v>
      </c>
      <c r="F7123" s="4"/>
      <c r="G7123" s="2">
        <v>0</v>
      </c>
      <c r="H7123" s="2">
        <v>2000</v>
      </c>
      <c r="I7123" s="88">
        <f t="shared" si="1046"/>
        <v>10204.36</v>
      </c>
      <c r="J7123"/>
      <c r="K7123" s="62"/>
      <c r="L7123" s="2">
        <f>IF(C7123="C",0,IF((G7123+H7123)&lt;=5000,(G7123+H7123)*0.004,20)+IF(C7123="P",5,IF(C7123="Y",15,IF(C7123="YY",25))))</f>
        <v>8</v>
      </c>
      <c r="M7123">
        <f>IF(C7123="p",5,0)</f>
        <v>0</v>
      </c>
    </row>
    <row r="7124" spans="1:13" s="156" customFormat="1" ht="18" x14ac:dyDescent="0.35">
      <c r="A7124" s="3">
        <f t="shared" si="1045"/>
        <v>45987</v>
      </c>
      <c r="B7124" s="11" t="s">
        <v>3474</v>
      </c>
      <c r="C7124" s="162" t="s">
        <v>9690</v>
      </c>
      <c r="E7124" s="90" t="s">
        <v>4720</v>
      </c>
      <c r="F7124" s="4"/>
      <c r="G7124" s="2">
        <v>3000</v>
      </c>
      <c r="H7124" s="2">
        <v>0</v>
      </c>
      <c r="I7124" s="88">
        <f t="shared" si="1046"/>
        <v>13204.36</v>
      </c>
      <c r="J7124"/>
      <c r="K7124" s="62"/>
      <c r="L7124" s="2">
        <f t="shared" ref="L7124:L7126" si="1047">IF(E7124="C",0,IF((G7124+H7124)&lt;=5000,(G7124+H7124)*0.004,20)+IF(E7124="P",5,IF(E7124="Y",15,IF(E7124="YY",25))))</f>
        <v>12</v>
      </c>
      <c r="M7124">
        <f t="shared" ref="M7124:M7126" si="1048">IF(E7124="p",5,0)</f>
        <v>0</v>
      </c>
    </row>
    <row r="7125" spans="1:13" s="156" customFormat="1" ht="18" x14ac:dyDescent="0.35">
      <c r="A7125" s="3">
        <f t="shared" si="1045"/>
        <v>45987</v>
      </c>
      <c r="B7125" s="11" t="s">
        <v>6434</v>
      </c>
      <c r="C7125" s="162" t="s">
        <v>9691</v>
      </c>
      <c r="E7125" s="90" t="s">
        <v>4720</v>
      </c>
      <c r="F7125" s="4"/>
      <c r="G7125" s="2">
        <v>0</v>
      </c>
      <c r="H7125" s="2">
        <v>4500</v>
      </c>
      <c r="I7125" s="88">
        <f t="shared" si="1046"/>
        <v>8704.36</v>
      </c>
      <c r="J7125"/>
      <c r="K7125" s="62"/>
      <c r="L7125" s="2">
        <f t="shared" si="1047"/>
        <v>18</v>
      </c>
      <c r="M7125">
        <f t="shared" si="1048"/>
        <v>0</v>
      </c>
    </row>
    <row r="7126" spans="1:13" s="156" customFormat="1" ht="18" x14ac:dyDescent="0.35">
      <c r="A7126" s="3">
        <f t="shared" si="1045"/>
        <v>45987</v>
      </c>
      <c r="B7126" s="11" t="s">
        <v>8163</v>
      </c>
      <c r="C7126" s="162" t="s">
        <v>6643</v>
      </c>
      <c r="E7126" s="90" t="s">
        <v>4720</v>
      </c>
      <c r="F7126" s="4"/>
      <c r="G7126" s="2">
        <v>0</v>
      </c>
      <c r="H7126" s="2">
        <v>0</v>
      </c>
      <c r="I7126" s="88">
        <f t="shared" si="1046"/>
        <v>8704.36</v>
      </c>
      <c r="J7126"/>
      <c r="K7126" s="62"/>
      <c r="L7126" s="2">
        <f t="shared" si="1047"/>
        <v>0</v>
      </c>
      <c r="M7126">
        <f t="shared" si="1048"/>
        <v>0</v>
      </c>
    </row>
    <row r="7127" spans="1:13" s="156" customFormat="1" ht="18" x14ac:dyDescent="0.35">
      <c r="A7127" s="3">
        <f t="shared" si="1045"/>
        <v>45987</v>
      </c>
      <c r="B7127" s="11" t="s">
        <v>9693</v>
      </c>
      <c r="C7127" s="65" t="s">
        <v>807</v>
      </c>
      <c r="D7127" s="11"/>
      <c r="E7127" s="90" t="s">
        <v>16</v>
      </c>
      <c r="F7127" s="4"/>
      <c r="G7127" s="2">
        <v>0</v>
      </c>
      <c r="H7127" s="2">
        <v>500</v>
      </c>
      <c r="I7127" s="88">
        <f t="shared" ref="I7127:I7136" si="1049">I7126+G7127-H7127</f>
        <v>8204.36</v>
      </c>
      <c r="J7127"/>
      <c r="K7127" s="62"/>
      <c r="L7127" s="2">
        <f>IF(C7127="C",0,IF((G7127+H7127)&lt;=5000,(G7127+H7127)*0.004,20)+IF(C7127="P",5,IF(C7127="Y",15,IF(C7127="YY",25))))</f>
        <v>2</v>
      </c>
      <c r="M7127">
        <f>IF(C7127="p",5,0)</f>
        <v>0</v>
      </c>
    </row>
    <row r="7128" spans="1:13" s="156" customFormat="1" ht="18" x14ac:dyDescent="0.35">
      <c r="A7128" s="3">
        <f t="shared" si="1045"/>
        <v>45987</v>
      </c>
      <c r="B7128" s="11" t="s">
        <v>9702</v>
      </c>
      <c r="C7128" s="65" t="s">
        <v>615</v>
      </c>
      <c r="D7128" s="11"/>
      <c r="E7128" s="90" t="s">
        <v>16</v>
      </c>
      <c r="F7128" s="4"/>
      <c r="G7128" s="2">
        <v>0</v>
      </c>
      <c r="H7128" s="2">
        <v>500</v>
      </c>
      <c r="I7128" s="88">
        <f t="shared" si="1049"/>
        <v>7704.3600000000006</v>
      </c>
      <c r="J7128"/>
      <c r="K7128" s="62"/>
      <c r="L7128" s="2">
        <f>IF(C7128="C",0,IF((G7128+H7128)&lt;=5000,(G7128+H7128)*0.004,20)+IF(C7128="P",5,IF(C7128="Y",15,IF(C7128="YY",25))))</f>
        <v>2</v>
      </c>
      <c r="M7128">
        <f>IF(C7128="p",5,0)</f>
        <v>0</v>
      </c>
    </row>
    <row r="7129" spans="1:13" s="156" customFormat="1" ht="18" x14ac:dyDescent="0.35">
      <c r="A7129" s="3">
        <f>A7128</f>
        <v>45987</v>
      </c>
      <c r="B7129" s="11" t="s">
        <v>9705</v>
      </c>
      <c r="C7129" s="65" t="s">
        <v>9706</v>
      </c>
      <c r="D7129" s="11"/>
      <c r="E7129" s="90" t="s">
        <v>16</v>
      </c>
      <c r="F7129" s="4"/>
      <c r="G7129" s="2">
        <v>0</v>
      </c>
      <c r="H7129" s="2">
        <v>500</v>
      </c>
      <c r="I7129" s="88">
        <f t="shared" si="1049"/>
        <v>7204.3600000000006</v>
      </c>
      <c r="J7129"/>
      <c r="K7129" s="62"/>
      <c r="L7129" s="2">
        <f>IF(C7129="C",0,IF((G7129+H7129)&lt;=5000,(G7129+H7129)*0.004,20)+IF(C7129="P",5,IF(C7129="Y",15,IF(C7129="YY",25))))</f>
        <v>2</v>
      </c>
      <c r="M7129">
        <f>IF(C7129="p",5,0)</f>
        <v>0</v>
      </c>
    </row>
    <row r="7130" spans="1:13" s="156" customFormat="1" ht="18" x14ac:dyDescent="0.35">
      <c r="A7130" s="3">
        <f t="shared" si="1045"/>
        <v>45987</v>
      </c>
      <c r="B7130" s="11" t="s">
        <v>1250</v>
      </c>
      <c r="C7130" s="162" t="s">
        <v>6288</v>
      </c>
      <c r="E7130" s="90" t="s">
        <v>4720</v>
      </c>
      <c r="F7130" s="4"/>
      <c r="G7130" s="2">
        <v>3000</v>
      </c>
      <c r="H7130" s="2">
        <v>0</v>
      </c>
      <c r="I7130" s="88">
        <f t="shared" si="1049"/>
        <v>10204.36</v>
      </c>
      <c r="J7130"/>
      <c r="K7130" s="62"/>
      <c r="L7130" s="2">
        <f t="shared" ref="L7130:L7136" si="1050">IF(E7130="C",0,IF((G7130+H7130)&lt;=5000,(G7130+H7130)*0.004,20)+IF(E7130="P",5,IF(E7130="Y",15,IF(E7130="YY",25))))</f>
        <v>12</v>
      </c>
      <c r="M7130">
        <f t="shared" ref="M7130:M7136" si="1051">IF(E7130="p",5,0)</f>
        <v>0</v>
      </c>
    </row>
    <row r="7131" spans="1:13" s="156" customFormat="1" ht="18" x14ac:dyDescent="0.35">
      <c r="A7131" s="3">
        <f t="shared" si="1045"/>
        <v>45987</v>
      </c>
      <c r="B7131" s="11" t="s">
        <v>9683</v>
      </c>
      <c r="C7131" s="162"/>
      <c r="E7131" s="90" t="s">
        <v>4720</v>
      </c>
      <c r="F7131" s="4"/>
      <c r="G7131" s="2">
        <v>0</v>
      </c>
      <c r="H7131" s="2">
        <v>0</v>
      </c>
      <c r="I7131" s="88">
        <f t="shared" si="1049"/>
        <v>10204.36</v>
      </c>
      <c r="J7131"/>
      <c r="K7131" s="62"/>
      <c r="L7131" s="2">
        <f t="shared" si="1050"/>
        <v>0</v>
      </c>
      <c r="M7131">
        <f t="shared" si="1051"/>
        <v>0</v>
      </c>
    </row>
    <row r="7132" spans="1:13" s="156" customFormat="1" ht="18" x14ac:dyDescent="0.35">
      <c r="A7132" s="3">
        <f t="shared" si="1045"/>
        <v>45987</v>
      </c>
      <c r="B7132" s="11" t="s">
        <v>9693</v>
      </c>
      <c r="C7132" s="162" t="s">
        <v>9712</v>
      </c>
      <c r="E7132" s="90" t="s">
        <v>2088</v>
      </c>
      <c r="F7132" s="4"/>
      <c r="G7132" s="2">
        <v>0</v>
      </c>
      <c r="H7132" s="2">
        <v>0</v>
      </c>
      <c r="I7132" s="88">
        <f t="shared" si="1049"/>
        <v>10204.36</v>
      </c>
      <c r="J7132"/>
      <c r="K7132" s="62"/>
      <c r="L7132" s="2">
        <f t="shared" si="1050"/>
        <v>5</v>
      </c>
      <c r="M7132">
        <f t="shared" si="1051"/>
        <v>5</v>
      </c>
    </row>
    <row r="7133" spans="1:13" s="156" customFormat="1" ht="18" x14ac:dyDescent="0.35">
      <c r="A7133" s="3">
        <v>45988</v>
      </c>
      <c r="B7133" s="11" t="s">
        <v>7859</v>
      </c>
      <c r="C7133" s="162" t="s">
        <v>8483</v>
      </c>
      <c r="E7133" s="90" t="s">
        <v>2088</v>
      </c>
      <c r="F7133" s="4"/>
      <c r="G7133" s="2">
        <v>2500</v>
      </c>
      <c r="H7133" s="2">
        <v>0</v>
      </c>
      <c r="I7133" s="88">
        <f t="shared" si="1049"/>
        <v>12704.36</v>
      </c>
      <c r="J7133"/>
      <c r="K7133" s="62"/>
      <c r="L7133" s="2">
        <f t="shared" si="1050"/>
        <v>15</v>
      </c>
      <c r="M7133">
        <f t="shared" si="1051"/>
        <v>5</v>
      </c>
    </row>
    <row r="7134" spans="1:13" s="156" customFormat="1" ht="18" x14ac:dyDescent="0.35">
      <c r="A7134" s="3">
        <f t="shared" si="1045"/>
        <v>45988</v>
      </c>
      <c r="B7134" s="11" t="s">
        <v>9687</v>
      </c>
      <c r="C7134" s="65" t="s">
        <v>9688</v>
      </c>
      <c r="E7134" s="90" t="s">
        <v>2088</v>
      </c>
      <c r="F7134" s="4"/>
      <c r="G7134" s="2">
        <v>0</v>
      </c>
      <c r="H7134" s="2">
        <v>0</v>
      </c>
      <c r="I7134" s="88">
        <f t="shared" si="1049"/>
        <v>12704.36</v>
      </c>
      <c r="J7134"/>
      <c r="K7134" s="62"/>
      <c r="L7134" s="2">
        <f t="shared" si="1050"/>
        <v>5</v>
      </c>
      <c r="M7134">
        <f t="shared" si="1051"/>
        <v>5</v>
      </c>
    </row>
    <row r="7135" spans="1:13" s="156" customFormat="1" ht="18" x14ac:dyDescent="0.35">
      <c r="A7135" s="3">
        <f t="shared" si="1045"/>
        <v>45988</v>
      </c>
      <c r="B7135" s="11" t="s">
        <v>9697</v>
      </c>
      <c r="C7135" s="162" t="s">
        <v>9716</v>
      </c>
      <c r="E7135" s="90" t="s">
        <v>2088</v>
      </c>
      <c r="F7135" s="4"/>
      <c r="G7135" s="2">
        <v>0</v>
      </c>
      <c r="H7135" s="2">
        <v>0</v>
      </c>
      <c r="I7135" s="88">
        <f t="shared" si="1049"/>
        <v>12704.36</v>
      </c>
      <c r="J7135"/>
      <c r="K7135" s="62"/>
      <c r="L7135" s="2">
        <f t="shared" si="1050"/>
        <v>5</v>
      </c>
      <c r="M7135">
        <f t="shared" si="1051"/>
        <v>5</v>
      </c>
    </row>
    <row r="7136" spans="1:13" s="156" customFormat="1" ht="18" x14ac:dyDescent="0.35">
      <c r="A7136" s="3">
        <f t="shared" si="1045"/>
        <v>45988</v>
      </c>
      <c r="B7136" s="11" t="s">
        <v>5604</v>
      </c>
      <c r="C7136" s="162" t="s">
        <v>9717</v>
      </c>
      <c r="E7136" s="90" t="s">
        <v>4720</v>
      </c>
      <c r="F7136" s="4"/>
      <c r="G7136" s="2">
        <v>500</v>
      </c>
      <c r="H7136" s="2">
        <v>0</v>
      </c>
      <c r="I7136" s="88">
        <f t="shared" si="1049"/>
        <v>13204.36</v>
      </c>
      <c r="J7136"/>
      <c r="K7136" s="62"/>
      <c r="L7136" s="2">
        <f t="shared" si="1050"/>
        <v>2</v>
      </c>
      <c r="M7136">
        <f t="shared" si="1051"/>
        <v>0</v>
      </c>
    </row>
    <row r="7137" spans="1:13" s="156" customFormat="1" ht="18" x14ac:dyDescent="0.35">
      <c r="A7137" s="3">
        <f t="shared" si="1045"/>
        <v>45988</v>
      </c>
      <c r="B7137" s="11" t="s">
        <v>8855</v>
      </c>
      <c r="C7137" s="162" t="s">
        <v>8856</v>
      </c>
      <c r="E7137" s="90" t="s">
        <v>4720</v>
      </c>
      <c r="F7137" s="4"/>
      <c r="G7137" s="2">
        <v>500</v>
      </c>
      <c r="H7137" s="2">
        <v>0</v>
      </c>
      <c r="I7137" s="88">
        <f t="shared" ref="I7137:I7145" si="1052">I7136+G7137-H7137</f>
        <v>13704.36</v>
      </c>
      <c r="J7137"/>
      <c r="K7137" s="62"/>
      <c r="L7137" s="2">
        <f t="shared" ref="L7137:L7145" si="1053">IF(E7137="C",0,IF((G7137+H7137)&lt;=5000,(G7137+H7137)*0.004,20)+IF(E7137="P",5,IF(E7137="Y",15,IF(E7137="YY",25))))</f>
        <v>2</v>
      </c>
      <c r="M7137">
        <f t="shared" ref="M7137:M7145" si="1054">IF(E7137="p",5,0)</f>
        <v>0</v>
      </c>
    </row>
    <row r="7138" spans="1:13" s="156" customFormat="1" ht="18" x14ac:dyDescent="0.35">
      <c r="A7138" s="3">
        <f t="shared" si="1045"/>
        <v>45988</v>
      </c>
      <c r="B7138" s="11" t="s">
        <v>9721</v>
      </c>
      <c r="C7138" s="162" t="s">
        <v>8055</v>
      </c>
      <c r="E7138" s="90" t="s">
        <v>16</v>
      </c>
      <c r="F7138" s="4"/>
      <c r="G7138" s="2">
        <v>0</v>
      </c>
      <c r="H7138" s="2">
        <v>500</v>
      </c>
      <c r="I7138" s="88">
        <f t="shared" si="1052"/>
        <v>13204.36</v>
      </c>
      <c r="J7138"/>
      <c r="K7138" s="62"/>
      <c r="L7138" s="2">
        <f t="shared" si="1053"/>
        <v>17</v>
      </c>
      <c r="M7138">
        <f t="shared" si="1054"/>
        <v>0</v>
      </c>
    </row>
    <row r="7139" spans="1:13" s="156" customFormat="1" ht="18" x14ac:dyDescent="0.35">
      <c r="A7139" s="3">
        <f t="shared" si="1045"/>
        <v>45988</v>
      </c>
      <c r="B7139" s="11" t="s">
        <v>7800</v>
      </c>
      <c r="C7139" s="162" t="s">
        <v>7284</v>
      </c>
      <c r="E7139" s="90" t="s">
        <v>2088</v>
      </c>
      <c r="F7139" s="4"/>
      <c r="G7139" s="2">
        <v>2000</v>
      </c>
      <c r="H7139" s="2">
        <v>0</v>
      </c>
      <c r="I7139" s="88">
        <f t="shared" si="1052"/>
        <v>15204.36</v>
      </c>
      <c r="J7139"/>
      <c r="K7139" s="62"/>
      <c r="L7139" s="2">
        <f t="shared" si="1053"/>
        <v>13</v>
      </c>
      <c r="M7139">
        <f t="shared" si="1054"/>
        <v>5</v>
      </c>
    </row>
    <row r="7140" spans="1:13" s="156" customFormat="1" ht="18" x14ac:dyDescent="0.35">
      <c r="A7140" s="3">
        <f t="shared" si="1045"/>
        <v>45988</v>
      </c>
      <c r="B7140" s="11" t="s">
        <v>9664</v>
      </c>
      <c r="C7140" s="162" t="s">
        <v>7620</v>
      </c>
      <c r="E7140" s="90" t="s">
        <v>2088</v>
      </c>
      <c r="F7140" s="4"/>
      <c r="G7140" s="2">
        <v>0</v>
      </c>
      <c r="H7140" s="2">
        <v>0</v>
      </c>
      <c r="I7140" s="88">
        <f t="shared" si="1052"/>
        <v>15204.36</v>
      </c>
      <c r="J7140"/>
      <c r="K7140" s="62"/>
      <c r="L7140" s="2">
        <f t="shared" si="1053"/>
        <v>5</v>
      </c>
      <c r="M7140">
        <f t="shared" si="1054"/>
        <v>5</v>
      </c>
    </row>
    <row r="7141" spans="1:13" s="156" customFormat="1" ht="18" x14ac:dyDescent="0.35">
      <c r="A7141" s="3">
        <f t="shared" si="1045"/>
        <v>45988</v>
      </c>
      <c r="B7141" s="11" t="s">
        <v>2351</v>
      </c>
      <c r="C7141" s="162" t="s">
        <v>9722</v>
      </c>
      <c r="E7141" s="90" t="s">
        <v>4720</v>
      </c>
      <c r="F7141" s="4"/>
      <c r="G7141" s="2">
        <v>2500</v>
      </c>
      <c r="H7141" s="2">
        <v>0</v>
      </c>
      <c r="I7141" s="88">
        <f t="shared" si="1052"/>
        <v>17704.36</v>
      </c>
      <c r="J7141"/>
      <c r="K7141" s="62"/>
      <c r="L7141" s="2">
        <f t="shared" si="1053"/>
        <v>10</v>
      </c>
      <c r="M7141">
        <f t="shared" si="1054"/>
        <v>0</v>
      </c>
    </row>
    <row r="7142" spans="1:13" s="156" customFormat="1" ht="18" x14ac:dyDescent="0.35">
      <c r="A7142" s="3">
        <f t="shared" si="1045"/>
        <v>45988</v>
      </c>
      <c r="B7142" s="11" t="s">
        <v>9678</v>
      </c>
      <c r="C7142" s="65" t="s">
        <v>9679</v>
      </c>
      <c r="E7142" s="90" t="s">
        <v>2088</v>
      </c>
      <c r="F7142" s="4"/>
      <c r="G7142" s="2">
        <v>0</v>
      </c>
      <c r="H7142" s="2">
        <v>0</v>
      </c>
      <c r="I7142" s="88">
        <f t="shared" si="1052"/>
        <v>17704.36</v>
      </c>
      <c r="J7142"/>
      <c r="K7142" s="62"/>
      <c r="L7142" s="2">
        <f t="shared" si="1053"/>
        <v>5</v>
      </c>
      <c r="M7142">
        <f t="shared" si="1054"/>
        <v>5</v>
      </c>
    </row>
    <row r="7143" spans="1:13" s="156" customFormat="1" ht="18" x14ac:dyDescent="0.35">
      <c r="A7143" s="3">
        <f t="shared" si="1045"/>
        <v>45988</v>
      </c>
      <c r="B7143" s="11" t="s">
        <v>9724</v>
      </c>
      <c r="C7143" s="162" t="s">
        <v>4073</v>
      </c>
      <c r="E7143" s="90" t="s">
        <v>4720</v>
      </c>
      <c r="F7143" s="4"/>
      <c r="G7143" s="2">
        <v>1000</v>
      </c>
      <c r="H7143" s="2">
        <v>0</v>
      </c>
      <c r="I7143" s="88">
        <f t="shared" si="1052"/>
        <v>18704.36</v>
      </c>
      <c r="J7143"/>
      <c r="K7143" s="62"/>
      <c r="L7143" s="2">
        <f t="shared" si="1053"/>
        <v>4</v>
      </c>
      <c r="M7143">
        <f t="shared" si="1054"/>
        <v>0</v>
      </c>
    </row>
    <row r="7144" spans="1:13" s="156" customFormat="1" ht="18" x14ac:dyDescent="0.35">
      <c r="A7144" s="3">
        <v>45989</v>
      </c>
      <c r="B7144" s="11" t="s">
        <v>6844</v>
      </c>
      <c r="C7144" s="162" t="s">
        <v>9543</v>
      </c>
      <c r="E7144" s="90" t="s">
        <v>4720</v>
      </c>
      <c r="F7144" s="4"/>
      <c r="G7144" s="2">
        <v>0</v>
      </c>
      <c r="H7144" s="2">
        <v>4500</v>
      </c>
      <c r="I7144" s="88">
        <f t="shared" si="1052"/>
        <v>14204.36</v>
      </c>
      <c r="J7144"/>
      <c r="K7144" s="62"/>
      <c r="L7144" s="2">
        <f t="shared" si="1053"/>
        <v>18</v>
      </c>
      <c r="M7144">
        <f t="shared" si="1054"/>
        <v>0</v>
      </c>
    </row>
    <row r="7145" spans="1:13" s="156" customFormat="1" ht="18" x14ac:dyDescent="0.35">
      <c r="A7145" s="3">
        <f t="shared" si="1045"/>
        <v>45989</v>
      </c>
      <c r="B7145" s="11" t="s">
        <v>1250</v>
      </c>
      <c r="C7145" s="162" t="s">
        <v>6570</v>
      </c>
      <c r="E7145" s="90" t="s">
        <v>4720</v>
      </c>
      <c r="F7145" s="4"/>
      <c r="G7145" s="2">
        <v>1000</v>
      </c>
      <c r="H7145" s="2">
        <v>0</v>
      </c>
      <c r="I7145" s="88">
        <f t="shared" si="1052"/>
        <v>15204.36</v>
      </c>
      <c r="J7145"/>
      <c r="K7145" s="62"/>
      <c r="L7145" s="2">
        <f t="shared" si="1053"/>
        <v>4</v>
      </c>
      <c r="M7145">
        <f t="shared" si="1054"/>
        <v>0</v>
      </c>
    </row>
    <row r="7146" spans="1:13" s="156" customFormat="1" ht="18" x14ac:dyDescent="0.35">
      <c r="A7146" s="3">
        <f t="shared" si="1045"/>
        <v>45989</v>
      </c>
      <c r="B7146" s="11" t="s">
        <v>6549</v>
      </c>
      <c r="C7146" s="162" t="s">
        <v>9730</v>
      </c>
      <c r="E7146" s="90" t="s">
        <v>2088</v>
      </c>
      <c r="F7146" s="4"/>
      <c r="G7146" s="2">
        <v>2000</v>
      </c>
      <c r="H7146" s="2">
        <v>0</v>
      </c>
      <c r="I7146" s="88">
        <f t="shared" ref="I7146:I7157" si="1055">I7145+G7146-H7146</f>
        <v>17204.36</v>
      </c>
      <c r="J7146"/>
      <c r="K7146" s="62"/>
      <c r="L7146" s="2">
        <f t="shared" ref="L7146:L7157" si="1056">IF(E7146="C",0,IF((G7146+H7146)&lt;=5000,(G7146+H7146)*0.004,20)+IF(E7146="P",5,IF(E7146="Y",15,IF(E7146="YY",25))))</f>
        <v>13</v>
      </c>
      <c r="M7146">
        <f t="shared" ref="M7146:M7157" si="1057">IF(E7146="p",5,0)</f>
        <v>5</v>
      </c>
    </row>
    <row r="7147" spans="1:13" s="156" customFormat="1" ht="18" x14ac:dyDescent="0.35">
      <c r="A7147" s="3">
        <f t="shared" si="1045"/>
        <v>45989</v>
      </c>
      <c r="B7147" s="11" t="s">
        <v>9654</v>
      </c>
      <c r="C7147" s="65" t="s">
        <v>9655</v>
      </c>
      <c r="E7147" s="90" t="s">
        <v>2088</v>
      </c>
      <c r="F7147" s="4"/>
      <c r="G7147" s="2">
        <v>0</v>
      </c>
      <c r="H7147" s="2">
        <v>0</v>
      </c>
      <c r="I7147" s="88">
        <f t="shared" si="1055"/>
        <v>17204.36</v>
      </c>
      <c r="J7147"/>
      <c r="K7147" s="62"/>
      <c r="L7147" s="2">
        <f t="shared" si="1056"/>
        <v>5</v>
      </c>
      <c r="M7147">
        <f t="shared" si="1057"/>
        <v>5</v>
      </c>
    </row>
    <row r="7148" spans="1:13" s="156" customFormat="1" ht="18" x14ac:dyDescent="0.35">
      <c r="A7148" s="3">
        <f t="shared" si="1045"/>
        <v>45989</v>
      </c>
      <c r="B7148" s="11" t="s">
        <v>9702</v>
      </c>
      <c r="C7148" s="65" t="s">
        <v>615</v>
      </c>
      <c r="E7148" s="90" t="s">
        <v>2088</v>
      </c>
      <c r="F7148" s="4"/>
      <c r="G7148" s="2">
        <v>0</v>
      </c>
      <c r="H7148" s="2">
        <v>0</v>
      </c>
      <c r="I7148" s="88">
        <f t="shared" si="1055"/>
        <v>17204.36</v>
      </c>
      <c r="J7148"/>
      <c r="K7148" s="62"/>
      <c r="L7148" s="2">
        <f t="shared" si="1056"/>
        <v>5</v>
      </c>
      <c r="M7148">
        <f t="shared" si="1057"/>
        <v>5</v>
      </c>
    </row>
    <row r="7149" spans="1:13" s="156" customFormat="1" ht="18" x14ac:dyDescent="0.35">
      <c r="A7149" s="3">
        <f t="shared" si="1045"/>
        <v>45989</v>
      </c>
      <c r="B7149" s="11" t="s">
        <v>3148</v>
      </c>
      <c r="C7149" s="162" t="s">
        <v>4073</v>
      </c>
      <c r="E7149" s="90" t="s">
        <v>4720</v>
      </c>
      <c r="F7149" s="4"/>
      <c r="G7149" s="2">
        <v>10000</v>
      </c>
      <c r="H7149" s="2">
        <v>0</v>
      </c>
      <c r="I7149" s="88">
        <f t="shared" si="1055"/>
        <v>27204.36</v>
      </c>
      <c r="J7149"/>
      <c r="K7149" s="62"/>
      <c r="L7149" s="2">
        <f t="shared" si="1056"/>
        <v>20</v>
      </c>
      <c r="M7149">
        <f t="shared" si="1057"/>
        <v>0</v>
      </c>
    </row>
    <row r="7150" spans="1:13" s="156" customFormat="1" ht="18" x14ac:dyDescent="0.35">
      <c r="A7150" s="3">
        <f t="shared" si="1045"/>
        <v>45989</v>
      </c>
      <c r="B7150" s="11" t="s">
        <v>9726</v>
      </c>
      <c r="C7150" s="65" t="s">
        <v>9727</v>
      </c>
      <c r="E7150" s="90" t="s">
        <v>14</v>
      </c>
      <c r="F7150" s="4"/>
      <c r="G7150" s="2">
        <v>0</v>
      </c>
      <c r="H7150" s="2">
        <v>500</v>
      </c>
      <c r="I7150" s="88">
        <f t="shared" si="1055"/>
        <v>26704.36</v>
      </c>
      <c r="J7150"/>
      <c r="K7150" s="62"/>
      <c r="L7150" s="2">
        <f t="shared" si="1056"/>
        <v>17</v>
      </c>
      <c r="M7150">
        <f t="shared" si="1057"/>
        <v>0</v>
      </c>
    </row>
    <row r="7151" spans="1:13" s="156" customFormat="1" ht="18" x14ac:dyDescent="0.35">
      <c r="A7151" s="3">
        <f t="shared" si="1045"/>
        <v>45989</v>
      </c>
      <c r="B7151" s="11" t="s">
        <v>9733</v>
      </c>
      <c r="C7151" s="65" t="s">
        <v>9734</v>
      </c>
      <c r="E7151" s="90" t="s">
        <v>14</v>
      </c>
      <c r="F7151" s="4"/>
      <c r="G7151" s="2">
        <v>0</v>
      </c>
      <c r="H7151" s="2">
        <v>500</v>
      </c>
      <c r="I7151" s="88">
        <f t="shared" si="1055"/>
        <v>26204.36</v>
      </c>
      <c r="J7151"/>
      <c r="K7151" s="62"/>
      <c r="L7151" s="2">
        <f t="shared" si="1056"/>
        <v>17</v>
      </c>
      <c r="M7151">
        <f t="shared" si="1057"/>
        <v>0</v>
      </c>
    </row>
    <row r="7152" spans="1:13" s="156" customFormat="1" ht="18" x14ac:dyDescent="0.35">
      <c r="A7152" s="3">
        <f t="shared" si="1045"/>
        <v>45989</v>
      </c>
      <c r="B7152" s="11" t="s">
        <v>6687</v>
      </c>
      <c r="C7152" s="162" t="s">
        <v>9625</v>
      </c>
      <c r="E7152" s="90" t="s">
        <v>4720</v>
      </c>
      <c r="F7152" s="4"/>
      <c r="G7152" s="2">
        <v>4000</v>
      </c>
      <c r="H7152" s="2">
        <v>0</v>
      </c>
      <c r="I7152" s="88">
        <f t="shared" si="1055"/>
        <v>30204.36</v>
      </c>
      <c r="J7152"/>
      <c r="K7152" s="62"/>
      <c r="L7152" s="2">
        <f t="shared" si="1056"/>
        <v>16</v>
      </c>
      <c r="M7152">
        <f t="shared" si="1057"/>
        <v>0</v>
      </c>
    </row>
    <row r="7153" spans="1:13" s="156" customFormat="1" ht="18" x14ac:dyDescent="0.35">
      <c r="A7153" s="3">
        <f t="shared" si="1045"/>
        <v>45989</v>
      </c>
      <c r="B7153" s="11" t="s">
        <v>1160</v>
      </c>
      <c r="C7153" s="162" t="s">
        <v>7638</v>
      </c>
      <c r="E7153" s="90" t="s">
        <v>4720</v>
      </c>
      <c r="F7153" s="4"/>
      <c r="G7153" s="2">
        <v>9000</v>
      </c>
      <c r="H7153" s="2">
        <v>0</v>
      </c>
      <c r="I7153" s="88">
        <f t="shared" si="1055"/>
        <v>39204.36</v>
      </c>
      <c r="J7153"/>
      <c r="K7153" s="62"/>
      <c r="L7153" s="2">
        <f t="shared" si="1056"/>
        <v>20</v>
      </c>
      <c r="M7153">
        <f t="shared" si="1057"/>
        <v>0</v>
      </c>
    </row>
    <row r="7154" spans="1:13" s="156" customFormat="1" ht="18" x14ac:dyDescent="0.35">
      <c r="A7154" s="3">
        <f t="shared" si="1045"/>
        <v>45989</v>
      </c>
      <c r="B7154" s="11" t="s">
        <v>8553</v>
      </c>
      <c r="C7154" s="162" t="s">
        <v>8703</v>
      </c>
      <c r="E7154" s="90" t="s">
        <v>2088</v>
      </c>
      <c r="F7154" s="4"/>
      <c r="G7154" s="2">
        <v>6000</v>
      </c>
      <c r="H7154" s="2">
        <v>0</v>
      </c>
      <c r="I7154" s="88">
        <f t="shared" si="1055"/>
        <v>45204.36</v>
      </c>
      <c r="J7154"/>
      <c r="K7154" s="62"/>
      <c r="L7154" s="2">
        <f t="shared" si="1056"/>
        <v>25</v>
      </c>
      <c r="M7154">
        <f t="shared" si="1057"/>
        <v>5</v>
      </c>
    </row>
    <row r="7155" spans="1:13" s="156" customFormat="1" ht="18" x14ac:dyDescent="0.35">
      <c r="A7155" s="3">
        <f t="shared" si="1045"/>
        <v>45989</v>
      </c>
      <c r="B7155" s="11" t="s">
        <v>7996</v>
      </c>
      <c r="C7155" s="162" t="s">
        <v>6418</v>
      </c>
      <c r="E7155" s="90" t="s">
        <v>4720</v>
      </c>
      <c r="F7155" s="4"/>
      <c r="G7155" s="2">
        <v>3500</v>
      </c>
      <c r="H7155" s="2">
        <v>0</v>
      </c>
      <c r="I7155" s="88">
        <f t="shared" si="1055"/>
        <v>48704.36</v>
      </c>
      <c r="J7155"/>
      <c r="K7155" s="62"/>
      <c r="L7155" s="2">
        <f t="shared" si="1056"/>
        <v>14</v>
      </c>
      <c r="M7155">
        <f t="shared" si="1057"/>
        <v>0</v>
      </c>
    </row>
    <row r="7156" spans="1:13" s="156" customFormat="1" ht="18" x14ac:dyDescent="0.35">
      <c r="A7156" s="3">
        <f t="shared" si="1045"/>
        <v>45989</v>
      </c>
      <c r="B7156" s="11" t="s">
        <v>5542</v>
      </c>
      <c r="C7156" s="162" t="s">
        <v>9738</v>
      </c>
      <c r="E7156" s="90" t="s">
        <v>4720</v>
      </c>
      <c r="F7156" s="4"/>
      <c r="G7156" s="2">
        <v>10000</v>
      </c>
      <c r="H7156" s="2">
        <v>0</v>
      </c>
      <c r="I7156" s="88">
        <f t="shared" si="1055"/>
        <v>58704.36</v>
      </c>
      <c r="J7156"/>
      <c r="K7156" s="62"/>
      <c r="L7156" s="2">
        <f t="shared" si="1056"/>
        <v>20</v>
      </c>
      <c r="M7156">
        <f t="shared" si="1057"/>
        <v>0</v>
      </c>
    </row>
    <row r="7157" spans="1:13" s="156" customFormat="1" ht="18" x14ac:dyDescent="0.35">
      <c r="A7157" s="3">
        <f t="shared" si="1045"/>
        <v>45989</v>
      </c>
      <c r="B7157" s="11" t="s">
        <v>7108</v>
      </c>
      <c r="C7157" s="162" t="s">
        <v>9182</v>
      </c>
      <c r="E7157" s="90" t="s">
        <v>2088</v>
      </c>
      <c r="F7157" s="4"/>
      <c r="G7157" s="2">
        <v>1000</v>
      </c>
      <c r="H7157" s="2">
        <v>0</v>
      </c>
      <c r="I7157" s="88">
        <f t="shared" si="1055"/>
        <v>59704.36</v>
      </c>
      <c r="J7157"/>
      <c r="K7157" s="62"/>
      <c r="L7157" s="2">
        <f t="shared" si="1056"/>
        <v>9</v>
      </c>
      <c r="M7157">
        <f t="shared" si="1057"/>
        <v>5</v>
      </c>
    </row>
    <row r="7158" spans="1:13" s="156" customFormat="1" ht="18" x14ac:dyDescent="0.35">
      <c r="A7158" s="3">
        <f t="shared" si="1045"/>
        <v>45989</v>
      </c>
      <c r="B7158" s="11" t="s">
        <v>3420</v>
      </c>
      <c r="C7158" s="162" t="s">
        <v>9095</v>
      </c>
      <c r="E7158" s="90" t="s">
        <v>2088</v>
      </c>
      <c r="F7158" s="4"/>
      <c r="G7158" s="2">
        <v>0</v>
      </c>
      <c r="H7158" s="2">
        <v>0</v>
      </c>
      <c r="I7158" s="88">
        <f t="shared" ref="I7158:I7167" si="1058">I7157+G7158-H7158</f>
        <v>59704.36</v>
      </c>
      <c r="J7158"/>
      <c r="K7158" s="62"/>
      <c r="L7158" s="2">
        <f t="shared" ref="L7158:L7167" si="1059">IF(E7158="C",0,IF((G7158+H7158)&lt;=5000,(G7158+H7158)*0.004,20)+IF(E7158="P",5,IF(E7158="Y",15,IF(E7158="YY",25))))</f>
        <v>5</v>
      </c>
      <c r="M7158">
        <f t="shared" ref="M7158:M7167" si="1060">IF(E7158="p",5,0)</f>
        <v>5</v>
      </c>
    </row>
    <row r="7159" spans="1:13" s="156" customFormat="1" ht="18" x14ac:dyDescent="0.35">
      <c r="A7159" s="3">
        <f t="shared" si="1045"/>
        <v>45989</v>
      </c>
      <c r="B7159" s="11" t="s">
        <v>6522</v>
      </c>
      <c r="C7159" s="162" t="s">
        <v>9740</v>
      </c>
      <c r="E7159" s="90" t="s">
        <v>4720</v>
      </c>
      <c r="F7159" s="4"/>
      <c r="G7159" s="2">
        <v>2500</v>
      </c>
      <c r="H7159" s="2">
        <v>0</v>
      </c>
      <c r="I7159" s="88">
        <f t="shared" si="1058"/>
        <v>62204.36</v>
      </c>
      <c r="J7159"/>
      <c r="K7159" s="62"/>
      <c r="L7159" s="2">
        <f t="shared" si="1059"/>
        <v>10</v>
      </c>
      <c r="M7159">
        <f t="shared" si="1060"/>
        <v>0</v>
      </c>
    </row>
    <row r="7160" spans="1:13" s="156" customFormat="1" ht="18" x14ac:dyDescent="0.35">
      <c r="A7160" s="3">
        <v>45990</v>
      </c>
      <c r="B7160" s="11" t="s">
        <v>9741</v>
      </c>
      <c r="C7160" s="162" t="s">
        <v>9742</v>
      </c>
      <c r="E7160" s="90" t="s">
        <v>4720</v>
      </c>
      <c r="F7160" s="4"/>
      <c r="G7160" s="2">
        <v>3000</v>
      </c>
      <c r="H7160" s="2">
        <v>0</v>
      </c>
      <c r="I7160" s="88">
        <f t="shared" si="1058"/>
        <v>65204.36</v>
      </c>
      <c r="J7160" s="62"/>
      <c r="K7160" s="62"/>
      <c r="L7160" s="2">
        <f t="shared" si="1059"/>
        <v>12</v>
      </c>
      <c r="M7160">
        <f t="shared" si="1060"/>
        <v>0</v>
      </c>
    </row>
    <row r="7161" spans="1:13" s="156" customFormat="1" ht="18" x14ac:dyDescent="0.35">
      <c r="A7161" s="3">
        <f t="shared" si="1045"/>
        <v>45990</v>
      </c>
      <c r="B7161" s="11" t="s">
        <v>6260</v>
      </c>
      <c r="C7161" s="162" t="s">
        <v>8398</v>
      </c>
      <c r="E7161" s="90" t="s">
        <v>4720</v>
      </c>
      <c r="F7161" s="4"/>
      <c r="G7161" s="2">
        <v>0</v>
      </c>
      <c r="H7161" s="2">
        <v>3000</v>
      </c>
      <c r="I7161" s="88">
        <f t="shared" si="1058"/>
        <v>62204.36</v>
      </c>
      <c r="J7161"/>
      <c r="K7161" s="62"/>
      <c r="L7161" s="2">
        <f t="shared" si="1059"/>
        <v>12</v>
      </c>
      <c r="M7161">
        <f t="shared" si="1060"/>
        <v>0</v>
      </c>
    </row>
    <row r="7162" spans="1:13" s="156" customFormat="1" ht="18" x14ac:dyDescent="0.35">
      <c r="A7162" s="3">
        <f t="shared" si="1045"/>
        <v>45990</v>
      </c>
      <c r="B7162" s="11" t="s">
        <v>7865</v>
      </c>
      <c r="C7162" s="162" t="s">
        <v>6985</v>
      </c>
      <c r="E7162" s="90" t="s">
        <v>2088</v>
      </c>
      <c r="F7162" s="4"/>
      <c r="G7162" s="2">
        <v>10000</v>
      </c>
      <c r="H7162" s="2">
        <v>0</v>
      </c>
      <c r="I7162" s="88">
        <f t="shared" si="1058"/>
        <v>72204.36</v>
      </c>
      <c r="J7162"/>
      <c r="K7162" s="62"/>
      <c r="L7162" s="2">
        <f t="shared" si="1059"/>
        <v>25</v>
      </c>
      <c r="M7162">
        <f t="shared" si="1060"/>
        <v>5</v>
      </c>
    </row>
    <row r="7163" spans="1:13" s="156" customFormat="1" ht="18" x14ac:dyDescent="0.35">
      <c r="A7163" s="3">
        <f t="shared" si="1045"/>
        <v>45990</v>
      </c>
      <c r="B7163" s="11" t="s">
        <v>9733</v>
      </c>
      <c r="C7163" s="65" t="s">
        <v>9734</v>
      </c>
      <c r="E7163" s="90" t="s">
        <v>2088</v>
      </c>
      <c r="F7163" s="4"/>
      <c r="G7163" s="2">
        <v>0</v>
      </c>
      <c r="H7163" s="2">
        <v>0</v>
      </c>
      <c r="I7163" s="88">
        <f t="shared" si="1058"/>
        <v>72204.36</v>
      </c>
      <c r="J7163"/>
      <c r="K7163" s="62"/>
      <c r="L7163" s="2">
        <f t="shared" si="1059"/>
        <v>5</v>
      </c>
      <c r="M7163">
        <f t="shared" si="1060"/>
        <v>5</v>
      </c>
    </row>
    <row r="7164" spans="1:13" s="156" customFormat="1" ht="18" x14ac:dyDescent="0.35">
      <c r="A7164" s="3">
        <f t="shared" si="1045"/>
        <v>45990</v>
      </c>
      <c r="B7164" s="11" t="s">
        <v>1472</v>
      </c>
      <c r="C7164" s="162" t="s">
        <v>9004</v>
      </c>
      <c r="E7164" s="90" t="s">
        <v>4720</v>
      </c>
      <c r="F7164" s="4"/>
      <c r="G7164" s="2">
        <v>2000</v>
      </c>
      <c r="H7164" s="2">
        <v>0</v>
      </c>
      <c r="I7164" s="88">
        <f t="shared" si="1058"/>
        <v>74204.36</v>
      </c>
      <c r="J7164"/>
      <c r="K7164" s="62"/>
      <c r="L7164" s="2">
        <f t="shared" si="1059"/>
        <v>8</v>
      </c>
      <c r="M7164">
        <f t="shared" si="1060"/>
        <v>0</v>
      </c>
    </row>
    <row r="7165" spans="1:13" s="156" customFormat="1" ht="18" x14ac:dyDescent="0.35">
      <c r="A7165" s="3">
        <f t="shared" si="1045"/>
        <v>45990</v>
      </c>
      <c r="B7165" s="11" t="s">
        <v>7329</v>
      </c>
      <c r="C7165" s="162" t="s">
        <v>7330</v>
      </c>
      <c r="E7165" s="90" t="s">
        <v>4720</v>
      </c>
      <c r="F7165" s="4"/>
      <c r="G7165" s="2">
        <v>1700</v>
      </c>
      <c r="H7165" s="2">
        <v>0</v>
      </c>
      <c r="I7165" s="88">
        <f t="shared" si="1058"/>
        <v>75904.36</v>
      </c>
      <c r="J7165"/>
      <c r="K7165" s="62"/>
      <c r="L7165" s="2">
        <f t="shared" si="1059"/>
        <v>6.8</v>
      </c>
      <c r="M7165">
        <f t="shared" si="1060"/>
        <v>0</v>
      </c>
    </row>
    <row r="7166" spans="1:13" s="156" customFormat="1" ht="18" x14ac:dyDescent="0.35">
      <c r="A7166" s="3">
        <f t="shared" si="1045"/>
        <v>45990</v>
      </c>
      <c r="B7166" s="11" t="s">
        <v>2241</v>
      </c>
      <c r="C7166" s="162" t="s">
        <v>9744</v>
      </c>
      <c r="E7166" s="90" t="s">
        <v>4720</v>
      </c>
      <c r="F7166" s="4"/>
      <c r="G7166" s="2">
        <v>1300</v>
      </c>
      <c r="H7166" s="2">
        <v>0</v>
      </c>
      <c r="I7166" s="88">
        <f t="shared" si="1058"/>
        <v>77204.36</v>
      </c>
      <c r="J7166"/>
      <c r="K7166" s="62"/>
      <c r="L7166" s="2">
        <f t="shared" si="1059"/>
        <v>5.2</v>
      </c>
      <c r="M7166">
        <f t="shared" si="1060"/>
        <v>0</v>
      </c>
    </row>
    <row r="7167" spans="1:13" s="156" customFormat="1" ht="18" x14ac:dyDescent="0.35">
      <c r="A7167" s="3">
        <f t="shared" si="1045"/>
        <v>45990</v>
      </c>
      <c r="B7167" s="11" t="s">
        <v>5042</v>
      </c>
      <c r="C7167" s="162" t="s">
        <v>6379</v>
      </c>
      <c r="E7167" s="90" t="s">
        <v>7772</v>
      </c>
      <c r="F7167" s="4"/>
      <c r="G7167" s="2">
        <v>1300</v>
      </c>
      <c r="H7167" s="2">
        <v>0</v>
      </c>
      <c r="I7167" s="88">
        <f t="shared" si="1058"/>
        <v>78504.36</v>
      </c>
      <c r="J7167"/>
      <c r="K7167" s="62"/>
      <c r="L7167" s="2">
        <f t="shared" si="1059"/>
        <v>10.199999999999999</v>
      </c>
      <c r="M7167">
        <f t="shared" si="1060"/>
        <v>5</v>
      </c>
    </row>
    <row r="7168" spans="1:13" s="156" customFormat="1" ht="18" x14ac:dyDescent="0.35">
      <c r="A7168" s="3">
        <f t="shared" si="1045"/>
        <v>45990</v>
      </c>
      <c r="B7168" s="11" t="s">
        <v>5888</v>
      </c>
      <c r="C7168" s="162" t="s">
        <v>8167</v>
      </c>
      <c r="E7168" s="90" t="s">
        <v>2088</v>
      </c>
      <c r="F7168" s="4"/>
      <c r="G7168" s="2">
        <v>0</v>
      </c>
      <c r="H7168" s="2">
        <v>0</v>
      </c>
      <c r="I7168" s="88">
        <f t="shared" ref="I7168:I7183" si="1061">I7167+G7168-H7168</f>
        <v>78504.36</v>
      </c>
      <c r="J7168"/>
      <c r="K7168" s="62"/>
      <c r="L7168" s="2">
        <f t="shared" ref="L7168:L7177" si="1062">IF(E7168="C",0,IF((G7168+H7168)&lt;=5000,(G7168+H7168)*0.004,20)+IF(E7168="P",5,IF(E7168="Y",15,IF(E7168="YY",25))))</f>
        <v>5</v>
      </c>
      <c r="M7168">
        <f t="shared" ref="M7168:M7177" si="1063">IF(E7168="p",5,0)</f>
        <v>5</v>
      </c>
    </row>
    <row r="7169" spans="1:13" s="156" customFormat="1" ht="18" x14ac:dyDescent="0.35">
      <c r="A7169" s="3">
        <f t="shared" si="1045"/>
        <v>45990</v>
      </c>
      <c r="B7169" s="11" t="s">
        <v>5883</v>
      </c>
      <c r="C7169" s="162" t="s">
        <v>9188</v>
      </c>
      <c r="E7169" s="90" t="s">
        <v>2088</v>
      </c>
      <c r="F7169" s="4"/>
      <c r="G7169" s="2">
        <v>0</v>
      </c>
      <c r="H7169" s="2">
        <v>0</v>
      </c>
      <c r="I7169" s="88">
        <f t="shared" si="1061"/>
        <v>78504.36</v>
      </c>
      <c r="J7169"/>
      <c r="K7169" s="62"/>
      <c r="L7169" s="2">
        <f t="shared" si="1062"/>
        <v>5</v>
      </c>
      <c r="M7169">
        <f t="shared" si="1063"/>
        <v>5</v>
      </c>
    </row>
    <row r="7170" spans="1:13" s="156" customFormat="1" ht="18" x14ac:dyDescent="0.35">
      <c r="A7170" s="3">
        <f t="shared" si="1045"/>
        <v>45990</v>
      </c>
      <c r="B7170" s="11" t="s">
        <v>5888</v>
      </c>
      <c r="C7170" s="162" t="s">
        <v>8167</v>
      </c>
      <c r="E7170" s="90" t="s">
        <v>2088</v>
      </c>
      <c r="F7170" s="4"/>
      <c r="G7170" s="2">
        <v>4000</v>
      </c>
      <c r="H7170" s="2">
        <v>0</v>
      </c>
      <c r="I7170" s="88">
        <f t="shared" si="1061"/>
        <v>82504.36</v>
      </c>
      <c r="J7170"/>
      <c r="K7170" s="62"/>
      <c r="L7170" s="2">
        <f t="shared" si="1062"/>
        <v>21</v>
      </c>
      <c r="M7170">
        <f t="shared" si="1063"/>
        <v>5</v>
      </c>
    </row>
    <row r="7171" spans="1:13" s="156" customFormat="1" ht="18" x14ac:dyDescent="0.35">
      <c r="A7171" s="3">
        <f t="shared" si="1045"/>
        <v>45990</v>
      </c>
      <c r="B7171" s="11" t="s">
        <v>9300</v>
      </c>
      <c r="C7171" s="162" t="s">
        <v>9745</v>
      </c>
      <c r="E7171" s="90" t="s">
        <v>2088</v>
      </c>
      <c r="F7171" s="4"/>
      <c r="G7171" s="2">
        <v>5000</v>
      </c>
      <c r="H7171" s="2">
        <v>0</v>
      </c>
      <c r="I7171" s="88">
        <f t="shared" si="1061"/>
        <v>87504.36</v>
      </c>
      <c r="J7171"/>
      <c r="K7171" s="62"/>
      <c r="L7171" s="2">
        <f t="shared" si="1062"/>
        <v>25</v>
      </c>
      <c r="M7171">
        <f t="shared" si="1063"/>
        <v>5</v>
      </c>
    </row>
    <row r="7172" spans="1:13" s="156" customFormat="1" ht="18" x14ac:dyDescent="0.35">
      <c r="A7172" s="3">
        <f t="shared" si="1045"/>
        <v>45990</v>
      </c>
      <c r="B7172" s="11" t="s">
        <v>1472</v>
      </c>
      <c r="C7172" s="162" t="s">
        <v>9746</v>
      </c>
      <c r="E7172" s="90" t="s">
        <v>4720</v>
      </c>
      <c r="F7172" s="4"/>
      <c r="G7172" s="2">
        <v>9000</v>
      </c>
      <c r="H7172" s="2">
        <v>0</v>
      </c>
      <c r="I7172" s="88">
        <f t="shared" si="1061"/>
        <v>96504.36</v>
      </c>
      <c r="J7172"/>
      <c r="K7172" s="62"/>
      <c r="L7172" s="2">
        <f t="shared" si="1062"/>
        <v>20</v>
      </c>
      <c r="M7172">
        <f t="shared" si="1063"/>
        <v>0</v>
      </c>
    </row>
    <row r="7173" spans="1:13" s="156" customFormat="1" ht="18" x14ac:dyDescent="0.35">
      <c r="A7173" s="3">
        <f t="shared" si="1045"/>
        <v>45990</v>
      </c>
      <c r="B7173" s="11" t="s">
        <v>3524</v>
      </c>
      <c r="C7173" s="162" t="s">
        <v>2679</v>
      </c>
      <c r="E7173" s="90" t="s">
        <v>4720</v>
      </c>
      <c r="F7173" s="4"/>
      <c r="G7173" s="2">
        <v>0</v>
      </c>
      <c r="H7173" s="2">
        <v>10000</v>
      </c>
      <c r="I7173" s="88">
        <f t="shared" si="1061"/>
        <v>86504.36</v>
      </c>
      <c r="J7173"/>
      <c r="K7173" s="62"/>
      <c r="L7173" s="2">
        <f t="shared" si="1062"/>
        <v>20</v>
      </c>
      <c r="M7173">
        <f t="shared" si="1063"/>
        <v>0</v>
      </c>
    </row>
    <row r="7174" spans="1:13" s="156" customFormat="1" ht="18" x14ac:dyDescent="0.35">
      <c r="A7174" s="3">
        <v>45991</v>
      </c>
      <c r="B7174" s="11" t="s">
        <v>1472</v>
      </c>
      <c r="C7174" s="162" t="s">
        <v>8055</v>
      </c>
      <c r="E7174" s="90" t="s">
        <v>4720</v>
      </c>
      <c r="F7174" s="4"/>
      <c r="G7174" s="2">
        <v>500</v>
      </c>
      <c r="H7174" s="2">
        <v>0</v>
      </c>
      <c r="I7174" s="88">
        <f t="shared" si="1061"/>
        <v>87004.36</v>
      </c>
      <c r="J7174"/>
      <c r="K7174" s="62"/>
      <c r="L7174" s="2">
        <f t="shared" si="1062"/>
        <v>2</v>
      </c>
      <c r="M7174">
        <f t="shared" si="1063"/>
        <v>0</v>
      </c>
    </row>
    <row r="7175" spans="1:13" s="156" customFormat="1" ht="18" x14ac:dyDescent="0.35">
      <c r="A7175" s="3">
        <f t="shared" si="1045"/>
        <v>45991</v>
      </c>
      <c r="B7175" s="11" t="s">
        <v>3487</v>
      </c>
      <c r="C7175" s="162" t="s">
        <v>2892</v>
      </c>
      <c r="E7175" s="90" t="s">
        <v>4720</v>
      </c>
      <c r="F7175" s="4"/>
      <c r="G7175" s="2">
        <v>10000</v>
      </c>
      <c r="H7175" s="2">
        <v>0</v>
      </c>
      <c r="I7175" s="88">
        <f t="shared" si="1061"/>
        <v>97004.36</v>
      </c>
      <c r="J7175"/>
      <c r="K7175" s="62"/>
      <c r="L7175" s="2">
        <f t="shared" si="1062"/>
        <v>20</v>
      </c>
      <c r="M7175">
        <f t="shared" si="1063"/>
        <v>0</v>
      </c>
    </row>
    <row r="7176" spans="1:13" s="156" customFormat="1" ht="18" x14ac:dyDescent="0.35">
      <c r="A7176" s="3">
        <f t="shared" si="1045"/>
        <v>45991</v>
      </c>
      <c r="B7176" s="11" t="s">
        <v>3524</v>
      </c>
      <c r="C7176" s="162" t="s">
        <v>2679</v>
      </c>
      <c r="E7176" s="90" t="s">
        <v>4720</v>
      </c>
      <c r="F7176" s="4"/>
      <c r="G7176" s="2">
        <v>0</v>
      </c>
      <c r="H7176" s="2">
        <v>10000</v>
      </c>
      <c r="I7176" s="88">
        <f t="shared" si="1061"/>
        <v>87004.36</v>
      </c>
      <c r="J7176"/>
      <c r="K7176" s="62"/>
      <c r="L7176" s="2">
        <f t="shared" si="1062"/>
        <v>20</v>
      </c>
      <c r="M7176">
        <f t="shared" si="1063"/>
        <v>0</v>
      </c>
    </row>
    <row r="7177" spans="1:13" s="156" customFormat="1" ht="18" x14ac:dyDescent="0.35">
      <c r="A7177" s="3">
        <f t="shared" si="1045"/>
        <v>45991</v>
      </c>
      <c r="B7177" s="11" t="s">
        <v>6434</v>
      </c>
      <c r="C7177" s="162" t="s">
        <v>8398</v>
      </c>
      <c r="E7177" s="90" t="s">
        <v>4720</v>
      </c>
      <c r="F7177" s="4"/>
      <c r="G7177" s="2">
        <v>0</v>
      </c>
      <c r="H7177" s="2">
        <v>4000</v>
      </c>
      <c r="I7177" s="88">
        <f t="shared" si="1061"/>
        <v>83004.36</v>
      </c>
      <c r="J7177"/>
      <c r="K7177" s="62"/>
      <c r="L7177" s="2">
        <f t="shared" si="1062"/>
        <v>16</v>
      </c>
      <c r="M7177">
        <f t="shared" si="1063"/>
        <v>0</v>
      </c>
    </row>
    <row r="7178" spans="1:13" s="156" customFormat="1" ht="18" x14ac:dyDescent="0.35">
      <c r="A7178" s="3">
        <f t="shared" si="1045"/>
        <v>45991</v>
      </c>
      <c r="B7178" s="11" t="s">
        <v>9414</v>
      </c>
      <c r="C7178" s="162" t="s">
        <v>9415</v>
      </c>
      <c r="E7178" s="90" t="s">
        <v>2088</v>
      </c>
      <c r="F7178" s="4"/>
      <c r="G7178" s="2">
        <v>0</v>
      </c>
      <c r="H7178" s="2">
        <v>2000</v>
      </c>
      <c r="I7178" s="88">
        <f t="shared" si="1061"/>
        <v>81004.36</v>
      </c>
      <c r="K7178" s="62"/>
      <c r="L7178" s="2">
        <f t="shared" ref="L7178:L7183" si="1064">IF(E7178="C",0,IF((G7178+H7178)&lt;=5000,(G7178+H7178)*0.004,20)+IF(E7178="P",5,IF(E7178="Y",15,IF(E7178="YY",25))))</f>
        <v>13</v>
      </c>
      <c r="M7178">
        <f t="shared" ref="M7178:M7183" si="1065">IF(E7178="p",5,0)</f>
        <v>5</v>
      </c>
    </row>
    <row r="7179" spans="1:13" s="156" customFormat="1" ht="18" x14ac:dyDescent="0.35">
      <c r="A7179" s="3">
        <f t="shared" si="1045"/>
        <v>45991</v>
      </c>
      <c r="B7179" s="11" t="s">
        <v>8961</v>
      </c>
      <c r="C7179" s="162" t="s">
        <v>8698</v>
      </c>
      <c r="E7179" s="90" t="s">
        <v>4720</v>
      </c>
      <c r="F7179" s="4"/>
      <c r="G7179" s="2">
        <v>0</v>
      </c>
      <c r="H7179" s="2">
        <v>2800</v>
      </c>
      <c r="I7179" s="88">
        <f t="shared" si="1061"/>
        <v>78204.36</v>
      </c>
      <c r="K7179" s="62"/>
      <c r="L7179" s="2">
        <f t="shared" si="1064"/>
        <v>11.200000000000001</v>
      </c>
      <c r="M7179">
        <f t="shared" si="1065"/>
        <v>0</v>
      </c>
    </row>
    <row r="7180" spans="1:13" s="156" customFormat="1" ht="18" x14ac:dyDescent="0.35">
      <c r="A7180" s="3">
        <f t="shared" si="1045"/>
        <v>45991</v>
      </c>
      <c r="B7180" s="11" t="s">
        <v>1160</v>
      </c>
      <c r="C7180" s="162" t="s">
        <v>9747</v>
      </c>
      <c r="E7180" s="90" t="s">
        <v>4720</v>
      </c>
      <c r="F7180" s="4"/>
      <c r="G7180" s="2">
        <v>1500</v>
      </c>
      <c r="H7180" s="2">
        <v>0</v>
      </c>
      <c r="I7180" s="88">
        <f t="shared" si="1061"/>
        <v>79704.36</v>
      </c>
      <c r="J7180"/>
      <c r="K7180" s="62"/>
      <c r="L7180" s="2">
        <f t="shared" si="1064"/>
        <v>6</v>
      </c>
      <c r="M7180">
        <f t="shared" si="1065"/>
        <v>0</v>
      </c>
    </row>
    <row r="7181" spans="1:13" s="156" customFormat="1" ht="18" x14ac:dyDescent="0.35">
      <c r="A7181" s="3">
        <f t="shared" si="1045"/>
        <v>45991</v>
      </c>
      <c r="B7181" s="11" t="s">
        <v>1250</v>
      </c>
      <c r="C7181" s="162" t="s">
        <v>6288</v>
      </c>
      <c r="E7181" s="90" t="s">
        <v>4720</v>
      </c>
      <c r="F7181" s="4"/>
      <c r="G7181" s="2">
        <v>5500</v>
      </c>
      <c r="H7181" s="2">
        <v>0</v>
      </c>
      <c r="I7181" s="88">
        <f t="shared" si="1061"/>
        <v>85204.36</v>
      </c>
      <c r="J7181"/>
      <c r="K7181" s="62"/>
      <c r="L7181" s="2">
        <f t="shared" si="1064"/>
        <v>20</v>
      </c>
      <c r="M7181">
        <f t="shared" si="1065"/>
        <v>0</v>
      </c>
    </row>
    <row r="7182" spans="1:13" s="156" customFormat="1" ht="18" x14ac:dyDescent="0.35">
      <c r="A7182" s="3">
        <f t="shared" si="1045"/>
        <v>45991</v>
      </c>
      <c r="B7182" s="11" t="s">
        <v>9726</v>
      </c>
      <c r="C7182" s="65" t="s">
        <v>9727</v>
      </c>
      <c r="E7182" s="90" t="s">
        <v>4720</v>
      </c>
      <c r="F7182" s="4"/>
      <c r="G7182" s="2">
        <v>0</v>
      </c>
      <c r="H7182" s="2">
        <v>0</v>
      </c>
      <c r="I7182" s="88">
        <f t="shared" si="1061"/>
        <v>85204.36</v>
      </c>
      <c r="J7182"/>
      <c r="K7182" s="62"/>
      <c r="L7182" s="2">
        <f t="shared" si="1064"/>
        <v>0</v>
      </c>
      <c r="M7182">
        <f t="shared" si="1065"/>
        <v>0</v>
      </c>
    </row>
    <row r="7183" spans="1:13" s="156" customFormat="1" ht="18" x14ac:dyDescent="0.35">
      <c r="A7183" s="3">
        <f t="shared" si="1045"/>
        <v>45991</v>
      </c>
      <c r="B7183" s="11" t="s">
        <v>2594</v>
      </c>
      <c r="C7183" s="162" t="s">
        <v>9748</v>
      </c>
      <c r="E7183" s="90" t="s">
        <v>4720</v>
      </c>
      <c r="F7183" s="4"/>
      <c r="G7183" s="2">
        <v>1550</v>
      </c>
      <c r="H7183" s="2">
        <v>0</v>
      </c>
      <c r="I7183" s="88">
        <f t="shared" si="1061"/>
        <v>86754.36</v>
      </c>
      <c r="J7183" s="62"/>
      <c r="K7183" s="62"/>
      <c r="L7183" s="2">
        <f t="shared" si="1064"/>
        <v>6.2</v>
      </c>
      <c r="M7183">
        <f t="shared" si="1065"/>
        <v>0</v>
      </c>
    </row>
    <row r="7184" spans="1:13" x14ac:dyDescent="0.3">
      <c r="A7184" s="77">
        <f>COUNT(A6850:A7183)</f>
        <v>334</v>
      </c>
      <c r="B7184" s="80" t="s">
        <v>7120</v>
      </c>
      <c r="C7184" s="112">
        <f>SUMIF(E6850:E7183,"C",H6850:H7183)+SUMIF(E6850:E7183,"C",G6850:G7183)</f>
        <v>376000</v>
      </c>
      <c r="D7184" s="112">
        <f>COUNTIF(E6850:E7183,"P")</f>
        <v>125</v>
      </c>
      <c r="E7184" s="92">
        <f>COUNTIF(E6850:E7183,"Y")</f>
        <v>28</v>
      </c>
      <c r="F7184" s="80">
        <f>SUM(F4191)</f>
        <v>0</v>
      </c>
      <c r="G7184" s="121">
        <f>SUM(G6850:G7183)</f>
        <v>736000</v>
      </c>
      <c r="H7184" s="121">
        <f>SUM(H6850:H7183)</f>
        <v>658100</v>
      </c>
      <c r="I7184" s="121">
        <f>G7184+H7184-C7184</f>
        <v>1018100</v>
      </c>
      <c r="J7184" s="122"/>
      <c r="K7184" s="122">
        <f>SUM(K6850:K7183)</f>
        <v>0</v>
      </c>
      <c r="L7184" s="121">
        <f>SUM(L6850:L7183)</f>
        <v>3982.2</v>
      </c>
      <c r="M7184" s="121">
        <f>SUM(M6850:M7183)</f>
        <v>625</v>
      </c>
    </row>
    <row r="7186" spans="1:13" ht="18" x14ac:dyDescent="0.35">
      <c r="A7186" s="3">
        <v>45992</v>
      </c>
      <c r="C7186" s="162" t="s">
        <v>6831</v>
      </c>
      <c r="D7186" s="156"/>
      <c r="G7186" s="2">
        <v>0</v>
      </c>
      <c r="H7186" s="2">
        <v>0</v>
      </c>
      <c r="I7186" s="88">
        <f>80000.65+1300</f>
        <v>81300.649999999994</v>
      </c>
      <c r="K7186" s="62"/>
      <c r="L7186" s="2">
        <f t="shared" ref="L7186:L7188" si="1066">IF(E7186="C",0,IF((G7186+H7186)&lt;=5000,(G7186+H7186)*0.004,20)+IF(E7186="P",5,IF(E7186="Y",15,IF(E7186="YY",25))))</f>
        <v>0</v>
      </c>
      <c r="M7186">
        <f t="shared" ref="M7186:M7188" si="1067">IF(E7186="p",5,0)</f>
        <v>0</v>
      </c>
    </row>
    <row r="7187" spans="1:13" ht="18" x14ac:dyDescent="0.35">
      <c r="A7187" s="3">
        <f t="shared" ref="A7187:A7250" si="1068">A7186</f>
        <v>45992</v>
      </c>
      <c r="B7187" s="11" t="s">
        <v>9749</v>
      </c>
      <c r="C7187" s="162" t="s">
        <v>7117</v>
      </c>
      <c r="D7187" s="156"/>
      <c r="E7187" s="90" t="s">
        <v>4720</v>
      </c>
      <c r="H7187" s="2">
        <v>5000</v>
      </c>
      <c r="I7187" s="88">
        <f t="shared" ref="I7187:I7188" si="1069">I7186+G7187-H7187</f>
        <v>76300.649999999994</v>
      </c>
      <c r="K7187" s="62"/>
      <c r="L7187" s="2">
        <f t="shared" si="1066"/>
        <v>20</v>
      </c>
      <c r="M7187">
        <f t="shared" si="1067"/>
        <v>0</v>
      </c>
    </row>
    <row r="7188" spans="1:13" ht="18" x14ac:dyDescent="0.35">
      <c r="A7188" s="3">
        <f t="shared" si="1068"/>
        <v>45992</v>
      </c>
      <c r="B7188" s="11" t="s">
        <v>9751</v>
      </c>
      <c r="C7188" s="162" t="s">
        <v>9752</v>
      </c>
      <c r="D7188" s="156"/>
      <c r="E7188" s="90" t="s">
        <v>14</v>
      </c>
      <c r="G7188" s="2">
        <v>0</v>
      </c>
      <c r="H7188" s="2">
        <v>1000</v>
      </c>
      <c r="I7188" s="88">
        <f t="shared" si="1069"/>
        <v>75300.649999999994</v>
      </c>
      <c r="K7188" s="62"/>
      <c r="L7188" s="2">
        <f t="shared" si="1066"/>
        <v>19</v>
      </c>
      <c r="M7188">
        <f t="shared" si="1067"/>
        <v>0</v>
      </c>
    </row>
    <row r="7189" spans="1:13" ht="18" x14ac:dyDescent="0.35">
      <c r="A7189" s="3">
        <f t="shared" si="1068"/>
        <v>45992</v>
      </c>
      <c r="B7189" s="11" t="s">
        <v>8795</v>
      </c>
      <c r="C7189" s="162" t="s">
        <v>9756</v>
      </c>
      <c r="D7189" s="156"/>
      <c r="E7189" s="90" t="s">
        <v>4720</v>
      </c>
      <c r="G7189" s="2">
        <v>0</v>
      </c>
      <c r="H7189" s="2">
        <v>3000</v>
      </c>
      <c r="I7189" s="88">
        <f t="shared" ref="I7189:I7198" si="1070">I7188+G7189-H7189</f>
        <v>72300.649999999994</v>
      </c>
      <c r="K7189" s="62"/>
      <c r="L7189" s="2">
        <f t="shared" ref="L7189:L7198" si="1071">IF(E7189="C",0,IF((G7189+H7189)&lt;=5000,(G7189+H7189)*0.004,20)+IF(E7189="P",5,IF(E7189="Y",15,IF(E7189="YY",25))))</f>
        <v>12</v>
      </c>
      <c r="M7189">
        <f t="shared" ref="M7189:M7198" si="1072">IF(E7189="p",5,0)</f>
        <v>0</v>
      </c>
    </row>
    <row r="7190" spans="1:13" ht="18" x14ac:dyDescent="0.35">
      <c r="A7190" s="3">
        <f t="shared" si="1068"/>
        <v>45992</v>
      </c>
      <c r="B7190" s="11" t="s">
        <v>8795</v>
      </c>
      <c r="C7190" s="162" t="s">
        <v>9756</v>
      </c>
      <c r="D7190" s="156"/>
      <c r="E7190" s="90" t="s">
        <v>4720</v>
      </c>
      <c r="G7190" s="2">
        <v>0</v>
      </c>
      <c r="H7190" s="2">
        <v>200</v>
      </c>
      <c r="I7190" s="88">
        <f t="shared" si="1070"/>
        <v>72100.649999999994</v>
      </c>
      <c r="K7190" s="62"/>
      <c r="L7190" s="2">
        <f t="shared" si="1071"/>
        <v>0.8</v>
      </c>
      <c r="M7190">
        <f t="shared" si="1072"/>
        <v>0</v>
      </c>
    </row>
    <row r="7191" spans="1:13" ht="18" x14ac:dyDescent="0.35">
      <c r="A7191" s="3">
        <f t="shared" si="1068"/>
        <v>45992</v>
      </c>
      <c r="B7191" s="11" t="s">
        <v>5659</v>
      </c>
      <c r="C7191" s="162" t="s">
        <v>9757</v>
      </c>
      <c r="D7191" s="156"/>
      <c r="E7191" s="90" t="s">
        <v>4720</v>
      </c>
      <c r="G7191" s="2">
        <v>2500</v>
      </c>
      <c r="H7191" s="2">
        <v>0</v>
      </c>
      <c r="I7191" s="88">
        <f t="shared" si="1070"/>
        <v>74600.649999999994</v>
      </c>
      <c r="K7191" s="62"/>
      <c r="L7191" s="2">
        <f t="shared" si="1071"/>
        <v>10</v>
      </c>
      <c r="M7191">
        <f t="shared" si="1072"/>
        <v>0</v>
      </c>
    </row>
    <row r="7192" spans="1:13" ht="18" x14ac:dyDescent="0.35">
      <c r="A7192" s="3">
        <f t="shared" si="1068"/>
        <v>45992</v>
      </c>
      <c r="B7192" s="11" t="s">
        <v>8078</v>
      </c>
      <c r="C7192" s="162" t="s">
        <v>9758</v>
      </c>
      <c r="D7192" s="156"/>
      <c r="E7192" s="90" t="s">
        <v>2088</v>
      </c>
      <c r="G7192" s="2">
        <v>0</v>
      </c>
      <c r="H7192" s="2">
        <v>0</v>
      </c>
      <c r="I7192" s="88">
        <f t="shared" si="1070"/>
        <v>74600.649999999994</v>
      </c>
      <c r="K7192" s="62"/>
      <c r="L7192" s="2">
        <f t="shared" si="1071"/>
        <v>5</v>
      </c>
      <c r="M7192">
        <f t="shared" si="1072"/>
        <v>5</v>
      </c>
    </row>
    <row r="7193" spans="1:13" ht="18" x14ac:dyDescent="0.35">
      <c r="A7193" s="3">
        <f t="shared" si="1068"/>
        <v>45992</v>
      </c>
      <c r="B7193" s="11" t="s">
        <v>2241</v>
      </c>
      <c r="C7193" s="162" t="s">
        <v>9759</v>
      </c>
      <c r="D7193" s="156"/>
      <c r="E7193" s="90" t="s">
        <v>4720</v>
      </c>
      <c r="G7193" s="2">
        <v>6050</v>
      </c>
      <c r="H7193" s="2">
        <v>0</v>
      </c>
      <c r="I7193" s="88">
        <f t="shared" si="1070"/>
        <v>80650.649999999994</v>
      </c>
      <c r="J7193" s="62"/>
      <c r="K7193" s="62"/>
      <c r="L7193" s="2">
        <f t="shared" si="1071"/>
        <v>20</v>
      </c>
      <c r="M7193">
        <f t="shared" si="1072"/>
        <v>0</v>
      </c>
    </row>
    <row r="7194" spans="1:13" ht="18" x14ac:dyDescent="0.35">
      <c r="A7194" s="3">
        <f t="shared" si="1068"/>
        <v>45992</v>
      </c>
      <c r="C7194" s="162" t="s">
        <v>2857</v>
      </c>
      <c r="D7194" s="156"/>
      <c r="E7194" s="90" t="s">
        <v>8332</v>
      </c>
      <c r="G7194" s="2">
        <v>0</v>
      </c>
      <c r="H7194" s="2">
        <v>70000</v>
      </c>
      <c r="I7194" s="88">
        <f t="shared" si="1070"/>
        <v>10650.649999999994</v>
      </c>
      <c r="J7194" s="62"/>
      <c r="K7194" s="62"/>
      <c r="L7194" s="2">
        <f t="shared" si="1071"/>
        <v>0</v>
      </c>
      <c r="M7194">
        <f t="shared" si="1072"/>
        <v>0</v>
      </c>
    </row>
    <row r="7195" spans="1:13" ht="18" x14ac:dyDescent="0.35">
      <c r="A7195" s="3">
        <f t="shared" si="1068"/>
        <v>45992</v>
      </c>
      <c r="B7195" s="11" t="s">
        <v>9762</v>
      </c>
      <c r="C7195" s="162" t="s">
        <v>9763</v>
      </c>
      <c r="D7195" s="156"/>
      <c r="E7195" s="90" t="s">
        <v>2088</v>
      </c>
      <c r="G7195" s="2">
        <v>0</v>
      </c>
      <c r="H7195" s="2">
        <v>0</v>
      </c>
      <c r="I7195" s="88">
        <f t="shared" si="1070"/>
        <v>10650.649999999994</v>
      </c>
      <c r="K7195" s="62"/>
      <c r="L7195" s="2">
        <f t="shared" si="1071"/>
        <v>5</v>
      </c>
      <c r="M7195">
        <f t="shared" si="1072"/>
        <v>5</v>
      </c>
    </row>
    <row r="7196" spans="1:13" ht="18" x14ac:dyDescent="0.35">
      <c r="A7196" s="3">
        <f t="shared" si="1068"/>
        <v>45992</v>
      </c>
      <c r="B7196" s="11" t="s">
        <v>6260</v>
      </c>
      <c r="C7196" s="162" t="s">
        <v>7117</v>
      </c>
      <c r="D7196" s="156"/>
      <c r="E7196" s="90" t="s">
        <v>4720</v>
      </c>
      <c r="G7196" s="2">
        <v>0</v>
      </c>
      <c r="H7196" s="2">
        <v>2500</v>
      </c>
      <c r="I7196" s="88">
        <f t="shared" si="1070"/>
        <v>8150.6499999999942</v>
      </c>
      <c r="K7196" s="62"/>
      <c r="L7196" s="2">
        <f t="shared" si="1071"/>
        <v>10</v>
      </c>
      <c r="M7196">
        <f t="shared" si="1072"/>
        <v>0</v>
      </c>
    </row>
    <row r="7197" spans="1:13" ht="18" x14ac:dyDescent="0.35">
      <c r="A7197" s="3">
        <f t="shared" si="1068"/>
        <v>45992</v>
      </c>
      <c r="B7197" s="11" t="s">
        <v>8955</v>
      </c>
      <c r="C7197" s="162" t="s">
        <v>9195</v>
      </c>
      <c r="D7197" s="156"/>
      <c r="E7197" s="90" t="s">
        <v>2088</v>
      </c>
      <c r="G7197" s="2">
        <v>2500</v>
      </c>
      <c r="H7197" s="2">
        <v>0</v>
      </c>
      <c r="I7197" s="88">
        <f t="shared" si="1070"/>
        <v>10650.649999999994</v>
      </c>
      <c r="K7197" s="62"/>
      <c r="L7197" s="2">
        <f t="shared" si="1071"/>
        <v>15</v>
      </c>
      <c r="M7197">
        <f t="shared" si="1072"/>
        <v>5</v>
      </c>
    </row>
    <row r="7198" spans="1:13" ht="18" x14ac:dyDescent="0.35">
      <c r="A7198" s="3">
        <f t="shared" si="1068"/>
        <v>45992</v>
      </c>
      <c r="B7198" s="11" t="s">
        <v>9014</v>
      </c>
      <c r="C7198" s="162" t="s">
        <v>9090</v>
      </c>
      <c r="D7198" s="156"/>
      <c r="E7198" s="90" t="s">
        <v>4720</v>
      </c>
      <c r="G7198" s="2">
        <v>0</v>
      </c>
      <c r="H7198" s="2">
        <v>2100</v>
      </c>
      <c r="I7198" s="88">
        <f t="shared" si="1070"/>
        <v>8550.6499999999942</v>
      </c>
      <c r="K7198" s="62"/>
      <c r="L7198" s="2">
        <f t="shared" si="1071"/>
        <v>8.4</v>
      </c>
      <c r="M7198">
        <f t="shared" si="1072"/>
        <v>0</v>
      </c>
    </row>
    <row r="7199" spans="1:13" ht="18" x14ac:dyDescent="0.35">
      <c r="A7199" s="3">
        <f t="shared" si="1068"/>
        <v>45992</v>
      </c>
      <c r="B7199" s="11" t="s">
        <v>1160</v>
      </c>
      <c r="C7199" s="162" t="s">
        <v>9477</v>
      </c>
      <c r="D7199" s="156"/>
      <c r="E7199" s="90" t="s">
        <v>4720</v>
      </c>
      <c r="G7199" s="2">
        <v>1000</v>
      </c>
      <c r="H7199" s="2">
        <v>0</v>
      </c>
      <c r="I7199" s="88">
        <f t="shared" ref="I7199:I7209" si="1073">I7198+G7199-H7199</f>
        <v>9550.6499999999942</v>
      </c>
      <c r="K7199" s="62"/>
      <c r="L7199" s="2">
        <f t="shared" ref="L7199:L7209" si="1074">IF(E7199="C",0,IF((G7199+H7199)&lt;=5000,(G7199+H7199)*0.004,20)+IF(E7199="P",5,IF(E7199="Y",15,IF(E7199="YY",25))))</f>
        <v>4</v>
      </c>
      <c r="M7199">
        <f t="shared" ref="M7199:M7209" si="1075">IF(E7199="p",5,0)</f>
        <v>0</v>
      </c>
    </row>
    <row r="7200" spans="1:13" ht="18" x14ac:dyDescent="0.35">
      <c r="A7200" s="3">
        <f t="shared" si="1068"/>
        <v>45992</v>
      </c>
      <c r="B7200" s="11" t="s">
        <v>7870</v>
      </c>
      <c r="C7200" s="162" t="s">
        <v>9417</v>
      </c>
      <c r="D7200" s="156"/>
      <c r="E7200" s="90" t="s">
        <v>2088</v>
      </c>
      <c r="G7200" s="2">
        <v>1000</v>
      </c>
      <c r="H7200" s="2">
        <v>0</v>
      </c>
      <c r="I7200" s="88">
        <f t="shared" si="1073"/>
        <v>10550.649999999994</v>
      </c>
      <c r="K7200" s="62"/>
      <c r="L7200" s="2">
        <f t="shared" si="1074"/>
        <v>9</v>
      </c>
      <c r="M7200">
        <f t="shared" si="1075"/>
        <v>5</v>
      </c>
    </row>
    <row r="7201" spans="1:13" ht="18" x14ac:dyDescent="0.35">
      <c r="A7201" s="3">
        <f t="shared" si="1068"/>
        <v>45992</v>
      </c>
      <c r="B7201" s="11" t="s">
        <v>9765</v>
      </c>
      <c r="C7201" s="162" t="s">
        <v>9767</v>
      </c>
      <c r="D7201" s="156"/>
      <c r="E7201" s="90" t="s">
        <v>14</v>
      </c>
      <c r="G7201" s="2">
        <v>0</v>
      </c>
      <c r="H7201" s="2">
        <v>500</v>
      </c>
      <c r="I7201" s="88">
        <f t="shared" si="1073"/>
        <v>10050.649999999994</v>
      </c>
      <c r="K7201" s="62"/>
      <c r="L7201" s="2">
        <f t="shared" si="1074"/>
        <v>17</v>
      </c>
      <c r="M7201">
        <f t="shared" si="1075"/>
        <v>0</v>
      </c>
    </row>
    <row r="7202" spans="1:13" ht="18" x14ac:dyDescent="0.35">
      <c r="A7202" s="3">
        <f t="shared" si="1068"/>
        <v>45992</v>
      </c>
      <c r="B7202" s="11" t="s">
        <v>6260</v>
      </c>
      <c r="C7202" s="162" t="s">
        <v>7117</v>
      </c>
      <c r="D7202" s="156"/>
      <c r="E7202" s="90" t="s">
        <v>4720</v>
      </c>
      <c r="G7202" s="2">
        <v>0</v>
      </c>
      <c r="H7202" s="2">
        <v>2000</v>
      </c>
      <c r="I7202" s="88">
        <f t="shared" si="1073"/>
        <v>8050.6499999999942</v>
      </c>
      <c r="K7202" s="62"/>
      <c r="L7202" s="2">
        <f t="shared" si="1074"/>
        <v>8</v>
      </c>
      <c r="M7202">
        <f t="shared" si="1075"/>
        <v>0</v>
      </c>
    </row>
    <row r="7203" spans="1:13" ht="18" x14ac:dyDescent="0.35">
      <c r="A7203" s="3">
        <f t="shared" si="1068"/>
        <v>45992</v>
      </c>
      <c r="B7203" s="11" t="s">
        <v>8286</v>
      </c>
      <c r="C7203" s="162" t="s">
        <v>8559</v>
      </c>
      <c r="D7203" s="156"/>
      <c r="E7203" s="90" t="s">
        <v>4720</v>
      </c>
      <c r="G7203" s="2">
        <v>0</v>
      </c>
      <c r="H7203" s="2">
        <v>2100</v>
      </c>
      <c r="I7203" s="88">
        <f t="shared" si="1073"/>
        <v>5950.6499999999942</v>
      </c>
      <c r="K7203" s="62"/>
      <c r="L7203" s="2">
        <f t="shared" si="1074"/>
        <v>8.4</v>
      </c>
      <c r="M7203">
        <f t="shared" si="1075"/>
        <v>0</v>
      </c>
    </row>
    <row r="7204" spans="1:13" ht="18" x14ac:dyDescent="0.35">
      <c r="A7204" s="3">
        <v>45993</v>
      </c>
      <c r="B7204" s="11" t="s">
        <v>9771</v>
      </c>
      <c r="C7204" s="162" t="s">
        <v>9772</v>
      </c>
      <c r="D7204" s="156"/>
      <c r="E7204" s="90" t="s">
        <v>4720</v>
      </c>
      <c r="G7204" s="2">
        <v>7000</v>
      </c>
      <c r="H7204" s="2">
        <v>0</v>
      </c>
      <c r="I7204" s="88">
        <f t="shared" si="1073"/>
        <v>12950.649999999994</v>
      </c>
      <c r="K7204" s="62"/>
      <c r="L7204" s="2">
        <f t="shared" si="1074"/>
        <v>20</v>
      </c>
      <c r="M7204">
        <f t="shared" si="1075"/>
        <v>0</v>
      </c>
    </row>
    <row r="7205" spans="1:13" ht="18" x14ac:dyDescent="0.35">
      <c r="A7205" s="3">
        <f t="shared" si="1068"/>
        <v>45993</v>
      </c>
      <c r="B7205" s="11" t="s">
        <v>8078</v>
      </c>
      <c r="C7205" s="162" t="s">
        <v>9758</v>
      </c>
      <c r="D7205" s="156"/>
      <c r="E7205" s="90" t="s">
        <v>4720</v>
      </c>
      <c r="G7205" s="2">
        <v>0</v>
      </c>
      <c r="H7205" s="2">
        <v>6000</v>
      </c>
      <c r="I7205" s="88">
        <f t="shared" si="1073"/>
        <v>6950.6499999999942</v>
      </c>
      <c r="K7205" s="62"/>
      <c r="L7205" s="2">
        <f t="shared" si="1074"/>
        <v>20</v>
      </c>
      <c r="M7205">
        <f t="shared" si="1075"/>
        <v>0</v>
      </c>
    </row>
    <row r="7206" spans="1:13" ht="18" x14ac:dyDescent="0.35">
      <c r="A7206" s="3">
        <f t="shared" si="1068"/>
        <v>45993</v>
      </c>
      <c r="B7206" s="11" t="s">
        <v>9775</v>
      </c>
      <c r="C7206" s="162" t="s">
        <v>9781</v>
      </c>
      <c r="D7206" s="156"/>
      <c r="E7206" s="90" t="s">
        <v>16</v>
      </c>
      <c r="G7206" s="2">
        <v>0</v>
      </c>
      <c r="H7206" s="2">
        <v>1000</v>
      </c>
      <c r="I7206" s="88">
        <f t="shared" si="1073"/>
        <v>5950.6499999999942</v>
      </c>
      <c r="K7206" s="62"/>
      <c r="L7206" s="2">
        <f t="shared" si="1074"/>
        <v>19</v>
      </c>
      <c r="M7206">
        <f t="shared" si="1075"/>
        <v>0</v>
      </c>
    </row>
    <row r="7207" spans="1:13" ht="18" x14ac:dyDescent="0.35">
      <c r="A7207" s="3">
        <f t="shared" si="1068"/>
        <v>45993</v>
      </c>
      <c r="B7207" s="11" t="s">
        <v>9776</v>
      </c>
      <c r="C7207" s="162" t="s">
        <v>9777</v>
      </c>
      <c r="D7207" s="156"/>
      <c r="E7207" s="90" t="s">
        <v>16</v>
      </c>
      <c r="G7207" s="2">
        <v>0</v>
      </c>
      <c r="H7207" s="2">
        <v>500</v>
      </c>
      <c r="I7207" s="88">
        <f t="shared" si="1073"/>
        <v>5450.6499999999942</v>
      </c>
      <c r="K7207" s="62"/>
      <c r="L7207" s="2">
        <f t="shared" si="1074"/>
        <v>17</v>
      </c>
      <c r="M7207">
        <f t="shared" si="1075"/>
        <v>0</v>
      </c>
    </row>
    <row r="7208" spans="1:13" ht="18" x14ac:dyDescent="0.35">
      <c r="A7208" s="3">
        <f t="shared" si="1068"/>
        <v>45993</v>
      </c>
      <c r="B7208" s="11" t="s">
        <v>8947</v>
      </c>
      <c r="C7208" s="162" t="s">
        <v>8697</v>
      </c>
      <c r="D7208" s="156"/>
      <c r="E7208" s="90" t="s">
        <v>2088</v>
      </c>
      <c r="G7208" s="2">
        <v>10000</v>
      </c>
      <c r="H7208" s="2">
        <v>0</v>
      </c>
      <c r="I7208" s="88">
        <f t="shared" si="1073"/>
        <v>15450.649999999994</v>
      </c>
      <c r="K7208" s="62"/>
      <c r="L7208" s="2">
        <f t="shared" si="1074"/>
        <v>25</v>
      </c>
      <c r="M7208">
        <f t="shared" si="1075"/>
        <v>5</v>
      </c>
    </row>
    <row r="7209" spans="1:13" ht="18" x14ac:dyDescent="0.35">
      <c r="A7209" s="3">
        <f t="shared" si="1068"/>
        <v>45993</v>
      </c>
      <c r="C7209" s="162" t="s">
        <v>2857</v>
      </c>
      <c r="D7209" s="156"/>
      <c r="E7209" s="90" t="s">
        <v>8332</v>
      </c>
      <c r="G7209" s="2">
        <v>0</v>
      </c>
      <c r="H7209" s="2">
        <v>15000</v>
      </c>
      <c r="I7209" s="88">
        <f t="shared" si="1073"/>
        <v>450.64999999999418</v>
      </c>
      <c r="K7209" s="62"/>
      <c r="L7209" s="2">
        <f t="shared" si="1074"/>
        <v>0</v>
      </c>
      <c r="M7209">
        <f t="shared" si="1075"/>
        <v>0</v>
      </c>
    </row>
    <row r="7210" spans="1:13" ht="18" x14ac:dyDescent="0.35">
      <c r="A7210" s="3">
        <f t="shared" si="1068"/>
        <v>45993</v>
      </c>
      <c r="B7210" s="11" t="s">
        <v>1472</v>
      </c>
      <c r="C7210" s="162" t="s">
        <v>9782</v>
      </c>
      <c r="D7210" s="156"/>
      <c r="E7210" s="90" t="s">
        <v>4720</v>
      </c>
      <c r="G7210" s="2">
        <v>3000</v>
      </c>
      <c r="H7210" s="2">
        <v>0</v>
      </c>
      <c r="I7210" s="88">
        <f t="shared" ref="I7210:I7217" si="1076">I7209+G7210-H7210</f>
        <v>3450.6499999999942</v>
      </c>
      <c r="K7210" s="62"/>
      <c r="L7210" s="2">
        <f t="shared" ref="L7210:L7217" si="1077">IF(E7210="C",0,IF((G7210+H7210)&lt;=5000,(G7210+H7210)*0.004,20)+IF(E7210="P",5,IF(E7210="Y",15,IF(E7210="YY",25))))</f>
        <v>12</v>
      </c>
      <c r="M7210">
        <f t="shared" ref="M7210:M7217" si="1078">IF(E7210="p",5,0)</f>
        <v>0</v>
      </c>
    </row>
    <row r="7211" spans="1:13" ht="18" x14ac:dyDescent="0.35">
      <c r="A7211" s="3">
        <f t="shared" si="1068"/>
        <v>45993</v>
      </c>
      <c r="B7211" s="11" t="s">
        <v>1472</v>
      </c>
      <c r="C7211" s="162" t="s">
        <v>9783</v>
      </c>
      <c r="D7211" s="156"/>
      <c r="E7211" s="90" t="s">
        <v>4720</v>
      </c>
      <c r="G7211" s="2">
        <v>3000</v>
      </c>
      <c r="H7211" s="2">
        <v>0</v>
      </c>
      <c r="I7211" s="88">
        <f t="shared" si="1076"/>
        <v>6450.6499999999942</v>
      </c>
      <c r="K7211" s="62"/>
      <c r="L7211" s="2">
        <f t="shared" si="1077"/>
        <v>12</v>
      </c>
      <c r="M7211">
        <f t="shared" si="1078"/>
        <v>0</v>
      </c>
    </row>
    <row r="7212" spans="1:13" ht="18" x14ac:dyDescent="0.35">
      <c r="A7212" s="3">
        <f t="shared" si="1068"/>
        <v>45993</v>
      </c>
      <c r="B7212" s="11" t="s">
        <v>6434</v>
      </c>
      <c r="C7212" s="162" t="s">
        <v>7117</v>
      </c>
      <c r="D7212" s="156"/>
      <c r="E7212" s="90" t="s">
        <v>4720</v>
      </c>
      <c r="G7212" s="2">
        <v>0</v>
      </c>
      <c r="H7212" s="2">
        <v>4500</v>
      </c>
      <c r="I7212" s="88">
        <f t="shared" si="1076"/>
        <v>1950.6499999999942</v>
      </c>
      <c r="K7212" s="62"/>
      <c r="L7212" s="2">
        <f t="shared" si="1077"/>
        <v>18</v>
      </c>
      <c r="M7212">
        <f t="shared" si="1078"/>
        <v>0</v>
      </c>
    </row>
    <row r="7213" spans="1:13" ht="18" x14ac:dyDescent="0.35">
      <c r="A7213" s="3">
        <f t="shared" si="1068"/>
        <v>45993</v>
      </c>
      <c r="B7213" s="11" t="s">
        <v>3523</v>
      </c>
      <c r="C7213" s="162" t="s">
        <v>9784</v>
      </c>
      <c r="D7213" s="156"/>
      <c r="E7213" s="90" t="s">
        <v>4720</v>
      </c>
      <c r="G7213" s="2">
        <v>1000</v>
      </c>
      <c r="H7213" s="2">
        <v>0</v>
      </c>
      <c r="I7213" s="88">
        <f t="shared" si="1076"/>
        <v>2950.6499999999942</v>
      </c>
      <c r="K7213" s="62"/>
      <c r="L7213" s="2">
        <f t="shared" si="1077"/>
        <v>4</v>
      </c>
      <c r="M7213">
        <f t="shared" si="1078"/>
        <v>0</v>
      </c>
    </row>
    <row r="7214" spans="1:13" ht="18" x14ac:dyDescent="0.35">
      <c r="A7214" s="3">
        <v>45994</v>
      </c>
      <c r="B7214" s="11" t="s">
        <v>1160</v>
      </c>
      <c r="C7214" s="162" t="s">
        <v>9785</v>
      </c>
      <c r="D7214" s="156"/>
      <c r="E7214" s="90" t="s">
        <v>4720</v>
      </c>
      <c r="G7214" s="2">
        <v>1550</v>
      </c>
      <c r="H7214" s="2">
        <v>0</v>
      </c>
      <c r="I7214" s="88">
        <f t="shared" si="1076"/>
        <v>4500.6499999999942</v>
      </c>
      <c r="K7214" s="62"/>
      <c r="L7214" s="2">
        <f t="shared" si="1077"/>
        <v>6.2</v>
      </c>
      <c r="M7214">
        <f t="shared" si="1078"/>
        <v>0</v>
      </c>
    </row>
    <row r="7215" spans="1:13" ht="18" x14ac:dyDescent="0.35">
      <c r="A7215" s="3">
        <f t="shared" si="1068"/>
        <v>45994</v>
      </c>
      <c r="B7215" s="11" t="s">
        <v>6797</v>
      </c>
      <c r="C7215" s="162" t="s">
        <v>9786</v>
      </c>
      <c r="D7215" s="156"/>
      <c r="E7215" s="90" t="s">
        <v>2088</v>
      </c>
      <c r="G7215" s="2">
        <v>4000</v>
      </c>
      <c r="H7215" s="2">
        <v>0</v>
      </c>
      <c r="I7215" s="88">
        <f t="shared" si="1076"/>
        <v>8500.6499999999942</v>
      </c>
      <c r="K7215" s="62"/>
      <c r="L7215" s="2">
        <f t="shared" si="1077"/>
        <v>21</v>
      </c>
      <c r="M7215">
        <f t="shared" si="1078"/>
        <v>5</v>
      </c>
    </row>
    <row r="7216" spans="1:13" ht="18" x14ac:dyDescent="0.35">
      <c r="A7216" s="3">
        <f t="shared" si="1068"/>
        <v>45994</v>
      </c>
      <c r="B7216" s="11" t="s">
        <v>9482</v>
      </c>
      <c r="C7216" s="162" t="s">
        <v>9787</v>
      </c>
      <c r="D7216" s="156"/>
      <c r="E7216" s="90" t="s">
        <v>4720</v>
      </c>
      <c r="G7216" s="2">
        <v>10000</v>
      </c>
      <c r="H7216" s="64">
        <v>4.72</v>
      </c>
      <c r="I7216" s="88">
        <f t="shared" si="1076"/>
        <v>18495.929999999993</v>
      </c>
      <c r="K7216" s="62"/>
      <c r="L7216" s="2">
        <f t="shared" si="1077"/>
        <v>20</v>
      </c>
      <c r="M7216">
        <f t="shared" si="1078"/>
        <v>0</v>
      </c>
    </row>
    <row r="7217" spans="1:13" ht="18" x14ac:dyDescent="0.35">
      <c r="A7217" s="3">
        <f t="shared" si="1068"/>
        <v>45994</v>
      </c>
      <c r="B7217" s="11" t="s">
        <v>9014</v>
      </c>
      <c r="C7217" s="162" t="s">
        <v>9090</v>
      </c>
      <c r="D7217" s="156"/>
      <c r="E7217" s="90" t="s">
        <v>4720</v>
      </c>
      <c r="G7217" s="2">
        <v>0</v>
      </c>
      <c r="H7217" s="2">
        <v>10000</v>
      </c>
      <c r="I7217" s="88">
        <f t="shared" si="1076"/>
        <v>8495.929999999993</v>
      </c>
      <c r="J7217" s="62"/>
      <c r="K7217" s="62"/>
      <c r="L7217" s="2">
        <f t="shared" si="1077"/>
        <v>20</v>
      </c>
      <c r="M7217">
        <f t="shared" si="1078"/>
        <v>0</v>
      </c>
    </row>
    <row r="7218" spans="1:13" ht="18" x14ac:dyDescent="0.35">
      <c r="A7218" s="3">
        <f t="shared" si="1068"/>
        <v>45994</v>
      </c>
      <c r="B7218" s="11" t="s">
        <v>7262</v>
      </c>
      <c r="C7218" s="162" t="s">
        <v>8104</v>
      </c>
      <c r="D7218" s="156"/>
      <c r="E7218" s="90" t="s">
        <v>2088</v>
      </c>
      <c r="G7218" s="2">
        <v>0</v>
      </c>
      <c r="H7218" s="2">
        <v>0</v>
      </c>
      <c r="I7218" s="88">
        <f t="shared" ref="I7218:I7234" si="1079">I7217+G7218-H7218</f>
        <v>8495.929999999993</v>
      </c>
      <c r="K7218" s="62"/>
      <c r="L7218" s="2">
        <f t="shared" ref="L7218:L7233" si="1080">IF(E7218="C",0,IF((G7218+H7218)&lt;=5000,(G7218+H7218)*0.004,20)+IF(E7218="P",5,IF(E7218="Y",15,IF(E7218="YY",25))))</f>
        <v>5</v>
      </c>
      <c r="M7218">
        <f t="shared" ref="M7218:M7233" si="1081">IF(E7218="p",5,0)</f>
        <v>5</v>
      </c>
    </row>
    <row r="7219" spans="1:13" ht="18" x14ac:dyDescent="0.35">
      <c r="A7219" s="3">
        <f t="shared" si="1068"/>
        <v>45994</v>
      </c>
      <c r="B7219" s="11" t="s">
        <v>7262</v>
      </c>
      <c r="C7219" s="162" t="s">
        <v>8104</v>
      </c>
      <c r="D7219" s="156"/>
      <c r="E7219" s="90" t="s">
        <v>2088</v>
      </c>
      <c r="G7219" s="2">
        <v>10000</v>
      </c>
      <c r="H7219" s="2">
        <v>0</v>
      </c>
      <c r="I7219" s="88">
        <f t="shared" si="1079"/>
        <v>18495.929999999993</v>
      </c>
      <c r="K7219" s="62"/>
      <c r="L7219" s="2">
        <f t="shared" si="1080"/>
        <v>25</v>
      </c>
      <c r="M7219">
        <f t="shared" si="1081"/>
        <v>5</v>
      </c>
    </row>
    <row r="7220" spans="1:13" ht="18" x14ac:dyDescent="0.35">
      <c r="A7220" s="3">
        <f t="shared" si="1068"/>
        <v>45994</v>
      </c>
      <c r="B7220" s="11" t="s">
        <v>2448</v>
      </c>
      <c r="C7220" s="162" t="s">
        <v>2274</v>
      </c>
      <c r="D7220" s="156"/>
      <c r="E7220" s="90" t="s">
        <v>4720</v>
      </c>
      <c r="G7220" s="2">
        <v>0</v>
      </c>
      <c r="H7220" s="2">
        <v>9000</v>
      </c>
      <c r="I7220" s="88">
        <f t="shared" si="1079"/>
        <v>9495.929999999993</v>
      </c>
      <c r="J7220" s="62"/>
      <c r="K7220" s="62"/>
      <c r="L7220" s="2">
        <f t="shared" si="1080"/>
        <v>20</v>
      </c>
      <c r="M7220">
        <f t="shared" si="1081"/>
        <v>0</v>
      </c>
    </row>
    <row r="7221" spans="1:13" ht="18" x14ac:dyDescent="0.35">
      <c r="A7221" s="3">
        <f t="shared" si="1068"/>
        <v>45994</v>
      </c>
      <c r="B7221" s="11" t="s">
        <v>9788</v>
      </c>
      <c r="C7221" s="162" t="s">
        <v>9752</v>
      </c>
      <c r="D7221" s="156"/>
      <c r="E7221" s="90" t="s">
        <v>2088</v>
      </c>
      <c r="G7221" s="2">
        <v>0</v>
      </c>
      <c r="H7221" s="2">
        <v>0</v>
      </c>
      <c r="I7221" s="88">
        <f t="shared" si="1079"/>
        <v>9495.929999999993</v>
      </c>
      <c r="K7221" s="62"/>
      <c r="L7221" s="2">
        <f t="shared" si="1080"/>
        <v>5</v>
      </c>
      <c r="M7221">
        <f t="shared" si="1081"/>
        <v>5</v>
      </c>
    </row>
    <row r="7222" spans="1:13" ht="18" x14ac:dyDescent="0.35">
      <c r="A7222" s="3">
        <f t="shared" si="1068"/>
        <v>45994</v>
      </c>
      <c r="B7222" s="11" t="s">
        <v>9765</v>
      </c>
      <c r="C7222" s="162" t="s">
        <v>9767</v>
      </c>
      <c r="D7222" s="156"/>
      <c r="E7222" s="90" t="s">
        <v>2088</v>
      </c>
      <c r="G7222" s="2">
        <v>0</v>
      </c>
      <c r="H7222" s="2">
        <v>0</v>
      </c>
      <c r="I7222" s="88">
        <f t="shared" si="1079"/>
        <v>9495.929999999993</v>
      </c>
      <c r="K7222" s="62"/>
      <c r="L7222" s="2">
        <f t="shared" si="1080"/>
        <v>5</v>
      </c>
      <c r="M7222">
        <f t="shared" si="1081"/>
        <v>5</v>
      </c>
    </row>
    <row r="7223" spans="1:13" ht="18" x14ac:dyDescent="0.35">
      <c r="A7223" s="3">
        <f t="shared" si="1068"/>
        <v>45994</v>
      </c>
      <c r="B7223" s="11" t="s">
        <v>1250</v>
      </c>
      <c r="C7223" s="162" t="s">
        <v>6288</v>
      </c>
      <c r="D7223" s="156"/>
      <c r="E7223" s="90" t="s">
        <v>4720</v>
      </c>
      <c r="G7223" s="2">
        <v>10000</v>
      </c>
      <c r="H7223" s="2">
        <v>0</v>
      </c>
      <c r="I7223" s="88">
        <f t="shared" si="1079"/>
        <v>19495.929999999993</v>
      </c>
      <c r="K7223" s="62"/>
      <c r="L7223" s="2">
        <f t="shared" si="1080"/>
        <v>20</v>
      </c>
      <c r="M7223">
        <f t="shared" si="1081"/>
        <v>0</v>
      </c>
    </row>
    <row r="7224" spans="1:13" ht="18" x14ac:dyDescent="0.35">
      <c r="A7224" s="3">
        <f t="shared" si="1068"/>
        <v>45994</v>
      </c>
      <c r="B7224" s="11" t="s">
        <v>8052</v>
      </c>
      <c r="C7224" s="162" t="s">
        <v>4867</v>
      </c>
      <c r="D7224" s="156"/>
      <c r="E7224" s="90" t="s">
        <v>2088</v>
      </c>
      <c r="G7224" s="2">
        <v>0</v>
      </c>
      <c r="H7224" s="2">
        <v>0</v>
      </c>
      <c r="I7224" s="88">
        <f t="shared" si="1079"/>
        <v>19495.929999999993</v>
      </c>
      <c r="K7224" s="62"/>
      <c r="L7224" s="2">
        <f t="shared" si="1080"/>
        <v>5</v>
      </c>
      <c r="M7224">
        <f t="shared" si="1081"/>
        <v>5</v>
      </c>
    </row>
    <row r="7225" spans="1:13" ht="18" x14ac:dyDescent="0.35">
      <c r="A7225" s="3">
        <f t="shared" si="1068"/>
        <v>45994</v>
      </c>
      <c r="B7225" s="11" t="s">
        <v>8052</v>
      </c>
      <c r="C7225" s="162" t="s">
        <v>4867</v>
      </c>
      <c r="D7225" s="156"/>
      <c r="E7225" s="90" t="s">
        <v>2088</v>
      </c>
      <c r="G7225" s="2">
        <v>5000</v>
      </c>
      <c r="H7225" s="2">
        <v>0</v>
      </c>
      <c r="I7225" s="88">
        <f t="shared" si="1079"/>
        <v>24495.929999999993</v>
      </c>
      <c r="K7225" s="62"/>
      <c r="L7225" s="2">
        <f t="shared" si="1080"/>
        <v>25</v>
      </c>
      <c r="M7225">
        <f t="shared" si="1081"/>
        <v>5</v>
      </c>
    </row>
    <row r="7226" spans="1:13" ht="18" x14ac:dyDescent="0.35">
      <c r="A7226" s="3">
        <v>45995</v>
      </c>
      <c r="B7226" s="11" t="s">
        <v>7329</v>
      </c>
      <c r="C7226" s="162" t="s">
        <v>8632</v>
      </c>
      <c r="D7226" s="156"/>
      <c r="E7226" s="90" t="s">
        <v>2088</v>
      </c>
      <c r="G7226" s="2">
        <v>0</v>
      </c>
      <c r="H7226" s="2">
        <v>0</v>
      </c>
      <c r="I7226" s="88">
        <f t="shared" si="1079"/>
        <v>24495.929999999993</v>
      </c>
      <c r="K7226" s="62"/>
      <c r="L7226" s="2">
        <f t="shared" si="1080"/>
        <v>5</v>
      </c>
      <c r="M7226">
        <f t="shared" si="1081"/>
        <v>5</v>
      </c>
    </row>
    <row r="7227" spans="1:13" ht="18" x14ac:dyDescent="0.35">
      <c r="A7227" s="3">
        <f t="shared" si="1068"/>
        <v>45995</v>
      </c>
      <c r="B7227" s="11" t="s">
        <v>7329</v>
      </c>
      <c r="C7227" s="162" t="s">
        <v>8632</v>
      </c>
      <c r="D7227" s="156"/>
      <c r="E7227" s="90" t="s">
        <v>2088</v>
      </c>
      <c r="G7227" s="2">
        <v>700</v>
      </c>
      <c r="H7227" s="2">
        <v>0</v>
      </c>
      <c r="I7227" s="88">
        <f t="shared" si="1079"/>
        <v>25195.929999999993</v>
      </c>
      <c r="K7227" s="62"/>
      <c r="L7227" s="2">
        <f t="shared" si="1080"/>
        <v>7.8000000000000007</v>
      </c>
      <c r="M7227">
        <f t="shared" si="1081"/>
        <v>5</v>
      </c>
    </row>
    <row r="7228" spans="1:13" ht="18" x14ac:dyDescent="0.35">
      <c r="A7228" s="3">
        <f t="shared" si="1068"/>
        <v>45995</v>
      </c>
      <c r="B7228" s="11" t="s">
        <v>9792</v>
      </c>
      <c r="C7228" s="162" t="s">
        <v>7254</v>
      </c>
      <c r="D7228" s="156"/>
      <c r="E7228" s="90" t="s">
        <v>2088</v>
      </c>
      <c r="G7228" s="2">
        <v>0</v>
      </c>
      <c r="H7228" s="2">
        <v>0</v>
      </c>
      <c r="I7228" s="88">
        <f t="shared" si="1079"/>
        <v>25195.929999999993</v>
      </c>
      <c r="K7228" s="62"/>
      <c r="L7228" s="2">
        <f t="shared" si="1080"/>
        <v>5</v>
      </c>
      <c r="M7228">
        <f t="shared" si="1081"/>
        <v>5</v>
      </c>
    </row>
    <row r="7229" spans="1:13" ht="18" x14ac:dyDescent="0.35">
      <c r="A7229" s="3">
        <f t="shared" si="1068"/>
        <v>45995</v>
      </c>
      <c r="B7229" s="11">
        <v>45993</v>
      </c>
      <c r="C7229" s="162" t="s">
        <v>9781</v>
      </c>
      <c r="D7229" s="156"/>
      <c r="E7229" s="90" t="s">
        <v>2088</v>
      </c>
      <c r="G7229" s="2">
        <v>0</v>
      </c>
      <c r="H7229" s="2">
        <v>0</v>
      </c>
      <c r="I7229" s="88">
        <f t="shared" si="1079"/>
        <v>25195.929999999993</v>
      </c>
      <c r="K7229" s="62"/>
      <c r="L7229" s="2">
        <f t="shared" si="1080"/>
        <v>5</v>
      </c>
      <c r="M7229">
        <f t="shared" si="1081"/>
        <v>5</v>
      </c>
    </row>
    <row r="7230" spans="1:13" ht="18" x14ac:dyDescent="0.35">
      <c r="A7230" s="3">
        <f t="shared" si="1068"/>
        <v>45995</v>
      </c>
      <c r="B7230" s="177" t="s">
        <v>8553</v>
      </c>
      <c r="C7230" s="162" t="s">
        <v>8703</v>
      </c>
      <c r="D7230" s="156"/>
      <c r="E7230" s="90" t="s">
        <v>4720</v>
      </c>
      <c r="G7230" s="2">
        <v>3200</v>
      </c>
      <c r="H7230" s="2">
        <v>0</v>
      </c>
      <c r="I7230" s="88">
        <f t="shared" si="1079"/>
        <v>28395.929999999993</v>
      </c>
      <c r="K7230" s="62"/>
      <c r="L7230" s="2">
        <f t="shared" si="1080"/>
        <v>12.8</v>
      </c>
      <c r="M7230">
        <f t="shared" si="1081"/>
        <v>0</v>
      </c>
    </row>
    <row r="7231" spans="1:13" ht="18" x14ac:dyDescent="0.35">
      <c r="A7231" s="3">
        <f t="shared" si="1068"/>
        <v>45995</v>
      </c>
      <c r="B7231" s="177"/>
      <c r="C7231" s="162" t="s">
        <v>2857</v>
      </c>
      <c r="D7231" s="156"/>
      <c r="E7231" s="90" t="s">
        <v>8332</v>
      </c>
      <c r="G7231" s="2">
        <v>0</v>
      </c>
      <c r="H7231" s="2">
        <v>20000</v>
      </c>
      <c r="I7231" s="88">
        <f t="shared" si="1079"/>
        <v>8395.929999999993</v>
      </c>
      <c r="K7231" s="62"/>
      <c r="L7231" s="2">
        <f t="shared" si="1080"/>
        <v>0</v>
      </c>
      <c r="M7231">
        <f t="shared" si="1081"/>
        <v>0</v>
      </c>
    </row>
    <row r="7232" spans="1:13" ht="18" x14ac:dyDescent="0.35">
      <c r="A7232" s="3">
        <f t="shared" si="1068"/>
        <v>45995</v>
      </c>
      <c r="B7232" s="177" t="s">
        <v>7545</v>
      </c>
      <c r="C7232" s="162" t="s">
        <v>6592</v>
      </c>
      <c r="D7232" s="156"/>
      <c r="E7232" s="90" t="s">
        <v>2088</v>
      </c>
      <c r="G7232" s="2">
        <v>0</v>
      </c>
      <c r="H7232" s="2">
        <v>0</v>
      </c>
      <c r="I7232" s="88">
        <f t="shared" si="1079"/>
        <v>8395.929999999993</v>
      </c>
      <c r="K7232" s="62"/>
      <c r="L7232" s="2">
        <f t="shared" si="1080"/>
        <v>5</v>
      </c>
      <c r="M7232">
        <f t="shared" si="1081"/>
        <v>5</v>
      </c>
    </row>
    <row r="7233" spans="1:13" ht="18" x14ac:dyDescent="0.35">
      <c r="A7233" s="3">
        <f t="shared" si="1068"/>
        <v>45995</v>
      </c>
      <c r="B7233" s="177" t="s">
        <v>7545</v>
      </c>
      <c r="C7233" s="162" t="s">
        <v>6592</v>
      </c>
      <c r="D7233" s="156"/>
      <c r="E7233" s="90" t="s">
        <v>2088</v>
      </c>
      <c r="G7233" s="2">
        <v>2500</v>
      </c>
      <c r="H7233" s="64">
        <v>9000</v>
      </c>
      <c r="I7233" s="88">
        <f t="shared" si="1079"/>
        <v>1895.929999999993</v>
      </c>
      <c r="J7233">
        <v>9000</v>
      </c>
      <c r="K7233" s="62"/>
      <c r="L7233" s="2">
        <f t="shared" si="1080"/>
        <v>25</v>
      </c>
      <c r="M7233">
        <f t="shared" si="1081"/>
        <v>5</v>
      </c>
    </row>
    <row r="7234" spans="1:13" ht="18" x14ac:dyDescent="0.35">
      <c r="A7234" s="3">
        <f t="shared" si="1068"/>
        <v>45995</v>
      </c>
      <c r="B7234" s="177"/>
      <c r="C7234" s="162" t="s">
        <v>9787</v>
      </c>
      <c r="D7234" s="156"/>
      <c r="E7234" s="90" t="s">
        <v>4720</v>
      </c>
      <c r="H7234" s="2">
        <v>0</v>
      </c>
      <c r="I7234" s="88">
        <f t="shared" si="1079"/>
        <v>1895.929999999993</v>
      </c>
      <c r="J7234">
        <v>11395.94</v>
      </c>
      <c r="K7234" s="62">
        <f>I7234-J7234</f>
        <v>-9500.0100000000075</v>
      </c>
      <c r="L7234" s="2">
        <f t="shared" ref="L7234:L7250" si="1082">IF(E7234="C",0,IF((G7234+H7234)&lt;=5000,(G7234+H7234)*0.004,20)+IF(E7234="P",5,IF(E7234="Y",15,IF(E7234="YY",25))))</f>
        <v>0</v>
      </c>
      <c r="M7234">
        <f t="shared" ref="M7234:M7250" si="1083">IF(E7234="p",5,0)</f>
        <v>0</v>
      </c>
    </row>
    <row r="7235" spans="1:13" ht="18" x14ac:dyDescent="0.35">
      <c r="A7235" s="3">
        <f t="shared" si="1068"/>
        <v>45995</v>
      </c>
      <c r="B7235" s="177" t="s">
        <v>9797</v>
      </c>
      <c r="C7235" s="162" t="s">
        <v>9796</v>
      </c>
      <c r="D7235" s="156"/>
      <c r="E7235" s="90" t="s">
        <v>4720</v>
      </c>
      <c r="G7235" s="2">
        <v>2000</v>
      </c>
      <c r="H7235" s="2">
        <v>0</v>
      </c>
      <c r="I7235" s="88">
        <f t="shared" ref="I7235:I7250" si="1084">I7234+G7235-H7235</f>
        <v>3895.929999999993</v>
      </c>
      <c r="K7235" s="62"/>
      <c r="L7235" s="2">
        <f t="shared" si="1082"/>
        <v>8</v>
      </c>
      <c r="M7235">
        <f t="shared" si="1083"/>
        <v>0</v>
      </c>
    </row>
    <row r="7236" spans="1:13" ht="18" x14ac:dyDescent="0.35">
      <c r="A7236" s="3">
        <f t="shared" si="1068"/>
        <v>45995</v>
      </c>
      <c r="B7236" s="177" t="s">
        <v>7514</v>
      </c>
      <c r="C7236" s="162" t="s">
        <v>7347</v>
      </c>
      <c r="D7236" s="156"/>
      <c r="E7236" s="90" t="s">
        <v>16</v>
      </c>
      <c r="G7236" s="2">
        <v>0</v>
      </c>
      <c r="H7236" s="2">
        <v>2000</v>
      </c>
      <c r="I7236" s="88">
        <f t="shared" si="1084"/>
        <v>1895.929999999993</v>
      </c>
      <c r="K7236" s="62"/>
      <c r="L7236" s="2">
        <f t="shared" si="1082"/>
        <v>23</v>
      </c>
      <c r="M7236">
        <f t="shared" si="1083"/>
        <v>0</v>
      </c>
    </row>
    <row r="7237" spans="1:13" ht="18" x14ac:dyDescent="0.35">
      <c r="A7237" s="3">
        <f t="shared" si="1068"/>
        <v>45995</v>
      </c>
      <c r="B7237" s="177" t="s">
        <v>8897</v>
      </c>
      <c r="C7237" s="162" t="s">
        <v>8027</v>
      </c>
      <c r="D7237" s="156"/>
      <c r="G7237" s="2">
        <v>500</v>
      </c>
      <c r="I7237" s="88">
        <f t="shared" ref="I7237:I7243" si="1085">I7236+G7237-H7237</f>
        <v>2395.929999999993</v>
      </c>
      <c r="K7237" s="62"/>
      <c r="L7237" s="2">
        <f t="shared" ref="L7237:L7243" si="1086">IF(E7237="C",0,IF((G7237+H7237)&lt;=5000,(G7237+H7237)*0.004,20)+IF(E7237="P",5,IF(E7237="Y",15,IF(E7237="YY",25))))</f>
        <v>2</v>
      </c>
      <c r="M7237">
        <f t="shared" ref="M7237:M7243" si="1087">IF(E7237="p",5,0)</f>
        <v>0</v>
      </c>
    </row>
    <row r="7238" spans="1:13" ht="18" x14ac:dyDescent="0.35">
      <c r="A7238" s="3">
        <f t="shared" si="1068"/>
        <v>45995</v>
      </c>
      <c r="B7238" s="177" t="s">
        <v>3487</v>
      </c>
      <c r="C7238" s="162" t="s">
        <v>2892</v>
      </c>
      <c r="D7238" s="156"/>
      <c r="E7238" s="90" t="s">
        <v>4720</v>
      </c>
      <c r="G7238" s="2">
        <v>2500</v>
      </c>
      <c r="H7238" s="2">
        <v>0</v>
      </c>
      <c r="I7238" s="88">
        <f t="shared" si="1085"/>
        <v>4895.929999999993</v>
      </c>
      <c r="K7238" s="62"/>
      <c r="L7238" s="2">
        <f t="shared" si="1086"/>
        <v>10</v>
      </c>
      <c r="M7238">
        <f t="shared" si="1087"/>
        <v>0</v>
      </c>
    </row>
    <row r="7239" spans="1:13" ht="18" x14ac:dyDescent="0.35">
      <c r="A7239" s="3">
        <f t="shared" si="1068"/>
        <v>45995</v>
      </c>
      <c r="B7239" s="177" t="s">
        <v>8674</v>
      </c>
      <c r="C7239" s="162" t="s">
        <v>8675</v>
      </c>
      <c r="D7239" s="156"/>
      <c r="E7239" s="90" t="s">
        <v>2088</v>
      </c>
      <c r="F7239" s="4" t="s">
        <v>9926</v>
      </c>
      <c r="G7239" s="64">
        <v>9000</v>
      </c>
      <c r="H7239" s="2">
        <v>0</v>
      </c>
      <c r="I7239" s="88">
        <f t="shared" si="1085"/>
        <v>13895.929999999993</v>
      </c>
      <c r="K7239" s="62"/>
      <c r="L7239" s="2">
        <f t="shared" si="1086"/>
        <v>25</v>
      </c>
      <c r="M7239">
        <f t="shared" si="1087"/>
        <v>5</v>
      </c>
    </row>
    <row r="7240" spans="1:13" ht="18" x14ac:dyDescent="0.35">
      <c r="A7240" s="3">
        <f t="shared" si="1068"/>
        <v>45995</v>
      </c>
      <c r="B7240" s="177" t="s">
        <v>8674</v>
      </c>
      <c r="C7240" s="162" t="s">
        <v>8675</v>
      </c>
      <c r="D7240" s="156"/>
      <c r="E7240" s="90" t="s">
        <v>2088</v>
      </c>
      <c r="G7240" s="2">
        <v>0</v>
      </c>
      <c r="H7240" s="2">
        <v>0</v>
      </c>
      <c r="I7240" s="88">
        <f t="shared" si="1085"/>
        <v>13895.929999999993</v>
      </c>
      <c r="K7240" s="62"/>
      <c r="L7240" s="2">
        <f t="shared" si="1086"/>
        <v>5</v>
      </c>
      <c r="M7240">
        <f t="shared" si="1087"/>
        <v>5</v>
      </c>
    </row>
    <row r="7241" spans="1:13" ht="18" x14ac:dyDescent="0.35">
      <c r="A7241" s="3">
        <v>45996</v>
      </c>
      <c r="B7241" s="177" t="s">
        <v>3232</v>
      </c>
      <c r="C7241" s="162" t="s">
        <v>9310</v>
      </c>
      <c r="D7241" s="156"/>
      <c r="E7241" s="90" t="s">
        <v>2088</v>
      </c>
      <c r="G7241" s="2">
        <v>1000</v>
      </c>
      <c r="H7241" s="2">
        <v>0</v>
      </c>
      <c r="I7241" s="88">
        <f t="shared" si="1085"/>
        <v>14895.929999999993</v>
      </c>
      <c r="K7241" s="62"/>
      <c r="L7241" s="2">
        <f t="shared" si="1086"/>
        <v>9</v>
      </c>
      <c r="M7241">
        <f t="shared" si="1087"/>
        <v>5</v>
      </c>
    </row>
    <row r="7242" spans="1:13" ht="18" x14ac:dyDescent="0.35">
      <c r="A7242" s="3">
        <f t="shared" si="1068"/>
        <v>45996</v>
      </c>
      <c r="B7242" s="177" t="s">
        <v>3543</v>
      </c>
      <c r="C7242" s="162" t="s">
        <v>2626</v>
      </c>
      <c r="D7242" s="156"/>
      <c r="E7242" s="90" t="s">
        <v>4720</v>
      </c>
      <c r="G7242" s="2">
        <v>1000</v>
      </c>
      <c r="H7242" s="2">
        <v>0</v>
      </c>
      <c r="I7242" s="88">
        <f t="shared" si="1085"/>
        <v>15895.929999999993</v>
      </c>
      <c r="K7242" s="62"/>
      <c r="L7242" s="2">
        <f t="shared" si="1086"/>
        <v>4</v>
      </c>
      <c r="M7242">
        <f t="shared" si="1087"/>
        <v>0</v>
      </c>
    </row>
    <row r="7243" spans="1:13" ht="18" x14ac:dyDescent="0.35">
      <c r="A7243" s="3">
        <f t="shared" si="1068"/>
        <v>45996</v>
      </c>
      <c r="B7243" s="177" t="s">
        <v>7865</v>
      </c>
      <c r="C7243" s="162" t="s">
        <v>7347</v>
      </c>
      <c r="D7243" s="156"/>
      <c r="E7243" s="90" t="s">
        <v>4720</v>
      </c>
      <c r="G7243" s="2">
        <v>1700</v>
      </c>
      <c r="H7243" s="2">
        <v>0</v>
      </c>
      <c r="I7243" s="88">
        <f t="shared" si="1085"/>
        <v>17595.929999999993</v>
      </c>
      <c r="K7243" s="62"/>
      <c r="L7243" s="2">
        <f t="shared" si="1086"/>
        <v>6.8</v>
      </c>
      <c r="M7243">
        <f t="shared" si="1087"/>
        <v>0</v>
      </c>
    </row>
    <row r="7244" spans="1:13" ht="18" x14ac:dyDescent="0.35">
      <c r="A7244" s="3">
        <f t="shared" si="1068"/>
        <v>45996</v>
      </c>
      <c r="B7244" s="177" t="s">
        <v>9801</v>
      </c>
      <c r="C7244" s="162" t="s">
        <v>9802</v>
      </c>
      <c r="D7244" s="156"/>
      <c r="E7244" s="90" t="s">
        <v>2088</v>
      </c>
      <c r="G7244" s="2">
        <v>3000</v>
      </c>
      <c r="H7244" s="2">
        <v>0</v>
      </c>
      <c r="I7244" s="88">
        <f t="shared" si="1084"/>
        <v>20595.929999999993</v>
      </c>
      <c r="K7244" s="62"/>
      <c r="L7244" s="2">
        <f t="shared" si="1082"/>
        <v>17</v>
      </c>
      <c r="M7244">
        <f t="shared" si="1083"/>
        <v>5</v>
      </c>
    </row>
    <row r="7245" spans="1:13" ht="18" x14ac:dyDescent="0.35">
      <c r="A7245" s="3">
        <f t="shared" si="1068"/>
        <v>45996</v>
      </c>
      <c r="B7245" s="177" t="s">
        <v>8130</v>
      </c>
      <c r="C7245" s="162" t="s">
        <v>8410</v>
      </c>
      <c r="D7245" s="156"/>
      <c r="E7245" s="90" t="s">
        <v>14</v>
      </c>
      <c r="G7245" s="2">
        <v>0</v>
      </c>
      <c r="H7245" s="2">
        <v>1000</v>
      </c>
      <c r="I7245" s="88">
        <f t="shared" si="1084"/>
        <v>19595.929999999993</v>
      </c>
      <c r="K7245" s="62"/>
      <c r="L7245" s="2">
        <f t="shared" si="1082"/>
        <v>19</v>
      </c>
      <c r="M7245">
        <f t="shared" si="1083"/>
        <v>0</v>
      </c>
    </row>
    <row r="7246" spans="1:13" ht="18" x14ac:dyDescent="0.35">
      <c r="A7246" s="3">
        <f t="shared" si="1068"/>
        <v>45996</v>
      </c>
      <c r="B7246" s="177" t="s">
        <v>8130</v>
      </c>
      <c r="C7246" s="162" t="s">
        <v>8410</v>
      </c>
      <c r="D7246" s="156"/>
      <c r="E7246" s="90" t="s">
        <v>2088</v>
      </c>
      <c r="G7246" s="2">
        <v>0</v>
      </c>
      <c r="H7246" s="2">
        <v>0</v>
      </c>
      <c r="I7246" s="88">
        <f t="shared" si="1084"/>
        <v>19595.929999999993</v>
      </c>
      <c r="K7246" s="62"/>
      <c r="L7246" s="2">
        <f t="shared" si="1082"/>
        <v>5</v>
      </c>
      <c r="M7246">
        <f t="shared" si="1083"/>
        <v>5</v>
      </c>
    </row>
    <row r="7247" spans="1:13" ht="18" x14ac:dyDescent="0.35">
      <c r="A7247" s="3">
        <f t="shared" si="1068"/>
        <v>45996</v>
      </c>
      <c r="B7247" s="177" t="s">
        <v>2490</v>
      </c>
      <c r="C7247" s="162" t="s">
        <v>2857</v>
      </c>
      <c r="D7247" s="156"/>
      <c r="E7247" s="90" t="s">
        <v>2088</v>
      </c>
      <c r="G7247" s="2">
        <v>0</v>
      </c>
      <c r="H7247" s="2">
        <v>0</v>
      </c>
      <c r="I7247" s="88">
        <f t="shared" si="1084"/>
        <v>19595.929999999993</v>
      </c>
      <c r="K7247" s="62"/>
      <c r="L7247" s="2">
        <f t="shared" si="1082"/>
        <v>5</v>
      </c>
      <c r="M7247">
        <f t="shared" si="1083"/>
        <v>5</v>
      </c>
    </row>
    <row r="7248" spans="1:13" ht="18" x14ac:dyDescent="0.35">
      <c r="A7248" s="3">
        <f t="shared" si="1068"/>
        <v>45996</v>
      </c>
      <c r="B7248" s="177" t="s">
        <v>1250</v>
      </c>
      <c r="C7248" s="162" t="s">
        <v>2348</v>
      </c>
      <c r="D7248" s="156"/>
      <c r="E7248" s="90" t="s">
        <v>8332</v>
      </c>
      <c r="G7248" s="2">
        <v>0</v>
      </c>
      <c r="H7248" s="2">
        <v>25000</v>
      </c>
      <c r="I7248" s="88">
        <f t="shared" si="1084"/>
        <v>-5404.070000000007</v>
      </c>
      <c r="K7248" s="62"/>
      <c r="L7248" s="2">
        <f t="shared" si="1082"/>
        <v>0</v>
      </c>
      <c r="M7248">
        <f t="shared" si="1083"/>
        <v>0</v>
      </c>
    </row>
    <row r="7249" spans="1:13" ht="18" x14ac:dyDescent="0.35">
      <c r="A7249" s="3">
        <f t="shared" si="1068"/>
        <v>45996</v>
      </c>
      <c r="B7249" s="177" t="s">
        <v>6260</v>
      </c>
      <c r="C7249" s="162" t="s">
        <v>7117</v>
      </c>
      <c r="D7249" s="156"/>
      <c r="E7249" s="90" t="s">
        <v>4720</v>
      </c>
      <c r="G7249" s="2">
        <v>4000</v>
      </c>
      <c r="H7249" s="2">
        <v>0</v>
      </c>
      <c r="I7249" s="88">
        <f t="shared" si="1084"/>
        <v>-1404.070000000007</v>
      </c>
      <c r="K7249" s="62"/>
      <c r="L7249" s="2">
        <f t="shared" si="1082"/>
        <v>16</v>
      </c>
      <c r="M7249">
        <f t="shared" si="1083"/>
        <v>0</v>
      </c>
    </row>
    <row r="7250" spans="1:13" ht="18" x14ac:dyDescent="0.35">
      <c r="A7250" s="3">
        <f t="shared" si="1068"/>
        <v>45996</v>
      </c>
      <c r="B7250" s="177" t="s">
        <v>3232</v>
      </c>
      <c r="C7250" s="162" t="s">
        <v>9806</v>
      </c>
      <c r="D7250" s="156"/>
      <c r="E7250" s="90" t="s">
        <v>4720</v>
      </c>
      <c r="G7250" s="2">
        <v>0</v>
      </c>
      <c r="H7250" s="2">
        <v>4500</v>
      </c>
      <c r="I7250" s="88">
        <f t="shared" si="1084"/>
        <v>-5904.070000000007</v>
      </c>
      <c r="K7250" s="62"/>
      <c r="L7250" s="2">
        <f t="shared" si="1082"/>
        <v>18</v>
      </c>
      <c r="M7250">
        <f t="shared" si="1083"/>
        <v>0</v>
      </c>
    </row>
    <row r="7251" spans="1:13" ht="18" x14ac:dyDescent="0.35">
      <c r="A7251" s="3">
        <v>45997</v>
      </c>
      <c r="B7251" s="177" t="s">
        <v>1250</v>
      </c>
      <c r="C7251" s="162" t="s">
        <v>6288</v>
      </c>
      <c r="D7251" s="156"/>
      <c r="E7251" s="90" t="s">
        <v>4720</v>
      </c>
      <c r="G7251" s="2">
        <v>3000</v>
      </c>
      <c r="H7251" s="2">
        <v>0</v>
      </c>
      <c r="I7251" s="88">
        <f t="shared" ref="I7251:I7266" si="1088">I7250+G7251-H7251</f>
        <v>-2904.070000000007</v>
      </c>
      <c r="K7251" s="62"/>
      <c r="L7251" s="2">
        <f t="shared" ref="L7251:L7266" si="1089">IF(E7251="C",0,IF((G7251+H7251)&lt;=5000,(G7251+H7251)*0.004,20)+IF(E7251="P",5,IF(E7251="Y",15,IF(E7251="YY",25))))</f>
        <v>12</v>
      </c>
      <c r="M7251">
        <f t="shared" ref="M7251:M7266" si="1090">IF(E7251="p",5,0)</f>
        <v>0</v>
      </c>
    </row>
    <row r="7252" spans="1:13" ht="18" x14ac:dyDescent="0.35">
      <c r="A7252" s="3">
        <f t="shared" ref="A7252:A7315" si="1091">A7251</f>
        <v>45997</v>
      </c>
      <c r="B7252" s="177" t="s">
        <v>8806</v>
      </c>
      <c r="C7252" s="162" t="s">
        <v>2615</v>
      </c>
      <c r="D7252" s="156"/>
      <c r="E7252" s="90" t="s">
        <v>4720</v>
      </c>
      <c r="G7252" s="2">
        <v>500</v>
      </c>
      <c r="H7252" s="2">
        <v>0</v>
      </c>
      <c r="I7252" s="88">
        <f t="shared" si="1088"/>
        <v>-2404.070000000007</v>
      </c>
      <c r="K7252" s="62"/>
      <c r="L7252" s="2">
        <f t="shared" si="1089"/>
        <v>2</v>
      </c>
      <c r="M7252">
        <f t="shared" si="1090"/>
        <v>0</v>
      </c>
    </row>
    <row r="7253" spans="1:13" ht="18" x14ac:dyDescent="0.35">
      <c r="A7253" s="3">
        <f t="shared" si="1091"/>
        <v>45997</v>
      </c>
      <c r="B7253" s="177" t="s">
        <v>1160</v>
      </c>
      <c r="C7253" s="162" t="s">
        <v>5984</v>
      </c>
      <c r="D7253" s="156"/>
      <c r="E7253" s="90" t="s">
        <v>4720</v>
      </c>
      <c r="G7253" s="2">
        <v>500</v>
      </c>
      <c r="H7253" s="2">
        <v>0</v>
      </c>
      <c r="I7253" s="88">
        <f t="shared" si="1088"/>
        <v>-1904.070000000007</v>
      </c>
      <c r="K7253" s="62"/>
      <c r="L7253" s="2">
        <f t="shared" si="1089"/>
        <v>2</v>
      </c>
      <c r="M7253">
        <f t="shared" si="1090"/>
        <v>0</v>
      </c>
    </row>
    <row r="7254" spans="1:13" ht="18" x14ac:dyDescent="0.35">
      <c r="A7254" s="3">
        <f t="shared" si="1091"/>
        <v>45997</v>
      </c>
      <c r="B7254" s="177" t="s">
        <v>1250</v>
      </c>
      <c r="C7254" s="162" t="s">
        <v>9808</v>
      </c>
      <c r="D7254" s="156"/>
      <c r="E7254" s="90" t="s">
        <v>4720</v>
      </c>
      <c r="G7254" s="2">
        <v>3000</v>
      </c>
      <c r="H7254" s="2">
        <v>0</v>
      </c>
      <c r="I7254" s="88">
        <f t="shared" si="1088"/>
        <v>1095.929999999993</v>
      </c>
      <c r="K7254" s="62"/>
      <c r="L7254" s="2">
        <f t="shared" si="1089"/>
        <v>12</v>
      </c>
      <c r="M7254">
        <f t="shared" si="1090"/>
        <v>0</v>
      </c>
    </row>
    <row r="7255" spans="1:13" ht="18" x14ac:dyDescent="0.35">
      <c r="A7255" s="3">
        <f t="shared" si="1091"/>
        <v>45997</v>
      </c>
      <c r="B7255" s="11" t="s">
        <v>1472</v>
      </c>
      <c r="C7255" s="65" t="s">
        <v>8026</v>
      </c>
      <c r="D7255" s="156"/>
      <c r="E7255" s="90" t="s">
        <v>4720</v>
      </c>
      <c r="G7255" s="2">
        <v>8000</v>
      </c>
      <c r="H7255" s="2">
        <v>0</v>
      </c>
      <c r="I7255" s="88">
        <f t="shared" si="1088"/>
        <v>9095.929999999993</v>
      </c>
      <c r="K7255" s="62"/>
      <c r="L7255" s="2">
        <f t="shared" si="1089"/>
        <v>20</v>
      </c>
      <c r="M7255">
        <f t="shared" si="1090"/>
        <v>0</v>
      </c>
    </row>
    <row r="7256" spans="1:13" ht="18" x14ac:dyDescent="0.35">
      <c r="A7256" s="3">
        <f t="shared" si="1091"/>
        <v>45997</v>
      </c>
      <c r="B7256" s="11" t="s">
        <v>7348</v>
      </c>
      <c r="C7256" s="65" t="s">
        <v>476</v>
      </c>
      <c r="D7256" s="156"/>
      <c r="E7256" s="90" t="s">
        <v>4720</v>
      </c>
      <c r="G7256" s="2">
        <v>4000</v>
      </c>
      <c r="H7256" s="2">
        <v>0</v>
      </c>
      <c r="I7256" s="88">
        <f t="shared" si="1088"/>
        <v>13095.929999999993</v>
      </c>
      <c r="K7256" s="62"/>
      <c r="L7256" s="2">
        <f t="shared" si="1089"/>
        <v>16</v>
      </c>
      <c r="M7256">
        <f t="shared" si="1090"/>
        <v>0</v>
      </c>
    </row>
    <row r="7257" spans="1:13" ht="18" x14ac:dyDescent="0.35">
      <c r="A7257" s="3">
        <v>45999</v>
      </c>
      <c r="B7257" s="11" t="s">
        <v>2528</v>
      </c>
      <c r="C7257" s="65" t="s">
        <v>8993</v>
      </c>
      <c r="D7257" s="156"/>
      <c r="E7257" s="90" t="s">
        <v>4720</v>
      </c>
      <c r="G7257" s="2">
        <v>1500</v>
      </c>
      <c r="H7257" s="2">
        <v>0</v>
      </c>
      <c r="I7257" s="88">
        <f t="shared" si="1088"/>
        <v>14595.929999999993</v>
      </c>
      <c r="K7257" s="62"/>
      <c r="L7257" s="2">
        <f t="shared" si="1089"/>
        <v>6</v>
      </c>
      <c r="M7257">
        <f t="shared" si="1090"/>
        <v>0</v>
      </c>
    </row>
    <row r="7258" spans="1:13" ht="18" x14ac:dyDescent="0.35">
      <c r="A7258" s="3">
        <f t="shared" si="1091"/>
        <v>45999</v>
      </c>
      <c r="B7258" s="11" t="s">
        <v>2528</v>
      </c>
      <c r="C7258" s="65" t="s">
        <v>8993</v>
      </c>
      <c r="D7258" s="156"/>
      <c r="E7258" s="90" t="s">
        <v>7772</v>
      </c>
      <c r="G7258" s="2">
        <v>0</v>
      </c>
      <c r="H7258" s="2">
        <v>0</v>
      </c>
      <c r="I7258" s="88">
        <f t="shared" si="1088"/>
        <v>14595.929999999993</v>
      </c>
      <c r="K7258" s="62"/>
      <c r="L7258" s="2">
        <f t="shared" si="1089"/>
        <v>5</v>
      </c>
      <c r="M7258">
        <f t="shared" si="1090"/>
        <v>5</v>
      </c>
    </row>
    <row r="7259" spans="1:13" ht="18" x14ac:dyDescent="0.35">
      <c r="A7259" s="3">
        <f t="shared" si="1091"/>
        <v>45999</v>
      </c>
      <c r="B7259" s="11" t="s">
        <v>7432</v>
      </c>
      <c r="C7259" s="65" t="s">
        <v>8512</v>
      </c>
      <c r="D7259" s="156"/>
      <c r="E7259" s="90" t="s">
        <v>7772</v>
      </c>
      <c r="G7259" s="2">
        <v>5000</v>
      </c>
      <c r="H7259" s="2">
        <v>0</v>
      </c>
      <c r="I7259" s="88">
        <f t="shared" si="1088"/>
        <v>19595.929999999993</v>
      </c>
      <c r="K7259" s="62"/>
      <c r="L7259" s="2">
        <f t="shared" si="1089"/>
        <v>25</v>
      </c>
      <c r="M7259">
        <f t="shared" si="1090"/>
        <v>5</v>
      </c>
    </row>
    <row r="7260" spans="1:13" ht="18" x14ac:dyDescent="0.35">
      <c r="A7260" s="3">
        <f t="shared" si="1091"/>
        <v>45999</v>
      </c>
      <c r="B7260" s="11" t="s">
        <v>7432</v>
      </c>
      <c r="C7260" s="65" t="s">
        <v>8512</v>
      </c>
      <c r="D7260" s="156"/>
      <c r="E7260" s="90" t="s">
        <v>2088</v>
      </c>
      <c r="G7260" s="2">
        <v>0</v>
      </c>
      <c r="H7260" s="2">
        <v>0</v>
      </c>
      <c r="I7260" s="88">
        <f t="shared" si="1088"/>
        <v>19595.929999999993</v>
      </c>
      <c r="K7260" s="62"/>
      <c r="L7260" s="2">
        <f t="shared" si="1089"/>
        <v>5</v>
      </c>
      <c r="M7260">
        <f t="shared" si="1090"/>
        <v>5</v>
      </c>
    </row>
    <row r="7261" spans="1:13" ht="18" x14ac:dyDescent="0.35">
      <c r="A7261" s="3">
        <f t="shared" si="1091"/>
        <v>45999</v>
      </c>
      <c r="B7261" s="11" t="s">
        <v>1472</v>
      </c>
      <c r="C7261" s="65" t="s">
        <v>8507</v>
      </c>
      <c r="D7261" s="156"/>
      <c r="E7261" s="90" t="s">
        <v>2088</v>
      </c>
      <c r="G7261" s="2">
        <v>2100</v>
      </c>
      <c r="H7261" s="2">
        <v>0</v>
      </c>
      <c r="I7261" s="88">
        <f t="shared" si="1088"/>
        <v>21695.929999999993</v>
      </c>
      <c r="K7261" s="62"/>
      <c r="L7261" s="2">
        <f t="shared" si="1089"/>
        <v>13.4</v>
      </c>
      <c r="M7261">
        <f t="shared" si="1090"/>
        <v>5</v>
      </c>
    </row>
    <row r="7262" spans="1:13" ht="18" x14ac:dyDescent="0.35">
      <c r="A7262" s="3">
        <f t="shared" si="1091"/>
        <v>45999</v>
      </c>
      <c r="B7262" s="11" t="s">
        <v>2241</v>
      </c>
      <c r="C7262" s="65" t="s">
        <v>9809</v>
      </c>
      <c r="D7262" s="156"/>
      <c r="E7262" s="90" t="s">
        <v>4720</v>
      </c>
      <c r="G7262" s="2">
        <v>2000</v>
      </c>
      <c r="H7262" s="2">
        <v>0</v>
      </c>
      <c r="I7262" s="88">
        <f t="shared" si="1088"/>
        <v>23695.929999999993</v>
      </c>
      <c r="K7262" s="62"/>
      <c r="L7262" s="2">
        <f t="shared" si="1089"/>
        <v>8</v>
      </c>
      <c r="M7262">
        <f t="shared" si="1090"/>
        <v>0</v>
      </c>
    </row>
    <row r="7263" spans="1:13" ht="18" x14ac:dyDescent="0.35">
      <c r="A7263" s="3">
        <f t="shared" si="1091"/>
        <v>45999</v>
      </c>
      <c r="B7263" s="11" t="s">
        <v>6844</v>
      </c>
      <c r="C7263" s="65" t="s">
        <v>9810</v>
      </c>
      <c r="D7263" s="156"/>
      <c r="E7263" s="90" t="s">
        <v>4720</v>
      </c>
      <c r="G7263" s="2">
        <v>10000</v>
      </c>
      <c r="H7263" s="2">
        <v>0</v>
      </c>
      <c r="I7263" s="88">
        <f t="shared" si="1088"/>
        <v>33695.929999999993</v>
      </c>
      <c r="K7263" s="62"/>
      <c r="L7263" s="2">
        <f t="shared" si="1089"/>
        <v>20</v>
      </c>
      <c r="M7263">
        <f t="shared" si="1090"/>
        <v>0</v>
      </c>
    </row>
    <row r="7264" spans="1:13" ht="18" x14ac:dyDescent="0.35">
      <c r="A7264" s="3">
        <f t="shared" si="1091"/>
        <v>45999</v>
      </c>
      <c r="B7264" s="11" t="s">
        <v>9811</v>
      </c>
      <c r="C7264" s="65" t="s">
        <v>9812</v>
      </c>
      <c r="D7264" s="156"/>
      <c r="E7264" s="90" t="s">
        <v>4720</v>
      </c>
      <c r="G7264" s="2">
        <v>0</v>
      </c>
      <c r="H7264" s="2">
        <v>4000</v>
      </c>
      <c r="I7264" s="88">
        <f t="shared" si="1088"/>
        <v>29695.929999999993</v>
      </c>
      <c r="K7264" s="62"/>
      <c r="L7264" s="2">
        <f t="shared" si="1089"/>
        <v>16</v>
      </c>
      <c r="M7264">
        <f t="shared" si="1090"/>
        <v>0</v>
      </c>
    </row>
    <row r="7265" spans="1:13" ht="18" x14ac:dyDescent="0.35">
      <c r="A7265" s="3">
        <f t="shared" si="1091"/>
        <v>45999</v>
      </c>
      <c r="B7265" s="11" t="s">
        <v>4622</v>
      </c>
      <c r="C7265" s="65" t="s">
        <v>8340</v>
      </c>
      <c r="D7265" s="156"/>
      <c r="E7265" s="90" t="s">
        <v>2088</v>
      </c>
      <c r="G7265" s="2">
        <v>0</v>
      </c>
      <c r="H7265" s="2">
        <v>3000</v>
      </c>
      <c r="I7265" s="88">
        <f t="shared" si="1088"/>
        <v>26695.929999999993</v>
      </c>
      <c r="K7265" s="62"/>
      <c r="L7265" s="2">
        <f t="shared" si="1089"/>
        <v>17</v>
      </c>
      <c r="M7265">
        <f t="shared" si="1090"/>
        <v>5</v>
      </c>
    </row>
    <row r="7266" spans="1:13" ht="18" x14ac:dyDescent="0.35">
      <c r="A7266" s="3">
        <f t="shared" si="1091"/>
        <v>45999</v>
      </c>
      <c r="B7266" s="11" t="s">
        <v>2241</v>
      </c>
      <c r="C7266" s="65" t="s">
        <v>9813</v>
      </c>
      <c r="D7266" s="156">
        <v>99731594356</v>
      </c>
      <c r="E7266" s="90" t="s">
        <v>2088</v>
      </c>
      <c r="G7266" s="2">
        <v>0</v>
      </c>
      <c r="H7266" s="2">
        <v>0</v>
      </c>
      <c r="I7266" s="88">
        <f t="shared" si="1088"/>
        <v>26695.929999999993</v>
      </c>
      <c r="K7266" s="62"/>
      <c r="L7266" s="2">
        <f t="shared" si="1089"/>
        <v>5</v>
      </c>
      <c r="M7266">
        <f t="shared" si="1090"/>
        <v>5</v>
      </c>
    </row>
    <row r="7267" spans="1:13" ht="18" x14ac:dyDescent="0.35">
      <c r="A7267" s="3">
        <f t="shared" si="1091"/>
        <v>45999</v>
      </c>
      <c r="B7267" s="11" t="s">
        <v>4622</v>
      </c>
      <c r="C7267" s="65" t="s">
        <v>8340</v>
      </c>
      <c r="D7267" s="156"/>
      <c r="E7267" s="90" t="s">
        <v>4720</v>
      </c>
      <c r="G7267" s="2">
        <v>10000</v>
      </c>
      <c r="H7267" s="2">
        <v>0</v>
      </c>
      <c r="I7267" s="88">
        <f t="shared" ref="I7267" si="1092">I7266+G7267-H7267</f>
        <v>36695.929999999993</v>
      </c>
      <c r="K7267" s="62"/>
      <c r="L7267" s="2">
        <f t="shared" ref="L7267" si="1093">IF(E7267="C",0,IF((G7267+H7267)&lt;=5000,(G7267+H7267)*0.004,20)+IF(E7267="P",5,IF(E7267="Y",15,IF(E7267="YY",25))))</f>
        <v>20</v>
      </c>
      <c r="M7267">
        <f t="shared" ref="M7267" si="1094">IF(E7267="p",5,0)</f>
        <v>0</v>
      </c>
    </row>
    <row r="7268" spans="1:13" ht="18" x14ac:dyDescent="0.35">
      <c r="A7268" s="3">
        <f t="shared" si="1091"/>
        <v>45999</v>
      </c>
      <c r="B7268" s="11" t="s">
        <v>8674</v>
      </c>
      <c r="C7268" s="65" t="s">
        <v>8675</v>
      </c>
      <c r="D7268" s="156"/>
      <c r="E7268" s="90" t="s">
        <v>2088</v>
      </c>
      <c r="G7268" s="2">
        <v>0</v>
      </c>
      <c r="H7268" s="2">
        <v>7000</v>
      </c>
      <c r="I7268" s="88">
        <f t="shared" ref="I7268:I7276" si="1095">I7267+G7268-H7268</f>
        <v>29695.929999999993</v>
      </c>
      <c r="K7268" s="62"/>
      <c r="L7268" s="2">
        <f t="shared" ref="L7268:L7276" si="1096">IF(E7268="C",0,IF((G7268+H7268)&lt;=5000,(G7268+H7268)*0.004,20)+IF(E7268="P",5,IF(E7268="Y",15,IF(E7268="YY",25))))</f>
        <v>25</v>
      </c>
      <c r="M7268">
        <f t="shared" ref="M7268:M7276" si="1097">IF(E7268="p",5,0)</f>
        <v>5</v>
      </c>
    </row>
    <row r="7269" spans="1:13" ht="18" x14ac:dyDescent="0.35">
      <c r="A7269" s="3">
        <f t="shared" si="1091"/>
        <v>45999</v>
      </c>
      <c r="B7269" s="11" t="s">
        <v>6369</v>
      </c>
      <c r="C7269" s="65" t="s">
        <v>9814</v>
      </c>
      <c r="D7269" s="156"/>
      <c r="E7269" s="90" t="s">
        <v>4720</v>
      </c>
      <c r="G7269" s="2">
        <v>9000</v>
      </c>
      <c r="H7269" s="2">
        <v>0</v>
      </c>
      <c r="I7269" s="88">
        <f t="shared" si="1095"/>
        <v>38695.929999999993</v>
      </c>
      <c r="K7269" s="62"/>
      <c r="L7269" s="2">
        <f t="shared" si="1096"/>
        <v>20</v>
      </c>
      <c r="M7269">
        <f t="shared" si="1097"/>
        <v>0</v>
      </c>
    </row>
    <row r="7270" spans="1:13" ht="18" x14ac:dyDescent="0.35">
      <c r="A7270" s="3">
        <f t="shared" si="1091"/>
        <v>45999</v>
      </c>
      <c r="B7270" s="11" t="s">
        <v>7996</v>
      </c>
      <c r="C7270" s="65" t="s">
        <v>9815</v>
      </c>
      <c r="D7270" s="156"/>
      <c r="E7270" s="90" t="s">
        <v>2088</v>
      </c>
      <c r="G7270" s="2">
        <v>1100</v>
      </c>
      <c r="H7270" s="2">
        <v>0</v>
      </c>
      <c r="I7270" s="88">
        <f t="shared" si="1095"/>
        <v>39795.929999999993</v>
      </c>
      <c r="K7270" s="62"/>
      <c r="L7270" s="2">
        <f t="shared" si="1096"/>
        <v>9.4</v>
      </c>
      <c r="M7270">
        <f t="shared" si="1097"/>
        <v>5</v>
      </c>
    </row>
    <row r="7271" spans="1:13" ht="18" x14ac:dyDescent="0.35">
      <c r="A7271" s="3">
        <f t="shared" si="1091"/>
        <v>45999</v>
      </c>
      <c r="B7271" s="11" t="s">
        <v>6260</v>
      </c>
      <c r="C7271" s="65" t="s">
        <v>7117</v>
      </c>
      <c r="D7271" s="156"/>
      <c r="E7271" s="90" t="s">
        <v>4720</v>
      </c>
      <c r="G7271" s="2">
        <v>3900</v>
      </c>
      <c r="H7271" s="2">
        <v>0</v>
      </c>
      <c r="I7271" s="88">
        <f t="shared" si="1095"/>
        <v>43695.929999999993</v>
      </c>
      <c r="K7271" s="62"/>
      <c r="L7271" s="2">
        <f t="shared" si="1096"/>
        <v>15.6</v>
      </c>
      <c r="M7271">
        <f t="shared" si="1097"/>
        <v>0</v>
      </c>
    </row>
    <row r="7272" spans="1:13" ht="18" x14ac:dyDescent="0.35">
      <c r="A7272" s="3">
        <v>46000</v>
      </c>
      <c r="B7272" s="11" t="s">
        <v>5123</v>
      </c>
      <c r="C7272" s="65" t="s">
        <v>6984</v>
      </c>
      <c r="D7272" s="156"/>
      <c r="E7272" s="90" t="s">
        <v>4720</v>
      </c>
      <c r="G7272" s="2">
        <v>0</v>
      </c>
      <c r="H7272" s="2">
        <v>6000</v>
      </c>
      <c r="I7272" s="88">
        <f t="shared" si="1095"/>
        <v>37695.929999999993</v>
      </c>
      <c r="K7272" s="62"/>
      <c r="L7272" s="2">
        <f t="shared" si="1096"/>
        <v>20</v>
      </c>
      <c r="M7272">
        <f t="shared" si="1097"/>
        <v>0</v>
      </c>
    </row>
    <row r="7273" spans="1:13" ht="18" x14ac:dyDescent="0.35">
      <c r="A7273" s="3">
        <f t="shared" si="1091"/>
        <v>46000</v>
      </c>
      <c r="B7273" s="11" t="s">
        <v>7724</v>
      </c>
      <c r="C7273" s="65" t="s">
        <v>8845</v>
      </c>
      <c r="D7273" s="156"/>
      <c r="E7273" s="90" t="s">
        <v>4720</v>
      </c>
      <c r="G7273" s="2">
        <v>9000</v>
      </c>
      <c r="H7273" s="2">
        <v>0</v>
      </c>
      <c r="I7273" s="88">
        <f t="shared" si="1095"/>
        <v>46695.929999999993</v>
      </c>
      <c r="K7273" s="62"/>
      <c r="L7273" s="2">
        <f t="shared" si="1096"/>
        <v>20</v>
      </c>
      <c r="M7273">
        <f t="shared" si="1097"/>
        <v>0</v>
      </c>
    </row>
    <row r="7274" spans="1:13" ht="18" x14ac:dyDescent="0.35">
      <c r="A7274" s="3">
        <f t="shared" si="1091"/>
        <v>46000</v>
      </c>
      <c r="B7274" s="11" t="s">
        <v>6778</v>
      </c>
      <c r="C7274" s="65" t="s">
        <v>9816</v>
      </c>
      <c r="D7274" s="156"/>
      <c r="E7274" s="90" t="s">
        <v>4720</v>
      </c>
      <c r="G7274" s="2">
        <v>0</v>
      </c>
      <c r="H7274" s="2">
        <v>7000</v>
      </c>
      <c r="I7274" s="88">
        <f t="shared" si="1095"/>
        <v>39695.929999999993</v>
      </c>
      <c r="K7274" s="62"/>
      <c r="L7274" s="2">
        <f t="shared" si="1096"/>
        <v>20</v>
      </c>
      <c r="M7274">
        <f t="shared" si="1097"/>
        <v>0</v>
      </c>
    </row>
    <row r="7275" spans="1:13" ht="18" x14ac:dyDescent="0.35">
      <c r="A7275" s="3">
        <f t="shared" si="1091"/>
        <v>46000</v>
      </c>
      <c r="B7275" s="11" t="s">
        <v>9119</v>
      </c>
      <c r="C7275" s="65" t="s">
        <v>9817</v>
      </c>
      <c r="D7275" s="156"/>
      <c r="E7275" s="90" t="s">
        <v>2088</v>
      </c>
      <c r="G7275" s="2">
        <v>5500</v>
      </c>
      <c r="H7275" s="2">
        <v>0</v>
      </c>
      <c r="I7275" s="88">
        <f t="shared" si="1095"/>
        <v>45195.929999999993</v>
      </c>
      <c r="K7275" s="62"/>
      <c r="L7275" s="2">
        <f t="shared" si="1096"/>
        <v>25</v>
      </c>
      <c r="M7275">
        <f t="shared" si="1097"/>
        <v>5</v>
      </c>
    </row>
    <row r="7276" spans="1:13" ht="18" x14ac:dyDescent="0.35">
      <c r="A7276" s="3">
        <f t="shared" si="1091"/>
        <v>46000</v>
      </c>
      <c r="B7276" s="11" t="s">
        <v>2448</v>
      </c>
      <c r="C7276" s="65" t="s">
        <v>3605</v>
      </c>
      <c r="D7276" s="156"/>
      <c r="E7276" s="90" t="s">
        <v>4720</v>
      </c>
      <c r="H7276" s="2">
        <v>4000</v>
      </c>
      <c r="I7276" s="88">
        <f t="shared" si="1095"/>
        <v>41195.929999999993</v>
      </c>
      <c r="K7276" s="62"/>
      <c r="L7276" s="2">
        <f t="shared" si="1096"/>
        <v>16</v>
      </c>
      <c r="M7276">
        <f t="shared" si="1097"/>
        <v>0</v>
      </c>
    </row>
    <row r="7277" spans="1:13" ht="18" x14ac:dyDescent="0.35">
      <c r="A7277" s="3">
        <f t="shared" si="1091"/>
        <v>46000</v>
      </c>
      <c r="B7277" s="11" t="s">
        <v>1250</v>
      </c>
      <c r="C7277" s="65" t="s">
        <v>9818</v>
      </c>
      <c r="D7277" s="156"/>
      <c r="E7277" s="90" t="s">
        <v>4720</v>
      </c>
      <c r="G7277" s="2">
        <v>0</v>
      </c>
      <c r="H7277" s="2">
        <v>6000</v>
      </c>
      <c r="I7277" s="88">
        <f t="shared" ref="I7277:I7286" si="1098">I7276+G7277-H7277</f>
        <v>35195.929999999993</v>
      </c>
      <c r="K7277" s="62"/>
      <c r="L7277" s="2">
        <f t="shared" ref="L7277:L7286" si="1099">IF(E7277="C",0,IF((G7277+H7277)&lt;=5000,(G7277+H7277)*0.004,20)+IF(E7277="P",5,IF(E7277="Y",15,IF(E7277="YY",25))))</f>
        <v>20</v>
      </c>
      <c r="M7277">
        <f t="shared" ref="M7277:M7286" si="1100">IF(E7277="p",5,0)</f>
        <v>0</v>
      </c>
    </row>
    <row r="7278" spans="1:13" ht="18" x14ac:dyDescent="0.35">
      <c r="A7278" s="3">
        <f t="shared" si="1091"/>
        <v>46000</v>
      </c>
      <c r="B7278" s="11" t="s">
        <v>9528</v>
      </c>
      <c r="C7278" s="65" t="s">
        <v>8751</v>
      </c>
      <c r="D7278" s="156"/>
      <c r="E7278" s="90" t="s">
        <v>4720</v>
      </c>
      <c r="G7278" s="2">
        <v>4000</v>
      </c>
      <c r="H7278" s="2">
        <v>0</v>
      </c>
      <c r="I7278" s="88">
        <f t="shared" si="1098"/>
        <v>39195.929999999993</v>
      </c>
      <c r="K7278" s="62"/>
      <c r="L7278" s="2">
        <f t="shared" si="1099"/>
        <v>16</v>
      </c>
      <c r="M7278">
        <f t="shared" si="1100"/>
        <v>0</v>
      </c>
    </row>
    <row r="7279" spans="1:13" ht="18" x14ac:dyDescent="0.35">
      <c r="A7279" s="3">
        <f t="shared" si="1091"/>
        <v>46000</v>
      </c>
      <c r="B7279" s="11" t="s">
        <v>6549</v>
      </c>
      <c r="C7279" s="65" t="s">
        <v>7990</v>
      </c>
      <c r="D7279" s="156"/>
      <c r="E7279" s="90" t="s">
        <v>2088</v>
      </c>
      <c r="G7279" s="2">
        <v>1000</v>
      </c>
      <c r="H7279" s="2">
        <v>0</v>
      </c>
      <c r="I7279" s="88">
        <f t="shared" si="1098"/>
        <v>40195.929999999993</v>
      </c>
      <c r="K7279" s="62"/>
      <c r="L7279" s="2">
        <f t="shared" si="1099"/>
        <v>9</v>
      </c>
      <c r="M7279">
        <f t="shared" si="1100"/>
        <v>5</v>
      </c>
    </row>
    <row r="7280" spans="1:13" ht="18" x14ac:dyDescent="0.35">
      <c r="A7280" s="3">
        <f t="shared" si="1091"/>
        <v>46000</v>
      </c>
      <c r="B7280" s="11" t="s">
        <v>1472</v>
      </c>
      <c r="C7280" s="65" t="s">
        <v>9819</v>
      </c>
      <c r="D7280" s="156"/>
      <c r="E7280" s="90" t="s">
        <v>2088</v>
      </c>
      <c r="G7280" s="2">
        <v>2000</v>
      </c>
      <c r="H7280" s="2">
        <v>0</v>
      </c>
      <c r="I7280" s="88">
        <f t="shared" si="1098"/>
        <v>42195.929999999993</v>
      </c>
      <c r="K7280" s="62"/>
      <c r="L7280" s="2">
        <f t="shared" si="1099"/>
        <v>13</v>
      </c>
      <c r="M7280">
        <f t="shared" si="1100"/>
        <v>5</v>
      </c>
    </row>
    <row r="7281" spans="1:13" ht="18" x14ac:dyDescent="0.35">
      <c r="A7281" s="3">
        <f t="shared" si="1091"/>
        <v>46000</v>
      </c>
      <c r="B7281" s="11" t="s">
        <v>9820</v>
      </c>
      <c r="C7281" s="65" t="s">
        <v>9821</v>
      </c>
      <c r="D7281" s="156"/>
      <c r="E7281" s="90" t="s">
        <v>4720</v>
      </c>
      <c r="G7281" s="2">
        <v>2000</v>
      </c>
      <c r="H7281" s="2">
        <v>0</v>
      </c>
      <c r="I7281" s="88">
        <f t="shared" si="1098"/>
        <v>44195.929999999993</v>
      </c>
      <c r="K7281" s="62"/>
      <c r="L7281" s="2">
        <f t="shared" si="1099"/>
        <v>8</v>
      </c>
      <c r="M7281">
        <f t="shared" si="1100"/>
        <v>0</v>
      </c>
    </row>
    <row r="7282" spans="1:13" ht="18" x14ac:dyDescent="0.35">
      <c r="A7282" s="3">
        <f t="shared" si="1091"/>
        <v>46000</v>
      </c>
      <c r="B7282" s="11" t="s">
        <v>8553</v>
      </c>
      <c r="C7282" s="65" t="s">
        <v>8703</v>
      </c>
      <c r="D7282" s="156"/>
      <c r="E7282" s="90" t="s">
        <v>7772</v>
      </c>
      <c r="G7282" s="2">
        <v>2000</v>
      </c>
      <c r="H7282" s="2">
        <v>0</v>
      </c>
      <c r="I7282" s="88">
        <f t="shared" si="1098"/>
        <v>46195.929999999993</v>
      </c>
      <c r="K7282" s="62"/>
      <c r="L7282" s="2">
        <f t="shared" si="1099"/>
        <v>13</v>
      </c>
      <c r="M7282">
        <f t="shared" si="1100"/>
        <v>5</v>
      </c>
    </row>
    <row r="7283" spans="1:13" ht="18" x14ac:dyDescent="0.35">
      <c r="A7283" s="3">
        <f t="shared" si="1091"/>
        <v>46000</v>
      </c>
      <c r="B7283" s="11" t="s">
        <v>5955</v>
      </c>
      <c r="C7283" s="65" t="s">
        <v>9822</v>
      </c>
      <c r="D7283" s="156"/>
      <c r="E7283" s="90" t="s">
        <v>2088</v>
      </c>
      <c r="G7283" s="2">
        <v>800</v>
      </c>
      <c r="H7283" s="2">
        <v>0</v>
      </c>
      <c r="I7283" s="88">
        <f t="shared" si="1098"/>
        <v>46995.929999999993</v>
      </c>
      <c r="K7283" s="62"/>
      <c r="L7283" s="2">
        <f t="shared" si="1099"/>
        <v>8.1999999999999993</v>
      </c>
      <c r="M7283">
        <f t="shared" si="1100"/>
        <v>5</v>
      </c>
    </row>
    <row r="7284" spans="1:13" ht="18" x14ac:dyDescent="0.35">
      <c r="A7284" s="3">
        <f t="shared" si="1091"/>
        <v>46000</v>
      </c>
      <c r="B7284" s="11" t="s">
        <v>2689</v>
      </c>
      <c r="C7284" s="65" t="s">
        <v>1279</v>
      </c>
      <c r="D7284" s="156"/>
      <c r="E7284" s="90" t="s">
        <v>2088</v>
      </c>
      <c r="G7284" s="2">
        <v>4700</v>
      </c>
      <c r="H7284" s="2">
        <v>0</v>
      </c>
      <c r="I7284" s="88">
        <f t="shared" si="1098"/>
        <v>51695.929999999993</v>
      </c>
      <c r="K7284" s="62"/>
      <c r="L7284" s="2">
        <f t="shared" si="1099"/>
        <v>23.8</v>
      </c>
      <c r="M7284">
        <f t="shared" si="1100"/>
        <v>5</v>
      </c>
    </row>
    <row r="7285" spans="1:13" x14ac:dyDescent="0.3">
      <c r="A7285" s="3">
        <f t="shared" si="1091"/>
        <v>46000</v>
      </c>
      <c r="B7285" s="11" t="s">
        <v>8052</v>
      </c>
      <c r="C7285" s="51" t="s">
        <v>8053</v>
      </c>
      <c r="D7285" s="153"/>
      <c r="E7285" s="90" t="s">
        <v>4720</v>
      </c>
      <c r="G7285" s="2">
        <v>0</v>
      </c>
      <c r="H7285" s="2">
        <v>10000</v>
      </c>
      <c r="I7285" s="88">
        <f t="shared" si="1098"/>
        <v>41695.929999999993</v>
      </c>
      <c r="K7285" s="62"/>
      <c r="L7285" s="2">
        <f t="shared" si="1099"/>
        <v>20</v>
      </c>
      <c r="M7285">
        <f t="shared" si="1100"/>
        <v>0</v>
      </c>
    </row>
    <row r="7286" spans="1:13" s="153" customFormat="1" x14ac:dyDescent="0.3">
      <c r="A7286" s="3">
        <v>46001</v>
      </c>
      <c r="B7286" s="11">
        <v>5331</v>
      </c>
      <c r="C7286" s="65" t="s">
        <v>7347</v>
      </c>
      <c r="E7286" s="90" t="s">
        <v>2088</v>
      </c>
      <c r="F7286" s="4"/>
      <c r="G7286" s="2">
        <v>500</v>
      </c>
      <c r="H7286" s="2">
        <v>0</v>
      </c>
      <c r="I7286" s="88">
        <f t="shared" si="1098"/>
        <v>42195.929999999993</v>
      </c>
      <c r="J7286"/>
      <c r="K7286" s="62"/>
      <c r="L7286" s="2">
        <f t="shared" si="1099"/>
        <v>7</v>
      </c>
      <c r="M7286">
        <f t="shared" si="1100"/>
        <v>5</v>
      </c>
    </row>
    <row r="7287" spans="1:13" s="153" customFormat="1" x14ac:dyDescent="0.3">
      <c r="A7287" s="3">
        <f t="shared" si="1091"/>
        <v>46001</v>
      </c>
      <c r="B7287" s="11" t="s">
        <v>9825</v>
      </c>
      <c r="C7287" s="51" t="s">
        <v>9826</v>
      </c>
      <c r="E7287" s="90" t="s">
        <v>2088</v>
      </c>
      <c r="F7287" s="4"/>
      <c r="G7287" s="2">
        <v>5000</v>
      </c>
      <c r="H7287" s="2">
        <v>0</v>
      </c>
      <c r="I7287" s="88">
        <f t="shared" ref="I7287:I7303" si="1101">I7286+G7287-H7287</f>
        <v>47195.929999999993</v>
      </c>
      <c r="J7287"/>
      <c r="K7287" s="62"/>
      <c r="L7287" s="2">
        <f t="shared" ref="L7287:L7303" si="1102">IF(E7287="C",0,IF((G7287+H7287)&lt;=5000,(G7287+H7287)*0.004,20)+IF(E7287="P",5,IF(E7287="Y",15,IF(E7287="YY",25))))</f>
        <v>25</v>
      </c>
      <c r="M7287">
        <f t="shared" ref="M7287:M7303" si="1103">IF(E7287="p",5,0)</f>
        <v>5</v>
      </c>
    </row>
    <row r="7288" spans="1:13" s="153" customFormat="1" x14ac:dyDescent="0.3">
      <c r="A7288" s="3">
        <f t="shared" si="1091"/>
        <v>46001</v>
      </c>
      <c r="B7288" s="11"/>
      <c r="C7288" s="51" t="s">
        <v>2857</v>
      </c>
      <c r="E7288" s="90" t="s">
        <v>14</v>
      </c>
      <c r="F7288" s="4"/>
      <c r="G7288" s="2"/>
      <c r="H7288" s="2">
        <v>500</v>
      </c>
      <c r="I7288" s="88">
        <f t="shared" si="1101"/>
        <v>46695.929999999993</v>
      </c>
      <c r="J7288"/>
      <c r="K7288" s="62"/>
      <c r="L7288" s="2">
        <f t="shared" si="1102"/>
        <v>17</v>
      </c>
      <c r="M7288">
        <f t="shared" si="1103"/>
        <v>0</v>
      </c>
    </row>
    <row r="7289" spans="1:13" s="153" customFormat="1" x14ac:dyDescent="0.3">
      <c r="A7289" s="3">
        <f t="shared" si="1091"/>
        <v>46001</v>
      </c>
      <c r="B7289" s="11" t="s">
        <v>9827</v>
      </c>
      <c r="C7289" s="51" t="s">
        <v>9828</v>
      </c>
      <c r="E7289" s="90" t="s">
        <v>8332</v>
      </c>
      <c r="F7289" s="4"/>
      <c r="G7289" s="2"/>
      <c r="H7289" s="2">
        <v>50000</v>
      </c>
      <c r="I7289" s="88">
        <f t="shared" si="1101"/>
        <v>-3304.070000000007</v>
      </c>
      <c r="J7289"/>
      <c r="K7289" s="62"/>
      <c r="L7289" s="2">
        <f t="shared" si="1102"/>
        <v>0</v>
      </c>
      <c r="M7289">
        <f t="shared" si="1103"/>
        <v>0</v>
      </c>
    </row>
    <row r="7290" spans="1:13" s="153" customFormat="1" x14ac:dyDescent="0.3">
      <c r="A7290" s="3">
        <f t="shared" si="1091"/>
        <v>46001</v>
      </c>
      <c r="B7290" s="11" t="s">
        <v>7374</v>
      </c>
      <c r="C7290" s="51" t="s">
        <v>8655</v>
      </c>
      <c r="D7290" s="153" t="s">
        <v>5837</v>
      </c>
      <c r="E7290" s="90" t="s">
        <v>7772</v>
      </c>
      <c r="F7290" s="4"/>
      <c r="G7290" s="2">
        <v>2000</v>
      </c>
      <c r="H7290" s="2">
        <v>0</v>
      </c>
      <c r="I7290" s="88">
        <f t="shared" si="1101"/>
        <v>-1304.070000000007</v>
      </c>
      <c r="J7290"/>
      <c r="K7290" s="62"/>
      <c r="L7290" s="2">
        <f t="shared" si="1102"/>
        <v>13</v>
      </c>
      <c r="M7290">
        <f t="shared" si="1103"/>
        <v>5</v>
      </c>
    </row>
    <row r="7291" spans="1:13" s="153" customFormat="1" x14ac:dyDescent="0.3">
      <c r="A7291" s="3">
        <f t="shared" si="1091"/>
        <v>46001</v>
      </c>
      <c r="B7291" s="11" t="s">
        <v>7996</v>
      </c>
      <c r="C7291" s="65" t="s">
        <v>9815</v>
      </c>
      <c r="E7291" s="90" t="s">
        <v>2088</v>
      </c>
      <c r="F7291" s="4"/>
      <c r="G7291" s="2">
        <v>10000</v>
      </c>
      <c r="H7291" s="2">
        <v>0</v>
      </c>
      <c r="I7291" s="88">
        <f t="shared" si="1101"/>
        <v>8695.929999999993</v>
      </c>
      <c r="J7291"/>
      <c r="K7291" s="62"/>
      <c r="L7291" s="2">
        <f t="shared" si="1102"/>
        <v>25</v>
      </c>
      <c r="M7291">
        <f t="shared" si="1103"/>
        <v>5</v>
      </c>
    </row>
    <row r="7292" spans="1:13" s="153" customFormat="1" x14ac:dyDescent="0.3">
      <c r="A7292" s="3">
        <f t="shared" si="1091"/>
        <v>46001</v>
      </c>
      <c r="B7292" s="11" t="s">
        <v>6864</v>
      </c>
      <c r="C7292" s="51" t="s">
        <v>6863</v>
      </c>
      <c r="E7292" s="90" t="s">
        <v>4720</v>
      </c>
      <c r="F7292" s="4"/>
      <c r="G7292" s="2">
        <v>10000</v>
      </c>
      <c r="H7292" s="2">
        <v>0</v>
      </c>
      <c r="I7292" s="88">
        <f t="shared" si="1101"/>
        <v>18695.929999999993</v>
      </c>
      <c r="J7292"/>
      <c r="K7292" s="62"/>
      <c r="L7292" s="2">
        <f t="shared" si="1102"/>
        <v>20</v>
      </c>
      <c r="M7292">
        <f t="shared" si="1103"/>
        <v>0</v>
      </c>
    </row>
    <row r="7293" spans="1:13" s="153" customFormat="1" x14ac:dyDescent="0.3">
      <c r="A7293" s="3">
        <f t="shared" si="1091"/>
        <v>46001</v>
      </c>
      <c r="B7293" s="11" t="s">
        <v>6522</v>
      </c>
      <c r="C7293" s="51" t="s">
        <v>9829</v>
      </c>
      <c r="E7293" s="90" t="s">
        <v>4720</v>
      </c>
      <c r="F7293" s="4"/>
      <c r="G7293" s="2">
        <v>3000</v>
      </c>
      <c r="H7293" s="2">
        <v>0</v>
      </c>
      <c r="I7293" s="88">
        <f t="shared" si="1101"/>
        <v>21695.929999999993</v>
      </c>
      <c r="J7293"/>
      <c r="K7293" s="62"/>
      <c r="L7293" s="2">
        <f t="shared" si="1102"/>
        <v>12</v>
      </c>
      <c r="M7293">
        <f t="shared" si="1103"/>
        <v>0</v>
      </c>
    </row>
    <row r="7294" spans="1:13" s="153" customFormat="1" x14ac:dyDescent="0.3">
      <c r="A7294" s="3">
        <f t="shared" si="1091"/>
        <v>46001</v>
      </c>
      <c r="B7294" s="11" t="s">
        <v>3877</v>
      </c>
      <c r="C7294" s="51" t="s">
        <v>9163</v>
      </c>
      <c r="E7294" s="90" t="s">
        <v>4720</v>
      </c>
      <c r="F7294" s="4"/>
      <c r="G7294" s="2">
        <v>3000</v>
      </c>
      <c r="H7294" s="2">
        <v>0</v>
      </c>
      <c r="I7294" s="88">
        <f t="shared" si="1101"/>
        <v>24695.929999999993</v>
      </c>
      <c r="J7294"/>
      <c r="K7294" s="62"/>
      <c r="L7294" s="2">
        <f t="shared" si="1102"/>
        <v>12</v>
      </c>
      <c r="M7294">
        <f t="shared" si="1103"/>
        <v>0</v>
      </c>
    </row>
    <row r="7295" spans="1:13" s="153" customFormat="1" x14ac:dyDescent="0.3">
      <c r="A7295" s="3">
        <f t="shared" si="1091"/>
        <v>46001</v>
      </c>
      <c r="B7295" s="11" t="s">
        <v>8553</v>
      </c>
      <c r="C7295" s="51" t="s">
        <v>8703</v>
      </c>
      <c r="E7295" s="90" t="s">
        <v>4720</v>
      </c>
      <c r="F7295" s="4"/>
      <c r="G7295" s="2">
        <v>1000</v>
      </c>
      <c r="H7295" s="2">
        <v>0</v>
      </c>
      <c r="I7295" s="88">
        <f t="shared" si="1101"/>
        <v>25695.929999999993</v>
      </c>
      <c r="J7295"/>
      <c r="K7295" s="62"/>
      <c r="L7295" s="2">
        <f t="shared" si="1102"/>
        <v>4</v>
      </c>
      <c r="M7295">
        <f t="shared" si="1103"/>
        <v>0</v>
      </c>
    </row>
    <row r="7296" spans="1:13" s="153" customFormat="1" x14ac:dyDescent="0.3">
      <c r="A7296" s="3">
        <f t="shared" si="1091"/>
        <v>46001</v>
      </c>
      <c r="B7296" s="11" t="s">
        <v>8553</v>
      </c>
      <c r="C7296" s="51" t="s">
        <v>8703</v>
      </c>
      <c r="E7296" s="90" t="s">
        <v>2088</v>
      </c>
      <c r="F7296" s="4"/>
      <c r="G7296" s="2">
        <v>0</v>
      </c>
      <c r="H7296" s="2">
        <v>0</v>
      </c>
      <c r="I7296" s="88">
        <f t="shared" si="1101"/>
        <v>25695.929999999993</v>
      </c>
      <c r="J7296"/>
      <c r="K7296" s="62"/>
      <c r="L7296" s="2">
        <f t="shared" si="1102"/>
        <v>5</v>
      </c>
      <c r="M7296">
        <f t="shared" si="1103"/>
        <v>5</v>
      </c>
    </row>
    <row r="7297" spans="1:13" s="153" customFormat="1" x14ac:dyDescent="0.3">
      <c r="A7297" s="3">
        <f t="shared" si="1091"/>
        <v>46001</v>
      </c>
      <c r="B7297" s="11" t="s">
        <v>7262</v>
      </c>
      <c r="C7297" s="51" t="s">
        <v>8104</v>
      </c>
      <c r="E7297" s="90" t="s">
        <v>2088</v>
      </c>
      <c r="F7297" s="4"/>
      <c r="G7297" s="2">
        <v>3000</v>
      </c>
      <c r="H7297" s="2">
        <v>0</v>
      </c>
      <c r="I7297" s="88">
        <f t="shared" si="1101"/>
        <v>28695.929999999993</v>
      </c>
      <c r="J7297"/>
      <c r="K7297" s="62"/>
      <c r="L7297" s="2">
        <f t="shared" si="1102"/>
        <v>17</v>
      </c>
      <c r="M7297">
        <f t="shared" si="1103"/>
        <v>5</v>
      </c>
    </row>
    <row r="7298" spans="1:13" s="153" customFormat="1" x14ac:dyDescent="0.3">
      <c r="A7298" s="3">
        <f t="shared" si="1091"/>
        <v>46001</v>
      </c>
      <c r="B7298" s="11" t="s">
        <v>8806</v>
      </c>
      <c r="C7298" s="51" t="s">
        <v>2615</v>
      </c>
      <c r="E7298" s="90" t="s">
        <v>2088</v>
      </c>
      <c r="F7298" s="4"/>
      <c r="G7298" s="2">
        <v>10000</v>
      </c>
      <c r="H7298" s="2">
        <v>0</v>
      </c>
      <c r="I7298" s="88">
        <f t="shared" si="1101"/>
        <v>38695.929999999993</v>
      </c>
      <c r="J7298"/>
      <c r="K7298" s="62"/>
      <c r="L7298" s="2">
        <f t="shared" si="1102"/>
        <v>25</v>
      </c>
      <c r="M7298">
        <f t="shared" si="1103"/>
        <v>5</v>
      </c>
    </row>
    <row r="7299" spans="1:13" s="153" customFormat="1" x14ac:dyDescent="0.3">
      <c r="A7299" s="3">
        <f t="shared" si="1091"/>
        <v>46001</v>
      </c>
      <c r="B7299" s="11" t="s">
        <v>2241</v>
      </c>
      <c r="C7299" s="51" t="s">
        <v>9830</v>
      </c>
      <c r="D7299" s="153" t="s">
        <v>9831</v>
      </c>
      <c r="E7299" s="90" t="s">
        <v>2088</v>
      </c>
      <c r="F7299" s="4"/>
      <c r="G7299" s="2"/>
      <c r="H7299" s="2">
        <v>4900</v>
      </c>
      <c r="I7299" s="88">
        <f t="shared" si="1101"/>
        <v>33795.929999999993</v>
      </c>
      <c r="J7299"/>
      <c r="K7299" s="62"/>
      <c r="L7299" s="2">
        <f t="shared" si="1102"/>
        <v>24.6</v>
      </c>
      <c r="M7299">
        <f t="shared" si="1103"/>
        <v>5</v>
      </c>
    </row>
    <row r="7300" spans="1:13" s="153" customFormat="1" x14ac:dyDescent="0.3">
      <c r="A7300" s="3">
        <f t="shared" si="1091"/>
        <v>46001</v>
      </c>
      <c r="B7300" s="11" t="s">
        <v>8659</v>
      </c>
      <c r="C7300" s="51" t="s">
        <v>2626</v>
      </c>
      <c r="E7300" s="90" t="s">
        <v>4720</v>
      </c>
      <c r="F7300" s="4"/>
      <c r="G7300" s="2">
        <v>9000</v>
      </c>
      <c r="H7300" s="2">
        <v>0</v>
      </c>
      <c r="I7300" s="88">
        <f t="shared" si="1101"/>
        <v>42795.929999999993</v>
      </c>
      <c r="J7300"/>
      <c r="K7300" s="62"/>
      <c r="L7300" s="2">
        <f t="shared" si="1102"/>
        <v>20</v>
      </c>
      <c r="M7300">
        <f t="shared" si="1103"/>
        <v>0</v>
      </c>
    </row>
    <row r="7301" spans="1:13" s="153" customFormat="1" x14ac:dyDescent="0.3">
      <c r="A7301" s="3">
        <v>46002</v>
      </c>
      <c r="B7301" s="11"/>
      <c r="C7301" s="51" t="s">
        <v>2857</v>
      </c>
      <c r="E7301" s="90" t="s">
        <v>2088</v>
      </c>
      <c r="F7301" s="4"/>
      <c r="G7301" s="2">
        <v>1000</v>
      </c>
      <c r="H7301" s="2">
        <v>0</v>
      </c>
      <c r="I7301" s="88">
        <f t="shared" si="1101"/>
        <v>43795.929999999993</v>
      </c>
      <c r="J7301"/>
      <c r="K7301" s="62"/>
      <c r="L7301" s="2">
        <f t="shared" si="1102"/>
        <v>9</v>
      </c>
      <c r="M7301">
        <f t="shared" si="1103"/>
        <v>5</v>
      </c>
    </row>
    <row r="7302" spans="1:13" s="153" customFormat="1" x14ac:dyDescent="0.3">
      <c r="A7302" s="3">
        <f t="shared" si="1091"/>
        <v>46002</v>
      </c>
      <c r="B7302" s="11" t="s">
        <v>2089</v>
      </c>
      <c r="C7302" s="51" t="s">
        <v>9832</v>
      </c>
      <c r="E7302" s="90" t="s">
        <v>8332</v>
      </c>
      <c r="F7302" s="4"/>
      <c r="G7302" s="2"/>
      <c r="H7302" s="2">
        <v>50000</v>
      </c>
      <c r="I7302" s="88">
        <f t="shared" si="1101"/>
        <v>-6204.070000000007</v>
      </c>
      <c r="J7302"/>
      <c r="K7302" s="62"/>
      <c r="L7302" s="2">
        <f t="shared" si="1102"/>
        <v>0</v>
      </c>
      <c r="M7302">
        <f t="shared" si="1103"/>
        <v>0</v>
      </c>
    </row>
    <row r="7303" spans="1:13" s="153" customFormat="1" x14ac:dyDescent="0.3">
      <c r="A7303" s="3">
        <f t="shared" si="1091"/>
        <v>46002</v>
      </c>
      <c r="B7303" s="11" t="s">
        <v>2089</v>
      </c>
      <c r="C7303" s="51" t="s">
        <v>9832</v>
      </c>
      <c r="E7303" s="90" t="s">
        <v>2088</v>
      </c>
      <c r="F7303" s="4"/>
      <c r="G7303" s="2"/>
      <c r="H7303" s="2">
        <v>0</v>
      </c>
      <c r="I7303" s="88">
        <f t="shared" si="1101"/>
        <v>-6204.070000000007</v>
      </c>
      <c r="J7303"/>
      <c r="K7303" s="62"/>
      <c r="L7303" s="2">
        <f t="shared" si="1102"/>
        <v>5</v>
      </c>
      <c r="M7303">
        <f t="shared" si="1103"/>
        <v>5</v>
      </c>
    </row>
    <row r="7304" spans="1:13" s="153" customFormat="1" x14ac:dyDescent="0.3">
      <c r="A7304" s="3">
        <f t="shared" si="1091"/>
        <v>46002</v>
      </c>
      <c r="B7304" s="11" t="s">
        <v>1472</v>
      </c>
      <c r="C7304" s="51" t="s">
        <v>9517</v>
      </c>
      <c r="E7304" s="90" t="s">
        <v>2088</v>
      </c>
      <c r="F7304" s="4"/>
      <c r="G7304" s="2">
        <v>6000</v>
      </c>
      <c r="H7304" s="2"/>
      <c r="I7304" s="88">
        <f t="shared" ref="I7304:I7315" si="1104">I7303+G7304-H7304</f>
        <v>-204.07000000000698</v>
      </c>
      <c r="J7304"/>
      <c r="K7304" s="62"/>
      <c r="L7304" s="2">
        <f t="shared" ref="L7304:L7315" si="1105">IF(E7304="C",0,IF((G7304+H7304)&lt;=5000,(G7304+H7304)*0.004,20)+IF(E7304="P",5,IF(E7304="Y",15,IF(E7304="YY",25))))</f>
        <v>25</v>
      </c>
      <c r="M7304">
        <f t="shared" ref="M7304:M7315" si="1106">IF(E7304="p",5,0)</f>
        <v>5</v>
      </c>
    </row>
    <row r="7305" spans="1:13" s="153" customFormat="1" x14ac:dyDescent="0.3">
      <c r="A7305" s="3">
        <f t="shared" si="1091"/>
        <v>46002</v>
      </c>
      <c r="B7305" s="11" t="s">
        <v>2143</v>
      </c>
      <c r="C7305" s="51" t="s">
        <v>9833</v>
      </c>
      <c r="E7305" s="90" t="s">
        <v>4720</v>
      </c>
      <c r="F7305" s="4"/>
      <c r="G7305" s="2">
        <v>1000</v>
      </c>
      <c r="H7305" s="2"/>
      <c r="I7305" s="88">
        <f t="shared" si="1104"/>
        <v>795.92999999999302</v>
      </c>
      <c r="J7305"/>
      <c r="K7305" s="62"/>
      <c r="L7305" s="2">
        <f t="shared" si="1105"/>
        <v>4</v>
      </c>
      <c r="M7305">
        <f t="shared" si="1106"/>
        <v>0</v>
      </c>
    </row>
    <row r="7306" spans="1:13" s="153" customFormat="1" x14ac:dyDescent="0.3">
      <c r="A7306" s="3">
        <f t="shared" si="1091"/>
        <v>46002</v>
      </c>
      <c r="B7306" s="11" t="s">
        <v>9835</v>
      </c>
      <c r="C7306" s="7" t="s">
        <v>9836</v>
      </c>
      <c r="E7306" s="90" t="s">
        <v>4720</v>
      </c>
      <c r="F7306" s="4"/>
      <c r="G7306" s="2"/>
      <c r="H7306" s="2">
        <v>5000</v>
      </c>
      <c r="I7306" s="88">
        <f t="shared" si="1104"/>
        <v>-4204.070000000007</v>
      </c>
      <c r="J7306"/>
      <c r="K7306" s="62"/>
      <c r="L7306" s="2">
        <f t="shared" si="1105"/>
        <v>20</v>
      </c>
      <c r="M7306">
        <f t="shared" si="1106"/>
        <v>0</v>
      </c>
    </row>
    <row r="7307" spans="1:13" s="153" customFormat="1" x14ac:dyDescent="0.3">
      <c r="A7307" s="3">
        <f t="shared" si="1091"/>
        <v>46002</v>
      </c>
      <c r="B7307" s="11" t="s">
        <v>6844</v>
      </c>
      <c r="C7307" s="51" t="s">
        <v>9810</v>
      </c>
      <c r="E7307" s="90" t="s">
        <v>14</v>
      </c>
      <c r="F7307" s="4"/>
      <c r="G7307" s="2"/>
      <c r="H7307" s="2">
        <v>500</v>
      </c>
      <c r="I7307" s="88">
        <f t="shared" si="1104"/>
        <v>-4704.070000000007</v>
      </c>
      <c r="J7307"/>
      <c r="K7307" s="62"/>
      <c r="L7307" s="2">
        <f t="shared" si="1105"/>
        <v>17</v>
      </c>
      <c r="M7307">
        <f t="shared" si="1106"/>
        <v>0</v>
      </c>
    </row>
    <row r="7308" spans="1:13" s="153" customFormat="1" x14ac:dyDescent="0.3">
      <c r="A7308" s="3">
        <f t="shared" si="1091"/>
        <v>46002</v>
      </c>
      <c r="B7308" s="11" t="s">
        <v>7329</v>
      </c>
      <c r="C7308" s="51" t="s">
        <v>94</v>
      </c>
      <c r="E7308" s="90" t="s">
        <v>4720</v>
      </c>
      <c r="F7308" s="4"/>
      <c r="G7308" s="2"/>
      <c r="H7308" s="2">
        <v>3300</v>
      </c>
      <c r="I7308" s="88">
        <f t="shared" si="1104"/>
        <v>-8004.070000000007</v>
      </c>
      <c r="J7308"/>
      <c r="K7308" s="62"/>
      <c r="L7308" s="2">
        <f t="shared" si="1105"/>
        <v>13.200000000000001</v>
      </c>
      <c r="M7308">
        <f t="shared" si="1106"/>
        <v>0</v>
      </c>
    </row>
    <row r="7309" spans="1:13" s="153" customFormat="1" x14ac:dyDescent="0.3">
      <c r="A7309" s="3">
        <f t="shared" si="1091"/>
        <v>46002</v>
      </c>
      <c r="B7309" s="11" t="s">
        <v>7329</v>
      </c>
      <c r="C7309" s="51" t="s">
        <v>94</v>
      </c>
      <c r="E7309" s="90" t="s">
        <v>2088</v>
      </c>
      <c r="F7309" s="4"/>
      <c r="G7309" s="2"/>
      <c r="H7309" s="2"/>
      <c r="I7309" s="88">
        <f t="shared" si="1104"/>
        <v>-8004.070000000007</v>
      </c>
      <c r="J7309"/>
      <c r="K7309" s="62"/>
      <c r="L7309" s="2">
        <f t="shared" si="1105"/>
        <v>5</v>
      </c>
      <c r="M7309">
        <f t="shared" si="1106"/>
        <v>5</v>
      </c>
    </row>
    <row r="7310" spans="1:13" s="153" customFormat="1" x14ac:dyDescent="0.3">
      <c r="A7310" s="3">
        <f t="shared" si="1091"/>
        <v>46002</v>
      </c>
      <c r="B7310" s="11" t="s">
        <v>9801</v>
      </c>
      <c r="C7310" s="7" t="s">
        <v>9802</v>
      </c>
      <c r="E7310" s="90" t="s">
        <v>2088</v>
      </c>
      <c r="F7310" s="4"/>
      <c r="G7310" s="2">
        <v>1300</v>
      </c>
      <c r="H7310" s="2"/>
      <c r="I7310" s="88">
        <f t="shared" si="1104"/>
        <v>-6704.070000000007</v>
      </c>
      <c r="J7310"/>
      <c r="K7310" s="62"/>
      <c r="L7310" s="2">
        <f t="shared" si="1105"/>
        <v>10.199999999999999</v>
      </c>
      <c r="M7310">
        <f t="shared" si="1106"/>
        <v>5</v>
      </c>
    </row>
    <row r="7311" spans="1:13" s="153" customFormat="1" x14ac:dyDescent="0.3">
      <c r="A7311" s="3">
        <f t="shared" si="1091"/>
        <v>46002</v>
      </c>
      <c r="B7311" s="11" t="s">
        <v>7514</v>
      </c>
      <c r="C7311" s="51" t="s">
        <v>7347</v>
      </c>
      <c r="E7311" s="90" t="s">
        <v>2088</v>
      </c>
      <c r="F7311" s="4"/>
      <c r="G7311" s="2">
        <v>0</v>
      </c>
      <c r="H7311" s="2">
        <v>0</v>
      </c>
      <c r="I7311" s="88">
        <f t="shared" si="1104"/>
        <v>-6704.070000000007</v>
      </c>
      <c r="J7311"/>
      <c r="K7311" s="62"/>
      <c r="L7311" s="2">
        <f t="shared" si="1105"/>
        <v>5</v>
      </c>
      <c r="M7311">
        <f t="shared" si="1106"/>
        <v>5</v>
      </c>
    </row>
    <row r="7312" spans="1:13" s="153" customFormat="1" x14ac:dyDescent="0.3">
      <c r="A7312" s="3">
        <f t="shared" si="1091"/>
        <v>46002</v>
      </c>
      <c r="B7312" s="11" t="s">
        <v>6257</v>
      </c>
      <c r="C7312" s="51" t="s">
        <v>9828</v>
      </c>
      <c r="E7312" s="90" t="s">
        <v>4720</v>
      </c>
      <c r="F7312" s="4"/>
      <c r="G7312" s="2">
        <v>4000</v>
      </c>
      <c r="H7312" s="2"/>
      <c r="I7312" s="88">
        <f t="shared" si="1104"/>
        <v>-2704.070000000007</v>
      </c>
      <c r="J7312"/>
      <c r="K7312" s="62"/>
      <c r="L7312" s="2">
        <f t="shared" si="1105"/>
        <v>16</v>
      </c>
      <c r="M7312">
        <f t="shared" si="1106"/>
        <v>0</v>
      </c>
    </row>
    <row r="7313" spans="1:13" s="153" customFormat="1" x14ac:dyDescent="0.3">
      <c r="A7313" s="3">
        <f t="shared" si="1091"/>
        <v>46002</v>
      </c>
      <c r="B7313" s="11" t="s">
        <v>6289</v>
      </c>
      <c r="C7313" s="51" t="s">
        <v>6288</v>
      </c>
      <c r="E7313" s="90" t="s">
        <v>4720</v>
      </c>
      <c r="F7313" s="4"/>
      <c r="G7313" s="2">
        <v>1900</v>
      </c>
      <c r="H7313" s="2"/>
      <c r="I7313" s="88">
        <f t="shared" si="1104"/>
        <v>-804.07000000000698</v>
      </c>
      <c r="J7313"/>
      <c r="K7313" s="62"/>
      <c r="L7313" s="2">
        <f t="shared" si="1105"/>
        <v>7.6000000000000005</v>
      </c>
      <c r="M7313">
        <f t="shared" si="1106"/>
        <v>0</v>
      </c>
    </row>
    <row r="7314" spans="1:13" s="153" customFormat="1" x14ac:dyDescent="0.3">
      <c r="A7314" s="3">
        <f t="shared" si="1091"/>
        <v>46002</v>
      </c>
      <c r="B7314" s="11" t="s">
        <v>9138</v>
      </c>
      <c r="C7314" s="51" t="s">
        <v>9139</v>
      </c>
      <c r="E7314" s="90" t="s">
        <v>4720</v>
      </c>
      <c r="F7314" s="4"/>
      <c r="G7314" s="2">
        <v>3000</v>
      </c>
      <c r="H7314" s="2"/>
      <c r="I7314" s="88">
        <f t="shared" si="1104"/>
        <v>2195.929999999993</v>
      </c>
      <c r="J7314"/>
      <c r="K7314" s="62"/>
      <c r="L7314" s="2">
        <f t="shared" si="1105"/>
        <v>12</v>
      </c>
      <c r="M7314">
        <f t="shared" si="1106"/>
        <v>0</v>
      </c>
    </row>
    <row r="7315" spans="1:13" s="153" customFormat="1" x14ac:dyDescent="0.3">
      <c r="A7315" s="3">
        <f t="shared" si="1091"/>
        <v>46002</v>
      </c>
      <c r="B7315" s="11" t="s">
        <v>2581</v>
      </c>
      <c r="C7315" s="51" t="s">
        <v>2582</v>
      </c>
      <c r="E7315" s="90" t="s">
        <v>4720</v>
      </c>
      <c r="F7315" s="4"/>
      <c r="G7315" s="2">
        <v>1000</v>
      </c>
      <c r="H7315" s="2"/>
      <c r="I7315" s="88">
        <f t="shared" si="1104"/>
        <v>3195.929999999993</v>
      </c>
      <c r="J7315"/>
      <c r="K7315" s="62"/>
      <c r="L7315" s="2">
        <f t="shared" si="1105"/>
        <v>4</v>
      </c>
      <c r="M7315">
        <f t="shared" si="1106"/>
        <v>0</v>
      </c>
    </row>
    <row r="7316" spans="1:13" s="153" customFormat="1" x14ac:dyDescent="0.3">
      <c r="A7316" s="3">
        <f t="shared" ref="A7316:A7379" si="1107">A7315</f>
        <v>46002</v>
      </c>
      <c r="B7316" s="11" t="s">
        <v>5123</v>
      </c>
      <c r="C7316" s="51" t="s">
        <v>6984</v>
      </c>
      <c r="E7316" s="90" t="s">
        <v>4720</v>
      </c>
      <c r="F7316" s="4"/>
      <c r="G7316" s="2">
        <v>3000</v>
      </c>
      <c r="H7316" s="2"/>
      <c r="I7316" s="88">
        <f t="shared" ref="I7316:I7329" si="1108">I7315+G7316-H7316</f>
        <v>6195.929999999993</v>
      </c>
      <c r="J7316"/>
      <c r="K7316" s="62"/>
      <c r="L7316" s="2">
        <f t="shared" ref="L7316:L7329" si="1109">IF(E7316="C",0,IF((G7316+H7316)&lt;=5000,(G7316+H7316)*0.004,20)+IF(E7316="P",5,IF(E7316="Y",15,IF(E7316="YY",25))))</f>
        <v>12</v>
      </c>
      <c r="M7316">
        <f t="shared" ref="M7316:M7329" si="1110">IF(E7316="p",5,0)</f>
        <v>0</v>
      </c>
    </row>
    <row r="7317" spans="1:13" s="153" customFormat="1" x14ac:dyDescent="0.3">
      <c r="A7317" s="3">
        <v>46003</v>
      </c>
      <c r="B7317" s="11" t="s">
        <v>5042</v>
      </c>
      <c r="C7317" s="51" t="s">
        <v>8703</v>
      </c>
      <c r="E7317" s="90" t="s">
        <v>4720</v>
      </c>
      <c r="F7317" s="4"/>
      <c r="G7317" s="2">
        <v>2000</v>
      </c>
      <c r="H7317" s="2"/>
      <c r="I7317" s="88">
        <f t="shared" si="1108"/>
        <v>8195.929999999993</v>
      </c>
      <c r="J7317"/>
      <c r="K7317" s="62"/>
      <c r="L7317" s="2">
        <f t="shared" si="1109"/>
        <v>8</v>
      </c>
      <c r="M7317">
        <f t="shared" si="1110"/>
        <v>0</v>
      </c>
    </row>
    <row r="7318" spans="1:13" s="153" customFormat="1" x14ac:dyDescent="0.3">
      <c r="A7318" s="3">
        <f t="shared" si="1107"/>
        <v>46003</v>
      </c>
      <c r="B7318" s="11" t="s">
        <v>4652</v>
      </c>
      <c r="C7318" s="51" t="s">
        <v>4658</v>
      </c>
      <c r="E7318" s="90" t="s">
        <v>7772</v>
      </c>
      <c r="F7318" s="4"/>
      <c r="G7318" s="2">
        <v>4000</v>
      </c>
      <c r="H7318" s="2"/>
      <c r="I7318" s="88">
        <f t="shared" si="1108"/>
        <v>12195.929999999993</v>
      </c>
      <c r="J7318"/>
      <c r="K7318" s="62"/>
      <c r="L7318" s="2">
        <f t="shared" si="1109"/>
        <v>21</v>
      </c>
      <c r="M7318">
        <f t="shared" si="1110"/>
        <v>5</v>
      </c>
    </row>
    <row r="7319" spans="1:13" s="153" customFormat="1" x14ac:dyDescent="0.3">
      <c r="A7319" s="3">
        <f t="shared" si="1107"/>
        <v>46003</v>
      </c>
      <c r="B7319" s="11" t="s">
        <v>8922</v>
      </c>
      <c r="C7319" s="51" t="s">
        <v>9183</v>
      </c>
      <c r="E7319" s="90" t="s">
        <v>2088</v>
      </c>
      <c r="F7319" s="4"/>
      <c r="G7319" s="2"/>
      <c r="H7319" s="2">
        <v>4000</v>
      </c>
      <c r="I7319" s="88">
        <f t="shared" si="1108"/>
        <v>8195.929999999993</v>
      </c>
      <c r="J7319"/>
      <c r="K7319" s="62"/>
      <c r="L7319" s="2">
        <f t="shared" si="1109"/>
        <v>21</v>
      </c>
      <c r="M7319">
        <f t="shared" si="1110"/>
        <v>5</v>
      </c>
    </row>
    <row r="7320" spans="1:13" s="153" customFormat="1" x14ac:dyDescent="0.3">
      <c r="A7320" s="3">
        <f t="shared" si="1107"/>
        <v>46003</v>
      </c>
      <c r="B7320" s="11" t="s">
        <v>1160</v>
      </c>
      <c r="C7320" s="51" t="s">
        <v>3371</v>
      </c>
      <c r="E7320" s="90" t="s">
        <v>4720</v>
      </c>
      <c r="F7320" s="4"/>
      <c r="G7320" s="2">
        <v>6000</v>
      </c>
      <c r="H7320" s="2"/>
      <c r="I7320" s="88">
        <f t="shared" si="1108"/>
        <v>14195.929999999993</v>
      </c>
      <c r="J7320"/>
      <c r="K7320" s="62"/>
      <c r="L7320" s="2">
        <f t="shared" si="1109"/>
        <v>20</v>
      </c>
      <c r="M7320">
        <f t="shared" si="1110"/>
        <v>0</v>
      </c>
    </row>
    <row r="7321" spans="1:13" s="153" customFormat="1" x14ac:dyDescent="0.3">
      <c r="A7321" s="3">
        <f t="shared" si="1107"/>
        <v>46003</v>
      </c>
      <c r="B7321" s="11" t="s">
        <v>7186</v>
      </c>
      <c r="C7321" s="51" t="s">
        <v>9841</v>
      </c>
      <c r="D7321" s="153" t="s">
        <v>7189</v>
      </c>
      <c r="E7321" s="90" t="s">
        <v>4720</v>
      </c>
      <c r="F7321" s="4"/>
      <c r="G7321" s="2">
        <v>1000</v>
      </c>
      <c r="H7321" s="2"/>
      <c r="I7321" s="88">
        <f t="shared" si="1108"/>
        <v>15195.929999999993</v>
      </c>
      <c r="J7321"/>
      <c r="K7321" s="62"/>
      <c r="L7321" s="2">
        <f t="shared" si="1109"/>
        <v>4</v>
      </c>
      <c r="M7321">
        <f t="shared" si="1110"/>
        <v>0</v>
      </c>
    </row>
    <row r="7322" spans="1:13" s="153" customFormat="1" x14ac:dyDescent="0.3">
      <c r="A7322" s="3">
        <f t="shared" si="1107"/>
        <v>46003</v>
      </c>
      <c r="B7322" s="11" t="s">
        <v>1250</v>
      </c>
      <c r="C7322" s="51" t="s">
        <v>4852</v>
      </c>
      <c r="E7322" s="90" t="s">
        <v>2088</v>
      </c>
      <c r="F7322" s="4"/>
      <c r="G7322" s="2">
        <v>10000</v>
      </c>
      <c r="H7322" s="2"/>
      <c r="I7322" s="88">
        <f t="shared" si="1108"/>
        <v>25195.929999999993</v>
      </c>
      <c r="J7322"/>
      <c r="K7322" s="62"/>
      <c r="L7322" s="2">
        <f t="shared" si="1109"/>
        <v>25</v>
      </c>
      <c r="M7322">
        <f t="shared" si="1110"/>
        <v>5</v>
      </c>
    </row>
    <row r="7323" spans="1:13" s="153" customFormat="1" x14ac:dyDescent="0.3">
      <c r="A7323" s="3">
        <f t="shared" si="1107"/>
        <v>46003</v>
      </c>
      <c r="B7323" s="11" t="s">
        <v>9843</v>
      </c>
      <c r="C7323" s="7" t="s">
        <v>9844</v>
      </c>
      <c r="E7323" s="90" t="s">
        <v>4720</v>
      </c>
      <c r="F7323" s="4"/>
      <c r="G7323" s="2">
        <v>1000</v>
      </c>
      <c r="H7323" s="2"/>
      <c r="I7323" s="88">
        <f t="shared" si="1108"/>
        <v>26195.929999999993</v>
      </c>
      <c r="J7323"/>
      <c r="K7323" s="62"/>
      <c r="L7323" s="2">
        <f t="shared" si="1109"/>
        <v>4</v>
      </c>
      <c r="M7323">
        <f t="shared" si="1110"/>
        <v>0</v>
      </c>
    </row>
    <row r="7324" spans="1:13" s="153" customFormat="1" x14ac:dyDescent="0.3">
      <c r="A7324" s="3">
        <f t="shared" si="1107"/>
        <v>46003</v>
      </c>
      <c r="B7324" s="11" t="s">
        <v>1472</v>
      </c>
      <c r="C7324" s="51" t="s">
        <v>9845</v>
      </c>
      <c r="E7324" s="90" t="s">
        <v>14</v>
      </c>
      <c r="F7324" s="4"/>
      <c r="G7324" s="2"/>
      <c r="H7324" s="2">
        <v>3000</v>
      </c>
      <c r="I7324" s="88">
        <f t="shared" si="1108"/>
        <v>23195.929999999993</v>
      </c>
      <c r="J7324"/>
      <c r="K7324" s="62"/>
      <c r="L7324" s="2">
        <f t="shared" si="1109"/>
        <v>27</v>
      </c>
      <c r="M7324">
        <f t="shared" si="1110"/>
        <v>0</v>
      </c>
    </row>
    <row r="7325" spans="1:13" s="153" customFormat="1" x14ac:dyDescent="0.3">
      <c r="A7325" s="3">
        <f t="shared" si="1107"/>
        <v>46003</v>
      </c>
      <c r="B7325" s="11" t="s">
        <v>1160</v>
      </c>
      <c r="C7325" s="51" t="s">
        <v>8603</v>
      </c>
      <c r="E7325" s="90" t="s">
        <v>4720</v>
      </c>
      <c r="F7325" s="4"/>
      <c r="G7325" s="2">
        <v>2000</v>
      </c>
      <c r="H7325" s="2"/>
      <c r="I7325" s="88">
        <f t="shared" si="1108"/>
        <v>25195.929999999993</v>
      </c>
      <c r="J7325"/>
      <c r="K7325" s="62"/>
      <c r="L7325" s="2">
        <f t="shared" si="1109"/>
        <v>8</v>
      </c>
      <c r="M7325">
        <f t="shared" si="1110"/>
        <v>0</v>
      </c>
    </row>
    <row r="7326" spans="1:13" s="153" customFormat="1" x14ac:dyDescent="0.3">
      <c r="A7326" s="3">
        <v>46004</v>
      </c>
      <c r="B7326" s="11" t="s">
        <v>1160</v>
      </c>
      <c r="C7326" s="51" t="s">
        <v>8358</v>
      </c>
      <c r="E7326" s="90" t="s">
        <v>4720</v>
      </c>
      <c r="F7326" s="4"/>
      <c r="G7326" s="2">
        <v>5000</v>
      </c>
      <c r="H7326" s="2"/>
      <c r="I7326" s="88">
        <f t="shared" si="1108"/>
        <v>30195.929999999993</v>
      </c>
      <c r="J7326"/>
      <c r="K7326" s="62"/>
      <c r="L7326" s="2">
        <f t="shared" si="1109"/>
        <v>20</v>
      </c>
      <c r="M7326">
        <f t="shared" si="1110"/>
        <v>0</v>
      </c>
    </row>
    <row r="7327" spans="1:13" s="153" customFormat="1" x14ac:dyDescent="0.3">
      <c r="A7327" s="3">
        <f t="shared" si="1107"/>
        <v>46004</v>
      </c>
      <c r="B7327" s="11" t="s">
        <v>1250</v>
      </c>
      <c r="C7327" s="51" t="s">
        <v>9846</v>
      </c>
      <c r="E7327" s="90" t="s">
        <v>4720</v>
      </c>
      <c r="F7327" s="4"/>
      <c r="G7327" s="2">
        <v>1000</v>
      </c>
      <c r="H7327" s="2"/>
      <c r="I7327" s="88">
        <f t="shared" si="1108"/>
        <v>31195.929999999993</v>
      </c>
      <c r="J7327"/>
      <c r="K7327" s="62"/>
      <c r="L7327" s="2">
        <f t="shared" si="1109"/>
        <v>4</v>
      </c>
      <c r="M7327">
        <f t="shared" si="1110"/>
        <v>0</v>
      </c>
    </row>
    <row r="7328" spans="1:13" s="153" customFormat="1" x14ac:dyDescent="0.3">
      <c r="A7328" s="3">
        <f t="shared" si="1107"/>
        <v>46004</v>
      </c>
      <c r="B7328" s="11" t="s">
        <v>9664</v>
      </c>
      <c r="C7328" s="51" t="s">
        <v>9847</v>
      </c>
      <c r="E7328" s="90" t="s">
        <v>4720</v>
      </c>
      <c r="F7328" s="4"/>
      <c r="G7328" s="2">
        <v>3500</v>
      </c>
      <c r="H7328" s="2"/>
      <c r="I7328" s="88">
        <f t="shared" si="1108"/>
        <v>34695.929999999993</v>
      </c>
      <c r="J7328"/>
      <c r="K7328" s="62"/>
      <c r="L7328" s="2">
        <f t="shared" si="1109"/>
        <v>14</v>
      </c>
      <c r="M7328">
        <f t="shared" si="1110"/>
        <v>0</v>
      </c>
    </row>
    <row r="7329" spans="1:13" s="153" customFormat="1" x14ac:dyDescent="0.3">
      <c r="A7329" s="3">
        <f t="shared" si="1107"/>
        <v>46004</v>
      </c>
      <c r="B7329" s="11" t="s">
        <v>4622</v>
      </c>
      <c r="C7329" s="51" t="s">
        <v>8340</v>
      </c>
      <c r="E7329" s="90" t="s">
        <v>4720</v>
      </c>
      <c r="F7329" s="4"/>
      <c r="G7329" s="2">
        <v>10000</v>
      </c>
      <c r="H7329" s="2"/>
      <c r="I7329" s="88">
        <f t="shared" si="1108"/>
        <v>44695.929999999993</v>
      </c>
      <c r="J7329"/>
      <c r="K7329" s="62"/>
      <c r="L7329" s="2">
        <f t="shared" si="1109"/>
        <v>20</v>
      </c>
      <c r="M7329">
        <f t="shared" si="1110"/>
        <v>0</v>
      </c>
    </row>
    <row r="7330" spans="1:13" s="153" customFormat="1" x14ac:dyDescent="0.3">
      <c r="A7330" s="3">
        <f t="shared" si="1107"/>
        <v>46004</v>
      </c>
      <c r="B7330" s="11" t="s">
        <v>7081</v>
      </c>
      <c r="C7330" s="51" t="s">
        <v>8978</v>
      </c>
      <c r="E7330" s="90" t="s">
        <v>2088</v>
      </c>
      <c r="F7330" s="4"/>
      <c r="G7330" s="2">
        <v>2000</v>
      </c>
      <c r="H7330" s="2"/>
      <c r="I7330" s="88">
        <f t="shared" ref="I7330:I7331" si="1111">I7329+G7330-H7330</f>
        <v>46695.929999999993</v>
      </c>
      <c r="J7330"/>
      <c r="K7330" s="62"/>
      <c r="L7330" s="2">
        <f t="shared" ref="L7330:L7331" si="1112">IF(E7330="C",0,IF((G7330+H7330)&lt;=5000,(G7330+H7330)*0.004,20)+IF(E7330="P",5,IF(E7330="Y",15,IF(E7330="YY",25))))</f>
        <v>13</v>
      </c>
      <c r="M7330">
        <f t="shared" ref="M7330:M7331" si="1113">IF(E7330="p",5,0)</f>
        <v>5</v>
      </c>
    </row>
    <row r="7331" spans="1:13" s="153" customFormat="1" x14ac:dyDescent="0.3">
      <c r="A7331" s="3">
        <f t="shared" si="1107"/>
        <v>46004</v>
      </c>
      <c r="B7331" s="11" t="s">
        <v>3420</v>
      </c>
      <c r="C7331" s="51" t="s">
        <v>9095</v>
      </c>
      <c r="E7331" s="90" t="s">
        <v>2088</v>
      </c>
      <c r="F7331" s="4"/>
      <c r="G7331" s="2"/>
      <c r="H7331" s="2">
        <v>2000</v>
      </c>
      <c r="I7331" s="88">
        <f t="shared" si="1111"/>
        <v>44695.929999999993</v>
      </c>
      <c r="J7331"/>
      <c r="K7331" s="62"/>
      <c r="L7331" s="2">
        <f t="shared" si="1112"/>
        <v>13</v>
      </c>
      <c r="M7331">
        <f t="shared" si="1113"/>
        <v>5</v>
      </c>
    </row>
    <row r="7332" spans="1:13" s="153" customFormat="1" x14ac:dyDescent="0.3">
      <c r="A7332" s="3">
        <v>46005</v>
      </c>
      <c r="B7332" s="11" t="s">
        <v>9849</v>
      </c>
      <c r="C7332" s="7" t="s">
        <v>9850</v>
      </c>
      <c r="E7332" s="90" t="s">
        <v>2088</v>
      </c>
      <c r="F7332" s="4"/>
      <c r="G7332" s="2"/>
      <c r="H7332" s="2">
        <v>1000</v>
      </c>
      <c r="I7332" s="88">
        <f t="shared" ref="I7332:I7345" si="1114">I7331+G7332-H7332</f>
        <v>43695.929999999993</v>
      </c>
      <c r="J7332"/>
      <c r="K7332" s="62"/>
      <c r="L7332" s="2">
        <f t="shared" ref="L7332:L7345" si="1115">IF(E7332="C",0,IF((G7332+H7332)&lt;=5000,(G7332+H7332)*0.004,20)+IF(E7332="P",5,IF(E7332="Y",15,IF(E7332="YY",25))))</f>
        <v>9</v>
      </c>
      <c r="M7332">
        <f t="shared" ref="M7332:M7345" si="1116">IF(E7332="p",5,0)</f>
        <v>5</v>
      </c>
    </row>
    <row r="7333" spans="1:13" s="153" customFormat="1" x14ac:dyDescent="0.3">
      <c r="A7333" s="3">
        <f t="shared" si="1107"/>
        <v>46005</v>
      </c>
      <c r="B7333" s="11" t="s">
        <v>1472</v>
      </c>
      <c r="C7333" s="51" t="s">
        <v>9517</v>
      </c>
      <c r="E7333" s="90" t="s">
        <v>16</v>
      </c>
      <c r="F7333" s="4"/>
      <c r="G7333" s="2"/>
      <c r="H7333" s="2">
        <v>500</v>
      </c>
      <c r="I7333" s="88">
        <f t="shared" si="1114"/>
        <v>43195.929999999993</v>
      </c>
      <c r="J7333"/>
      <c r="K7333" s="62"/>
      <c r="L7333" s="2">
        <f t="shared" si="1115"/>
        <v>17</v>
      </c>
      <c r="M7333">
        <f t="shared" si="1116"/>
        <v>0</v>
      </c>
    </row>
    <row r="7334" spans="1:13" s="153" customFormat="1" x14ac:dyDescent="0.3">
      <c r="A7334" s="3">
        <f t="shared" si="1107"/>
        <v>46005</v>
      </c>
      <c r="B7334" s="11" t="s">
        <v>3487</v>
      </c>
      <c r="C7334" s="51" t="s">
        <v>2892</v>
      </c>
      <c r="E7334" s="90" t="s">
        <v>4720</v>
      </c>
      <c r="F7334" s="4"/>
      <c r="G7334" s="2">
        <v>4000</v>
      </c>
      <c r="H7334" s="2"/>
      <c r="I7334" s="88">
        <f t="shared" si="1114"/>
        <v>47195.929999999993</v>
      </c>
      <c r="J7334"/>
      <c r="K7334" s="62"/>
      <c r="L7334" s="2">
        <f t="shared" si="1115"/>
        <v>16</v>
      </c>
      <c r="M7334">
        <f t="shared" si="1116"/>
        <v>0</v>
      </c>
    </row>
    <row r="7335" spans="1:13" s="153" customFormat="1" x14ac:dyDescent="0.3">
      <c r="A7335" s="3">
        <f t="shared" si="1107"/>
        <v>46005</v>
      </c>
      <c r="B7335" s="11" t="s">
        <v>2143</v>
      </c>
      <c r="C7335" s="51" t="s">
        <v>1279</v>
      </c>
      <c r="E7335" s="90" t="s">
        <v>4720</v>
      </c>
      <c r="F7335" s="4"/>
      <c r="G7335" s="2">
        <v>10000</v>
      </c>
      <c r="H7335" s="2"/>
      <c r="I7335" s="88">
        <f t="shared" si="1114"/>
        <v>57195.929999999993</v>
      </c>
      <c r="J7335"/>
      <c r="K7335" s="62"/>
      <c r="L7335" s="2">
        <f t="shared" si="1115"/>
        <v>20</v>
      </c>
      <c r="M7335">
        <f t="shared" si="1116"/>
        <v>0</v>
      </c>
    </row>
    <row r="7336" spans="1:13" s="153" customFormat="1" x14ac:dyDescent="0.3">
      <c r="A7336" s="3">
        <f t="shared" si="1107"/>
        <v>46005</v>
      </c>
      <c r="B7336" s="11" t="s">
        <v>8066</v>
      </c>
      <c r="C7336" s="51" t="s">
        <v>9180</v>
      </c>
      <c r="E7336" s="90" t="s">
        <v>4720</v>
      </c>
      <c r="F7336" s="4"/>
      <c r="G7336" s="2"/>
      <c r="H7336" s="2">
        <v>10000</v>
      </c>
      <c r="I7336" s="88">
        <f t="shared" si="1114"/>
        <v>47195.929999999993</v>
      </c>
      <c r="J7336"/>
      <c r="K7336" s="62"/>
      <c r="L7336" s="2">
        <f t="shared" si="1115"/>
        <v>20</v>
      </c>
      <c r="M7336">
        <f t="shared" si="1116"/>
        <v>0</v>
      </c>
    </row>
    <row r="7337" spans="1:13" s="153" customFormat="1" x14ac:dyDescent="0.3">
      <c r="A7337" s="3" t="s">
        <v>9853</v>
      </c>
      <c r="B7337" s="11" t="s">
        <v>7323</v>
      </c>
      <c r="C7337" s="51" t="s">
        <v>9854</v>
      </c>
      <c r="E7337" s="90" t="s">
        <v>4720</v>
      </c>
      <c r="F7337" s="4"/>
      <c r="G7337" s="2"/>
      <c r="H7337" s="2">
        <v>3500</v>
      </c>
      <c r="I7337" s="88">
        <f t="shared" si="1114"/>
        <v>43695.929999999993</v>
      </c>
      <c r="J7337"/>
      <c r="K7337" s="62"/>
      <c r="L7337" s="2">
        <f t="shared" si="1115"/>
        <v>14</v>
      </c>
      <c r="M7337">
        <f t="shared" si="1116"/>
        <v>0</v>
      </c>
    </row>
    <row r="7338" spans="1:13" s="153" customFormat="1" x14ac:dyDescent="0.3">
      <c r="A7338" s="3" t="str">
        <f t="shared" si="1107"/>
        <v>15-12-20265</v>
      </c>
      <c r="B7338" s="11" t="s">
        <v>1250</v>
      </c>
      <c r="C7338" s="51" t="s">
        <v>8630</v>
      </c>
      <c r="E7338" s="90" t="s">
        <v>4720</v>
      </c>
      <c r="F7338" s="4"/>
      <c r="G7338" s="2"/>
      <c r="H7338" s="2">
        <v>2200</v>
      </c>
      <c r="I7338" s="88">
        <f t="shared" si="1114"/>
        <v>41495.929999999993</v>
      </c>
      <c r="J7338"/>
      <c r="K7338" s="62"/>
      <c r="L7338" s="2">
        <f t="shared" si="1115"/>
        <v>8.8000000000000007</v>
      </c>
      <c r="M7338">
        <f t="shared" si="1116"/>
        <v>0</v>
      </c>
    </row>
    <row r="7339" spans="1:13" s="153" customFormat="1" x14ac:dyDescent="0.3">
      <c r="A7339" s="3" t="str">
        <f t="shared" si="1107"/>
        <v>15-12-20265</v>
      </c>
      <c r="B7339" s="11" t="s">
        <v>3915</v>
      </c>
      <c r="C7339" s="51" t="s">
        <v>5190</v>
      </c>
      <c r="E7339" s="90" t="s">
        <v>4720</v>
      </c>
      <c r="F7339" s="4"/>
      <c r="G7339" s="2">
        <v>5000</v>
      </c>
      <c r="H7339" s="2"/>
      <c r="I7339" s="88">
        <f t="shared" si="1114"/>
        <v>46495.929999999993</v>
      </c>
      <c r="J7339"/>
      <c r="K7339" s="62"/>
      <c r="L7339" s="2">
        <f t="shared" si="1115"/>
        <v>20</v>
      </c>
      <c r="M7339">
        <f t="shared" si="1116"/>
        <v>0</v>
      </c>
    </row>
    <row r="7340" spans="1:13" s="153" customFormat="1" x14ac:dyDescent="0.3">
      <c r="A7340" s="3" t="str">
        <f t="shared" si="1107"/>
        <v>15-12-20265</v>
      </c>
      <c r="B7340" s="11" t="s">
        <v>6844</v>
      </c>
      <c r="C7340" s="51" t="s">
        <v>7046</v>
      </c>
      <c r="E7340" s="90" t="s">
        <v>4720</v>
      </c>
      <c r="F7340" s="4"/>
      <c r="G7340" s="2">
        <v>5000</v>
      </c>
      <c r="H7340" s="2"/>
      <c r="I7340" s="88">
        <f t="shared" si="1114"/>
        <v>51495.929999999993</v>
      </c>
      <c r="J7340"/>
      <c r="K7340" s="62"/>
      <c r="L7340" s="2">
        <f t="shared" si="1115"/>
        <v>20</v>
      </c>
      <c r="M7340">
        <f t="shared" si="1116"/>
        <v>0</v>
      </c>
    </row>
    <row r="7341" spans="1:13" s="153" customFormat="1" x14ac:dyDescent="0.3">
      <c r="A7341" s="3" t="str">
        <f t="shared" si="1107"/>
        <v>15-12-20265</v>
      </c>
      <c r="B7341" s="11" t="s">
        <v>8341</v>
      </c>
      <c r="C7341" s="51" t="s">
        <v>9856</v>
      </c>
      <c r="E7341" s="90" t="s">
        <v>4720</v>
      </c>
      <c r="F7341" s="4"/>
      <c r="G7341" s="2"/>
      <c r="H7341" s="2">
        <v>3500</v>
      </c>
      <c r="I7341" s="88">
        <f t="shared" si="1114"/>
        <v>47995.929999999993</v>
      </c>
      <c r="J7341"/>
      <c r="K7341" s="62"/>
      <c r="L7341" s="2">
        <f t="shared" si="1115"/>
        <v>14</v>
      </c>
      <c r="M7341">
        <f t="shared" si="1116"/>
        <v>0</v>
      </c>
    </row>
    <row r="7342" spans="1:13" s="153" customFormat="1" x14ac:dyDescent="0.3">
      <c r="A7342" s="3" t="str">
        <f t="shared" si="1107"/>
        <v>15-12-20265</v>
      </c>
      <c r="B7342" s="11" t="s">
        <v>9857</v>
      </c>
      <c r="C7342" s="51" t="s">
        <v>9858</v>
      </c>
      <c r="E7342" s="90" t="s">
        <v>4720</v>
      </c>
      <c r="F7342" s="4"/>
      <c r="G7342" s="2"/>
      <c r="H7342" s="2">
        <v>2500</v>
      </c>
      <c r="I7342" s="88">
        <f t="shared" si="1114"/>
        <v>45495.929999999993</v>
      </c>
      <c r="J7342"/>
      <c r="K7342" s="62"/>
      <c r="L7342" s="2">
        <f t="shared" si="1115"/>
        <v>10</v>
      </c>
      <c r="M7342">
        <f t="shared" si="1116"/>
        <v>0</v>
      </c>
    </row>
    <row r="7343" spans="1:13" s="153" customFormat="1" x14ac:dyDescent="0.3">
      <c r="A7343" s="3" t="str">
        <f t="shared" si="1107"/>
        <v>15-12-20265</v>
      </c>
      <c r="B7343" s="11" t="s">
        <v>2634</v>
      </c>
      <c r="C7343" s="51" t="s">
        <v>3251</v>
      </c>
      <c r="E7343" s="90" t="s">
        <v>14</v>
      </c>
      <c r="F7343" s="4"/>
      <c r="G7343" s="2"/>
      <c r="H7343" s="2">
        <v>500</v>
      </c>
      <c r="I7343" s="88">
        <f t="shared" si="1114"/>
        <v>44995.929999999993</v>
      </c>
      <c r="J7343"/>
      <c r="K7343" s="62"/>
      <c r="L7343" s="2">
        <f t="shared" si="1115"/>
        <v>17</v>
      </c>
      <c r="M7343">
        <f t="shared" si="1116"/>
        <v>0</v>
      </c>
    </row>
    <row r="7344" spans="1:13" s="153" customFormat="1" x14ac:dyDescent="0.3">
      <c r="A7344" s="3" t="str">
        <f t="shared" si="1107"/>
        <v>15-12-20265</v>
      </c>
      <c r="B7344" s="11" t="s">
        <v>2241</v>
      </c>
      <c r="C7344" s="51" t="s">
        <v>8514</v>
      </c>
      <c r="E7344" s="90" t="s">
        <v>4720</v>
      </c>
      <c r="F7344" s="4"/>
      <c r="G7344" s="2"/>
      <c r="H7344" s="2">
        <v>2200</v>
      </c>
      <c r="I7344" s="88">
        <f t="shared" si="1114"/>
        <v>42795.929999999993</v>
      </c>
      <c r="J7344"/>
      <c r="K7344" s="62"/>
      <c r="L7344" s="2">
        <f t="shared" si="1115"/>
        <v>8.8000000000000007</v>
      </c>
      <c r="M7344">
        <f t="shared" si="1116"/>
        <v>0</v>
      </c>
    </row>
    <row r="7345" spans="1:13" s="153" customFormat="1" x14ac:dyDescent="0.3">
      <c r="A7345" s="3" t="str">
        <f t="shared" si="1107"/>
        <v>15-12-20265</v>
      </c>
      <c r="B7345" s="11" t="s">
        <v>9835</v>
      </c>
      <c r="C7345" s="51" t="s">
        <v>9836</v>
      </c>
      <c r="E7345" s="90" t="s">
        <v>4720</v>
      </c>
      <c r="F7345" s="4"/>
      <c r="G7345" s="2">
        <v>10000</v>
      </c>
      <c r="H7345" s="2"/>
      <c r="I7345" s="88">
        <f t="shared" si="1114"/>
        <v>52795.929999999993</v>
      </c>
      <c r="J7345"/>
      <c r="K7345" s="62"/>
      <c r="L7345" s="2">
        <f t="shared" si="1115"/>
        <v>20</v>
      </c>
      <c r="M7345">
        <f t="shared" si="1116"/>
        <v>0</v>
      </c>
    </row>
    <row r="7346" spans="1:13" s="153" customFormat="1" x14ac:dyDescent="0.3">
      <c r="A7346" s="3" t="str">
        <f t="shared" si="1107"/>
        <v>15-12-20265</v>
      </c>
      <c r="B7346" s="11" t="s">
        <v>7186</v>
      </c>
      <c r="C7346" s="51" t="s">
        <v>9841</v>
      </c>
      <c r="E7346" s="90" t="s">
        <v>2088</v>
      </c>
      <c r="F7346" s="4"/>
      <c r="G7346" s="2"/>
      <c r="H7346" s="2"/>
      <c r="I7346" s="88">
        <f t="shared" ref="I7346:I7357" si="1117">I7345+G7346-H7346</f>
        <v>52795.929999999993</v>
      </c>
      <c r="J7346"/>
      <c r="K7346" s="62"/>
      <c r="L7346" s="2">
        <f t="shared" ref="L7346:L7353" si="1118">IF(E7346="C",0,IF((G7346+H7346)&lt;=5000,(G7346+H7346)*0.004,20)+IF(E7346="P",5,IF(E7346="Y",15,IF(E7346="YY",25))))</f>
        <v>5</v>
      </c>
      <c r="M7346">
        <f t="shared" ref="M7346:M7353" si="1119">IF(E7346="p",5,0)</f>
        <v>5</v>
      </c>
    </row>
    <row r="7347" spans="1:13" s="153" customFormat="1" x14ac:dyDescent="0.3">
      <c r="A7347" s="3" t="str">
        <f t="shared" si="1107"/>
        <v>15-12-20265</v>
      </c>
      <c r="B7347" s="11"/>
      <c r="C7347" s="51" t="s">
        <v>2857</v>
      </c>
      <c r="E7347" s="90" t="s">
        <v>4720</v>
      </c>
      <c r="F7347" s="4"/>
      <c r="G7347" s="2">
        <v>10000</v>
      </c>
      <c r="H7347" s="2"/>
      <c r="I7347" s="88">
        <f t="shared" si="1117"/>
        <v>62795.929999999993</v>
      </c>
      <c r="J7347"/>
      <c r="K7347" s="62"/>
      <c r="L7347" s="2">
        <f t="shared" si="1118"/>
        <v>20</v>
      </c>
      <c r="M7347">
        <f t="shared" si="1119"/>
        <v>0</v>
      </c>
    </row>
    <row r="7348" spans="1:13" s="153" customFormat="1" x14ac:dyDescent="0.3">
      <c r="A7348" s="3" t="str">
        <f t="shared" si="1107"/>
        <v>15-12-20265</v>
      </c>
      <c r="B7348" s="11" t="s">
        <v>9864</v>
      </c>
      <c r="C7348" s="51" t="s">
        <v>9868</v>
      </c>
      <c r="E7348" s="90" t="s">
        <v>8332</v>
      </c>
      <c r="F7348" s="4"/>
      <c r="G7348" s="2"/>
      <c r="H7348" s="2">
        <v>60000</v>
      </c>
      <c r="I7348" s="88">
        <f t="shared" si="1117"/>
        <v>2795.929999999993</v>
      </c>
      <c r="J7348"/>
      <c r="K7348" s="62"/>
      <c r="L7348" s="2">
        <f t="shared" si="1118"/>
        <v>0</v>
      </c>
      <c r="M7348">
        <f t="shared" si="1119"/>
        <v>0</v>
      </c>
    </row>
    <row r="7349" spans="1:13" s="153" customFormat="1" x14ac:dyDescent="0.3">
      <c r="A7349" s="3" t="str">
        <f t="shared" si="1107"/>
        <v>15-12-20265</v>
      </c>
      <c r="B7349" s="11" t="s">
        <v>9867</v>
      </c>
      <c r="C7349" s="51" t="s">
        <v>7569</v>
      </c>
      <c r="E7349" s="90" t="s">
        <v>16</v>
      </c>
      <c r="F7349" s="4"/>
      <c r="G7349" s="2"/>
      <c r="H7349" s="2">
        <v>2000</v>
      </c>
      <c r="I7349" s="88">
        <f t="shared" si="1117"/>
        <v>795.92999999999302</v>
      </c>
      <c r="J7349"/>
      <c r="K7349" s="62"/>
      <c r="L7349" s="2">
        <f t="shared" si="1118"/>
        <v>23</v>
      </c>
      <c r="M7349">
        <f t="shared" si="1119"/>
        <v>0</v>
      </c>
    </row>
    <row r="7350" spans="1:13" s="153" customFormat="1" x14ac:dyDescent="0.3">
      <c r="A7350" s="3" t="str">
        <f t="shared" si="1107"/>
        <v>15-12-20265</v>
      </c>
      <c r="B7350" s="11" t="s">
        <v>7804</v>
      </c>
      <c r="C7350" s="51" t="s">
        <v>7805</v>
      </c>
      <c r="E7350" s="90" t="s">
        <v>2088</v>
      </c>
      <c r="F7350" s="4"/>
      <c r="G7350" s="2"/>
      <c r="H7350" s="2">
        <v>3000</v>
      </c>
      <c r="I7350" s="88">
        <f t="shared" si="1117"/>
        <v>-2204.070000000007</v>
      </c>
      <c r="J7350"/>
      <c r="K7350" s="62"/>
      <c r="L7350" s="2">
        <f t="shared" si="1118"/>
        <v>17</v>
      </c>
      <c r="M7350">
        <f t="shared" si="1119"/>
        <v>5</v>
      </c>
    </row>
    <row r="7351" spans="1:13" s="153" customFormat="1" x14ac:dyDescent="0.3">
      <c r="A7351" s="3" t="str">
        <f t="shared" si="1107"/>
        <v>15-12-20265</v>
      </c>
      <c r="B7351" s="11" t="s">
        <v>7804</v>
      </c>
      <c r="C7351" s="51" t="s">
        <v>7805</v>
      </c>
      <c r="E7351" s="90" t="s">
        <v>2088</v>
      </c>
      <c r="F7351" s="4"/>
      <c r="G7351" s="2">
        <v>0</v>
      </c>
      <c r="H7351" s="2">
        <v>0</v>
      </c>
      <c r="I7351" s="88">
        <f t="shared" si="1117"/>
        <v>-2204.070000000007</v>
      </c>
      <c r="J7351"/>
      <c r="K7351" s="62"/>
      <c r="L7351" s="2">
        <f t="shared" si="1118"/>
        <v>5</v>
      </c>
      <c r="M7351">
        <f t="shared" si="1119"/>
        <v>5</v>
      </c>
    </row>
    <row r="7352" spans="1:13" s="153" customFormat="1" x14ac:dyDescent="0.3">
      <c r="A7352" s="3" t="str">
        <f t="shared" si="1107"/>
        <v>15-12-20265</v>
      </c>
      <c r="B7352" s="11" t="s">
        <v>9870</v>
      </c>
      <c r="C7352" s="7" t="s">
        <v>9872</v>
      </c>
      <c r="E7352" s="90" t="s">
        <v>2088</v>
      </c>
      <c r="F7352" s="4"/>
      <c r="G7352" s="2">
        <v>3000</v>
      </c>
      <c r="H7352" s="2"/>
      <c r="I7352" s="88">
        <f t="shared" si="1117"/>
        <v>795.92999999999302</v>
      </c>
      <c r="J7352"/>
      <c r="K7352" s="62"/>
      <c r="L7352" s="2">
        <f t="shared" si="1118"/>
        <v>17</v>
      </c>
      <c r="M7352">
        <f t="shared" si="1119"/>
        <v>5</v>
      </c>
    </row>
    <row r="7353" spans="1:13" s="153" customFormat="1" x14ac:dyDescent="0.3">
      <c r="A7353" s="3" t="str">
        <f t="shared" si="1107"/>
        <v>15-12-20265</v>
      </c>
      <c r="B7353" s="11" t="s">
        <v>7649</v>
      </c>
      <c r="C7353" s="7" t="s">
        <v>8378</v>
      </c>
      <c r="E7353" s="90" t="s">
        <v>16</v>
      </c>
      <c r="F7353" s="4"/>
      <c r="G7353" s="2"/>
      <c r="H7353" s="2">
        <v>500</v>
      </c>
      <c r="I7353" s="88">
        <f t="shared" si="1117"/>
        <v>295.92999999999302</v>
      </c>
      <c r="J7353"/>
      <c r="K7353" s="62"/>
      <c r="L7353" s="2">
        <f t="shared" si="1118"/>
        <v>17</v>
      </c>
      <c r="M7353">
        <f t="shared" si="1119"/>
        <v>0</v>
      </c>
    </row>
    <row r="7354" spans="1:13" s="153" customFormat="1" x14ac:dyDescent="0.3">
      <c r="A7354" s="3" t="str">
        <f t="shared" si="1107"/>
        <v>15-12-20265</v>
      </c>
      <c r="B7354" s="11" t="s">
        <v>9874</v>
      </c>
      <c r="C7354" s="7" t="s">
        <v>9875</v>
      </c>
      <c r="E7354" s="90" t="s">
        <v>4720</v>
      </c>
      <c r="F7354" s="4"/>
      <c r="G7354" s="2"/>
      <c r="H7354" s="2">
        <v>10000</v>
      </c>
      <c r="I7354" s="88">
        <f t="shared" si="1117"/>
        <v>-9704.070000000007</v>
      </c>
      <c r="J7354"/>
      <c r="K7354" s="62"/>
      <c r="L7354" s="2">
        <f t="shared" ref="L7354:L7366" si="1120">IF(E7354="C",0,IF((G7354+H7354)&lt;=5000,(G7354+H7354)*0.004,20)+IF(E7354="P",5,IF(E7354="Y",15,IF(E7354="YY",25))))</f>
        <v>20</v>
      </c>
      <c r="M7354">
        <f t="shared" ref="M7354:M7366" si="1121">IF(E7354="p",5,0)</f>
        <v>0</v>
      </c>
    </row>
    <row r="7355" spans="1:13" s="153" customFormat="1" x14ac:dyDescent="0.3">
      <c r="A7355" s="3" t="str">
        <f t="shared" si="1107"/>
        <v>15-12-20265</v>
      </c>
      <c r="B7355" s="11" t="s">
        <v>1250</v>
      </c>
      <c r="C7355" s="7" t="s">
        <v>9405</v>
      </c>
      <c r="D7355" s="153" t="s">
        <v>9877</v>
      </c>
      <c r="E7355" s="90" t="s">
        <v>16</v>
      </c>
      <c r="F7355" s="4"/>
      <c r="G7355" s="2"/>
      <c r="H7355" s="2">
        <v>500</v>
      </c>
      <c r="I7355" s="88">
        <f t="shared" si="1117"/>
        <v>-10204.070000000007</v>
      </c>
      <c r="J7355"/>
      <c r="K7355" s="62"/>
      <c r="L7355" s="2">
        <f t="shared" si="1120"/>
        <v>17</v>
      </c>
      <c r="M7355">
        <f t="shared" si="1121"/>
        <v>0</v>
      </c>
    </row>
    <row r="7356" spans="1:13" s="153" customFormat="1" x14ac:dyDescent="0.3">
      <c r="A7356" s="3" t="str">
        <f t="shared" si="1107"/>
        <v>15-12-20265</v>
      </c>
      <c r="B7356" s="11" t="s">
        <v>9857</v>
      </c>
      <c r="C7356" s="7" t="s">
        <v>9858</v>
      </c>
      <c r="E7356" s="90" t="s">
        <v>4720</v>
      </c>
      <c r="F7356" s="4"/>
      <c r="G7356" s="2">
        <v>1500</v>
      </c>
      <c r="H7356" s="2"/>
      <c r="I7356" s="88">
        <f t="shared" si="1117"/>
        <v>-8704.070000000007</v>
      </c>
      <c r="J7356"/>
      <c r="K7356" s="62"/>
      <c r="L7356" s="2">
        <f t="shared" si="1120"/>
        <v>6</v>
      </c>
      <c r="M7356">
        <f t="shared" si="1121"/>
        <v>0</v>
      </c>
    </row>
    <row r="7357" spans="1:13" s="153" customFormat="1" x14ac:dyDescent="0.3">
      <c r="A7357" s="3">
        <v>46007</v>
      </c>
      <c r="B7357" s="11"/>
      <c r="C7357" s="7" t="s">
        <v>2887</v>
      </c>
      <c r="E7357" s="90" t="s">
        <v>2088</v>
      </c>
      <c r="F7357" s="4"/>
      <c r="G7357" s="2">
        <v>0</v>
      </c>
      <c r="H7357" s="2">
        <v>0</v>
      </c>
      <c r="I7357" s="88">
        <f t="shared" si="1117"/>
        <v>-8704.070000000007</v>
      </c>
      <c r="J7357"/>
      <c r="K7357" s="62"/>
      <c r="L7357" s="2">
        <f t="shared" si="1120"/>
        <v>5</v>
      </c>
      <c r="M7357">
        <f t="shared" si="1121"/>
        <v>5</v>
      </c>
    </row>
    <row r="7358" spans="1:13" s="153" customFormat="1" x14ac:dyDescent="0.3">
      <c r="A7358" s="3">
        <f t="shared" si="1107"/>
        <v>46007</v>
      </c>
      <c r="B7358" s="11" t="s">
        <v>5230</v>
      </c>
      <c r="C7358" s="7" t="s">
        <v>6762</v>
      </c>
      <c r="E7358" s="90" t="s">
        <v>8332</v>
      </c>
      <c r="F7358" s="4"/>
      <c r="G7358" s="2">
        <v>10000</v>
      </c>
      <c r="H7358" s="2"/>
      <c r="I7358" s="88">
        <f t="shared" ref="I7358:I7366" si="1122">I7357+G7358-H7358</f>
        <v>1295.929999999993</v>
      </c>
      <c r="J7358"/>
      <c r="K7358" s="62"/>
      <c r="L7358" s="2">
        <f t="shared" si="1120"/>
        <v>0</v>
      </c>
      <c r="M7358">
        <f t="shared" si="1121"/>
        <v>0</v>
      </c>
    </row>
    <row r="7359" spans="1:13" s="153" customFormat="1" x14ac:dyDescent="0.3">
      <c r="A7359" s="3">
        <f t="shared" si="1107"/>
        <v>46007</v>
      </c>
      <c r="B7359" s="11" t="s">
        <v>7186</v>
      </c>
      <c r="C7359" s="7" t="s">
        <v>9841</v>
      </c>
      <c r="E7359" s="90" t="s">
        <v>2088</v>
      </c>
      <c r="F7359" s="4"/>
      <c r="G7359" s="2"/>
      <c r="H7359" s="2">
        <v>9500</v>
      </c>
      <c r="I7359" s="88">
        <f t="shared" si="1122"/>
        <v>-8204.070000000007</v>
      </c>
      <c r="J7359"/>
      <c r="K7359" s="62"/>
      <c r="L7359" s="2">
        <f t="shared" si="1120"/>
        <v>25</v>
      </c>
      <c r="M7359">
        <f t="shared" si="1121"/>
        <v>5</v>
      </c>
    </row>
    <row r="7360" spans="1:13" s="153" customFormat="1" x14ac:dyDescent="0.3">
      <c r="A7360" s="3">
        <f t="shared" si="1107"/>
        <v>46007</v>
      </c>
      <c r="B7360" s="11" t="s">
        <v>6522</v>
      </c>
      <c r="C7360" s="7" t="s">
        <v>6246</v>
      </c>
      <c r="E7360" s="90" t="s">
        <v>4720</v>
      </c>
      <c r="F7360" s="4"/>
      <c r="G7360" s="2">
        <v>10000</v>
      </c>
      <c r="H7360" s="2"/>
      <c r="I7360" s="88">
        <f t="shared" si="1122"/>
        <v>1795.929999999993</v>
      </c>
      <c r="J7360"/>
      <c r="K7360" s="62"/>
      <c r="L7360" s="2">
        <f t="shared" si="1120"/>
        <v>20</v>
      </c>
      <c r="M7360">
        <f t="shared" si="1121"/>
        <v>0</v>
      </c>
    </row>
    <row r="7361" spans="1:13" s="153" customFormat="1" x14ac:dyDescent="0.3">
      <c r="A7361" s="3">
        <f t="shared" si="1107"/>
        <v>46007</v>
      </c>
      <c r="B7361" s="11" t="s">
        <v>3487</v>
      </c>
      <c r="C7361" s="7" t="s">
        <v>2892</v>
      </c>
      <c r="E7361" s="90" t="s">
        <v>4720</v>
      </c>
      <c r="F7361" s="4"/>
      <c r="G7361" s="74">
        <v>1900</v>
      </c>
      <c r="H7361" s="2"/>
      <c r="I7361" s="88">
        <f t="shared" si="1122"/>
        <v>3695.929999999993</v>
      </c>
      <c r="J7361"/>
      <c r="K7361" s="62"/>
      <c r="L7361" s="2">
        <f t="shared" si="1120"/>
        <v>7.6000000000000005</v>
      </c>
      <c r="M7361">
        <f t="shared" si="1121"/>
        <v>0</v>
      </c>
    </row>
    <row r="7362" spans="1:13" s="153" customFormat="1" x14ac:dyDescent="0.3">
      <c r="A7362" s="3">
        <f t="shared" si="1107"/>
        <v>46007</v>
      </c>
      <c r="B7362" s="11" t="s">
        <v>9797</v>
      </c>
      <c r="C7362" s="7" t="s">
        <v>9879</v>
      </c>
      <c r="E7362" s="90" t="s">
        <v>2088</v>
      </c>
      <c r="F7362" s="4"/>
      <c r="G7362" s="2">
        <v>3000</v>
      </c>
      <c r="H7362" s="2"/>
      <c r="I7362" s="88">
        <f t="shared" si="1122"/>
        <v>6695.929999999993</v>
      </c>
      <c r="J7362"/>
      <c r="K7362" s="62"/>
      <c r="L7362" s="2">
        <f t="shared" si="1120"/>
        <v>17</v>
      </c>
      <c r="M7362">
        <f t="shared" si="1121"/>
        <v>5</v>
      </c>
    </row>
    <row r="7363" spans="1:13" s="153" customFormat="1" x14ac:dyDescent="0.3">
      <c r="A7363" s="3">
        <f t="shared" si="1107"/>
        <v>46007</v>
      </c>
      <c r="B7363" s="11" t="s">
        <v>7865</v>
      </c>
      <c r="C7363" s="7" t="s">
        <v>9880</v>
      </c>
      <c r="E7363" s="90" t="s">
        <v>2088</v>
      </c>
      <c r="F7363" s="4"/>
      <c r="G7363" s="2">
        <v>0</v>
      </c>
      <c r="H7363" s="2">
        <v>0</v>
      </c>
      <c r="I7363" s="88">
        <f t="shared" si="1122"/>
        <v>6695.929999999993</v>
      </c>
      <c r="J7363"/>
      <c r="K7363" s="62"/>
      <c r="L7363" s="2">
        <f t="shared" si="1120"/>
        <v>5</v>
      </c>
      <c r="M7363">
        <f t="shared" si="1121"/>
        <v>5</v>
      </c>
    </row>
    <row r="7364" spans="1:13" s="153" customFormat="1" x14ac:dyDescent="0.3">
      <c r="A7364" s="3">
        <f t="shared" si="1107"/>
        <v>46007</v>
      </c>
      <c r="B7364" s="11" t="s">
        <v>1472</v>
      </c>
      <c r="C7364" s="7" t="s">
        <v>9881</v>
      </c>
      <c r="E7364" s="90" t="s">
        <v>7772</v>
      </c>
      <c r="F7364" s="4"/>
      <c r="G7364" s="2">
        <v>2000</v>
      </c>
      <c r="H7364" s="2"/>
      <c r="I7364" s="88">
        <f t="shared" si="1122"/>
        <v>8695.929999999993</v>
      </c>
      <c r="J7364"/>
      <c r="K7364" s="62"/>
      <c r="L7364" s="2">
        <f t="shared" si="1120"/>
        <v>13</v>
      </c>
      <c r="M7364">
        <f t="shared" si="1121"/>
        <v>5</v>
      </c>
    </row>
    <row r="7365" spans="1:13" s="153" customFormat="1" x14ac:dyDescent="0.3">
      <c r="A7365" s="3">
        <f t="shared" si="1107"/>
        <v>46007</v>
      </c>
      <c r="B7365" s="11" t="s">
        <v>9883</v>
      </c>
      <c r="C7365" s="7" t="s">
        <v>9884</v>
      </c>
      <c r="E7365" s="90" t="s">
        <v>4720</v>
      </c>
      <c r="F7365" s="4"/>
      <c r="G7365" s="2">
        <v>500</v>
      </c>
      <c r="H7365" s="2"/>
      <c r="I7365" s="88">
        <f t="shared" si="1122"/>
        <v>9195.929999999993</v>
      </c>
      <c r="J7365"/>
      <c r="K7365" s="62"/>
      <c r="L7365" s="2">
        <f t="shared" si="1120"/>
        <v>2</v>
      </c>
      <c r="M7365">
        <f t="shared" si="1121"/>
        <v>0</v>
      </c>
    </row>
    <row r="7366" spans="1:13" s="153" customFormat="1" x14ac:dyDescent="0.3">
      <c r="A7366" s="3">
        <f t="shared" si="1107"/>
        <v>46007</v>
      </c>
      <c r="B7366" s="11" t="s">
        <v>7108</v>
      </c>
      <c r="C7366" s="7" t="s">
        <v>9182</v>
      </c>
      <c r="E7366" s="90" t="s">
        <v>16</v>
      </c>
      <c r="F7366" s="4"/>
      <c r="G7366" s="2"/>
      <c r="H7366" s="2">
        <v>1000</v>
      </c>
      <c r="I7366" s="88">
        <f t="shared" si="1122"/>
        <v>8195.929999999993</v>
      </c>
      <c r="J7366"/>
      <c r="K7366" s="62"/>
      <c r="L7366" s="2">
        <f t="shared" si="1120"/>
        <v>19</v>
      </c>
      <c r="M7366">
        <f t="shared" si="1121"/>
        <v>0</v>
      </c>
    </row>
    <row r="7367" spans="1:13" s="153" customFormat="1" x14ac:dyDescent="0.3">
      <c r="A7367" s="3">
        <f t="shared" si="1107"/>
        <v>46007</v>
      </c>
      <c r="B7367" s="11" t="s">
        <v>1250</v>
      </c>
      <c r="C7367" s="7" t="s">
        <v>8703</v>
      </c>
      <c r="E7367" s="90" t="s">
        <v>2088</v>
      </c>
      <c r="F7367" s="4"/>
      <c r="G7367" s="2">
        <v>1000</v>
      </c>
      <c r="H7367" s="2"/>
      <c r="I7367" s="88">
        <f t="shared" ref="I7367:I7378" si="1123">I7366+G7367-H7367</f>
        <v>9195.929999999993</v>
      </c>
      <c r="J7367"/>
      <c r="K7367" s="62"/>
      <c r="L7367" s="2">
        <f t="shared" ref="L7367:L7378" si="1124">IF(E7367="C",0,IF((G7367+H7367)&lt;=5000,(G7367+H7367)*0.004,20)+IF(E7367="P",5,IF(E7367="Y",15,IF(E7367="YY",25))))</f>
        <v>9</v>
      </c>
      <c r="M7367">
        <f t="shared" ref="M7367:M7378" si="1125">IF(E7367="p",5,0)</f>
        <v>5</v>
      </c>
    </row>
    <row r="7368" spans="1:13" s="153" customFormat="1" x14ac:dyDescent="0.3">
      <c r="A7368" s="3">
        <v>46008</v>
      </c>
      <c r="B7368" s="11" t="s">
        <v>7432</v>
      </c>
      <c r="C7368" s="7" t="s">
        <v>629</v>
      </c>
      <c r="E7368" s="90" t="s">
        <v>4720</v>
      </c>
      <c r="F7368" s="4"/>
      <c r="G7368" s="2">
        <v>1500</v>
      </c>
      <c r="H7368" s="2"/>
      <c r="I7368" s="88">
        <f t="shared" si="1123"/>
        <v>10695.929999999993</v>
      </c>
      <c r="J7368"/>
      <c r="K7368" s="62"/>
      <c r="L7368" s="2">
        <f t="shared" si="1124"/>
        <v>6</v>
      </c>
      <c r="M7368">
        <f t="shared" si="1125"/>
        <v>0</v>
      </c>
    </row>
    <row r="7369" spans="1:13" s="153" customFormat="1" x14ac:dyDescent="0.3">
      <c r="A7369" s="3">
        <f t="shared" si="1107"/>
        <v>46008</v>
      </c>
      <c r="B7369" s="11" t="s">
        <v>9843</v>
      </c>
      <c r="C7369" s="7" t="s">
        <v>9844</v>
      </c>
      <c r="E7369" s="90" t="s">
        <v>2088</v>
      </c>
      <c r="F7369" s="4"/>
      <c r="G7369" s="2">
        <v>1500</v>
      </c>
      <c r="H7369" s="2"/>
      <c r="I7369" s="88">
        <f t="shared" si="1123"/>
        <v>12195.929999999993</v>
      </c>
      <c r="J7369"/>
      <c r="K7369" s="62"/>
      <c r="L7369" s="2">
        <f t="shared" si="1124"/>
        <v>11</v>
      </c>
      <c r="M7369">
        <f t="shared" si="1125"/>
        <v>5</v>
      </c>
    </row>
    <row r="7370" spans="1:13" s="153" customFormat="1" x14ac:dyDescent="0.3">
      <c r="A7370" s="3">
        <f t="shared" si="1107"/>
        <v>46008</v>
      </c>
      <c r="B7370" s="11" t="s">
        <v>9843</v>
      </c>
      <c r="C7370" s="7" t="s">
        <v>9844</v>
      </c>
      <c r="E7370" s="90" t="s">
        <v>2088</v>
      </c>
      <c r="F7370" s="4"/>
      <c r="G7370" s="2">
        <v>0</v>
      </c>
      <c r="H7370" s="2">
        <v>0</v>
      </c>
      <c r="I7370" s="88">
        <f t="shared" si="1123"/>
        <v>12195.929999999993</v>
      </c>
      <c r="J7370"/>
      <c r="K7370" s="62"/>
      <c r="L7370" s="2">
        <f t="shared" si="1124"/>
        <v>5</v>
      </c>
      <c r="M7370">
        <f t="shared" si="1125"/>
        <v>5</v>
      </c>
    </row>
    <row r="7371" spans="1:13" s="153" customFormat="1" x14ac:dyDescent="0.3">
      <c r="A7371" s="3">
        <f t="shared" si="1107"/>
        <v>46008</v>
      </c>
      <c r="B7371" s="11" t="s">
        <v>7060</v>
      </c>
      <c r="C7371" s="7" t="s">
        <v>7061</v>
      </c>
      <c r="E7371" s="90" t="s">
        <v>2088</v>
      </c>
      <c r="F7371" s="4"/>
      <c r="G7371" s="2"/>
      <c r="H7371" s="2">
        <v>100</v>
      </c>
      <c r="I7371" s="88">
        <f t="shared" si="1123"/>
        <v>12095.929999999993</v>
      </c>
      <c r="J7371"/>
      <c r="K7371" s="62"/>
      <c r="L7371" s="2">
        <f t="shared" si="1124"/>
        <v>5.4</v>
      </c>
      <c r="M7371">
        <f t="shared" si="1125"/>
        <v>5</v>
      </c>
    </row>
    <row r="7372" spans="1:13" s="153" customFormat="1" x14ac:dyDescent="0.3">
      <c r="A7372" s="3">
        <f t="shared" si="1107"/>
        <v>46008</v>
      </c>
      <c r="B7372" s="11" t="s">
        <v>5986</v>
      </c>
      <c r="C7372" s="7" t="s">
        <v>5985</v>
      </c>
      <c r="E7372" s="90" t="s">
        <v>4720</v>
      </c>
      <c r="F7372" s="4"/>
      <c r="G7372" s="2">
        <v>6000</v>
      </c>
      <c r="H7372" s="2"/>
      <c r="I7372" s="88">
        <f t="shared" si="1123"/>
        <v>18095.929999999993</v>
      </c>
      <c r="J7372"/>
      <c r="K7372" s="62"/>
      <c r="L7372" s="2">
        <f t="shared" si="1124"/>
        <v>20</v>
      </c>
      <c r="M7372">
        <f t="shared" si="1125"/>
        <v>0</v>
      </c>
    </row>
    <row r="7373" spans="1:13" s="153" customFormat="1" x14ac:dyDescent="0.3">
      <c r="A7373" s="3">
        <f t="shared" si="1107"/>
        <v>46008</v>
      </c>
      <c r="B7373" s="11"/>
      <c r="C7373" s="7" t="s">
        <v>2857</v>
      </c>
      <c r="E7373" s="90" t="s">
        <v>4720</v>
      </c>
      <c r="F7373" s="4"/>
      <c r="G7373" s="2"/>
      <c r="H7373" s="2">
        <v>10000</v>
      </c>
      <c r="I7373" s="88">
        <f t="shared" si="1123"/>
        <v>8095.929999999993</v>
      </c>
      <c r="J7373"/>
      <c r="K7373" s="62"/>
      <c r="L7373" s="2">
        <f t="shared" si="1124"/>
        <v>20</v>
      </c>
      <c r="M7373">
        <f t="shared" si="1125"/>
        <v>0</v>
      </c>
    </row>
    <row r="7374" spans="1:13" s="153" customFormat="1" x14ac:dyDescent="0.3">
      <c r="A7374" s="3">
        <f t="shared" si="1107"/>
        <v>46008</v>
      </c>
      <c r="B7374" s="11" t="s">
        <v>7186</v>
      </c>
      <c r="C7374" s="7" t="s">
        <v>9841</v>
      </c>
      <c r="E7374" s="90" t="s">
        <v>8332</v>
      </c>
      <c r="F7374" s="4"/>
      <c r="G7374" s="2"/>
      <c r="H7374" s="2">
        <v>10000</v>
      </c>
      <c r="I7374" s="88">
        <f t="shared" si="1123"/>
        <v>-1904.070000000007</v>
      </c>
      <c r="J7374"/>
      <c r="K7374" s="62"/>
      <c r="L7374" s="2">
        <f t="shared" si="1124"/>
        <v>0</v>
      </c>
      <c r="M7374">
        <f t="shared" si="1125"/>
        <v>0</v>
      </c>
    </row>
    <row r="7375" spans="1:13" s="153" customFormat="1" x14ac:dyDescent="0.3">
      <c r="A7375" s="3">
        <f t="shared" si="1107"/>
        <v>46008</v>
      </c>
      <c r="B7375" s="11" t="s">
        <v>9864</v>
      </c>
      <c r="C7375" s="7" t="s">
        <v>9868</v>
      </c>
      <c r="E7375" s="90" t="s">
        <v>2088</v>
      </c>
      <c r="F7375" s="4"/>
      <c r="G7375" s="2">
        <v>10000</v>
      </c>
      <c r="H7375" s="2"/>
      <c r="I7375" s="88">
        <f t="shared" si="1123"/>
        <v>8095.929999999993</v>
      </c>
      <c r="J7375">
        <v>3095</v>
      </c>
      <c r="K7375" s="62"/>
      <c r="L7375" s="2">
        <f t="shared" si="1124"/>
        <v>25</v>
      </c>
      <c r="M7375">
        <f t="shared" si="1125"/>
        <v>5</v>
      </c>
    </row>
    <row r="7376" spans="1:13" s="153" customFormat="1" x14ac:dyDescent="0.3">
      <c r="A7376" s="3">
        <f t="shared" si="1107"/>
        <v>46008</v>
      </c>
      <c r="B7376" s="11" t="s">
        <v>9910</v>
      </c>
      <c r="C7376" s="7" t="s">
        <v>6418</v>
      </c>
      <c r="E7376" s="90" t="s">
        <v>2088</v>
      </c>
      <c r="F7376" s="4"/>
      <c r="G7376" s="2">
        <v>0</v>
      </c>
      <c r="H7376" s="2">
        <v>0</v>
      </c>
      <c r="I7376" s="88">
        <f t="shared" si="1123"/>
        <v>8095.929999999993</v>
      </c>
      <c r="J7376"/>
      <c r="K7376" s="62"/>
      <c r="L7376" s="2">
        <f t="shared" si="1124"/>
        <v>5</v>
      </c>
      <c r="M7376">
        <f t="shared" si="1125"/>
        <v>5</v>
      </c>
    </row>
    <row r="7377" spans="1:13" s="153" customFormat="1" x14ac:dyDescent="0.3">
      <c r="A7377" s="3">
        <v>46009</v>
      </c>
      <c r="B7377" s="11" t="s">
        <v>7186</v>
      </c>
      <c r="C7377" s="7" t="s">
        <v>9841</v>
      </c>
      <c r="E7377" s="90" t="s">
        <v>4720</v>
      </c>
      <c r="F7377" s="4"/>
      <c r="G7377" s="2">
        <v>10000</v>
      </c>
      <c r="H7377" s="2"/>
      <c r="I7377" s="88">
        <f t="shared" si="1123"/>
        <v>18095.929999999993</v>
      </c>
      <c r="J7377"/>
      <c r="K7377" s="62"/>
      <c r="L7377" s="2">
        <f t="shared" si="1124"/>
        <v>20</v>
      </c>
      <c r="M7377">
        <f t="shared" si="1125"/>
        <v>0</v>
      </c>
    </row>
    <row r="7378" spans="1:13" s="153" customFormat="1" x14ac:dyDescent="0.3">
      <c r="A7378" s="3">
        <f t="shared" si="1107"/>
        <v>46009</v>
      </c>
      <c r="B7378" s="11" t="s">
        <v>3669</v>
      </c>
      <c r="C7378" s="7" t="s">
        <v>3658</v>
      </c>
      <c r="E7378" s="90" t="s">
        <v>2088</v>
      </c>
      <c r="F7378" s="4"/>
      <c r="G7378" s="2">
        <v>10000</v>
      </c>
      <c r="H7378" s="2"/>
      <c r="I7378" s="88">
        <f t="shared" si="1123"/>
        <v>28095.929999999993</v>
      </c>
      <c r="J7378"/>
      <c r="K7378" s="62"/>
      <c r="L7378" s="2">
        <f t="shared" si="1124"/>
        <v>25</v>
      </c>
      <c r="M7378">
        <f t="shared" si="1125"/>
        <v>5</v>
      </c>
    </row>
    <row r="7379" spans="1:13" s="153" customFormat="1" x14ac:dyDescent="0.3">
      <c r="A7379" s="3">
        <f t="shared" si="1107"/>
        <v>46009</v>
      </c>
      <c r="B7379" s="11" t="s">
        <v>1250</v>
      </c>
      <c r="C7379" s="7" t="s">
        <v>6581</v>
      </c>
      <c r="E7379" s="90" t="s">
        <v>4720</v>
      </c>
      <c r="F7379" s="4"/>
      <c r="G7379" s="2">
        <v>10000</v>
      </c>
      <c r="H7379" s="2"/>
      <c r="I7379" s="88">
        <f t="shared" ref="I7379:I7390" si="1126">I7378+G7379-H7379</f>
        <v>38095.929999999993</v>
      </c>
      <c r="J7379"/>
      <c r="K7379" s="62"/>
      <c r="L7379" s="2">
        <f t="shared" ref="L7379:L7390" si="1127">IF(E7379="C",0,IF((G7379+H7379)&lt;=5000,(G7379+H7379)*0.004,20)+IF(E7379="P",5,IF(E7379="Y",15,IF(E7379="YY",25))))</f>
        <v>20</v>
      </c>
      <c r="M7379">
        <f t="shared" ref="M7379:M7390" si="1128">IF(E7379="p",5,0)</f>
        <v>0</v>
      </c>
    </row>
    <row r="7380" spans="1:13" s="153" customFormat="1" x14ac:dyDescent="0.3">
      <c r="A7380" s="3">
        <f t="shared" ref="A7380:A7440" si="1129">A7379</f>
        <v>46009</v>
      </c>
      <c r="B7380" s="11" t="s">
        <v>6844</v>
      </c>
      <c r="C7380" s="7" t="s">
        <v>9810</v>
      </c>
      <c r="E7380" s="90" t="s">
        <v>4720</v>
      </c>
      <c r="F7380" s="4"/>
      <c r="G7380" s="2">
        <v>1500</v>
      </c>
      <c r="H7380" s="2"/>
      <c r="I7380" s="88">
        <f t="shared" si="1126"/>
        <v>39595.929999999993</v>
      </c>
      <c r="J7380"/>
      <c r="K7380" s="62"/>
      <c r="L7380" s="2">
        <f t="shared" si="1127"/>
        <v>6</v>
      </c>
      <c r="M7380">
        <f t="shared" si="1128"/>
        <v>0</v>
      </c>
    </row>
    <row r="7381" spans="1:13" s="153" customFormat="1" x14ac:dyDescent="0.3">
      <c r="A7381" s="3">
        <f t="shared" si="1129"/>
        <v>46009</v>
      </c>
      <c r="B7381" s="11" t="s">
        <v>9911</v>
      </c>
      <c r="C7381" s="7" t="s">
        <v>9912</v>
      </c>
      <c r="E7381" s="90" t="s">
        <v>4720</v>
      </c>
      <c r="F7381" s="4"/>
      <c r="G7381" s="2"/>
      <c r="H7381" s="2">
        <v>1000</v>
      </c>
      <c r="I7381" s="88">
        <f t="shared" si="1126"/>
        <v>38595.929999999993</v>
      </c>
      <c r="J7381"/>
      <c r="K7381" s="62"/>
      <c r="L7381" s="2">
        <f t="shared" si="1127"/>
        <v>4</v>
      </c>
      <c r="M7381">
        <f t="shared" si="1128"/>
        <v>0</v>
      </c>
    </row>
    <row r="7382" spans="1:13" s="153" customFormat="1" x14ac:dyDescent="0.3">
      <c r="A7382" s="3">
        <f t="shared" si="1129"/>
        <v>46009</v>
      </c>
      <c r="B7382" s="11" t="s">
        <v>7329</v>
      </c>
      <c r="C7382" s="7" t="s">
        <v>8632</v>
      </c>
      <c r="E7382" s="90" t="s">
        <v>4720</v>
      </c>
      <c r="F7382" s="4"/>
      <c r="G7382" s="2">
        <v>2000</v>
      </c>
      <c r="H7382" s="2"/>
      <c r="I7382" s="88">
        <f t="shared" si="1126"/>
        <v>40595.929999999993</v>
      </c>
      <c r="J7382"/>
      <c r="K7382" s="62"/>
      <c r="L7382" s="2">
        <f t="shared" si="1127"/>
        <v>8</v>
      </c>
      <c r="M7382">
        <f t="shared" si="1128"/>
        <v>0</v>
      </c>
    </row>
    <row r="7383" spans="1:13" s="153" customFormat="1" x14ac:dyDescent="0.3">
      <c r="A7383" s="3">
        <f t="shared" si="1129"/>
        <v>46009</v>
      </c>
      <c r="B7383" s="11" t="s">
        <v>5995</v>
      </c>
      <c r="C7383" s="7" t="s">
        <v>9913</v>
      </c>
      <c r="E7383" s="90" t="s">
        <v>4720</v>
      </c>
      <c r="F7383" s="4"/>
      <c r="G7383" s="2">
        <v>900</v>
      </c>
      <c r="H7383" s="2"/>
      <c r="I7383" s="88">
        <f t="shared" si="1126"/>
        <v>41495.929999999993</v>
      </c>
      <c r="J7383"/>
      <c r="K7383" s="62"/>
      <c r="L7383" s="2">
        <f t="shared" si="1127"/>
        <v>3.6</v>
      </c>
      <c r="M7383">
        <f t="shared" si="1128"/>
        <v>0</v>
      </c>
    </row>
    <row r="7384" spans="1:13" s="153" customFormat="1" x14ac:dyDescent="0.3">
      <c r="A7384" s="3">
        <f t="shared" si="1129"/>
        <v>46009</v>
      </c>
      <c r="B7384" s="11"/>
      <c r="C7384" s="7" t="s">
        <v>2857</v>
      </c>
      <c r="E7384" s="90" t="s">
        <v>2088</v>
      </c>
      <c r="F7384" s="4"/>
      <c r="G7384" s="2">
        <v>4500</v>
      </c>
      <c r="H7384" s="2"/>
      <c r="I7384" s="88">
        <f t="shared" si="1126"/>
        <v>45995.929999999993</v>
      </c>
      <c r="J7384"/>
      <c r="K7384" s="62"/>
      <c r="L7384" s="2">
        <f t="shared" si="1127"/>
        <v>23</v>
      </c>
      <c r="M7384">
        <f t="shared" si="1128"/>
        <v>5</v>
      </c>
    </row>
    <row r="7385" spans="1:13" s="153" customFormat="1" x14ac:dyDescent="0.3">
      <c r="A7385" s="3">
        <f t="shared" si="1129"/>
        <v>46009</v>
      </c>
      <c r="B7385" s="11" t="s">
        <v>6842</v>
      </c>
      <c r="C7385" s="7" t="s">
        <v>9922</v>
      </c>
      <c r="E7385" s="90" t="s">
        <v>8332</v>
      </c>
      <c r="F7385" s="4"/>
      <c r="G7385" s="2"/>
      <c r="H7385" s="2">
        <v>49000</v>
      </c>
      <c r="I7385" s="88">
        <f t="shared" si="1126"/>
        <v>-3004.070000000007</v>
      </c>
      <c r="J7385">
        <v>495.93</v>
      </c>
      <c r="K7385" s="62"/>
      <c r="L7385" s="2">
        <f t="shared" si="1127"/>
        <v>0</v>
      </c>
      <c r="M7385">
        <f t="shared" si="1128"/>
        <v>0</v>
      </c>
    </row>
    <row r="7386" spans="1:13" s="153" customFormat="1" x14ac:dyDescent="0.3">
      <c r="A7386" s="3">
        <f t="shared" si="1129"/>
        <v>46009</v>
      </c>
      <c r="B7386" s="11" t="s">
        <v>6369</v>
      </c>
      <c r="C7386" s="7" t="s">
        <v>7569</v>
      </c>
      <c r="E7386" s="90" t="s">
        <v>7772</v>
      </c>
      <c r="F7386" s="4"/>
      <c r="G7386" s="2">
        <v>2000</v>
      </c>
      <c r="H7386" s="2"/>
      <c r="I7386" s="88">
        <f t="shared" si="1126"/>
        <v>-1004.070000000007</v>
      </c>
      <c r="J7386"/>
      <c r="K7386" s="62"/>
      <c r="L7386" s="2">
        <f t="shared" si="1127"/>
        <v>13</v>
      </c>
      <c r="M7386">
        <f t="shared" si="1128"/>
        <v>5</v>
      </c>
    </row>
    <row r="7387" spans="1:13" s="153" customFormat="1" x14ac:dyDescent="0.3">
      <c r="A7387" s="3">
        <v>46010</v>
      </c>
      <c r="B7387" s="11" t="s">
        <v>5156</v>
      </c>
      <c r="C7387" s="7" t="s">
        <v>7540</v>
      </c>
      <c r="E7387" s="90" t="s">
        <v>2088</v>
      </c>
      <c r="F7387" s="4"/>
      <c r="G7387" s="2">
        <v>1000</v>
      </c>
      <c r="H7387" s="2"/>
      <c r="I7387" s="88">
        <f t="shared" si="1126"/>
        <v>-4.0700000000069849</v>
      </c>
      <c r="J7387"/>
      <c r="K7387" s="62"/>
      <c r="L7387" s="2">
        <f t="shared" si="1127"/>
        <v>9</v>
      </c>
      <c r="M7387">
        <f t="shared" si="1128"/>
        <v>5</v>
      </c>
    </row>
    <row r="7388" spans="1:13" s="153" customFormat="1" x14ac:dyDescent="0.3">
      <c r="A7388" s="3">
        <f t="shared" si="1129"/>
        <v>46010</v>
      </c>
      <c r="B7388" s="11" t="s">
        <v>3669</v>
      </c>
      <c r="C7388" s="7" t="s">
        <v>9738</v>
      </c>
      <c r="E7388" s="90" t="s">
        <v>2088</v>
      </c>
      <c r="F7388" s="4"/>
      <c r="G7388" s="2">
        <v>0</v>
      </c>
      <c r="H7388" s="2">
        <v>0</v>
      </c>
      <c r="I7388" s="88">
        <f t="shared" si="1126"/>
        <v>-4.0700000000069849</v>
      </c>
      <c r="J7388"/>
      <c r="K7388" s="62"/>
      <c r="L7388" s="2">
        <f t="shared" si="1127"/>
        <v>5</v>
      </c>
      <c r="M7388">
        <f t="shared" si="1128"/>
        <v>5</v>
      </c>
    </row>
    <row r="7389" spans="1:13" s="153" customFormat="1" x14ac:dyDescent="0.3">
      <c r="A7389" s="3">
        <f t="shared" si="1129"/>
        <v>46010</v>
      </c>
      <c r="B7389" s="11" t="s">
        <v>1250</v>
      </c>
      <c r="C7389" s="7" t="s">
        <v>2890</v>
      </c>
      <c r="E7389" s="90" t="s">
        <v>4720</v>
      </c>
      <c r="F7389" s="4"/>
      <c r="G7389" s="2">
        <v>10000</v>
      </c>
      <c r="H7389" s="2"/>
      <c r="I7389" s="88">
        <f t="shared" si="1126"/>
        <v>9995.929999999993</v>
      </c>
      <c r="J7389"/>
      <c r="K7389" s="62"/>
      <c r="L7389" s="2">
        <f t="shared" si="1127"/>
        <v>20</v>
      </c>
      <c r="M7389">
        <f t="shared" si="1128"/>
        <v>0</v>
      </c>
    </row>
    <row r="7390" spans="1:13" s="153" customFormat="1" x14ac:dyDescent="0.3">
      <c r="A7390" s="3">
        <f t="shared" si="1129"/>
        <v>46010</v>
      </c>
      <c r="B7390" s="11" t="s">
        <v>8653</v>
      </c>
      <c r="C7390" s="7" t="s">
        <v>9923</v>
      </c>
      <c r="E7390" s="90" t="s">
        <v>4720</v>
      </c>
      <c r="F7390" s="4"/>
      <c r="G7390" s="2">
        <v>2000</v>
      </c>
      <c r="H7390" s="2"/>
      <c r="I7390" s="88">
        <f t="shared" si="1126"/>
        <v>11995.929999999993</v>
      </c>
      <c r="J7390"/>
      <c r="K7390" s="62"/>
      <c r="L7390" s="2">
        <f t="shared" si="1127"/>
        <v>8</v>
      </c>
      <c r="M7390">
        <f t="shared" si="1128"/>
        <v>0</v>
      </c>
    </row>
    <row r="7391" spans="1:13" s="153" customFormat="1" x14ac:dyDescent="0.3">
      <c r="A7391" s="3">
        <f t="shared" si="1129"/>
        <v>46010</v>
      </c>
      <c r="B7391" s="11" t="s">
        <v>9849</v>
      </c>
      <c r="C7391" s="7" t="s">
        <v>9850</v>
      </c>
      <c r="E7391" s="90" t="s">
        <v>4720</v>
      </c>
      <c r="F7391" s="4"/>
      <c r="G7391" s="2"/>
      <c r="H7391" s="2">
        <v>2000</v>
      </c>
      <c r="I7391" s="88">
        <f t="shared" ref="I7391:I7398" si="1130">I7390+G7391-H7391</f>
        <v>9995.929999999993</v>
      </c>
      <c r="J7391"/>
      <c r="K7391" s="62"/>
      <c r="L7391" s="2">
        <f t="shared" ref="L7391:L7398" si="1131">IF(E7391="C",0,IF((G7391+H7391)&lt;=5000,(G7391+H7391)*0.004,20)+IF(E7391="P",5,IF(E7391="Y",15,IF(E7391="YY",25))))</f>
        <v>8</v>
      </c>
      <c r="M7391">
        <f t="shared" ref="M7391:M7398" si="1132">IF(E7391="p",5,0)</f>
        <v>0</v>
      </c>
    </row>
    <row r="7392" spans="1:13" s="153" customFormat="1" x14ac:dyDescent="0.3">
      <c r="A7392" s="3">
        <f t="shared" si="1129"/>
        <v>46010</v>
      </c>
      <c r="B7392" s="11"/>
      <c r="C7392" s="7" t="s">
        <v>2857</v>
      </c>
      <c r="E7392" s="90" t="s">
        <v>2088</v>
      </c>
      <c r="F7392" s="4"/>
      <c r="G7392" s="2">
        <v>0</v>
      </c>
      <c r="H7392" s="2">
        <v>0</v>
      </c>
      <c r="I7392" s="88">
        <f t="shared" si="1130"/>
        <v>9995.929999999993</v>
      </c>
      <c r="J7392"/>
      <c r="K7392" s="62"/>
      <c r="L7392" s="2">
        <f t="shared" si="1131"/>
        <v>5</v>
      </c>
      <c r="M7392">
        <f t="shared" si="1132"/>
        <v>5</v>
      </c>
    </row>
    <row r="7393" spans="1:13" s="153" customFormat="1" x14ac:dyDescent="0.3">
      <c r="A7393" s="3">
        <f t="shared" si="1129"/>
        <v>46010</v>
      </c>
      <c r="B7393" s="11" t="s">
        <v>6840</v>
      </c>
      <c r="C7393" s="7" t="s">
        <v>6841</v>
      </c>
      <c r="E7393" s="90" t="s">
        <v>8332</v>
      </c>
      <c r="F7393" s="4"/>
      <c r="G7393" s="2"/>
      <c r="H7393" s="2">
        <v>10000</v>
      </c>
      <c r="I7393" s="88">
        <f t="shared" si="1130"/>
        <v>-4.0700000000069849</v>
      </c>
      <c r="J7393"/>
      <c r="K7393" s="62"/>
      <c r="L7393" s="2">
        <f t="shared" si="1131"/>
        <v>0</v>
      </c>
      <c r="M7393">
        <f t="shared" si="1132"/>
        <v>0</v>
      </c>
    </row>
    <row r="7394" spans="1:13" s="153" customFormat="1" x14ac:dyDescent="0.3">
      <c r="A7394" s="3">
        <f t="shared" si="1129"/>
        <v>46010</v>
      </c>
      <c r="B7394" s="11" t="s">
        <v>1160</v>
      </c>
      <c r="C7394" s="7" t="s">
        <v>8264</v>
      </c>
      <c r="E7394" s="90" t="s">
        <v>2088</v>
      </c>
      <c r="F7394" s="4"/>
      <c r="G7394" s="2">
        <v>600</v>
      </c>
      <c r="H7394" s="2"/>
      <c r="I7394" s="88">
        <f t="shared" si="1130"/>
        <v>595.92999999999302</v>
      </c>
      <c r="J7394"/>
      <c r="K7394" s="62"/>
      <c r="L7394" s="2">
        <f t="shared" si="1131"/>
        <v>7.4</v>
      </c>
      <c r="M7394">
        <f t="shared" si="1132"/>
        <v>5</v>
      </c>
    </row>
    <row r="7395" spans="1:13" s="153" customFormat="1" x14ac:dyDescent="0.3">
      <c r="A7395" s="3">
        <f t="shared" si="1129"/>
        <v>46010</v>
      </c>
      <c r="B7395" s="39"/>
      <c r="E7395" s="90" t="s">
        <v>4720</v>
      </c>
      <c r="F7395" s="4"/>
      <c r="G7395" s="2">
        <v>1000</v>
      </c>
      <c r="H7395" s="2"/>
      <c r="I7395" s="88">
        <f t="shared" si="1130"/>
        <v>1595.929999999993</v>
      </c>
      <c r="J7395"/>
      <c r="K7395" s="62"/>
      <c r="L7395" s="2">
        <f t="shared" si="1131"/>
        <v>4</v>
      </c>
      <c r="M7395">
        <f t="shared" si="1132"/>
        <v>0</v>
      </c>
    </row>
    <row r="7396" spans="1:13" s="153" customFormat="1" x14ac:dyDescent="0.3">
      <c r="A7396" s="3">
        <f t="shared" si="1129"/>
        <v>46010</v>
      </c>
      <c r="B7396" s="11" t="s">
        <v>9929</v>
      </c>
      <c r="C7396" s="7" t="s">
        <v>9932</v>
      </c>
      <c r="E7396" s="90" t="s">
        <v>16</v>
      </c>
      <c r="F7396" s="4"/>
      <c r="G7396" s="2"/>
      <c r="H7396" s="2">
        <v>500</v>
      </c>
      <c r="I7396" s="88">
        <f t="shared" si="1130"/>
        <v>1095.929999999993</v>
      </c>
      <c r="J7396"/>
      <c r="K7396" s="62"/>
      <c r="L7396" s="2">
        <f t="shared" si="1131"/>
        <v>17</v>
      </c>
      <c r="M7396">
        <f t="shared" si="1132"/>
        <v>0</v>
      </c>
    </row>
    <row r="7397" spans="1:13" s="153" customFormat="1" x14ac:dyDescent="0.3">
      <c r="A7397" s="3">
        <f t="shared" si="1129"/>
        <v>46010</v>
      </c>
      <c r="B7397" s="11" t="s">
        <v>9883</v>
      </c>
      <c r="C7397" s="7" t="s">
        <v>9884</v>
      </c>
      <c r="E7397" s="90" t="s">
        <v>4720</v>
      </c>
      <c r="F7397" s="4"/>
      <c r="G7397" s="2"/>
      <c r="H7397" s="2">
        <v>1000</v>
      </c>
      <c r="I7397" s="88">
        <f t="shared" si="1130"/>
        <v>95.929999999993015</v>
      </c>
      <c r="J7397"/>
      <c r="K7397" s="62"/>
      <c r="L7397" s="2">
        <f t="shared" si="1131"/>
        <v>4</v>
      </c>
      <c r="M7397">
        <f t="shared" si="1132"/>
        <v>0</v>
      </c>
    </row>
    <row r="7398" spans="1:13" s="153" customFormat="1" x14ac:dyDescent="0.3">
      <c r="A7398" s="3">
        <v>46011</v>
      </c>
      <c r="B7398" s="11" t="s">
        <v>9903</v>
      </c>
      <c r="C7398" s="7" t="s">
        <v>9904</v>
      </c>
      <c r="E7398" s="90" t="s">
        <v>2088</v>
      </c>
      <c r="F7398" s="4"/>
      <c r="G7398" s="2">
        <v>0</v>
      </c>
      <c r="H7398" s="2">
        <v>0</v>
      </c>
      <c r="I7398" s="88">
        <f t="shared" si="1130"/>
        <v>95.929999999993015</v>
      </c>
      <c r="J7398"/>
      <c r="K7398" s="62"/>
      <c r="L7398" s="2">
        <f t="shared" si="1131"/>
        <v>5</v>
      </c>
      <c r="M7398">
        <f t="shared" si="1132"/>
        <v>5</v>
      </c>
    </row>
    <row r="7399" spans="1:13" s="153" customFormat="1" x14ac:dyDescent="0.3">
      <c r="A7399" s="3">
        <f t="shared" si="1129"/>
        <v>46011</v>
      </c>
      <c r="B7399" s="11" t="s">
        <v>9907</v>
      </c>
      <c r="C7399" s="7" t="s">
        <v>9909</v>
      </c>
      <c r="E7399" s="90" t="s">
        <v>2088</v>
      </c>
      <c r="F7399" s="4"/>
      <c r="G7399" s="55">
        <v>3500</v>
      </c>
      <c r="H7399" s="2">
        <v>0</v>
      </c>
      <c r="I7399" s="88">
        <f t="shared" ref="I7399:I7410" si="1133">I7398+G7399-H7399</f>
        <v>3595.929999999993</v>
      </c>
      <c r="J7399"/>
      <c r="K7399" s="62"/>
      <c r="L7399" s="2">
        <f t="shared" ref="L7399:L7410" si="1134">IF(E7399="C",0,IF((G7399+H7399)&lt;=5000,(G7399+H7399)*0.004,20)+IF(E7399="P",5,IF(E7399="Y",15,IF(E7399="YY",25))))</f>
        <v>19</v>
      </c>
      <c r="M7399">
        <f t="shared" ref="M7399:M7410" si="1135">IF(E7399="p",5,0)</f>
        <v>5</v>
      </c>
    </row>
    <row r="7400" spans="1:13" s="153" customFormat="1" x14ac:dyDescent="0.3">
      <c r="A7400" s="3">
        <f t="shared" si="1129"/>
        <v>46011</v>
      </c>
      <c r="B7400" s="11" t="s">
        <v>1250</v>
      </c>
      <c r="C7400" s="7" t="s">
        <v>4059</v>
      </c>
      <c r="E7400" s="90" t="s">
        <v>4720</v>
      </c>
      <c r="F7400" s="4"/>
      <c r="G7400" s="2">
        <v>2900</v>
      </c>
      <c r="H7400" s="2"/>
      <c r="I7400" s="88">
        <f t="shared" si="1133"/>
        <v>6495.929999999993</v>
      </c>
      <c r="J7400" s="62">
        <v>6495.93</v>
      </c>
      <c r="L7400" s="2">
        <f t="shared" si="1134"/>
        <v>11.6</v>
      </c>
      <c r="M7400">
        <f t="shared" si="1135"/>
        <v>0</v>
      </c>
    </row>
    <row r="7401" spans="1:13" s="153" customFormat="1" x14ac:dyDescent="0.3">
      <c r="A7401" s="3">
        <f t="shared" si="1129"/>
        <v>46011</v>
      </c>
      <c r="B7401" s="11" t="s">
        <v>9540</v>
      </c>
      <c r="C7401" s="7" t="s">
        <v>9541</v>
      </c>
      <c r="E7401" s="90" t="s">
        <v>2088</v>
      </c>
      <c r="F7401" s="4"/>
      <c r="G7401" s="2"/>
      <c r="H7401" s="2">
        <v>500</v>
      </c>
      <c r="I7401" s="88">
        <f t="shared" si="1133"/>
        <v>5995.929999999993</v>
      </c>
      <c r="J7401"/>
      <c r="K7401" s="62"/>
      <c r="L7401" s="2">
        <f t="shared" si="1134"/>
        <v>7</v>
      </c>
      <c r="M7401">
        <f t="shared" si="1135"/>
        <v>5</v>
      </c>
    </row>
    <row r="7402" spans="1:13" s="153" customFormat="1" x14ac:dyDescent="0.3">
      <c r="A7402" s="3">
        <f t="shared" si="1129"/>
        <v>46011</v>
      </c>
      <c r="B7402" s="11" t="s">
        <v>5042</v>
      </c>
      <c r="C7402" s="7" t="s">
        <v>7258</v>
      </c>
      <c r="E7402" s="90" t="s">
        <v>4720</v>
      </c>
      <c r="F7402" s="4"/>
      <c r="G7402" s="2">
        <v>1000</v>
      </c>
      <c r="H7402" s="2"/>
      <c r="I7402" s="88">
        <f t="shared" si="1133"/>
        <v>6995.929999999993</v>
      </c>
      <c r="J7402"/>
      <c r="K7402" s="62"/>
      <c r="L7402" s="2">
        <f t="shared" si="1134"/>
        <v>4</v>
      </c>
      <c r="M7402">
        <f t="shared" si="1135"/>
        <v>0</v>
      </c>
    </row>
    <row r="7403" spans="1:13" s="153" customFormat="1" x14ac:dyDescent="0.3">
      <c r="A7403" s="3">
        <f t="shared" si="1129"/>
        <v>46011</v>
      </c>
      <c r="B7403" s="11" t="s">
        <v>9911</v>
      </c>
      <c r="C7403" s="7" t="s">
        <v>9912</v>
      </c>
      <c r="E7403" s="90" t="s">
        <v>4720</v>
      </c>
      <c r="F7403" s="4"/>
      <c r="G7403" s="2">
        <v>5000</v>
      </c>
      <c r="H7403" s="2"/>
      <c r="I7403" s="88">
        <f t="shared" si="1133"/>
        <v>11995.929999999993</v>
      </c>
      <c r="J7403">
        <v>11995.93</v>
      </c>
      <c r="K7403" s="62"/>
      <c r="L7403" s="2">
        <f t="shared" si="1134"/>
        <v>20</v>
      </c>
      <c r="M7403">
        <f t="shared" si="1135"/>
        <v>0</v>
      </c>
    </row>
    <row r="7404" spans="1:13" s="153" customFormat="1" x14ac:dyDescent="0.3">
      <c r="A7404" s="3">
        <f t="shared" si="1129"/>
        <v>46011</v>
      </c>
      <c r="B7404" s="11" t="s">
        <v>6459</v>
      </c>
      <c r="C7404" s="7" t="s">
        <v>7528</v>
      </c>
      <c r="E7404" s="90" t="s">
        <v>4720</v>
      </c>
      <c r="F7404" s="4"/>
      <c r="G7404" s="2"/>
      <c r="H7404" s="2">
        <v>5000</v>
      </c>
      <c r="I7404" s="88">
        <f t="shared" si="1133"/>
        <v>6995.929999999993</v>
      </c>
      <c r="J7404"/>
      <c r="K7404" s="62"/>
      <c r="L7404" s="2">
        <f t="shared" si="1134"/>
        <v>20</v>
      </c>
      <c r="M7404">
        <f t="shared" si="1135"/>
        <v>0</v>
      </c>
    </row>
    <row r="7405" spans="1:13" s="153" customFormat="1" x14ac:dyDescent="0.3">
      <c r="A7405" s="3">
        <f t="shared" si="1129"/>
        <v>46011</v>
      </c>
      <c r="B7405" s="11" t="s">
        <v>6940</v>
      </c>
      <c r="C7405" s="7" t="s">
        <v>7392</v>
      </c>
      <c r="E7405" s="90" t="s">
        <v>2088</v>
      </c>
      <c r="F7405" s="4"/>
      <c r="G7405" s="2">
        <v>500</v>
      </c>
      <c r="H7405" s="2"/>
      <c r="I7405" s="88">
        <f t="shared" si="1133"/>
        <v>7495.929999999993</v>
      </c>
      <c r="J7405"/>
      <c r="K7405" s="62"/>
      <c r="L7405" s="2">
        <f t="shared" si="1134"/>
        <v>7</v>
      </c>
      <c r="M7405">
        <f t="shared" si="1135"/>
        <v>5</v>
      </c>
    </row>
    <row r="7406" spans="1:13" s="153" customFormat="1" x14ac:dyDescent="0.3">
      <c r="A7406" s="3">
        <f t="shared" si="1129"/>
        <v>46011</v>
      </c>
      <c r="B7406" s="11" t="s">
        <v>7514</v>
      </c>
      <c r="C7406" s="7" t="s">
        <v>6985</v>
      </c>
      <c r="E7406" s="90" t="s">
        <v>4720</v>
      </c>
      <c r="F7406" s="4"/>
      <c r="G7406" s="2">
        <v>1500</v>
      </c>
      <c r="H7406" s="2"/>
      <c r="I7406" s="88">
        <f t="shared" si="1133"/>
        <v>8995.929999999993</v>
      </c>
      <c r="J7406"/>
      <c r="K7406" s="62"/>
      <c r="L7406" s="2">
        <f t="shared" si="1134"/>
        <v>6</v>
      </c>
      <c r="M7406">
        <f t="shared" si="1135"/>
        <v>0</v>
      </c>
    </row>
    <row r="7407" spans="1:13" s="153" customFormat="1" x14ac:dyDescent="0.3">
      <c r="A7407" s="3">
        <f t="shared" si="1129"/>
        <v>46011</v>
      </c>
      <c r="B7407" s="11" t="s">
        <v>6687</v>
      </c>
      <c r="C7407" s="7" t="s">
        <v>6688</v>
      </c>
      <c r="E7407" s="90" t="s">
        <v>4720</v>
      </c>
      <c r="F7407" s="4"/>
      <c r="G7407" s="2">
        <v>8000</v>
      </c>
      <c r="H7407" s="2"/>
      <c r="I7407" s="88">
        <f t="shared" si="1133"/>
        <v>16995.929999999993</v>
      </c>
      <c r="J7407"/>
      <c r="K7407" s="62"/>
      <c r="L7407" s="2">
        <f t="shared" si="1134"/>
        <v>20</v>
      </c>
      <c r="M7407">
        <f t="shared" si="1135"/>
        <v>0</v>
      </c>
    </row>
    <row r="7408" spans="1:13" s="153" customFormat="1" x14ac:dyDescent="0.3">
      <c r="A7408" s="3">
        <f t="shared" si="1129"/>
        <v>46011</v>
      </c>
      <c r="B7408" s="11" t="s">
        <v>1160</v>
      </c>
      <c r="C7408" s="7" t="s">
        <v>9478</v>
      </c>
      <c r="E7408" s="90" t="s">
        <v>4720</v>
      </c>
      <c r="F7408" s="4"/>
      <c r="G7408" s="2">
        <v>1500</v>
      </c>
      <c r="H7408" s="2"/>
      <c r="I7408" s="88">
        <f t="shared" si="1133"/>
        <v>18495.929999999993</v>
      </c>
      <c r="J7408"/>
      <c r="K7408" s="62"/>
      <c r="L7408" s="2">
        <f t="shared" si="1134"/>
        <v>6</v>
      </c>
      <c r="M7408">
        <f t="shared" si="1135"/>
        <v>0</v>
      </c>
    </row>
    <row r="7409" spans="1:13" s="153" customFormat="1" x14ac:dyDescent="0.3">
      <c r="A7409" s="3">
        <f t="shared" si="1129"/>
        <v>46011</v>
      </c>
      <c r="B7409" s="11" t="s">
        <v>1160</v>
      </c>
      <c r="C7409" s="7" t="s">
        <v>9477</v>
      </c>
      <c r="E7409" s="90" t="s">
        <v>4720</v>
      </c>
      <c r="F7409" s="4"/>
      <c r="G7409" s="2">
        <v>2000</v>
      </c>
      <c r="H7409" s="2"/>
      <c r="I7409" s="88">
        <f t="shared" si="1133"/>
        <v>20495.929999999993</v>
      </c>
      <c r="J7409"/>
      <c r="K7409" s="62"/>
      <c r="L7409" s="2">
        <f t="shared" si="1134"/>
        <v>8</v>
      </c>
      <c r="M7409">
        <f t="shared" si="1135"/>
        <v>0</v>
      </c>
    </row>
    <row r="7410" spans="1:13" s="153" customFormat="1" x14ac:dyDescent="0.3">
      <c r="A7410" s="3">
        <f t="shared" si="1129"/>
        <v>46011</v>
      </c>
      <c r="B7410" s="11" t="s">
        <v>2241</v>
      </c>
      <c r="C7410" s="7" t="s">
        <v>9934</v>
      </c>
      <c r="E7410" s="90" t="s">
        <v>4720</v>
      </c>
      <c r="F7410" s="4"/>
      <c r="G7410" s="2">
        <v>1000</v>
      </c>
      <c r="H7410" s="2"/>
      <c r="I7410" s="88">
        <f t="shared" si="1133"/>
        <v>21495.929999999993</v>
      </c>
      <c r="J7410"/>
      <c r="K7410" s="62"/>
      <c r="L7410" s="2">
        <f t="shared" si="1134"/>
        <v>4</v>
      </c>
      <c r="M7410">
        <f t="shared" si="1135"/>
        <v>0</v>
      </c>
    </row>
    <row r="7411" spans="1:13" s="153" customFormat="1" x14ac:dyDescent="0.3">
      <c r="A7411" s="3">
        <f t="shared" si="1129"/>
        <v>46011</v>
      </c>
      <c r="B7411" s="11" t="s">
        <v>9935</v>
      </c>
      <c r="C7411" s="7" t="s">
        <v>9936</v>
      </c>
      <c r="E7411" s="90" t="s">
        <v>4720</v>
      </c>
      <c r="F7411" s="4"/>
      <c r="G7411" s="2"/>
      <c r="H7411" s="2">
        <v>20000</v>
      </c>
      <c r="I7411" s="88">
        <f t="shared" ref="I7411:I7425" si="1136">I7410+G7411-H7411</f>
        <v>1495.929999999993</v>
      </c>
      <c r="J7411"/>
      <c r="K7411" s="62"/>
      <c r="L7411" s="2">
        <f t="shared" ref="L7411:L7425" si="1137">IF(E7411="C",0,IF((G7411+H7411)&lt;=5000,(G7411+H7411)*0.004,20)+IF(E7411="P",5,IF(E7411="Y",15,IF(E7411="YY",25))))</f>
        <v>20</v>
      </c>
      <c r="M7411">
        <f t="shared" ref="M7411:M7425" si="1138">IF(E7411="p",5,0)</f>
        <v>0</v>
      </c>
    </row>
    <row r="7412" spans="1:13" s="153" customFormat="1" x14ac:dyDescent="0.3">
      <c r="A7412" s="3">
        <f t="shared" si="1129"/>
        <v>46011</v>
      </c>
      <c r="B7412" s="11"/>
      <c r="C7412" s="7" t="s">
        <v>2887</v>
      </c>
      <c r="E7412" s="90" t="s">
        <v>8332</v>
      </c>
      <c r="F7412" s="4"/>
      <c r="G7412" s="2">
        <v>10000</v>
      </c>
      <c r="H7412" s="2"/>
      <c r="I7412" s="88">
        <f t="shared" si="1136"/>
        <v>11495.929999999993</v>
      </c>
      <c r="J7412"/>
      <c r="K7412" s="62"/>
      <c r="L7412" s="2">
        <f t="shared" si="1137"/>
        <v>0</v>
      </c>
      <c r="M7412">
        <f t="shared" si="1138"/>
        <v>0</v>
      </c>
    </row>
    <row r="7413" spans="1:13" s="153" customFormat="1" x14ac:dyDescent="0.3">
      <c r="A7413" s="3">
        <f t="shared" si="1129"/>
        <v>46011</v>
      </c>
      <c r="B7413" s="11" t="s">
        <v>6844</v>
      </c>
      <c r="C7413" s="7" t="s">
        <v>9938</v>
      </c>
      <c r="E7413" s="90" t="s">
        <v>4720</v>
      </c>
      <c r="F7413" s="4"/>
      <c r="G7413" s="2"/>
      <c r="H7413" s="2">
        <v>3700</v>
      </c>
      <c r="I7413" s="88">
        <f t="shared" si="1136"/>
        <v>7795.929999999993</v>
      </c>
      <c r="J7413"/>
      <c r="K7413" s="62"/>
      <c r="L7413" s="2">
        <f t="shared" si="1137"/>
        <v>14.8</v>
      </c>
      <c r="M7413">
        <f t="shared" si="1138"/>
        <v>0</v>
      </c>
    </row>
    <row r="7414" spans="1:13" s="153" customFormat="1" x14ac:dyDescent="0.3">
      <c r="A7414" s="3">
        <f t="shared" si="1129"/>
        <v>46011</v>
      </c>
      <c r="B7414" s="11" t="s">
        <v>6260</v>
      </c>
      <c r="C7414" s="7" t="s">
        <v>7117</v>
      </c>
      <c r="E7414" s="90" t="s">
        <v>4720</v>
      </c>
      <c r="F7414" s="4"/>
      <c r="G7414" s="2"/>
      <c r="H7414" s="2">
        <v>6000</v>
      </c>
      <c r="I7414" s="88">
        <f t="shared" si="1136"/>
        <v>1795.929999999993</v>
      </c>
      <c r="J7414"/>
      <c r="K7414" s="62"/>
      <c r="L7414" s="2">
        <f t="shared" si="1137"/>
        <v>20</v>
      </c>
      <c r="M7414">
        <f t="shared" si="1138"/>
        <v>0</v>
      </c>
    </row>
    <row r="7415" spans="1:13" s="153" customFormat="1" x14ac:dyDescent="0.3">
      <c r="A7415" s="3">
        <f t="shared" si="1129"/>
        <v>46011</v>
      </c>
      <c r="B7415" s="11" t="s">
        <v>9939</v>
      </c>
      <c r="C7415" s="7" t="s">
        <v>9940</v>
      </c>
      <c r="E7415" s="90" t="s">
        <v>16</v>
      </c>
      <c r="F7415" s="4"/>
      <c r="G7415" s="2"/>
      <c r="H7415" s="2">
        <v>500</v>
      </c>
      <c r="I7415" s="88">
        <f t="shared" si="1136"/>
        <v>1295.929999999993</v>
      </c>
      <c r="J7415"/>
      <c r="K7415" s="62"/>
      <c r="L7415" s="2">
        <f t="shared" si="1137"/>
        <v>17</v>
      </c>
      <c r="M7415">
        <f t="shared" si="1138"/>
        <v>0</v>
      </c>
    </row>
    <row r="7416" spans="1:13" s="153" customFormat="1" x14ac:dyDescent="0.3">
      <c r="A7416" s="3">
        <f t="shared" si="1129"/>
        <v>46011</v>
      </c>
      <c r="B7416" s="11" t="s">
        <v>1160</v>
      </c>
      <c r="C7416" s="7" t="s">
        <v>7773</v>
      </c>
      <c r="E7416" s="90" t="s">
        <v>4720</v>
      </c>
      <c r="F7416" s="4"/>
      <c r="G7416" s="2">
        <v>4050</v>
      </c>
      <c r="H7416" s="2"/>
      <c r="I7416" s="88">
        <f t="shared" si="1136"/>
        <v>5345.929999999993</v>
      </c>
      <c r="J7416"/>
      <c r="K7416" s="62"/>
      <c r="L7416" s="2">
        <f t="shared" si="1137"/>
        <v>16.2</v>
      </c>
      <c r="M7416">
        <f t="shared" si="1138"/>
        <v>0</v>
      </c>
    </row>
    <row r="7417" spans="1:13" s="153" customFormat="1" x14ac:dyDescent="0.3">
      <c r="A7417" s="3">
        <f t="shared" si="1129"/>
        <v>46011</v>
      </c>
      <c r="B7417" s="11" t="s">
        <v>8465</v>
      </c>
      <c r="C7417" s="7" t="s">
        <v>9096</v>
      </c>
      <c r="E7417" s="90" t="s">
        <v>4720</v>
      </c>
      <c r="F7417" s="4"/>
      <c r="G7417" s="2">
        <v>1500</v>
      </c>
      <c r="H7417" s="2"/>
      <c r="I7417" s="88">
        <f t="shared" si="1136"/>
        <v>6845.929999999993</v>
      </c>
      <c r="J7417"/>
      <c r="K7417" s="62"/>
      <c r="L7417" s="2">
        <f t="shared" si="1137"/>
        <v>6</v>
      </c>
      <c r="M7417">
        <f t="shared" si="1138"/>
        <v>0</v>
      </c>
    </row>
    <row r="7418" spans="1:13" s="153" customFormat="1" x14ac:dyDescent="0.3">
      <c r="A7418" s="3">
        <f t="shared" si="1129"/>
        <v>46011</v>
      </c>
      <c r="B7418" s="11" t="s">
        <v>1250</v>
      </c>
      <c r="C7418" s="7" t="s">
        <v>9944</v>
      </c>
      <c r="E7418" s="90" t="s">
        <v>4720</v>
      </c>
      <c r="F7418" s="4"/>
      <c r="G7418" s="2">
        <v>2000</v>
      </c>
      <c r="H7418" s="2"/>
      <c r="I7418" s="88">
        <f t="shared" si="1136"/>
        <v>8845.929999999993</v>
      </c>
      <c r="J7418">
        <v>6145.93</v>
      </c>
      <c r="K7418" s="62">
        <f>I7418-J7418</f>
        <v>2699.9999999999927</v>
      </c>
      <c r="L7418" s="2">
        <f t="shared" si="1137"/>
        <v>8</v>
      </c>
      <c r="M7418">
        <f t="shared" si="1138"/>
        <v>0</v>
      </c>
    </row>
    <row r="7419" spans="1:13" s="153" customFormat="1" x14ac:dyDescent="0.3">
      <c r="A7419" s="3">
        <f t="shared" si="1129"/>
        <v>46011</v>
      </c>
      <c r="B7419" s="11" t="s">
        <v>2448</v>
      </c>
      <c r="C7419" s="7" t="s">
        <v>2274</v>
      </c>
      <c r="E7419" s="90" t="s">
        <v>4720</v>
      </c>
      <c r="F7419" s="4"/>
      <c r="G7419" s="2"/>
      <c r="H7419" s="2">
        <v>4000</v>
      </c>
      <c r="I7419" s="88">
        <f t="shared" si="1136"/>
        <v>4845.929999999993</v>
      </c>
      <c r="J7419"/>
      <c r="K7419" s="62"/>
      <c r="L7419" s="2">
        <f t="shared" si="1137"/>
        <v>16</v>
      </c>
      <c r="M7419">
        <f t="shared" si="1138"/>
        <v>0</v>
      </c>
    </row>
    <row r="7420" spans="1:13" s="153" customFormat="1" x14ac:dyDescent="0.3">
      <c r="A7420" s="3">
        <v>46015</v>
      </c>
      <c r="B7420" s="11" t="s">
        <v>5364</v>
      </c>
      <c r="C7420" s="7" t="s">
        <v>9945</v>
      </c>
      <c r="E7420" s="90" t="s">
        <v>4720</v>
      </c>
      <c r="F7420" s="4"/>
      <c r="G7420" s="2"/>
      <c r="H7420" s="2">
        <v>200</v>
      </c>
      <c r="I7420" s="88">
        <f t="shared" si="1136"/>
        <v>4645.929999999993</v>
      </c>
      <c r="J7420"/>
      <c r="K7420" s="62"/>
      <c r="L7420" s="2">
        <f t="shared" si="1137"/>
        <v>0.8</v>
      </c>
      <c r="M7420">
        <f t="shared" si="1138"/>
        <v>0</v>
      </c>
    </row>
    <row r="7421" spans="1:13" s="153" customFormat="1" x14ac:dyDescent="0.3">
      <c r="A7421" s="3">
        <f t="shared" si="1129"/>
        <v>46015</v>
      </c>
      <c r="B7421" s="11" t="s">
        <v>2241</v>
      </c>
      <c r="C7421" s="7" t="s">
        <v>9946</v>
      </c>
      <c r="D7421" s="153" t="s">
        <v>9947</v>
      </c>
      <c r="E7421" s="90" t="s">
        <v>4720</v>
      </c>
      <c r="F7421" s="4"/>
      <c r="G7421" s="2">
        <v>5000</v>
      </c>
      <c r="H7421" s="2"/>
      <c r="I7421" s="88">
        <f t="shared" si="1136"/>
        <v>9645.929999999993</v>
      </c>
      <c r="J7421"/>
      <c r="K7421" s="62"/>
      <c r="L7421" s="2">
        <f t="shared" si="1137"/>
        <v>20</v>
      </c>
      <c r="M7421">
        <f t="shared" si="1138"/>
        <v>0</v>
      </c>
    </row>
    <row r="7422" spans="1:13" s="153" customFormat="1" x14ac:dyDescent="0.3">
      <c r="A7422" s="3">
        <f t="shared" si="1129"/>
        <v>46015</v>
      </c>
      <c r="B7422" s="11" t="s">
        <v>3232</v>
      </c>
      <c r="C7422" s="7" t="s">
        <v>5621</v>
      </c>
      <c r="E7422" s="90" t="s">
        <v>4720</v>
      </c>
      <c r="F7422" s="4"/>
      <c r="G7422" s="2">
        <v>10000</v>
      </c>
      <c r="H7422" s="2"/>
      <c r="I7422" s="88">
        <f t="shared" si="1136"/>
        <v>19645.929999999993</v>
      </c>
      <c r="J7422"/>
      <c r="K7422" s="62"/>
      <c r="L7422" s="2">
        <f t="shared" si="1137"/>
        <v>20</v>
      </c>
      <c r="M7422">
        <f t="shared" si="1138"/>
        <v>0</v>
      </c>
    </row>
    <row r="7423" spans="1:13" s="153" customFormat="1" x14ac:dyDescent="0.3">
      <c r="A7423" s="3">
        <f t="shared" si="1129"/>
        <v>46015</v>
      </c>
      <c r="B7423" s="11" t="s">
        <v>2634</v>
      </c>
      <c r="C7423" s="7" t="s">
        <v>3251</v>
      </c>
      <c r="E7423" s="90" t="s">
        <v>4720</v>
      </c>
      <c r="F7423" s="4"/>
      <c r="G7423" s="2"/>
      <c r="H7423" s="2">
        <v>300</v>
      </c>
      <c r="I7423" s="88">
        <f t="shared" si="1136"/>
        <v>19345.929999999993</v>
      </c>
      <c r="J7423"/>
      <c r="K7423" s="62"/>
      <c r="L7423" s="2">
        <f t="shared" si="1137"/>
        <v>1.2</v>
      </c>
      <c r="M7423">
        <f t="shared" si="1138"/>
        <v>0</v>
      </c>
    </row>
    <row r="7424" spans="1:13" s="153" customFormat="1" x14ac:dyDescent="0.3">
      <c r="A7424" s="3">
        <f t="shared" si="1129"/>
        <v>46015</v>
      </c>
      <c r="B7424" s="11" t="s">
        <v>9771</v>
      </c>
      <c r="C7424" s="7" t="s">
        <v>9948</v>
      </c>
      <c r="E7424" s="90" t="s">
        <v>4720</v>
      </c>
      <c r="F7424" s="4"/>
      <c r="G7424" s="2">
        <v>1000</v>
      </c>
      <c r="H7424" s="2"/>
      <c r="I7424" s="88">
        <f t="shared" si="1136"/>
        <v>20345.929999999993</v>
      </c>
      <c r="J7424"/>
      <c r="K7424" s="62"/>
      <c r="L7424" s="2">
        <f t="shared" si="1137"/>
        <v>4</v>
      </c>
      <c r="M7424">
        <f t="shared" si="1138"/>
        <v>0</v>
      </c>
    </row>
    <row r="7425" spans="1:13" s="153" customFormat="1" x14ac:dyDescent="0.3">
      <c r="A7425" s="3">
        <f t="shared" si="1129"/>
        <v>46015</v>
      </c>
      <c r="B7425" s="11" t="s">
        <v>6940</v>
      </c>
      <c r="C7425" s="7" t="s">
        <v>7392</v>
      </c>
      <c r="E7425" s="90" t="s">
        <v>4720</v>
      </c>
      <c r="F7425" s="4"/>
      <c r="G7425" s="2">
        <v>5800</v>
      </c>
      <c r="H7425" s="2"/>
      <c r="I7425" s="88">
        <f t="shared" si="1136"/>
        <v>26145.929999999993</v>
      </c>
      <c r="J7425"/>
      <c r="K7425" s="62"/>
      <c r="L7425" s="2">
        <f t="shared" si="1137"/>
        <v>20</v>
      </c>
      <c r="M7425">
        <f t="shared" si="1138"/>
        <v>0</v>
      </c>
    </row>
    <row r="7426" spans="1:13" s="153" customFormat="1" x14ac:dyDescent="0.3">
      <c r="A7426" s="3">
        <f t="shared" si="1129"/>
        <v>46015</v>
      </c>
      <c r="B7426" s="11" t="s">
        <v>9920</v>
      </c>
      <c r="C7426" s="7" t="s">
        <v>9949</v>
      </c>
      <c r="E7426" s="90" t="s">
        <v>16</v>
      </c>
      <c r="F7426" s="4"/>
      <c r="G7426" s="2"/>
      <c r="H7426" s="2">
        <v>500</v>
      </c>
      <c r="I7426" s="88">
        <f t="shared" ref="I7426:I7437" si="1139">I7425+G7426-H7426</f>
        <v>25645.929999999993</v>
      </c>
      <c r="J7426"/>
      <c r="K7426" s="62"/>
      <c r="L7426" s="2">
        <f t="shared" ref="L7426:L7437" si="1140">IF(E7426="C",0,IF((G7426+H7426)&lt;=5000,(G7426+H7426)*0.004,20)+IF(E7426="P",5,IF(E7426="Y",15,IF(E7426="YY",25))))</f>
        <v>17</v>
      </c>
      <c r="M7426">
        <f t="shared" ref="M7426:M7437" si="1141">IF(E7426="p",5,0)</f>
        <v>0</v>
      </c>
    </row>
    <row r="7427" spans="1:13" s="153" customFormat="1" x14ac:dyDescent="0.3">
      <c r="A7427" s="3">
        <f t="shared" si="1129"/>
        <v>46015</v>
      </c>
      <c r="B7427" s="39"/>
      <c r="C7427" s="7" t="s">
        <v>2857</v>
      </c>
      <c r="E7427" s="90" t="s">
        <v>8332</v>
      </c>
      <c r="F7427" s="4"/>
      <c r="G7427" s="2"/>
      <c r="H7427" s="2">
        <v>20000</v>
      </c>
      <c r="I7427" s="88">
        <f t="shared" si="1139"/>
        <v>5645.929999999993</v>
      </c>
      <c r="J7427">
        <v>2945.93</v>
      </c>
      <c r="K7427" s="62">
        <f t="shared" ref="K7427" si="1142">I7427-J7427</f>
        <v>2699.9999999999932</v>
      </c>
      <c r="L7427" s="2">
        <f t="shared" si="1140"/>
        <v>0</v>
      </c>
      <c r="M7427">
        <f t="shared" si="1141"/>
        <v>0</v>
      </c>
    </row>
    <row r="7428" spans="1:13" s="153" customFormat="1" x14ac:dyDescent="0.3">
      <c r="A7428" s="3">
        <f t="shared" si="1129"/>
        <v>46015</v>
      </c>
      <c r="B7428" s="11" t="s">
        <v>1160</v>
      </c>
      <c r="C7428" s="7" t="s">
        <v>9950</v>
      </c>
      <c r="E7428" s="90" t="s">
        <v>4720</v>
      </c>
      <c r="F7428" s="4"/>
      <c r="G7428" s="2">
        <v>1800</v>
      </c>
      <c r="H7428" s="2"/>
      <c r="I7428" s="88">
        <f t="shared" si="1139"/>
        <v>7445.929999999993</v>
      </c>
      <c r="J7428"/>
      <c r="K7428" s="62"/>
      <c r="L7428" s="2">
        <f t="shared" si="1140"/>
        <v>7.2</v>
      </c>
      <c r="M7428">
        <f t="shared" si="1141"/>
        <v>0</v>
      </c>
    </row>
    <row r="7429" spans="1:13" s="153" customFormat="1" x14ac:dyDescent="0.3">
      <c r="A7429" s="3">
        <f t="shared" si="1129"/>
        <v>46015</v>
      </c>
      <c r="B7429" s="11" t="s">
        <v>2448</v>
      </c>
      <c r="C7429" s="7" t="s">
        <v>2274</v>
      </c>
      <c r="E7429" s="90" t="s">
        <v>4720</v>
      </c>
      <c r="F7429" s="4"/>
      <c r="H7429" s="2">
        <v>3000</v>
      </c>
      <c r="I7429" s="88">
        <f t="shared" si="1139"/>
        <v>4445.929999999993</v>
      </c>
      <c r="J7429" s="62">
        <f>I7429-2700</f>
        <v>1745.929999999993</v>
      </c>
      <c r="K7429" s="62"/>
      <c r="L7429" s="2">
        <f t="shared" si="1140"/>
        <v>12</v>
      </c>
      <c r="M7429">
        <f t="shared" si="1141"/>
        <v>0</v>
      </c>
    </row>
    <row r="7430" spans="1:13" s="153" customFormat="1" x14ac:dyDescent="0.3">
      <c r="A7430" s="3">
        <f t="shared" si="1129"/>
        <v>46015</v>
      </c>
      <c r="B7430" s="11" t="s">
        <v>6459</v>
      </c>
      <c r="C7430" s="51" t="s">
        <v>7528</v>
      </c>
      <c r="E7430" s="90" t="s">
        <v>4720</v>
      </c>
      <c r="F7430" s="4"/>
      <c r="G7430" s="2"/>
      <c r="H7430" s="2">
        <v>1000</v>
      </c>
      <c r="I7430" s="88">
        <f t="shared" si="1139"/>
        <v>3445.929999999993</v>
      </c>
      <c r="J7430"/>
      <c r="K7430" s="62"/>
      <c r="L7430" s="2">
        <f t="shared" si="1140"/>
        <v>4</v>
      </c>
      <c r="M7430">
        <f t="shared" si="1141"/>
        <v>0</v>
      </c>
    </row>
    <row r="7431" spans="1:13" s="153" customFormat="1" x14ac:dyDescent="0.3">
      <c r="A7431" s="3">
        <v>46017</v>
      </c>
      <c r="B7431" s="11"/>
      <c r="C7431" s="11" t="s">
        <v>2887</v>
      </c>
      <c r="E7431" s="90" t="s">
        <v>8332</v>
      </c>
      <c r="F7431" s="4"/>
      <c r="G7431" s="2">
        <v>10000</v>
      </c>
      <c r="H7431" s="55">
        <v>2700</v>
      </c>
      <c r="I7431" s="88">
        <f t="shared" si="1139"/>
        <v>10745.929999999993</v>
      </c>
      <c r="J7431"/>
      <c r="K7431" s="62"/>
      <c r="L7431" s="2">
        <f t="shared" si="1140"/>
        <v>0</v>
      </c>
      <c r="M7431">
        <f t="shared" si="1141"/>
        <v>0</v>
      </c>
    </row>
    <row r="7432" spans="1:13" s="153" customFormat="1" x14ac:dyDescent="0.3">
      <c r="A7432" s="3">
        <f t="shared" si="1129"/>
        <v>46017</v>
      </c>
      <c r="B7432" s="11" t="s">
        <v>2448</v>
      </c>
      <c r="C7432" s="11" t="s">
        <v>2274</v>
      </c>
      <c r="E7432" s="90" t="s">
        <v>4720</v>
      </c>
      <c r="F7432" s="4"/>
      <c r="G7432" s="2"/>
      <c r="H7432" s="2">
        <v>3000</v>
      </c>
      <c r="I7432" s="88">
        <f t="shared" si="1139"/>
        <v>7745.929999999993</v>
      </c>
      <c r="J7432"/>
      <c r="K7432" s="62"/>
      <c r="L7432" s="2">
        <f t="shared" si="1140"/>
        <v>12</v>
      </c>
      <c r="M7432">
        <f t="shared" si="1141"/>
        <v>0</v>
      </c>
    </row>
    <row r="7433" spans="1:13" s="153" customFormat="1" x14ac:dyDescent="0.3">
      <c r="A7433" s="3">
        <f t="shared" si="1129"/>
        <v>46017</v>
      </c>
      <c r="B7433" s="11" t="s">
        <v>2743</v>
      </c>
      <c r="C7433" s="11" t="s">
        <v>8603</v>
      </c>
      <c r="E7433" s="90" t="s">
        <v>4720</v>
      </c>
      <c r="F7433" s="4"/>
      <c r="G7433" s="2">
        <v>5000</v>
      </c>
      <c r="H7433" s="2"/>
      <c r="I7433" s="88">
        <f t="shared" si="1139"/>
        <v>12745.929999999993</v>
      </c>
      <c r="J7433"/>
      <c r="K7433" s="62"/>
      <c r="L7433" s="2">
        <f t="shared" si="1140"/>
        <v>20</v>
      </c>
      <c r="M7433">
        <f t="shared" si="1141"/>
        <v>0</v>
      </c>
    </row>
    <row r="7434" spans="1:13" s="153" customFormat="1" x14ac:dyDescent="0.3">
      <c r="A7434" s="3">
        <v>46018</v>
      </c>
      <c r="B7434" s="11" t="s">
        <v>6892</v>
      </c>
      <c r="C7434" s="11" t="s">
        <v>6668</v>
      </c>
      <c r="E7434" s="90" t="s">
        <v>4720</v>
      </c>
      <c r="F7434" s="4"/>
      <c r="G7434" s="2">
        <v>10000</v>
      </c>
      <c r="H7434" s="2"/>
      <c r="I7434" s="88">
        <f t="shared" si="1139"/>
        <v>22745.929999999993</v>
      </c>
      <c r="J7434"/>
      <c r="K7434" s="62"/>
      <c r="L7434" s="2">
        <f t="shared" si="1140"/>
        <v>20</v>
      </c>
      <c r="M7434">
        <f t="shared" si="1141"/>
        <v>0</v>
      </c>
    </row>
    <row r="7435" spans="1:13" s="153" customFormat="1" x14ac:dyDescent="0.3">
      <c r="A7435" s="3">
        <f t="shared" si="1129"/>
        <v>46018</v>
      </c>
      <c r="B7435" s="11" t="s">
        <v>9955</v>
      </c>
      <c r="C7435" s="11" t="s">
        <v>9956</v>
      </c>
      <c r="E7435" s="90" t="s">
        <v>4720</v>
      </c>
      <c r="F7435" s="4"/>
      <c r="G7435" s="2">
        <v>5000</v>
      </c>
      <c r="H7435" s="2"/>
      <c r="I7435" s="88">
        <f t="shared" si="1139"/>
        <v>27745.929999999993</v>
      </c>
      <c r="J7435"/>
      <c r="K7435" s="62"/>
      <c r="L7435" s="2">
        <f t="shared" si="1140"/>
        <v>20</v>
      </c>
      <c r="M7435">
        <f t="shared" si="1141"/>
        <v>0</v>
      </c>
    </row>
    <row r="7436" spans="1:13" s="153" customFormat="1" x14ac:dyDescent="0.3">
      <c r="A7436" s="3">
        <f t="shared" si="1129"/>
        <v>46018</v>
      </c>
      <c r="B7436" s="11" t="s">
        <v>7081</v>
      </c>
      <c r="C7436" s="11" t="s">
        <v>8978</v>
      </c>
      <c r="E7436" s="90" t="s">
        <v>2088</v>
      </c>
      <c r="F7436" s="4"/>
      <c r="G7436" s="2">
        <v>1000</v>
      </c>
      <c r="H7436" s="2"/>
      <c r="I7436" s="88">
        <f t="shared" si="1139"/>
        <v>28745.929999999993</v>
      </c>
      <c r="J7436"/>
      <c r="K7436" s="62"/>
      <c r="L7436" s="2">
        <f t="shared" si="1140"/>
        <v>9</v>
      </c>
      <c r="M7436">
        <f t="shared" si="1141"/>
        <v>5</v>
      </c>
    </row>
    <row r="7437" spans="1:13" s="153" customFormat="1" x14ac:dyDescent="0.3">
      <c r="A7437" s="3">
        <f t="shared" si="1129"/>
        <v>46018</v>
      </c>
      <c r="B7437" s="11" t="s">
        <v>9957</v>
      </c>
      <c r="C7437" s="7" t="s">
        <v>9958</v>
      </c>
      <c r="E7437" s="90" t="s">
        <v>2088</v>
      </c>
      <c r="F7437" s="4"/>
      <c r="G7437" s="2">
        <v>4050</v>
      </c>
      <c r="H7437" s="2"/>
      <c r="I7437" s="88">
        <f t="shared" si="1139"/>
        <v>32795.929999999993</v>
      </c>
      <c r="J7437"/>
      <c r="K7437" s="62"/>
      <c r="L7437" s="2">
        <f t="shared" si="1140"/>
        <v>21.2</v>
      </c>
      <c r="M7437">
        <f t="shared" si="1141"/>
        <v>5</v>
      </c>
    </row>
    <row r="7438" spans="1:13" s="153" customFormat="1" x14ac:dyDescent="0.3">
      <c r="A7438" s="3">
        <f t="shared" si="1129"/>
        <v>46018</v>
      </c>
      <c r="B7438" s="11" t="s">
        <v>4622</v>
      </c>
      <c r="C7438" s="7" t="s">
        <v>8340</v>
      </c>
      <c r="E7438" s="90" t="s">
        <v>2088</v>
      </c>
      <c r="F7438" s="4"/>
      <c r="G7438" s="2">
        <v>2000</v>
      </c>
      <c r="H7438" s="2"/>
      <c r="I7438" s="88">
        <f t="shared" ref="I7438:I7447" si="1143">I7437+G7438-H7438</f>
        <v>34795.929999999993</v>
      </c>
      <c r="J7438"/>
      <c r="K7438" s="62"/>
      <c r="L7438" s="2">
        <f t="shared" ref="L7438:L7447" si="1144">IF(E7438="C",0,IF((G7438+H7438)&lt;=5000,(G7438+H7438)*0.004,20)+IF(E7438="P",5,IF(E7438="Y",15,IF(E7438="YY",25))))</f>
        <v>13</v>
      </c>
      <c r="M7438">
        <f t="shared" ref="M7438:M7447" si="1145">IF(E7438="p",5,0)</f>
        <v>5</v>
      </c>
    </row>
    <row r="7439" spans="1:13" s="153" customFormat="1" x14ac:dyDescent="0.3">
      <c r="A7439" s="3">
        <f t="shared" si="1129"/>
        <v>46018</v>
      </c>
      <c r="B7439" s="11" t="s">
        <v>2241</v>
      </c>
      <c r="C7439" s="7" t="s">
        <v>9959</v>
      </c>
      <c r="E7439" s="90" t="s">
        <v>4720</v>
      </c>
      <c r="F7439" s="4"/>
      <c r="G7439" s="2">
        <v>7000</v>
      </c>
      <c r="H7439" s="2"/>
      <c r="I7439" s="88">
        <f t="shared" si="1143"/>
        <v>41795.929999999993</v>
      </c>
      <c r="J7439"/>
      <c r="K7439" s="62"/>
      <c r="L7439" s="2">
        <f t="shared" si="1144"/>
        <v>20</v>
      </c>
      <c r="M7439">
        <f t="shared" si="1145"/>
        <v>0</v>
      </c>
    </row>
    <row r="7440" spans="1:13" s="153" customFormat="1" x14ac:dyDescent="0.3">
      <c r="A7440" s="3">
        <f t="shared" si="1129"/>
        <v>46018</v>
      </c>
      <c r="B7440" s="11" t="s">
        <v>1250</v>
      </c>
      <c r="C7440" s="7" t="s">
        <v>6984</v>
      </c>
      <c r="E7440" s="90" t="s">
        <v>4720</v>
      </c>
      <c r="F7440" s="4"/>
      <c r="G7440" s="2">
        <v>1000</v>
      </c>
      <c r="H7440" s="2"/>
      <c r="I7440" s="88">
        <f t="shared" si="1143"/>
        <v>42795.929999999993</v>
      </c>
      <c r="J7440"/>
      <c r="K7440" s="62"/>
      <c r="L7440" s="2">
        <f t="shared" si="1144"/>
        <v>4</v>
      </c>
      <c r="M7440">
        <f t="shared" si="1145"/>
        <v>0</v>
      </c>
    </row>
    <row r="7441" spans="1:13" s="153" customFormat="1" x14ac:dyDescent="0.3">
      <c r="A7441" s="3">
        <v>46020</v>
      </c>
      <c r="B7441" s="11"/>
      <c r="C7441" s="7" t="s">
        <v>2857</v>
      </c>
      <c r="E7441" s="90" t="s">
        <v>8332</v>
      </c>
      <c r="F7441" s="4"/>
      <c r="G7441" s="2"/>
      <c r="H7441" s="2">
        <v>40000</v>
      </c>
      <c r="I7441" s="88">
        <f t="shared" si="1143"/>
        <v>2795.929999999993</v>
      </c>
      <c r="J7441"/>
      <c r="K7441" s="62"/>
      <c r="L7441" s="2">
        <f t="shared" si="1144"/>
        <v>0</v>
      </c>
      <c r="M7441">
        <f t="shared" si="1145"/>
        <v>0</v>
      </c>
    </row>
    <row r="7442" spans="1:13" s="153" customFormat="1" x14ac:dyDescent="0.3">
      <c r="A7442" s="3">
        <v>46020</v>
      </c>
      <c r="B7442" s="11"/>
      <c r="C7442" s="7" t="s">
        <v>9405</v>
      </c>
      <c r="E7442" s="90" t="s">
        <v>4720</v>
      </c>
      <c r="F7442" s="4"/>
      <c r="G7442" s="2">
        <v>1500</v>
      </c>
      <c r="H7442" s="2"/>
      <c r="I7442" s="88">
        <f t="shared" si="1143"/>
        <v>4295.929999999993</v>
      </c>
      <c r="J7442"/>
      <c r="K7442" s="62"/>
      <c r="L7442" s="2">
        <f t="shared" si="1144"/>
        <v>6</v>
      </c>
      <c r="M7442">
        <f t="shared" si="1145"/>
        <v>0</v>
      </c>
    </row>
    <row r="7443" spans="1:13" s="153" customFormat="1" x14ac:dyDescent="0.3">
      <c r="A7443" s="3">
        <v>46020</v>
      </c>
      <c r="B7443" s="11" t="s">
        <v>7237</v>
      </c>
      <c r="C7443" s="7" t="s">
        <v>9961</v>
      </c>
      <c r="E7443" s="90" t="s">
        <v>4720</v>
      </c>
      <c r="F7443" s="4"/>
      <c r="G7443" s="2">
        <v>500</v>
      </c>
      <c r="H7443" s="2"/>
      <c r="I7443" s="88">
        <f t="shared" si="1143"/>
        <v>4795.929999999993</v>
      </c>
      <c r="J7443"/>
      <c r="K7443" s="62"/>
      <c r="L7443" s="2">
        <f t="shared" si="1144"/>
        <v>2</v>
      </c>
      <c r="M7443">
        <f t="shared" si="1145"/>
        <v>0</v>
      </c>
    </row>
    <row r="7444" spans="1:13" s="153" customFormat="1" x14ac:dyDescent="0.3">
      <c r="A7444" s="3">
        <v>46021</v>
      </c>
      <c r="B7444" s="11" t="s">
        <v>3865</v>
      </c>
      <c r="C7444" s="7" t="s">
        <v>2890</v>
      </c>
      <c r="E7444" s="90" t="s">
        <v>4720</v>
      </c>
      <c r="F7444" s="4"/>
      <c r="G7444" s="2"/>
      <c r="H7444" s="2">
        <v>450</v>
      </c>
      <c r="I7444" s="88">
        <f t="shared" si="1143"/>
        <v>4345.929999999993</v>
      </c>
      <c r="J7444"/>
      <c r="K7444" s="62"/>
      <c r="L7444" s="2">
        <f t="shared" si="1144"/>
        <v>1.8</v>
      </c>
      <c r="M7444">
        <f t="shared" si="1145"/>
        <v>0</v>
      </c>
    </row>
    <row r="7445" spans="1:13" s="153" customFormat="1" x14ac:dyDescent="0.3">
      <c r="A7445" s="3">
        <f>A7444</f>
        <v>46021</v>
      </c>
      <c r="B7445" s="11" t="s">
        <v>9528</v>
      </c>
      <c r="C7445" s="7" t="s">
        <v>8751</v>
      </c>
      <c r="E7445" s="90" t="s">
        <v>2088</v>
      </c>
      <c r="F7445" s="4"/>
      <c r="G7445" s="2">
        <v>2000</v>
      </c>
      <c r="H7445" s="2"/>
      <c r="I7445" s="88">
        <f t="shared" si="1143"/>
        <v>6345.929999999993</v>
      </c>
      <c r="J7445"/>
      <c r="K7445" s="62"/>
      <c r="L7445" s="2">
        <f t="shared" si="1144"/>
        <v>13</v>
      </c>
      <c r="M7445">
        <f t="shared" si="1145"/>
        <v>5</v>
      </c>
    </row>
    <row r="7446" spans="1:13" s="153" customFormat="1" x14ac:dyDescent="0.3">
      <c r="A7446" s="3">
        <f t="shared" ref="A7446:A7454" si="1146">A7445</f>
        <v>46021</v>
      </c>
      <c r="B7446" s="11" t="s">
        <v>8553</v>
      </c>
      <c r="C7446" s="7" t="s">
        <v>8703</v>
      </c>
      <c r="E7446" s="90" t="s">
        <v>2088</v>
      </c>
      <c r="F7446" s="4"/>
      <c r="G7446" s="2">
        <v>700</v>
      </c>
      <c r="H7446" s="2"/>
      <c r="I7446" s="88">
        <f t="shared" si="1143"/>
        <v>7045.929999999993</v>
      </c>
      <c r="J7446"/>
      <c r="K7446" s="62"/>
      <c r="L7446" s="2">
        <f t="shared" si="1144"/>
        <v>7.8000000000000007</v>
      </c>
      <c r="M7446">
        <f t="shared" si="1145"/>
        <v>5</v>
      </c>
    </row>
    <row r="7447" spans="1:13" s="153" customFormat="1" x14ac:dyDescent="0.3">
      <c r="A7447" s="3">
        <f t="shared" si="1146"/>
        <v>46021</v>
      </c>
      <c r="B7447" s="11" t="s">
        <v>1250</v>
      </c>
      <c r="C7447" s="7" t="s">
        <v>2734</v>
      </c>
      <c r="E7447" s="90" t="s">
        <v>4720</v>
      </c>
      <c r="F7447" s="4"/>
      <c r="G7447" s="2">
        <v>1500</v>
      </c>
      <c r="H7447" s="2"/>
      <c r="I7447" s="88">
        <f t="shared" si="1143"/>
        <v>8545.929999999993</v>
      </c>
      <c r="J7447"/>
      <c r="K7447" s="62"/>
      <c r="L7447" s="2">
        <f t="shared" si="1144"/>
        <v>6</v>
      </c>
      <c r="M7447">
        <f t="shared" si="1145"/>
        <v>0</v>
      </c>
    </row>
    <row r="7448" spans="1:13" s="153" customFormat="1" x14ac:dyDescent="0.3">
      <c r="A7448" s="3">
        <f t="shared" si="1146"/>
        <v>46021</v>
      </c>
      <c r="B7448" s="11" t="s">
        <v>3232</v>
      </c>
      <c r="C7448" s="7" t="s">
        <v>5621</v>
      </c>
      <c r="E7448" s="90" t="s">
        <v>4720</v>
      </c>
      <c r="F7448" s="4"/>
      <c r="G7448" s="2">
        <v>10000</v>
      </c>
      <c r="H7448" s="2"/>
      <c r="I7448" s="88">
        <f t="shared" ref="I7448:I7452" si="1147">I7447+G7448-H7448</f>
        <v>18545.929999999993</v>
      </c>
      <c r="J7448"/>
      <c r="K7448" s="62"/>
      <c r="L7448" s="2">
        <f t="shared" ref="L7448:L7452" si="1148">IF(E7448="C",0,IF((G7448+H7448)&lt;=5000,(G7448+H7448)*0.004,20)+IF(E7448="P",5,IF(E7448="Y",15,IF(E7448="YY",25))))</f>
        <v>20</v>
      </c>
      <c r="M7448">
        <f t="shared" ref="M7448:M7452" si="1149">IF(E7448="p",5,0)</f>
        <v>0</v>
      </c>
    </row>
    <row r="7449" spans="1:13" s="153" customFormat="1" x14ac:dyDescent="0.3">
      <c r="A7449" s="3">
        <v>46022</v>
      </c>
      <c r="B7449" s="11" t="s">
        <v>8961</v>
      </c>
      <c r="C7449" s="7" t="s">
        <v>8783</v>
      </c>
      <c r="E7449" s="90" t="s">
        <v>4720</v>
      </c>
      <c r="F7449" s="4"/>
      <c r="G7449" s="2"/>
      <c r="H7449" s="2">
        <v>2800</v>
      </c>
      <c r="I7449" s="88">
        <f t="shared" si="1147"/>
        <v>15745.929999999993</v>
      </c>
      <c r="J7449"/>
      <c r="K7449" s="62"/>
      <c r="L7449" s="2">
        <f t="shared" si="1148"/>
        <v>11.200000000000001</v>
      </c>
      <c r="M7449">
        <f t="shared" si="1149"/>
        <v>0</v>
      </c>
    </row>
    <row r="7450" spans="1:13" s="153" customFormat="1" x14ac:dyDescent="0.3">
      <c r="A7450" s="3">
        <f t="shared" si="1146"/>
        <v>46022</v>
      </c>
      <c r="B7450" s="11" t="s">
        <v>8679</v>
      </c>
      <c r="C7450" s="7" t="s">
        <v>9963</v>
      </c>
      <c r="E7450" s="90" t="s">
        <v>4720</v>
      </c>
      <c r="F7450" s="4"/>
      <c r="G7450" s="2">
        <v>2000</v>
      </c>
      <c r="H7450" s="2"/>
      <c r="I7450" s="88">
        <f t="shared" si="1147"/>
        <v>17745.929999999993</v>
      </c>
      <c r="J7450"/>
      <c r="K7450" s="62"/>
      <c r="L7450" s="2">
        <f t="shared" si="1148"/>
        <v>8</v>
      </c>
      <c r="M7450">
        <f t="shared" si="1149"/>
        <v>0</v>
      </c>
    </row>
    <row r="7451" spans="1:13" s="153" customFormat="1" x14ac:dyDescent="0.3">
      <c r="A7451" s="3">
        <f t="shared" si="1146"/>
        <v>46022</v>
      </c>
      <c r="B7451" s="11" t="s">
        <v>7886</v>
      </c>
      <c r="C7451" s="7" t="s">
        <v>9046</v>
      </c>
      <c r="E7451" s="90" t="s">
        <v>2088</v>
      </c>
      <c r="F7451" s="4"/>
      <c r="G7451" s="2">
        <v>10000</v>
      </c>
      <c r="H7451" s="2"/>
      <c r="I7451" s="88">
        <f t="shared" si="1147"/>
        <v>27745.929999999993</v>
      </c>
      <c r="J7451"/>
      <c r="K7451" s="62"/>
      <c r="L7451" s="2">
        <f t="shared" si="1148"/>
        <v>25</v>
      </c>
      <c r="M7451">
        <f t="shared" si="1149"/>
        <v>5</v>
      </c>
    </row>
    <row r="7452" spans="1:13" s="153" customFormat="1" x14ac:dyDescent="0.3">
      <c r="A7452" s="3">
        <f t="shared" si="1146"/>
        <v>46022</v>
      </c>
      <c r="B7452" s="11" t="s">
        <v>9965</v>
      </c>
      <c r="C7452" s="7" t="s">
        <v>9966</v>
      </c>
      <c r="D7452" s="153" t="s">
        <v>4089</v>
      </c>
      <c r="E7452" s="90" t="s">
        <v>14</v>
      </c>
      <c r="F7452" s="4"/>
      <c r="G7452" s="2"/>
      <c r="H7452" s="2">
        <v>2000</v>
      </c>
      <c r="I7452" s="88">
        <f t="shared" si="1147"/>
        <v>25745.929999999993</v>
      </c>
      <c r="J7452"/>
      <c r="K7452" s="62"/>
      <c r="L7452" s="2">
        <f t="shared" si="1148"/>
        <v>23</v>
      </c>
      <c r="M7452">
        <f t="shared" si="1149"/>
        <v>0</v>
      </c>
    </row>
    <row r="7453" spans="1:13" s="153" customFormat="1" x14ac:dyDescent="0.3">
      <c r="A7453" s="3">
        <f t="shared" si="1146"/>
        <v>46022</v>
      </c>
      <c r="B7453" s="11" t="s">
        <v>6940</v>
      </c>
      <c r="C7453" s="7" t="s">
        <v>7392</v>
      </c>
      <c r="E7453" s="90" t="s">
        <v>4720</v>
      </c>
      <c r="F7453" s="4"/>
      <c r="G7453" s="2">
        <v>1600</v>
      </c>
      <c r="H7453" s="2"/>
      <c r="I7453" s="88">
        <f t="shared" ref="I7453:I7454" si="1150">I7452+G7453-H7453</f>
        <v>27345.929999999993</v>
      </c>
      <c r="J7453"/>
      <c r="K7453" s="62"/>
      <c r="L7453" s="2">
        <f t="shared" ref="L7453:L7454" si="1151">IF(E7453="C",0,IF((G7453+H7453)&lt;=5000,(G7453+H7453)*0.004,20)+IF(E7453="P",5,IF(E7453="Y",15,IF(E7453="YY",25))))</f>
        <v>6.4</v>
      </c>
      <c r="M7453">
        <f t="shared" ref="M7453:M7454" si="1152">IF(E7453="p",5,0)</f>
        <v>0</v>
      </c>
    </row>
    <row r="7454" spans="1:13" s="153" customFormat="1" x14ac:dyDescent="0.3">
      <c r="A7454" s="3">
        <f t="shared" si="1146"/>
        <v>46022</v>
      </c>
      <c r="B7454" s="11" t="s">
        <v>3232</v>
      </c>
      <c r="C7454" s="7"/>
      <c r="E7454" s="90" t="s">
        <v>4720</v>
      </c>
      <c r="F7454" s="4"/>
      <c r="G7454" s="2">
        <v>9000</v>
      </c>
      <c r="H7454" s="2"/>
      <c r="I7454" s="88">
        <f t="shared" si="1150"/>
        <v>36345.929999999993</v>
      </c>
      <c r="J7454"/>
      <c r="K7454" s="62"/>
      <c r="L7454" s="2">
        <f t="shared" si="1151"/>
        <v>20</v>
      </c>
      <c r="M7454">
        <f t="shared" si="1152"/>
        <v>0</v>
      </c>
    </row>
    <row r="7455" spans="1:13" x14ac:dyDescent="0.3">
      <c r="A7455" s="77">
        <f>COUNT(A7187:A7454)</f>
        <v>248</v>
      </c>
      <c r="B7455" s="80" t="s">
        <v>7120</v>
      </c>
      <c r="C7455" s="112">
        <f>SUMIF(E7187:E7454,"C",H7187:H7454)+SUMIF(E7187:E7454,"C",G7187:G7454)</f>
        <v>451700</v>
      </c>
      <c r="D7455" s="112">
        <f>COUNTIF(E7187:E7454,"P")</f>
        <v>90</v>
      </c>
      <c r="E7455" s="92">
        <f>COUNTIF(E7187:E7454,"Y")</f>
        <v>19</v>
      </c>
      <c r="F7455" s="80">
        <f>SUM(F4197)</f>
        <v>0</v>
      </c>
      <c r="G7455" s="121">
        <f>SUM(G7187:G7454)</f>
        <v>632800</v>
      </c>
      <c r="H7455" s="121">
        <f>SUM(H7187:H7454)</f>
        <v>677754.72</v>
      </c>
      <c r="I7455" s="121">
        <f>G7455+H7455-C7455</f>
        <v>858854.72</v>
      </c>
      <c r="J7455" s="122"/>
      <c r="K7455" s="122">
        <f>SUM(K7187:K7454)</f>
        <v>-4100.010000000022</v>
      </c>
      <c r="L7455" s="121">
        <f>SUM(L7187:L7454)</f>
        <v>3296.9999999999995</v>
      </c>
      <c r="M7455" s="121">
        <f>SUM(M7187:M7454)</f>
        <v>450</v>
      </c>
    </row>
    <row r="7457" spans="1:13" x14ac:dyDescent="0.3">
      <c r="A7457" s="165">
        <f>A7454+1</f>
        <v>46023</v>
      </c>
      <c r="C7457" s="7" t="s">
        <v>6831</v>
      </c>
      <c r="D7457" s="153"/>
      <c r="E7457" s="90" t="s">
        <v>4720</v>
      </c>
      <c r="G7457" s="88">
        <f>I7454</f>
        <v>36345.929999999993</v>
      </c>
      <c r="I7457" s="88">
        <f t="shared" ref="I7457:I7465" si="1153">I7456+G7457-H7457</f>
        <v>36345.929999999993</v>
      </c>
      <c r="K7457" s="62"/>
      <c r="L7457" s="2">
        <v>0</v>
      </c>
      <c r="M7457">
        <f t="shared" ref="M7457:M7458" si="1154">IF(E7457="p",5,0)</f>
        <v>0</v>
      </c>
    </row>
    <row r="7458" spans="1:13" x14ac:dyDescent="0.3">
      <c r="A7458" s="3">
        <f>A7457</f>
        <v>46023</v>
      </c>
      <c r="B7458" s="11" t="s">
        <v>5542</v>
      </c>
      <c r="C7458" t="s">
        <v>8450</v>
      </c>
      <c r="D7458" s="153"/>
      <c r="E7458" s="90" t="s">
        <v>4720</v>
      </c>
      <c r="G7458" s="2">
        <v>1000</v>
      </c>
      <c r="I7458" s="88">
        <f t="shared" si="1153"/>
        <v>37345.929999999993</v>
      </c>
      <c r="K7458" s="62"/>
      <c r="L7458" s="2">
        <f t="shared" ref="L7458" si="1155">IF(E7458="C",0,IF((G7458+H7458)&lt;=5000,(G7458+H7458)*0.004,20)+IF(E7458="P",5,IF(E7458="Y",15,IF(E7458="YY",25))))</f>
        <v>4</v>
      </c>
      <c r="M7458">
        <f t="shared" si="1154"/>
        <v>0</v>
      </c>
    </row>
    <row r="7459" spans="1:13" x14ac:dyDescent="0.3">
      <c r="A7459" s="3">
        <f t="shared" ref="A7459:A7523" si="1156">A7458</f>
        <v>46023</v>
      </c>
      <c r="B7459" s="11" t="s">
        <v>8553</v>
      </c>
      <c r="C7459" t="s">
        <v>8862</v>
      </c>
      <c r="D7459" s="153"/>
      <c r="E7459" s="90" t="s">
        <v>2088</v>
      </c>
      <c r="G7459" s="2">
        <v>600</v>
      </c>
      <c r="I7459" s="88">
        <f t="shared" si="1153"/>
        <v>37945.929999999993</v>
      </c>
      <c r="K7459" s="62"/>
      <c r="L7459" s="2">
        <f t="shared" ref="L7459:L7463" si="1157">IF(E7459="C",0,IF((G7459+H7459)&lt;=5000,(G7459+H7459)*0.004,20)+IF(E7459="P",5,IF(E7459="Y",15,IF(E7459="YY",25))))</f>
        <v>7.4</v>
      </c>
      <c r="M7459">
        <f t="shared" ref="M7459:M7463" si="1158">IF(E7459="p",5,0)</f>
        <v>5</v>
      </c>
    </row>
    <row r="7460" spans="1:13" x14ac:dyDescent="0.3">
      <c r="A7460" s="3">
        <f t="shared" si="1156"/>
        <v>46023</v>
      </c>
      <c r="B7460" s="11" t="s">
        <v>5604</v>
      </c>
      <c r="C7460" t="s">
        <v>9968</v>
      </c>
      <c r="D7460" s="153"/>
      <c r="E7460" s="90" t="s">
        <v>4720</v>
      </c>
      <c r="G7460" s="2">
        <v>500</v>
      </c>
      <c r="I7460" s="88">
        <f t="shared" si="1153"/>
        <v>38445.929999999993</v>
      </c>
      <c r="K7460" s="62"/>
      <c r="L7460" s="2">
        <f t="shared" si="1157"/>
        <v>2</v>
      </c>
      <c r="M7460">
        <f t="shared" si="1158"/>
        <v>0</v>
      </c>
    </row>
    <row r="7461" spans="1:13" x14ac:dyDescent="0.3">
      <c r="A7461" s="3">
        <f t="shared" si="1156"/>
        <v>46023</v>
      </c>
      <c r="B7461" s="11" t="s">
        <v>6892</v>
      </c>
      <c r="C7461" t="s">
        <v>7248</v>
      </c>
      <c r="D7461" s="153"/>
      <c r="E7461" s="90" t="s">
        <v>2088</v>
      </c>
      <c r="G7461" s="2">
        <v>5000</v>
      </c>
      <c r="I7461" s="88">
        <f t="shared" si="1153"/>
        <v>43445.929999999993</v>
      </c>
      <c r="K7461" s="62"/>
      <c r="L7461" s="2">
        <f t="shared" si="1157"/>
        <v>25</v>
      </c>
      <c r="M7461">
        <f t="shared" si="1158"/>
        <v>5</v>
      </c>
    </row>
    <row r="7462" spans="1:13" x14ac:dyDescent="0.3">
      <c r="A7462" s="3">
        <f t="shared" si="1156"/>
        <v>46023</v>
      </c>
      <c r="C7462" t="s">
        <v>9970</v>
      </c>
      <c r="D7462" s="153"/>
      <c r="E7462" s="90" t="s">
        <v>8332</v>
      </c>
      <c r="H7462" s="2">
        <v>40000</v>
      </c>
      <c r="I7462" s="88">
        <f t="shared" si="1153"/>
        <v>3445.929999999993</v>
      </c>
      <c r="K7462" s="62"/>
      <c r="L7462" s="2">
        <f t="shared" si="1157"/>
        <v>0</v>
      </c>
      <c r="M7462">
        <f t="shared" si="1158"/>
        <v>0</v>
      </c>
    </row>
    <row r="7463" spans="1:13" x14ac:dyDescent="0.3">
      <c r="A7463" s="3">
        <v>45659</v>
      </c>
      <c r="B7463" s="11" t="s">
        <v>9469</v>
      </c>
      <c r="C7463" t="s">
        <v>9470</v>
      </c>
      <c r="D7463" s="153"/>
      <c r="E7463" s="90" t="s">
        <v>4720</v>
      </c>
      <c r="H7463" s="2">
        <v>500</v>
      </c>
      <c r="I7463" s="88">
        <f t="shared" si="1153"/>
        <v>2945.929999999993</v>
      </c>
      <c r="K7463" s="62"/>
      <c r="L7463" s="2">
        <f t="shared" si="1157"/>
        <v>2</v>
      </c>
      <c r="M7463">
        <f t="shared" si="1158"/>
        <v>0</v>
      </c>
    </row>
    <row r="7464" spans="1:13" x14ac:dyDescent="0.3">
      <c r="A7464" s="3">
        <f t="shared" si="1156"/>
        <v>45659</v>
      </c>
      <c r="B7464" s="11" t="s">
        <v>4561</v>
      </c>
      <c r="C7464" t="s">
        <v>7920</v>
      </c>
      <c r="D7464" s="153"/>
      <c r="E7464" s="90" t="s">
        <v>2088</v>
      </c>
      <c r="G7464" s="2">
        <v>2000</v>
      </c>
      <c r="I7464" s="88">
        <f t="shared" si="1153"/>
        <v>4945.929999999993</v>
      </c>
      <c r="K7464" s="62"/>
      <c r="L7464" s="2">
        <f t="shared" ref="L7464:L7472" si="1159">IF(E7464="C",0,IF((G7464+H7464)&lt;=5000,(G7464+H7464)*0.004,20)+IF(E7464="P",5,IF(E7464="Y",15,IF(E7464="YY",25))))</f>
        <v>13</v>
      </c>
      <c r="M7464">
        <f t="shared" ref="M7464:M7472" si="1160">IF(E7464="p",5,0)</f>
        <v>5</v>
      </c>
    </row>
    <row r="7465" spans="1:13" x14ac:dyDescent="0.3">
      <c r="A7465" s="3">
        <f t="shared" si="1156"/>
        <v>45659</v>
      </c>
      <c r="B7465" s="11" t="s">
        <v>1160</v>
      </c>
      <c r="C7465" t="s">
        <v>9971</v>
      </c>
      <c r="D7465" s="153"/>
      <c r="E7465" s="90" t="s">
        <v>4720</v>
      </c>
      <c r="G7465" s="2">
        <v>2000</v>
      </c>
      <c r="I7465" s="88">
        <f t="shared" si="1153"/>
        <v>6945.929999999993</v>
      </c>
      <c r="K7465" s="62"/>
      <c r="L7465" s="2">
        <f t="shared" si="1159"/>
        <v>8</v>
      </c>
      <c r="M7465">
        <f t="shared" si="1160"/>
        <v>0</v>
      </c>
    </row>
    <row r="7466" spans="1:13" x14ac:dyDescent="0.3">
      <c r="A7466" s="3">
        <f t="shared" si="1156"/>
        <v>45659</v>
      </c>
      <c r="B7466" s="11" t="s">
        <v>2140</v>
      </c>
      <c r="C7466" t="s">
        <v>1279</v>
      </c>
      <c r="D7466" s="153"/>
      <c r="E7466" s="90" t="s">
        <v>4720</v>
      </c>
      <c r="H7466" s="2">
        <v>5000</v>
      </c>
      <c r="I7466" s="88">
        <f t="shared" ref="I7466:I7479" si="1161">I7465+G7466-H7466</f>
        <v>1945.929999999993</v>
      </c>
      <c r="K7466" s="62"/>
      <c r="L7466" s="2">
        <f t="shared" si="1159"/>
        <v>20</v>
      </c>
      <c r="M7466">
        <f t="shared" si="1160"/>
        <v>0</v>
      </c>
    </row>
    <row r="7467" spans="1:13" x14ac:dyDescent="0.3">
      <c r="A7467" s="3">
        <f t="shared" si="1156"/>
        <v>45659</v>
      </c>
      <c r="B7467" s="11" t="s">
        <v>7289</v>
      </c>
      <c r="C7467" t="s">
        <v>7290</v>
      </c>
      <c r="D7467" s="153"/>
      <c r="E7467" s="90" t="s">
        <v>2088</v>
      </c>
      <c r="I7467" s="88">
        <f t="shared" si="1161"/>
        <v>1945.929999999993</v>
      </c>
      <c r="K7467" s="62"/>
      <c r="L7467" s="2">
        <f t="shared" si="1159"/>
        <v>5</v>
      </c>
      <c r="M7467">
        <f t="shared" si="1160"/>
        <v>5</v>
      </c>
    </row>
    <row r="7468" spans="1:13" x14ac:dyDescent="0.3">
      <c r="A7468" s="3">
        <f t="shared" si="1156"/>
        <v>45659</v>
      </c>
      <c r="B7468" s="11" t="s">
        <v>7289</v>
      </c>
      <c r="C7468" t="s">
        <v>7290</v>
      </c>
      <c r="D7468" s="153"/>
      <c r="E7468" s="90" t="s">
        <v>2088</v>
      </c>
      <c r="G7468" s="2">
        <v>3000</v>
      </c>
      <c r="I7468" s="88">
        <f t="shared" si="1161"/>
        <v>4945.929999999993</v>
      </c>
      <c r="K7468" s="62"/>
      <c r="L7468" s="2">
        <f t="shared" si="1159"/>
        <v>17</v>
      </c>
      <c r="M7468">
        <f t="shared" si="1160"/>
        <v>5</v>
      </c>
    </row>
    <row r="7469" spans="1:13" x14ac:dyDescent="0.3">
      <c r="A7469" s="3">
        <f t="shared" si="1156"/>
        <v>45659</v>
      </c>
      <c r="B7469" s="11" t="s">
        <v>2581</v>
      </c>
      <c r="C7469" t="s">
        <v>6866</v>
      </c>
      <c r="D7469" s="153"/>
      <c r="E7469" s="90" t="s">
        <v>4720</v>
      </c>
      <c r="G7469" s="2">
        <v>1000</v>
      </c>
      <c r="I7469" s="88">
        <f t="shared" si="1161"/>
        <v>5945.929999999993</v>
      </c>
      <c r="K7469" s="62"/>
      <c r="L7469" s="2">
        <f t="shared" si="1159"/>
        <v>4</v>
      </c>
      <c r="M7469">
        <f t="shared" si="1160"/>
        <v>0</v>
      </c>
    </row>
    <row r="7470" spans="1:13" x14ac:dyDescent="0.3">
      <c r="A7470" s="3">
        <f t="shared" si="1156"/>
        <v>45659</v>
      </c>
      <c r="B7470" s="11" t="s">
        <v>3456</v>
      </c>
      <c r="C7470" t="s">
        <v>4852</v>
      </c>
      <c r="D7470" s="153"/>
      <c r="E7470" s="90" t="s">
        <v>4720</v>
      </c>
      <c r="G7470" s="2">
        <v>1000</v>
      </c>
      <c r="I7470" s="88">
        <f t="shared" si="1161"/>
        <v>6945.929999999993</v>
      </c>
      <c r="K7470" s="62"/>
      <c r="L7470" s="2">
        <f t="shared" si="1159"/>
        <v>4</v>
      </c>
      <c r="M7470">
        <f t="shared" si="1160"/>
        <v>0</v>
      </c>
    </row>
    <row r="7471" spans="1:13" x14ac:dyDescent="0.3">
      <c r="A7471" s="3">
        <f t="shared" si="1156"/>
        <v>45659</v>
      </c>
      <c r="B7471" s="11" t="s">
        <v>3865</v>
      </c>
      <c r="C7471" t="s">
        <v>7242</v>
      </c>
      <c r="D7471" s="153"/>
      <c r="E7471" s="90" t="s">
        <v>2088</v>
      </c>
      <c r="G7471" s="2">
        <v>1000</v>
      </c>
      <c r="I7471" s="88">
        <f t="shared" si="1161"/>
        <v>7945.929999999993</v>
      </c>
      <c r="K7471" s="62"/>
      <c r="L7471" s="2">
        <f t="shared" si="1159"/>
        <v>9</v>
      </c>
      <c r="M7471">
        <f t="shared" si="1160"/>
        <v>5</v>
      </c>
    </row>
    <row r="7472" spans="1:13" x14ac:dyDescent="0.3">
      <c r="A7472" s="3">
        <v>46025</v>
      </c>
      <c r="B7472" s="11" t="s">
        <v>1160</v>
      </c>
      <c r="C7472" t="s">
        <v>7155</v>
      </c>
      <c r="D7472" s="153"/>
      <c r="E7472" s="90" t="s">
        <v>4720</v>
      </c>
      <c r="G7472" s="2">
        <v>3500</v>
      </c>
      <c r="I7472" s="88">
        <f t="shared" si="1161"/>
        <v>11445.929999999993</v>
      </c>
      <c r="K7472" s="62"/>
      <c r="L7472" s="2">
        <f t="shared" si="1159"/>
        <v>14</v>
      </c>
      <c r="M7472">
        <f t="shared" si="1160"/>
        <v>0</v>
      </c>
    </row>
    <row r="7473" spans="1:13" x14ac:dyDescent="0.3">
      <c r="A7473" s="3">
        <f t="shared" si="1156"/>
        <v>46025</v>
      </c>
      <c r="C7473" t="s">
        <v>9975</v>
      </c>
      <c r="D7473" s="153"/>
      <c r="E7473" s="90" t="s">
        <v>8332</v>
      </c>
      <c r="G7473" s="2">
        <v>10000</v>
      </c>
      <c r="I7473" s="88">
        <f t="shared" si="1161"/>
        <v>21445.929999999993</v>
      </c>
      <c r="K7473" s="62"/>
      <c r="L7473" s="2">
        <f t="shared" ref="L7473:L7536" si="1162">IF(E7473="C",0,IF((G7473+H7473)&lt;=5000,(G7473+H7473)*0.004,20)+IF(E7473="P",5,IF(E7473="Y",15,IF(E7473="YY",25))))</f>
        <v>0</v>
      </c>
      <c r="M7473">
        <f t="shared" ref="M7473:M7536" si="1163">IF(E7473="p",5,0)</f>
        <v>0</v>
      </c>
    </row>
    <row r="7474" spans="1:13" x14ac:dyDescent="0.3">
      <c r="A7474" s="3">
        <f t="shared" si="1156"/>
        <v>46025</v>
      </c>
      <c r="B7474" s="11" t="s">
        <v>2448</v>
      </c>
      <c r="C7474" t="s">
        <v>2274</v>
      </c>
      <c r="D7474" s="153"/>
      <c r="E7474" s="90" t="s">
        <v>4720</v>
      </c>
      <c r="H7474" s="2">
        <v>18000</v>
      </c>
      <c r="I7474" s="88">
        <f t="shared" si="1161"/>
        <v>3445.929999999993</v>
      </c>
      <c r="K7474" s="62"/>
      <c r="L7474" s="2">
        <f t="shared" si="1162"/>
        <v>20</v>
      </c>
      <c r="M7474">
        <f t="shared" si="1163"/>
        <v>0</v>
      </c>
    </row>
    <row r="7475" spans="1:13" x14ac:dyDescent="0.3">
      <c r="A7475" s="3">
        <f t="shared" si="1156"/>
        <v>46025</v>
      </c>
      <c r="B7475" s="11" t="s">
        <v>8247</v>
      </c>
      <c r="C7475" t="s">
        <v>9580</v>
      </c>
      <c r="D7475" s="153"/>
      <c r="E7475" s="90" t="s">
        <v>2088</v>
      </c>
      <c r="G7475" s="2">
        <v>2000</v>
      </c>
      <c r="I7475" s="88">
        <f t="shared" si="1161"/>
        <v>5445.929999999993</v>
      </c>
      <c r="K7475" s="62"/>
      <c r="L7475" s="2">
        <f t="shared" si="1162"/>
        <v>13</v>
      </c>
      <c r="M7475">
        <f t="shared" si="1163"/>
        <v>5</v>
      </c>
    </row>
    <row r="7476" spans="1:13" x14ac:dyDescent="0.3">
      <c r="A7476" s="3">
        <f t="shared" si="1156"/>
        <v>46025</v>
      </c>
      <c r="B7476" s="11" t="s">
        <v>5542</v>
      </c>
      <c r="C7476" t="s">
        <v>2348</v>
      </c>
      <c r="D7476" s="153"/>
      <c r="E7476" s="90" t="s">
        <v>4720</v>
      </c>
      <c r="G7476" s="2">
        <v>4000</v>
      </c>
      <c r="I7476" s="88">
        <f t="shared" si="1161"/>
        <v>9445.929999999993</v>
      </c>
      <c r="K7476" s="62"/>
      <c r="L7476" s="2">
        <f t="shared" si="1162"/>
        <v>16</v>
      </c>
      <c r="M7476">
        <f t="shared" si="1163"/>
        <v>0</v>
      </c>
    </row>
    <row r="7477" spans="1:13" x14ac:dyDescent="0.3">
      <c r="A7477" s="3">
        <f t="shared" si="1156"/>
        <v>46025</v>
      </c>
      <c r="B7477" s="11" t="s">
        <v>8129</v>
      </c>
      <c r="C7477" s="7" t="s">
        <v>9977</v>
      </c>
      <c r="D7477" s="153"/>
      <c r="E7477" s="90" t="s">
        <v>14</v>
      </c>
      <c r="H7477" s="2">
        <v>1000</v>
      </c>
      <c r="I7477" s="88">
        <f t="shared" si="1161"/>
        <v>8445.929999999993</v>
      </c>
      <c r="K7477" s="62"/>
      <c r="L7477" s="2">
        <f t="shared" si="1162"/>
        <v>19</v>
      </c>
      <c r="M7477">
        <f t="shared" si="1163"/>
        <v>0</v>
      </c>
    </row>
    <row r="7478" spans="1:13" x14ac:dyDescent="0.3">
      <c r="A7478" s="3">
        <f t="shared" si="1156"/>
        <v>46025</v>
      </c>
      <c r="B7478" s="11" t="s">
        <v>5542</v>
      </c>
      <c r="C7478" t="s">
        <v>9981</v>
      </c>
      <c r="D7478" s="153"/>
      <c r="E7478" s="90" t="s">
        <v>4720</v>
      </c>
      <c r="G7478" s="2">
        <v>4700</v>
      </c>
      <c r="I7478" s="88">
        <f t="shared" si="1161"/>
        <v>13145.929999999993</v>
      </c>
      <c r="K7478" s="62"/>
      <c r="L7478" s="2">
        <f t="shared" si="1162"/>
        <v>18.8</v>
      </c>
      <c r="M7478">
        <f t="shared" si="1163"/>
        <v>0</v>
      </c>
    </row>
    <row r="7479" spans="1:13" x14ac:dyDescent="0.3">
      <c r="A7479" s="3">
        <f t="shared" si="1156"/>
        <v>46025</v>
      </c>
      <c r="B7479" s="11" t="s">
        <v>6369</v>
      </c>
      <c r="C7479" t="s">
        <v>9982</v>
      </c>
      <c r="D7479" s="153"/>
      <c r="E7479" s="90" t="s">
        <v>2088</v>
      </c>
      <c r="G7479" s="2">
        <v>0</v>
      </c>
      <c r="H7479" s="2">
        <v>0</v>
      </c>
      <c r="I7479" s="88">
        <f t="shared" si="1161"/>
        <v>13145.929999999993</v>
      </c>
      <c r="K7479" s="62"/>
      <c r="L7479" s="2">
        <f t="shared" si="1162"/>
        <v>5</v>
      </c>
      <c r="M7479">
        <f t="shared" si="1163"/>
        <v>5</v>
      </c>
    </row>
    <row r="7480" spans="1:13" x14ac:dyDescent="0.3">
      <c r="A7480" s="3">
        <f t="shared" si="1156"/>
        <v>46025</v>
      </c>
      <c r="B7480" s="11" t="s">
        <v>6369</v>
      </c>
      <c r="C7480" t="s">
        <v>9982</v>
      </c>
      <c r="D7480" s="153"/>
      <c r="E7480" s="90" t="s">
        <v>2088</v>
      </c>
      <c r="H7480" s="2">
        <v>5200</v>
      </c>
      <c r="I7480" s="88">
        <f t="shared" ref="I7480:I7488" si="1164">I7479+G7480-H7480</f>
        <v>7945.929999999993</v>
      </c>
      <c r="K7480" s="62"/>
      <c r="L7480" s="2">
        <f t="shared" si="1162"/>
        <v>25</v>
      </c>
      <c r="M7480">
        <f t="shared" si="1163"/>
        <v>5</v>
      </c>
    </row>
    <row r="7481" spans="1:13" x14ac:dyDescent="0.3">
      <c r="A7481" s="3">
        <f t="shared" si="1156"/>
        <v>46025</v>
      </c>
      <c r="B7481" s="11" t="s">
        <v>9983</v>
      </c>
      <c r="C7481" t="s">
        <v>1279</v>
      </c>
      <c r="D7481" s="153"/>
      <c r="E7481" s="90" t="s">
        <v>4720</v>
      </c>
      <c r="H7481" s="2">
        <v>2600</v>
      </c>
      <c r="I7481" s="88">
        <f t="shared" si="1164"/>
        <v>5345.929999999993</v>
      </c>
      <c r="K7481" s="62"/>
      <c r="L7481" s="2">
        <f t="shared" si="1162"/>
        <v>10.4</v>
      </c>
      <c r="M7481">
        <f t="shared" si="1163"/>
        <v>0</v>
      </c>
    </row>
    <row r="7482" spans="1:13" x14ac:dyDescent="0.3">
      <c r="A7482" s="3">
        <v>46026</v>
      </c>
      <c r="B7482" s="11" t="s">
        <v>8078</v>
      </c>
      <c r="C7482" t="s">
        <v>9984</v>
      </c>
      <c r="D7482" s="153"/>
      <c r="E7482" s="90" t="s">
        <v>4720</v>
      </c>
      <c r="H7482" s="2">
        <v>5000</v>
      </c>
      <c r="I7482" s="88">
        <f t="shared" si="1164"/>
        <v>345.92999999999302</v>
      </c>
      <c r="K7482" s="62"/>
      <c r="L7482" s="2">
        <f t="shared" si="1162"/>
        <v>20</v>
      </c>
      <c r="M7482">
        <f t="shared" si="1163"/>
        <v>0</v>
      </c>
    </row>
    <row r="7483" spans="1:13" x14ac:dyDescent="0.3">
      <c r="A7483" s="3">
        <f t="shared" si="1156"/>
        <v>46026</v>
      </c>
      <c r="B7483" s="11" t="s">
        <v>5542</v>
      </c>
      <c r="C7483" t="s">
        <v>2626</v>
      </c>
      <c r="D7483" s="153"/>
      <c r="E7483" s="90" t="s">
        <v>4720</v>
      </c>
      <c r="G7483" s="2">
        <v>3000</v>
      </c>
      <c r="I7483" s="88">
        <f t="shared" si="1164"/>
        <v>3345.929999999993</v>
      </c>
      <c r="K7483" s="62"/>
      <c r="L7483" s="2">
        <f t="shared" si="1162"/>
        <v>12</v>
      </c>
      <c r="M7483">
        <f t="shared" si="1163"/>
        <v>0</v>
      </c>
    </row>
    <row r="7484" spans="1:13" x14ac:dyDescent="0.3">
      <c r="A7484" s="3">
        <f t="shared" si="1156"/>
        <v>46026</v>
      </c>
      <c r="B7484" s="11" t="s">
        <v>1170</v>
      </c>
      <c r="C7484" t="s">
        <v>9277</v>
      </c>
      <c r="D7484" s="153"/>
      <c r="E7484" s="90" t="s">
        <v>4720</v>
      </c>
      <c r="G7484" s="2">
        <v>1550</v>
      </c>
      <c r="I7484" s="88">
        <f t="shared" si="1164"/>
        <v>4895.929999999993</v>
      </c>
      <c r="K7484" s="62"/>
      <c r="L7484" s="2">
        <f t="shared" si="1162"/>
        <v>6.2</v>
      </c>
      <c r="M7484">
        <f t="shared" si="1163"/>
        <v>0</v>
      </c>
    </row>
    <row r="7485" spans="1:13" x14ac:dyDescent="0.3">
      <c r="A7485" s="3">
        <f t="shared" si="1156"/>
        <v>46026</v>
      </c>
      <c r="B7485" s="11" t="s">
        <v>8059</v>
      </c>
      <c r="C7485" t="s">
        <v>9985</v>
      </c>
      <c r="D7485" s="153"/>
      <c r="E7485" s="90" t="s">
        <v>4720</v>
      </c>
      <c r="G7485" s="2">
        <v>1000</v>
      </c>
      <c r="I7485" s="88">
        <f t="shared" si="1164"/>
        <v>5895.929999999993</v>
      </c>
      <c r="K7485" s="62"/>
      <c r="L7485" s="2">
        <f t="shared" si="1162"/>
        <v>4</v>
      </c>
      <c r="M7485">
        <f t="shared" si="1163"/>
        <v>0</v>
      </c>
    </row>
    <row r="7486" spans="1:13" x14ac:dyDescent="0.3">
      <c r="A7486" s="3">
        <f t="shared" si="1156"/>
        <v>46026</v>
      </c>
      <c r="B7486" s="11" t="s">
        <v>6940</v>
      </c>
      <c r="C7486" t="s">
        <v>7470</v>
      </c>
      <c r="D7486" s="153"/>
      <c r="E7486" s="90" t="s">
        <v>2088</v>
      </c>
      <c r="G7486" s="2">
        <v>600</v>
      </c>
      <c r="I7486" s="88">
        <f t="shared" si="1164"/>
        <v>6495.929999999993</v>
      </c>
      <c r="K7486" s="62"/>
      <c r="L7486" s="2">
        <f t="shared" si="1162"/>
        <v>7.4</v>
      </c>
      <c r="M7486">
        <f t="shared" si="1163"/>
        <v>5</v>
      </c>
    </row>
    <row r="7487" spans="1:13" x14ac:dyDescent="0.3">
      <c r="A7487" s="3">
        <f t="shared" si="1156"/>
        <v>46026</v>
      </c>
      <c r="B7487" s="11" t="s">
        <v>9318</v>
      </c>
      <c r="C7487" t="s">
        <v>9319</v>
      </c>
      <c r="D7487" s="153"/>
      <c r="E7487" s="90" t="s">
        <v>2088</v>
      </c>
      <c r="G7487" s="2">
        <v>0</v>
      </c>
      <c r="H7487" s="2">
        <v>0</v>
      </c>
      <c r="I7487" s="88">
        <f t="shared" si="1164"/>
        <v>6495.929999999993</v>
      </c>
      <c r="K7487" s="62"/>
      <c r="L7487" s="2">
        <f t="shared" si="1162"/>
        <v>5</v>
      </c>
      <c r="M7487">
        <f t="shared" si="1163"/>
        <v>5</v>
      </c>
    </row>
    <row r="7488" spans="1:13" x14ac:dyDescent="0.3">
      <c r="A7488" s="3">
        <v>46027</v>
      </c>
      <c r="B7488" s="11" t="s">
        <v>9986</v>
      </c>
      <c r="C7488" t="s">
        <v>9987</v>
      </c>
      <c r="D7488" s="153"/>
      <c r="E7488" s="90" t="s">
        <v>7772</v>
      </c>
      <c r="G7488" s="2">
        <v>0</v>
      </c>
      <c r="H7488" s="2">
        <v>0</v>
      </c>
      <c r="I7488" s="88">
        <f t="shared" si="1164"/>
        <v>6495.929999999993</v>
      </c>
      <c r="K7488" s="62"/>
      <c r="L7488" s="2">
        <f t="shared" si="1162"/>
        <v>5</v>
      </c>
      <c r="M7488">
        <f t="shared" si="1163"/>
        <v>5</v>
      </c>
    </row>
    <row r="7489" spans="1:13" x14ac:dyDescent="0.3">
      <c r="A7489" s="3">
        <f t="shared" si="1156"/>
        <v>46027</v>
      </c>
      <c r="B7489" s="11" t="s">
        <v>3865</v>
      </c>
      <c r="C7489" t="s">
        <v>7242</v>
      </c>
      <c r="D7489" s="153"/>
      <c r="E7489" s="90" t="s">
        <v>2088</v>
      </c>
      <c r="I7489" s="88">
        <f t="shared" ref="I7489:I7497" si="1165">I7488+G7489-H7489</f>
        <v>6495.929999999993</v>
      </c>
      <c r="K7489" s="62"/>
      <c r="L7489" s="2">
        <f t="shared" si="1162"/>
        <v>5</v>
      </c>
      <c r="M7489">
        <f t="shared" si="1163"/>
        <v>5</v>
      </c>
    </row>
    <row r="7490" spans="1:13" x14ac:dyDescent="0.3">
      <c r="A7490" s="3">
        <f t="shared" si="1156"/>
        <v>46027</v>
      </c>
      <c r="B7490" s="11" t="s">
        <v>3865</v>
      </c>
      <c r="C7490" t="s">
        <v>7242</v>
      </c>
      <c r="D7490" s="153"/>
      <c r="E7490" s="90" t="s">
        <v>2088</v>
      </c>
      <c r="G7490" s="2">
        <v>10000</v>
      </c>
      <c r="I7490" s="88">
        <f t="shared" si="1165"/>
        <v>16495.929999999993</v>
      </c>
      <c r="K7490" s="62"/>
      <c r="L7490" s="2">
        <f t="shared" si="1162"/>
        <v>25</v>
      </c>
      <c r="M7490">
        <f t="shared" si="1163"/>
        <v>5</v>
      </c>
    </row>
    <row r="7491" spans="1:13" x14ac:dyDescent="0.3">
      <c r="A7491" s="3">
        <f t="shared" si="1156"/>
        <v>46027</v>
      </c>
      <c r="B7491" s="11" t="s">
        <v>8020</v>
      </c>
      <c r="C7491" t="s">
        <v>9988</v>
      </c>
      <c r="D7491" s="153"/>
      <c r="E7491" s="90" t="s">
        <v>2088</v>
      </c>
      <c r="G7491" s="2">
        <v>3000</v>
      </c>
      <c r="I7491" s="88">
        <f t="shared" si="1165"/>
        <v>19495.929999999993</v>
      </c>
      <c r="K7491" s="62"/>
      <c r="L7491" s="2">
        <f t="shared" si="1162"/>
        <v>17</v>
      </c>
      <c r="M7491">
        <f t="shared" si="1163"/>
        <v>5</v>
      </c>
    </row>
    <row r="7492" spans="1:13" x14ac:dyDescent="0.3">
      <c r="A7492" s="3">
        <f t="shared" si="1156"/>
        <v>46027</v>
      </c>
      <c r="B7492" s="11" t="s">
        <v>6844</v>
      </c>
      <c r="C7492" t="s">
        <v>9481</v>
      </c>
      <c r="D7492" s="153"/>
      <c r="E7492" s="90" t="s">
        <v>4720</v>
      </c>
      <c r="H7492" s="2">
        <v>4100</v>
      </c>
      <c r="I7492" s="88">
        <f t="shared" si="1165"/>
        <v>15395.929999999993</v>
      </c>
      <c r="K7492" s="62"/>
      <c r="L7492" s="2">
        <f t="shared" si="1162"/>
        <v>16.399999999999999</v>
      </c>
      <c r="M7492">
        <f t="shared" si="1163"/>
        <v>0</v>
      </c>
    </row>
    <row r="7493" spans="1:13" x14ac:dyDescent="0.3">
      <c r="A7493" s="3">
        <f t="shared" si="1156"/>
        <v>46027</v>
      </c>
      <c r="B7493" s="11" t="s">
        <v>6940</v>
      </c>
      <c r="C7493" t="s">
        <v>9989</v>
      </c>
      <c r="D7493" s="153"/>
      <c r="E7493" s="90" t="s">
        <v>4720</v>
      </c>
      <c r="G7493" s="2">
        <v>6500</v>
      </c>
      <c r="I7493" s="88">
        <f t="shared" si="1165"/>
        <v>21895.929999999993</v>
      </c>
      <c r="K7493" s="62"/>
      <c r="L7493" s="2">
        <f t="shared" si="1162"/>
        <v>20</v>
      </c>
      <c r="M7493">
        <f t="shared" si="1163"/>
        <v>0</v>
      </c>
    </row>
    <row r="7494" spans="1:13" x14ac:dyDescent="0.3">
      <c r="A7494" s="3">
        <f t="shared" si="1156"/>
        <v>46027</v>
      </c>
      <c r="B7494" s="11" t="s">
        <v>6233</v>
      </c>
      <c r="C7494" t="s">
        <v>9990</v>
      </c>
      <c r="D7494" s="153"/>
      <c r="E7494" s="90" t="s">
        <v>2088</v>
      </c>
      <c r="G7494" s="2">
        <v>2000</v>
      </c>
      <c r="I7494" s="88">
        <f t="shared" si="1165"/>
        <v>23895.929999999993</v>
      </c>
      <c r="K7494" s="62"/>
      <c r="L7494" s="2">
        <f t="shared" si="1162"/>
        <v>13</v>
      </c>
      <c r="M7494">
        <f t="shared" si="1163"/>
        <v>5</v>
      </c>
    </row>
    <row r="7495" spans="1:13" x14ac:dyDescent="0.3">
      <c r="A7495" s="3">
        <f t="shared" si="1156"/>
        <v>46027</v>
      </c>
      <c r="B7495" s="11" t="s">
        <v>6549</v>
      </c>
      <c r="C7495" t="s">
        <v>9991</v>
      </c>
      <c r="D7495" s="153"/>
      <c r="E7495" s="90" t="s">
        <v>2088</v>
      </c>
      <c r="G7495" s="2">
        <v>1000</v>
      </c>
      <c r="I7495" s="88">
        <f t="shared" si="1165"/>
        <v>24895.929999999993</v>
      </c>
      <c r="K7495" s="62"/>
      <c r="L7495" s="2">
        <f t="shared" si="1162"/>
        <v>9</v>
      </c>
      <c r="M7495">
        <f t="shared" si="1163"/>
        <v>5</v>
      </c>
    </row>
    <row r="7496" spans="1:13" x14ac:dyDescent="0.3">
      <c r="A7496" s="3">
        <f t="shared" si="1156"/>
        <v>46027</v>
      </c>
      <c r="B7496" s="11" t="s">
        <v>9570</v>
      </c>
      <c r="C7496" t="s">
        <v>9992</v>
      </c>
      <c r="D7496" s="153"/>
      <c r="E7496" s="90" t="s">
        <v>4720</v>
      </c>
      <c r="G7496" s="2">
        <v>2500</v>
      </c>
      <c r="I7496" s="88">
        <f t="shared" si="1165"/>
        <v>27395.929999999993</v>
      </c>
      <c r="K7496" s="62"/>
      <c r="L7496" s="2">
        <f t="shared" si="1162"/>
        <v>10</v>
      </c>
      <c r="M7496">
        <f t="shared" si="1163"/>
        <v>0</v>
      </c>
    </row>
    <row r="7497" spans="1:13" x14ac:dyDescent="0.3">
      <c r="A7497" s="3">
        <f t="shared" si="1156"/>
        <v>46027</v>
      </c>
      <c r="B7497" s="11" t="s">
        <v>5542</v>
      </c>
      <c r="C7497" t="s">
        <v>6985</v>
      </c>
      <c r="D7497" s="153"/>
      <c r="E7497" s="90" t="s">
        <v>4720</v>
      </c>
      <c r="G7497" s="2">
        <v>1000</v>
      </c>
      <c r="I7497" s="88">
        <f t="shared" si="1165"/>
        <v>28395.929999999993</v>
      </c>
      <c r="K7497" s="62"/>
      <c r="L7497" s="2">
        <f t="shared" si="1162"/>
        <v>4</v>
      </c>
      <c r="M7497">
        <f t="shared" si="1163"/>
        <v>0</v>
      </c>
    </row>
    <row r="7498" spans="1:13" x14ac:dyDescent="0.3">
      <c r="A7498" s="3">
        <f t="shared" si="1156"/>
        <v>46027</v>
      </c>
      <c r="B7498" s="11" t="s">
        <v>5755</v>
      </c>
      <c r="C7498" t="s">
        <v>9993</v>
      </c>
      <c r="D7498" s="153"/>
      <c r="E7498" s="90" t="s">
        <v>2088</v>
      </c>
      <c r="H7498" s="2">
        <v>200</v>
      </c>
      <c r="I7498" s="88">
        <f t="shared" ref="I7498:I7520" si="1166">I7497+G7498-H7498</f>
        <v>28195.929999999993</v>
      </c>
      <c r="K7498" s="62"/>
      <c r="L7498" s="2">
        <f t="shared" si="1162"/>
        <v>5.8</v>
      </c>
      <c r="M7498">
        <f t="shared" si="1163"/>
        <v>5</v>
      </c>
    </row>
    <row r="7499" spans="1:13" x14ac:dyDescent="0.3">
      <c r="A7499" s="3">
        <v>46028</v>
      </c>
      <c r="B7499" s="11" t="s">
        <v>2634</v>
      </c>
      <c r="C7499" t="s">
        <v>9994</v>
      </c>
      <c r="D7499" s="153"/>
      <c r="E7499" s="90" t="s">
        <v>4720</v>
      </c>
      <c r="H7499" s="2">
        <v>1000</v>
      </c>
      <c r="I7499" s="88">
        <f t="shared" si="1166"/>
        <v>27195.929999999993</v>
      </c>
      <c r="K7499" s="62"/>
      <c r="L7499" s="2">
        <f t="shared" si="1162"/>
        <v>4</v>
      </c>
      <c r="M7499">
        <f t="shared" si="1163"/>
        <v>0</v>
      </c>
    </row>
    <row r="7500" spans="1:13" x14ac:dyDescent="0.3">
      <c r="A7500" s="3">
        <f t="shared" si="1156"/>
        <v>46028</v>
      </c>
      <c r="B7500" s="11" t="s">
        <v>3865</v>
      </c>
      <c r="C7500" t="s">
        <v>7242</v>
      </c>
      <c r="D7500" s="153"/>
      <c r="E7500" s="90" t="s">
        <v>2088</v>
      </c>
      <c r="G7500" s="2">
        <v>5500</v>
      </c>
      <c r="I7500" s="88">
        <f t="shared" si="1166"/>
        <v>32695.929999999993</v>
      </c>
      <c r="K7500" s="62"/>
      <c r="L7500" s="2">
        <f t="shared" si="1162"/>
        <v>25</v>
      </c>
      <c r="M7500">
        <f t="shared" si="1163"/>
        <v>5</v>
      </c>
    </row>
    <row r="7501" spans="1:13" x14ac:dyDescent="0.3">
      <c r="A7501" s="3">
        <f t="shared" si="1156"/>
        <v>46028</v>
      </c>
      <c r="B7501" s="11" t="s">
        <v>7186</v>
      </c>
      <c r="C7501" t="s">
        <v>7187</v>
      </c>
      <c r="D7501" s="153"/>
      <c r="E7501" s="90" t="s">
        <v>2088</v>
      </c>
      <c r="G7501" s="2">
        <v>2000</v>
      </c>
      <c r="I7501" s="88">
        <f t="shared" si="1166"/>
        <v>34695.929999999993</v>
      </c>
      <c r="K7501" s="62"/>
      <c r="L7501" s="2">
        <f t="shared" si="1162"/>
        <v>13</v>
      </c>
      <c r="M7501">
        <f t="shared" si="1163"/>
        <v>5</v>
      </c>
    </row>
    <row r="7502" spans="1:13" x14ac:dyDescent="0.3">
      <c r="A7502" s="3">
        <f t="shared" si="1156"/>
        <v>46028</v>
      </c>
      <c r="B7502" s="11" t="s">
        <v>8597</v>
      </c>
      <c r="C7502" t="s">
        <v>9995</v>
      </c>
      <c r="D7502" s="153"/>
      <c r="E7502" s="90" t="s">
        <v>4720</v>
      </c>
      <c r="H7502" s="2">
        <v>2000</v>
      </c>
      <c r="I7502" s="88">
        <f t="shared" si="1166"/>
        <v>32695.929999999993</v>
      </c>
      <c r="K7502" s="62"/>
      <c r="L7502" s="2">
        <f t="shared" si="1162"/>
        <v>8</v>
      </c>
      <c r="M7502">
        <f t="shared" si="1163"/>
        <v>0</v>
      </c>
    </row>
    <row r="7503" spans="1:13" x14ac:dyDescent="0.3">
      <c r="A7503" s="3">
        <f t="shared" si="1156"/>
        <v>46028</v>
      </c>
      <c r="B7503" s="11" t="s">
        <v>5542</v>
      </c>
      <c r="C7503" t="s">
        <v>10008</v>
      </c>
      <c r="D7503" s="153"/>
      <c r="E7503" s="90" t="s">
        <v>4720</v>
      </c>
      <c r="G7503" s="2">
        <v>2500</v>
      </c>
      <c r="I7503" s="88">
        <f t="shared" si="1166"/>
        <v>35195.929999999993</v>
      </c>
      <c r="K7503" s="62"/>
      <c r="L7503" s="2">
        <f t="shared" si="1162"/>
        <v>10</v>
      </c>
      <c r="M7503">
        <f t="shared" si="1163"/>
        <v>0</v>
      </c>
    </row>
    <row r="7504" spans="1:13" x14ac:dyDescent="0.3">
      <c r="A7504" s="3">
        <f t="shared" si="1156"/>
        <v>46028</v>
      </c>
      <c r="B7504" s="11" t="s">
        <v>6892</v>
      </c>
      <c r="C7504" t="s">
        <v>7248</v>
      </c>
      <c r="D7504" s="153"/>
      <c r="E7504" s="90" t="s">
        <v>2088</v>
      </c>
      <c r="G7504" s="2">
        <v>0</v>
      </c>
      <c r="H7504" s="2">
        <v>0</v>
      </c>
      <c r="I7504" s="88">
        <f t="shared" si="1166"/>
        <v>35195.929999999993</v>
      </c>
      <c r="K7504" s="62"/>
      <c r="L7504" s="2">
        <f t="shared" si="1162"/>
        <v>5</v>
      </c>
      <c r="M7504">
        <f t="shared" si="1163"/>
        <v>5</v>
      </c>
    </row>
    <row r="7505" spans="1:13" x14ac:dyDescent="0.3">
      <c r="A7505" s="3">
        <f t="shared" si="1156"/>
        <v>46028</v>
      </c>
      <c r="B7505" s="11" t="s">
        <v>10000</v>
      </c>
      <c r="C7505" s="7" t="s">
        <v>9997</v>
      </c>
      <c r="D7505" s="153"/>
      <c r="E7505" s="90" t="s">
        <v>16</v>
      </c>
      <c r="H7505" s="2">
        <v>200</v>
      </c>
      <c r="I7505" s="88">
        <f t="shared" si="1166"/>
        <v>34995.929999999993</v>
      </c>
      <c r="K7505" s="62"/>
      <c r="L7505" s="2">
        <f t="shared" si="1162"/>
        <v>15.8</v>
      </c>
      <c r="M7505">
        <f t="shared" si="1163"/>
        <v>0</v>
      </c>
    </row>
    <row r="7506" spans="1:13" x14ac:dyDescent="0.3">
      <c r="A7506" s="3">
        <f t="shared" si="1156"/>
        <v>46028</v>
      </c>
      <c r="B7506" s="11" t="s">
        <v>5542</v>
      </c>
      <c r="C7506" t="s">
        <v>9405</v>
      </c>
      <c r="D7506" s="153"/>
      <c r="E7506" s="90" t="s">
        <v>4720</v>
      </c>
      <c r="G7506" s="2">
        <v>2000</v>
      </c>
      <c r="I7506" s="88">
        <f t="shared" si="1166"/>
        <v>36995.929999999993</v>
      </c>
      <c r="K7506" s="62"/>
      <c r="L7506" s="2">
        <f t="shared" si="1162"/>
        <v>8</v>
      </c>
      <c r="M7506">
        <f t="shared" si="1163"/>
        <v>0</v>
      </c>
    </row>
    <row r="7507" spans="1:13" x14ac:dyDescent="0.3">
      <c r="A7507" s="3">
        <f t="shared" si="1156"/>
        <v>46028</v>
      </c>
      <c r="B7507" s="11" t="s">
        <v>9965</v>
      </c>
      <c r="C7507" s="7" t="s">
        <v>9966</v>
      </c>
      <c r="D7507" s="153"/>
      <c r="E7507" s="90" t="s">
        <v>7772</v>
      </c>
      <c r="G7507" s="2">
        <v>0</v>
      </c>
      <c r="H7507" s="2">
        <v>0</v>
      </c>
      <c r="I7507" s="88">
        <f t="shared" si="1166"/>
        <v>36995.929999999993</v>
      </c>
      <c r="K7507" s="62"/>
      <c r="L7507" s="2">
        <f t="shared" si="1162"/>
        <v>5</v>
      </c>
      <c r="M7507">
        <f t="shared" si="1163"/>
        <v>5</v>
      </c>
    </row>
    <row r="7508" spans="1:13" x14ac:dyDescent="0.3">
      <c r="A7508" s="3">
        <v>46029</v>
      </c>
      <c r="B7508" s="11" t="s">
        <v>10003</v>
      </c>
      <c r="C7508" t="s">
        <v>10004</v>
      </c>
      <c r="D7508" s="153"/>
      <c r="E7508" s="90" t="s">
        <v>16</v>
      </c>
      <c r="H7508" s="2">
        <v>500</v>
      </c>
      <c r="I7508" s="88">
        <f t="shared" si="1166"/>
        <v>36495.929999999993</v>
      </c>
      <c r="K7508" s="62"/>
      <c r="L7508" s="2">
        <f t="shared" si="1162"/>
        <v>17</v>
      </c>
      <c r="M7508">
        <f t="shared" si="1163"/>
        <v>0</v>
      </c>
    </row>
    <row r="7509" spans="1:13" x14ac:dyDescent="0.3">
      <c r="A7509" s="3">
        <f t="shared" si="1156"/>
        <v>46029</v>
      </c>
      <c r="B7509" s="11" t="s">
        <v>6499</v>
      </c>
      <c r="C7509" s="7" t="s">
        <v>10007</v>
      </c>
      <c r="D7509" s="153"/>
      <c r="E7509" s="90" t="s">
        <v>4720</v>
      </c>
      <c r="G7509" s="2">
        <v>5000</v>
      </c>
      <c r="I7509" s="88">
        <f t="shared" si="1166"/>
        <v>41495.929999999993</v>
      </c>
      <c r="K7509" s="62"/>
      <c r="L7509" s="2">
        <f t="shared" si="1162"/>
        <v>20</v>
      </c>
      <c r="M7509">
        <f t="shared" si="1163"/>
        <v>0</v>
      </c>
    </row>
    <row r="7510" spans="1:13" x14ac:dyDescent="0.3">
      <c r="A7510" s="3">
        <f t="shared" si="1156"/>
        <v>46029</v>
      </c>
      <c r="B7510" s="11" t="s">
        <v>8900</v>
      </c>
      <c r="C7510" t="s">
        <v>1117</v>
      </c>
      <c r="D7510" s="153"/>
      <c r="E7510" s="90" t="s">
        <v>2088</v>
      </c>
      <c r="G7510" s="2">
        <v>2500</v>
      </c>
      <c r="I7510" s="88">
        <f t="shared" si="1166"/>
        <v>43995.929999999993</v>
      </c>
      <c r="K7510" s="62"/>
      <c r="L7510" s="2">
        <f t="shared" si="1162"/>
        <v>15</v>
      </c>
      <c r="M7510">
        <f t="shared" si="1163"/>
        <v>5</v>
      </c>
    </row>
    <row r="7511" spans="1:13" x14ac:dyDescent="0.3">
      <c r="A7511" s="3">
        <f t="shared" si="1156"/>
        <v>46029</v>
      </c>
      <c r="B7511" s="11" t="s">
        <v>5659</v>
      </c>
      <c r="C7511" s="7" t="s">
        <v>9757</v>
      </c>
      <c r="D7511" s="153"/>
      <c r="E7511" s="90" t="s">
        <v>7772</v>
      </c>
      <c r="G7511" s="2">
        <v>2500</v>
      </c>
      <c r="I7511" s="88">
        <f t="shared" si="1166"/>
        <v>46495.929999999993</v>
      </c>
      <c r="K7511" s="62"/>
      <c r="L7511" s="2">
        <f t="shared" si="1162"/>
        <v>15</v>
      </c>
      <c r="M7511">
        <f t="shared" si="1163"/>
        <v>5</v>
      </c>
    </row>
    <row r="7512" spans="1:13" x14ac:dyDescent="0.3">
      <c r="A7512" s="3">
        <f t="shared" si="1156"/>
        <v>46029</v>
      </c>
      <c r="B7512" s="11" t="s">
        <v>6965</v>
      </c>
      <c r="C7512" s="50" t="s">
        <v>7470</v>
      </c>
      <c r="D7512" s="153"/>
      <c r="E7512" s="90" t="s">
        <v>4720</v>
      </c>
      <c r="H7512" s="2">
        <v>1000</v>
      </c>
      <c r="I7512" s="88">
        <f t="shared" si="1166"/>
        <v>45495.929999999993</v>
      </c>
      <c r="K7512" s="62"/>
      <c r="L7512" s="2">
        <f t="shared" si="1162"/>
        <v>4</v>
      </c>
      <c r="M7512">
        <f t="shared" si="1163"/>
        <v>0</v>
      </c>
    </row>
    <row r="7513" spans="1:13" x14ac:dyDescent="0.3">
      <c r="A7513" s="3">
        <f t="shared" si="1156"/>
        <v>46029</v>
      </c>
      <c r="B7513" s="11" t="s">
        <v>2517</v>
      </c>
      <c r="C7513" t="s">
        <v>10006</v>
      </c>
      <c r="D7513" s="153"/>
      <c r="E7513" s="90" t="s">
        <v>4720</v>
      </c>
      <c r="H7513" s="2">
        <v>1000</v>
      </c>
      <c r="I7513" s="88">
        <f t="shared" si="1166"/>
        <v>44495.929999999993</v>
      </c>
      <c r="K7513" s="62"/>
      <c r="L7513" s="2">
        <f t="shared" si="1162"/>
        <v>4</v>
      </c>
      <c r="M7513">
        <f t="shared" si="1163"/>
        <v>0</v>
      </c>
    </row>
    <row r="7514" spans="1:13" x14ac:dyDescent="0.3">
      <c r="A7514" s="3">
        <f t="shared" si="1156"/>
        <v>46029</v>
      </c>
      <c r="B7514" s="11" t="s">
        <v>5872</v>
      </c>
      <c r="C7514" t="s">
        <v>9586</v>
      </c>
      <c r="D7514" s="153"/>
      <c r="E7514" s="90" t="s">
        <v>4720</v>
      </c>
      <c r="G7514" s="2">
        <v>2500</v>
      </c>
      <c r="I7514" s="88">
        <f t="shared" si="1166"/>
        <v>46995.929999999993</v>
      </c>
      <c r="K7514" s="62"/>
      <c r="L7514" s="2">
        <f t="shared" si="1162"/>
        <v>10</v>
      </c>
      <c r="M7514">
        <f t="shared" si="1163"/>
        <v>0</v>
      </c>
    </row>
    <row r="7515" spans="1:13" x14ac:dyDescent="0.3">
      <c r="A7515" s="3">
        <f t="shared" si="1156"/>
        <v>46029</v>
      </c>
      <c r="B7515" s="11" t="s">
        <v>9396</v>
      </c>
      <c r="C7515" t="s">
        <v>10009</v>
      </c>
      <c r="D7515" s="153"/>
      <c r="E7515" s="90" t="s">
        <v>4720</v>
      </c>
      <c r="G7515" s="2">
        <v>3000</v>
      </c>
      <c r="I7515" s="88">
        <f t="shared" si="1166"/>
        <v>49995.929999999993</v>
      </c>
      <c r="K7515" s="62"/>
      <c r="L7515" s="2">
        <f t="shared" si="1162"/>
        <v>12</v>
      </c>
      <c r="M7515">
        <f t="shared" si="1163"/>
        <v>0</v>
      </c>
    </row>
    <row r="7516" spans="1:13" x14ac:dyDescent="0.3">
      <c r="A7516" s="3">
        <f t="shared" si="1156"/>
        <v>46029</v>
      </c>
      <c r="C7516" t="s">
        <v>2887</v>
      </c>
      <c r="D7516" s="153"/>
      <c r="E7516" s="90" t="s">
        <v>4134</v>
      </c>
      <c r="G7516" s="2">
        <v>100</v>
      </c>
      <c r="I7516" s="88">
        <f t="shared" si="1166"/>
        <v>50095.929999999993</v>
      </c>
      <c r="K7516" s="62"/>
      <c r="L7516" s="2">
        <f t="shared" si="1162"/>
        <v>0</v>
      </c>
      <c r="M7516">
        <f t="shared" si="1163"/>
        <v>0</v>
      </c>
    </row>
    <row r="7517" spans="1:13" x14ac:dyDescent="0.3">
      <c r="A7517" s="3">
        <f t="shared" si="1156"/>
        <v>46029</v>
      </c>
      <c r="C7517" s="50" t="s">
        <v>9970</v>
      </c>
      <c r="D7517" s="153"/>
      <c r="E7517" s="90" t="s">
        <v>8332</v>
      </c>
      <c r="H7517" s="2">
        <v>50000</v>
      </c>
      <c r="I7517" s="88">
        <f t="shared" si="1166"/>
        <v>95.929999999993015</v>
      </c>
      <c r="K7517" s="62"/>
      <c r="L7517" s="2">
        <f t="shared" si="1162"/>
        <v>0</v>
      </c>
      <c r="M7517">
        <f t="shared" si="1163"/>
        <v>0</v>
      </c>
    </row>
    <row r="7518" spans="1:13" x14ac:dyDescent="0.3">
      <c r="A7518" s="3">
        <f t="shared" si="1156"/>
        <v>46029</v>
      </c>
      <c r="B7518" s="11" t="s">
        <v>5542</v>
      </c>
      <c r="C7518" t="s">
        <v>4437</v>
      </c>
      <c r="D7518" s="153"/>
      <c r="E7518" s="90" t="s">
        <v>4720</v>
      </c>
      <c r="G7518" s="2">
        <v>1100</v>
      </c>
      <c r="I7518" s="88">
        <f t="shared" si="1166"/>
        <v>1195.929999999993</v>
      </c>
      <c r="K7518" s="62"/>
      <c r="L7518" s="2">
        <f t="shared" si="1162"/>
        <v>4.4000000000000004</v>
      </c>
      <c r="M7518">
        <f t="shared" si="1163"/>
        <v>0</v>
      </c>
    </row>
    <row r="7519" spans="1:13" x14ac:dyDescent="0.3">
      <c r="A7519" s="3">
        <f t="shared" si="1156"/>
        <v>46029</v>
      </c>
      <c r="B7519" s="11" t="s">
        <v>5542</v>
      </c>
      <c r="C7519" t="s">
        <v>6564</v>
      </c>
      <c r="D7519" s="153"/>
      <c r="E7519" s="90" t="s">
        <v>4720</v>
      </c>
      <c r="G7519" s="2">
        <v>800</v>
      </c>
      <c r="I7519" s="88">
        <f t="shared" si="1166"/>
        <v>1995.929999999993</v>
      </c>
      <c r="K7519" s="62"/>
      <c r="L7519" s="2">
        <f t="shared" si="1162"/>
        <v>3.2</v>
      </c>
      <c r="M7519">
        <f t="shared" si="1163"/>
        <v>0</v>
      </c>
    </row>
    <row r="7520" spans="1:13" x14ac:dyDescent="0.3">
      <c r="A7520" s="3">
        <v>46030</v>
      </c>
      <c r="B7520" s="11" t="s">
        <v>8674</v>
      </c>
      <c r="C7520" t="s">
        <v>8675</v>
      </c>
      <c r="D7520" s="153"/>
      <c r="E7520" s="90" t="s">
        <v>2088</v>
      </c>
      <c r="G7520" s="2">
        <v>1500</v>
      </c>
      <c r="I7520" s="88">
        <f t="shared" si="1166"/>
        <v>3495.929999999993</v>
      </c>
      <c r="K7520" s="62"/>
      <c r="L7520" s="2">
        <f t="shared" si="1162"/>
        <v>11</v>
      </c>
      <c r="M7520">
        <f t="shared" si="1163"/>
        <v>5</v>
      </c>
    </row>
    <row r="7521" spans="1:13" x14ac:dyDescent="0.3">
      <c r="A7521" s="3">
        <f t="shared" si="1156"/>
        <v>46030</v>
      </c>
      <c r="B7521" s="11" t="s">
        <v>7394</v>
      </c>
      <c r="C7521" t="s">
        <v>7395</v>
      </c>
      <c r="D7521" s="153"/>
      <c r="E7521" s="90" t="s">
        <v>2088</v>
      </c>
      <c r="G7521" s="2">
        <v>0</v>
      </c>
      <c r="H7521" s="2">
        <v>0</v>
      </c>
      <c r="I7521" s="88">
        <f t="shared" ref="I7521:I7522" si="1167">I7520+G7521-H7521</f>
        <v>3495.929999999993</v>
      </c>
      <c r="K7521" s="62"/>
      <c r="L7521" s="2">
        <f t="shared" si="1162"/>
        <v>5</v>
      </c>
      <c r="M7521">
        <f t="shared" si="1163"/>
        <v>5</v>
      </c>
    </row>
    <row r="7522" spans="1:13" x14ac:dyDescent="0.3">
      <c r="A7522" s="3">
        <f t="shared" si="1156"/>
        <v>46030</v>
      </c>
      <c r="B7522" s="11" t="s">
        <v>7394</v>
      </c>
      <c r="C7522" t="s">
        <v>7395</v>
      </c>
      <c r="D7522" s="153"/>
      <c r="E7522" s="90" t="s">
        <v>2088</v>
      </c>
      <c r="G7522" s="2">
        <v>2700</v>
      </c>
      <c r="I7522" s="88">
        <f t="shared" si="1167"/>
        <v>6195.929999999993</v>
      </c>
      <c r="K7522" s="62"/>
      <c r="L7522" s="2">
        <f t="shared" si="1162"/>
        <v>15.8</v>
      </c>
      <c r="M7522">
        <f t="shared" si="1163"/>
        <v>5</v>
      </c>
    </row>
    <row r="7523" spans="1:13" x14ac:dyDescent="0.3">
      <c r="A7523" s="3">
        <f t="shared" si="1156"/>
        <v>46030</v>
      </c>
      <c r="B7523" s="11" t="s">
        <v>5542</v>
      </c>
      <c r="C7523" t="s">
        <v>7874</v>
      </c>
      <c r="D7523" s="153"/>
      <c r="E7523" s="90" t="s">
        <v>4720</v>
      </c>
      <c r="G7523" s="2">
        <v>4000</v>
      </c>
      <c r="I7523" s="88">
        <f t="shared" ref="I7523:I7531" si="1168">I7522+G7523-H7523</f>
        <v>10195.929999999993</v>
      </c>
      <c r="K7523" s="62"/>
      <c r="L7523" s="2">
        <f t="shared" si="1162"/>
        <v>16</v>
      </c>
      <c r="M7523">
        <f t="shared" si="1163"/>
        <v>0</v>
      </c>
    </row>
    <row r="7524" spans="1:13" x14ac:dyDescent="0.3">
      <c r="A7524" s="3">
        <f t="shared" ref="A7524:A7587" si="1169">A7523</f>
        <v>46030</v>
      </c>
      <c r="B7524" s="11" t="s">
        <v>9540</v>
      </c>
      <c r="C7524" t="s">
        <v>9541</v>
      </c>
      <c r="D7524" s="153"/>
      <c r="E7524" s="90" t="s">
        <v>2088</v>
      </c>
      <c r="H7524" s="2">
        <v>500</v>
      </c>
      <c r="I7524" s="88">
        <f t="shared" si="1168"/>
        <v>9695.929999999993</v>
      </c>
      <c r="K7524" s="62"/>
      <c r="L7524" s="2">
        <f t="shared" si="1162"/>
        <v>7</v>
      </c>
      <c r="M7524">
        <f t="shared" si="1163"/>
        <v>5</v>
      </c>
    </row>
    <row r="7525" spans="1:13" x14ac:dyDescent="0.3">
      <c r="A7525" s="3">
        <f t="shared" si="1169"/>
        <v>46030</v>
      </c>
      <c r="B7525" s="11" t="s">
        <v>8052</v>
      </c>
      <c r="C7525" t="s">
        <v>4867</v>
      </c>
      <c r="D7525" s="153"/>
      <c r="E7525" s="90" t="s">
        <v>4720</v>
      </c>
      <c r="G7525" s="2">
        <v>2500</v>
      </c>
      <c r="I7525" s="88">
        <f t="shared" si="1168"/>
        <v>12195.929999999993</v>
      </c>
      <c r="K7525" s="62"/>
      <c r="L7525" s="2">
        <f t="shared" si="1162"/>
        <v>10</v>
      </c>
      <c r="M7525">
        <f t="shared" si="1163"/>
        <v>0</v>
      </c>
    </row>
    <row r="7526" spans="1:13" x14ac:dyDescent="0.3">
      <c r="A7526" s="3">
        <f t="shared" si="1169"/>
        <v>46030</v>
      </c>
      <c r="B7526" s="11" t="s">
        <v>6369</v>
      </c>
      <c r="C7526" t="s">
        <v>9982</v>
      </c>
      <c r="D7526" s="153"/>
      <c r="E7526" s="90" t="s">
        <v>2088</v>
      </c>
      <c r="H7526" s="2">
        <v>10000</v>
      </c>
      <c r="I7526" s="88">
        <f t="shared" si="1168"/>
        <v>2195.929999999993</v>
      </c>
      <c r="K7526" s="62"/>
      <c r="L7526" s="2">
        <f t="shared" si="1162"/>
        <v>25</v>
      </c>
      <c r="M7526">
        <f t="shared" si="1163"/>
        <v>5</v>
      </c>
    </row>
    <row r="7527" spans="1:13" x14ac:dyDescent="0.3">
      <c r="A7527" s="3">
        <f t="shared" si="1169"/>
        <v>46030</v>
      </c>
      <c r="B7527" s="11" t="s">
        <v>1160</v>
      </c>
      <c r="C7527" t="s">
        <v>7268</v>
      </c>
      <c r="D7527" s="153"/>
      <c r="E7527" s="90" t="s">
        <v>4720</v>
      </c>
      <c r="G7527" s="2">
        <v>2500</v>
      </c>
      <c r="I7527" s="88">
        <f t="shared" si="1168"/>
        <v>4695.929999999993</v>
      </c>
      <c r="K7527" s="62"/>
      <c r="L7527" s="2">
        <f t="shared" si="1162"/>
        <v>10</v>
      </c>
      <c r="M7527">
        <f t="shared" si="1163"/>
        <v>0</v>
      </c>
    </row>
    <row r="7528" spans="1:13" x14ac:dyDescent="0.3">
      <c r="A7528" s="3">
        <f t="shared" si="1169"/>
        <v>46030</v>
      </c>
      <c r="B7528" s="11" t="s">
        <v>5542</v>
      </c>
      <c r="C7528" t="s">
        <v>8862</v>
      </c>
      <c r="D7528" s="153"/>
      <c r="E7528" s="90" t="s">
        <v>4720</v>
      </c>
      <c r="G7528" s="2">
        <v>500</v>
      </c>
      <c r="I7528" s="88">
        <f t="shared" si="1168"/>
        <v>5195.929999999993</v>
      </c>
      <c r="K7528" s="62"/>
      <c r="L7528" s="2">
        <f t="shared" si="1162"/>
        <v>2</v>
      </c>
      <c r="M7528">
        <f t="shared" si="1163"/>
        <v>0</v>
      </c>
    </row>
    <row r="7529" spans="1:13" x14ac:dyDescent="0.3">
      <c r="A7529" s="3">
        <f t="shared" si="1169"/>
        <v>46030</v>
      </c>
      <c r="B7529" s="11" t="s">
        <v>9843</v>
      </c>
      <c r="C7529" t="s">
        <v>10013</v>
      </c>
      <c r="D7529" s="153"/>
      <c r="E7529" s="90" t="s">
        <v>4720</v>
      </c>
      <c r="H7529" s="2">
        <v>4000</v>
      </c>
      <c r="I7529" s="88">
        <f t="shared" si="1168"/>
        <v>1195.929999999993</v>
      </c>
      <c r="K7529" s="62"/>
      <c r="L7529" s="2">
        <f t="shared" si="1162"/>
        <v>16</v>
      </c>
      <c r="M7529">
        <f t="shared" si="1163"/>
        <v>0</v>
      </c>
    </row>
    <row r="7530" spans="1:13" x14ac:dyDescent="0.3">
      <c r="A7530" s="3">
        <v>46031</v>
      </c>
      <c r="B7530" s="11" t="s">
        <v>7329</v>
      </c>
      <c r="C7530" t="s">
        <v>8632</v>
      </c>
      <c r="D7530" s="153"/>
      <c r="E7530" s="90" t="s">
        <v>4720</v>
      </c>
      <c r="G7530" s="2">
        <v>2700</v>
      </c>
      <c r="I7530" s="88">
        <f t="shared" si="1168"/>
        <v>3895.929999999993</v>
      </c>
      <c r="K7530" s="62"/>
      <c r="L7530" s="2">
        <f t="shared" si="1162"/>
        <v>10.8</v>
      </c>
      <c r="M7530">
        <f t="shared" si="1163"/>
        <v>0</v>
      </c>
    </row>
    <row r="7531" spans="1:13" x14ac:dyDescent="0.3">
      <c r="A7531" s="3">
        <f t="shared" si="1169"/>
        <v>46031</v>
      </c>
      <c r="B7531" s="11" t="s">
        <v>1160</v>
      </c>
      <c r="C7531" t="s">
        <v>8968</v>
      </c>
      <c r="D7531" s="153"/>
      <c r="E7531" s="90" t="s">
        <v>4720</v>
      </c>
      <c r="G7531" s="2">
        <v>10000</v>
      </c>
      <c r="I7531" s="88">
        <f t="shared" si="1168"/>
        <v>13895.929999999993</v>
      </c>
      <c r="K7531" s="62"/>
      <c r="L7531" s="2">
        <f t="shared" si="1162"/>
        <v>20</v>
      </c>
      <c r="M7531">
        <f t="shared" si="1163"/>
        <v>0</v>
      </c>
    </row>
    <row r="7532" spans="1:13" x14ac:dyDescent="0.3">
      <c r="A7532" s="3">
        <f t="shared" si="1169"/>
        <v>46031</v>
      </c>
      <c r="B7532" s="11" t="s">
        <v>5542</v>
      </c>
      <c r="C7532" t="s">
        <v>7613</v>
      </c>
      <c r="D7532" s="153"/>
      <c r="E7532" s="90" t="s">
        <v>4720</v>
      </c>
      <c r="G7532" s="2">
        <v>2000</v>
      </c>
      <c r="I7532" s="88">
        <f t="shared" ref="I7532:I7534" si="1170">I7531+G7532-H7532</f>
        <v>15895.929999999993</v>
      </c>
      <c r="K7532" s="62"/>
      <c r="L7532" s="2">
        <f t="shared" si="1162"/>
        <v>8</v>
      </c>
      <c r="M7532">
        <f t="shared" si="1163"/>
        <v>0</v>
      </c>
    </row>
    <row r="7533" spans="1:13" x14ac:dyDescent="0.3">
      <c r="A7533" s="3">
        <f t="shared" si="1169"/>
        <v>46031</v>
      </c>
      <c r="B7533" s="11" t="s">
        <v>2241</v>
      </c>
      <c r="C7533" t="s">
        <v>9048</v>
      </c>
      <c r="D7533" s="153"/>
      <c r="E7533" s="90" t="s">
        <v>4720</v>
      </c>
      <c r="G7533" s="2">
        <v>6000</v>
      </c>
      <c r="I7533" s="88">
        <f t="shared" si="1170"/>
        <v>21895.929999999993</v>
      </c>
      <c r="K7533" s="62"/>
      <c r="L7533" s="2">
        <f t="shared" si="1162"/>
        <v>20</v>
      </c>
      <c r="M7533">
        <f t="shared" si="1163"/>
        <v>0</v>
      </c>
    </row>
    <row r="7534" spans="1:13" x14ac:dyDescent="0.3">
      <c r="A7534" s="3">
        <f t="shared" si="1169"/>
        <v>46031</v>
      </c>
      <c r="B7534" s="11" t="s">
        <v>5542</v>
      </c>
      <c r="C7534" t="s">
        <v>9626</v>
      </c>
      <c r="D7534" s="153"/>
      <c r="E7534" s="90" t="s">
        <v>4720</v>
      </c>
      <c r="G7534" s="2">
        <v>1500</v>
      </c>
      <c r="I7534" s="88">
        <f t="shared" si="1170"/>
        <v>23395.929999999993</v>
      </c>
      <c r="K7534" s="62"/>
      <c r="L7534" s="2">
        <f t="shared" si="1162"/>
        <v>6</v>
      </c>
      <c r="M7534">
        <f t="shared" si="1163"/>
        <v>0</v>
      </c>
    </row>
    <row r="7535" spans="1:13" x14ac:dyDescent="0.3">
      <c r="A7535" s="3">
        <f t="shared" si="1169"/>
        <v>46031</v>
      </c>
      <c r="B7535" s="11" t="s">
        <v>10015</v>
      </c>
      <c r="C7535" t="s">
        <v>10016</v>
      </c>
      <c r="D7535" s="153"/>
      <c r="E7535" s="90" t="s">
        <v>16</v>
      </c>
      <c r="H7535" s="2">
        <v>500</v>
      </c>
      <c r="I7535" s="88">
        <f t="shared" ref="I7535:I7540" si="1171">I7534+G7535-H7535</f>
        <v>22895.929999999993</v>
      </c>
      <c r="K7535" s="62"/>
      <c r="L7535" s="2">
        <f t="shared" si="1162"/>
        <v>17</v>
      </c>
      <c r="M7535">
        <f t="shared" si="1163"/>
        <v>0</v>
      </c>
    </row>
    <row r="7536" spans="1:13" x14ac:dyDescent="0.3">
      <c r="A7536" s="3">
        <v>46032</v>
      </c>
      <c r="B7536" s="11" t="s">
        <v>5542</v>
      </c>
      <c r="C7536" t="s">
        <v>6043</v>
      </c>
      <c r="D7536" s="153" t="s">
        <v>6737</v>
      </c>
      <c r="E7536" s="90" t="s">
        <v>4720</v>
      </c>
      <c r="F7536" s="4">
        <v>534333156472</v>
      </c>
      <c r="G7536" s="2">
        <v>10000</v>
      </c>
      <c r="I7536" s="88">
        <f t="shared" si="1171"/>
        <v>32895.929999999993</v>
      </c>
      <c r="K7536" s="62"/>
      <c r="L7536" s="2">
        <f t="shared" si="1162"/>
        <v>20</v>
      </c>
      <c r="M7536">
        <f t="shared" si="1163"/>
        <v>0</v>
      </c>
    </row>
    <row r="7537" spans="1:13" x14ac:dyDescent="0.3">
      <c r="A7537" s="3">
        <f t="shared" si="1169"/>
        <v>46032</v>
      </c>
      <c r="B7537" s="11" t="s">
        <v>5042</v>
      </c>
      <c r="C7537" t="s">
        <v>5040</v>
      </c>
      <c r="D7537" s="153"/>
      <c r="E7537" s="90" t="s">
        <v>4720</v>
      </c>
      <c r="G7537" s="2">
        <v>5000</v>
      </c>
      <c r="I7537" s="88">
        <f t="shared" si="1171"/>
        <v>37895.929999999993</v>
      </c>
      <c r="K7537" s="62"/>
      <c r="L7537" s="2">
        <f t="shared" ref="L7537:L7600" si="1172">IF(E7537="C",0,IF((G7537+H7537)&lt;=5000,(G7537+H7537)*0.004,20)+IF(E7537="P",5,IF(E7537="Y",15,IF(E7537="YY",25))))</f>
        <v>20</v>
      </c>
      <c r="M7537">
        <f t="shared" ref="M7537:M7600" si="1173">IF(E7537="p",5,0)</f>
        <v>0</v>
      </c>
    </row>
    <row r="7538" spans="1:13" x14ac:dyDescent="0.3">
      <c r="A7538" s="3">
        <f t="shared" si="1169"/>
        <v>46032</v>
      </c>
      <c r="B7538" s="11" t="s">
        <v>1250</v>
      </c>
      <c r="C7538"/>
      <c r="D7538" s="153"/>
      <c r="E7538" s="90" t="s">
        <v>4720</v>
      </c>
      <c r="G7538" s="2">
        <v>1100</v>
      </c>
      <c r="I7538" s="88">
        <f t="shared" si="1171"/>
        <v>38995.929999999993</v>
      </c>
      <c r="K7538" s="62"/>
      <c r="L7538" s="2">
        <f t="shared" si="1172"/>
        <v>4.4000000000000004</v>
      </c>
      <c r="M7538">
        <f t="shared" si="1173"/>
        <v>0</v>
      </c>
    </row>
    <row r="7539" spans="1:13" x14ac:dyDescent="0.3">
      <c r="A7539" s="3">
        <f t="shared" si="1169"/>
        <v>46032</v>
      </c>
      <c r="B7539" s="11" t="s">
        <v>1250</v>
      </c>
      <c r="C7539"/>
      <c r="D7539" s="153"/>
      <c r="E7539" s="90" t="s">
        <v>4720</v>
      </c>
      <c r="G7539" s="2">
        <v>1100</v>
      </c>
      <c r="I7539" s="88">
        <f t="shared" si="1171"/>
        <v>40095.929999999993</v>
      </c>
      <c r="K7539" s="62"/>
      <c r="L7539" s="2">
        <f t="shared" si="1172"/>
        <v>4.4000000000000004</v>
      </c>
      <c r="M7539">
        <f t="shared" si="1173"/>
        <v>0</v>
      </c>
    </row>
    <row r="7540" spans="1:13" x14ac:dyDescent="0.3">
      <c r="A7540" s="3">
        <f t="shared" si="1169"/>
        <v>46032</v>
      </c>
      <c r="B7540" s="11" t="s">
        <v>2241</v>
      </c>
      <c r="C7540"/>
      <c r="D7540" s="153"/>
      <c r="E7540" s="90" t="s">
        <v>4720</v>
      </c>
      <c r="G7540" s="2">
        <v>8000</v>
      </c>
      <c r="I7540" s="88">
        <f t="shared" si="1171"/>
        <v>48095.929999999993</v>
      </c>
      <c r="K7540" s="62"/>
      <c r="L7540" s="2">
        <f t="shared" si="1172"/>
        <v>20</v>
      </c>
      <c r="M7540">
        <f t="shared" si="1173"/>
        <v>0</v>
      </c>
    </row>
    <row r="7541" spans="1:13" x14ac:dyDescent="0.3">
      <c r="A7541" s="3">
        <f t="shared" si="1169"/>
        <v>46032</v>
      </c>
      <c r="B7541" s="11" t="s">
        <v>1250</v>
      </c>
      <c r="C7541" t="s">
        <v>2414</v>
      </c>
      <c r="D7541" s="153"/>
      <c r="E7541" s="90" t="s">
        <v>4720</v>
      </c>
      <c r="G7541" s="2">
        <v>500</v>
      </c>
      <c r="I7541" s="88">
        <f t="shared" ref="I7541:I7551" si="1174">I7540+G7541-H7541</f>
        <v>48595.929999999993</v>
      </c>
      <c r="K7541" s="62"/>
      <c r="L7541" s="2">
        <f t="shared" si="1172"/>
        <v>2</v>
      </c>
      <c r="M7541">
        <f t="shared" si="1173"/>
        <v>0</v>
      </c>
    </row>
    <row r="7542" spans="1:13" x14ac:dyDescent="0.3">
      <c r="A7542" s="3">
        <f t="shared" si="1169"/>
        <v>46032</v>
      </c>
      <c r="B7542" s="11" t="s">
        <v>1250</v>
      </c>
      <c r="C7542" t="s">
        <v>9818</v>
      </c>
      <c r="D7542" s="153"/>
      <c r="E7542" s="90" t="s">
        <v>4720</v>
      </c>
      <c r="G7542" s="2">
        <v>4050</v>
      </c>
      <c r="I7542" s="88">
        <f t="shared" si="1174"/>
        <v>52645.929999999993</v>
      </c>
      <c r="K7542" s="62"/>
      <c r="L7542" s="2">
        <f t="shared" si="1172"/>
        <v>16.2</v>
      </c>
      <c r="M7542">
        <f t="shared" si="1173"/>
        <v>0</v>
      </c>
    </row>
    <row r="7543" spans="1:13" x14ac:dyDescent="0.3">
      <c r="A7543" s="3">
        <f t="shared" si="1169"/>
        <v>46032</v>
      </c>
      <c r="B7543" s="11" t="s">
        <v>1250</v>
      </c>
      <c r="C7543" t="s">
        <v>8862</v>
      </c>
      <c r="D7543" s="153"/>
      <c r="E7543" s="90" t="s">
        <v>4720</v>
      </c>
      <c r="G7543" s="2">
        <v>400</v>
      </c>
      <c r="I7543" s="88">
        <f t="shared" si="1174"/>
        <v>53045.929999999993</v>
      </c>
      <c r="K7543" s="62"/>
      <c r="L7543" s="2">
        <f t="shared" si="1172"/>
        <v>1.6</v>
      </c>
      <c r="M7543">
        <f t="shared" si="1173"/>
        <v>0</v>
      </c>
    </row>
    <row r="7544" spans="1:13" x14ac:dyDescent="0.3">
      <c r="A7544" s="3">
        <v>46033</v>
      </c>
      <c r="B7544" s="11" t="s">
        <v>7352</v>
      </c>
      <c r="C7544" t="s">
        <v>10019</v>
      </c>
      <c r="D7544" s="153"/>
      <c r="E7544" s="90" t="s">
        <v>2088</v>
      </c>
      <c r="G7544" s="2">
        <v>0</v>
      </c>
      <c r="H7544" s="2">
        <v>0</v>
      </c>
      <c r="I7544" s="88">
        <f t="shared" si="1174"/>
        <v>53045.929999999993</v>
      </c>
      <c r="K7544" s="62"/>
      <c r="L7544" s="2">
        <f t="shared" si="1172"/>
        <v>5</v>
      </c>
      <c r="M7544">
        <f t="shared" si="1173"/>
        <v>5</v>
      </c>
    </row>
    <row r="7545" spans="1:13" x14ac:dyDescent="0.3">
      <c r="A7545" s="3">
        <f t="shared" si="1169"/>
        <v>46033</v>
      </c>
      <c r="B7545" s="11" t="s">
        <v>5542</v>
      </c>
      <c r="C7545" t="s">
        <v>3625</v>
      </c>
      <c r="D7545" s="153"/>
      <c r="E7545" s="90" t="s">
        <v>4720</v>
      </c>
      <c r="G7545" s="2">
        <v>1100</v>
      </c>
      <c r="I7545" s="88">
        <f t="shared" si="1174"/>
        <v>54145.929999999993</v>
      </c>
      <c r="K7545" s="62"/>
      <c r="L7545" s="2">
        <f t="shared" si="1172"/>
        <v>4.4000000000000004</v>
      </c>
      <c r="M7545">
        <f t="shared" si="1173"/>
        <v>0</v>
      </c>
    </row>
    <row r="7546" spans="1:13" x14ac:dyDescent="0.3">
      <c r="A7546" s="3">
        <f t="shared" si="1169"/>
        <v>46033</v>
      </c>
      <c r="B7546" s="11" t="s">
        <v>7352</v>
      </c>
      <c r="C7546" t="s">
        <v>10019</v>
      </c>
      <c r="D7546" s="153"/>
      <c r="E7546" s="90" t="s">
        <v>4720</v>
      </c>
      <c r="G7546" s="2">
        <v>2500</v>
      </c>
      <c r="I7546" s="88">
        <f t="shared" si="1174"/>
        <v>56645.929999999993</v>
      </c>
      <c r="K7546" s="62"/>
      <c r="L7546" s="2">
        <f t="shared" si="1172"/>
        <v>10</v>
      </c>
      <c r="M7546">
        <f t="shared" si="1173"/>
        <v>0</v>
      </c>
    </row>
    <row r="7547" spans="1:13" x14ac:dyDescent="0.3">
      <c r="A7547" s="3">
        <f t="shared" si="1169"/>
        <v>46033</v>
      </c>
      <c r="B7547" s="11" t="s">
        <v>5579</v>
      </c>
      <c r="C7547" t="s">
        <v>10020</v>
      </c>
      <c r="D7547" s="153"/>
      <c r="E7547" s="90" t="s">
        <v>2088</v>
      </c>
      <c r="G7547" s="2">
        <v>0</v>
      </c>
      <c r="H7547" s="2">
        <v>0</v>
      </c>
      <c r="I7547" s="88">
        <f t="shared" si="1174"/>
        <v>56645.929999999993</v>
      </c>
      <c r="K7547" s="62"/>
      <c r="L7547" s="2">
        <f t="shared" si="1172"/>
        <v>5</v>
      </c>
      <c r="M7547">
        <f t="shared" si="1173"/>
        <v>5</v>
      </c>
    </row>
    <row r="7548" spans="1:13" x14ac:dyDescent="0.3">
      <c r="A7548" s="3">
        <f t="shared" si="1169"/>
        <v>46033</v>
      </c>
      <c r="B7548" s="11" t="s">
        <v>8922</v>
      </c>
      <c r="C7548" t="s">
        <v>730</v>
      </c>
      <c r="D7548" s="153"/>
      <c r="E7548" s="90" t="s">
        <v>4720</v>
      </c>
      <c r="G7548" s="2">
        <v>2000</v>
      </c>
      <c r="I7548" s="88">
        <f t="shared" si="1174"/>
        <v>58645.929999999993</v>
      </c>
      <c r="K7548" s="62"/>
      <c r="L7548" s="2">
        <f t="shared" si="1172"/>
        <v>8</v>
      </c>
      <c r="M7548">
        <f t="shared" si="1173"/>
        <v>0</v>
      </c>
    </row>
    <row r="7549" spans="1:13" x14ac:dyDescent="0.3">
      <c r="A7549" s="3">
        <f t="shared" si="1169"/>
        <v>46033</v>
      </c>
      <c r="B7549" s="11" t="s">
        <v>6486</v>
      </c>
      <c r="C7549" t="s">
        <v>8841</v>
      </c>
      <c r="D7549" s="153"/>
      <c r="E7549" s="90" t="s">
        <v>4720</v>
      </c>
      <c r="G7549" s="2">
        <v>1000</v>
      </c>
      <c r="I7549" s="88">
        <f t="shared" si="1174"/>
        <v>59645.929999999993</v>
      </c>
      <c r="K7549" s="62"/>
      <c r="L7549" s="2">
        <f t="shared" si="1172"/>
        <v>4</v>
      </c>
      <c r="M7549">
        <f t="shared" si="1173"/>
        <v>0</v>
      </c>
    </row>
    <row r="7550" spans="1:13" x14ac:dyDescent="0.3">
      <c r="A7550" s="3">
        <f t="shared" si="1169"/>
        <v>46033</v>
      </c>
      <c r="B7550" s="11" t="s">
        <v>6766</v>
      </c>
      <c r="C7550" t="s">
        <v>8481</v>
      </c>
      <c r="D7550" s="153"/>
      <c r="E7550" s="90" t="s">
        <v>2088</v>
      </c>
      <c r="G7550" s="2">
        <v>0</v>
      </c>
      <c r="H7550" s="2">
        <v>0</v>
      </c>
      <c r="I7550" s="88">
        <f t="shared" si="1174"/>
        <v>59645.929999999993</v>
      </c>
      <c r="K7550" s="62"/>
      <c r="L7550" s="2">
        <f t="shared" si="1172"/>
        <v>5</v>
      </c>
      <c r="M7550">
        <f t="shared" si="1173"/>
        <v>5</v>
      </c>
    </row>
    <row r="7551" spans="1:13" x14ac:dyDescent="0.3">
      <c r="A7551" s="3">
        <f t="shared" si="1169"/>
        <v>46033</v>
      </c>
      <c r="B7551" s="11" t="s">
        <v>1250</v>
      </c>
      <c r="C7551" t="s">
        <v>10021</v>
      </c>
      <c r="D7551" s="153"/>
      <c r="E7551" s="90" t="s">
        <v>4720</v>
      </c>
      <c r="G7551" s="2">
        <v>1000</v>
      </c>
      <c r="I7551" s="88">
        <f t="shared" si="1174"/>
        <v>60645.929999999993</v>
      </c>
      <c r="K7551" s="62"/>
      <c r="L7551" s="2">
        <f t="shared" si="1172"/>
        <v>4</v>
      </c>
      <c r="M7551">
        <f t="shared" si="1173"/>
        <v>0</v>
      </c>
    </row>
    <row r="7552" spans="1:13" x14ac:dyDescent="0.3">
      <c r="A7552" s="3">
        <f t="shared" si="1169"/>
        <v>46033</v>
      </c>
      <c r="B7552" s="11" t="s">
        <v>5825</v>
      </c>
      <c r="C7552" t="s">
        <v>10022</v>
      </c>
      <c r="D7552" s="153"/>
      <c r="E7552" s="90" t="s">
        <v>4720</v>
      </c>
      <c r="G7552" s="2">
        <v>2500</v>
      </c>
      <c r="I7552" s="88">
        <f t="shared" ref="I7552:I7563" si="1175">I7551+G7552-H7552</f>
        <v>63145.929999999993</v>
      </c>
      <c r="K7552" s="62"/>
      <c r="L7552" s="2">
        <f t="shared" si="1172"/>
        <v>10</v>
      </c>
      <c r="M7552">
        <f t="shared" si="1173"/>
        <v>0</v>
      </c>
    </row>
    <row r="7553" spans="1:13" x14ac:dyDescent="0.3">
      <c r="A7553" s="3">
        <f t="shared" si="1169"/>
        <v>46033</v>
      </c>
      <c r="B7553" s="11" t="s">
        <v>10023</v>
      </c>
      <c r="C7553" t="s">
        <v>5621</v>
      </c>
      <c r="D7553" s="153"/>
      <c r="E7553" s="90" t="s">
        <v>4720</v>
      </c>
      <c r="G7553" s="2">
        <v>6000</v>
      </c>
      <c r="I7553" s="88">
        <f t="shared" si="1175"/>
        <v>69145.929999999993</v>
      </c>
      <c r="K7553" s="62"/>
      <c r="L7553" s="2">
        <f t="shared" si="1172"/>
        <v>20</v>
      </c>
      <c r="M7553">
        <f t="shared" si="1173"/>
        <v>0</v>
      </c>
    </row>
    <row r="7554" spans="1:13" x14ac:dyDescent="0.3">
      <c r="A7554" s="3">
        <f t="shared" si="1169"/>
        <v>46033</v>
      </c>
      <c r="B7554" s="11" t="s">
        <v>6940</v>
      </c>
      <c r="C7554" t="s">
        <v>9989</v>
      </c>
      <c r="D7554" s="153"/>
      <c r="E7554" s="90" t="s">
        <v>4720</v>
      </c>
      <c r="G7554" s="2">
        <v>5500</v>
      </c>
      <c r="I7554" s="88">
        <f t="shared" si="1175"/>
        <v>74645.929999999993</v>
      </c>
      <c r="K7554" s="62"/>
      <c r="L7554" s="2">
        <f t="shared" si="1172"/>
        <v>20</v>
      </c>
      <c r="M7554">
        <f t="shared" si="1173"/>
        <v>0</v>
      </c>
    </row>
    <row r="7555" spans="1:13" x14ac:dyDescent="0.3">
      <c r="A7555" s="3">
        <f t="shared" si="1169"/>
        <v>46033</v>
      </c>
      <c r="B7555" s="11" t="s">
        <v>1250</v>
      </c>
      <c r="C7555" t="s">
        <v>6435</v>
      </c>
      <c r="D7555" s="153"/>
      <c r="E7555" s="90" t="s">
        <v>4720</v>
      </c>
      <c r="G7555" s="2">
        <v>1100</v>
      </c>
      <c r="I7555" s="88">
        <f t="shared" si="1175"/>
        <v>75745.929999999993</v>
      </c>
      <c r="K7555" s="62"/>
      <c r="L7555" s="2">
        <f t="shared" si="1172"/>
        <v>4.4000000000000004</v>
      </c>
      <c r="M7555">
        <f t="shared" si="1173"/>
        <v>0</v>
      </c>
    </row>
    <row r="7556" spans="1:13" x14ac:dyDescent="0.3">
      <c r="A7556" s="3">
        <f t="shared" si="1169"/>
        <v>46033</v>
      </c>
      <c r="B7556" s="11" t="s">
        <v>1250</v>
      </c>
      <c r="C7556" t="s">
        <v>6985</v>
      </c>
      <c r="D7556" s="153"/>
      <c r="E7556" s="90" t="s">
        <v>4720</v>
      </c>
      <c r="G7556" s="2">
        <v>2000</v>
      </c>
      <c r="I7556" s="88">
        <f t="shared" si="1175"/>
        <v>77745.929999999993</v>
      </c>
      <c r="K7556" s="62"/>
      <c r="L7556" s="2">
        <f t="shared" si="1172"/>
        <v>8</v>
      </c>
      <c r="M7556">
        <f t="shared" si="1173"/>
        <v>0</v>
      </c>
    </row>
    <row r="7557" spans="1:13" x14ac:dyDescent="0.3">
      <c r="A7557" s="3">
        <f t="shared" si="1169"/>
        <v>46033</v>
      </c>
      <c r="B7557" s="11" t="s">
        <v>1250</v>
      </c>
      <c r="C7557" t="s">
        <v>10024</v>
      </c>
      <c r="D7557" s="153"/>
      <c r="E7557" s="90" t="s">
        <v>4720</v>
      </c>
      <c r="G7557" s="2">
        <v>700</v>
      </c>
      <c r="I7557" s="88">
        <f t="shared" si="1175"/>
        <v>78445.929999999993</v>
      </c>
      <c r="K7557" s="62"/>
      <c r="L7557" s="2">
        <f t="shared" si="1172"/>
        <v>2.8000000000000003</v>
      </c>
      <c r="M7557">
        <f t="shared" si="1173"/>
        <v>0</v>
      </c>
    </row>
    <row r="7558" spans="1:13" x14ac:dyDescent="0.3">
      <c r="A7558" s="3">
        <f t="shared" si="1169"/>
        <v>46033</v>
      </c>
      <c r="B7558" s="11" t="s">
        <v>7545</v>
      </c>
      <c r="C7558" t="s">
        <v>6592</v>
      </c>
      <c r="D7558" s="153"/>
      <c r="E7558" s="90" t="s">
        <v>2088</v>
      </c>
      <c r="G7558" s="2">
        <v>0</v>
      </c>
      <c r="H7558" s="2">
        <v>0</v>
      </c>
      <c r="I7558" s="88">
        <f t="shared" si="1175"/>
        <v>78445.929999999993</v>
      </c>
      <c r="K7558" s="62"/>
      <c r="L7558" s="2">
        <f t="shared" si="1172"/>
        <v>5</v>
      </c>
      <c r="M7558">
        <f t="shared" si="1173"/>
        <v>5</v>
      </c>
    </row>
    <row r="7559" spans="1:13" x14ac:dyDescent="0.3">
      <c r="A7559" s="3">
        <f t="shared" si="1169"/>
        <v>46033</v>
      </c>
      <c r="B7559" s="11" t="s">
        <v>7545</v>
      </c>
      <c r="C7559" t="s">
        <v>6592</v>
      </c>
      <c r="D7559" s="153"/>
      <c r="E7559" s="90" t="s">
        <v>2088</v>
      </c>
      <c r="G7559" s="2">
        <v>1000</v>
      </c>
      <c r="I7559" s="88">
        <f t="shared" si="1175"/>
        <v>79445.929999999993</v>
      </c>
      <c r="K7559" s="62"/>
      <c r="L7559" s="2">
        <f t="shared" si="1172"/>
        <v>9</v>
      </c>
      <c r="M7559">
        <f t="shared" si="1173"/>
        <v>5</v>
      </c>
    </row>
    <row r="7560" spans="1:13" x14ac:dyDescent="0.3">
      <c r="A7560" s="3">
        <f t="shared" si="1169"/>
        <v>46033</v>
      </c>
      <c r="C7560" t="s">
        <v>9970</v>
      </c>
      <c r="D7560" s="153"/>
      <c r="E7560" s="90" t="s">
        <v>8332</v>
      </c>
      <c r="H7560" s="2">
        <v>70000</v>
      </c>
      <c r="I7560" s="88">
        <f t="shared" si="1175"/>
        <v>9445.929999999993</v>
      </c>
      <c r="K7560" s="62"/>
      <c r="L7560" s="2">
        <f t="shared" si="1172"/>
        <v>0</v>
      </c>
      <c r="M7560">
        <f t="shared" si="1173"/>
        <v>0</v>
      </c>
    </row>
    <row r="7561" spans="1:13" x14ac:dyDescent="0.3">
      <c r="A7561" s="3">
        <f t="shared" si="1169"/>
        <v>46033</v>
      </c>
      <c r="B7561" s="11" t="s">
        <v>4622</v>
      </c>
      <c r="C7561" t="s">
        <v>7468</v>
      </c>
      <c r="D7561" s="153"/>
      <c r="E7561" s="90" t="s">
        <v>4720</v>
      </c>
      <c r="G7561" s="2">
        <v>3000</v>
      </c>
      <c r="I7561" s="88">
        <f t="shared" si="1175"/>
        <v>12445.929999999993</v>
      </c>
      <c r="K7561" s="62"/>
      <c r="L7561" s="2">
        <f t="shared" si="1172"/>
        <v>12</v>
      </c>
      <c r="M7561">
        <f t="shared" si="1173"/>
        <v>0</v>
      </c>
    </row>
    <row r="7562" spans="1:13" x14ac:dyDescent="0.3">
      <c r="A7562" s="3">
        <f t="shared" si="1169"/>
        <v>46033</v>
      </c>
      <c r="B7562" s="11" t="s">
        <v>7186</v>
      </c>
      <c r="C7562" t="s">
        <v>7187</v>
      </c>
      <c r="D7562" s="153"/>
      <c r="E7562" s="90" t="s">
        <v>7772</v>
      </c>
      <c r="G7562" s="2">
        <v>4000</v>
      </c>
      <c r="I7562" s="88">
        <f t="shared" si="1175"/>
        <v>16445.929999999993</v>
      </c>
      <c r="K7562" s="62"/>
      <c r="L7562" s="2">
        <f t="shared" si="1172"/>
        <v>21</v>
      </c>
      <c r="M7562">
        <f t="shared" si="1173"/>
        <v>5</v>
      </c>
    </row>
    <row r="7563" spans="1:13" x14ac:dyDescent="0.3">
      <c r="A7563" s="3">
        <f t="shared" si="1169"/>
        <v>46033</v>
      </c>
      <c r="B7563" s="11" t="s">
        <v>7262</v>
      </c>
      <c r="C7563" t="s">
        <v>8794</v>
      </c>
      <c r="D7563" s="153"/>
      <c r="E7563" s="90" t="s">
        <v>4720</v>
      </c>
      <c r="G7563" s="2">
        <v>10000</v>
      </c>
      <c r="I7563" s="88">
        <f t="shared" si="1175"/>
        <v>26445.929999999993</v>
      </c>
      <c r="K7563" s="62"/>
      <c r="L7563" s="2">
        <f t="shared" si="1172"/>
        <v>20</v>
      </c>
      <c r="M7563">
        <f t="shared" si="1173"/>
        <v>0</v>
      </c>
    </row>
    <row r="7564" spans="1:13" x14ac:dyDescent="0.3">
      <c r="A7564" s="3">
        <f t="shared" si="1169"/>
        <v>46033</v>
      </c>
      <c r="B7564" s="11" t="s">
        <v>8955</v>
      </c>
      <c r="C7564" t="s">
        <v>191</v>
      </c>
      <c r="D7564" s="153"/>
      <c r="E7564" s="90" t="s">
        <v>2088</v>
      </c>
      <c r="G7564" s="2">
        <v>0</v>
      </c>
      <c r="H7564" s="2">
        <v>0</v>
      </c>
      <c r="I7564" s="88">
        <f t="shared" ref="I7564:I7575" si="1176">I7563+G7564-H7564</f>
        <v>26445.929999999993</v>
      </c>
      <c r="K7564" s="62"/>
      <c r="L7564" s="2">
        <f t="shared" si="1172"/>
        <v>5</v>
      </c>
      <c r="M7564">
        <f t="shared" si="1173"/>
        <v>5</v>
      </c>
    </row>
    <row r="7565" spans="1:13" x14ac:dyDescent="0.3">
      <c r="A7565" s="3">
        <f t="shared" si="1169"/>
        <v>46033</v>
      </c>
      <c r="B7565" s="11" t="s">
        <v>10025</v>
      </c>
      <c r="C7565" t="s">
        <v>10026</v>
      </c>
      <c r="D7565" s="153"/>
      <c r="E7565" s="90" t="s">
        <v>4720</v>
      </c>
      <c r="G7565" s="2">
        <v>3000</v>
      </c>
      <c r="I7565" s="88">
        <f t="shared" si="1176"/>
        <v>29445.929999999993</v>
      </c>
      <c r="K7565" s="62"/>
      <c r="L7565" s="2">
        <f t="shared" si="1172"/>
        <v>12</v>
      </c>
      <c r="M7565">
        <f t="shared" si="1173"/>
        <v>0</v>
      </c>
    </row>
    <row r="7566" spans="1:13" x14ac:dyDescent="0.3">
      <c r="A7566" s="3">
        <f t="shared" si="1169"/>
        <v>46033</v>
      </c>
      <c r="B7566" s="11" t="s">
        <v>1250</v>
      </c>
      <c r="C7566"/>
      <c r="D7566" s="153"/>
      <c r="E7566" s="90" t="s">
        <v>4720</v>
      </c>
      <c r="G7566" s="2">
        <v>10000</v>
      </c>
      <c r="I7566" s="88">
        <f t="shared" si="1176"/>
        <v>39445.929999999993</v>
      </c>
      <c r="K7566" s="62"/>
      <c r="L7566" s="2">
        <f t="shared" si="1172"/>
        <v>20</v>
      </c>
      <c r="M7566">
        <f t="shared" si="1173"/>
        <v>0</v>
      </c>
    </row>
    <row r="7567" spans="1:13" x14ac:dyDescent="0.3">
      <c r="A7567" s="3">
        <f t="shared" si="1169"/>
        <v>46033</v>
      </c>
      <c r="B7567" s="11" t="s">
        <v>8674</v>
      </c>
      <c r="C7567" t="s">
        <v>8675</v>
      </c>
      <c r="D7567" s="153"/>
      <c r="E7567" s="90" t="s">
        <v>2088</v>
      </c>
      <c r="I7567" s="88">
        <f t="shared" si="1176"/>
        <v>39445.929999999993</v>
      </c>
      <c r="K7567" s="62"/>
      <c r="L7567" s="2">
        <f t="shared" si="1172"/>
        <v>5</v>
      </c>
      <c r="M7567">
        <f t="shared" si="1173"/>
        <v>5</v>
      </c>
    </row>
    <row r="7568" spans="1:13" x14ac:dyDescent="0.3">
      <c r="A7568" s="3">
        <f t="shared" si="1169"/>
        <v>46033</v>
      </c>
      <c r="B7568" s="11" t="s">
        <v>8674</v>
      </c>
      <c r="C7568" t="s">
        <v>8675</v>
      </c>
      <c r="D7568" s="153"/>
      <c r="E7568" s="90" t="s">
        <v>2088</v>
      </c>
      <c r="G7568" s="2">
        <v>2500</v>
      </c>
      <c r="I7568" s="88">
        <f t="shared" si="1176"/>
        <v>41945.929999999993</v>
      </c>
      <c r="K7568" s="62"/>
      <c r="L7568" s="2">
        <f t="shared" si="1172"/>
        <v>15</v>
      </c>
      <c r="M7568">
        <f t="shared" si="1173"/>
        <v>5</v>
      </c>
    </row>
    <row r="7569" spans="1:13" x14ac:dyDescent="0.3">
      <c r="A7569" s="3">
        <f t="shared" si="1169"/>
        <v>46033</v>
      </c>
      <c r="B7569" s="11" t="s">
        <v>6369</v>
      </c>
      <c r="C7569" t="s">
        <v>9982</v>
      </c>
      <c r="D7569" s="153"/>
      <c r="E7569" s="90" t="s">
        <v>2088</v>
      </c>
      <c r="H7569" s="2">
        <v>10000</v>
      </c>
      <c r="I7569" s="88">
        <f t="shared" si="1176"/>
        <v>31945.929999999993</v>
      </c>
      <c r="K7569" s="62"/>
      <c r="L7569" s="2">
        <f t="shared" si="1172"/>
        <v>25</v>
      </c>
      <c r="M7569">
        <f t="shared" si="1173"/>
        <v>5</v>
      </c>
    </row>
    <row r="7570" spans="1:13" x14ac:dyDescent="0.3">
      <c r="A7570" s="3">
        <f t="shared" si="1169"/>
        <v>46033</v>
      </c>
      <c r="B7570" s="11" t="s">
        <v>2241</v>
      </c>
      <c r="C7570" t="s">
        <v>10027</v>
      </c>
      <c r="D7570" s="153"/>
      <c r="E7570" s="90" t="s">
        <v>4720</v>
      </c>
      <c r="G7570" s="2">
        <v>3000</v>
      </c>
      <c r="I7570" s="88">
        <f t="shared" si="1176"/>
        <v>34945.929999999993</v>
      </c>
      <c r="K7570" s="62"/>
      <c r="L7570" s="2">
        <f t="shared" si="1172"/>
        <v>12</v>
      </c>
      <c r="M7570">
        <f t="shared" si="1173"/>
        <v>0</v>
      </c>
    </row>
    <row r="7571" spans="1:13" x14ac:dyDescent="0.3">
      <c r="A7571" s="3">
        <f t="shared" si="1169"/>
        <v>46033</v>
      </c>
      <c r="B7571" s="11" t="s">
        <v>7405</v>
      </c>
      <c r="C7571" t="s">
        <v>7407</v>
      </c>
      <c r="D7571" s="153"/>
      <c r="E7571" s="90" t="s">
        <v>4720</v>
      </c>
      <c r="H7571" s="2">
        <v>2500</v>
      </c>
      <c r="I7571" s="88">
        <f t="shared" si="1176"/>
        <v>32445.929999999993</v>
      </c>
      <c r="K7571" s="62"/>
      <c r="L7571" s="2">
        <f t="shared" si="1172"/>
        <v>10</v>
      </c>
      <c r="M7571">
        <f t="shared" si="1173"/>
        <v>0</v>
      </c>
    </row>
    <row r="7572" spans="1:13" x14ac:dyDescent="0.3">
      <c r="A7572" s="3">
        <v>46035</v>
      </c>
      <c r="B7572" s="11" t="s">
        <v>7394</v>
      </c>
      <c r="C7572" t="s">
        <v>7395</v>
      </c>
      <c r="D7572" s="153"/>
      <c r="E7572" s="90" t="s">
        <v>4720</v>
      </c>
      <c r="H7572" s="2">
        <v>200</v>
      </c>
      <c r="I7572" s="88">
        <f t="shared" si="1176"/>
        <v>32245.929999999993</v>
      </c>
      <c r="K7572" s="62"/>
      <c r="L7572" s="2">
        <f t="shared" si="1172"/>
        <v>0.8</v>
      </c>
      <c r="M7572">
        <f t="shared" si="1173"/>
        <v>0</v>
      </c>
    </row>
    <row r="7573" spans="1:13" x14ac:dyDescent="0.3">
      <c r="A7573" s="3">
        <f t="shared" si="1169"/>
        <v>46035</v>
      </c>
      <c r="B7573" s="11" t="s">
        <v>3849</v>
      </c>
      <c r="C7573" t="s">
        <v>10028</v>
      </c>
      <c r="D7573" s="153"/>
      <c r="E7573" s="90" t="s">
        <v>4720</v>
      </c>
      <c r="H7573" s="2">
        <v>10000</v>
      </c>
      <c r="I7573" s="88">
        <f t="shared" si="1176"/>
        <v>22245.929999999993</v>
      </c>
      <c r="K7573" s="62"/>
      <c r="L7573" s="2">
        <f t="shared" si="1172"/>
        <v>20</v>
      </c>
      <c r="M7573">
        <f t="shared" si="1173"/>
        <v>0</v>
      </c>
    </row>
    <row r="7574" spans="1:13" x14ac:dyDescent="0.3">
      <c r="A7574" s="3">
        <f t="shared" si="1169"/>
        <v>46035</v>
      </c>
      <c r="B7574" s="11" t="s">
        <v>10029</v>
      </c>
      <c r="C7574" t="s">
        <v>10030</v>
      </c>
      <c r="D7574" s="153"/>
      <c r="E7574" s="90" t="s">
        <v>4720</v>
      </c>
      <c r="H7574" s="2">
        <v>5000</v>
      </c>
      <c r="I7574" s="88">
        <f t="shared" si="1176"/>
        <v>17245.929999999993</v>
      </c>
      <c r="K7574" s="62"/>
      <c r="L7574" s="2">
        <f t="shared" si="1172"/>
        <v>20</v>
      </c>
      <c r="M7574">
        <f t="shared" si="1173"/>
        <v>0</v>
      </c>
    </row>
    <row r="7575" spans="1:13" x14ac:dyDescent="0.3">
      <c r="A7575" s="3">
        <f t="shared" si="1169"/>
        <v>46035</v>
      </c>
      <c r="B7575" s="11" t="s">
        <v>10031</v>
      </c>
      <c r="C7575" t="s">
        <v>10032</v>
      </c>
      <c r="D7575" s="153"/>
      <c r="E7575" s="90" t="s">
        <v>7772</v>
      </c>
      <c r="H7575" s="2">
        <v>5000</v>
      </c>
      <c r="I7575" s="88">
        <f t="shared" si="1176"/>
        <v>12245.929999999993</v>
      </c>
      <c r="K7575" s="62"/>
      <c r="L7575" s="2">
        <f t="shared" si="1172"/>
        <v>25</v>
      </c>
      <c r="M7575">
        <f t="shared" si="1173"/>
        <v>5</v>
      </c>
    </row>
    <row r="7576" spans="1:13" x14ac:dyDescent="0.3">
      <c r="A7576" s="3">
        <f t="shared" si="1169"/>
        <v>46035</v>
      </c>
      <c r="B7576" s="11" t="s">
        <v>4072</v>
      </c>
      <c r="C7576" t="s">
        <v>6563</v>
      </c>
      <c r="D7576" s="153"/>
      <c r="E7576" s="90" t="s">
        <v>4720</v>
      </c>
      <c r="H7576" s="2">
        <v>1000</v>
      </c>
      <c r="I7576" s="88">
        <f t="shared" ref="I7576:I7585" si="1177">I7575+G7576-H7576</f>
        <v>11245.929999999993</v>
      </c>
      <c r="K7576" s="62"/>
      <c r="L7576" s="2">
        <f t="shared" si="1172"/>
        <v>4</v>
      </c>
      <c r="M7576">
        <f t="shared" si="1173"/>
        <v>0</v>
      </c>
    </row>
    <row r="7577" spans="1:13" x14ac:dyDescent="0.3">
      <c r="A7577" s="3">
        <f t="shared" si="1169"/>
        <v>46035</v>
      </c>
      <c r="B7577" s="11" t="s">
        <v>10033</v>
      </c>
      <c r="C7577" t="s">
        <v>10040</v>
      </c>
      <c r="D7577" s="153"/>
      <c r="E7577" s="90" t="s">
        <v>2088</v>
      </c>
      <c r="G7577" s="2">
        <v>0</v>
      </c>
      <c r="H7577" s="2">
        <v>0</v>
      </c>
      <c r="I7577" s="88">
        <f t="shared" si="1177"/>
        <v>11245.929999999993</v>
      </c>
      <c r="K7577" s="62"/>
      <c r="L7577" s="2">
        <f t="shared" si="1172"/>
        <v>5</v>
      </c>
      <c r="M7577">
        <f t="shared" si="1173"/>
        <v>5</v>
      </c>
    </row>
    <row r="7578" spans="1:13" x14ac:dyDescent="0.3">
      <c r="A7578" s="3">
        <f t="shared" si="1169"/>
        <v>46035</v>
      </c>
      <c r="B7578" s="11" t="s">
        <v>6486</v>
      </c>
      <c r="C7578" t="s">
        <v>8498</v>
      </c>
      <c r="D7578" s="153"/>
      <c r="E7578" s="90" t="s">
        <v>2088</v>
      </c>
      <c r="G7578" s="2">
        <v>4000</v>
      </c>
      <c r="I7578" s="88">
        <f t="shared" si="1177"/>
        <v>15245.929999999993</v>
      </c>
      <c r="K7578" s="62"/>
      <c r="L7578" s="2">
        <f t="shared" si="1172"/>
        <v>21</v>
      </c>
      <c r="M7578">
        <f t="shared" si="1173"/>
        <v>5</v>
      </c>
    </row>
    <row r="7579" spans="1:13" x14ac:dyDescent="0.3">
      <c r="A7579" s="3">
        <f t="shared" si="1169"/>
        <v>46035</v>
      </c>
      <c r="B7579" s="11" t="s">
        <v>9482</v>
      </c>
      <c r="C7579" t="s">
        <v>10041</v>
      </c>
      <c r="D7579" s="153"/>
      <c r="E7579" s="90" t="s">
        <v>4720</v>
      </c>
      <c r="G7579" s="2">
        <v>10000</v>
      </c>
      <c r="I7579" s="88">
        <f t="shared" si="1177"/>
        <v>25245.929999999993</v>
      </c>
      <c r="K7579" s="62"/>
      <c r="L7579" s="2">
        <f t="shared" si="1172"/>
        <v>20</v>
      </c>
      <c r="M7579">
        <f t="shared" si="1173"/>
        <v>0</v>
      </c>
    </row>
    <row r="7580" spans="1:13" x14ac:dyDescent="0.3">
      <c r="A7580" s="3">
        <f t="shared" si="1169"/>
        <v>46035</v>
      </c>
      <c r="B7580" s="11" t="s">
        <v>6929</v>
      </c>
      <c r="C7580" t="s">
        <v>251</v>
      </c>
      <c r="D7580" s="153"/>
      <c r="E7580" s="90" t="s">
        <v>4720</v>
      </c>
      <c r="G7580" s="2">
        <v>5000</v>
      </c>
      <c r="I7580" s="88">
        <f t="shared" si="1177"/>
        <v>30245.929999999993</v>
      </c>
      <c r="K7580" s="62"/>
      <c r="L7580" s="2">
        <f t="shared" si="1172"/>
        <v>20</v>
      </c>
      <c r="M7580">
        <f t="shared" si="1173"/>
        <v>0</v>
      </c>
    </row>
    <row r="7581" spans="1:13" x14ac:dyDescent="0.3">
      <c r="A7581" s="3">
        <f t="shared" si="1169"/>
        <v>46035</v>
      </c>
      <c r="B7581" s="11" t="s">
        <v>1250</v>
      </c>
      <c r="C7581" t="s">
        <v>7613</v>
      </c>
      <c r="D7581" s="153"/>
      <c r="E7581" s="90" t="s">
        <v>4720</v>
      </c>
      <c r="G7581" s="2">
        <v>1000</v>
      </c>
      <c r="I7581" s="88">
        <f t="shared" si="1177"/>
        <v>31245.929999999993</v>
      </c>
      <c r="K7581" s="62"/>
      <c r="L7581" s="2">
        <f t="shared" si="1172"/>
        <v>4</v>
      </c>
      <c r="M7581">
        <f t="shared" si="1173"/>
        <v>0</v>
      </c>
    </row>
    <row r="7582" spans="1:13" x14ac:dyDescent="0.3">
      <c r="A7582" s="3">
        <f t="shared" si="1169"/>
        <v>46035</v>
      </c>
      <c r="B7582" s="11" t="s">
        <v>6940</v>
      </c>
      <c r="C7582" t="s">
        <v>7470</v>
      </c>
      <c r="D7582" s="153"/>
      <c r="E7582" s="90" t="s">
        <v>4720</v>
      </c>
      <c r="G7582" s="2">
        <v>3200</v>
      </c>
      <c r="I7582" s="88">
        <f t="shared" si="1177"/>
        <v>34445.929999999993</v>
      </c>
      <c r="K7582" s="62"/>
      <c r="L7582" s="2">
        <f t="shared" si="1172"/>
        <v>12.8</v>
      </c>
      <c r="M7582">
        <f t="shared" si="1173"/>
        <v>0</v>
      </c>
    </row>
    <row r="7583" spans="1:13" x14ac:dyDescent="0.3">
      <c r="A7583" s="3">
        <f t="shared" si="1169"/>
        <v>46035</v>
      </c>
      <c r="B7583" s="11" t="s">
        <v>8066</v>
      </c>
      <c r="C7583" t="s">
        <v>9180</v>
      </c>
      <c r="D7583" s="153"/>
      <c r="E7583" s="90" t="s">
        <v>4720</v>
      </c>
      <c r="H7583" s="2">
        <v>8000</v>
      </c>
      <c r="I7583" s="88">
        <f t="shared" si="1177"/>
        <v>26445.929999999993</v>
      </c>
      <c r="K7583" s="62"/>
      <c r="L7583" s="2">
        <f t="shared" si="1172"/>
        <v>20</v>
      </c>
      <c r="M7583">
        <f t="shared" si="1173"/>
        <v>0</v>
      </c>
    </row>
    <row r="7584" spans="1:13" x14ac:dyDescent="0.3">
      <c r="A7584" s="3">
        <f t="shared" si="1169"/>
        <v>46035</v>
      </c>
      <c r="B7584" s="11" t="s">
        <v>8066</v>
      </c>
      <c r="C7584" t="s">
        <v>9180</v>
      </c>
      <c r="D7584" s="153"/>
      <c r="E7584" s="90" t="s">
        <v>4720</v>
      </c>
      <c r="H7584" s="2">
        <v>2000</v>
      </c>
      <c r="I7584" s="88">
        <f t="shared" si="1177"/>
        <v>24445.929999999993</v>
      </c>
      <c r="K7584" s="62"/>
      <c r="L7584" s="2">
        <f t="shared" si="1172"/>
        <v>8</v>
      </c>
      <c r="M7584">
        <f t="shared" si="1173"/>
        <v>0</v>
      </c>
    </row>
    <row r="7585" spans="1:13" x14ac:dyDescent="0.3">
      <c r="A7585" s="3">
        <f t="shared" si="1169"/>
        <v>46035</v>
      </c>
      <c r="B7585" s="11" t="s">
        <v>10042</v>
      </c>
      <c r="C7585" t="s">
        <v>10043</v>
      </c>
      <c r="D7585" s="153"/>
      <c r="E7585" s="90" t="s">
        <v>4720</v>
      </c>
      <c r="H7585" s="2">
        <v>2000</v>
      </c>
      <c r="I7585" s="88">
        <f t="shared" si="1177"/>
        <v>22445.929999999993</v>
      </c>
      <c r="K7585" s="62"/>
      <c r="L7585" s="2">
        <f t="shared" si="1172"/>
        <v>8</v>
      </c>
      <c r="M7585">
        <f t="shared" si="1173"/>
        <v>0</v>
      </c>
    </row>
    <row r="7586" spans="1:13" x14ac:dyDescent="0.3">
      <c r="A7586" s="3">
        <f t="shared" si="1169"/>
        <v>46035</v>
      </c>
      <c r="B7586" s="11" t="s">
        <v>9396</v>
      </c>
      <c r="C7586" t="s">
        <v>10009</v>
      </c>
      <c r="D7586" s="153"/>
      <c r="E7586" s="90" t="s">
        <v>4720</v>
      </c>
      <c r="G7586" s="2">
        <v>3000</v>
      </c>
      <c r="I7586" s="88">
        <f t="shared" ref="I7586:I7595" si="1178">I7585+G7586-H7586</f>
        <v>25445.929999999993</v>
      </c>
      <c r="K7586" s="62"/>
      <c r="L7586" s="2">
        <f t="shared" si="1172"/>
        <v>12</v>
      </c>
      <c r="M7586">
        <f t="shared" si="1173"/>
        <v>0</v>
      </c>
    </row>
    <row r="7587" spans="1:13" x14ac:dyDescent="0.3">
      <c r="A7587" s="3">
        <f t="shared" si="1169"/>
        <v>46035</v>
      </c>
      <c r="B7587" s="11" t="s">
        <v>1160</v>
      </c>
      <c r="C7587" t="s">
        <v>9478</v>
      </c>
      <c r="D7587" s="153"/>
      <c r="E7587" s="90" t="s">
        <v>4720</v>
      </c>
      <c r="G7587" s="2">
        <v>1500</v>
      </c>
      <c r="I7587" s="88">
        <f t="shared" si="1178"/>
        <v>26945.929999999993</v>
      </c>
      <c r="K7587" s="62"/>
      <c r="L7587" s="2">
        <f t="shared" si="1172"/>
        <v>6</v>
      </c>
      <c r="M7587">
        <f t="shared" si="1173"/>
        <v>0</v>
      </c>
    </row>
    <row r="7588" spans="1:13" x14ac:dyDescent="0.3">
      <c r="A7588" s="3">
        <f t="shared" ref="A7588:A7651" si="1179">A7587</f>
        <v>46035</v>
      </c>
      <c r="B7588" s="11" t="s">
        <v>1160</v>
      </c>
      <c r="C7588" t="s">
        <v>9477</v>
      </c>
      <c r="D7588" s="153"/>
      <c r="E7588" s="90" t="s">
        <v>4720</v>
      </c>
      <c r="G7588" s="2">
        <v>2000</v>
      </c>
      <c r="I7588" s="88">
        <f t="shared" si="1178"/>
        <v>28945.929999999993</v>
      </c>
      <c r="K7588" s="62"/>
      <c r="L7588" s="2">
        <f t="shared" si="1172"/>
        <v>8</v>
      </c>
      <c r="M7588">
        <f t="shared" si="1173"/>
        <v>0</v>
      </c>
    </row>
    <row r="7589" spans="1:13" x14ac:dyDescent="0.3">
      <c r="A7589" s="3">
        <f t="shared" si="1179"/>
        <v>46035</v>
      </c>
      <c r="B7589" s="11" t="s">
        <v>7834</v>
      </c>
      <c r="C7589" t="s">
        <v>7835</v>
      </c>
      <c r="D7589" s="153"/>
      <c r="E7589" s="90" t="s">
        <v>4720</v>
      </c>
      <c r="G7589" s="2">
        <v>2900</v>
      </c>
      <c r="I7589" s="88">
        <f t="shared" si="1178"/>
        <v>31845.929999999993</v>
      </c>
      <c r="K7589" s="62"/>
      <c r="L7589" s="2">
        <f t="shared" si="1172"/>
        <v>11.6</v>
      </c>
      <c r="M7589">
        <f t="shared" si="1173"/>
        <v>0</v>
      </c>
    </row>
    <row r="7590" spans="1:13" x14ac:dyDescent="0.3">
      <c r="A7590" s="3">
        <f t="shared" si="1179"/>
        <v>46035</v>
      </c>
      <c r="B7590" s="11" t="s">
        <v>9540</v>
      </c>
      <c r="C7590" t="s">
        <v>9541</v>
      </c>
      <c r="D7590" s="153"/>
      <c r="E7590" s="90" t="s">
        <v>2088</v>
      </c>
      <c r="H7590" s="2">
        <v>700</v>
      </c>
      <c r="I7590" s="88">
        <f t="shared" si="1178"/>
        <v>31145.929999999993</v>
      </c>
      <c r="K7590" s="62"/>
      <c r="L7590" s="2">
        <f t="shared" si="1172"/>
        <v>7.8000000000000007</v>
      </c>
      <c r="M7590">
        <f t="shared" si="1173"/>
        <v>5</v>
      </c>
    </row>
    <row r="7591" spans="1:13" x14ac:dyDescent="0.3">
      <c r="A7591" s="3">
        <f t="shared" si="1179"/>
        <v>46035</v>
      </c>
      <c r="B7591" s="11" t="s">
        <v>1160</v>
      </c>
      <c r="C7591" t="s">
        <v>10044</v>
      </c>
      <c r="D7591" s="153"/>
      <c r="E7591" s="90" t="s">
        <v>4720</v>
      </c>
      <c r="G7591" s="2">
        <v>2500</v>
      </c>
      <c r="I7591" s="88">
        <f t="shared" si="1178"/>
        <v>33645.929999999993</v>
      </c>
      <c r="K7591" s="62"/>
      <c r="L7591" s="2">
        <f t="shared" si="1172"/>
        <v>10</v>
      </c>
      <c r="M7591">
        <f t="shared" si="1173"/>
        <v>0</v>
      </c>
    </row>
    <row r="7592" spans="1:13" x14ac:dyDescent="0.3">
      <c r="A7592" s="3">
        <f t="shared" si="1179"/>
        <v>46035</v>
      </c>
      <c r="B7592" s="11" t="s">
        <v>9393</v>
      </c>
      <c r="C7592" t="s">
        <v>10045</v>
      </c>
      <c r="D7592" s="153"/>
      <c r="E7592" s="90" t="s">
        <v>2088</v>
      </c>
      <c r="G7592" s="2">
        <v>1650</v>
      </c>
      <c r="I7592" s="88">
        <f t="shared" si="1178"/>
        <v>35295.929999999993</v>
      </c>
      <c r="K7592" s="62"/>
      <c r="L7592" s="2">
        <f t="shared" si="1172"/>
        <v>11.600000000000001</v>
      </c>
      <c r="M7592">
        <f t="shared" si="1173"/>
        <v>5</v>
      </c>
    </row>
    <row r="7593" spans="1:13" x14ac:dyDescent="0.3">
      <c r="A7593" s="3">
        <f t="shared" si="1179"/>
        <v>46035</v>
      </c>
      <c r="B7593" s="11" t="s">
        <v>5042</v>
      </c>
      <c r="C7593" t="s">
        <v>6176</v>
      </c>
      <c r="D7593" s="153"/>
      <c r="E7593" s="90" t="s">
        <v>4720</v>
      </c>
      <c r="G7593" s="2">
        <v>1000</v>
      </c>
      <c r="I7593" s="88">
        <f t="shared" si="1178"/>
        <v>36295.929999999993</v>
      </c>
      <c r="K7593" s="62"/>
      <c r="L7593" s="2">
        <f t="shared" si="1172"/>
        <v>4</v>
      </c>
      <c r="M7593">
        <f t="shared" si="1173"/>
        <v>0</v>
      </c>
    </row>
    <row r="7594" spans="1:13" x14ac:dyDescent="0.3">
      <c r="A7594" s="3">
        <v>46036</v>
      </c>
      <c r="B7594" s="11" t="s">
        <v>8052</v>
      </c>
      <c r="C7594" t="s">
        <v>4867</v>
      </c>
      <c r="D7594" s="153"/>
      <c r="E7594" s="90" t="s">
        <v>2088</v>
      </c>
      <c r="G7594" s="2">
        <v>1000</v>
      </c>
      <c r="I7594" s="88">
        <f t="shared" si="1178"/>
        <v>37295.929999999993</v>
      </c>
      <c r="K7594" s="62"/>
      <c r="L7594" s="2">
        <f t="shared" si="1172"/>
        <v>9</v>
      </c>
      <c r="M7594">
        <f t="shared" si="1173"/>
        <v>5</v>
      </c>
    </row>
    <row r="7595" spans="1:13" x14ac:dyDescent="0.3">
      <c r="A7595" s="3">
        <f t="shared" si="1179"/>
        <v>46036</v>
      </c>
      <c r="B7595" s="11" t="s">
        <v>7757</v>
      </c>
      <c r="C7595" t="s">
        <v>8650</v>
      </c>
      <c r="D7595" s="153"/>
      <c r="E7595" s="90" t="s">
        <v>4720</v>
      </c>
      <c r="H7595" s="2">
        <v>5000</v>
      </c>
      <c r="I7595" s="88">
        <f t="shared" si="1178"/>
        <v>32295.929999999993</v>
      </c>
      <c r="K7595" s="62"/>
      <c r="L7595" s="2">
        <f t="shared" si="1172"/>
        <v>20</v>
      </c>
      <c r="M7595">
        <f t="shared" si="1173"/>
        <v>0</v>
      </c>
    </row>
    <row r="7596" spans="1:13" x14ac:dyDescent="0.3">
      <c r="A7596" s="3">
        <f t="shared" si="1179"/>
        <v>46036</v>
      </c>
      <c r="B7596" s="11" t="s">
        <v>10025</v>
      </c>
      <c r="C7596" t="s">
        <v>7833</v>
      </c>
      <c r="D7596" s="153"/>
      <c r="E7596" s="90" t="s">
        <v>4720</v>
      </c>
      <c r="G7596" s="2">
        <v>3000</v>
      </c>
      <c r="I7596" s="88">
        <f t="shared" ref="I7596:I7606" si="1180">I7595+G7596-H7596</f>
        <v>35295.929999999993</v>
      </c>
      <c r="K7596" s="62"/>
      <c r="L7596" s="2">
        <f t="shared" si="1172"/>
        <v>12</v>
      </c>
      <c r="M7596">
        <f t="shared" si="1173"/>
        <v>0</v>
      </c>
    </row>
    <row r="7597" spans="1:13" x14ac:dyDescent="0.3">
      <c r="A7597" s="3">
        <f t="shared" si="1179"/>
        <v>46036</v>
      </c>
      <c r="B7597" s="11" t="s">
        <v>3915</v>
      </c>
      <c r="C7597" t="s">
        <v>7874</v>
      </c>
      <c r="D7597" s="153"/>
      <c r="E7597" s="90" t="s">
        <v>4720</v>
      </c>
      <c r="G7597" s="2">
        <v>2500</v>
      </c>
      <c r="I7597" s="88">
        <f t="shared" si="1180"/>
        <v>37795.929999999993</v>
      </c>
      <c r="K7597" s="62"/>
      <c r="L7597" s="2">
        <f t="shared" si="1172"/>
        <v>10</v>
      </c>
      <c r="M7597">
        <f t="shared" si="1173"/>
        <v>0</v>
      </c>
    </row>
    <row r="7598" spans="1:13" x14ac:dyDescent="0.3">
      <c r="A7598" s="3">
        <f t="shared" si="1179"/>
        <v>46036</v>
      </c>
      <c r="B7598" s="11" t="s">
        <v>1250</v>
      </c>
      <c r="C7598" t="s">
        <v>8862</v>
      </c>
      <c r="D7598" s="153"/>
      <c r="E7598" s="90" t="s">
        <v>4720</v>
      </c>
      <c r="G7598" s="2">
        <v>1100</v>
      </c>
      <c r="I7598" s="88">
        <f t="shared" si="1180"/>
        <v>38895.929999999993</v>
      </c>
      <c r="K7598" s="62"/>
      <c r="L7598" s="2">
        <f t="shared" si="1172"/>
        <v>4.4000000000000004</v>
      </c>
      <c r="M7598">
        <f t="shared" si="1173"/>
        <v>0</v>
      </c>
    </row>
    <row r="7599" spans="1:13" x14ac:dyDescent="0.3">
      <c r="A7599" s="3">
        <f t="shared" si="1179"/>
        <v>46036</v>
      </c>
      <c r="B7599" s="11" t="s">
        <v>1250</v>
      </c>
      <c r="C7599" t="s">
        <v>7037</v>
      </c>
      <c r="D7599" s="153"/>
      <c r="E7599" s="90" t="s">
        <v>4720</v>
      </c>
      <c r="G7599" s="2">
        <v>3000</v>
      </c>
      <c r="I7599" s="88">
        <f t="shared" si="1180"/>
        <v>41895.929999999993</v>
      </c>
      <c r="J7599">
        <v>45094.04</v>
      </c>
      <c r="K7599" s="62">
        <f>J7599-I7599</f>
        <v>3198.1100000000079</v>
      </c>
      <c r="L7599" s="2">
        <f t="shared" si="1172"/>
        <v>12</v>
      </c>
      <c r="M7599">
        <f t="shared" si="1173"/>
        <v>0</v>
      </c>
    </row>
    <row r="7600" spans="1:13" x14ac:dyDescent="0.3">
      <c r="A7600" s="3">
        <v>46037</v>
      </c>
      <c r="B7600" s="11" t="s">
        <v>2241</v>
      </c>
      <c r="C7600"/>
      <c r="D7600" s="153"/>
      <c r="E7600" s="90" t="s">
        <v>4720</v>
      </c>
      <c r="G7600" s="2">
        <v>5000</v>
      </c>
      <c r="I7600" s="88">
        <f t="shared" si="1180"/>
        <v>46895.929999999993</v>
      </c>
      <c r="K7600" s="62"/>
      <c r="L7600" s="2">
        <f t="shared" si="1172"/>
        <v>20</v>
      </c>
      <c r="M7600">
        <f t="shared" si="1173"/>
        <v>0</v>
      </c>
    </row>
    <row r="7601" spans="1:13" x14ac:dyDescent="0.3">
      <c r="A7601" s="3">
        <f t="shared" si="1179"/>
        <v>46037</v>
      </c>
      <c r="B7601" s="11" t="s">
        <v>1160</v>
      </c>
      <c r="C7601"/>
      <c r="D7601" s="153"/>
      <c r="E7601" s="90" t="s">
        <v>4720</v>
      </c>
      <c r="G7601" s="2">
        <v>1500</v>
      </c>
      <c r="I7601" s="88">
        <f t="shared" si="1180"/>
        <v>48395.929999999993</v>
      </c>
      <c r="K7601" s="62"/>
      <c r="L7601" s="2">
        <f t="shared" ref="L7601:L7611" si="1181">IF(E7601="C",0,IF((G7601+H7601)&lt;=5000,(G7601+H7601)*0.004,20)+IF(E7601="P",5,IF(E7601="Y",15,IF(E7601="YY",25))))</f>
        <v>6</v>
      </c>
      <c r="M7601">
        <f t="shared" ref="M7601:M7611" si="1182">IF(E7601="p",5,0)</f>
        <v>0</v>
      </c>
    </row>
    <row r="7602" spans="1:13" x14ac:dyDescent="0.3">
      <c r="A7602" s="3">
        <f t="shared" si="1179"/>
        <v>46037</v>
      </c>
      <c r="C7602" t="s">
        <v>8860</v>
      </c>
      <c r="D7602" s="153"/>
      <c r="E7602" s="90" t="s">
        <v>8332</v>
      </c>
      <c r="G7602" s="2">
        <v>3198.11</v>
      </c>
      <c r="H7602" s="2">
        <v>50000</v>
      </c>
      <c r="I7602" s="88">
        <f t="shared" si="1180"/>
        <v>1594.0399999999936</v>
      </c>
      <c r="K7602" s="62"/>
      <c r="L7602" s="2">
        <f t="shared" si="1181"/>
        <v>0</v>
      </c>
      <c r="M7602">
        <f t="shared" si="1182"/>
        <v>0</v>
      </c>
    </row>
    <row r="7603" spans="1:13" x14ac:dyDescent="0.3">
      <c r="A7603" s="3">
        <f t="shared" si="1179"/>
        <v>46037</v>
      </c>
      <c r="B7603" s="11" t="s">
        <v>6701</v>
      </c>
      <c r="C7603" t="s">
        <v>6702</v>
      </c>
      <c r="D7603" s="153"/>
      <c r="E7603" s="90" t="s">
        <v>4720</v>
      </c>
      <c r="G7603" s="2">
        <v>1500</v>
      </c>
      <c r="I7603" s="88">
        <f t="shared" si="1180"/>
        <v>3094.0399999999936</v>
      </c>
      <c r="J7603" s="62"/>
      <c r="K7603" s="62"/>
      <c r="L7603" s="2">
        <f t="shared" si="1181"/>
        <v>6</v>
      </c>
      <c r="M7603">
        <f t="shared" si="1182"/>
        <v>0</v>
      </c>
    </row>
    <row r="7604" spans="1:13" x14ac:dyDescent="0.3">
      <c r="A7604" s="3">
        <f t="shared" si="1179"/>
        <v>46037</v>
      </c>
      <c r="C7604" t="s">
        <v>2887</v>
      </c>
      <c r="D7604" s="153"/>
      <c r="E7604" s="90" t="s">
        <v>4720</v>
      </c>
      <c r="G7604" s="2">
        <v>5000</v>
      </c>
      <c r="I7604" s="88">
        <f t="shared" si="1180"/>
        <v>8094.0399999999936</v>
      </c>
      <c r="K7604" s="62"/>
      <c r="L7604" s="2">
        <f t="shared" si="1181"/>
        <v>20</v>
      </c>
      <c r="M7604">
        <f t="shared" si="1182"/>
        <v>0</v>
      </c>
    </row>
    <row r="7605" spans="1:13" x14ac:dyDescent="0.3">
      <c r="A7605" s="3">
        <f t="shared" si="1179"/>
        <v>46037</v>
      </c>
      <c r="B7605" s="11" t="s">
        <v>3415</v>
      </c>
      <c r="C7605" t="s">
        <v>10047</v>
      </c>
      <c r="D7605" s="153" t="s">
        <v>10046</v>
      </c>
      <c r="E7605" s="90" t="s">
        <v>4720</v>
      </c>
      <c r="H7605" s="2">
        <v>4000</v>
      </c>
      <c r="I7605" s="88">
        <f t="shared" si="1180"/>
        <v>4094.0399999999936</v>
      </c>
      <c r="K7605" s="62"/>
      <c r="L7605" s="2">
        <f t="shared" si="1181"/>
        <v>16</v>
      </c>
      <c r="M7605">
        <f t="shared" si="1182"/>
        <v>0</v>
      </c>
    </row>
    <row r="7606" spans="1:13" x14ac:dyDescent="0.3">
      <c r="A7606" s="3">
        <f t="shared" si="1179"/>
        <v>46037</v>
      </c>
      <c r="B7606" s="11" t="s">
        <v>7289</v>
      </c>
      <c r="C7606" t="s">
        <v>8759</v>
      </c>
      <c r="D7606" s="153"/>
      <c r="E7606" s="90" t="s">
        <v>7772</v>
      </c>
      <c r="G7606" s="2">
        <v>0</v>
      </c>
      <c r="I7606" s="88">
        <f t="shared" si="1180"/>
        <v>4094.0399999999936</v>
      </c>
      <c r="K7606" s="62"/>
      <c r="L7606" s="2">
        <f t="shared" si="1181"/>
        <v>5</v>
      </c>
      <c r="M7606">
        <f t="shared" si="1182"/>
        <v>5</v>
      </c>
    </row>
    <row r="7607" spans="1:13" x14ac:dyDescent="0.3">
      <c r="A7607" s="3">
        <f t="shared" si="1179"/>
        <v>46037</v>
      </c>
      <c r="B7607" s="11" t="s">
        <v>7289</v>
      </c>
      <c r="C7607" t="s">
        <v>8759</v>
      </c>
      <c r="D7607" s="153"/>
      <c r="E7607" s="90" t="s">
        <v>7772</v>
      </c>
      <c r="G7607" s="2">
        <v>3000</v>
      </c>
      <c r="I7607" s="88">
        <f t="shared" ref="I7607:I7611" si="1183">I7606+G7607-H7607</f>
        <v>7094.0399999999936</v>
      </c>
      <c r="K7607" s="62"/>
      <c r="L7607" s="2">
        <f t="shared" si="1181"/>
        <v>17</v>
      </c>
      <c r="M7607">
        <f t="shared" si="1182"/>
        <v>5</v>
      </c>
    </row>
    <row r="7608" spans="1:13" x14ac:dyDescent="0.3">
      <c r="A7608" s="3">
        <f t="shared" si="1179"/>
        <v>46037</v>
      </c>
      <c r="B7608" s="11" t="s">
        <v>3232</v>
      </c>
      <c r="C7608" t="s">
        <v>9375</v>
      </c>
      <c r="D7608" s="153"/>
      <c r="E7608" s="90" t="s">
        <v>4720</v>
      </c>
      <c r="G7608" s="2">
        <v>3000</v>
      </c>
      <c r="I7608" s="88">
        <f t="shared" si="1183"/>
        <v>10094.039999999994</v>
      </c>
      <c r="K7608" s="62"/>
      <c r="L7608" s="2">
        <f t="shared" si="1181"/>
        <v>12</v>
      </c>
      <c r="M7608">
        <f t="shared" si="1182"/>
        <v>0</v>
      </c>
    </row>
    <row r="7609" spans="1:13" x14ac:dyDescent="0.3">
      <c r="A7609" s="3">
        <f t="shared" si="1179"/>
        <v>46037</v>
      </c>
      <c r="B7609" s="11" t="s">
        <v>9474</v>
      </c>
      <c r="C7609" t="s">
        <v>9475</v>
      </c>
      <c r="D7609" s="153"/>
      <c r="E7609" s="90" t="s">
        <v>4720</v>
      </c>
      <c r="H7609" s="2">
        <v>9000</v>
      </c>
      <c r="I7609" s="88">
        <f t="shared" si="1183"/>
        <v>1094.0399999999936</v>
      </c>
      <c r="K7609" s="62"/>
      <c r="L7609" s="2">
        <f t="shared" si="1181"/>
        <v>20</v>
      </c>
      <c r="M7609">
        <f t="shared" si="1182"/>
        <v>0</v>
      </c>
    </row>
    <row r="7610" spans="1:13" x14ac:dyDescent="0.3">
      <c r="A7610" s="3">
        <f t="shared" si="1179"/>
        <v>46037</v>
      </c>
      <c r="B7610" s="11" t="s">
        <v>3069</v>
      </c>
      <c r="C7610" t="s">
        <v>6636</v>
      </c>
      <c r="D7610" s="153"/>
      <c r="E7610" s="90" t="s">
        <v>4720</v>
      </c>
      <c r="G7610" s="2">
        <v>2000</v>
      </c>
      <c r="I7610" s="88">
        <f t="shared" si="1183"/>
        <v>3094.0399999999936</v>
      </c>
      <c r="K7610" s="62"/>
      <c r="L7610" s="2">
        <f t="shared" si="1181"/>
        <v>8</v>
      </c>
      <c r="M7610">
        <f t="shared" si="1182"/>
        <v>0</v>
      </c>
    </row>
    <row r="7611" spans="1:13" x14ac:dyDescent="0.3">
      <c r="A7611" s="3">
        <f t="shared" si="1179"/>
        <v>46037</v>
      </c>
      <c r="B7611" s="11" t="s">
        <v>1250</v>
      </c>
      <c r="C7611" t="s">
        <v>8862</v>
      </c>
      <c r="D7611" s="153"/>
      <c r="E7611" s="90" t="s">
        <v>4720</v>
      </c>
      <c r="G7611" s="2">
        <v>600</v>
      </c>
      <c r="I7611" s="88">
        <f t="shared" si="1183"/>
        <v>3694.0399999999936</v>
      </c>
      <c r="K7611" s="62"/>
      <c r="L7611" s="2">
        <f t="shared" si="1181"/>
        <v>2.4</v>
      </c>
      <c r="M7611">
        <f t="shared" si="1182"/>
        <v>0</v>
      </c>
    </row>
    <row r="7612" spans="1:13" x14ac:dyDescent="0.3">
      <c r="A7612" s="3">
        <f t="shared" si="1179"/>
        <v>46037</v>
      </c>
      <c r="B7612" s="11" t="s">
        <v>6369</v>
      </c>
      <c r="C7612" t="s">
        <v>9982</v>
      </c>
      <c r="D7612" s="153"/>
      <c r="E7612" s="90" t="s">
        <v>2088</v>
      </c>
      <c r="G7612" s="2">
        <v>10000</v>
      </c>
      <c r="I7612" s="88">
        <f t="shared" ref="I7612:I7623" si="1184">I7611+G7612-H7612</f>
        <v>13694.039999999994</v>
      </c>
      <c r="K7612" s="62"/>
      <c r="L7612" s="2">
        <f t="shared" ref="L7612:L7623" si="1185">IF(E7612="C",0,IF((G7612+H7612)&lt;=5000,(G7612+H7612)*0.004,20)+IF(E7612="P",5,IF(E7612="Y",15,IF(E7612="YY",25))))</f>
        <v>25</v>
      </c>
      <c r="M7612">
        <f t="shared" ref="M7612:M7623" si="1186">IF(E7612="p",5,0)</f>
        <v>5</v>
      </c>
    </row>
    <row r="7613" spans="1:13" x14ac:dyDescent="0.3">
      <c r="A7613" s="3">
        <f t="shared" si="1179"/>
        <v>46037</v>
      </c>
      <c r="B7613" s="11" t="s">
        <v>1250</v>
      </c>
      <c r="C7613" t="s">
        <v>6985</v>
      </c>
      <c r="D7613" s="153"/>
      <c r="E7613" s="90" t="s">
        <v>4720</v>
      </c>
      <c r="G7613" s="2">
        <v>3000</v>
      </c>
      <c r="I7613" s="88">
        <f t="shared" si="1184"/>
        <v>16694.039999999994</v>
      </c>
      <c r="K7613" s="62"/>
      <c r="L7613" s="2">
        <f t="shared" si="1185"/>
        <v>12</v>
      </c>
      <c r="M7613">
        <f t="shared" si="1186"/>
        <v>0</v>
      </c>
    </row>
    <row r="7614" spans="1:13" x14ac:dyDescent="0.3">
      <c r="A7614" s="3">
        <f t="shared" si="1179"/>
        <v>46037</v>
      </c>
      <c r="B7614" s="11" t="s">
        <v>1160</v>
      </c>
      <c r="C7614" t="s">
        <v>8748</v>
      </c>
      <c r="D7614" s="153"/>
      <c r="E7614" s="90" t="s">
        <v>4720</v>
      </c>
      <c r="G7614" s="2">
        <v>300</v>
      </c>
      <c r="I7614" s="88">
        <f t="shared" si="1184"/>
        <v>16994.039999999994</v>
      </c>
      <c r="K7614" s="62"/>
      <c r="L7614" s="2">
        <f t="shared" si="1185"/>
        <v>1.2</v>
      </c>
      <c r="M7614">
        <f t="shared" si="1186"/>
        <v>0</v>
      </c>
    </row>
    <row r="7615" spans="1:13" x14ac:dyDescent="0.3">
      <c r="A7615" s="3">
        <f t="shared" si="1179"/>
        <v>46037</v>
      </c>
      <c r="B7615" s="11" t="s">
        <v>9381</v>
      </c>
      <c r="C7615" t="s">
        <v>9510</v>
      </c>
      <c r="D7615" s="153"/>
      <c r="E7615" s="90" t="s">
        <v>2088</v>
      </c>
      <c r="G7615" s="2">
        <v>5500</v>
      </c>
      <c r="I7615" s="88">
        <f t="shared" si="1184"/>
        <v>22494.039999999994</v>
      </c>
      <c r="K7615" s="62"/>
      <c r="L7615" s="2">
        <f t="shared" si="1185"/>
        <v>25</v>
      </c>
      <c r="M7615">
        <f t="shared" si="1186"/>
        <v>5</v>
      </c>
    </row>
    <row r="7616" spans="1:13" x14ac:dyDescent="0.3">
      <c r="A7616" s="3">
        <f t="shared" si="1179"/>
        <v>46037</v>
      </c>
      <c r="B7616" s="11" t="s">
        <v>10015</v>
      </c>
      <c r="C7616" s="7" t="s">
        <v>10016</v>
      </c>
      <c r="D7616" s="153"/>
      <c r="E7616" s="90" t="s">
        <v>2088</v>
      </c>
      <c r="G7616" s="2">
        <v>0</v>
      </c>
      <c r="H7616" s="2">
        <v>0</v>
      </c>
      <c r="I7616" s="88">
        <f t="shared" si="1184"/>
        <v>22494.039999999994</v>
      </c>
      <c r="K7616" s="62"/>
      <c r="L7616" s="2">
        <f t="shared" si="1185"/>
        <v>5</v>
      </c>
      <c r="M7616">
        <f t="shared" si="1186"/>
        <v>5</v>
      </c>
    </row>
    <row r="7617" spans="1:13" x14ac:dyDescent="0.3">
      <c r="A7617" s="3">
        <v>46038</v>
      </c>
      <c r="B7617" s="11" t="s">
        <v>8895</v>
      </c>
      <c r="C7617" t="s">
        <v>8896</v>
      </c>
      <c r="D7617" s="153"/>
      <c r="E7617" s="90" t="s">
        <v>2088</v>
      </c>
      <c r="G7617" s="2">
        <v>0</v>
      </c>
      <c r="H7617" s="2">
        <v>0</v>
      </c>
      <c r="I7617" s="88">
        <f t="shared" si="1184"/>
        <v>22494.039999999994</v>
      </c>
      <c r="K7617" s="62"/>
      <c r="L7617" s="2">
        <f t="shared" si="1185"/>
        <v>5</v>
      </c>
      <c r="M7617">
        <f t="shared" si="1186"/>
        <v>5</v>
      </c>
    </row>
    <row r="7618" spans="1:13" x14ac:dyDescent="0.3">
      <c r="A7618" s="3">
        <f t="shared" si="1179"/>
        <v>46038</v>
      </c>
      <c r="B7618" s="11" t="s">
        <v>8895</v>
      </c>
      <c r="C7618" t="s">
        <v>8896</v>
      </c>
      <c r="D7618" s="153"/>
      <c r="E7618" s="90" t="s">
        <v>2088</v>
      </c>
      <c r="G7618" s="2">
        <v>2500</v>
      </c>
      <c r="I7618" s="88">
        <f t="shared" si="1184"/>
        <v>24994.039999999994</v>
      </c>
      <c r="K7618" s="62"/>
      <c r="L7618" s="2">
        <f t="shared" si="1185"/>
        <v>15</v>
      </c>
      <c r="M7618">
        <f t="shared" si="1186"/>
        <v>5</v>
      </c>
    </row>
    <row r="7619" spans="1:13" x14ac:dyDescent="0.3">
      <c r="A7619" s="3">
        <f t="shared" si="1179"/>
        <v>46038</v>
      </c>
      <c r="B7619" s="11" t="s">
        <v>7186</v>
      </c>
      <c r="C7619" t="s">
        <v>7187</v>
      </c>
      <c r="D7619" s="153"/>
      <c r="E7619" s="90" t="s">
        <v>4720</v>
      </c>
      <c r="G7619" s="2">
        <v>4000</v>
      </c>
      <c r="I7619" s="88">
        <f t="shared" si="1184"/>
        <v>28994.039999999994</v>
      </c>
      <c r="K7619" s="62"/>
      <c r="L7619" s="2">
        <f t="shared" si="1185"/>
        <v>16</v>
      </c>
      <c r="M7619">
        <f t="shared" si="1186"/>
        <v>0</v>
      </c>
    </row>
    <row r="7620" spans="1:13" x14ac:dyDescent="0.3">
      <c r="A7620" s="3">
        <f t="shared" si="1179"/>
        <v>46038</v>
      </c>
      <c r="B7620" s="11" t="s">
        <v>7275</v>
      </c>
      <c r="C7620" t="s">
        <v>489</v>
      </c>
      <c r="D7620" s="153"/>
      <c r="E7620" s="90" t="s">
        <v>4720</v>
      </c>
      <c r="G7620" s="2">
        <v>2500</v>
      </c>
      <c r="I7620" s="88">
        <f t="shared" si="1184"/>
        <v>31494.039999999994</v>
      </c>
      <c r="K7620" s="62"/>
      <c r="L7620" s="2">
        <f t="shared" si="1185"/>
        <v>10</v>
      </c>
      <c r="M7620">
        <f t="shared" si="1186"/>
        <v>0</v>
      </c>
    </row>
    <row r="7621" spans="1:13" x14ac:dyDescent="0.3">
      <c r="A7621" s="3">
        <f t="shared" si="1179"/>
        <v>46038</v>
      </c>
      <c r="B7621" s="11" t="s">
        <v>7005</v>
      </c>
      <c r="C7621" t="s">
        <v>7004</v>
      </c>
      <c r="D7621" s="153"/>
      <c r="E7621" s="90" t="s">
        <v>4720</v>
      </c>
      <c r="G7621" s="2">
        <v>3000</v>
      </c>
      <c r="I7621" s="88">
        <f t="shared" si="1184"/>
        <v>34494.039999999994</v>
      </c>
      <c r="K7621" s="62"/>
      <c r="L7621" s="2">
        <f t="shared" si="1185"/>
        <v>12</v>
      </c>
      <c r="M7621">
        <f t="shared" si="1186"/>
        <v>0</v>
      </c>
    </row>
    <row r="7622" spans="1:13" x14ac:dyDescent="0.3">
      <c r="A7622" s="3">
        <f t="shared" si="1179"/>
        <v>46038</v>
      </c>
      <c r="B7622" s="11" t="s">
        <v>7547</v>
      </c>
      <c r="C7622" t="s">
        <v>6685</v>
      </c>
      <c r="D7622" s="153"/>
      <c r="E7622" s="90" t="s">
        <v>4720</v>
      </c>
      <c r="G7622" s="2">
        <v>2900</v>
      </c>
      <c r="I7622" s="88">
        <f t="shared" si="1184"/>
        <v>37394.039999999994</v>
      </c>
      <c r="K7622" s="62"/>
      <c r="L7622" s="2">
        <f t="shared" si="1185"/>
        <v>11.6</v>
      </c>
      <c r="M7622">
        <f t="shared" si="1186"/>
        <v>0</v>
      </c>
    </row>
    <row r="7623" spans="1:13" x14ac:dyDescent="0.3">
      <c r="A7623" s="3">
        <f t="shared" si="1179"/>
        <v>46038</v>
      </c>
      <c r="B7623" s="11" t="s">
        <v>3849</v>
      </c>
      <c r="C7623" t="s">
        <v>10028</v>
      </c>
      <c r="D7623" s="153"/>
      <c r="E7623" s="90" t="s">
        <v>4720</v>
      </c>
      <c r="H7623" s="2">
        <v>10000</v>
      </c>
      <c r="I7623" s="88">
        <f t="shared" si="1184"/>
        <v>27394.039999999994</v>
      </c>
      <c r="K7623" s="62"/>
      <c r="L7623" s="2">
        <f t="shared" si="1185"/>
        <v>20</v>
      </c>
      <c r="M7623">
        <f t="shared" si="1186"/>
        <v>0</v>
      </c>
    </row>
    <row r="7624" spans="1:13" x14ac:dyDescent="0.3">
      <c r="A7624" s="3">
        <f t="shared" si="1179"/>
        <v>46038</v>
      </c>
      <c r="B7624" s="11" t="s">
        <v>10052</v>
      </c>
      <c r="C7624" t="s">
        <v>10053</v>
      </c>
      <c r="D7624" s="153"/>
      <c r="E7624" s="90" t="s">
        <v>14</v>
      </c>
      <c r="H7624" s="2">
        <v>500</v>
      </c>
      <c r="I7624" s="88">
        <f t="shared" ref="I7624:I7661" si="1187">I7623+G7624-H7624</f>
        <v>26894.039999999994</v>
      </c>
      <c r="K7624" s="62"/>
      <c r="L7624" s="2">
        <f t="shared" ref="L7624:L7630" si="1188">IF(E7624="C",0,IF((G7624+H7624)&lt;=5000,(G7624+H7624)*0.004,20)+IF(E7624="P",5,IF(E7624="Y",15,IF(E7624="YY",25))))</f>
        <v>17</v>
      </c>
      <c r="M7624">
        <f t="shared" ref="M7624:M7630" si="1189">IF(E7624="p",5,0)</f>
        <v>0</v>
      </c>
    </row>
    <row r="7625" spans="1:13" x14ac:dyDescent="0.3">
      <c r="A7625" s="3">
        <f t="shared" si="1179"/>
        <v>46038</v>
      </c>
      <c r="B7625" s="11" t="s">
        <v>7886</v>
      </c>
      <c r="C7625" t="s">
        <v>8879</v>
      </c>
      <c r="D7625" s="153"/>
      <c r="E7625" s="90" t="s">
        <v>2088</v>
      </c>
      <c r="G7625" s="2">
        <v>0</v>
      </c>
      <c r="H7625" s="2">
        <v>0</v>
      </c>
      <c r="I7625" s="88">
        <f t="shared" si="1187"/>
        <v>26894.039999999994</v>
      </c>
      <c r="K7625" s="62"/>
      <c r="L7625" s="2">
        <f t="shared" si="1188"/>
        <v>5</v>
      </c>
      <c r="M7625">
        <f t="shared" si="1189"/>
        <v>5</v>
      </c>
    </row>
    <row r="7626" spans="1:13" x14ac:dyDescent="0.3">
      <c r="A7626" s="3">
        <f t="shared" si="1179"/>
        <v>46038</v>
      </c>
      <c r="B7626" s="11" t="s">
        <v>1472</v>
      </c>
      <c r="C7626" t="s">
        <v>10054</v>
      </c>
      <c r="D7626" s="153"/>
      <c r="E7626" s="90" t="s">
        <v>4720</v>
      </c>
      <c r="G7626" s="2">
        <v>6000</v>
      </c>
      <c r="I7626" s="88">
        <f t="shared" si="1187"/>
        <v>32894.039999999994</v>
      </c>
      <c r="K7626" s="62"/>
      <c r="L7626" s="2">
        <f t="shared" si="1188"/>
        <v>20</v>
      </c>
      <c r="M7626">
        <f t="shared" si="1189"/>
        <v>0</v>
      </c>
    </row>
    <row r="7627" spans="1:13" x14ac:dyDescent="0.3">
      <c r="A7627" s="3">
        <f t="shared" si="1179"/>
        <v>46038</v>
      </c>
      <c r="B7627" s="11" t="s">
        <v>8436</v>
      </c>
      <c r="C7627" t="s">
        <v>6985</v>
      </c>
      <c r="D7627" s="153"/>
      <c r="E7627" s="90" t="s">
        <v>4720</v>
      </c>
      <c r="H7627" s="2">
        <v>15000</v>
      </c>
      <c r="I7627" s="88">
        <f t="shared" si="1187"/>
        <v>17894.039999999994</v>
      </c>
      <c r="K7627" s="62"/>
      <c r="L7627" s="2">
        <f t="shared" si="1188"/>
        <v>20</v>
      </c>
      <c r="M7627">
        <f t="shared" si="1189"/>
        <v>0</v>
      </c>
    </row>
    <row r="7628" spans="1:13" x14ac:dyDescent="0.3">
      <c r="A7628" s="3">
        <f t="shared" si="1179"/>
        <v>46038</v>
      </c>
      <c r="B7628" s="11" t="s">
        <v>2351</v>
      </c>
      <c r="C7628" t="s">
        <v>10055</v>
      </c>
      <c r="D7628" s="153"/>
      <c r="E7628" s="90" t="s">
        <v>4720</v>
      </c>
      <c r="G7628" s="2">
        <v>2000</v>
      </c>
      <c r="I7628" s="88">
        <f t="shared" si="1187"/>
        <v>19894.039999999994</v>
      </c>
      <c r="K7628" s="62"/>
      <c r="L7628" s="2">
        <f t="shared" si="1188"/>
        <v>8</v>
      </c>
      <c r="M7628">
        <f t="shared" si="1189"/>
        <v>0</v>
      </c>
    </row>
    <row r="7629" spans="1:13" x14ac:dyDescent="0.3">
      <c r="A7629" s="3">
        <f t="shared" si="1179"/>
        <v>46038</v>
      </c>
      <c r="B7629" s="11" t="s">
        <v>8436</v>
      </c>
      <c r="C7629" t="s">
        <v>6985</v>
      </c>
      <c r="D7629" s="153"/>
      <c r="E7629" s="90" t="s">
        <v>2088</v>
      </c>
      <c r="G7629" s="2">
        <v>0</v>
      </c>
      <c r="H7629" s="2">
        <v>0</v>
      </c>
      <c r="I7629" s="88">
        <f t="shared" si="1187"/>
        <v>19894.039999999994</v>
      </c>
      <c r="K7629" s="62"/>
      <c r="L7629" s="2">
        <f t="shared" si="1188"/>
        <v>5</v>
      </c>
      <c r="M7629">
        <f t="shared" si="1189"/>
        <v>5</v>
      </c>
    </row>
    <row r="7630" spans="1:13" x14ac:dyDescent="0.3">
      <c r="A7630" s="3">
        <f t="shared" si="1179"/>
        <v>46038</v>
      </c>
      <c r="B7630" s="11" t="s">
        <v>6260</v>
      </c>
      <c r="C7630" t="s">
        <v>7117</v>
      </c>
      <c r="D7630" s="153"/>
      <c r="E7630" s="90" t="s">
        <v>4720</v>
      </c>
      <c r="H7630" s="2">
        <v>5000</v>
      </c>
      <c r="I7630" s="88">
        <f t="shared" si="1187"/>
        <v>14894.039999999994</v>
      </c>
      <c r="K7630" s="62"/>
      <c r="L7630" s="2">
        <f t="shared" si="1188"/>
        <v>20</v>
      </c>
      <c r="M7630">
        <f t="shared" si="1189"/>
        <v>0</v>
      </c>
    </row>
    <row r="7631" spans="1:13" x14ac:dyDescent="0.3">
      <c r="A7631" s="3">
        <f t="shared" si="1179"/>
        <v>46038</v>
      </c>
      <c r="B7631" s="11" t="s">
        <v>7649</v>
      </c>
      <c r="C7631" t="s">
        <v>8378</v>
      </c>
      <c r="D7631" s="153"/>
      <c r="E7631" s="90" t="s">
        <v>4720</v>
      </c>
      <c r="H7631" s="2">
        <v>3000</v>
      </c>
      <c r="I7631" s="88">
        <f t="shared" si="1187"/>
        <v>11894.039999999994</v>
      </c>
      <c r="K7631" s="62"/>
      <c r="L7631" s="2">
        <f t="shared" ref="L7631:L7641" si="1190">IF(E7631="C",0,IF((G7631+H7631)&lt;=5000,(G7631+H7631)*0.004,20)+IF(E7631="P",5,IF(E7631="Y",15,IF(E7631="YY",25))))</f>
        <v>12</v>
      </c>
      <c r="M7631">
        <f t="shared" ref="M7631:M7641" si="1191">IF(E7631="p",5,0)</f>
        <v>0</v>
      </c>
    </row>
    <row r="7632" spans="1:13" x14ac:dyDescent="0.3">
      <c r="A7632" s="3">
        <f t="shared" si="1179"/>
        <v>46038</v>
      </c>
      <c r="B7632" s="11" t="s">
        <v>3420</v>
      </c>
      <c r="C7632" t="s">
        <v>9095</v>
      </c>
      <c r="D7632" s="153"/>
      <c r="E7632" s="90" t="s">
        <v>2088</v>
      </c>
      <c r="G7632" s="2">
        <v>0</v>
      </c>
      <c r="H7632" s="2">
        <v>0</v>
      </c>
      <c r="I7632" s="88">
        <f t="shared" si="1187"/>
        <v>11894.039999999994</v>
      </c>
      <c r="K7632" s="62"/>
      <c r="L7632" s="2">
        <f t="shared" si="1190"/>
        <v>5</v>
      </c>
      <c r="M7632">
        <f t="shared" si="1191"/>
        <v>5</v>
      </c>
    </row>
    <row r="7633" spans="1:13" x14ac:dyDescent="0.3">
      <c r="A7633" s="3">
        <f t="shared" si="1179"/>
        <v>46038</v>
      </c>
      <c r="B7633" s="11" t="s">
        <v>7108</v>
      </c>
      <c r="C7633" t="s">
        <v>8848</v>
      </c>
      <c r="D7633" s="153"/>
      <c r="E7633" s="90" t="s">
        <v>2088</v>
      </c>
      <c r="G7633" s="2">
        <v>0</v>
      </c>
      <c r="I7633" s="88">
        <f t="shared" si="1187"/>
        <v>11894.039999999994</v>
      </c>
      <c r="K7633" s="62"/>
      <c r="L7633" s="2">
        <f t="shared" si="1190"/>
        <v>5</v>
      </c>
      <c r="M7633">
        <f t="shared" si="1191"/>
        <v>5</v>
      </c>
    </row>
    <row r="7634" spans="1:13" x14ac:dyDescent="0.3">
      <c r="A7634" s="3">
        <f t="shared" si="1179"/>
        <v>46038</v>
      </c>
      <c r="B7634" s="11" t="s">
        <v>10056</v>
      </c>
      <c r="C7634" t="s">
        <v>10057</v>
      </c>
      <c r="D7634" s="153"/>
      <c r="E7634" s="90" t="s">
        <v>4720</v>
      </c>
      <c r="H7634" s="2">
        <v>10000</v>
      </c>
      <c r="I7634" s="88">
        <f t="shared" si="1187"/>
        <v>1894.0399999999936</v>
      </c>
      <c r="K7634" s="62"/>
      <c r="L7634" s="2">
        <f t="shared" si="1190"/>
        <v>20</v>
      </c>
      <c r="M7634">
        <f t="shared" si="1191"/>
        <v>0</v>
      </c>
    </row>
    <row r="7635" spans="1:13" x14ac:dyDescent="0.3">
      <c r="A7635" s="3">
        <v>46039</v>
      </c>
      <c r="B7635" s="11" t="s">
        <v>7852</v>
      </c>
      <c r="C7635" t="s">
        <v>8750</v>
      </c>
      <c r="D7635" s="153"/>
      <c r="E7635" s="90" t="s">
        <v>4720</v>
      </c>
      <c r="G7635" s="2">
        <v>1000</v>
      </c>
      <c r="I7635" s="88">
        <f t="shared" si="1187"/>
        <v>2894.0399999999936</v>
      </c>
      <c r="K7635" s="62"/>
      <c r="L7635" s="2">
        <f t="shared" si="1190"/>
        <v>4</v>
      </c>
      <c r="M7635">
        <f t="shared" si="1191"/>
        <v>0</v>
      </c>
    </row>
    <row r="7636" spans="1:13" x14ac:dyDescent="0.3">
      <c r="A7636" s="3">
        <f t="shared" si="1179"/>
        <v>46039</v>
      </c>
      <c r="B7636" s="11" t="s">
        <v>7859</v>
      </c>
      <c r="C7636" t="s">
        <v>8483</v>
      </c>
      <c r="D7636" s="153"/>
      <c r="E7636" s="90" t="s">
        <v>2088</v>
      </c>
      <c r="G7636" s="2">
        <v>2500</v>
      </c>
      <c r="I7636" s="88">
        <f t="shared" si="1187"/>
        <v>5394.0399999999936</v>
      </c>
      <c r="K7636" s="62"/>
      <c r="L7636" s="2">
        <f t="shared" si="1190"/>
        <v>15</v>
      </c>
      <c r="M7636">
        <f t="shared" si="1191"/>
        <v>5</v>
      </c>
    </row>
    <row r="7637" spans="1:13" x14ac:dyDescent="0.3">
      <c r="A7637" s="3">
        <f t="shared" si="1179"/>
        <v>46039</v>
      </c>
      <c r="B7637" s="11" t="s">
        <v>1250</v>
      </c>
      <c r="C7637" t="s">
        <v>9405</v>
      </c>
      <c r="D7637" s="153"/>
      <c r="E7637" s="90" t="s">
        <v>4720</v>
      </c>
      <c r="G7637" s="2">
        <v>2000</v>
      </c>
      <c r="I7637" s="88">
        <f t="shared" si="1187"/>
        <v>7394.0399999999936</v>
      </c>
      <c r="K7637" s="62"/>
      <c r="L7637" s="2">
        <f t="shared" si="1190"/>
        <v>8</v>
      </c>
      <c r="M7637">
        <f t="shared" si="1191"/>
        <v>0</v>
      </c>
    </row>
    <row r="7638" spans="1:13" x14ac:dyDescent="0.3">
      <c r="A7638" s="3">
        <v>46040</v>
      </c>
      <c r="B7638" s="11" t="s">
        <v>1250</v>
      </c>
      <c r="C7638" t="s">
        <v>7372</v>
      </c>
      <c r="D7638" s="153"/>
      <c r="E7638" s="90" t="s">
        <v>4720</v>
      </c>
      <c r="G7638" s="2">
        <v>6000</v>
      </c>
      <c r="I7638" s="88">
        <f t="shared" si="1187"/>
        <v>13394.039999999994</v>
      </c>
      <c r="K7638" s="62"/>
      <c r="L7638" s="2">
        <f t="shared" si="1190"/>
        <v>20</v>
      </c>
      <c r="M7638">
        <f t="shared" si="1191"/>
        <v>0</v>
      </c>
    </row>
    <row r="7639" spans="1:13" x14ac:dyDescent="0.3">
      <c r="A7639" s="3">
        <f t="shared" si="1179"/>
        <v>46040</v>
      </c>
      <c r="B7639" s="11" t="s">
        <v>1170</v>
      </c>
      <c r="C7639" t="s">
        <v>7773</v>
      </c>
      <c r="D7639" s="153"/>
      <c r="E7639" s="90" t="s">
        <v>4720</v>
      </c>
      <c r="G7639" s="2">
        <v>3000</v>
      </c>
      <c r="I7639" s="88">
        <f t="shared" si="1187"/>
        <v>16394.039999999994</v>
      </c>
      <c r="K7639" s="62"/>
      <c r="L7639" s="2">
        <f t="shared" si="1190"/>
        <v>12</v>
      </c>
      <c r="M7639">
        <f t="shared" si="1191"/>
        <v>0</v>
      </c>
    </row>
    <row r="7640" spans="1:13" x14ac:dyDescent="0.3">
      <c r="A7640" s="3">
        <f t="shared" si="1179"/>
        <v>46040</v>
      </c>
      <c r="B7640" s="11" t="s">
        <v>1472</v>
      </c>
      <c r="C7640" t="s">
        <v>3844</v>
      </c>
      <c r="D7640" s="153"/>
      <c r="E7640" s="90" t="s">
        <v>4720</v>
      </c>
      <c r="G7640" s="2">
        <v>1500</v>
      </c>
      <c r="I7640" s="88">
        <f t="shared" si="1187"/>
        <v>17894.039999999994</v>
      </c>
      <c r="J7640">
        <v>16940</v>
      </c>
      <c r="K7640" s="62">
        <f>I7640-J7640</f>
        <v>954.0399999999936</v>
      </c>
      <c r="L7640" s="2">
        <f t="shared" si="1190"/>
        <v>6</v>
      </c>
      <c r="M7640">
        <f t="shared" si="1191"/>
        <v>0</v>
      </c>
    </row>
    <row r="7641" spans="1:13" x14ac:dyDescent="0.3">
      <c r="A7641" s="3">
        <f t="shared" si="1179"/>
        <v>46040</v>
      </c>
      <c r="B7641" s="11" t="s">
        <v>1250</v>
      </c>
      <c r="C7641" t="s">
        <v>6043</v>
      </c>
      <c r="D7641" s="153"/>
      <c r="E7641" s="90" t="s">
        <v>4720</v>
      </c>
      <c r="G7641" s="2">
        <v>9000</v>
      </c>
      <c r="I7641" s="88">
        <f t="shared" si="1187"/>
        <v>26894.039999999994</v>
      </c>
      <c r="K7641" s="62"/>
      <c r="L7641" s="2">
        <f t="shared" si="1190"/>
        <v>20</v>
      </c>
      <c r="M7641">
        <f t="shared" si="1191"/>
        <v>0</v>
      </c>
    </row>
    <row r="7642" spans="1:13" x14ac:dyDescent="0.3">
      <c r="A7642" s="3">
        <f t="shared" si="1179"/>
        <v>46040</v>
      </c>
      <c r="B7642" s="11" t="s">
        <v>1250</v>
      </c>
      <c r="C7642" t="s">
        <v>8378</v>
      </c>
      <c r="D7642" s="153"/>
      <c r="E7642" s="90" t="s">
        <v>2088</v>
      </c>
      <c r="H7642" s="2">
        <v>19000</v>
      </c>
      <c r="I7642" s="88">
        <f t="shared" si="1187"/>
        <v>7894.0399999999936</v>
      </c>
      <c r="K7642" s="62"/>
      <c r="L7642" s="2">
        <f t="shared" ref="L7642:L7661" si="1192">IF(E7642="C",0,IF((G7642+H7642)&lt;=5000,(G7642+H7642)*0.004,20)+IF(E7642="P",5,IF(E7642="Y",15,IF(E7642="YY",25))))</f>
        <v>25</v>
      </c>
      <c r="M7642">
        <f t="shared" ref="M7642:M7661" si="1193">IF(E7642="p",5,0)</f>
        <v>5</v>
      </c>
    </row>
    <row r="7643" spans="1:13" x14ac:dyDescent="0.3">
      <c r="A7643" s="3">
        <f t="shared" si="1179"/>
        <v>46040</v>
      </c>
      <c r="B7643" s="11" t="s">
        <v>10062</v>
      </c>
      <c r="C7643" t="s">
        <v>7248</v>
      </c>
      <c r="D7643" s="153"/>
      <c r="E7643" s="90" t="s">
        <v>2088</v>
      </c>
      <c r="I7643" s="88">
        <f t="shared" si="1187"/>
        <v>7894.0399999999936</v>
      </c>
      <c r="K7643" s="62"/>
      <c r="L7643" s="2">
        <f t="shared" si="1192"/>
        <v>5</v>
      </c>
      <c r="M7643">
        <f t="shared" si="1193"/>
        <v>5</v>
      </c>
    </row>
    <row r="7644" spans="1:13" x14ac:dyDescent="0.3">
      <c r="A7644" s="3">
        <f t="shared" si="1179"/>
        <v>46040</v>
      </c>
      <c r="B7644" s="11" t="s">
        <v>10062</v>
      </c>
      <c r="C7644" t="s">
        <v>7248</v>
      </c>
      <c r="D7644" s="153"/>
      <c r="E7644" s="90" t="s">
        <v>2088</v>
      </c>
      <c r="G7644" s="2">
        <v>0</v>
      </c>
      <c r="H7644" s="2">
        <v>0</v>
      </c>
      <c r="I7644" s="88">
        <f t="shared" si="1187"/>
        <v>7894.0399999999936</v>
      </c>
      <c r="K7644" s="62"/>
      <c r="L7644" s="2">
        <f t="shared" si="1192"/>
        <v>5</v>
      </c>
      <c r="M7644">
        <f t="shared" si="1193"/>
        <v>5</v>
      </c>
    </row>
    <row r="7645" spans="1:13" x14ac:dyDescent="0.3">
      <c r="A7645" s="3">
        <f t="shared" si="1179"/>
        <v>46040</v>
      </c>
      <c r="B7645" s="11" t="s">
        <v>6676</v>
      </c>
      <c r="C7645" t="s">
        <v>6677</v>
      </c>
      <c r="D7645" s="153"/>
      <c r="E7645" s="90" t="s">
        <v>4720</v>
      </c>
      <c r="H7645" s="2">
        <v>2000</v>
      </c>
      <c r="I7645" s="88">
        <f t="shared" si="1187"/>
        <v>5894.0399999999936</v>
      </c>
      <c r="K7645" s="62"/>
      <c r="L7645" s="2">
        <f t="shared" si="1192"/>
        <v>8</v>
      </c>
      <c r="M7645">
        <f t="shared" si="1193"/>
        <v>0</v>
      </c>
    </row>
    <row r="7646" spans="1:13" x14ac:dyDescent="0.3">
      <c r="A7646" s="3">
        <f t="shared" si="1179"/>
        <v>46040</v>
      </c>
      <c r="B7646" s="11" t="s">
        <v>2351</v>
      </c>
      <c r="C7646" t="s">
        <v>9722</v>
      </c>
      <c r="D7646" s="153"/>
      <c r="E7646" s="90" t="s">
        <v>4720</v>
      </c>
      <c r="G7646" s="2">
        <v>1000</v>
      </c>
      <c r="I7646" s="88">
        <f t="shared" si="1187"/>
        <v>6894.0399999999936</v>
      </c>
      <c r="K7646" s="62"/>
      <c r="L7646" s="2">
        <f t="shared" si="1192"/>
        <v>4</v>
      </c>
      <c r="M7646">
        <f t="shared" si="1193"/>
        <v>0</v>
      </c>
    </row>
    <row r="7647" spans="1:13" x14ac:dyDescent="0.3">
      <c r="A7647" s="3">
        <f t="shared" si="1179"/>
        <v>46040</v>
      </c>
      <c r="B7647" s="11" t="s">
        <v>5042</v>
      </c>
      <c r="C7647" t="s">
        <v>6176</v>
      </c>
      <c r="D7647" s="153"/>
      <c r="E7647" s="90" t="s">
        <v>4720</v>
      </c>
      <c r="G7647" s="2">
        <v>4500</v>
      </c>
      <c r="I7647" s="88">
        <f t="shared" si="1187"/>
        <v>11394.039999999994</v>
      </c>
      <c r="K7647" s="62"/>
      <c r="L7647" s="2">
        <f t="shared" si="1192"/>
        <v>18</v>
      </c>
      <c r="M7647">
        <f t="shared" si="1193"/>
        <v>0</v>
      </c>
    </row>
    <row r="7648" spans="1:13" x14ac:dyDescent="0.3">
      <c r="A7648" s="3">
        <f t="shared" si="1179"/>
        <v>46040</v>
      </c>
      <c r="B7648" s="11" t="s">
        <v>8597</v>
      </c>
      <c r="C7648" t="s">
        <v>9995</v>
      </c>
      <c r="D7648" s="153"/>
      <c r="E7648" s="90" t="s">
        <v>4720</v>
      </c>
      <c r="H7648" s="2">
        <v>6000</v>
      </c>
      <c r="I7648" s="88">
        <f t="shared" si="1187"/>
        <v>5394.0399999999936</v>
      </c>
      <c r="K7648" s="62"/>
      <c r="L7648" s="2">
        <f t="shared" si="1192"/>
        <v>20</v>
      </c>
      <c r="M7648">
        <f t="shared" si="1193"/>
        <v>0</v>
      </c>
    </row>
    <row r="7649" spans="1:13" x14ac:dyDescent="0.3">
      <c r="A7649" s="3">
        <f t="shared" si="1179"/>
        <v>46040</v>
      </c>
      <c r="B7649" s="11" t="s">
        <v>8674</v>
      </c>
      <c r="C7649" t="s">
        <v>8675</v>
      </c>
      <c r="D7649" s="153"/>
      <c r="E7649" s="90" t="s">
        <v>4720</v>
      </c>
      <c r="G7649" s="2">
        <v>10000</v>
      </c>
      <c r="I7649" s="88">
        <f t="shared" si="1187"/>
        <v>15394.039999999994</v>
      </c>
      <c r="K7649" s="62"/>
      <c r="L7649" s="2">
        <f t="shared" si="1192"/>
        <v>20</v>
      </c>
      <c r="M7649">
        <f t="shared" si="1193"/>
        <v>0</v>
      </c>
    </row>
    <row r="7650" spans="1:13" x14ac:dyDescent="0.3">
      <c r="A7650" s="3">
        <f t="shared" si="1179"/>
        <v>46040</v>
      </c>
      <c r="B7650" s="11" t="s">
        <v>1472</v>
      </c>
      <c r="C7650" t="s">
        <v>10064</v>
      </c>
      <c r="D7650" s="153"/>
      <c r="E7650" s="90" t="s">
        <v>4720</v>
      </c>
      <c r="G7650" s="2">
        <v>1500</v>
      </c>
      <c r="H7650" s="166"/>
      <c r="I7650" s="88">
        <f t="shared" si="1187"/>
        <v>16894.039999999994</v>
      </c>
      <c r="K7650" s="62"/>
      <c r="L7650" s="2">
        <f t="shared" si="1192"/>
        <v>6</v>
      </c>
      <c r="M7650">
        <f t="shared" si="1193"/>
        <v>0</v>
      </c>
    </row>
    <row r="7651" spans="1:13" x14ac:dyDescent="0.3">
      <c r="A7651" s="3">
        <f t="shared" si="1179"/>
        <v>46040</v>
      </c>
      <c r="B7651" s="11" t="s">
        <v>1160</v>
      </c>
      <c r="C7651" t="s">
        <v>8603</v>
      </c>
      <c r="D7651" s="153"/>
      <c r="E7651" s="90" t="s">
        <v>4720</v>
      </c>
      <c r="G7651" s="2">
        <v>5000</v>
      </c>
      <c r="H7651" s="166"/>
      <c r="I7651" s="88">
        <f t="shared" si="1187"/>
        <v>21894.039999999994</v>
      </c>
      <c r="K7651" s="62"/>
      <c r="L7651" s="2">
        <f t="shared" si="1192"/>
        <v>20</v>
      </c>
      <c r="M7651">
        <f t="shared" si="1193"/>
        <v>0</v>
      </c>
    </row>
    <row r="7652" spans="1:13" x14ac:dyDescent="0.3">
      <c r="A7652" s="3">
        <f t="shared" ref="A7652:A7715" si="1194">A7651</f>
        <v>46040</v>
      </c>
      <c r="B7652" s="11" t="s">
        <v>1170</v>
      </c>
      <c r="C7652" t="s">
        <v>10065</v>
      </c>
      <c r="D7652" s="153"/>
      <c r="E7652" s="90" t="s">
        <v>4720</v>
      </c>
      <c r="G7652" s="2">
        <v>2000</v>
      </c>
      <c r="H7652" s="166"/>
      <c r="I7652" s="88">
        <f t="shared" si="1187"/>
        <v>23894.039999999994</v>
      </c>
      <c r="K7652" s="62"/>
      <c r="L7652" s="2">
        <f t="shared" si="1192"/>
        <v>8</v>
      </c>
      <c r="M7652">
        <f t="shared" si="1193"/>
        <v>0</v>
      </c>
    </row>
    <row r="7653" spans="1:13" x14ac:dyDescent="0.3">
      <c r="A7653" s="3">
        <v>46042</v>
      </c>
      <c r="B7653" s="11" t="s">
        <v>2528</v>
      </c>
      <c r="C7653" t="s">
        <v>4207</v>
      </c>
      <c r="D7653" s="153"/>
      <c r="E7653" s="90" t="s">
        <v>2088</v>
      </c>
      <c r="G7653" s="2">
        <v>3000</v>
      </c>
      <c r="H7653" s="166"/>
      <c r="I7653" s="88">
        <f t="shared" si="1187"/>
        <v>26894.039999999994</v>
      </c>
      <c r="K7653" s="62"/>
      <c r="L7653" s="2">
        <f t="shared" si="1192"/>
        <v>17</v>
      </c>
      <c r="M7653">
        <f t="shared" si="1193"/>
        <v>5</v>
      </c>
    </row>
    <row r="7654" spans="1:13" x14ac:dyDescent="0.3">
      <c r="A7654" s="3">
        <f t="shared" si="1194"/>
        <v>46042</v>
      </c>
      <c r="C7654" t="s">
        <v>29</v>
      </c>
      <c r="D7654" s="153"/>
      <c r="E7654" s="90" t="s">
        <v>2088</v>
      </c>
      <c r="G7654" s="2">
        <v>0</v>
      </c>
      <c r="H7654" s="166">
        <v>0</v>
      </c>
      <c r="I7654" s="88">
        <f t="shared" si="1187"/>
        <v>26894.039999999994</v>
      </c>
      <c r="K7654" s="62"/>
      <c r="L7654" s="2">
        <f t="shared" si="1192"/>
        <v>5</v>
      </c>
      <c r="M7654">
        <f t="shared" si="1193"/>
        <v>5</v>
      </c>
    </row>
    <row r="7655" spans="1:13" x14ac:dyDescent="0.3">
      <c r="A7655" s="3">
        <f t="shared" si="1194"/>
        <v>46042</v>
      </c>
      <c r="B7655" s="11" t="s">
        <v>9776</v>
      </c>
      <c r="C7655" t="s">
        <v>29</v>
      </c>
      <c r="D7655" s="153"/>
      <c r="E7655" s="90" t="s">
        <v>2088</v>
      </c>
      <c r="G7655" s="2">
        <v>0</v>
      </c>
      <c r="H7655" s="166">
        <v>0</v>
      </c>
      <c r="I7655" s="88">
        <f t="shared" si="1187"/>
        <v>26894.039999999994</v>
      </c>
      <c r="K7655" s="62"/>
      <c r="L7655" s="2">
        <f t="shared" si="1192"/>
        <v>5</v>
      </c>
      <c r="M7655">
        <f t="shared" si="1193"/>
        <v>5</v>
      </c>
    </row>
    <row r="7656" spans="1:13" x14ac:dyDescent="0.3">
      <c r="A7656" s="3">
        <f t="shared" si="1194"/>
        <v>46042</v>
      </c>
      <c r="B7656" s="11" t="s">
        <v>10066</v>
      </c>
      <c r="C7656" s="7" t="s">
        <v>10067</v>
      </c>
      <c r="D7656" s="153"/>
      <c r="E7656" s="90" t="s">
        <v>16</v>
      </c>
      <c r="H7656" s="166">
        <v>1000</v>
      </c>
      <c r="I7656" s="88">
        <f t="shared" si="1187"/>
        <v>25894.039999999994</v>
      </c>
      <c r="K7656" s="62"/>
      <c r="L7656" s="2">
        <f t="shared" si="1192"/>
        <v>19</v>
      </c>
      <c r="M7656">
        <f t="shared" si="1193"/>
        <v>0</v>
      </c>
    </row>
    <row r="7657" spans="1:13" x14ac:dyDescent="0.3">
      <c r="A7657" s="3">
        <f t="shared" si="1194"/>
        <v>46042</v>
      </c>
      <c r="B7657" s="11" t="s">
        <v>5076</v>
      </c>
      <c r="C7657" t="s">
        <v>10068</v>
      </c>
      <c r="D7657" s="153"/>
      <c r="E7657" s="90" t="s">
        <v>2088</v>
      </c>
      <c r="G7657" s="2">
        <v>0</v>
      </c>
      <c r="H7657" s="166">
        <v>0</v>
      </c>
      <c r="I7657" s="88">
        <f t="shared" si="1187"/>
        <v>25894.039999999994</v>
      </c>
      <c r="K7657" s="62"/>
      <c r="L7657" s="2">
        <f t="shared" si="1192"/>
        <v>5</v>
      </c>
      <c r="M7657">
        <f t="shared" si="1193"/>
        <v>5</v>
      </c>
    </row>
    <row r="7658" spans="1:13" x14ac:dyDescent="0.3">
      <c r="A7658" s="3">
        <f t="shared" si="1194"/>
        <v>46042</v>
      </c>
      <c r="B7658" s="11" t="s">
        <v>2634</v>
      </c>
      <c r="C7658" t="s">
        <v>9994</v>
      </c>
      <c r="D7658" s="153"/>
      <c r="E7658" s="90" t="s">
        <v>4720</v>
      </c>
      <c r="H7658" s="166">
        <v>3000</v>
      </c>
      <c r="I7658" s="88">
        <f t="shared" si="1187"/>
        <v>22894.039999999994</v>
      </c>
      <c r="J7658">
        <v>21940</v>
      </c>
      <c r="K7658" s="62"/>
      <c r="L7658" s="2">
        <f t="shared" si="1192"/>
        <v>12</v>
      </c>
      <c r="M7658">
        <f t="shared" si="1193"/>
        <v>0</v>
      </c>
    </row>
    <row r="7659" spans="1:13" x14ac:dyDescent="0.3">
      <c r="A7659" s="3">
        <f t="shared" si="1194"/>
        <v>46042</v>
      </c>
      <c r="B7659" s="11" t="s">
        <v>8436</v>
      </c>
      <c r="C7659" t="s">
        <v>6985</v>
      </c>
      <c r="D7659" s="153"/>
      <c r="E7659" s="90" t="s">
        <v>4720</v>
      </c>
      <c r="H7659" s="166"/>
      <c r="I7659" s="88">
        <f t="shared" si="1187"/>
        <v>22894.039999999994</v>
      </c>
      <c r="K7659" s="62"/>
      <c r="L7659" s="2">
        <f t="shared" si="1192"/>
        <v>0</v>
      </c>
      <c r="M7659">
        <f t="shared" si="1193"/>
        <v>0</v>
      </c>
    </row>
    <row r="7660" spans="1:13" x14ac:dyDescent="0.3">
      <c r="A7660" s="3">
        <f t="shared" si="1194"/>
        <v>46042</v>
      </c>
      <c r="B7660" s="11" t="s">
        <v>7800</v>
      </c>
      <c r="C7660" t="s">
        <v>6424</v>
      </c>
      <c r="D7660" s="153"/>
      <c r="E7660" s="90" t="s">
        <v>2088</v>
      </c>
      <c r="H7660" s="166"/>
      <c r="I7660" s="88">
        <f t="shared" si="1187"/>
        <v>22894.039999999994</v>
      </c>
      <c r="K7660" s="62"/>
      <c r="L7660" s="2">
        <f t="shared" si="1192"/>
        <v>5</v>
      </c>
      <c r="M7660">
        <f t="shared" si="1193"/>
        <v>5</v>
      </c>
    </row>
    <row r="7661" spans="1:13" x14ac:dyDescent="0.3">
      <c r="A7661" s="3">
        <f t="shared" si="1194"/>
        <v>46042</v>
      </c>
      <c r="B7661" s="11" t="s">
        <v>7800</v>
      </c>
      <c r="C7661" t="s">
        <v>6424</v>
      </c>
      <c r="D7661" s="153"/>
      <c r="E7661" s="90" t="s">
        <v>2088</v>
      </c>
      <c r="G7661" s="2">
        <v>2000</v>
      </c>
      <c r="H7661" s="166"/>
      <c r="I7661" s="88">
        <f t="shared" si="1187"/>
        <v>24894.039999999994</v>
      </c>
      <c r="K7661" s="62"/>
      <c r="L7661" s="2">
        <f t="shared" si="1192"/>
        <v>13</v>
      </c>
      <c r="M7661">
        <f t="shared" si="1193"/>
        <v>5</v>
      </c>
    </row>
    <row r="7662" spans="1:13" x14ac:dyDescent="0.3">
      <c r="A7662" s="3">
        <f t="shared" si="1194"/>
        <v>46042</v>
      </c>
      <c r="B7662" s="11" t="s">
        <v>1250</v>
      </c>
      <c r="C7662" t="s">
        <v>8736</v>
      </c>
      <c r="D7662" s="153"/>
      <c r="E7662" s="90" t="s">
        <v>4720</v>
      </c>
      <c r="G7662" s="2">
        <v>4900</v>
      </c>
      <c r="H7662" s="166"/>
      <c r="I7662" s="88">
        <f t="shared" ref="I7662:I7680" si="1195">I7661+G7662-H7662</f>
        <v>29794.039999999994</v>
      </c>
      <c r="K7662" s="62"/>
      <c r="L7662" s="2">
        <f t="shared" ref="L7662:L7680" si="1196">IF(E7662="C",0,IF((G7662+H7662)&lt;=5000,(G7662+H7662)*0.004,20)+IF(E7662="P",5,IF(E7662="Y",15,IF(E7662="YY",25))))</f>
        <v>19.600000000000001</v>
      </c>
      <c r="M7662">
        <f t="shared" ref="M7662:M7680" si="1197">IF(E7662="p",5,0)</f>
        <v>0</v>
      </c>
    </row>
    <row r="7663" spans="1:13" x14ac:dyDescent="0.3">
      <c r="A7663" s="3">
        <f t="shared" si="1194"/>
        <v>46042</v>
      </c>
      <c r="B7663" s="11" t="s">
        <v>2448</v>
      </c>
      <c r="C7663" t="s">
        <v>2274</v>
      </c>
      <c r="D7663" s="153"/>
      <c r="E7663" s="90" t="s">
        <v>4720</v>
      </c>
      <c r="H7663" s="166">
        <v>3500</v>
      </c>
      <c r="I7663" s="88">
        <f t="shared" si="1195"/>
        <v>26294.039999999994</v>
      </c>
      <c r="K7663" s="62"/>
      <c r="L7663" s="2">
        <f t="shared" si="1196"/>
        <v>14</v>
      </c>
      <c r="M7663">
        <f t="shared" si="1197"/>
        <v>0</v>
      </c>
    </row>
    <row r="7664" spans="1:13" x14ac:dyDescent="0.3">
      <c r="A7664" s="3">
        <f t="shared" si="1194"/>
        <v>46042</v>
      </c>
      <c r="B7664" s="11" t="s">
        <v>5955</v>
      </c>
      <c r="C7664" t="s">
        <v>9989</v>
      </c>
      <c r="D7664" s="153"/>
      <c r="E7664" s="90" t="s">
        <v>4720</v>
      </c>
      <c r="G7664" s="2">
        <v>500</v>
      </c>
      <c r="H7664" s="166"/>
      <c r="I7664" s="88">
        <f t="shared" si="1195"/>
        <v>26794.039999999994</v>
      </c>
      <c r="K7664" s="62"/>
      <c r="L7664" s="2">
        <f t="shared" si="1196"/>
        <v>2</v>
      </c>
      <c r="M7664">
        <f t="shared" si="1197"/>
        <v>0</v>
      </c>
    </row>
    <row r="7665" spans="1:13" x14ac:dyDescent="0.3">
      <c r="A7665" s="3">
        <f t="shared" si="1194"/>
        <v>46042</v>
      </c>
      <c r="B7665" s="11" t="s">
        <v>1472</v>
      </c>
      <c r="C7665" t="s">
        <v>10069</v>
      </c>
      <c r="D7665" s="153"/>
      <c r="E7665" s="90" t="s">
        <v>4720</v>
      </c>
      <c r="G7665" s="2">
        <v>2000</v>
      </c>
      <c r="H7665" s="166"/>
      <c r="I7665" s="88">
        <f t="shared" si="1195"/>
        <v>28794.039999999994</v>
      </c>
      <c r="K7665" s="62"/>
      <c r="L7665" s="2">
        <f t="shared" si="1196"/>
        <v>8</v>
      </c>
      <c r="M7665">
        <f t="shared" si="1197"/>
        <v>0</v>
      </c>
    </row>
    <row r="7666" spans="1:13" x14ac:dyDescent="0.3">
      <c r="A7666" s="3">
        <v>46043</v>
      </c>
      <c r="B7666" s="11" t="s">
        <v>6940</v>
      </c>
      <c r="C7666" t="s">
        <v>7470</v>
      </c>
      <c r="D7666" s="153"/>
      <c r="E7666" s="90" t="s">
        <v>4720</v>
      </c>
      <c r="G7666" s="2">
        <v>3000</v>
      </c>
      <c r="H7666" s="166"/>
      <c r="I7666" s="88">
        <f t="shared" si="1195"/>
        <v>31794.039999999994</v>
      </c>
      <c r="K7666" s="62"/>
      <c r="L7666" s="2">
        <f t="shared" si="1196"/>
        <v>12</v>
      </c>
      <c r="M7666">
        <f t="shared" si="1197"/>
        <v>0</v>
      </c>
    </row>
    <row r="7667" spans="1:13" x14ac:dyDescent="0.3">
      <c r="A7667" s="3">
        <f t="shared" si="1194"/>
        <v>46043</v>
      </c>
      <c r="B7667" s="11" t="s">
        <v>10070</v>
      </c>
      <c r="C7667" t="s">
        <v>10071</v>
      </c>
      <c r="D7667" s="153"/>
      <c r="E7667" s="90" t="s">
        <v>14</v>
      </c>
      <c r="H7667" s="166">
        <v>500</v>
      </c>
      <c r="I7667" s="88">
        <f t="shared" si="1195"/>
        <v>31294.039999999994</v>
      </c>
      <c r="K7667" s="62"/>
      <c r="L7667" s="2">
        <f t="shared" si="1196"/>
        <v>17</v>
      </c>
      <c r="M7667">
        <f t="shared" si="1197"/>
        <v>0</v>
      </c>
    </row>
    <row r="7668" spans="1:13" x14ac:dyDescent="0.3">
      <c r="A7668" s="3">
        <f t="shared" si="1194"/>
        <v>46043</v>
      </c>
      <c r="B7668" s="11" t="s">
        <v>3420</v>
      </c>
      <c r="C7668" t="s">
        <v>8602</v>
      </c>
      <c r="D7668" s="153"/>
      <c r="E7668" s="90" t="s">
        <v>4720</v>
      </c>
      <c r="H7668" s="166">
        <v>1000</v>
      </c>
      <c r="I7668" s="88">
        <f t="shared" si="1195"/>
        <v>30294.039999999994</v>
      </c>
      <c r="K7668" s="62"/>
      <c r="L7668" s="2">
        <f t="shared" si="1196"/>
        <v>4</v>
      </c>
      <c r="M7668">
        <f t="shared" si="1197"/>
        <v>0</v>
      </c>
    </row>
    <row r="7669" spans="1:13" x14ac:dyDescent="0.3">
      <c r="A7669" s="3">
        <f t="shared" si="1194"/>
        <v>46043</v>
      </c>
      <c r="B7669" s="11" t="s">
        <v>1472</v>
      </c>
      <c r="C7669" t="s">
        <v>10072</v>
      </c>
      <c r="D7669" s="153"/>
      <c r="E7669" s="90" t="s">
        <v>4720</v>
      </c>
      <c r="G7669" s="2">
        <v>850</v>
      </c>
      <c r="H7669" s="166"/>
      <c r="I7669" s="88">
        <f t="shared" si="1195"/>
        <v>31144.039999999994</v>
      </c>
      <c r="K7669" s="62"/>
      <c r="L7669" s="2">
        <f t="shared" si="1196"/>
        <v>3.4</v>
      </c>
      <c r="M7669">
        <f t="shared" si="1197"/>
        <v>0</v>
      </c>
    </row>
    <row r="7670" spans="1:13" x14ac:dyDescent="0.3">
      <c r="A7670" s="3">
        <f t="shared" si="1194"/>
        <v>46043</v>
      </c>
      <c r="B7670" s="11" t="s">
        <v>6864</v>
      </c>
      <c r="C7670" t="s">
        <v>6863</v>
      </c>
      <c r="D7670" s="153"/>
      <c r="E7670" s="90" t="s">
        <v>2088</v>
      </c>
      <c r="H7670" s="166"/>
      <c r="I7670" s="88">
        <f t="shared" si="1195"/>
        <v>31144.039999999994</v>
      </c>
      <c r="K7670" s="62"/>
      <c r="L7670" s="2">
        <f t="shared" si="1196"/>
        <v>5</v>
      </c>
      <c r="M7670">
        <f t="shared" si="1197"/>
        <v>5</v>
      </c>
    </row>
    <row r="7671" spans="1:13" x14ac:dyDescent="0.3">
      <c r="A7671" s="3">
        <f t="shared" si="1194"/>
        <v>46043</v>
      </c>
      <c r="B7671" s="11" t="s">
        <v>6864</v>
      </c>
      <c r="C7671" t="s">
        <v>6863</v>
      </c>
      <c r="D7671" s="153"/>
      <c r="E7671" s="90" t="s">
        <v>2088</v>
      </c>
      <c r="G7671" s="2">
        <v>3000</v>
      </c>
      <c r="H7671" s="166"/>
      <c r="I7671" s="88">
        <f t="shared" si="1195"/>
        <v>34144.039999999994</v>
      </c>
      <c r="K7671" s="62"/>
      <c r="L7671" s="2">
        <f t="shared" si="1196"/>
        <v>17</v>
      </c>
      <c r="M7671">
        <f t="shared" si="1197"/>
        <v>5</v>
      </c>
    </row>
    <row r="7672" spans="1:13" x14ac:dyDescent="0.3">
      <c r="A7672" s="3">
        <v>46044</v>
      </c>
      <c r="B7672" s="11" t="s">
        <v>3232</v>
      </c>
      <c r="C7672" t="s">
        <v>10073</v>
      </c>
      <c r="D7672" s="153"/>
      <c r="E7672" s="90" t="s">
        <v>4720</v>
      </c>
      <c r="G7672" s="2">
        <v>9000</v>
      </c>
      <c r="H7672" s="166"/>
      <c r="I7672" s="88">
        <f t="shared" si="1195"/>
        <v>43144.039999999994</v>
      </c>
      <c r="K7672" s="62"/>
      <c r="L7672" s="2">
        <f t="shared" si="1196"/>
        <v>20</v>
      </c>
      <c r="M7672">
        <f t="shared" si="1197"/>
        <v>0</v>
      </c>
    </row>
    <row r="7673" spans="1:13" x14ac:dyDescent="0.3">
      <c r="A7673" s="3">
        <f t="shared" si="1194"/>
        <v>46044</v>
      </c>
      <c r="B7673" s="11" t="s">
        <v>1160</v>
      </c>
      <c r="C7673" t="s">
        <v>8358</v>
      </c>
      <c r="D7673" s="153"/>
      <c r="E7673" s="90" t="s">
        <v>4720</v>
      </c>
      <c r="G7673" s="2">
        <v>2000</v>
      </c>
      <c r="H7673" s="166"/>
      <c r="I7673" s="88">
        <f t="shared" si="1195"/>
        <v>45144.039999999994</v>
      </c>
      <c r="K7673" s="62"/>
      <c r="L7673" s="2">
        <f t="shared" si="1196"/>
        <v>8</v>
      </c>
      <c r="M7673">
        <f t="shared" si="1197"/>
        <v>0</v>
      </c>
    </row>
    <row r="7674" spans="1:13" x14ac:dyDescent="0.3">
      <c r="A7674" s="3">
        <f t="shared" si="1194"/>
        <v>46044</v>
      </c>
      <c r="B7674" s="11" t="s">
        <v>10074</v>
      </c>
      <c r="C7674" t="s">
        <v>10075</v>
      </c>
      <c r="D7674" s="153"/>
      <c r="E7674" s="90" t="s">
        <v>2088</v>
      </c>
      <c r="G7674" s="2">
        <v>3000</v>
      </c>
      <c r="H7674" s="166"/>
      <c r="I7674" s="88">
        <f t="shared" si="1195"/>
        <v>48144.039999999994</v>
      </c>
      <c r="K7674" s="62"/>
      <c r="L7674" s="2">
        <f t="shared" si="1196"/>
        <v>17</v>
      </c>
      <c r="M7674">
        <f t="shared" si="1197"/>
        <v>5</v>
      </c>
    </row>
    <row r="7675" spans="1:13" x14ac:dyDescent="0.3">
      <c r="A7675" s="3">
        <f t="shared" si="1194"/>
        <v>46044</v>
      </c>
      <c r="B7675" s="11" t="s">
        <v>1250</v>
      </c>
      <c r="C7675" t="s">
        <v>6984</v>
      </c>
      <c r="D7675" s="153"/>
      <c r="E7675" s="90" t="s">
        <v>4720</v>
      </c>
      <c r="G7675" s="2">
        <v>500</v>
      </c>
      <c r="H7675" s="166"/>
      <c r="I7675" s="88">
        <f t="shared" si="1195"/>
        <v>48644.039999999994</v>
      </c>
      <c r="K7675" s="62"/>
      <c r="L7675" s="2">
        <f t="shared" si="1196"/>
        <v>2</v>
      </c>
      <c r="M7675">
        <f t="shared" si="1197"/>
        <v>0</v>
      </c>
    </row>
    <row r="7676" spans="1:13" x14ac:dyDescent="0.3">
      <c r="A7676" s="3">
        <f t="shared" si="1194"/>
        <v>46044</v>
      </c>
      <c r="B7676" s="11" t="s">
        <v>6892</v>
      </c>
      <c r="C7676" t="s">
        <v>7248</v>
      </c>
      <c r="D7676" s="153"/>
      <c r="E7676" s="90" t="s">
        <v>2088</v>
      </c>
      <c r="G7676" s="2">
        <v>5000</v>
      </c>
      <c r="H7676" s="166"/>
      <c r="I7676" s="88">
        <f t="shared" si="1195"/>
        <v>53644.039999999994</v>
      </c>
      <c r="K7676" s="62"/>
      <c r="L7676" s="2">
        <f t="shared" si="1196"/>
        <v>25</v>
      </c>
      <c r="M7676">
        <f t="shared" si="1197"/>
        <v>5</v>
      </c>
    </row>
    <row r="7677" spans="1:13" x14ac:dyDescent="0.3">
      <c r="A7677" s="3">
        <f t="shared" si="1194"/>
        <v>46044</v>
      </c>
      <c r="B7677" s="11" t="s">
        <v>10078</v>
      </c>
      <c r="C7677" s="7" t="s">
        <v>261</v>
      </c>
      <c r="D7677" s="153"/>
      <c r="E7677" s="90" t="s">
        <v>16</v>
      </c>
      <c r="H7677" s="166">
        <v>500</v>
      </c>
      <c r="I7677" s="88">
        <f t="shared" si="1195"/>
        <v>53144.039999999994</v>
      </c>
      <c r="K7677" s="62"/>
      <c r="L7677" s="2">
        <f t="shared" si="1196"/>
        <v>17</v>
      </c>
      <c r="M7677">
        <f t="shared" si="1197"/>
        <v>0</v>
      </c>
    </row>
    <row r="7678" spans="1:13" x14ac:dyDescent="0.3">
      <c r="A7678" s="3">
        <f t="shared" si="1194"/>
        <v>46044</v>
      </c>
      <c r="B7678" s="11" t="s">
        <v>1250</v>
      </c>
      <c r="C7678" t="s">
        <v>10081</v>
      </c>
      <c r="D7678" s="153"/>
      <c r="E7678" s="90" t="s">
        <v>4720</v>
      </c>
      <c r="H7678" s="170">
        <v>10000</v>
      </c>
      <c r="I7678" s="88">
        <f t="shared" si="1195"/>
        <v>43144.039999999994</v>
      </c>
      <c r="K7678" s="62"/>
      <c r="L7678" s="2">
        <f t="shared" si="1196"/>
        <v>20</v>
      </c>
      <c r="M7678">
        <f t="shared" si="1197"/>
        <v>0</v>
      </c>
    </row>
    <row r="7679" spans="1:13" x14ac:dyDescent="0.3">
      <c r="A7679" s="3">
        <v>46045</v>
      </c>
      <c r="B7679" s="11" t="s">
        <v>1250</v>
      </c>
      <c r="C7679" t="s">
        <v>10082</v>
      </c>
      <c r="D7679" s="153"/>
      <c r="E7679" s="90" t="s">
        <v>4720</v>
      </c>
      <c r="G7679" s="2">
        <v>3000</v>
      </c>
      <c r="H7679" s="166"/>
      <c r="I7679" s="88">
        <f t="shared" si="1195"/>
        <v>46144.039999999994</v>
      </c>
      <c r="K7679" s="62"/>
      <c r="L7679" s="2">
        <f t="shared" si="1196"/>
        <v>12</v>
      </c>
      <c r="M7679">
        <f t="shared" si="1197"/>
        <v>0</v>
      </c>
    </row>
    <row r="7680" spans="1:13" x14ac:dyDescent="0.3">
      <c r="A7680" s="3">
        <f t="shared" si="1194"/>
        <v>46045</v>
      </c>
      <c r="B7680" s="11" t="s">
        <v>9776</v>
      </c>
      <c r="C7680" t="s">
        <v>10083</v>
      </c>
      <c r="D7680" s="153"/>
      <c r="E7680" s="90" t="s">
        <v>2088</v>
      </c>
      <c r="G7680" s="2">
        <v>3000</v>
      </c>
      <c r="H7680" s="166"/>
      <c r="I7680" s="88">
        <f t="shared" si="1195"/>
        <v>49144.039999999994</v>
      </c>
      <c r="K7680" s="62"/>
      <c r="L7680" s="2">
        <f t="shared" si="1196"/>
        <v>17</v>
      </c>
      <c r="M7680">
        <f t="shared" si="1197"/>
        <v>5</v>
      </c>
    </row>
    <row r="7681" spans="1:13" x14ac:dyDescent="0.3">
      <c r="A7681" s="3">
        <f t="shared" si="1194"/>
        <v>46045</v>
      </c>
      <c r="B7681" s="11" t="s">
        <v>5042</v>
      </c>
      <c r="C7681" t="s">
        <v>10084</v>
      </c>
      <c r="D7681" s="153"/>
      <c r="E7681" s="90" t="s">
        <v>7772</v>
      </c>
      <c r="G7681" s="2">
        <v>800</v>
      </c>
      <c r="H7681" s="166"/>
      <c r="I7681" s="88">
        <f t="shared" ref="I7681:I7707" si="1198">I7680+G7681-H7681</f>
        <v>49944.039999999994</v>
      </c>
      <c r="K7681" s="62"/>
      <c r="L7681" s="2">
        <f t="shared" ref="L7681:L7693" si="1199">IF(E7681="C",0,IF((G7681+H7681)&lt;=5000,(G7681+H7681)*0.004,20)+IF(E7681="P",5,IF(E7681="Y",15,IF(E7681="YY",25))))</f>
        <v>8.1999999999999993</v>
      </c>
      <c r="M7681">
        <f t="shared" ref="M7681:M7693" si="1200">IF(E7681="p",5,0)</f>
        <v>5</v>
      </c>
    </row>
    <row r="7682" spans="1:13" x14ac:dyDescent="0.3">
      <c r="A7682" s="3">
        <f t="shared" si="1194"/>
        <v>46045</v>
      </c>
      <c r="B7682" s="11" t="s">
        <v>10085</v>
      </c>
      <c r="C7682" t="s">
        <v>9970</v>
      </c>
      <c r="D7682" s="153"/>
      <c r="E7682" s="90" t="s">
        <v>4134</v>
      </c>
      <c r="H7682" s="166">
        <v>45000</v>
      </c>
      <c r="I7682" s="88">
        <f t="shared" si="1198"/>
        <v>4944.0399999999936</v>
      </c>
      <c r="K7682" s="62"/>
      <c r="L7682" s="2">
        <f t="shared" si="1199"/>
        <v>0</v>
      </c>
      <c r="M7682">
        <f t="shared" si="1200"/>
        <v>0</v>
      </c>
    </row>
    <row r="7683" spans="1:13" x14ac:dyDescent="0.3">
      <c r="A7683" s="3">
        <v>46046</v>
      </c>
      <c r="B7683" s="11" t="s">
        <v>4652</v>
      </c>
      <c r="C7683" t="s">
        <v>4790</v>
      </c>
      <c r="D7683" s="153"/>
      <c r="E7683" s="90" t="s">
        <v>2088</v>
      </c>
      <c r="G7683" s="2">
        <v>10000</v>
      </c>
      <c r="H7683" s="166"/>
      <c r="I7683" s="88">
        <f t="shared" si="1198"/>
        <v>14944.039999999994</v>
      </c>
      <c r="K7683" s="62"/>
      <c r="L7683" s="2">
        <f t="shared" si="1199"/>
        <v>25</v>
      </c>
      <c r="M7683">
        <f t="shared" si="1200"/>
        <v>5</v>
      </c>
    </row>
    <row r="7684" spans="1:13" x14ac:dyDescent="0.3">
      <c r="A7684" s="3">
        <f t="shared" si="1194"/>
        <v>46046</v>
      </c>
      <c r="B7684" s="11" t="s">
        <v>8674</v>
      </c>
      <c r="C7684" t="s">
        <v>8675</v>
      </c>
      <c r="D7684" s="153"/>
      <c r="E7684" s="90" t="s">
        <v>2088</v>
      </c>
      <c r="G7684" s="2">
        <v>5050</v>
      </c>
      <c r="H7684" s="166"/>
      <c r="I7684" s="88">
        <f t="shared" si="1198"/>
        <v>19994.039999999994</v>
      </c>
      <c r="K7684" s="62"/>
      <c r="L7684" s="2">
        <f t="shared" si="1199"/>
        <v>25</v>
      </c>
      <c r="M7684">
        <f t="shared" si="1200"/>
        <v>5</v>
      </c>
    </row>
    <row r="7685" spans="1:13" x14ac:dyDescent="0.3">
      <c r="A7685" s="3">
        <v>46047</v>
      </c>
      <c r="B7685" s="11" t="s">
        <v>8052</v>
      </c>
      <c r="C7685" t="s">
        <v>4867</v>
      </c>
      <c r="D7685" s="153"/>
      <c r="E7685" s="90" t="s">
        <v>4720</v>
      </c>
      <c r="G7685" s="2">
        <v>1000</v>
      </c>
      <c r="H7685" s="166"/>
      <c r="I7685" s="88">
        <f t="shared" si="1198"/>
        <v>20994.039999999994</v>
      </c>
      <c r="K7685" s="62"/>
      <c r="L7685" s="2">
        <f t="shared" si="1199"/>
        <v>4</v>
      </c>
      <c r="M7685">
        <f t="shared" si="1200"/>
        <v>0</v>
      </c>
    </row>
    <row r="7686" spans="1:13" x14ac:dyDescent="0.3">
      <c r="A7686" s="3">
        <f t="shared" si="1194"/>
        <v>46047</v>
      </c>
      <c r="B7686" s="11" t="s">
        <v>2140</v>
      </c>
      <c r="C7686" t="s">
        <v>1279</v>
      </c>
      <c r="D7686" s="153"/>
      <c r="E7686" s="90" t="s">
        <v>4720</v>
      </c>
      <c r="H7686" s="170">
        <v>10000</v>
      </c>
      <c r="I7686" s="88">
        <f t="shared" si="1198"/>
        <v>10994.039999999994</v>
      </c>
      <c r="K7686" s="62"/>
      <c r="L7686" s="2">
        <f t="shared" si="1199"/>
        <v>20</v>
      </c>
      <c r="M7686">
        <f t="shared" si="1200"/>
        <v>0</v>
      </c>
    </row>
    <row r="7687" spans="1:13" x14ac:dyDescent="0.3">
      <c r="A7687" s="3">
        <f t="shared" si="1194"/>
        <v>46047</v>
      </c>
      <c r="B7687" s="11" t="s">
        <v>6459</v>
      </c>
      <c r="C7687" t="s">
        <v>1554</v>
      </c>
      <c r="D7687" s="153"/>
      <c r="E7687" s="90" t="s">
        <v>4720</v>
      </c>
      <c r="G7687" s="2">
        <v>1000</v>
      </c>
      <c r="H7687" s="166"/>
      <c r="I7687" s="88">
        <f t="shared" si="1198"/>
        <v>11994.039999999994</v>
      </c>
      <c r="J7687">
        <v>10240.26</v>
      </c>
      <c r="K7687" s="62">
        <f>I7687-J7687:J7688</f>
        <v>1753.7799999999934</v>
      </c>
      <c r="L7687" s="2">
        <f t="shared" si="1199"/>
        <v>4</v>
      </c>
      <c r="M7687">
        <f t="shared" si="1200"/>
        <v>0</v>
      </c>
    </row>
    <row r="7688" spans="1:13" x14ac:dyDescent="0.3">
      <c r="A7688" s="3">
        <f t="shared" si="1194"/>
        <v>46047</v>
      </c>
      <c r="B7688" s="11" t="s">
        <v>6369</v>
      </c>
      <c r="C7688" t="s">
        <v>9982</v>
      </c>
      <c r="D7688" s="153"/>
      <c r="E7688" s="90" t="s">
        <v>4720</v>
      </c>
      <c r="G7688" s="2">
        <v>4000</v>
      </c>
      <c r="H7688" s="166"/>
      <c r="I7688" s="88">
        <f t="shared" si="1198"/>
        <v>15994.039999999994</v>
      </c>
      <c r="J7688" s="62"/>
      <c r="K7688" s="62"/>
      <c r="L7688" s="2">
        <f t="shared" si="1199"/>
        <v>16</v>
      </c>
      <c r="M7688">
        <f t="shared" si="1200"/>
        <v>0</v>
      </c>
    </row>
    <row r="7689" spans="1:13" x14ac:dyDescent="0.3">
      <c r="A7689" s="3">
        <f t="shared" si="1194"/>
        <v>46047</v>
      </c>
      <c r="B7689" s="11" t="s">
        <v>6701</v>
      </c>
      <c r="C7689" t="s">
        <v>6702</v>
      </c>
      <c r="D7689" s="153"/>
      <c r="E7689" s="90" t="s">
        <v>4720</v>
      </c>
      <c r="F7689" s="4" t="s">
        <v>10086</v>
      </c>
      <c r="G7689" s="2">
        <v>1000</v>
      </c>
      <c r="H7689" s="166"/>
      <c r="I7689" s="88">
        <f t="shared" si="1198"/>
        <v>16994.039999999994</v>
      </c>
      <c r="J7689" s="62"/>
      <c r="K7689" s="169">
        <v>10</v>
      </c>
      <c r="L7689" s="2">
        <f t="shared" si="1199"/>
        <v>4</v>
      </c>
      <c r="M7689">
        <f t="shared" si="1200"/>
        <v>0</v>
      </c>
    </row>
    <row r="7690" spans="1:13" x14ac:dyDescent="0.3">
      <c r="A7690" s="3">
        <f t="shared" si="1194"/>
        <v>46047</v>
      </c>
      <c r="B7690" s="11" t="s">
        <v>8561</v>
      </c>
      <c r="C7690" t="s">
        <v>10081</v>
      </c>
      <c r="D7690" s="153"/>
      <c r="E7690" s="90" t="s">
        <v>4720</v>
      </c>
      <c r="H7690" s="166"/>
      <c r="I7690" s="88">
        <f t="shared" si="1198"/>
        <v>16994.039999999994</v>
      </c>
      <c r="J7690" s="62"/>
      <c r="K7690" s="62"/>
      <c r="L7690" s="2">
        <f t="shared" si="1199"/>
        <v>0</v>
      </c>
      <c r="M7690">
        <f t="shared" si="1200"/>
        <v>0</v>
      </c>
    </row>
    <row r="7691" spans="1:13" x14ac:dyDescent="0.3">
      <c r="A7691" s="3">
        <v>46048</v>
      </c>
      <c r="B7691" s="11" t="s">
        <v>7279</v>
      </c>
      <c r="C7691" t="s">
        <v>10087</v>
      </c>
      <c r="D7691" s="153"/>
      <c r="E7691" s="90" t="s">
        <v>2088</v>
      </c>
      <c r="G7691" s="2">
        <v>0</v>
      </c>
      <c r="H7691" s="166">
        <v>0</v>
      </c>
      <c r="I7691" s="88">
        <f t="shared" si="1198"/>
        <v>16994.039999999994</v>
      </c>
      <c r="J7691" s="62"/>
      <c r="K7691" s="62"/>
      <c r="L7691" s="2">
        <f t="shared" si="1199"/>
        <v>5</v>
      </c>
      <c r="M7691">
        <f t="shared" si="1200"/>
        <v>5</v>
      </c>
    </row>
    <row r="7692" spans="1:13" x14ac:dyDescent="0.3">
      <c r="A7692" s="3">
        <f t="shared" si="1194"/>
        <v>46048</v>
      </c>
      <c r="B7692" s="11" t="s">
        <v>7279</v>
      </c>
      <c r="C7692" t="s">
        <v>10087</v>
      </c>
      <c r="D7692" s="153"/>
      <c r="E7692" s="90" t="s">
        <v>2088</v>
      </c>
      <c r="H7692" s="166">
        <v>2100</v>
      </c>
      <c r="I7692" s="88">
        <f t="shared" si="1198"/>
        <v>14894.039999999994</v>
      </c>
      <c r="J7692" s="62"/>
      <c r="K7692" s="62"/>
      <c r="L7692" s="2">
        <f t="shared" si="1199"/>
        <v>13.4</v>
      </c>
      <c r="M7692">
        <f t="shared" si="1200"/>
        <v>5</v>
      </c>
    </row>
    <row r="7693" spans="1:13" x14ac:dyDescent="0.3">
      <c r="A7693" s="3">
        <f t="shared" si="1194"/>
        <v>46048</v>
      </c>
      <c r="B7693" s="11" t="s">
        <v>10088</v>
      </c>
      <c r="C7693" t="s">
        <v>10089</v>
      </c>
      <c r="D7693" s="153"/>
      <c r="E7693" s="90" t="s">
        <v>4720</v>
      </c>
      <c r="H7693" s="166">
        <v>2500</v>
      </c>
      <c r="I7693" s="88">
        <f t="shared" si="1198"/>
        <v>12394.039999999994</v>
      </c>
      <c r="J7693" s="62"/>
      <c r="K7693" s="62"/>
      <c r="L7693" s="2">
        <f t="shared" si="1199"/>
        <v>10</v>
      </c>
      <c r="M7693">
        <f t="shared" si="1200"/>
        <v>0</v>
      </c>
    </row>
    <row r="7694" spans="1:13" x14ac:dyDescent="0.3">
      <c r="A7694" s="3">
        <f t="shared" si="1194"/>
        <v>46048</v>
      </c>
      <c r="B7694" s="11" t="s">
        <v>1250</v>
      </c>
      <c r="C7694" t="s">
        <v>5721</v>
      </c>
      <c r="D7694" s="153"/>
      <c r="E7694" s="90" t="s">
        <v>4720</v>
      </c>
      <c r="G7694" s="2">
        <v>2500</v>
      </c>
      <c r="H7694" s="166"/>
      <c r="I7694" s="88">
        <f t="shared" si="1198"/>
        <v>14894.039999999994</v>
      </c>
      <c r="J7694" s="62"/>
      <c r="K7694" s="62"/>
      <c r="L7694" s="2">
        <f t="shared" ref="L7694:L7707" si="1201">IF(E7694="C",0,IF((G7694+H7694)&lt;=5000,(G7694+H7694)*0.004,20)+IF(E7694="P",5,IF(E7694="Y",15,IF(E7694="YY",25))))</f>
        <v>10</v>
      </c>
      <c r="M7694">
        <f t="shared" ref="M7694:M7707" si="1202">IF(E7694="p",5,0)</f>
        <v>0</v>
      </c>
    </row>
    <row r="7695" spans="1:13" x14ac:dyDescent="0.3">
      <c r="A7695" s="3">
        <v>46049</v>
      </c>
      <c r="B7695" s="11" t="s">
        <v>9189</v>
      </c>
      <c r="C7695" t="s">
        <v>10090</v>
      </c>
      <c r="D7695" s="153"/>
      <c r="E7695" s="90" t="s">
        <v>2088</v>
      </c>
      <c r="H7695" s="166">
        <v>500</v>
      </c>
      <c r="I7695" s="88">
        <f t="shared" si="1198"/>
        <v>14394.039999999994</v>
      </c>
      <c r="J7695" s="62"/>
      <c r="K7695" s="62"/>
      <c r="L7695" s="2">
        <f t="shared" si="1201"/>
        <v>7</v>
      </c>
      <c r="M7695">
        <f t="shared" si="1202"/>
        <v>5</v>
      </c>
    </row>
    <row r="7696" spans="1:13" x14ac:dyDescent="0.3">
      <c r="A7696" s="3">
        <f t="shared" si="1194"/>
        <v>46049</v>
      </c>
      <c r="B7696" s="11" t="s">
        <v>1160</v>
      </c>
      <c r="C7696" t="s">
        <v>8565</v>
      </c>
      <c r="D7696" s="153"/>
      <c r="E7696" s="90" t="s">
        <v>4720</v>
      </c>
      <c r="G7696" s="2">
        <v>1000</v>
      </c>
      <c r="H7696" s="166"/>
      <c r="I7696" s="88">
        <f t="shared" si="1198"/>
        <v>15394.039999999994</v>
      </c>
      <c r="J7696" s="62"/>
      <c r="K7696" s="62"/>
      <c r="L7696" s="2">
        <f t="shared" si="1201"/>
        <v>4</v>
      </c>
      <c r="M7696">
        <f t="shared" si="1202"/>
        <v>0</v>
      </c>
    </row>
    <row r="7697" spans="1:13" x14ac:dyDescent="0.3">
      <c r="A7697" s="3">
        <f t="shared" si="1194"/>
        <v>46049</v>
      </c>
      <c r="B7697" s="11" t="s">
        <v>2351</v>
      </c>
      <c r="C7697" t="s">
        <v>10091</v>
      </c>
      <c r="D7697" s="153"/>
      <c r="E7697" s="90" t="s">
        <v>4720</v>
      </c>
      <c r="G7697" s="2">
        <v>1000</v>
      </c>
      <c r="H7697" s="166"/>
      <c r="I7697" s="88">
        <f t="shared" si="1198"/>
        <v>16394.039999999994</v>
      </c>
      <c r="J7697" s="62"/>
      <c r="K7697" s="62"/>
      <c r="L7697" s="2">
        <f t="shared" si="1201"/>
        <v>4</v>
      </c>
      <c r="M7697">
        <f t="shared" si="1202"/>
        <v>0</v>
      </c>
    </row>
    <row r="7698" spans="1:13" x14ac:dyDescent="0.3">
      <c r="A7698" s="3">
        <f t="shared" si="1194"/>
        <v>46049</v>
      </c>
      <c r="B7698" s="11" t="s">
        <v>8674</v>
      </c>
      <c r="C7698" t="s">
        <v>8675</v>
      </c>
      <c r="D7698" s="153"/>
      <c r="E7698" s="90" t="s">
        <v>2088</v>
      </c>
      <c r="G7698" s="2">
        <v>10000</v>
      </c>
      <c r="H7698" s="166"/>
      <c r="I7698" s="88">
        <f t="shared" si="1198"/>
        <v>26394.039999999994</v>
      </c>
      <c r="J7698" s="62"/>
      <c r="K7698" s="62"/>
      <c r="L7698" s="2">
        <f t="shared" si="1201"/>
        <v>25</v>
      </c>
      <c r="M7698">
        <f t="shared" si="1202"/>
        <v>5</v>
      </c>
    </row>
    <row r="7699" spans="1:13" x14ac:dyDescent="0.3">
      <c r="A7699" s="3">
        <f t="shared" si="1194"/>
        <v>46049</v>
      </c>
      <c r="B7699" s="11" t="s">
        <v>6940</v>
      </c>
      <c r="C7699" t="s">
        <v>7470</v>
      </c>
      <c r="D7699" s="153"/>
      <c r="E7699" s="90" t="s">
        <v>4720</v>
      </c>
      <c r="G7699" s="2">
        <v>5000</v>
      </c>
      <c r="H7699" s="166"/>
      <c r="I7699" s="88">
        <f t="shared" si="1198"/>
        <v>31394.039999999994</v>
      </c>
      <c r="J7699" s="62"/>
      <c r="K7699" s="62"/>
      <c r="L7699" s="2">
        <f t="shared" si="1201"/>
        <v>20</v>
      </c>
      <c r="M7699">
        <f t="shared" si="1202"/>
        <v>0</v>
      </c>
    </row>
    <row r="7700" spans="1:13" x14ac:dyDescent="0.3">
      <c r="A7700" s="3">
        <f t="shared" si="1194"/>
        <v>46049</v>
      </c>
      <c r="B7700" s="11" t="s">
        <v>6369</v>
      </c>
      <c r="C7700" t="s">
        <v>9982</v>
      </c>
      <c r="D7700" s="153"/>
      <c r="E7700" s="90" t="s">
        <v>2088</v>
      </c>
      <c r="G7700" s="2">
        <v>5000</v>
      </c>
      <c r="H7700" s="166"/>
      <c r="I7700" s="88">
        <f t="shared" si="1198"/>
        <v>36394.039999999994</v>
      </c>
      <c r="J7700" s="62"/>
      <c r="K7700" s="62"/>
      <c r="L7700" s="2">
        <f t="shared" si="1201"/>
        <v>25</v>
      </c>
      <c r="M7700">
        <f t="shared" si="1202"/>
        <v>5</v>
      </c>
    </row>
    <row r="7701" spans="1:13" x14ac:dyDescent="0.3">
      <c r="A7701" s="3">
        <f t="shared" si="1194"/>
        <v>46049</v>
      </c>
      <c r="B7701" s="11" t="s">
        <v>1250</v>
      </c>
      <c r="C7701" t="s">
        <v>8862</v>
      </c>
      <c r="D7701" s="153"/>
      <c r="E7701" s="90" t="s">
        <v>4720</v>
      </c>
      <c r="G7701" s="2">
        <v>500</v>
      </c>
      <c r="H7701" s="166"/>
      <c r="I7701" s="88">
        <f t="shared" si="1198"/>
        <v>36894.039999999994</v>
      </c>
      <c r="J7701" s="62"/>
      <c r="K7701" s="62"/>
      <c r="L7701" s="2">
        <f t="shared" si="1201"/>
        <v>2</v>
      </c>
      <c r="M7701">
        <f t="shared" si="1202"/>
        <v>0</v>
      </c>
    </row>
    <row r="7702" spans="1:13" x14ac:dyDescent="0.3">
      <c r="A7702" s="3">
        <f t="shared" si="1194"/>
        <v>46049</v>
      </c>
      <c r="B7702" s="11" t="s">
        <v>4311</v>
      </c>
      <c r="C7702"/>
      <c r="D7702" s="153"/>
      <c r="E7702" s="90" t="s">
        <v>4720</v>
      </c>
      <c r="G7702" s="2">
        <v>5000</v>
      </c>
      <c r="H7702" s="166"/>
      <c r="I7702" s="88">
        <f t="shared" si="1198"/>
        <v>41894.039999999994</v>
      </c>
      <c r="J7702" s="62"/>
      <c r="K7702" s="62"/>
      <c r="L7702" s="2">
        <f t="shared" si="1201"/>
        <v>20</v>
      </c>
      <c r="M7702">
        <f t="shared" si="1202"/>
        <v>0</v>
      </c>
    </row>
    <row r="7703" spans="1:13" x14ac:dyDescent="0.3">
      <c r="A7703" s="3">
        <f t="shared" si="1194"/>
        <v>46049</v>
      </c>
      <c r="B7703" s="11" t="s">
        <v>2140</v>
      </c>
      <c r="C7703" t="s">
        <v>1356</v>
      </c>
      <c r="D7703" s="153"/>
      <c r="E7703" s="90" t="s">
        <v>4720</v>
      </c>
      <c r="H7703" s="170">
        <v>10000</v>
      </c>
      <c r="I7703" s="88">
        <f t="shared" si="1198"/>
        <v>31894.039999999994</v>
      </c>
      <c r="J7703" s="62"/>
      <c r="K7703" s="62"/>
      <c r="L7703" s="2">
        <f t="shared" si="1201"/>
        <v>20</v>
      </c>
      <c r="M7703">
        <f t="shared" si="1202"/>
        <v>0</v>
      </c>
    </row>
    <row r="7704" spans="1:13" x14ac:dyDescent="0.3">
      <c r="A7704" s="3">
        <f t="shared" si="1194"/>
        <v>46049</v>
      </c>
      <c r="B7704" s="11" t="s">
        <v>9474</v>
      </c>
      <c r="C7704" t="s">
        <v>9475</v>
      </c>
      <c r="D7704" s="153"/>
      <c r="E7704" s="90" t="s">
        <v>4720</v>
      </c>
      <c r="H7704" s="166">
        <v>2000</v>
      </c>
      <c r="I7704" s="88">
        <f t="shared" si="1198"/>
        <v>29894.039999999994</v>
      </c>
      <c r="J7704" s="62"/>
      <c r="K7704" s="62"/>
      <c r="L7704" s="2">
        <f t="shared" si="1201"/>
        <v>8</v>
      </c>
      <c r="M7704">
        <f t="shared" si="1202"/>
        <v>0</v>
      </c>
    </row>
    <row r="7705" spans="1:13" x14ac:dyDescent="0.3">
      <c r="A7705" s="3">
        <f t="shared" si="1194"/>
        <v>46049</v>
      </c>
      <c r="B7705" s="11" t="s">
        <v>1170</v>
      </c>
      <c r="C7705" t="s">
        <v>10092</v>
      </c>
      <c r="D7705" s="153"/>
      <c r="E7705" s="90" t="s">
        <v>4720</v>
      </c>
      <c r="G7705" s="2">
        <v>5000</v>
      </c>
      <c r="H7705" s="166"/>
      <c r="I7705" s="88">
        <f t="shared" si="1198"/>
        <v>34894.039999999994</v>
      </c>
      <c r="J7705" s="62">
        <f t="shared" ref="J7705:J7718" si="1203">I7705-K$7687</f>
        <v>33140.26</v>
      </c>
      <c r="K7705" s="62"/>
      <c r="L7705" s="2">
        <f t="shared" si="1201"/>
        <v>20</v>
      </c>
      <c r="M7705">
        <f t="shared" si="1202"/>
        <v>0</v>
      </c>
    </row>
    <row r="7706" spans="1:13" x14ac:dyDescent="0.3">
      <c r="A7706" s="3">
        <v>46050</v>
      </c>
      <c r="B7706" s="11" t="s">
        <v>6260</v>
      </c>
      <c r="C7706" t="s">
        <v>7117</v>
      </c>
      <c r="D7706" s="153"/>
      <c r="E7706" s="90" t="s">
        <v>4720</v>
      </c>
      <c r="H7706" s="166">
        <v>4000</v>
      </c>
      <c r="I7706" s="88">
        <f t="shared" si="1198"/>
        <v>30894.039999999994</v>
      </c>
      <c r="J7706" s="62">
        <f t="shared" si="1203"/>
        <v>29140.260000000002</v>
      </c>
      <c r="K7706" s="62"/>
      <c r="L7706" s="2">
        <f t="shared" si="1201"/>
        <v>16</v>
      </c>
      <c r="M7706">
        <f t="shared" si="1202"/>
        <v>0</v>
      </c>
    </row>
    <row r="7707" spans="1:13" x14ac:dyDescent="0.3">
      <c r="A7707" s="3">
        <f t="shared" si="1194"/>
        <v>46050</v>
      </c>
      <c r="B7707" s="11" t="s">
        <v>2140</v>
      </c>
      <c r="C7707" t="s">
        <v>1279</v>
      </c>
      <c r="D7707" s="153"/>
      <c r="E7707" s="90" t="s">
        <v>4720</v>
      </c>
      <c r="H7707" s="170">
        <v>10000</v>
      </c>
      <c r="I7707" s="88">
        <f t="shared" si="1198"/>
        <v>20894.039999999994</v>
      </c>
      <c r="J7707" s="62">
        <f t="shared" si="1203"/>
        <v>19140.260000000002</v>
      </c>
      <c r="K7707" s="62"/>
      <c r="L7707" s="2">
        <f t="shared" si="1201"/>
        <v>20</v>
      </c>
      <c r="M7707">
        <f t="shared" si="1202"/>
        <v>0</v>
      </c>
    </row>
    <row r="7708" spans="1:13" x14ac:dyDescent="0.3">
      <c r="A7708" s="3">
        <f t="shared" si="1194"/>
        <v>46050</v>
      </c>
      <c r="B7708" s="11" t="s">
        <v>6906</v>
      </c>
      <c r="C7708" t="s">
        <v>10094</v>
      </c>
      <c r="D7708" s="153"/>
      <c r="E7708" s="90" t="s">
        <v>2088</v>
      </c>
      <c r="G7708" s="2">
        <v>2000</v>
      </c>
      <c r="H7708" s="166"/>
      <c r="I7708" s="88">
        <f t="shared" ref="I7708:I7719" si="1204">I7707+G7708-H7708</f>
        <v>22894.039999999994</v>
      </c>
      <c r="J7708" s="62">
        <f t="shared" si="1203"/>
        <v>21140.260000000002</v>
      </c>
      <c r="K7708" s="62"/>
      <c r="L7708" s="2">
        <f t="shared" ref="L7708:L7719" si="1205">IF(E7708="C",0,IF((G7708+H7708)&lt;=5000,(G7708+H7708)*0.004,20)+IF(E7708="P",5,IF(E7708="Y",15,IF(E7708="YY",25))))</f>
        <v>13</v>
      </c>
      <c r="M7708">
        <f t="shared" ref="M7708:M7719" si="1206">IF(E7708="p",5,0)</f>
        <v>5</v>
      </c>
    </row>
    <row r="7709" spans="1:13" x14ac:dyDescent="0.3">
      <c r="A7709" s="3">
        <f t="shared" si="1194"/>
        <v>46050</v>
      </c>
      <c r="B7709" s="11" t="s">
        <v>7471</v>
      </c>
      <c r="C7709" t="s">
        <v>6612</v>
      </c>
      <c r="D7709" s="153"/>
      <c r="E7709" s="90" t="s">
        <v>2088</v>
      </c>
      <c r="G7709" s="2">
        <v>2000</v>
      </c>
      <c r="H7709" s="166"/>
      <c r="I7709" s="88">
        <f t="shared" si="1204"/>
        <v>24894.039999999994</v>
      </c>
      <c r="J7709" s="62">
        <f t="shared" si="1203"/>
        <v>23140.260000000002</v>
      </c>
      <c r="K7709" s="62"/>
      <c r="L7709" s="2">
        <f t="shared" si="1205"/>
        <v>13</v>
      </c>
      <c r="M7709">
        <f t="shared" si="1206"/>
        <v>5</v>
      </c>
    </row>
    <row r="7710" spans="1:13" x14ac:dyDescent="0.3">
      <c r="A7710" s="3">
        <f t="shared" si="1194"/>
        <v>46050</v>
      </c>
      <c r="B7710" s="11" t="s">
        <v>8941</v>
      </c>
      <c r="C7710" t="s">
        <v>10096</v>
      </c>
      <c r="D7710" s="153"/>
      <c r="E7710" s="90" t="s">
        <v>4720</v>
      </c>
      <c r="H7710" s="166">
        <v>3000</v>
      </c>
      <c r="I7710" s="88">
        <f t="shared" si="1204"/>
        <v>21894.039999999994</v>
      </c>
      <c r="J7710" s="62">
        <f t="shared" si="1203"/>
        <v>20140.260000000002</v>
      </c>
      <c r="K7710" s="62"/>
      <c r="L7710" s="2">
        <f t="shared" si="1205"/>
        <v>12</v>
      </c>
      <c r="M7710">
        <f t="shared" si="1206"/>
        <v>0</v>
      </c>
    </row>
    <row r="7711" spans="1:13" x14ac:dyDescent="0.3">
      <c r="A7711" s="3">
        <f t="shared" si="1194"/>
        <v>46050</v>
      </c>
      <c r="C7711" t="s">
        <v>9970</v>
      </c>
      <c r="D7711" s="153"/>
      <c r="E7711" s="90" t="s">
        <v>8332</v>
      </c>
      <c r="H7711" s="166">
        <v>20000</v>
      </c>
      <c r="I7711" s="88">
        <f t="shared" si="1204"/>
        <v>1894.0399999999936</v>
      </c>
      <c r="J7711" s="62">
        <f t="shared" si="1203"/>
        <v>140.26000000000022</v>
      </c>
      <c r="K7711" s="62"/>
      <c r="L7711" s="2">
        <f t="shared" si="1205"/>
        <v>0</v>
      </c>
      <c r="M7711">
        <f t="shared" si="1206"/>
        <v>0</v>
      </c>
    </row>
    <row r="7712" spans="1:13" x14ac:dyDescent="0.3">
      <c r="A7712" s="3">
        <f t="shared" si="1194"/>
        <v>46050</v>
      </c>
      <c r="B7712" s="11" t="s">
        <v>2241</v>
      </c>
      <c r="C7712" t="s">
        <v>10097</v>
      </c>
      <c r="D7712" s="153" t="s">
        <v>10098</v>
      </c>
      <c r="E7712" s="90" t="s">
        <v>4720</v>
      </c>
      <c r="G7712" s="2">
        <v>10000</v>
      </c>
      <c r="H7712" s="166"/>
      <c r="I7712" s="88">
        <f t="shared" si="1204"/>
        <v>11894.039999999994</v>
      </c>
      <c r="J7712" s="62">
        <f t="shared" si="1203"/>
        <v>10140.26</v>
      </c>
      <c r="K7712" s="62"/>
      <c r="L7712" s="2">
        <f t="shared" si="1205"/>
        <v>20</v>
      </c>
      <c r="M7712">
        <f t="shared" si="1206"/>
        <v>0</v>
      </c>
    </row>
    <row r="7713" spans="1:13" x14ac:dyDescent="0.3">
      <c r="A7713" s="3">
        <f t="shared" si="1194"/>
        <v>46050</v>
      </c>
      <c r="B7713" s="11" t="s">
        <v>5076</v>
      </c>
      <c r="C7713" t="s">
        <v>10068</v>
      </c>
      <c r="D7713" s="153"/>
      <c r="E7713" s="90" t="s">
        <v>2088</v>
      </c>
      <c r="G7713" s="2">
        <v>5000</v>
      </c>
      <c r="H7713" s="166"/>
      <c r="I7713" s="88">
        <f t="shared" si="1204"/>
        <v>16894.039999999994</v>
      </c>
      <c r="J7713" s="62">
        <f t="shared" si="1203"/>
        <v>15140.26</v>
      </c>
      <c r="K7713" s="62"/>
      <c r="L7713" s="2">
        <f t="shared" si="1205"/>
        <v>25</v>
      </c>
      <c r="M7713">
        <f t="shared" si="1206"/>
        <v>5</v>
      </c>
    </row>
    <row r="7714" spans="1:13" x14ac:dyDescent="0.3">
      <c r="A7714" s="3">
        <f t="shared" si="1194"/>
        <v>46050</v>
      </c>
      <c r="B7714" s="11" t="s">
        <v>7870</v>
      </c>
      <c r="C7714" t="s">
        <v>9417</v>
      </c>
      <c r="D7714" s="153"/>
      <c r="E7714" s="90" t="s">
        <v>4720</v>
      </c>
      <c r="G7714" s="2">
        <v>1500</v>
      </c>
      <c r="H7714" s="166"/>
      <c r="I7714" s="88">
        <f t="shared" si="1204"/>
        <v>18394.039999999994</v>
      </c>
      <c r="J7714" s="62">
        <f t="shared" si="1203"/>
        <v>16640.260000000002</v>
      </c>
      <c r="K7714" s="62"/>
      <c r="L7714" s="2">
        <f t="shared" si="1205"/>
        <v>6</v>
      </c>
      <c r="M7714">
        <f t="shared" si="1206"/>
        <v>0</v>
      </c>
    </row>
    <row r="7715" spans="1:13" x14ac:dyDescent="0.3">
      <c r="A7715" s="3">
        <f t="shared" si="1194"/>
        <v>46050</v>
      </c>
      <c r="B7715" s="11" t="s">
        <v>6867</v>
      </c>
      <c r="C7715" t="s">
        <v>10099</v>
      </c>
      <c r="D7715" s="153"/>
      <c r="E7715" s="90" t="s">
        <v>2088</v>
      </c>
      <c r="G7715" s="2">
        <v>1500</v>
      </c>
      <c r="H7715" s="166"/>
      <c r="I7715" s="88">
        <f t="shared" si="1204"/>
        <v>19894.039999999994</v>
      </c>
      <c r="J7715" s="62">
        <f t="shared" si="1203"/>
        <v>18140.260000000002</v>
      </c>
      <c r="K7715" s="62"/>
      <c r="L7715" s="2">
        <f t="shared" si="1205"/>
        <v>11</v>
      </c>
      <c r="M7715">
        <f t="shared" si="1206"/>
        <v>5</v>
      </c>
    </row>
    <row r="7716" spans="1:13" x14ac:dyDescent="0.3">
      <c r="A7716" s="3">
        <f t="shared" ref="A7716:A7752" si="1207">A7715</f>
        <v>46050</v>
      </c>
      <c r="B7716" s="11" t="s">
        <v>7800</v>
      </c>
      <c r="C7716" t="s">
        <v>6424</v>
      </c>
      <c r="D7716" s="153"/>
      <c r="E7716" s="90" t="s">
        <v>2088</v>
      </c>
      <c r="G7716" s="2">
        <v>1500</v>
      </c>
      <c r="H7716" s="166"/>
      <c r="I7716" s="88">
        <f t="shared" si="1204"/>
        <v>21394.039999999994</v>
      </c>
      <c r="J7716" s="62">
        <f t="shared" si="1203"/>
        <v>19640.260000000002</v>
      </c>
      <c r="K7716" s="62"/>
      <c r="L7716" s="2">
        <f t="shared" si="1205"/>
        <v>11</v>
      </c>
      <c r="M7716">
        <f t="shared" si="1206"/>
        <v>5</v>
      </c>
    </row>
    <row r="7717" spans="1:13" x14ac:dyDescent="0.3">
      <c r="A7717" s="3">
        <f t="shared" si="1207"/>
        <v>46050</v>
      </c>
      <c r="B7717" s="11" t="s">
        <v>1250</v>
      </c>
      <c r="C7717" t="s">
        <v>6985</v>
      </c>
      <c r="D7717" s="153"/>
      <c r="E7717" s="90" t="s">
        <v>4720</v>
      </c>
      <c r="G7717" s="2">
        <v>3000</v>
      </c>
      <c r="H7717" s="166"/>
      <c r="I7717" s="88">
        <f t="shared" si="1204"/>
        <v>24394.039999999994</v>
      </c>
      <c r="J7717" s="62">
        <f t="shared" si="1203"/>
        <v>22640.260000000002</v>
      </c>
      <c r="K7717" s="62"/>
      <c r="L7717" s="2">
        <f t="shared" si="1205"/>
        <v>12</v>
      </c>
      <c r="M7717">
        <f t="shared" si="1206"/>
        <v>0</v>
      </c>
    </row>
    <row r="7718" spans="1:13" x14ac:dyDescent="0.3">
      <c r="A7718" s="3">
        <f t="shared" si="1207"/>
        <v>46050</v>
      </c>
      <c r="B7718" s="11" t="s">
        <v>6369</v>
      </c>
      <c r="C7718" t="s">
        <v>9982</v>
      </c>
      <c r="D7718" s="153"/>
      <c r="E7718" s="90" t="s">
        <v>2088</v>
      </c>
      <c r="G7718" s="2">
        <v>1000</v>
      </c>
      <c r="H7718" s="166"/>
      <c r="I7718" s="88">
        <f t="shared" si="1204"/>
        <v>25394.039999999994</v>
      </c>
      <c r="J7718" s="62">
        <f t="shared" si="1203"/>
        <v>23640.260000000002</v>
      </c>
      <c r="K7718" s="62">
        <f>I7718-J7718</f>
        <v>1753.7799999999916</v>
      </c>
      <c r="L7718" s="2">
        <f t="shared" si="1205"/>
        <v>9</v>
      </c>
      <c r="M7718">
        <f t="shared" si="1206"/>
        <v>5</v>
      </c>
    </row>
    <row r="7719" spans="1:13" x14ac:dyDescent="0.3">
      <c r="A7719" s="3">
        <v>46051</v>
      </c>
      <c r="C7719" s="1" t="s">
        <v>4215</v>
      </c>
      <c r="D7719" s="153"/>
      <c r="E7719" s="90" t="s">
        <v>4720</v>
      </c>
      <c r="H7719" s="171">
        <v>1753.78</v>
      </c>
      <c r="I7719" s="88">
        <f t="shared" si="1204"/>
        <v>23640.259999999995</v>
      </c>
      <c r="K7719" s="62"/>
      <c r="L7719" s="2">
        <f t="shared" si="1205"/>
        <v>7.0151200000000005</v>
      </c>
      <c r="M7719">
        <f t="shared" si="1206"/>
        <v>0</v>
      </c>
    </row>
    <row r="7720" spans="1:13" x14ac:dyDescent="0.3">
      <c r="A7720" s="3">
        <f t="shared" si="1207"/>
        <v>46051</v>
      </c>
      <c r="B7720" s="11" t="s">
        <v>8599</v>
      </c>
      <c r="C7720" t="s">
        <v>10100</v>
      </c>
      <c r="D7720" s="153"/>
      <c r="E7720" s="90" t="s">
        <v>4720</v>
      </c>
      <c r="H7720" s="166">
        <v>2000</v>
      </c>
      <c r="I7720" s="88">
        <f t="shared" ref="I7720:I7730" si="1208">I7719+G7720-H7720</f>
        <v>21640.259999999995</v>
      </c>
      <c r="K7720" s="62"/>
      <c r="L7720" s="2">
        <f t="shared" ref="L7720:L7730" si="1209">IF(E7720="C",0,IF((G7720+H7720)&lt;=5000,(G7720+H7720)*0.004,20)+IF(E7720="P",5,IF(E7720="Y",15,IF(E7720="YY",25))))</f>
        <v>8</v>
      </c>
      <c r="M7720">
        <f t="shared" ref="M7720:M7730" si="1210">IF(E7720="p",5,0)</f>
        <v>0</v>
      </c>
    </row>
    <row r="7721" spans="1:13" x14ac:dyDescent="0.3">
      <c r="A7721" s="3">
        <f t="shared" si="1207"/>
        <v>46051</v>
      </c>
      <c r="B7721" s="11" t="s">
        <v>3504</v>
      </c>
      <c r="C7721" t="s">
        <v>3894</v>
      </c>
      <c r="D7721" s="153"/>
      <c r="E7721" s="90" t="s">
        <v>4720</v>
      </c>
      <c r="H7721" s="166">
        <v>1200</v>
      </c>
      <c r="I7721" s="88">
        <f t="shared" si="1208"/>
        <v>20440.259999999995</v>
      </c>
      <c r="K7721" s="62"/>
      <c r="L7721" s="2">
        <f t="shared" si="1209"/>
        <v>4.8</v>
      </c>
      <c r="M7721">
        <f t="shared" si="1210"/>
        <v>0</v>
      </c>
    </row>
    <row r="7722" spans="1:13" x14ac:dyDescent="0.3">
      <c r="A7722" s="3">
        <f t="shared" si="1207"/>
        <v>46051</v>
      </c>
      <c r="B7722" s="11" t="s">
        <v>5312</v>
      </c>
      <c r="C7722" t="s">
        <v>6580</v>
      </c>
      <c r="D7722" s="153"/>
      <c r="E7722" s="90" t="s">
        <v>4720</v>
      </c>
      <c r="H7722" s="166">
        <v>200</v>
      </c>
      <c r="I7722" s="88">
        <f t="shared" si="1208"/>
        <v>20240.259999999995</v>
      </c>
      <c r="K7722" s="62"/>
      <c r="L7722" s="2">
        <f t="shared" si="1209"/>
        <v>0.8</v>
      </c>
      <c r="M7722">
        <f t="shared" si="1210"/>
        <v>0</v>
      </c>
    </row>
    <row r="7723" spans="1:13" x14ac:dyDescent="0.3">
      <c r="A7723" s="3">
        <f t="shared" si="1207"/>
        <v>46051</v>
      </c>
      <c r="B7723" s="11" t="s">
        <v>6844</v>
      </c>
      <c r="C7723" t="s">
        <v>9481</v>
      </c>
      <c r="D7723" s="153"/>
      <c r="E7723" s="90" t="s">
        <v>4720</v>
      </c>
      <c r="H7723" s="166">
        <v>7200</v>
      </c>
      <c r="I7723" s="88">
        <f t="shared" si="1208"/>
        <v>13040.259999999995</v>
      </c>
      <c r="K7723" s="62"/>
      <c r="L7723" s="2">
        <f t="shared" si="1209"/>
        <v>20</v>
      </c>
      <c r="M7723">
        <f t="shared" si="1210"/>
        <v>0</v>
      </c>
    </row>
    <row r="7724" spans="1:13" x14ac:dyDescent="0.3">
      <c r="A7724" s="3">
        <f t="shared" si="1207"/>
        <v>46051</v>
      </c>
      <c r="B7724" s="11" t="s">
        <v>3877</v>
      </c>
      <c r="C7724" t="s">
        <v>10101</v>
      </c>
      <c r="D7724" s="153"/>
      <c r="E7724" s="90" t="s">
        <v>4720</v>
      </c>
      <c r="G7724" s="2">
        <v>200</v>
      </c>
      <c r="H7724" s="166"/>
      <c r="I7724" s="88">
        <f t="shared" si="1208"/>
        <v>13240.259999999995</v>
      </c>
      <c r="K7724" s="62"/>
      <c r="L7724" s="2">
        <f t="shared" si="1209"/>
        <v>0.8</v>
      </c>
      <c r="M7724">
        <f t="shared" si="1210"/>
        <v>0</v>
      </c>
    </row>
    <row r="7725" spans="1:13" x14ac:dyDescent="0.3">
      <c r="A7725" s="3">
        <f t="shared" si="1207"/>
        <v>46051</v>
      </c>
      <c r="B7725" s="11" t="s">
        <v>6260</v>
      </c>
      <c r="C7725" t="s">
        <v>7117</v>
      </c>
      <c r="D7725" s="153"/>
      <c r="E7725" s="90" t="s">
        <v>4720</v>
      </c>
      <c r="H7725" s="166">
        <v>5500</v>
      </c>
      <c r="I7725" s="88">
        <f t="shared" si="1208"/>
        <v>7740.2599999999948</v>
      </c>
      <c r="K7725" s="62"/>
      <c r="L7725" s="2">
        <f t="shared" si="1209"/>
        <v>20</v>
      </c>
      <c r="M7725">
        <f t="shared" si="1210"/>
        <v>0</v>
      </c>
    </row>
    <row r="7726" spans="1:13" x14ac:dyDescent="0.3">
      <c r="A7726" s="3">
        <f t="shared" si="1207"/>
        <v>46051</v>
      </c>
      <c r="B7726" s="11" t="s">
        <v>6728</v>
      </c>
      <c r="C7726" t="s">
        <v>8346</v>
      </c>
      <c r="D7726" s="153"/>
      <c r="E7726" s="90" t="s">
        <v>4720</v>
      </c>
      <c r="G7726" s="2">
        <v>2500</v>
      </c>
      <c r="H7726" s="166"/>
      <c r="I7726" s="88">
        <f t="shared" si="1208"/>
        <v>10240.259999999995</v>
      </c>
      <c r="K7726" s="62"/>
      <c r="L7726" s="2">
        <f t="shared" si="1209"/>
        <v>10</v>
      </c>
      <c r="M7726">
        <f t="shared" si="1210"/>
        <v>0</v>
      </c>
    </row>
    <row r="7727" spans="1:13" x14ac:dyDescent="0.3">
      <c r="A7727" s="3">
        <f t="shared" si="1207"/>
        <v>46051</v>
      </c>
      <c r="B7727" s="11" t="s">
        <v>7060</v>
      </c>
      <c r="C7727" t="s">
        <v>7529</v>
      </c>
      <c r="D7727" s="153"/>
      <c r="E7727" s="90" t="s">
        <v>2088</v>
      </c>
      <c r="G7727" s="2">
        <v>1500</v>
      </c>
      <c r="H7727" s="166"/>
      <c r="I7727" s="88">
        <f t="shared" si="1208"/>
        <v>11740.259999999995</v>
      </c>
      <c r="K7727" s="62"/>
      <c r="L7727" s="2">
        <f t="shared" si="1209"/>
        <v>11</v>
      </c>
      <c r="M7727">
        <f t="shared" si="1210"/>
        <v>5</v>
      </c>
    </row>
    <row r="7728" spans="1:13" x14ac:dyDescent="0.3">
      <c r="A7728" s="3">
        <f t="shared" si="1207"/>
        <v>46051</v>
      </c>
      <c r="B7728" s="11" t="s">
        <v>10107</v>
      </c>
      <c r="C7728" t="s">
        <v>9473</v>
      </c>
      <c r="D7728" s="153"/>
      <c r="E7728" s="90" t="s">
        <v>4720</v>
      </c>
      <c r="G7728" s="2">
        <v>3000</v>
      </c>
      <c r="H7728" s="166"/>
      <c r="I7728" s="88">
        <f t="shared" si="1208"/>
        <v>14740.259999999995</v>
      </c>
      <c r="K7728" s="62"/>
      <c r="L7728" s="2">
        <f t="shared" si="1209"/>
        <v>12</v>
      </c>
      <c r="M7728">
        <f t="shared" si="1210"/>
        <v>0</v>
      </c>
    </row>
    <row r="7729" spans="1:13" x14ac:dyDescent="0.3">
      <c r="A7729" s="3">
        <f t="shared" si="1207"/>
        <v>46051</v>
      </c>
      <c r="B7729" s="11" t="s">
        <v>10103</v>
      </c>
      <c r="C7729" s="7" t="s">
        <v>9706</v>
      </c>
      <c r="D7729" s="153"/>
      <c r="E7729" s="90" t="s">
        <v>16</v>
      </c>
      <c r="H7729" s="166">
        <v>500</v>
      </c>
      <c r="I7729" s="88">
        <f t="shared" si="1208"/>
        <v>14240.259999999995</v>
      </c>
      <c r="K7729" s="62"/>
      <c r="L7729" s="2">
        <f t="shared" si="1209"/>
        <v>17</v>
      </c>
      <c r="M7729">
        <f t="shared" si="1210"/>
        <v>0</v>
      </c>
    </row>
    <row r="7730" spans="1:13" x14ac:dyDescent="0.3">
      <c r="A7730" s="3">
        <f t="shared" si="1207"/>
        <v>46051</v>
      </c>
      <c r="B7730" s="11" t="s">
        <v>4142</v>
      </c>
      <c r="C7730" t="s">
        <v>6426</v>
      </c>
      <c r="D7730" s="153"/>
      <c r="E7730" s="90" t="s">
        <v>4720</v>
      </c>
      <c r="G7730" s="2">
        <v>2500</v>
      </c>
      <c r="H7730" s="166"/>
      <c r="I7730" s="88">
        <f t="shared" si="1208"/>
        <v>16740.259999999995</v>
      </c>
      <c r="K7730" s="62"/>
      <c r="L7730" s="2">
        <f t="shared" si="1209"/>
        <v>10</v>
      </c>
      <c r="M7730">
        <f t="shared" si="1210"/>
        <v>0</v>
      </c>
    </row>
    <row r="7731" spans="1:13" x14ac:dyDescent="0.3">
      <c r="A7731" s="3">
        <f t="shared" si="1207"/>
        <v>46051</v>
      </c>
      <c r="B7731" s="11" t="s">
        <v>6522</v>
      </c>
      <c r="C7731" t="s">
        <v>9184</v>
      </c>
      <c r="D7731" s="153"/>
      <c r="E7731" s="90" t="s">
        <v>4720</v>
      </c>
      <c r="G7731" s="2">
        <v>5000</v>
      </c>
      <c r="H7731" s="166"/>
      <c r="I7731" s="88">
        <f t="shared" ref="I7731:I7742" si="1211">I7730+G7731-H7731</f>
        <v>21740.259999999995</v>
      </c>
      <c r="K7731" s="62"/>
      <c r="L7731" s="2">
        <f t="shared" ref="L7731:L7742" si="1212">IF(E7731="C",0,IF((G7731+H7731)&lt;=5000,(G7731+H7731)*0.004,20)+IF(E7731="P",5,IF(E7731="Y",15,IF(E7731="YY",25))))</f>
        <v>20</v>
      </c>
      <c r="M7731">
        <f t="shared" ref="M7731:M7742" si="1213">IF(E7731="p",5,0)</f>
        <v>0</v>
      </c>
    </row>
    <row r="7732" spans="1:13" x14ac:dyDescent="0.3">
      <c r="A7732" s="3">
        <f t="shared" si="1207"/>
        <v>46051</v>
      </c>
      <c r="B7732" s="11" t="s">
        <v>2140</v>
      </c>
      <c r="C7732" t="s">
        <v>10108</v>
      </c>
      <c r="D7732" s="153"/>
      <c r="E7732" s="90" t="s">
        <v>4720</v>
      </c>
      <c r="H7732" s="166">
        <v>10000</v>
      </c>
      <c r="I7732" s="88">
        <f t="shared" si="1211"/>
        <v>11740.259999999995</v>
      </c>
      <c r="K7732" s="62"/>
      <c r="L7732" s="2">
        <f t="shared" si="1212"/>
        <v>20</v>
      </c>
      <c r="M7732">
        <f t="shared" si="1213"/>
        <v>0</v>
      </c>
    </row>
    <row r="7733" spans="1:13" x14ac:dyDescent="0.3">
      <c r="A7733" s="3">
        <f t="shared" si="1207"/>
        <v>46051</v>
      </c>
      <c r="B7733" s="11" t="s">
        <v>6459</v>
      </c>
      <c r="C7733" t="s">
        <v>8288</v>
      </c>
      <c r="D7733" s="153" t="s">
        <v>1569</v>
      </c>
      <c r="E7733" s="90" t="s">
        <v>4720</v>
      </c>
      <c r="G7733" s="2">
        <v>1700</v>
      </c>
      <c r="H7733" s="166"/>
      <c r="I7733" s="88">
        <f t="shared" si="1211"/>
        <v>13440.259999999995</v>
      </c>
      <c r="K7733" s="62"/>
      <c r="L7733" s="2">
        <f t="shared" si="1212"/>
        <v>6.8</v>
      </c>
      <c r="M7733">
        <f t="shared" si="1213"/>
        <v>0</v>
      </c>
    </row>
    <row r="7734" spans="1:13" x14ac:dyDescent="0.3">
      <c r="A7734" s="3">
        <v>46052</v>
      </c>
      <c r="B7734" s="11" t="s">
        <v>5355</v>
      </c>
      <c r="C7734" t="s">
        <v>9436</v>
      </c>
      <c r="D7734" s="153"/>
      <c r="E7734" s="90" t="s">
        <v>4720</v>
      </c>
      <c r="G7734" s="2">
        <v>1000</v>
      </c>
      <c r="H7734" s="166"/>
      <c r="I7734" s="88">
        <f t="shared" si="1211"/>
        <v>14440.259999999995</v>
      </c>
      <c r="K7734" s="62"/>
      <c r="L7734" s="2">
        <f t="shared" si="1212"/>
        <v>4</v>
      </c>
      <c r="M7734">
        <f t="shared" si="1213"/>
        <v>0</v>
      </c>
    </row>
    <row r="7735" spans="1:13" x14ac:dyDescent="0.3">
      <c r="A7735" s="3">
        <f t="shared" si="1207"/>
        <v>46052</v>
      </c>
      <c r="B7735" s="11" t="s">
        <v>9771</v>
      </c>
      <c r="C7735" t="s">
        <v>10109</v>
      </c>
      <c r="D7735" s="153"/>
      <c r="E7735" s="90" t="s">
        <v>4720</v>
      </c>
      <c r="G7735" s="2">
        <v>500</v>
      </c>
      <c r="H7735" s="166"/>
      <c r="I7735" s="88">
        <f t="shared" si="1211"/>
        <v>14940.259999999995</v>
      </c>
      <c r="K7735" s="62"/>
      <c r="L7735" s="2">
        <f t="shared" si="1212"/>
        <v>2</v>
      </c>
      <c r="M7735">
        <f t="shared" si="1213"/>
        <v>0</v>
      </c>
    </row>
    <row r="7736" spans="1:13" x14ac:dyDescent="0.3">
      <c r="A7736" s="3">
        <f t="shared" si="1207"/>
        <v>46052</v>
      </c>
      <c r="B7736" s="11" t="s">
        <v>9014</v>
      </c>
      <c r="C7736" t="s">
        <v>9090</v>
      </c>
      <c r="D7736" s="153"/>
      <c r="E7736" s="90" t="s">
        <v>4720</v>
      </c>
      <c r="H7736" s="166">
        <v>7000</v>
      </c>
      <c r="I7736" s="88">
        <f t="shared" si="1211"/>
        <v>7940.2599999999948</v>
      </c>
      <c r="K7736" s="62"/>
      <c r="L7736" s="2">
        <f t="shared" si="1212"/>
        <v>20</v>
      </c>
      <c r="M7736">
        <f t="shared" si="1213"/>
        <v>0</v>
      </c>
    </row>
    <row r="7737" spans="1:13" x14ac:dyDescent="0.3">
      <c r="A7737" s="3">
        <f t="shared" si="1207"/>
        <v>46052</v>
      </c>
      <c r="B7737" s="11" t="s">
        <v>3148</v>
      </c>
      <c r="C7737" t="s">
        <v>10113</v>
      </c>
      <c r="D7737" s="153"/>
      <c r="E7737" s="90" t="s">
        <v>4720</v>
      </c>
      <c r="G7737" s="2">
        <v>10000</v>
      </c>
      <c r="H7737" s="166"/>
      <c r="I7737" s="88">
        <f t="shared" si="1211"/>
        <v>17940.259999999995</v>
      </c>
      <c r="K7737" s="62"/>
      <c r="L7737" s="2">
        <f t="shared" si="1212"/>
        <v>20</v>
      </c>
      <c r="M7737">
        <f t="shared" si="1213"/>
        <v>0</v>
      </c>
    </row>
    <row r="7738" spans="1:13" x14ac:dyDescent="0.3">
      <c r="A7738" s="3">
        <f t="shared" si="1207"/>
        <v>46052</v>
      </c>
      <c r="B7738" s="11" t="s">
        <v>10111</v>
      </c>
      <c r="C7738" t="s">
        <v>10112</v>
      </c>
      <c r="D7738" s="153"/>
      <c r="E7738" s="90" t="s">
        <v>4720</v>
      </c>
      <c r="H7738" s="166">
        <v>10000</v>
      </c>
      <c r="I7738" s="88">
        <f t="shared" si="1211"/>
        <v>7940.2599999999948</v>
      </c>
      <c r="K7738" s="62"/>
      <c r="L7738" s="2">
        <f t="shared" si="1212"/>
        <v>20</v>
      </c>
      <c r="M7738">
        <f t="shared" si="1213"/>
        <v>0</v>
      </c>
    </row>
    <row r="7739" spans="1:13" x14ac:dyDescent="0.3">
      <c r="A7739" s="3">
        <f t="shared" si="1207"/>
        <v>46052</v>
      </c>
      <c r="B7739" s="11" t="s">
        <v>7649</v>
      </c>
      <c r="C7739" t="s">
        <v>10114</v>
      </c>
      <c r="D7739" s="153"/>
      <c r="E7739" s="90" t="s">
        <v>4720</v>
      </c>
      <c r="H7739" s="166">
        <v>2900</v>
      </c>
      <c r="I7739" s="88">
        <f t="shared" si="1211"/>
        <v>5040.2599999999948</v>
      </c>
      <c r="K7739" s="62"/>
      <c r="L7739" s="2">
        <f t="shared" si="1212"/>
        <v>11.6</v>
      </c>
      <c r="M7739">
        <f t="shared" si="1213"/>
        <v>0</v>
      </c>
    </row>
    <row r="7740" spans="1:13" x14ac:dyDescent="0.3">
      <c r="A7740" s="3">
        <f t="shared" si="1207"/>
        <v>46052</v>
      </c>
      <c r="B7740" s="11" t="s">
        <v>5888</v>
      </c>
      <c r="C7740" t="s">
        <v>9191</v>
      </c>
      <c r="D7740" s="153"/>
      <c r="E7740" s="90" t="s">
        <v>7772</v>
      </c>
      <c r="G7740" s="2">
        <v>3000</v>
      </c>
      <c r="H7740" s="166"/>
      <c r="I7740" s="88">
        <f t="shared" si="1211"/>
        <v>8040.2599999999948</v>
      </c>
      <c r="K7740" s="62"/>
      <c r="L7740" s="2">
        <f t="shared" si="1212"/>
        <v>17</v>
      </c>
      <c r="M7740">
        <f t="shared" si="1213"/>
        <v>5</v>
      </c>
    </row>
    <row r="7741" spans="1:13" x14ac:dyDescent="0.3">
      <c r="A7741" s="3">
        <f t="shared" si="1207"/>
        <v>46052</v>
      </c>
      <c r="B7741" s="11" t="s">
        <v>1250</v>
      </c>
      <c r="C7741" t="s">
        <v>6984</v>
      </c>
      <c r="D7741" s="153"/>
      <c r="E7741" s="90" t="s">
        <v>4720</v>
      </c>
      <c r="G7741" s="2">
        <v>5000</v>
      </c>
      <c r="H7741" s="166"/>
      <c r="I7741" s="88">
        <f t="shared" si="1211"/>
        <v>13040.259999999995</v>
      </c>
      <c r="K7741" s="62"/>
      <c r="L7741" s="2">
        <f t="shared" si="1212"/>
        <v>20</v>
      </c>
      <c r="M7741">
        <f t="shared" si="1213"/>
        <v>0</v>
      </c>
    </row>
    <row r="7742" spans="1:13" x14ac:dyDescent="0.3">
      <c r="A7742" s="3">
        <f t="shared" si="1207"/>
        <v>46052</v>
      </c>
      <c r="B7742" s="11" t="s">
        <v>8052</v>
      </c>
      <c r="C7742" t="s">
        <v>10115</v>
      </c>
      <c r="D7742" s="153"/>
      <c r="E7742" s="90" t="s">
        <v>4720</v>
      </c>
      <c r="G7742" s="2">
        <v>500</v>
      </c>
      <c r="H7742" s="166"/>
      <c r="I7742" s="88">
        <f t="shared" si="1211"/>
        <v>13540.259999999995</v>
      </c>
      <c r="K7742" s="62"/>
      <c r="L7742" s="2">
        <f t="shared" si="1212"/>
        <v>2</v>
      </c>
      <c r="M7742">
        <f t="shared" si="1213"/>
        <v>0</v>
      </c>
    </row>
    <row r="7743" spans="1:13" x14ac:dyDescent="0.3">
      <c r="A7743" s="3">
        <f t="shared" si="1207"/>
        <v>46052</v>
      </c>
      <c r="B7743" s="11" t="s">
        <v>7649</v>
      </c>
      <c r="C7743" t="s">
        <v>10114</v>
      </c>
      <c r="D7743" s="153"/>
      <c r="E7743" s="90" t="s">
        <v>4720</v>
      </c>
      <c r="H7743" s="166">
        <v>1400</v>
      </c>
      <c r="I7743" s="88">
        <f t="shared" ref="I7743:I7752" si="1214">I7742+G7743-H7743</f>
        <v>12140.259999999995</v>
      </c>
      <c r="J7743" s="62"/>
      <c r="K7743" s="62"/>
      <c r="L7743" s="2">
        <f t="shared" ref="L7743:L7752" si="1215">IF(E7743="C",0,IF((G7743+H7743)&lt;=5000,(G7743+H7743)*0.004,20)+IF(E7743="P",5,IF(E7743="Y",15,IF(E7743="YY",25))))</f>
        <v>5.6000000000000005</v>
      </c>
      <c r="M7743">
        <f t="shared" ref="M7743:M7752" si="1216">IF(E7743="p",5,0)</f>
        <v>0</v>
      </c>
    </row>
    <row r="7744" spans="1:13" x14ac:dyDescent="0.3">
      <c r="A7744" s="3">
        <f t="shared" si="1207"/>
        <v>46052</v>
      </c>
      <c r="B7744" s="11" t="s">
        <v>6260</v>
      </c>
      <c r="C7744" t="s">
        <v>7117</v>
      </c>
      <c r="D7744" s="153"/>
      <c r="E7744" s="90" t="s">
        <v>4720</v>
      </c>
      <c r="H7744" s="166">
        <v>5500</v>
      </c>
      <c r="I7744" s="88">
        <f t="shared" si="1214"/>
        <v>6640.2599999999948</v>
      </c>
      <c r="K7744" s="62"/>
      <c r="L7744" s="2">
        <f t="shared" si="1215"/>
        <v>20</v>
      </c>
      <c r="M7744">
        <f t="shared" si="1216"/>
        <v>0</v>
      </c>
    </row>
    <row r="7745" spans="1:14" x14ac:dyDescent="0.3">
      <c r="A7745" s="3">
        <f t="shared" si="1207"/>
        <v>46052</v>
      </c>
      <c r="B7745" s="11" t="s">
        <v>8806</v>
      </c>
      <c r="C7745" t="s">
        <v>2615</v>
      </c>
      <c r="D7745" s="153"/>
      <c r="E7745" s="90" t="s">
        <v>2088</v>
      </c>
      <c r="G7745" s="2">
        <v>7000</v>
      </c>
      <c r="H7745" s="166"/>
      <c r="I7745" s="88">
        <f t="shared" si="1214"/>
        <v>13640.259999999995</v>
      </c>
      <c r="K7745" s="62"/>
      <c r="L7745" s="2">
        <f t="shared" si="1215"/>
        <v>25</v>
      </c>
      <c r="M7745">
        <f t="shared" si="1216"/>
        <v>5</v>
      </c>
    </row>
    <row r="7746" spans="1:14" x14ac:dyDescent="0.3">
      <c r="A7746" s="3">
        <f t="shared" si="1207"/>
        <v>46052</v>
      </c>
      <c r="B7746" s="11" t="s">
        <v>6844</v>
      </c>
      <c r="C7746" t="s">
        <v>9481</v>
      </c>
      <c r="D7746" s="153"/>
      <c r="E7746" s="90" t="s">
        <v>4720</v>
      </c>
      <c r="H7746" s="166">
        <v>4300</v>
      </c>
      <c r="I7746" s="88">
        <f t="shared" si="1214"/>
        <v>9340.2599999999948</v>
      </c>
      <c r="K7746" s="62"/>
      <c r="L7746" s="2">
        <f t="shared" si="1215"/>
        <v>17.2</v>
      </c>
      <c r="M7746">
        <f t="shared" si="1216"/>
        <v>0</v>
      </c>
    </row>
    <row r="7747" spans="1:14" x14ac:dyDescent="0.3">
      <c r="A7747" s="3">
        <v>46053</v>
      </c>
      <c r="B7747" s="11" t="s">
        <v>4796</v>
      </c>
      <c r="C7747" t="s">
        <v>8859</v>
      </c>
      <c r="D7747" s="153" t="s">
        <v>10119</v>
      </c>
      <c r="E7747" s="90" t="s">
        <v>4720</v>
      </c>
      <c r="H7747" s="166">
        <v>9000</v>
      </c>
      <c r="I7747" s="88">
        <f t="shared" si="1214"/>
        <v>340.25999999999476</v>
      </c>
      <c r="K7747" s="62"/>
      <c r="L7747" s="2">
        <f t="shared" si="1215"/>
        <v>20</v>
      </c>
      <c r="M7747">
        <f t="shared" si="1216"/>
        <v>0</v>
      </c>
    </row>
    <row r="7748" spans="1:14" x14ac:dyDescent="0.3">
      <c r="A7748" s="3">
        <f t="shared" si="1207"/>
        <v>46053</v>
      </c>
      <c r="B7748" s="11" t="s">
        <v>8674</v>
      </c>
      <c r="C7748" t="s">
        <v>8675</v>
      </c>
      <c r="D7748" s="153"/>
      <c r="E7748" s="90" t="s">
        <v>2088</v>
      </c>
      <c r="G7748" s="2">
        <v>10000</v>
      </c>
      <c r="H7748" s="166"/>
      <c r="I7748" s="88">
        <f t="shared" si="1214"/>
        <v>10340.259999999995</v>
      </c>
      <c r="K7748" s="62"/>
      <c r="L7748" s="2">
        <f t="shared" si="1215"/>
        <v>25</v>
      </c>
      <c r="M7748">
        <f t="shared" si="1216"/>
        <v>5</v>
      </c>
    </row>
    <row r="7749" spans="1:14" x14ac:dyDescent="0.3">
      <c r="A7749" s="3">
        <f t="shared" si="1207"/>
        <v>46053</v>
      </c>
      <c r="B7749" s="11" t="s">
        <v>7299</v>
      </c>
      <c r="C7749" t="s">
        <v>10121</v>
      </c>
      <c r="D7749" s="153"/>
      <c r="E7749" s="90" t="s">
        <v>2088</v>
      </c>
      <c r="G7749" s="2">
        <v>1000</v>
      </c>
      <c r="H7749" s="166"/>
      <c r="I7749" s="88">
        <f t="shared" si="1214"/>
        <v>11340.259999999995</v>
      </c>
      <c r="K7749" s="62"/>
      <c r="L7749" s="2">
        <f t="shared" si="1215"/>
        <v>9</v>
      </c>
      <c r="M7749">
        <f t="shared" si="1216"/>
        <v>5</v>
      </c>
    </row>
    <row r="7750" spans="1:14" x14ac:dyDescent="0.3">
      <c r="A7750" s="3">
        <f t="shared" si="1207"/>
        <v>46053</v>
      </c>
      <c r="B7750" s="11" t="s">
        <v>1250</v>
      </c>
      <c r="C7750" t="s">
        <v>8862</v>
      </c>
      <c r="D7750" s="153"/>
      <c r="E7750" s="90" t="s">
        <v>4720</v>
      </c>
      <c r="G7750" s="2">
        <v>2600</v>
      </c>
      <c r="H7750" s="166"/>
      <c r="I7750" s="88">
        <f t="shared" si="1214"/>
        <v>13940.259999999995</v>
      </c>
      <c r="K7750" s="62"/>
      <c r="L7750" s="2">
        <f t="shared" si="1215"/>
        <v>10.4</v>
      </c>
      <c r="M7750">
        <f t="shared" si="1216"/>
        <v>0</v>
      </c>
    </row>
    <row r="7751" spans="1:14" x14ac:dyDescent="0.3">
      <c r="A7751" s="3">
        <f t="shared" si="1207"/>
        <v>46053</v>
      </c>
      <c r="B7751" s="11" t="s">
        <v>9176</v>
      </c>
      <c r="C7751" t="s">
        <v>9177</v>
      </c>
      <c r="D7751" s="153"/>
      <c r="E7751" s="90" t="s">
        <v>4720</v>
      </c>
      <c r="G7751" s="2">
        <v>2500</v>
      </c>
      <c r="H7751" s="166"/>
      <c r="I7751" s="88">
        <f t="shared" si="1214"/>
        <v>16440.259999999995</v>
      </c>
      <c r="K7751" s="62"/>
      <c r="L7751" s="2">
        <f t="shared" si="1215"/>
        <v>10</v>
      </c>
      <c r="M7751">
        <f t="shared" si="1216"/>
        <v>0</v>
      </c>
    </row>
    <row r="7752" spans="1:14" x14ac:dyDescent="0.3">
      <c r="A7752" s="3">
        <f t="shared" si="1207"/>
        <v>46053</v>
      </c>
      <c r="B7752" s="11" t="s">
        <v>10128</v>
      </c>
      <c r="C7752" t="s">
        <v>10133</v>
      </c>
      <c r="D7752" s="153"/>
      <c r="E7752" s="90" t="s">
        <v>16</v>
      </c>
      <c r="G7752" s="2">
        <v>0</v>
      </c>
      <c r="H7752" s="166">
        <v>0</v>
      </c>
      <c r="I7752" s="88">
        <f t="shared" si="1214"/>
        <v>16440.259999999995</v>
      </c>
      <c r="K7752" s="62"/>
      <c r="L7752" s="2">
        <f t="shared" si="1215"/>
        <v>15</v>
      </c>
      <c r="M7752">
        <f t="shared" si="1216"/>
        <v>0</v>
      </c>
    </row>
    <row r="7753" spans="1:14" x14ac:dyDescent="0.3">
      <c r="A7753" s="3">
        <f>A7751</f>
        <v>46053</v>
      </c>
      <c r="B7753" s="11" t="s">
        <v>10122</v>
      </c>
      <c r="C7753" t="s">
        <v>10123</v>
      </c>
      <c r="D7753" s="153" t="s">
        <v>10124</v>
      </c>
      <c r="E7753" s="90" t="s">
        <v>2088</v>
      </c>
      <c r="H7753" s="166">
        <v>2500</v>
      </c>
      <c r="I7753" s="88">
        <f>I7751+G7753-H7753</f>
        <v>13940.259999999995</v>
      </c>
      <c r="K7753" s="62"/>
      <c r="L7753" s="2">
        <f t="shared" ref="L7753" si="1217">IF(E7753="C",0,IF((G7753+H7753)&lt;=5000,(G7753+H7753)*0.004,20)+IF(E7753="P",5,IF(E7753="Y",15,IF(E7753="YY",25))))</f>
        <v>15</v>
      </c>
      <c r="M7753">
        <f t="shared" ref="M7753" si="1218">IF(E7753="p",5,0)</f>
        <v>5</v>
      </c>
    </row>
    <row r="7754" spans="1:14" x14ac:dyDescent="0.3">
      <c r="A7754" s="77">
        <f>COUNT(A7458:A7753)</f>
        <v>296</v>
      </c>
      <c r="B7754" s="80" t="s">
        <v>7120</v>
      </c>
      <c r="C7754" s="112">
        <f>SUMIF(E7458:E7753,"C",H7458:H7753)+SUMIF(E7458:E7753,"C",G7458:G7753)</f>
        <v>288298.11</v>
      </c>
      <c r="D7754" s="112">
        <f>COUNTIF(E7458:E7753,"P")</f>
        <v>91</v>
      </c>
      <c r="E7754" s="92">
        <f>COUNTIF(E7458:E7753,"Y")</f>
        <v>10</v>
      </c>
      <c r="F7754" s="80">
        <f>SUM(F4202)</f>
        <v>0</v>
      </c>
      <c r="G7754" s="121">
        <f>SUM(G7458:G7753)</f>
        <v>584348.11</v>
      </c>
      <c r="H7754" s="121">
        <f>SUM(H7458:H7753)</f>
        <v>606753.78</v>
      </c>
      <c r="I7754" s="121">
        <f>G7754+H7754-C7754</f>
        <v>902803.78000000014</v>
      </c>
      <c r="J7754" s="122"/>
      <c r="K7754" s="122">
        <f>SUM(K7458:K7753)</f>
        <v>7669.7099999999864</v>
      </c>
      <c r="L7754" s="121">
        <f>SUM(L7458:L7753)</f>
        <v>3438.4151200000001</v>
      </c>
      <c r="M7754" s="121">
        <f>SUM(M7458:M7753)</f>
        <v>455</v>
      </c>
      <c r="N7754" s="62"/>
    </row>
    <row r="7756" spans="1:14" x14ac:dyDescent="0.3">
      <c r="A7756" s="3">
        <v>46054</v>
      </c>
      <c r="C7756" t="s">
        <v>6831</v>
      </c>
      <c r="D7756" s="153"/>
      <c r="E7756" s="90" t="s">
        <v>8332</v>
      </c>
      <c r="G7756" s="2">
        <v>13940.26</v>
      </c>
      <c r="H7756" s="166"/>
      <c r="I7756" s="88">
        <f t="shared" ref="I7756:I7766" si="1219">I7755+G7756-H7756</f>
        <v>13940.26</v>
      </c>
      <c r="K7756" s="62"/>
      <c r="L7756" s="2">
        <f t="shared" ref="L7756:L7757" si="1220">IF(E7756="C",0,IF((G7756+H7756)&lt;=5000,(G7756+H7756)*0.004,20)+IF(E7756="P",5,IF(E7756="Y",15,IF(E7756="YY",25))))</f>
        <v>0</v>
      </c>
      <c r="M7756">
        <f t="shared" ref="M7756:M7757" si="1221">IF(E7756="p",5,0)</f>
        <v>0</v>
      </c>
    </row>
    <row r="7757" spans="1:14" x14ac:dyDescent="0.3">
      <c r="A7757" s="3">
        <f t="shared" ref="A7757:A7820" si="1222">A7756</f>
        <v>46054</v>
      </c>
      <c r="B7757" s="11" t="s">
        <v>1472</v>
      </c>
      <c r="C7757" t="s">
        <v>10064</v>
      </c>
      <c r="D7757" s="153"/>
      <c r="E7757" s="90" t="s">
        <v>4720</v>
      </c>
      <c r="G7757" s="2">
        <v>5100</v>
      </c>
      <c r="H7757" s="166"/>
      <c r="I7757" s="88">
        <f t="shared" si="1219"/>
        <v>19040.260000000002</v>
      </c>
      <c r="K7757" s="62"/>
      <c r="L7757" s="2">
        <f t="shared" si="1220"/>
        <v>20</v>
      </c>
      <c r="M7757">
        <f t="shared" si="1221"/>
        <v>0</v>
      </c>
    </row>
    <row r="7758" spans="1:14" x14ac:dyDescent="0.3">
      <c r="A7758" s="3">
        <f t="shared" si="1222"/>
        <v>46054</v>
      </c>
      <c r="B7758" s="11" t="s">
        <v>4157</v>
      </c>
      <c r="C7758" t="s">
        <v>10125</v>
      </c>
      <c r="D7758" s="153"/>
      <c r="E7758" s="90" t="s">
        <v>4720</v>
      </c>
      <c r="H7758" s="166">
        <v>2900</v>
      </c>
      <c r="I7758" s="88">
        <f t="shared" si="1219"/>
        <v>16140.260000000002</v>
      </c>
      <c r="K7758" s="62"/>
      <c r="L7758" s="2">
        <f t="shared" ref="L7758:L7766" si="1223">IF(E7758="C",0,IF((G7758+H7758)&lt;=5000,(G7758+H7758)*0.004,20)+IF(E7758="P",5,IF(E7758="Y",15,IF(E7758="YY",25))))</f>
        <v>11.6</v>
      </c>
      <c r="M7758">
        <f t="shared" ref="M7758:M7766" si="1224">IF(E7758="p",5,0)</f>
        <v>0</v>
      </c>
    </row>
    <row r="7759" spans="1:14" x14ac:dyDescent="0.3">
      <c r="A7759" s="3">
        <f t="shared" si="1222"/>
        <v>46054</v>
      </c>
      <c r="B7759" s="11" t="s">
        <v>10126</v>
      </c>
      <c r="C7759"/>
      <c r="D7759" s="153"/>
      <c r="E7759" s="90" t="s">
        <v>2088</v>
      </c>
      <c r="H7759" s="166">
        <v>2000</v>
      </c>
      <c r="I7759" s="88">
        <f t="shared" si="1219"/>
        <v>14140.260000000002</v>
      </c>
      <c r="K7759" s="62"/>
      <c r="L7759" s="2">
        <f t="shared" si="1223"/>
        <v>13</v>
      </c>
      <c r="M7759">
        <f t="shared" si="1224"/>
        <v>5</v>
      </c>
    </row>
    <row r="7760" spans="1:14" x14ac:dyDescent="0.3">
      <c r="A7760" s="3">
        <f t="shared" si="1222"/>
        <v>46054</v>
      </c>
      <c r="B7760" s="11" t="s">
        <v>8674</v>
      </c>
      <c r="C7760" t="s">
        <v>10127</v>
      </c>
      <c r="D7760" s="153"/>
      <c r="E7760" s="90" t="s">
        <v>2088</v>
      </c>
      <c r="G7760" s="2">
        <v>5000</v>
      </c>
      <c r="H7760" s="166"/>
      <c r="I7760" s="88">
        <f t="shared" si="1219"/>
        <v>19140.260000000002</v>
      </c>
      <c r="K7760" s="62"/>
      <c r="L7760" s="2">
        <f t="shared" si="1223"/>
        <v>25</v>
      </c>
      <c r="M7760">
        <f t="shared" si="1224"/>
        <v>5</v>
      </c>
    </row>
    <row r="7761" spans="1:13" x14ac:dyDescent="0.3">
      <c r="A7761" s="3">
        <f t="shared" si="1222"/>
        <v>46054</v>
      </c>
      <c r="B7761" s="11" t="s">
        <v>8674</v>
      </c>
      <c r="C7761" t="s">
        <v>10127</v>
      </c>
      <c r="D7761" s="153"/>
      <c r="E7761" s="90" t="s">
        <v>2088</v>
      </c>
      <c r="G7761" s="2">
        <v>5000</v>
      </c>
      <c r="H7761" s="166"/>
      <c r="I7761" s="88">
        <f t="shared" si="1219"/>
        <v>24140.260000000002</v>
      </c>
      <c r="K7761" s="62"/>
      <c r="L7761" s="2">
        <f t="shared" si="1223"/>
        <v>25</v>
      </c>
      <c r="M7761">
        <f t="shared" si="1224"/>
        <v>5</v>
      </c>
    </row>
    <row r="7762" spans="1:13" x14ac:dyDescent="0.3">
      <c r="A7762" s="3">
        <f t="shared" si="1222"/>
        <v>46054</v>
      </c>
      <c r="B7762" s="11" t="s">
        <v>10128</v>
      </c>
      <c r="C7762" t="s">
        <v>10129</v>
      </c>
      <c r="D7762" s="153"/>
      <c r="E7762" s="90" t="s">
        <v>4720</v>
      </c>
      <c r="H7762" s="166">
        <v>1000</v>
      </c>
      <c r="I7762" s="88">
        <f t="shared" si="1219"/>
        <v>23140.260000000002</v>
      </c>
      <c r="K7762" s="62"/>
      <c r="L7762" s="2">
        <f t="shared" si="1223"/>
        <v>4</v>
      </c>
      <c r="M7762">
        <f t="shared" si="1224"/>
        <v>0</v>
      </c>
    </row>
    <row r="7763" spans="1:13" x14ac:dyDescent="0.3">
      <c r="A7763" s="3">
        <f t="shared" si="1222"/>
        <v>46054</v>
      </c>
      <c r="B7763" s="11" t="s">
        <v>2140</v>
      </c>
      <c r="C7763" t="s">
        <v>5572</v>
      </c>
      <c r="D7763" s="153"/>
      <c r="E7763" s="90" t="s">
        <v>4720</v>
      </c>
      <c r="H7763" s="166">
        <v>5000</v>
      </c>
      <c r="I7763" s="88">
        <f t="shared" si="1219"/>
        <v>18140.260000000002</v>
      </c>
      <c r="K7763" s="62"/>
      <c r="L7763" s="2">
        <f t="shared" si="1223"/>
        <v>20</v>
      </c>
      <c r="M7763">
        <f t="shared" si="1224"/>
        <v>0</v>
      </c>
    </row>
    <row r="7764" spans="1:13" x14ac:dyDescent="0.3">
      <c r="A7764" s="3">
        <v>46055</v>
      </c>
      <c r="B7764" s="11" t="s">
        <v>4297</v>
      </c>
      <c r="C7764" t="s">
        <v>10134</v>
      </c>
      <c r="D7764" s="153"/>
      <c r="E7764" s="90" t="s">
        <v>4720</v>
      </c>
      <c r="H7764" s="166">
        <v>10000</v>
      </c>
      <c r="I7764" s="88">
        <f t="shared" si="1219"/>
        <v>8140.260000000002</v>
      </c>
      <c r="K7764" s="62"/>
      <c r="L7764" s="2">
        <f t="shared" si="1223"/>
        <v>20</v>
      </c>
      <c r="M7764">
        <f t="shared" si="1224"/>
        <v>0</v>
      </c>
    </row>
    <row r="7765" spans="1:13" x14ac:dyDescent="0.3">
      <c r="A7765" s="3">
        <f t="shared" si="1222"/>
        <v>46055</v>
      </c>
      <c r="B7765" s="11" t="s">
        <v>10146</v>
      </c>
      <c r="C7765" s="7" t="s">
        <v>10147</v>
      </c>
      <c r="D7765" s="153"/>
      <c r="E7765" s="90" t="s">
        <v>14</v>
      </c>
      <c r="H7765" s="166">
        <v>500</v>
      </c>
      <c r="I7765" s="88">
        <f t="shared" si="1219"/>
        <v>7640.260000000002</v>
      </c>
      <c r="K7765" s="62"/>
      <c r="L7765" s="2">
        <f t="shared" si="1223"/>
        <v>17</v>
      </c>
      <c r="M7765">
        <f t="shared" si="1224"/>
        <v>0</v>
      </c>
    </row>
    <row r="7766" spans="1:13" x14ac:dyDescent="0.3">
      <c r="A7766" s="3">
        <f t="shared" si="1222"/>
        <v>46055</v>
      </c>
      <c r="C7766" t="s">
        <v>10136</v>
      </c>
      <c r="D7766" s="153"/>
      <c r="E7766" s="90" t="s">
        <v>4720</v>
      </c>
      <c r="G7766" s="2">
        <v>1500</v>
      </c>
      <c r="H7766" s="166"/>
      <c r="I7766" s="88">
        <f t="shared" si="1219"/>
        <v>9140.260000000002</v>
      </c>
      <c r="K7766" s="62"/>
      <c r="L7766" s="2">
        <f t="shared" si="1223"/>
        <v>6</v>
      </c>
      <c r="M7766">
        <f t="shared" si="1224"/>
        <v>0</v>
      </c>
    </row>
    <row r="7767" spans="1:13" x14ac:dyDescent="0.3">
      <c r="A7767" s="3">
        <f t="shared" si="1222"/>
        <v>46055</v>
      </c>
      <c r="B7767" s="11" t="s">
        <v>3989</v>
      </c>
      <c r="C7767" t="s">
        <v>10137</v>
      </c>
      <c r="D7767" s="153"/>
      <c r="E7767" s="90" t="s">
        <v>2088</v>
      </c>
      <c r="H7767" s="166">
        <v>9000</v>
      </c>
      <c r="I7767" s="88">
        <f t="shared" ref="I7767:I7776" si="1225">I7766+G7767-H7767</f>
        <v>140.26000000000204</v>
      </c>
      <c r="K7767" s="62"/>
      <c r="L7767" s="2">
        <f t="shared" ref="L7767:L7776" si="1226">IF(E7767="C",0,IF((G7767+H7767)&lt;=5000,(G7767+H7767)*0.004,20)+IF(E7767="P",5,IF(E7767="Y",15,IF(E7767="YY",25))))</f>
        <v>25</v>
      </c>
      <c r="M7767">
        <f t="shared" ref="M7767:M7776" si="1227">IF(E7767="p",5,0)</f>
        <v>5</v>
      </c>
    </row>
    <row r="7768" spans="1:13" x14ac:dyDescent="0.3">
      <c r="A7768" s="3">
        <f t="shared" si="1222"/>
        <v>46055</v>
      </c>
      <c r="B7768" s="11" t="s">
        <v>5156</v>
      </c>
      <c r="C7768" s="50" t="s">
        <v>7540</v>
      </c>
      <c r="D7768" s="153"/>
      <c r="E7768" s="90" t="s">
        <v>2088</v>
      </c>
      <c r="G7768" s="2">
        <v>2500</v>
      </c>
      <c r="H7768" s="166"/>
      <c r="I7768" s="88">
        <f t="shared" si="1225"/>
        <v>2640.260000000002</v>
      </c>
      <c r="K7768" s="62"/>
      <c r="L7768" s="2">
        <f t="shared" si="1226"/>
        <v>15</v>
      </c>
      <c r="M7768">
        <f t="shared" si="1227"/>
        <v>5</v>
      </c>
    </row>
    <row r="7769" spans="1:13" x14ac:dyDescent="0.3">
      <c r="A7769" s="3">
        <f t="shared" si="1222"/>
        <v>46055</v>
      </c>
      <c r="B7769" s="11" t="s">
        <v>5289</v>
      </c>
      <c r="C7769" t="s">
        <v>10139</v>
      </c>
      <c r="D7769" s="153"/>
      <c r="E7769" s="90" t="s">
        <v>2088</v>
      </c>
      <c r="G7769" s="2">
        <v>2500</v>
      </c>
      <c r="H7769" s="166"/>
      <c r="I7769" s="88">
        <f t="shared" si="1225"/>
        <v>5140.260000000002</v>
      </c>
      <c r="K7769" s="62"/>
      <c r="L7769" s="2">
        <f t="shared" si="1226"/>
        <v>15</v>
      </c>
      <c r="M7769">
        <f t="shared" si="1227"/>
        <v>5</v>
      </c>
    </row>
    <row r="7770" spans="1:13" x14ac:dyDescent="0.3">
      <c r="A7770" s="3">
        <f t="shared" si="1222"/>
        <v>46055</v>
      </c>
      <c r="B7770" s="11" t="s">
        <v>3289</v>
      </c>
      <c r="C7770" t="s">
        <v>2734</v>
      </c>
      <c r="D7770" s="153"/>
      <c r="E7770" s="90" t="s">
        <v>4720</v>
      </c>
      <c r="G7770" s="2">
        <v>1000</v>
      </c>
      <c r="H7770" s="166"/>
      <c r="I7770" s="88">
        <f t="shared" si="1225"/>
        <v>6140.260000000002</v>
      </c>
      <c r="K7770" s="62"/>
      <c r="L7770" s="2">
        <f t="shared" si="1226"/>
        <v>4</v>
      </c>
      <c r="M7770">
        <f t="shared" si="1227"/>
        <v>0</v>
      </c>
    </row>
    <row r="7771" spans="1:13" x14ac:dyDescent="0.3">
      <c r="A7771" s="3">
        <f t="shared" si="1222"/>
        <v>46055</v>
      </c>
      <c r="B7771" s="11" t="s">
        <v>8674</v>
      </c>
      <c r="C7771" t="s">
        <v>10127</v>
      </c>
      <c r="D7771" s="153"/>
      <c r="E7771" s="90" t="s">
        <v>2088</v>
      </c>
      <c r="G7771" s="2">
        <v>10000</v>
      </c>
      <c r="H7771" s="166"/>
      <c r="I7771" s="88">
        <f t="shared" si="1225"/>
        <v>16140.260000000002</v>
      </c>
      <c r="K7771" s="62"/>
      <c r="L7771" s="2">
        <f t="shared" si="1226"/>
        <v>25</v>
      </c>
      <c r="M7771">
        <f t="shared" si="1227"/>
        <v>5</v>
      </c>
    </row>
    <row r="7772" spans="1:13" x14ac:dyDescent="0.3">
      <c r="A7772" s="3">
        <f t="shared" si="1222"/>
        <v>46055</v>
      </c>
      <c r="B7772" s="11" t="s">
        <v>9432</v>
      </c>
      <c r="C7772" t="s">
        <v>10140</v>
      </c>
      <c r="D7772" s="153"/>
      <c r="E7772" s="90" t="s">
        <v>2088</v>
      </c>
      <c r="H7772" s="166">
        <v>5000</v>
      </c>
      <c r="I7772" s="88">
        <f t="shared" si="1225"/>
        <v>11140.260000000002</v>
      </c>
      <c r="K7772" s="62"/>
      <c r="L7772" s="2">
        <f t="shared" si="1226"/>
        <v>25</v>
      </c>
      <c r="M7772">
        <f t="shared" si="1227"/>
        <v>5</v>
      </c>
    </row>
    <row r="7773" spans="1:13" x14ac:dyDescent="0.3">
      <c r="A7773" s="3">
        <f t="shared" si="1222"/>
        <v>46055</v>
      </c>
      <c r="B7773" s="11" t="s">
        <v>4622</v>
      </c>
      <c r="C7773" s="50" t="s">
        <v>8340</v>
      </c>
      <c r="D7773" s="153"/>
      <c r="E7773" s="90" t="s">
        <v>2088</v>
      </c>
      <c r="G7773" s="2">
        <v>4000</v>
      </c>
      <c r="H7773" s="166"/>
      <c r="I7773" s="88">
        <f t="shared" si="1225"/>
        <v>15140.260000000002</v>
      </c>
      <c r="K7773" s="62"/>
      <c r="L7773" s="2">
        <f t="shared" si="1226"/>
        <v>21</v>
      </c>
      <c r="M7773">
        <f t="shared" si="1227"/>
        <v>5</v>
      </c>
    </row>
    <row r="7774" spans="1:13" x14ac:dyDescent="0.3">
      <c r="A7774" s="3">
        <f t="shared" si="1222"/>
        <v>46055</v>
      </c>
      <c r="B7774" s="11" t="s">
        <v>2634</v>
      </c>
      <c r="C7774" t="s">
        <v>10141</v>
      </c>
      <c r="D7774" s="153"/>
      <c r="E7774" s="90" t="s">
        <v>4720</v>
      </c>
      <c r="H7774" s="166">
        <v>8500</v>
      </c>
      <c r="I7774" s="88">
        <f t="shared" si="1225"/>
        <v>6640.260000000002</v>
      </c>
      <c r="K7774" s="62"/>
      <c r="L7774" s="2">
        <f t="shared" si="1226"/>
        <v>20</v>
      </c>
      <c r="M7774">
        <f t="shared" si="1227"/>
        <v>0</v>
      </c>
    </row>
    <row r="7775" spans="1:13" x14ac:dyDescent="0.3">
      <c r="A7775" s="3">
        <f t="shared" si="1222"/>
        <v>46055</v>
      </c>
      <c r="B7775" s="11" t="s">
        <v>6582</v>
      </c>
      <c r="C7775" t="s">
        <v>6583</v>
      </c>
      <c r="D7775" s="153"/>
      <c r="E7775" s="90" t="s">
        <v>4720</v>
      </c>
      <c r="G7775" s="2">
        <v>3000</v>
      </c>
      <c r="H7775" s="166"/>
      <c r="I7775" s="88">
        <f t="shared" si="1225"/>
        <v>9640.260000000002</v>
      </c>
      <c r="K7775" s="62"/>
      <c r="L7775" s="2">
        <f t="shared" si="1226"/>
        <v>12</v>
      </c>
      <c r="M7775">
        <f t="shared" si="1227"/>
        <v>0</v>
      </c>
    </row>
    <row r="7776" spans="1:13" x14ac:dyDescent="0.3">
      <c r="A7776" s="3">
        <f t="shared" si="1222"/>
        <v>46055</v>
      </c>
      <c r="B7776" s="11" t="s">
        <v>10142</v>
      </c>
      <c r="C7776" t="s">
        <v>10143</v>
      </c>
      <c r="D7776" s="153"/>
      <c r="E7776" s="90" t="s">
        <v>4720</v>
      </c>
      <c r="H7776" s="166">
        <v>1900</v>
      </c>
      <c r="I7776" s="88">
        <f t="shared" si="1225"/>
        <v>7740.260000000002</v>
      </c>
      <c r="K7776" s="62"/>
      <c r="L7776" s="2">
        <f t="shared" si="1226"/>
        <v>7.6000000000000005</v>
      </c>
      <c r="M7776">
        <f t="shared" si="1227"/>
        <v>0</v>
      </c>
    </row>
    <row r="7777" spans="1:13" x14ac:dyDescent="0.3">
      <c r="A7777" s="3">
        <v>46056</v>
      </c>
      <c r="B7777" s="11" t="s">
        <v>1250</v>
      </c>
      <c r="C7777" t="s">
        <v>9493</v>
      </c>
      <c r="D7777" s="153"/>
      <c r="E7777" s="90" t="s">
        <v>4720</v>
      </c>
      <c r="G7777" s="2">
        <v>5000</v>
      </c>
      <c r="H7777" s="166"/>
      <c r="I7777" s="88">
        <f t="shared" ref="I7777:I7786" si="1228">I7776+G7777-H7777</f>
        <v>12740.260000000002</v>
      </c>
      <c r="K7777" s="62"/>
      <c r="L7777" s="2">
        <f t="shared" ref="L7777:L7786" si="1229">IF(E7777="C",0,IF((G7777+H7777)&lt;=5000,(G7777+H7777)*0.004,20)+IF(E7777="P",5,IF(E7777="Y",15,IF(E7777="YY",25))))</f>
        <v>20</v>
      </c>
      <c r="M7777">
        <f t="shared" ref="M7777:M7786" si="1230">IF(E7777="p",5,0)</f>
        <v>0</v>
      </c>
    </row>
    <row r="7778" spans="1:13" x14ac:dyDescent="0.3">
      <c r="A7778" s="3">
        <f t="shared" si="1222"/>
        <v>46056</v>
      </c>
      <c r="B7778" s="11" t="s">
        <v>3849</v>
      </c>
      <c r="C7778" t="s">
        <v>2551</v>
      </c>
      <c r="D7778" s="153"/>
      <c r="E7778" s="90" t="s">
        <v>4720</v>
      </c>
      <c r="H7778" s="166">
        <v>8000</v>
      </c>
      <c r="I7778" s="88">
        <f t="shared" si="1228"/>
        <v>4740.260000000002</v>
      </c>
      <c r="K7778" s="62"/>
      <c r="L7778" s="2">
        <f t="shared" si="1229"/>
        <v>20</v>
      </c>
      <c r="M7778">
        <f t="shared" si="1230"/>
        <v>0</v>
      </c>
    </row>
    <row r="7779" spans="1:13" x14ac:dyDescent="0.3">
      <c r="A7779" s="3">
        <f t="shared" si="1222"/>
        <v>46056</v>
      </c>
      <c r="B7779" s="11" t="s">
        <v>1160</v>
      </c>
      <c r="C7779" t="s">
        <v>7155</v>
      </c>
      <c r="D7779" s="153"/>
      <c r="E7779" s="90" t="s">
        <v>4720</v>
      </c>
      <c r="G7779" s="2">
        <v>2500</v>
      </c>
      <c r="H7779" s="166"/>
      <c r="I7779" s="88">
        <f t="shared" si="1228"/>
        <v>7240.260000000002</v>
      </c>
      <c r="K7779" s="62"/>
      <c r="L7779" s="2">
        <f t="shared" si="1229"/>
        <v>10</v>
      </c>
      <c r="M7779">
        <f t="shared" si="1230"/>
        <v>0</v>
      </c>
    </row>
    <row r="7780" spans="1:13" x14ac:dyDescent="0.3">
      <c r="A7780" s="3">
        <f t="shared" si="1222"/>
        <v>46056</v>
      </c>
      <c r="B7780" s="11" t="s">
        <v>3504</v>
      </c>
      <c r="C7780" t="s">
        <v>2487</v>
      </c>
      <c r="D7780" s="153"/>
      <c r="E7780" s="90" t="s">
        <v>4720</v>
      </c>
      <c r="H7780" s="166">
        <v>500</v>
      </c>
      <c r="I7780" s="88">
        <f t="shared" si="1228"/>
        <v>6740.260000000002</v>
      </c>
      <c r="K7780" s="62"/>
      <c r="L7780" s="2">
        <f t="shared" si="1229"/>
        <v>2</v>
      </c>
      <c r="M7780">
        <f t="shared" si="1230"/>
        <v>0</v>
      </c>
    </row>
    <row r="7781" spans="1:13" x14ac:dyDescent="0.3">
      <c r="A7781" s="3">
        <f t="shared" si="1222"/>
        <v>46056</v>
      </c>
      <c r="B7781" s="11" t="s">
        <v>9469</v>
      </c>
      <c r="C7781" t="s">
        <v>9470</v>
      </c>
      <c r="D7781" s="153"/>
      <c r="E7781" s="90" t="s">
        <v>4720</v>
      </c>
      <c r="H7781" s="166">
        <v>500</v>
      </c>
      <c r="I7781" s="88">
        <f t="shared" si="1228"/>
        <v>6240.260000000002</v>
      </c>
      <c r="K7781" s="62"/>
      <c r="L7781" s="2">
        <f t="shared" si="1229"/>
        <v>2</v>
      </c>
      <c r="M7781">
        <f t="shared" si="1230"/>
        <v>0</v>
      </c>
    </row>
    <row r="7782" spans="1:13" x14ac:dyDescent="0.3">
      <c r="A7782" s="3">
        <f t="shared" si="1222"/>
        <v>46056</v>
      </c>
      <c r="B7782" s="11" t="s">
        <v>1472</v>
      </c>
      <c r="C7782" t="s">
        <v>10144</v>
      </c>
      <c r="D7782" s="153"/>
      <c r="E7782" s="90" t="s">
        <v>4720</v>
      </c>
      <c r="G7782" s="2">
        <v>3000</v>
      </c>
      <c r="H7782" s="166"/>
      <c r="I7782" s="88">
        <f t="shared" si="1228"/>
        <v>9240.260000000002</v>
      </c>
      <c r="K7782" s="62"/>
      <c r="L7782" s="2">
        <f t="shared" si="1229"/>
        <v>12</v>
      </c>
      <c r="M7782">
        <f t="shared" si="1230"/>
        <v>0</v>
      </c>
    </row>
    <row r="7783" spans="1:13" x14ac:dyDescent="0.3">
      <c r="A7783" s="3">
        <f t="shared" si="1222"/>
        <v>46056</v>
      </c>
      <c r="B7783" s="11" t="s">
        <v>3148</v>
      </c>
      <c r="C7783" t="s">
        <v>9818</v>
      </c>
      <c r="D7783" s="153"/>
      <c r="E7783" s="90" t="s">
        <v>4720</v>
      </c>
      <c r="G7783" s="2">
        <v>600</v>
      </c>
      <c r="H7783" s="166"/>
      <c r="I7783" s="88">
        <f t="shared" si="1228"/>
        <v>9840.260000000002</v>
      </c>
      <c r="K7783" s="62"/>
      <c r="L7783" s="2">
        <f t="shared" si="1229"/>
        <v>2.4</v>
      </c>
      <c r="M7783">
        <f t="shared" si="1230"/>
        <v>0</v>
      </c>
    </row>
    <row r="7784" spans="1:13" x14ac:dyDescent="0.3">
      <c r="A7784" s="3">
        <f t="shared" si="1222"/>
        <v>46056</v>
      </c>
      <c r="B7784" s="11" t="s">
        <v>6434</v>
      </c>
      <c r="C7784" t="s">
        <v>7117</v>
      </c>
      <c r="D7784" s="153"/>
      <c r="E7784" s="90" t="s">
        <v>4720</v>
      </c>
      <c r="H7784" s="166">
        <v>6000</v>
      </c>
      <c r="I7784" s="88">
        <f t="shared" si="1228"/>
        <v>3840.260000000002</v>
      </c>
      <c r="K7784" s="62"/>
      <c r="L7784" s="2">
        <f t="shared" si="1229"/>
        <v>20</v>
      </c>
      <c r="M7784">
        <f t="shared" si="1230"/>
        <v>0</v>
      </c>
    </row>
    <row r="7785" spans="1:13" x14ac:dyDescent="0.3">
      <c r="A7785" s="3">
        <f t="shared" si="1222"/>
        <v>46056</v>
      </c>
      <c r="B7785" s="11" t="s">
        <v>1250</v>
      </c>
      <c r="C7785" t="s">
        <v>10145</v>
      </c>
      <c r="D7785" s="153"/>
      <c r="E7785" s="90" t="s">
        <v>4720</v>
      </c>
      <c r="G7785" s="2">
        <v>2000</v>
      </c>
      <c r="H7785" s="166"/>
      <c r="I7785" s="88">
        <f t="shared" si="1228"/>
        <v>5840.260000000002</v>
      </c>
      <c r="K7785" s="62"/>
      <c r="L7785" s="2">
        <f t="shared" si="1229"/>
        <v>8</v>
      </c>
      <c r="M7785">
        <f t="shared" si="1230"/>
        <v>0</v>
      </c>
    </row>
    <row r="7786" spans="1:13" x14ac:dyDescent="0.3">
      <c r="A7786" s="3">
        <f t="shared" si="1222"/>
        <v>46056</v>
      </c>
      <c r="B7786" s="11" t="s">
        <v>1250</v>
      </c>
      <c r="C7786"/>
      <c r="D7786" s="153"/>
      <c r="E7786" s="90" t="s">
        <v>4720</v>
      </c>
      <c r="G7786" s="2">
        <v>8050</v>
      </c>
      <c r="H7786" s="166"/>
      <c r="I7786" s="88">
        <f t="shared" si="1228"/>
        <v>13890.260000000002</v>
      </c>
      <c r="K7786" s="62"/>
      <c r="L7786" s="2">
        <f t="shared" si="1229"/>
        <v>20</v>
      </c>
      <c r="M7786">
        <f t="shared" si="1230"/>
        <v>0</v>
      </c>
    </row>
    <row r="7787" spans="1:13" x14ac:dyDescent="0.3">
      <c r="A7787" s="3">
        <v>46057</v>
      </c>
      <c r="B7787" s="11" t="s">
        <v>10151</v>
      </c>
      <c r="C7787" t="s">
        <v>10152</v>
      </c>
      <c r="D7787" s="153"/>
      <c r="E7787" s="90" t="s">
        <v>2088</v>
      </c>
      <c r="H7787" s="166">
        <v>500</v>
      </c>
      <c r="I7787" s="88">
        <f t="shared" ref="I7787:I7798" si="1231">I7786+G7787-H7787</f>
        <v>13390.260000000002</v>
      </c>
      <c r="K7787" s="62"/>
      <c r="L7787" s="2">
        <f t="shared" ref="L7787:L7798" si="1232">IF(E7787="C",0,IF((G7787+H7787)&lt;=5000,(G7787+H7787)*0.004,20)+IF(E7787="P",5,IF(E7787="Y",15,IF(E7787="YY",25))))</f>
        <v>7</v>
      </c>
      <c r="M7787">
        <f t="shared" ref="M7787:M7798" si="1233">IF(E7787="p",5,0)</f>
        <v>5</v>
      </c>
    </row>
    <row r="7788" spans="1:13" x14ac:dyDescent="0.3">
      <c r="A7788" s="3">
        <f t="shared" si="1222"/>
        <v>46057</v>
      </c>
      <c r="B7788" s="11" t="s">
        <v>5542</v>
      </c>
      <c r="C7788" t="s">
        <v>3658</v>
      </c>
      <c r="D7788" s="153"/>
      <c r="E7788" s="90" t="s">
        <v>4720</v>
      </c>
      <c r="G7788" s="2">
        <v>5000</v>
      </c>
      <c r="H7788" s="166"/>
      <c r="I7788" s="88">
        <f t="shared" si="1231"/>
        <v>18390.260000000002</v>
      </c>
      <c r="K7788" s="62"/>
      <c r="L7788" s="2">
        <f t="shared" si="1232"/>
        <v>20</v>
      </c>
      <c r="M7788">
        <f t="shared" si="1233"/>
        <v>0</v>
      </c>
    </row>
    <row r="7789" spans="1:13" x14ac:dyDescent="0.3">
      <c r="A7789" s="3">
        <f t="shared" si="1222"/>
        <v>46057</v>
      </c>
      <c r="B7789" s="11" t="s">
        <v>1250</v>
      </c>
      <c r="C7789" t="s">
        <v>2348</v>
      </c>
      <c r="D7789" s="153"/>
      <c r="E7789" s="90" t="s">
        <v>4720</v>
      </c>
      <c r="G7789" s="2">
        <v>6000</v>
      </c>
      <c r="H7789" s="166"/>
      <c r="I7789" s="88">
        <f t="shared" si="1231"/>
        <v>24390.260000000002</v>
      </c>
      <c r="K7789" s="62"/>
      <c r="L7789" s="2">
        <f t="shared" si="1232"/>
        <v>20</v>
      </c>
      <c r="M7789">
        <f t="shared" si="1233"/>
        <v>0</v>
      </c>
    </row>
    <row r="7790" spans="1:13" x14ac:dyDescent="0.3">
      <c r="A7790" s="3">
        <f t="shared" si="1222"/>
        <v>46057</v>
      </c>
      <c r="B7790" s="11" t="s">
        <v>6940</v>
      </c>
      <c r="C7790" t="s">
        <v>7470</v>
      </c>
      <c r="D7790" s="153"/>
      <c r="E7790" s="90" t="s">
        <v>4720</v>
      </c>
      <c r="G7790" s="2">
        <v>500</v>
      </c>
      <c r="H7790" s="166"/>
      <c r="I7790" s="88">
        <f t="shared" si="1231"/>
        <v>24890.260000000002</v>
      </c>
      <c r="K7790" s="62"/>
      <c r="L7790" s="2">
        <f t="shared" si="1232"/>
        <v>2</v>
      </c>
      <c r="M7790">
        <f t="shared" si="1233"/>
        <v>0</v>
      </c>
    </row>
    <row r="7791" spans="1:13" x14ac:dyDescent="0.3">
      <c r="A7791" s="3">
        <f t="shared" si="1222"/>
        <v>46057</v>
      </c>
      <c r="B7791" s="11" t="s">
        <v>8078</v>
      </c>
      <c r="C7791" t="s">
        <v>8079</v>
      </c>
      <c r="D7791" s="153"/>
      <c r="E7791" s="90" t="s">
        <v>2088</v>
      </c>
      <c r="H7791" s="166">
        <v>5000</v>
      </c>
      <c r="I7791" s="88">
        <f t="shared" si="1231"/>
        <v>19890.260000000002</v>
      </c>
      <c r="K7791" s="62"/>
      <c r="L7791" s="2">
        <f t="shared" si="1232"/>
        <v>25</v>
      </c>
      <c r="M7791">
        <f t="shared" si="1233"/>
        <v>5</v>
      </c>
    </row>
    <row r="7792" spans="1:13" x14ac:dyDescent="0.3">
      <c r="A7792" s="3">
        <f t="shared" si="1222"/>
        <v>46057</v>
      </c>
      <c r="B7792" s="11" t="s">
        <v>9482</v>
      </c>
      <c r="C7792" t="s">
        <v>10153</v>
      </c>
      <c r="D7792" s="153"/>
      <c r="E7792" s="90" t="s">
        <v>4720</v>
      </c>
      <c r="G7792" s="2">
        <v>10000</v>
      </c>
      <c r="H7792" s="166"/>
      <c r="I7792" s="88">
        <f t="shared" si="1231"/>
        <v>29890.260000000002</v>
      </c>
      <c r="K7792" s="62"/>
      <c r="L7792" s="2">
        <f t="shared" si="1232"/>
        <v>20</v>
      </c>
      <c r="M7792">
        <f t="shared" si="1233"/>
        <v>0</v>
      </c>
    </row>
    <row r="7793" spans="1:13" x14ac:dyDescent="0.3">
      <c r="A7793" s="3">
        <f t="shared" si="1222"/>
        <v>46057</v>
      </c>
      <c r="B7793" s="11" t="s">
        <v>1388</v>
      </c>
      <c r="C7793" t="s">
        <v>2857</v>
      </c>
      <c r="D7793" s="153"/>
      <c r="E7793" s="90" t="s">
        <v>8332</v>
      </c>
      <c r="H7793" s="166">
        <v>29000</v>
      </c>
      <c r="I7793" s="88">
        <f t="shared" si="1231"/>
        <v>890.26000000000204</v>
      </c>
      <c r="K7793" s="62"/>
      <c r="L7793" s="2">
        <f t="shared" si="1232"/>
        <v>0</v>
      </c>
      <c r="M7793">
        <f t="shared" si="1233"/>
        <v>0</v>
      </c>
    </row>
    <row r="7794" spans="1:13" x14ac:dyDescent="0.3">
      <c r="A7794" s="3">
        <f t="shared" si="1222"/>
        <v>46057</v>
      </c>
      <c r="B7794" s="11" t="s">
        <v>1160</v>
      </c>
      <c r="C7794" t="s">
        <v>9478</v>
      </c>
      <c r="D7794" s="153"/>
      <c r="E7794" s="90" t="s">
        <v>4720</v>
      </c>
      <c r="G7794" s="2">
        <v>3000</v>
      </c>
      <c r="H7794" s="166"/>
      <c r="I7794" s="88">
        <f t="shared" si="1231"/>
        <v>3890.260000000002</v>
      </c>
      <c r="K7794" s="62"/>
      <c r="L7794" s="2">
        <f t="shared" si="1232"/>
        <v>12</v>
      </c>
      <c r="M7794">
        <f t="shared" si="1233"/>
        <v>0</v>
      </c>
    </row>
    <row r="7795" spans="1:13" x14ac:dyDescent="0.3">
      <c r="A7795" s="3">
        <f t="shared" si="1222"/>
        <v>46057</v>
      </c>
      <c r="B7795" s="11" t="s">
        <v>1160</v>
      </c>
      <c r="C7795" t="s">
        <v>9477</v>
      </c>
      <c r="D7795" s="153"/>
      <c r="E7795" s="90" t="s">
        <v>4720</v>
      </c>
      <c r="G7795" s="2">
        <v>1000</v>
      </c>
      <c r="H7795" s="166"/>
      <c r="I7795" s="88">
        <f t="shared" si="1231"/>
        <v>4890.260000000002</v>
      </c>
      <c r="K7795" s="62"/>
      <c r="L7795" s="2">
        <f t="shared" si="1232"/>
        <v>4</v>
      </c>
      <c r="M7795">
        <f t="shared" si="1233"/>
        <v>0</v>
      </c>
    </row>
    <row r="7796" spans="1:13" x14ac:dyDescent="0.3">
      <c r="A7796" s="3">
        <f t="shared" si="1222"/>
        <v>46057</v>
      </c>
      <c r="B7796" s="11" t="s">
        <v>1160</v>
      </c>
      <c r="C7796" t="s">
        <v>10154</v>
      </c>
      <c r="D7796" s="153"/>
      <c r="E7796" s="90" t="s">
        <v>4720</v>
      </c>
      <c r="G7796" s="2">
        <v>1000</v>
      </c>
      <c r="H7796" s="166"/>
      <c r="I7796" s="88">
        <f t="shared" si="1231"/>
        <v>5890.260000000002</v>
      </c>
      <c r="K7796" s="62"/>
      <c r="L7796" s="2">
        <f t="shared" si="1232"/>
        <v>4</v>
      </c>
      <c r="M7796">
        <f t="shared" si="1233"/>
        <v>0</v>
      </c>
    </row>
    <row r="7797" spans="1:13" x14ac:dyDescent="0.3">
      <c r="A7797" s="3">
        <f t="shared" si="1222"/>
        <v>46057</v>
      </c>
      <c r="B7797" s="11" t="s">
        <v>6434</v>
      </c>
      <c r="C7797" t="s">
        <v>7117</v>
      </c>
      <c r="D7797" s="153"/>
      <c r="E7797" s="90" t="s">
        <v>4720</v>
      </c>
      <c r="H7797" s="166">
        <v>4000</v>
      </c>
      <c r="I7797" s="88">
        <f t="shared" si="1231"/>
        <v>1890.260000000002</v>
      </c>
      <c r="K7797" s="62"/>
      <c r="L7797" s="2">
        <f t="shared" si="1232"/>
        <v>16</v>
      </c>
      <c r="M7797">
        <f t="shared" si="1233"/>
        <v>0</v>
      </c>
    </row>
    <row r="7798" spans="1:13" x14ac:dyDescent="0.3">
      <c r="A7798" s="3">
        <f t="shared" si="1222"/>
        <v>46057</v>
      </c>
      <c r="B7798" s="11" t="s">
        <v>4184</v>
      </c>
      <c r="C7798" t="s">
        <v>10155</v>
      </c>
      <c r="D7798" s="153"/>
      <c r="E7798" s="90" t="s">
        <v>2088</v>
      </c>
      <c r="G7798" s="2">
        <v>0</v>
      </c>
      <c r="H7798" s="166">
        <v>0</v>
      </c>
      <c r="I7798" s="88">
        <f t="shared" si="1231"/>
        <v>1890.260000000002</v>
      </c>
      <c r="K7798" s="62"/>
      <c r="L7798" s="2">
        <f t="shared" si="1232"/>
        <v>5</v>
      </c>
      <c r="M7798">
        <f t="shared" si="1233"/>
        <v>5</v>
      </c>
    </row>
    <row r="7799" spans="1:13" x14ac:dyDescent="0.3">
      <c r="A7799" s="3">
        <f t="shared" si="1222"/>
        <v>46057</v>
      </c>
      <c r="B7799" s="11" t="s">
        <v>8462</v>
      </c>
      <c r="C7799" t="s">
        <v>10156</v>
      </c>
      <c r="D7799" s="153"/>
      <c r="E7799" s="90" t="s">
        <v>4720</v>
      </c>
      <c r="G7799" s="2">
        <v>500</v>
      </c>
      <c r="H7799" s="166"/>
      <c r="I7799" s="88">
        <f t="shared" ref="I7799:I7823" si="1234">I7798+G7799-H7799</f>
        <v>2390.260000000002</v>
      </c>
      <c r="K7799" s="62"/>
      <c r="L7799" s="2">
        <f t="shared" ref="L7799:L7813" si="1235">IF(E7799="C",0,IF((G7799+H7799)&lt;=5000,(G7799+H7799)*0.004,20)+IF(E7799="P",5,IF(E7799="Y",15,IF(E7799="YY",25))))</f>
        <v>2</v>
      </c>
      <c r="M7799">
        <f t="shared" ref="M7799:M7813" si="1236">IF(E7799="p",5,0)</f>
        <v>0</v>
      </c>
    </row>
    <row r="7800" spans="1:13" x14ac:dyDescent="0.3">
      <c r="A7800" s="3">
        <f t="shared" si="1222"/>
        <v>46057</v>
      </c>
      <c r="B7800" s="11" t="s">
        <v>10128</v>
      </c>
      <c r="C7800" t="s">
        <v>10159</v>
      </c>
      <c r="D7800" s="153"/>
      <c r="E7800" s="90" t="s">
        <v>2088</v>
      </c>
      <c r="G7800" s="2">
        <v>0</v>
      </c>
      <c r="H7800" s="166">
        <v>0</v>
      </c>
      <c r="I7800" s="88">
        <f t="shared" si="1234"/>
        <v>2390.260000000002</v>
      </c>
      <c r="K7800" s="62"/>
      <c r="L7800" s="2">
        <f t="shared" si="1235"/>
        <v>5</v>
      </c>
      <c r="M7800">
        <f t="shared" si="1236"/>
        <v>5</v>
      </c>
    </row>
    <row r="7801" spans="1:13" x14ac:dyDescent="0.3">
      <c r="A7801" s="3">
        <f t="shared" si="1222"/>
        <v>46057</v>
      </c>
      <c r="B7801" s="11" t="s">
        <v>10160</v>
      </c>
      <c r="C7801" s="7" t="s">
        <v>9706</v>
      </c>
      <c r="D7801" s="153"/>
      <c r="E7801" s="90" t="s">
        <v>2088</v>
      </c>
      <c r="G7801" s="2">
        <v>0</v>
      </c>
      <c r="H7801" s="166">
        <v>0</v>
      </c>
      <c r="I7801" s="88">
        <f t="shared" si="1234"/>
        <v>2390.260000000002</v>
      </c>
      <c r="K7801" s="62"/>
      <c r="L7801" s="2">
        <f t="shared" si="1235"/>
        <v>5</v>
      </c>
      <c r="M7801">
        <f t="shared" si="1236"/>
        <v>5</v>
      </c>
    </row>
    <row r="7802" spans="1:13" x14ac:dyDescent="0.3">
      <c r="A7802" s="3">
        <f t="shared" si="1222"/>
        <v>46057</v>
      </c>
      <c r="B7802" s="11" t="s">
        <v>10161</v>
      </c>
      <c r="C7802" t="s">
        <v>8781</v>
      </c>
      <c r="D7802" s="153"/>
      <c r="E7802" s="90" t="s">
        <v>2088</v>
      </c>
      <c r="G7802" s="2">
        <v>1500</v>
      </c>
      <c r="H7802" s="166"/>
      <c r="I7802" s="88">
        <f t="shared" si="1234"/>
        <v>3890.260000000002</v>
      </c>
      <c r="K7802" s="62"/>
      <c r="L7802" s="2">
        <f t="shared" si="1235"/>
        <v>11</v>
      </c>
      <c r="M7802">
        <f t="shared" si="1236"/>
        <v>5</v>
      </c>
    </row>
    <row r="7803" spans="1:13" x14ac:dyDescent="0.3">
      <c r="A7803" s="3">
        <f t="shared" si="1222"/>
        <v>46057</v>
      </c>
      <c r="B7803" s="11" t="s">
        <v>10165</v>
      </c>
      <c r="C7803" s="7" t="s">
        <v>10164</v>
      </c>
      <c r="D7803" s="153"/>
      <c r="E7803" s="90" t="s">
        <v>14</v>
      </c>
      <c r="H7803" s="166">
        <v>500</v>
      </c>
      <c r="I7803" s="88">
        <f t="shared" si="1234"/>
        <v>3390.260000000002</v>
      </c>
      <c r="K7803" s="62"/>
      <c r="L7803" s="2">
        <f t="shared" si="1235"/>
        <v>17</v>
      </c>
      <c r="M7803">
        <f t="shared" si="1236"/>
        <v>0</v>
      </c>
    </row>
    <row r="7804" spans="1:13" x14ac:dyDescent="0.3">
      <c r="A7804" s="3">
        <v>46058</v>
      </c>
      <c r="B7804" s="11" t="s">
        <v>7026</v>
      </c>
      <c r="C7804" t="s">
        <v>9053</v>
      </c>
      <c r="D7804" s="153"/>
      <c r="E7804" s="90" t="s">
        <v>2088</v>
      </c>
      <c r="G7804" s="2">
        <v>5000</v>
      </c>
      <c r="H7804" s="166"/>
      <c r="I7804" s="88">
        <f t="shared" si="1234"/>
        <v>8390.260000000002</v>
      </c>
      <c r="K7804" s="62"/>
      <c r="L7804" s="2">
        <f t="shared" si="1235"/>
        <v>25</v>
      </c>
      <c r="M7804">
        <f t="shared" si="1236"/>
        <v>5</v>
      </c>
    </row>
    <row r="7805" spans="1:13" x14ac:dyDescent="0.3">
      <c r="A7805" s="3">
        <f t="shared" si="1222"/>
        <v>46058</v>
      </c>
      <c r="B7805" s="11" t="s">
        <v>1170</v>
      </c>
      <c r="C7805" s="7" t="s">
        <v>7773</v>
      </c>
      <c r="D7805" s="153"/>
      <c r="E7805" s="90" t="s">
        <v>4720</v>
      </c>
      <c r="G7805" s="2">
        <v>3050</v>
      </c>
      <c r="H7805" s="166"/>
      <c r="I7805" s="88">
        <f t="shared" si="1234"/>
        <v>11440.260000000002</v>
      </c>
      <c r="K7805" s="62"/>
      <c r="L7805" s="2">
        <f t="shared" si="1235"/>
        <v>12.200000000000001</v>
      </c>
      <c r="M7805">
        <f t="shared" si="1236"/>
        <v>0</v>
      </c>
    </row>
    <row r="7806" spans="1:13" x14ac:dyDescent="0.3">
      <c r="A7806" s="3">
        <f t="shared" si="1222"/>
        <v>46058</v>
      </c>
      <c r="B7806" s="11" t="s">
        <v>10070</v>
      </c>
      <c r="C7806" s="7" t="s">
        <v>10110</v>
      </c>
      <c r="D7806" s="153"/>
      <c r="E7806" s="90" t="s">
        <v>2088</v>
      </c>
      <c r="G7806" s="2">
        <v>0</v>
      </c>
      <c r="H7806" s="166">
        <v>0</v>
      </c>
      <c r="I7806" s="88">
        <f t="shared" si="1234"/>
        <v>11440.260000000002</v>
      </c>
      <c r="K7806" s="62"/>
      <c r="L7806" s="2">
        <f t="shared" si="1235"/>
        <v>5</v>
      </c>
      <c r="M7806">
        <f t="shared" si="1236"/>
        <v>5</v>
      </c>
    </row>
    <row r="7807" spans="1:13" x14ac:dyDescent="0.3">
      <c r="A7807" s="3">
        <f t="shared" si="1222"/>
        <v>46058</v>
      </c>
      <c r="B7807" s="11" t="s">
        <v>10074</v>
      </c>
      <c r="C7807" s="7" t="s">
        <v>10075</v>
      </c>
      <c r="D7807" s="153"/>
      <c r="E7807" s="90" t="s">
        <v>4720</v>
      </c>
      <c r="G7807" s="2">
        <v>2000</v>
      </c>
      <c r="H7807" s="166"/>
      <c r="I7807" s="88">
        <f t="shared" si="1234"/>
        <v>13440.260000000002</v>
      </c>
      <c r="K7807" s="62"/>
      <c r="L7807" s="2">
        <f t="shared" si="1235"/>
        <v>8</v>
      </c>
      <c r="M7807">
        <f t="shared" si="1236"/>
        <v>0</v>
      </c>
    </row>
    <row r="7808" spans="1:13" x14ac:dyDescent="0.3">
      <c r="A7808" s="3">
        <f t="shared" si="1222"/>
        <v>46058</v>
      </c>
      <c r="B7808" s="11" t="s">
        <v>3232</v>
      </c>
      <c r="C7808" s="7" t="s">
        <v>9437</v>
      </c>
      <c r="D7808" s="153"/>
      <c r="E7808" s="90" t="s">
        <v>4720</v>
      </c>
      <c r="G7808" s="2">
        <v>5000</v>
      </c>
      <c r="H7808" s="166"/>
      <c r="I7808" s="88">
        <f t="shared" si="1234"/>
        <v>18440.260000000002</v>
      </c>
      <c r="K7808" s="62"/>
      <c r="L7808" s="2">
        <f t="shared" si="1235"/>
        <v>20</v>
      </c>
      <c r="M7808">
        <f t="shared" si="1236"/>
        <v>0</v>
      </c>
    </row>
    <row r="7809" spans="1:13" x14ac:dyDescent="0.3">
      <c r="A7809" s="3">
        <f t="shared" si="1222"/>
        <v>46058</v>
      </c>
      <c r="B7809" s="11" t="s">
        <v>2448</v>
      </c>
      <c r="C7809" s="7" t="s">
        <v>2274</v>
      </c>
      <c r="D7809" s="153"/>
      <c r="E7809" s="90" t="s">
        <v>4720</v>
      </c>
      <c r="H7809" s="166">
        <v>10000</v>
      </c>
      <c r="I7809" s="88">
        <f t="shared" si="1234"/>
        <v>8440.260000000002</v>
      </c>
      <c r="K7809" s="62"/>
      <c r="L7809" s="2">
        <f t="shared" si="1235"/>
        <v>20</v>
      </c>
      <c r="M7809">
        <f t="shared" si="1236"/>
        <v>0</v>
      </c>
    </row>
    <row r="7810" spans="1:13" x14ac:dyDescent="0.3">
      <c r="A7810" s="3">
        <f t="shared" si="1222"/>
        <v>46058</v>
      </c>
      <c r="B7810" s="11" t="s">
        <v>7432</v>
      </c>
      <c r="C7810" s="7" t="s">
        <v>8512</v>
      </c>
      <c r="D7810" s="153"/>
      <c r="E7810" s="90" t="s">
        <v>2088</v>
      </c>
      <c r="G7810" s="2">
        <v>1000</v>
      </c>
      <c r="H7810" s="166"/>
      <c r="I7810" s="88">
        <f t="shared" si="1234"/>
        <v>9440.260000000002</v>
      </c>
      <c r="K7810" s="62"/>
      <c r="L7810" s="2">
        <f t="shared" si="1235"/>
        <v>9</v>
      </c>
      <c r="M7810">
        <f t="shared" si="1236"/>
        <v>5</v>
      </c>
    </row>
    <row r="7811" spans="1:13" x14ac:dyDescent="0.3">
      <c r="A7811" s="3">
        <f t="shared" si="1222"/>
        <v>46058</v>
      </c>
      <c r="B7811" s="11" t="s">
        <v>6940</v>
      </c>
      <c r="C7811" s="7" t="s">
        <v>7470</v>
      </c>
      <c r="D7811" s="153"/>
      <c r="E7811" s="90" t="s">
        <v>4720</v>
      </c>
      <c r="G7811" s="2">
        <v>5200</v>
      </c>
      <c r="H7811" s="166"/>
      <c r="I7811" s="88">
        <f t="shared" si="1234"/>
        <v>14640.260000000002</v>
      </c>
      <c r="K7811" s="62"/>
      <c r="L7811" s="2">
        <f t="shared" si="1235"/>
        <v>20</v>
      </c>
      <c r="M7811">
        <f t="shared" si="1236"/>
        <v>0</v>
      </c>
    </row>
    <row r="7812" spans="1:13" x14ac:dyDescent="0.3">
      <c r="A7812" s="3">
        <f t="shared" si="1222"/>
        <v>46058</v>
      </c>
      <c r="B7812" s="11" t="s">
        <v>6940</v>
      </c>
      <c r="C7812" s="7" t="s">
        <v>7470</v>
      </c>
      <c r="D7812" s="153"/>
      <c r="E7812" s="90" t="s">
        <v>4720</v>
      </c>
      <c r="H7812" s="166">
        <v>10000</v>
      </c>
      <c r="I7812" s="88">
        <f t="shared" si="1234"/>
        <v>4640.260000000002</v>
      </c>
      <c r="K7812" s="62"/>
      <c r="L7812" s="2">
        <f t="shared" si="1235"/>
        <v>20</v>
      </c>
      <c r="M7812">
        <f t="shared" si="1236"/>
        <v>0</v>
      </c>
    </row>
    <row r="7813" spans="1:13" x14ac:dyDescent="0.3">
      <c r="A7813" s="3">
        <f t="shared" si="1222"/>
        <v>46058</v>
      </c>
      <c r="B7813" s="11" t="s">
        <v>6687</v>
      </c>
      <c r="C7813" s="50" t="s">
        <v>10170</v>
      </c>
      <c r="D7813" s="153" t="s">
        <v>6689</v>
      </c>
      <c r="E7813" s="90" t="s">
        <v>4720</v>
      </c>
      <c r="G7813" s="2">
        <v>1100</v>
      </c>
      <c r="H7813" s="166"/>
      <c r="I7813" s="88">
        <f t="shared" si="1234"/>
        <v>5740.260000000002</v>
      </c>
      <c r="K7813" s="62"/>
      <c r="L7813" s="2">
        <f t="shared" si="1235"/>
        <v>4.4000000000000004</v>
      </c>
      <c r="M7813">
        <f t="shared" si="1236"/>
        <v>0</v>
      </c>
    </row>
    <row r="7814" spans="1:13" x14ac:dyDescent="0.3">
      <c r="A7814" s="3">
        <f t="shared" si="1222"/>
        <v>46058</v>
      </c>
      <c r="B7814" s="11" t="s">
        <v>1160</v>
      </c>
      <c r="C7814" s="7" t="s">
        <v>10171</v>
      </c>
      <c r="D7814" s="153" t="s">
        <v>10172</v>
      </c>
      <c r="E7814" s="90" t="s">
        <v>4720</v>
      </c>
      <c r="G7814" s="2">
        <v>1000</v>
      </c>
      <c r="H7814" s="166"/>
      <c r="I7814" s="88">
        <f t="shared" si="1234"/>
        <v>6740.260000000002</v>
      </c>
      <c r="K7814" s="62"/>
      <c r="L7814" s="2">
        <f t="shared" ref="L7814:L7817" si="1237">IF(E7814="C",0,IF((G7814+H7814)&lt;=5000,(G7814+H7814)*0.004,20)+IF(E7814="P",5,IF(E7814="Y",15,IF(E7814="YY",25))))</f>
        <v>4</v>
      </c>
      <c r="M7814">
        <f t="shared" ref="M7814:M7817" si="1238">IF(E7814="p",5,0)</f>
        <v>0</v>
      </c>
    </row>
    <row r="7815" spans="1:13" x14ac:dyDescent="0.3">
      <c r="A7815" s="3">
        <f t="shared" si="1222"/>
        <v>46058</v>
      </c>
      <c r="B7815" s="11" t="s">
        <v>5604</v>
      </c>
      <c r="C7815" s="7" t="s">
        <v>5605</v>
      </c>
      <c r="D7815" s="153"/>
      <c r="E7815" s="90" t="s">
        <v>4720</v>
      </c>
      <c r="G7815" s="2">
        <v>500</v>
      </c>
      <c r="H7815" s="166"/>
      <c r="I7815" s="88">
        <f t="shared" si="1234"/>
        <v>7240.260000000002</v>
      </c>
      <c r="K7815" s="62"/>
      <c r="L7815" s="2">
        <f t="shared" si="1237"/>
        <v>2</v>
      </c>
      <c r="M7815">
        <f t="shared" si="1238"/>
        <v>0</v>
      </c>
    </row>
    <row r="7816" spans="1:13" x14ac:dyDescent="0.3">
      <c r="A7816" s="3">
        <v>46059</v>
      </c>
      <c r="B7816" s="11" t="s">
        <v>7405</v>
      </c>
      <c r="C7816" s="7" t="s">
        <v>7407</v>
      </c>
      <c r="D7816" s="153"/>
      <c r="E7816" s="90" t="s">
        <v>2088</v>
      </c>
      <c r="H7816" s="166">
        <v>3000</v>
      </c>
      <c r="I7816" s="88">
        <f t="shared" si="1234"/>
        <v>4240.260000000002</v>
      </c>
      <c r="K7816" s="62"/>
      <c r="L7816" s="2">
        <f t="shared" si="1237"/>
        <v>17</v>
      </c>
      <c r="M7816">
        <f t="shared" si="1238"/>
        <v>5</v>
      </c>
    </row>
    <row r="7817" spans="1:13" x14ac:dyDescent="0.3">
      <c r="A7817" s="3">
        <f t="shared" si="1222"/>
        <v>46059</v>
      </c>
      <c r="B7817" s="11" t="s">
        <v>9903</v>
      </c>
      <c r="C7817" s="50" t="s">
        <v>10173</v>
      </c>
      <c r="D7817" s="153"/>
      <c r="E7817" s="90" t="s">
        <v>4720</v>
      </c>
      <c r="H7817" s="166">
        <v>500</v>
      </c>
      <c r="I7817" s="88">
        <f t="shared" si="1234"/>
        <v>3740.260000000002</v>
      </c>
      <c r="K7817" s="62"/>
      <c r="L7817" s="2">
        <f t="shared" si="1237"/>
        <v>2</v>
      </c>
      <c r="M7817">
        <f t="shared" si="1238"/>
        <v>0</v>
      </c>
    </row>
    <row r="7818" spans="1:13" x14ac:dyDescent="0.3">
      <c r="A7818" s="3">
        <v>46059</v>
      </c>
      <c r="B7818" s="11" t="s">
        <v>9907</v>
      </c>
      <c r="C7818" s="7" t="s">
        <v>10174</v>
      </c>
      <c r="D7818" s="153"/>
      <c r="E7818" s="90" t="s">
        <v>4720</v>
      </c>
      <c r="H7818" s="166">
        <v>500</v>
      </c>
      <c r="I7818" s="88">
        <f t="shared" si="1234"/>
        <v>3240.260000000002</v>
      </c>
      <c r="K7818" s="62"/>
      <c r="L7818" s="2">
        <f t="shared" ref="L7818:L7835" si="1239">IF(E7818="C",0,IF((G7818+H7818)&lt;=5000,(G7818+H7818)*0.004,20)+IF(E7818="P",5,IF(E7818="Y",15,IF(E7818="YY",25))))</f>
        <v>2</v>
      </c>
      <c r="M7818">
        <f t="shared" ref="M7818:M7835" si="1240">IF(E7818="p",5,0)</f>
        <v>0</v>
      </c>
    </row>
    <row r="7819" spans="1:13" x14ac:dyDescent="0.3">
      <c r="A7819" s="3">
        <f t="shared" si="1222"/>
        <v>46059</v>
      </c>
      <c r="B7819" s="11" t="s">
        <v>1472</v>
      </c>
      <c r="C7819" s="7" t="s">
        <v>8565</v>
      </c>
      <c r="D7819" s="153"/>
      <c r="E7819" s="90" t="s">
        <v>4720</v>
      </c>
      <c r="G7819" s="2">
        <v>2000</v>
      </c>
      <c r="H7819" s="166"/>
      <c r="I7819" s="88">
        <f t="shared" si="1234"/>
        <v>5240.260000000002</v>
      </c>
      <c r="K7819" s="62"/>
      <c r="L7819" s="2">
        <f t="shared" si="1239"/>
        <v>8</v>
      </c>
      <c r="M7819">
        <f t="shared" si="1240"/>
        <v>0</v>
      </c>
    </row>
    <row r="7820" spans="1:13" x14ac:dyDescent="0.3">
      <c r="A7820" s="3">
        <f t="shared" si="1222"/>
        <v>46059</v>
      </c>
      <c r="B7820" s="11" t="s">
        <v>3232</v>
      </c>
      <c r="C7820" s="7" t="s">
        <v>7500</v>
      </c>
      <c r="D7820" s="153"/>
      <c r="E7820" s="90" t="s">
        <v>4720</v>
      </c>
      <c r="G7820" s="2">
        <v>2000</v>
      </c>
      <c r="H7820" s="166"/>
      <c r="I7820" s="88">
        <f t="shared" si="1234"/>
        <v>7240.260000000002</v>
      </c>
      <c r="K7820" s="62"/>
      <c r="L7820" s="2">
        <f t="shared" si="1239"/>
        <v>8</v>
      </c>
      <c r="M7820">
        <f t="shared" si="1240"/>
        <v>0</v>
      </c>
    </row>
    <row r="7821" spans="1:13" x14ac:dyDescent="0.3">
      <c r="A7821" s="3">
        <f t="shared" ref="A7821:A7884" si="1241">A7820</f>
        <v>46059</v>
      </c>
      <c r="B7821" s="11" t="s">
        <v>6940</v>
      </c>
      <c r="C7821" s="7" t="s">
        <v>7470</v>
      </c>
      <c r="D7821" s="153"/>
      <c r="E7821" s="90" t="s">
        <v>4720</v>
      </c>
      <c r="H7821" s="166">
        <v>5000</v>
      </c>
      <c r="I7821" s="88">
        <f t="shared" si="1234"/>
        <v>2240.260000000002</v>
      </c>
      <c r="K7821" s="62"/>
      <c r="L7821" s="2">
        <f t="shared" si="1239"/>
        <v>20</v>
      </c>
      <c r="M7821">
        <f t="shared" si="1240"/>
        <v>0</v>
      </c>
    </row>
    <row r="7822" spans="1:13" x14ac:dyDescent="0.3">
      <c r="A7822" s="3">
        <f t="shared" si="1241"/>
        <v>46059</v>
      </c>
      <c r="B7822" s="11" t="s">
        <v>2448</v>
      </c>
      <c r="C7822" s="7" t="s">
        <v>2274</v>
      </c>
      <c r="D7822" s="153"/>
      <c r="E7822" s="90" t="s">
        <v>4720</v>
      </c>
      <c r="H7822" s="166">
        <v>3000</v>
      </c>
      <c r="I7822" s="88">
        <f t="shared" si="1234"/>
        <v>-759.73999999999796</v>
      </c>
      <c r="K7822" s="62"/>
      <c r="L7822" s="2">
        <f t="shared" si="1239"/>
        <v>12</v>
      </c>
      <c r="M7822">
        <f t="shared" si="1240"/>
        <v>0</v>
      </c>
    </row>
    <row r="7823" spans="1:13" x14ac:dyDescent="0.3">
      <c r="A7823" s="3">
        <f t="shared" si="1241"/>
        <v>46059</v>
      </c>
      <c r="B7823" s="11" t="s">
        <v>1160</v>
      </c>
      <c r="C7823" s="7" t="s">
        <v>10176</v>
      </c>
      <c r="D7823" s="153"/>
      <c r="E7823" s="90" t="s">
        <v>4720</v>
      </c>
      <c r="G7823" s="2">
        <v>1000</v>
      </c>
      <c r="H7823" s="166"/>
      <c r="I7823" s="88">
        <f t="shared" si="1234"/>
        <v>240.26000000000204</v>
      </c>
      <c r="K7823" s="62"/>
      <c r="L7823" s="2">
        <f t="shared" si="1239"/>
        <v>4</v>
      </c>
      <c r="M7823">
        <f t="shared" si="1240"/>
        <v>0</v>
      </c>
    </row>
    <row r="7824" spans="1:13" x14ac:dyDescent="0.3">
      <c r="A7824" s="3">
        <f t="shared" si="1241"/>
        <v>46059</v>
      </c>
      <c r="B7824" s="11" t="s">
        <v>1250</v>
      </c>
      <c r="C7824" s="7" t="s">
        <v>4437</v>
      </c>
      <c r="D7824" s="153"/>
      <c r="E7824" s="90" t="s">
        <v>4720</v>
      </c>
      <c r="G7824" s="2">
        <v>1100</v>
      </c>
      <c r="H7824" s="166"/>
      <c r="I7824" s="88">
        <f t="shared" ref="I7824:I7835" si="1242">I7823+G7824-H7824</f>
        <v>1340.260000000002</v>
      </c>
      <c r="K7824" s="62"/>
      <c r="L7824" s="2">
        <f t="shared" si="1239"/>
        <v>4.4000000000000004</v>
      </c>
      <c r="M7824">
        <f t="shared" si="1240"/>
        <v>0</v>
      </c>
    </row>
    <row r="7825" spans="1:13" x14ac:dyDescent="0.3">
      <c r="A7825" s="3">
        <f t="shared" si="1241"/>
        <v>46059</v>
      </c>
      <c r="B7825" s="11" t="s">
        <v>8052</v>
      </c>
      <c r="C7825" s="7" t="s">
        <v>4867</v>
      </c>
      <c r="D7825" s="153"/>
      <c r="E7825" s="90" t="s">
        <v>2088</v>
      </c>
      <c r="G7825" s="2">
        <v>5000</v>
      </c>
      <c r="H7825" s="166"/>
      <c r="I7825" s="88">
        <f t="shared" si="1242"/>
        <v>6340.260000000002</v>
      </c>
      <c r="K7825" s="62"/>
      <c r="L7825" s="2">
        <f t="shared" si="1239"/>
        <v>25</v>
      </c>
      <c r="M7825">
        <f t="shared" si="1240"/>
        <v>5</v>
      </c>
    </row>
    <row r="7826" spans="1:13" x14ac:dyDescent="0.3">
      <c r="A7826" s="3">
        <f t="shared" si="1241"/>
        <v>46059</v>
      </c>
      <c r="B7826" s="11" t="s">
        <v>6522</v>
      </c>
      <c r="C7826" s="7" t="s">
        <v>10177</v>
      </c>
      <c r="D7826" s="153"/>
      <c r="E7826" s="90" t="s">
        <v>4720</v>
      </c>
      <c r="G7826" s="2">
        <v>2500</v>
      </c>
      <c r="H7826" s="166"/>
      <c r="I7826" s="88">
        <f t="shared" si="1242"/>
        <v>8840.260000000002</v>
      </c>
      <c r="K7826" s="62"/>
      <c r="L7826" s="2">
        <f t="shared" si="1239"/>
        <v>10</v>
      </c>
      <c r="M7826">
        <f t="shared" si="1240"/>
        <v>0</v>
      </c>
    </row>
    <row r="7827" spans="1:13" x14ac:dyDescent="0.3">
      <c r="A7827" s="3">
        <f t="shared" si="1241"/>
        <v>46059</v>
      </c>
      <c r="B7827" s="11" t="s">
        <v>2241</v>
      </c>
      <c r="C7827" s="7" t="s">
        <v>10178</v>
      </c>
      <c r="D7827" s="153"/>
      <c r="E7827" s="90" t="s">
        <v>4720</v>
      </c>
      <c r="G7827" s="2">
        <v>500</v>
      </c>
      <c r="H7827" s="166"/>
      <c r="I7827" s="88">
        <f t="shared" si="1242"/>
        <v>9340.260000000002</v>
      </c>
      <c r="K7827" s="62"/>
      <c r="L7827" s="2">
        <f t="shared" si="1239"/>
        <v>2</v>
      </c>
      <c r="M7827">
        <f t="shared" si="1240"/>
        <v>0</v>
      </c>
    </row>
    <row r="7828" spans="1:13" x14ac:dyDescent="0.3">
      <c r="A7828" s="3">
        <f t="shared" si="1241"/>
        <v>46059</v>
      </c>
      <c r="B7828" s="11" t="s">
        <v>6940</v>
      </c>
      <c r="C7828" s="7" t="s">
        <v>7470</v>
      </c>
      <c r="D7828" s="153"/>
      <c r="E7828" s="90" t="s">
        <v>4720</v>
      </c>
      <c r="H7828" s="166">
        <v>150</v>
      </c>
      <c r="I7828" s="88">
        <f t="shared" si="1242"/>
        <v>9190.260000000002</v>
      </c>
      <c r="K7828" s="62"/>
      <c r="L7828" s="2">
        <f t="shared" si="1239"/>
        <v>0.6</v>
      </c>
      <c r="M7828">
        <f t="shared" si="1240"/>
        <v>0</v>
      </c>
    </row>
    <row r="7829" spans="1:13" x14ac:dyDescent="0.3">
      <c r="A7829" s="3">
        <v>46060</v>
      </c>
      <c r="B7829" s="11" t="s">
        <v>6940</v>
      </c>
      <c r="C7829" s="7" t="s">
        <v>7470</v>
      </c>
      <c r="D7829" s="153"/>
      <c r="E7829" s="90" t="s">
        <v>4720</v>
      </c>
      <c r="G7829" s="2">
        <v>6000</v>
      </c>
      <c r="H7829" s="166"/>
      <c r="I7829" s="88">
        <f t="shared" si="1242"/>
        <v>15190.260000000002</v>
      </c>
      <c r="K7829" s="62"/>
      <c r="L7829" s="2">
        <f t="shared" si="1239"/>
        <v>20</v>
      </c>
      <c r="M7829">
        <f t="shared" si="1240"/>
        <v>0</v>
      </c>
    </row>
    <row r="7830" spans="1:13" x14ac:dyDescent="0.3">
      <c r="A7830" s="3">
        <f t="shared" si="1241"/>
        <v>46060</v>
      </c>
      <c r="B7830" s="11" t="s">
        <v>6927</v>
      </c>
      <c r="C7830" s="7" t="s">
        <v>7117</v>
      </c>
      <c r="D7830" s="153"/>
      <c r="E7830" s="90" t="s">
        <v>4720</v>
      </c>
      <c r="H7830" s="166">
        <v>3500</v>
      </c>
      <c r="I7830" s="88">
        <f t="shared" si="1242"/>
        <v>11690.260000000002</v>
      </c>
      <c r="K7830" s="62"/>
      <c r="L7830" s="2">
        <f t="shared" si="1239"/>
        <v>14</v>
      </c>
      <c r="M7830">
        <f t="shared" si="1240"/>
        <v>0</v>
      </c>
    </row>
    <row r="7831" spans="1:13" x14ac:dyDescent="0.3">
      <c r="A7831" s="3">
        <f t="shared" si="1241"/>
        <v>46060</v>
      </c>
      <c r="B7831" s="11" t="s">
        <v>2490</v>
      </c>
      <c r="C7831" s="7" t="s">
        <v>2857</v>
      </c>
      <c r="D7831" s="153"/>
      <c r="E7831" s="90" t="s">
        <v>8332</v>
      </c>
      <c r="H7831" s="166">
        <v>12000</v>
      </c>
      <c r="I7831" s="88">
        <f t="shared" si="1242"/>
        <v>-309.73999999999796</v>
      </c>
      <c r="K7831" s="62"/>
      <c r="L7831" s="2">
        <f t="shared" si="1239"/>
        <v>0</v>
      </c>
      <c r="M7831">
        <f t="shared" si="1240"/>
        <v>0</v>
      </c>
    </row>
    <row r="7832" spans="1:13" x14ac:dyDescent="0.3">
      <c r="A7832" s="3">
        <f t="shared" si="1241"/>
        <v>46060</v>
      </c>
      <c r="B7832" s="11" t="s">
        <v>2241</v>
      </c>
      <c r="C7832" s="7" t="s">
        <v>9048</v>
      </c>
      <c r="D7832" s="153" t="s">
        <v>10179</v>
      </c>
      <c r="E7832" s="90" t="s">
        <v>4720</v>
      </c>
      <c r="G7832" s="2">
        <v>10000</v>
      </c>
      <c r="H7832" s="166"/>
      <c r="I7832" s="88">
        <f t="shared" si="1242"/>
        <v>9690.260000000002</v>
      </c>
      <c r="K7832" s="62"/>
      <c r="L7832" s="2">
        <f t="shared" si="1239"/>
        <v>20</v>
      </c>
      <c r="M7832">
        <f t="shared" si="1240"/>
        <v>0</v>
      </c>
    </row>
    <row r="7833" spans="1:13" x14ac:dyDescent="0.3">
      <c r="A7833" s="3">
        <f t="shared" si="1241"/>
        <v>46060</v>
      </c>
      <c r="B7833" s="11" t="s">
        <v>6434</v>
      </c>
      <c r="C7833" s="7" t="s">
        <v>7117</v>
      </c>
      <c r="D7833" s="153"/>
      <c r="E7833" s="90" t="s">
        <v>4720</v>
      </c>
      <c r="H7833" s="166">
        <v>3500</v>
      </c>
      <c r="I7833" s="88">
        <f t="shared" si="1242"/>
        <v>6190.260000000002</v>
      </c>
      <c r="K7833" s="62"/>
      <c r="L7833" s="2">
        <f t="shared" si="1239"/>
        <v>14</v>
      </c>
      <c r="M7833">
        <f t="shared" si="1240"/>
        <v>0</v>
      </c>
    </row>
    <row r="7834" spans="1:13" x14ac:dyDescent="0.3">
      <c r="A7834" s="3">
        <f t="shared" si="1241"/>
        <v>46060</v>
      </c>
      <c r="B7834" s="11" t="s">
        <v>7081</v>
      </c>
      <c r="C7834" s="7" t="s">
        <v>8978</v>
      </c>
      <c r="D7834" s="153"/>
      <c r="E7834" s="90" t="s">
        <v>2088</v>
      </c>
      <c r="G7834" s="2">
        <v>700</v>
      </c>
      <c r="H7834" s="166"/>
      <c r="I7834" s="88">
        <f t="shared" si="1242"/>
        <v>6890.260000000002</v>
      </c>
      <c r="K7834" s="62"/>
      <c r="L7834" s="2">
        <f t="shared" si="1239"/>
        <v>7.8000000000000007</v>
      </c>
      <c r="M7834">
        <f t="shared" si="1240"/>
        <v>5</v>
      </c>
    </row>
    <row r="7835" spans="1:13" x14ac:dyDescent="0.3">
      <c r="A7835" s="3">
        <f t="shared" si="1241"/>
        <v>46060</v>
      </c>
      <c r="B7835" s="11" t="s">
        <v>4311</v>
      </c>
      <c r="C7835" s="7" t="s">
        <v>10184</v>
      </c>
      <c r="D7835" s="153"/>
      <c r="E7835" s="90" t="s">
        <v>4720</v>
      </c>
      <c r="G7835" s="2">
        <v>1000</v>
      </c>
      <c r="H7835" s="166"/>
      <c r="I7835" s="88">
        <f t="shared" si="1242"/>
        <v>7890.260000000002</v>
      </c>
      <c r="K7835" s="62"/>
      <c r="L7835" s="2">
        <f t="shared" si="1239"/>
        <v>4</v>
      </c>
      <c r="M7835">
        <f t="shared" si="1240"/>
        <v>0</v>
      </c>
    </row>
    <row r="7836" spans="1:13" x14ac:dyDescent="0.3">
      <c r="A7836" s="3">
        <f t="shared" si="1241"/>
        <v>46060</v>
      </c>
      <c r="B7836" s="11" t="s">
        <v>2241</v>
      </c>
      <c r="C7836" s="7" t="s">
        <v>10185</v>
      </c>
      <c r="D7836" s="153"/>
      <c r="E7836" s="90" t="s">
        <v>4720</v>
      </c>
      <c r="G7836" s="2">
        <v>3050</v>
      </c>
      <c r="H7836" s="166"/>
      <c r="I7836" s="88">
        <f t="shared" ref="I7836:I7848" si="1243">I7835+G7836-H7836</f>
        <v>10940.260000000002</v>
      </c>
      <c r="K7836" s="62"/>
      <c r="L7836" s="2">
        <f t="shared" ref="L7836:L7848" si="1244">IF(E7836="C",0,IF((G7836+H7836)&lt;=5000,(G7836+H7836)*0.004,20)+IF(E7836="P",5,IF(E7836="Y",15,IF(E7836="YY",25))))</f>
        <v>12.200000000000001</v>
      </c>
      <c r="M7836">
        <f t="shared" ref="M7836:M7848" si="1245">IF(E7836="p",5,0)</f>
        <v>0</v>
      </c>
    </row>
    <row r="7837" spans="1:13" x14ac:dyDescent="0.3">
      <c r="A7837" s="3">
        <f t="shared" si="1241"/>
        <v>46060</v>
      </c>
      <c r="B7837" s="11" t="s">
        <v>4311</v>
      </c>
      <c r="C7837" s="7" t="s">
        <v>10186</v>
      </c>
      <c r="D7837" s="153"/>
      <c r="E7837" s="90" t="s">
        <v>4720</v>
      </c>
      <c r="G7837" s="2">
        <v>1000</v>
      </c>
      <c r="H7837" s="166"/>
      <c r="I7837" s="88">
        <f t="shared" si="1243"/>
        <v>11940.260000000002</v>
      </c>
      <c r="K7837" s="62"/>
      <c r="L7837" s="2">
        <f t="shared" si="1244"/>
        <v>4</v>
      </c>
      <c r="M7837">
        <f t="shared" si="1245"/>
        <v>0</v>
      </c>
    </row>
    <row r="7838" spans="1:13" x14ac:dyDescent="0.3">
      <c r="A7838" s="3">
        <v>46062</v>
      </c>
      <c r="B7838" s="11" t="s">
        <v>1160</v>
      </c>
      <c r="C7838" s="7" t="s">
        <v>7155</v>
      </c>
      <c r="D7838" s="153" t="s">
        <v>10187</v>
      </c>
      <c r="E7838" s="90" t="s">
        <v>4720</v>
      </c>
      <c r="G7838" s="2">
        <v>8000</v>
      </c>
      <c r="H7838" s="166"/>
      <c r="I7838" s="88">
        <f t="shared" si="1243"/>
        <v>19940.260000000002</v>
      </c>
      <c r="K7838" s="62"/>
      <c r="L7838" s="2">
        <f t="shared" si="1244"/>
        <v>20</v>
      </c>
      <c r="M7838">
        <f t="shared" si="1245"/>
        <v>0</v>
      </c>
    </row>
    <row r="7839" spans="1:13" x14ac:dyDescent="0.3">
      <c r="A7839" s="3">
        <f t="shared" si="1241"/>
        <v>46062</v>
      </c>
      <c r="B7839" s="11" t="s">
        <v>6434</v>
      </c>
      <c r="C7839" s="7" t="s">
        <v>7117</v>
      </c>
      <c r="D7839" s="153"/>
      <c r="E7839" s="90" t="s">
        <v>4720</v>
      </c>
      <c r="H7839" s="166">
        <v>10000</v>
      </c>
      <c r="I7839" s="88">
        <f t="shared" si="1243"/>
        <v>9940.260000000002</v>
      </c>
      <c r="J7839" s="62"/>
      <c r="K7839" s="62"/>
      <c r="L7839" s="2">
        <f t="shared" si="1244"/>
        <v>20</v>
      </c>
      <c r="M7839">
        <f t="shared" si="1245"/>
        <v>0</v>
      </c>
    </row>
    <row r="7840" spans="1:13" x14ac:dyDescent="0.3">
      <c r="A7840" s="3">
        <f t="shared" si="1241"/>
        <v>46062</v>
      </c>
      <c r="B7840" s="11" t="s">
        <v>1250</v>
      </c>
      <c r="C7840" s="7" t="s">
        <v>513</v>
      </c>
      <c r="D7840" s="153"/>
      <c r="E7840" s="90" t="s">
        <v>4720</v>
      </c>
      <c r="G7840" s="2">
        <v>2500</v>
      </c>
      <c r="H7840" s="166"/>
      <c r="I7840" s="88">
        <f t="shared" si="1243"/>
        <v>12440.260000000002</v>
      </c>
      <c r="K7840" s="62"/>
      <c r="L7840" s="2">
        <f t="shared" si="1244"/>
        <v>10</v>
      </c>
      <c r="M7840">
        <f t="shared" si="1245"/>
        <v>0</v>
      </c>
    </row>
    <row r="7841" spans="1:13" x14ac:dyDescent="0.3">
      <c r="A7841" s="3">
        <f t="shared" si="1241"/>
        <v>46062</v>
      </c>
      <c r="B7841" s="11" t="s">
        <v>2490</v>
      </c>
      <c r="C7841" s="7" t="s">
        <v>2362</v>
      </c>
      <c r="D7841" s="153"/>
      <c r="E7841" s="90" t="s">
        <v>8332</v>
      </c>
      <c r="H7841" s="166">
        <v>12000</v>
      </c>
      <c r="I7841" s="88">
        <f t="shared" si="1243"/>
        <v>440.26000000000204</v>
      </c>
      <c r="K7841" s="62"/>
      <c r="L7841" s="2">
        <f t="shared" si="1244"/>
        <v>0</v>
      </c>
      <c r="M7841">
        <f t="shared" si="1245"/>
        <v>0</v>
      </c>
    </row>
    <row r="7842" spans="1:13" x14ac:dyDescent="0.3">
      <c r="A7842" s="3">
        <f t="shared" si="1241"/>
        <v>46062</v>
      </c>
      <c r="B7842" s="11" t="s">
        <v>1250</v>
      </c>
      <c r="C7842" s="7" t="s">
        <v>6985</v>
      </c>
      <c r="D7842" s="153"/>
      <c r="E7842" s="90" t="s">
        <v>4720</v>
      </c>
      <c r="G7842" s="2">
        <v>3000</v>
      </c>
      <c r="H7842" s="166"/>
      <c r="I7842" s="88">
        <f t="shared" si="1243"/>
        <v>3440.260000000002</v>
      </c>
      <c r="K7842" s="62"/>
      <c r="L7842" s="2">
        <f t="shared" si="1244"/>
        <v>12</v>
      </c>
      <c r="M7842">
        <f t="shared" si="1245"/>
        <v>0</v>
      </c>
    </row>
    <row r="7843" spans="1:13" x14ac:dyDescent="0.3">
      <c r="A7843" s="3">
        <f t="shared" si="1241"/>
        <v>46062</v>
      </c>
      <c r="B7843" s="11" t="s">
        <v>5542</v>
      </c>
      <c r="C7843" s="7" t="s">
        <v>9818</v>
      </c>
      <c r="D7843" s="153"/>
      <c r="E7843" s="90" t="s">
        <v>4720</v>
      </c>
      <c r="G7843" s="2">
        <v>4550</v>
      </c>
      <c r="H7843" s="166"/>
      <c r="I7843" s="88">
        <f t="shared" si="1243"/>
        <v>7990.260000000002</v>
      </c>
      <c r="K7843" s="62"/>
      <c r="L7843" s="2">
        <f t="shared" si="1244"/>
        <v>18.2</v>
      </c>
      <c r="M7843">
        <f t="shared" si="1245"/>
        <v>0</v>
      </c>
    </row>
    <row r="7844" spans="1:13" x14ac:dyDescent="0.3">
      <c r="A7844" s="3">
        <f t="shared" si="1241"/>
        <v>46062</v>
      </c>
      <c r="B7844" s="11" t="s">
        <v>8674</v>
      </c>
      <c r="C7844" s="7" t="s">
        <v>10127</v>
      </c>
      <c r="D7844" s="153"/>
      <c r="E7844" s="90" t="s">
        <v>2088</v>
      </c>
      <c r="G7844" s="2">
        <v>5000</v>
      </c>
      <c r="H7844" s="166"/>
      <c r="I7844" s="88">
        <f t="shared" si="1243"/>
        <v>12990.260000000002</v>
      </c>
      <c r="K7844" s="62"/>
      <c r="L7844" s="2">
        <f t="shared" si="1244"/>
        <v>25</v>
      </c>
      <c r="M7844">
        <f t="shared" si="1245"/>
        <v>5</v>
      </c>
    </row>
    <row r="7845" spans="1:13" x14ac:dyDescent="0.3">
      <c r="A7845" s="3">
        <v>46275</v>
      </c>
      <c r="B7845" s="11" t="s">
        <v>3504</v>
      </c>
      <c r="C7845" s="7" t="s">
        <v>2487</v>
      </c>
      <c r="D7845" s="153"/>
      <c r="E7845" s="90" t="s">
        <v>4720</v>
      </c>
      <c r="H7845" s="166">
        <v>600</v>
      </c>
      <c r="I7845" s="88">
        <f t="shared" si="1243"/>
        <v>12390.260000000002</v>
      </c>
      <c r="K7845" s="62"/>
      <c r="L7845" s="2">
        <f t="shared" si="1244"/>
        <v>2.4</v>
      </c>
      <c r="M7845">
        <f t="shared" si="1245"/>
        <v>0</v>
      </c>
    </row>
    <row r="7846" spans="1:13" x14ac:dyDescent="0.3">
      <c r="A7846" s="3">
        <v>46064</v>
      </c>
      <c r="B7846" s="11" t="s">
        <v>9741</v>
      </c>
      <c r="C7846" s="7" t="s">
        <v>754</v>
      </c>
      <c r="D7846" s="153" t="s">
        <v>10188</v>
      </c>
      <c r="E7846" s="90" t="s">
        <v>2088</v>
      </c>
      <c r="G7846" s="2">
        <v>2000</v>
      </c>
      <c r="H7846" s="166"/>
      <c r="I7846" s="88">
        <f t="shared" si="1243"/>
        <v>14390.260000000002</v>
      </c>
      <c r="K7846" s="62"/>
      <c r="L7846" s="2">
        <f t="shared" si="1244"/>
        <v>13</v>
      </c>
      <c r="M7846">
        <f t="shared" si="1245"/>
        <v>5</v>
      </c>
    </row>
    <row r="7847" spans="1:13" x14ac:dyDescent="0.3">
      <c r="A7847" s="3">
        <f t="shared" si="1241"/>
        <v>46064</v>
      </c>
      <c r="B7847" s="11" t="s">
        <v>5042</v>
      </c>
      <c r="C7847" s="7" t="s">
        <v>6379</v>
      </c>
      <c r="D7847" s="153"/>
      <c r="E7847" s="90" t="s">
        <v>2088</v>
      </c>
      <c r="G7847" s="2">
        <v>5000</v>
      </c>
      <c r="H7847" s="166"/>
      <c r="I7847" s="88">
        <f t="shared" si="1243"/>
        <v>19390.260000000002</v>
      </c>
      <c r="K7847" s="62"/>
      <c r="L7847" s="2">
        <f t="shared" si="1244"/>
        <v>25</v>
      </c>
      <c r="M7847">
        <f t="shared" si="1245"/>
        <v>5</v>
      </c>
    </row>
    <row r="7848" spans="1:13" x14ac:dyDescent="0.3">
      <c r="A7848" s="3">
        <f t="shared" si="1241"/>
        <v>46064</v>
      </c>
      <c r="B7848" s="11" t="s">
        <v>1160</v>
      </c>
      <c r="C7848" s="7" t="s">
        <v>10189</v>
      </c>
      <c r="D7848" s="153"/>
      <c r="E7848" s="90" t="s">
        <v>4720</v>
      </c>
      <c r="G7848" s="2">
        <v>2000</v>
      </c>
      <c r="H7848" s="166"/>
      <c r="I7848" s="88">
        <f t="shared" si="1243"/>
        <v>21390.260000000002</v>
      </c>
      <c r="K7848" s="62"/>
      <c r="L7848" s="2">
        <f t="shared" si="1244"/>
        <v>8</v>
      </c>
      <c r="M7848">
        <f t="shared" si="1245"/>
        <v>0</v>
      </c>
    </row>
    <row r="7849" spans="1:13" x14ac:dyDescent="0.3">
      <c r="A7849" s="3">
        <f t="shared" si="1241"/>
        <v>46064</v>
      </c>
      <c r="B7849" s="11" t="s">
        <v>1250</v>
      </c>
      <c r="C7849" s="7" t="s">
        <v>7564</v>
      </c>
      <c r="D7849" s="153"/>
      <c r="E7849" s="90" t="s">
        <v>4720</v>
      </c>
      <c r="G7849" s="2">
        <v>2500</v>
      </c>
      <c r="H7849" s="166"/>
      <c r="I7849" s="88">
        <f t="shared" ref="I7849:I7868" si="1246">I7848+G7849-H7849</f>
        <v>23890.260000000002</v>
      </c>
      <c r="K7849" s="62"/>
      <c r="L7849" s="2">
        <f t="shared" ref="L7849:L7855" si="1247">IF(E7849="C",0,IF((G7849+H7849)&lt;=5000,(G7849+H7849)*0.004,20)+IF(E7849="P",5,IF(E7849="Y",15,IF(E7849="YY",25))))</f>
        <v>10</v>
      </c>
      <c r="M7849">
        <f t="shared" ref="M7849:M7855" si="1248">IF(E7849="p",5,0)</f>
        <v>0</v>
      </c>
    </row>
    <row r="7850" spans="1:13" x14ac:dyDescent="0.3">
      <c r="A7850" s="3">
        <f t="shared" si="1241"/>
        <v>46064</v>
      </c>
      <c r="B7850" s="11" t="s">
        <v>1472</v>
      </c>
      <c r="C7850" s="7" t="s">
        <v>10190</v>
      </c>
      <c r="D7850" s="153" t="s">
        <v>10191</v>
      </c>
      <c r="E7850" s="90" t="s">
        <v>4720</v>
      </c>
      <c r="G7850" s="2">
        <v>2000</v>
      </c>
      <c r="H7850" s="166"/>
      <c r="I7850" s="88">
        <f t="shared" si="1246"/>
        <v>25890.260000000002</v>
      </c>
      <c r="K7850" s="62"/>
      <c r="L7850" s="2">
        <f t="shared" si="1247"/>
        <v>8</v>
      </c>
      <c r="M7850">
        <f t="shared" si="1248"/>
        <v>0</v>
      </c>
    </row>
    <row r="7851" spans="1:13" x14ac:dyDescent="0.3">
      <c r="A7851" s="3">
        <f t="shared" si="1241"/>
        <v>46064</v>
      </c>
      <c r="B7851" s="11" t="s">
        <v>6940</v>
      </c>
      <c r="C7851" s="7" t="s">
        <v>7470</v>
      </c>
      <c r="D7851" s="153"/>
      <c r="E7851" s="90" t="s">
        <v>4720</v>
      </c>
      <c r="G7851" s="2">
        <v>1000</v>
      </c>
      <c r="H7851" s="166"/>
      <c r="I7851" s="88">
        <f t="shared" si="1246"/>
        <v>26890.260000000002</v>
      </c>
      <c r="K7851" s="62"/>
      <c r="L7851" s="2">
        <f t="shared" si="1247"/>
        <v>4</v>
      </c>
      <c r="M7851">
        <f t="shared" si="1248"/>
        <v>0</v>
      </c>
    </row>
    <row r="7852" spans="1:13" x14ac:dyDescent="0.3">
      <c r="A7852" s="3">
        <f t="shared" si="1241"/>
        <v>46064</v>
      </c>
      <c r="B7852" s="11" t="s">
        <v>6844</v>
      </c>
      <c r="C7852" s="7" t="s">
        <v>9075</v>
      </c>
      <c r="D7852" s="153"/>
      <c r="E7852" s="90" t="s">
        <v>4720</v>
      </c>
      <c r="H7852" s="166">
        <v>4100</v>
      </c>
      <c r="I7852" s="88">
        <f t="shared" si="1246"/>
        <v>22790.260000000002</v>
      </c>
      <c r="K7852" s="62"/>
      <c r="L7852" s="2">
        <f t="shared" si="1247"/>
        <v>16.399999999999999</v>
      </c>
      <c r="M7852">
        <f t="shared" si="1248"/>
        <v>0</v>
      </c>
    </row>
    <row r="7853" spans="1:13" x14ac:dyDescent="0.3">
      <c r="A7853" s="3">
        <f t="shared" si="1241"/>
        <v>46064</v>
      </c>
      <c r="B7853" s="11" t="s">
        <v>9540</v>
      </c>
      <c r="C7853" s="7" t="s">
        <v>9553</v>
      </c>
      <c r="D7853" s="153"/>
      <c r="E7853" s="90" t="s">
        <v>2088</v>
      </c>
      <c r="H7853" s="166">
        <v>500</v>
      </c>
      <c r="I7853" s="88">
        <f t="shared" si="1246"/>
        <v>22290.260000000002</v>
      </c>
      <c r="K7853" s="62"/>
      <c r="L7853" s="2">
        <f t="shared" si="1247"/>
        <v>7</v>
      </c>
      <c r="M7853">
        <f t="shared" si="1248"/>
        <v>5</v>
      </c>
    </row>
    <row r="7854" spans="1:13" x14ac:dyDescent="0.3">
      <c r="A7854" s="3">
        <f t="shared" si="1241"/>
        <v>46064</v>
      </c>
      <c r="B7854" s="11" t="s">
        <v>5604</v>
      </c>
      <c r="C7854" s="7" t="s">
        <v>9491</v>
      </c>
      <c r="D7854" s="153" t="s">
        <v>10192</v>
      </c>
      <c r="E7854" s="90" t="s">
        <v>4720</v>
      </c>
      <c r="G7854" s="2">
        <v>500</v>
      </c>
      <c r="H7854" s="166"/>
      <c r="I7854" s="88">
        <f t="shared" si="1246"/>
        <v>22790.260000000002</v>
      </c>
      <c r="K7854" s="62"/>
      <c r="L7854" s="2">
        <f t="shared" si="1247"/>
        <v>2</v>
      </c>
      <c r="M7854">
        <f t="shared" si="1248"/>
        <v>0</v>
      </c>
    </row>
    <row r="7855" spans="1:13" x14ac:dyDescent="0.3">
      <c r="A7855" s="3">
        <f t="shared" si="1241"/>
        <v>46064</v>
      </c>
      <c r="B7855" s="11" t="s">
        <v>1250</v>
      </c>
      <c r="C7855" s="7" t="s">
        <v>7563</v>
      </c>
      <c r="D7855" s="153"/>
      <c r="E7855" s="90" t="s">
        <v>4720</v>
      </c>
      <c r="G7855" s="2">
        <v>2500</v>
      </c>
      <c r="H7855" s="166"/>
      <c r="I7855" s="88">
        <f t="shared" si="1246"/>
        <v>25290.260000000002</v>
      </c>
      <c r="K7855" s="62"/>
      <c r="L7855" s="2">
        <f t="shared" si="1247"/>
        <v>10</v>
      </c>
      <c r="M7855">
        <f t="shared" si="1248"/>
        <v>0</v>
      </c>
    </row>
    <row r="7856" spans="1:13" x14ac:dyDescent="0.3">
      <c r="A7856" s="3">
        <f t="shared" si="1241"/>
        <v>46064</v>
      </c>
      <c r="B7856" s="11" t="s">
        <v>1160</v>
      </c>
      <c r="C7856" s="7" t="s">
        <v>10154</v>
      </c>
      <c r="D7856" s="153"/>
      <c r="E7856" s="90" t="s">
        <v>4720</v>
      </c>
      <c r="G7856" s="2">
        <v>3000</v>
      </c>
      <c r="H7856" s="166"/>
      <c r="I7856" s="88">
        <f t="shared" si="1246"/>
        <v>28290.260000000002</v>
      </c>
      <c r="K7856" s="62"/>
      <c r="L7856" s="2">
        <f t="shared" ref="L7856:L7868" si="1249">IF(E7856="C",0,IF((G7856+H7856)&lt;=5000,(G7856+H7856)*0.004,20)+IF(E7856="P",5,IF(E7856="Y",15,IF(E7856="YY",25))))</f>
        <v>12</v>
      </c>
      <c r="M7856">
        <f t="shared" ref="M7856:M7868" si="1250">IF(E7856="p",5,0)</f>
        <v>0</v>
      </c>
    </row>
    <row r="7857" spans="1:13" x14ac:dyDescent="0.3">
      <c r="A7857" s="3">
        <v>46065</v>
      </c>
      <c r="B7857" s="11" t="s">
        <v>4081</v>
      </c>
      <c r="C7857" s="7" t="s">
        <v>1963</v>
      </c>
      <c r="D7857" s="153"/>
      <c r="E7857" s="90" t="s">
        <v>2088</v>
      </c>
      <c r="G7857" s="2">
        <v>5000</v>
      </c>
      <c r="H7857" s="166"/>
      <c r="I7857" s="88">
        <f t="shared" si="1246"/>
        <v>33290.26</v>
      </c>
      <c r="K7857" s="62"/>
      <c r="L7857" s="2">
        <f t="shared" si="1249"/>
        <v>25</v>
      </c>
      <c r="M7857">
        <f t="shared" si="1250"/>
        <v>5</v>
      </c>
    </row>
    <row r="7858" spans="1:13" x14ac:dyDescent="0.3">
      <c r="A7858" s="3">
        <f t="shared" si="1241"/>
        <v>46065</v>
      </c>
      <c r="B7858" s="11" t="s">
        <v>10194</v>
      </c>
      <c r="C7858" s="7" t="s">
        <v>9493</v>
      </c>
      <c r="D7858" s="153"/>
      <c r="E7858" s="90" t="s">
        <v>2088</v>
      </c>
      <c r="G7858" s="2">
        <v>2500</v>
      </c>
      <c r="H7858" s="166"/>
      <c r="I7858" s="88">
        <f t="shared" si="1246"/>
        <v>35790.26</v>
      </c>
      <c r="K7858" s="62"/>
      <c r="L7858" s="2">
        <f t="shared" si="1249"/>
        <v>15</v>
      </c>
      <c r="M7858">
        <f t="shared" si="1250"/>
        <v>5</v>
      </c>
    </row>
    <row r="7859" spans="1:13" x14ac:dyDescent="0.3">
      <c r="A7859" s="3">
        <f t="shared" si="1241"/>
        <v>46065</v>
      </c>
      <c r="B7859" s="11" t="s">
        <v>9528</v>
      </c>
      <c r="C7859" s="7" t="s">
        <v>10195</v>
      </c>
      <c r="D7859" s="153"/>
      <c r="E7859" s="90" t="s">
        <v>2088</v>
      </c>
      <c r="G7859" s="2">
        <v>4000</v>
      </c>
      <c r="H7859" s="166"/>
      <c r="I7859" s="88">
        <f t="shared" si="1246"/>
        <v>39790.26</v>
      </c>
      <c r="J7859" s="62"/>
      <c r="K7859" s="62"/>
      <c r="L7859" s="2">
        <f t="shared" si="1249"/>
        <v>21</v>
      </c>
      <c r="M7859">
        <f t="shared" si="1250"/>
        <v>5</v>
      </c>
    </row>
    <row r="7860" spans="1:13" x14ac:dyDescent="0.3">
      <c r="A7860" s="3">
        <f t="shared" si="1241"/>
        <v>46065</v>
      </c>
      <c r="B7860" s="11" t="s">
        <v>10197</v>
      </c>
      <c r="C7860" s="7" t="s">
        <v>10198</v>
      </c>
      <c r="D7860" s="153"/>
      <c r="E7860" s="90" t="s">
        <v>2088</v>
      </c>
      <c r="H7860" s="166">
        <v>500</v>
      </c>
      <c r="I7860" s="88">
        <f t="shared" si="1246"/>
        <v>39290.26</v>
      </c>
      <c r="K7860" s="62"/>
      <c r="L7860" s="2">
        <f t="shared" si="1249"/>
        <v>7</v>
      </c>
      <c r="M7860">
        <f t="shared" si="1250"/>
        <v>5</v>
      </c>
    </row>
    <row r="7861" spans="1:13" x14ac:dyDescent="0.3">
      <c r="A7861" s="3">
        <f t="shared" si="1241"/>
        <v>46065</v>
      </c>
      <c r="B7861" s="11" t="s">
        <v>2143</v>
      </c>
      <c r="C7861" s="7" t="s">
        <v>10201</v>
      </c>
      <c r="D7861" s="153"/>
      <c r="E7861" s="90" t="s">
        <v>4720</v>
      </c>
      <c r="H7861" s="166">
        <v>10000</v>
      </c>
      <c r="I7861" s="88">
        <f t="shared" si="1246"/>
        <v>29290.260000000002</v>
      </c>
      <c r="K7861" s="62"/>
      <c r="L7861" s="2">
        <f t="shared" si="1249"/>
        <v>20</v>
      </c>
      <c r="M7861">
        <f t="shared" si="1250"/>
        <v>0</v>
      </c>
    </row>
    <row r="7862" spans="1:13" x14ac:dyDescent="0.3">
      <c r="A7862" s="3">
        <f t="shared" si="1241"/>
        <v>46065</v>
      </c>
      <c r="B7862" s="11" t="s">
        <v>10042</v>
      </c>
      <c r="C7862" s="7" t="s">
        <v>10193</v>
      </c>
      <c r="D7862" s="153"/>
      <c r="E7862" s="90" t="s">
        <v>4720</v>
      </c>
      <c r="H7862" s="166">
        <v>5000</v>
      </c>
      <c r="I7862" s="88">
        <f t="shared" si="1246"/>
        <v>24290.260000000002</v>
      </c>
      <c r="K7862" s="62"/>
      <c r="L7862" s="2">
        <f t="shared" si="1249"/>
        <v>20</v>
      </c>
      <c r="M7862">
        <f t="shared" si="1250"/>
        <v>0</v>
      </c>
    </row>
    <row r="7863" spans="1:13" x14ac:dyDescent="0.3">
      <c r="A7863" s="3">
        <f t="shared" si="1241"/>
        <v>46065</v>
      </c>
      <c r="B7863" s="11" t="s">
        <v>9771</v>
      </c>
      <c r="C7863" s="7" t="s">
        <v>10202</v>
      </c>
      <c r="D7863" s="153"/>
      <c r="E7863" s="90" t="s">
        <v>2088</v>
      </c>
      <c r="G7863" s="2">
        <v>1000</v>
      </c>
      <c r="H7863" s="166"/>
      <c r="I7863" s="88">
        <f t="shared" si="1246"/>
        <v>25290.260000000002</v>
      </c>
      <c r="K7863" s="62"/>
      <c r="L7863" s="2">
        <f t="shared" si="1249"/>
        <v>9</v>
      </c>
      <c r="M7863">
        <f t="shared" si="1250"/>
        <v>5</v>
      </c>
    </row>
    <row r="7864" spans="1:13" x14ac:dyDescent="0.3">
      <c r="A7864" s="3">
        <f t="shared" si="1241"/>
        <v>46065</v>
      </c>
      <c r="B7864" s="11" t="s">
        <v>2241</v>
      </c>
      <c r="C7864" s="7" t="s">
        <v>10203</v>
      </c>
      <c r="D7864" s="153"/>
      <c r="E7864" s="90" t="s">
        <v>4720</v>
      </c>
      <c r="G7864" s="2">
        <v>5000</v>
      </c>
      <c r="H7864" s="166"/>
      <c r="I7864" s="88">
        <f t="shared" si="1246"/>
        <v>30290.260000000002</v>
      </c>
      <c r="K7864" s="62"/>
      <c r="L7864" s="2">
        <f t="shared" si="1249"/>
        <v>20</v>
      </c>
      <c r="M7864">
        <f t="shared" si="1250"/>
        <v>0</v>
      </c>
    </row>
    <row r="7865" spans="1:13" x14ac:dyDescent="0.3">
      <c r="A7865" s="3">
        <f t="shared" si="1241"/>
        <v>46065</v>
      </c>
      <c r="B7865" s="11" t="s">
        <v>9474</v>
      </c>
      <c r="C7865" s="7" t="s">
        <v>10204</v>
      </c>
      <c r="D7865" s="153"/>
      <c r="E7865" s="90" t="s">
        <v>4720</v>
      </c>
      <c r="H7865" s="166">
        <v>3500</v>
      </c>
      <c r="I7865" s="88">
        <f t="shared" si="1246"/>
        <v>26790.260000000002</v>
      </c>
      <c r="K7865" s="62"/>
      <c r="L7865" s="2">
        <f t="shared" si="1249"/>
        <v>14</v>
      </c>
      <c r="M7865">
        <f t="shared" si="1250"/>
        <v>0</v>
      </c>
    </row>
    <row r="7866" spans="1:13" x14ac:dyDescent="0.3">
      <c r="A7866" s="3">
        <f t="shared" si="1241"/>
        <v>46065</v>
      </c>
      <c r="B7866" s="11" t="s">
        <v>10206</v>
      </c>
      <c r="C7866" s="7" t="s">
        <v>10277</v>
      </c>
      <c r="D7866" s="153"/>
      <c r="E7866" s="90" t="s">
        <v>16</v>
      </c>
      <c r="H7866" s="166">
        <v>500</v>
      </c>
      <c r="I7866" s="88">
        <f t="shared" si="1246"/>
        <v>26290.260000000002</v>
      </c>
      <c r="K7866" s="62"/>
      <c r="L7866" s="2">
        <f t="shared" si="1249"/>
        <v>17</v>
      </c>
      <c r="M7866">
        <f t="shared" si="1250"/>
        <v>0</v>
      </c>
    </row>
    <row r="7867" spans="1:13" x14ac:dyDescent="0.3">
      <c r="A7867" s="3">
        <f t="shared" si="1241"/>
        <v>46065</v>
      </c>
      <c r="B7867" s="11" t="s">
        <v>3420</v>
      </c>
      <c r="C7867" s="7" t="s">
        <v>8602</v>
      </c>
      <c r="D7867" s="153"/>
      <c r="E7867" s="90" t="s">
        <v>2088</v>
      </c>
      <c r="H7867" s="166">
        <v>1000</v>
      </c>
      <c r="I7867" s="88">
        <f t="shared" si="1246"/>
        <v>25290.260000000002</v>
      </c>
      <c r="K7867" s="62"/>
      <c r="L7867" s="2">
        <f t="shared" si="1249"/>
        <v>9</v>
      </c>
      <c r="M7867">
        <f t="shared" si="1250"/>
        <v>5</v>
      </c>
    </row>
    <row r="7868" spans="1:13" x14ac:dyDescent="0.3">
      <c r="A7868" s="3">
        <f t="shared" si="1241"/>
        <v>46065</v>
      </c>
      <c r="B7868" s="11" t="s">
        <v>7108</v>
      </c>
      <c r="C7868" s="7" t="s">
        <v>8848</v>
      </c>
      <c r="D7868" s="153"/>
      <c r="E7868" s="90" t="s">
        <v>2088</v>
      </c>
      <c r="G7868" s="2">
        <v>0</v>
      </c>
      <c r="H7868" s="166">
        <v>0</v>
      </c>
      <c r="I7868" s="88">
        <f t="shared" si="1246"/>
        <v>25290.260000000002</v>
      </c>
      <c r="K7868" s="62"/>
      <c r="L7868" s="2">
        <f t="shared" si="1249"/>
        <v>5</v>
      </c>
      <c r="M7868">
        <f t="shared" si="1250"/>
        <v>5</v>
      </c>
    </row>
    <row r="7869" spans="1:13" x14ac:dyDescent="0.3">
      <c r="A7869" s="3">
        <f t="shared" si="1241"/>
        <v>46065</v>
      </c>
      <c r="B7869" s="11" t="s">
        <v>2634</v>
      </c>
      <c r="C7869" s="7" t="s">
        <v>3434</v>
      </c>
      <c r="D7869" s="153"/>
      <c r="E7869" s="90" t="s">
        <v>4720</v>
      </c>
      <c r="H7869" s="166">
        <v>1000</v>
      </c>
      <c r="I7869" s="88">
        <f t="shared" ref="I7869:I7881" si="1251">I7868+G7869-H7869</f>
        <v>24290.260000000002</v>
      </c>
      <c r="K7869" s="62"/>
      <c r="L7869" s="2">
        <f t="shared" ref="L7869:L7881" si="1252">IF(E7869="C",0,IF((G7869+H7869)&lt;=5000,(G7869+H7869)*0.004,20)+IF(E7869="P",5,IF(E7869="Y",15,IF(E7869="YY",25))))</f>
        <v>4</v>
      </c>
      <c r="M7869">
        <f t="shared" ref="M7869:M7881" si="1253">IF(E7869="p",5,0)</f>
        <v>0</v>
      </c>
    </row>
    <row r="7870" spans="1:13" x14ac:dyDescent="0.3">
      <c r="A7870" s="3">
        <f t="shared" si="1241"/>
        <v>46065</v>
      </c>
      <c r="B7870" s="11" t="s">
        <v>2241</v>
      </c>
      <c r="C7870" s="7" t="s">
        <v>10185</v>
      </c>
      <c r="D7870" s="153"/>
      <c r="E7870" s="90" t="s">
        <v>4720</v>
      </c>
      <c r="G7870" s="2">
        <v>2000</v>
      </c>
      <c r="H7870" s="166"/>
      <c r="I7870" s="88">
        <f t="shared" si="1251"/>
        <v>26290.260000000002</v>
      </c>
      <c r="K7870" s="62"/>
      <c r="L7870" s="2">
        <f t="shared" si="1252"/>
        <v>8</v>
      </c>
      <c r="M7870">
        <f t="shared" si="1253"/>
        <v>0</v>
      </c>
    </row>
    <row r="7871" spans="1:13" x14ac:dyDescent="0.3">
      <c r="A7871" s="3">
        <v>46066</v>
      </c>
      <c r="B7871" s="11" t="s">
        <v>8653</v>
      </c>
      <c r="C7871" s="7" t="s">
        <v>9923</v>
      </c>
      <c r="D7871" s="153"/>
      <c r="E7871" s="90" t="s">
        <v>4720</v>
      </c>
      <c r="H7871" s="166">
        <v>1000</v>
      </c>
      <c r="I7871" s="88">
        <f t="shared" si="1251"/>
        <v>25290.260000000002</v>
      </c>
      <c r="K7871" s="62"/>
      <c r="L7871" s="2">
        <f t="shared" si="1252"/>
        <v>4</v>
      </c>
      <c r="M7871">
        <f t="shared" si="1253"/>
        <v>0</v>
      </c>
    </row>
    <row r="7872" spans="1:13" x14ac:dyDescent="0.3">
      <c r="A7872" s="3">
        <f t="shared" si="1241"/>
        <v>46066</v>
      </c>
      <c r="B7872" s="11" t="s">
        <v>10209</v>
      </c>
      <c r="C7872" s="7" t="s">
        <v>10210</v>
      </c>
      <c r="D7872" s="153"/>
      <c r="E7872" s="90" t="s">
        <v>2088</v>
      </c>
      <c r="H7872" s="166">
        <v>500</v>
      </c>
      <c r="I7872" s="88">
        <f t="shared" si="1251"/>
        <v>24790.260000000002</v>
      </c>
      <c r="K7872" s="62"/>
      <c r="L7872" s="2">
        <f t="shared" si="1252"/>
        <v>7</v>
      </c>
      <c r="M7872">
        <f t="shared" si="1253"/>
        <v>5</v>
      </c>
    </row>
    <row r="7873" spans="1:13" x14ac:dyDescent="0.3">
      <c r="A7873" s="3">
        <f t="shared" si="1241"/>
        <v>46066</v>
      </c>
      <c r="B7873" s="11" t="s">
        <v>2140</v>
      </c>
      <c r="C7873" s="7" t="s">
        <v>10211</v>
      </c>
      <c r="D7873" s="153"/>
      <c r="E7873" s="90" t="s">
        <v>4720</v>
      </c>
      <c r="H7873" s="166">
        <v>10000</v>
      </c>
      <c r="I7873" s="88">
        <f t="shared" si="1251"/>
        <v>14790.260000000002</v>
      </c>
      <c r="K7873" s="62"/>
      <c r="L7873" s="2">
        <f t="shared" si="1252"/>
        <v>20</v>
      </c>
      <c r="M7873">
        <f t="shared" si="1253"/>
        <v>0</v>
      </c>
    </row>
    <row r="7874" spans="1:13" x14ac:dyDescent="0.3">
      <c r="A7874" s="3">
        <f t="shared" si="1241"/>
        <v>46066</v>
      </c>
      <c r="B7874" s="11" t="s">
        <v>10165</v>
      </c>
      <c r="C7874" s="7" t="s">
        <v>10164</v>
      </c>
      <c r="D7874" s="153"/>
      <c r="E7874" s="90" t="s">
        <v>7772</v>
      </c>
      <c r="G7874" s="2">
        <v>0</v>
      </c>
      <c r="H7874" s="166">
        <v>0</v>
      </c>
      <c r="I7874" s="88">
        <f t="shared" si="1251"/>
        <v>14790.260000000002</v>
      </c>
      <c r="K7874" s="62"/>
      <c r="L7874" s="2">
        <f t="shared" si="1252"/>
        <v>5</v>
      </c>
      <c r="M7874">
        <f t="shared" si="1253"/>
        <v>5</v>
      </c>
    </row>
    <row r="7875" spans="1:13" x14ac:dyDescent="0.3">
      <c r="A7875" s="3">
        <f t="shared" si="1241"/>
        <v>46066</v>
      </c>
      <c r="B7875" s="11" t="s">
        <v>5686</v>
      </c>
      <c r="C7875" s="7" t="s">
        <v>10214</v>
      </c>
      <c r="D7875" s="153"/>
      <c r="E7875" s="90" t="s">
        <v>2088</v>
      </c>
      <c r="H7875" s="166">
        <v>500</v>
      </c>
      <c r="I7875" s="88">
        <f t="shared" si="1251"/>
        <v>14290.260000000002</v>
      </c>
      <c r="K7875" s="62"/>
      <c r="L7875" s="2">
        <f t="shared" si="1252"/>
        <v>7</v>
      </c>
      <c r="M7875">
        <f t="shared" si="1253"/>
        <v>5</v>
      </c>
    </row>
    <row r="7876" spans="1:13" x14ac:dyDescent="0.3">
      <c r="A7876" s="3">
        <v>46069</v>
      </c>
      <c r="B7876" s="11" t="s">
        <v>2241</v>
      </c>
      <c r="C7876" s="7" t="s">
        <v>10215</v>
      </c>
      <c r="D7876" s="153"/>
      <c r="E7876" s="90" t="s">
        <v>4720</v>
      </c>
      <c r="G7876" s="2">
        <v>1500</v>
      </c>
      <c r="H7876" s="166"/>
      <c r="I7876" s="88">
        <f t="shared" si="1251"/>
        <v>15790.260000000002</v>
      </c>
      <c r="K7876" s="62"/>
      <c r="L7876" s="2">
        <f t="shared" si="1252"/>
        <v>6</v>
      </c>
      <c r="M7876">
        <f t="shared" si="1253"/>
        <v>0</v>
      </c>
    </row>
    <row r="7877" spans="1:13" x14ac:dyDescent="0.3">
      <c r="A7877" s="3">
        <f t="shared" si="1241"/>
        <v>46069</v>
      </c>
      <c r="B7877" s="11" t="s">
        <v>3849</v>
      </c>
      <c r="C7877" s="7" t="s">
        <v>2551</v>
      </c>
      <c r="D7877" s="153"/>
      <c r="E7877" s="90" t="s">
        <v>4720</v>
      </c>
      <c r="H7877" s="166">
        <v>4500</v>
      </c>
      <c r="I7877" s="88">
        <f t="shared" si="1251"/>
        <v>11290.260000000002</v>
      </c>
      <c r="K7877" s="62"/>
      <c r="L7877" s="2">
        <f t="shared" si="1252"/>
        <v>18</v>
      </c>
      <c r="M7877">
        <f t="shared" si="1253"/>
        <v>0</v>
      </c>
    </row>
    <row r="7878" spans="1:13" x14ac:dyDescent="0.3">
      <c r="A7878" s="3">
        <f t="shared" si="1241"/>
        <v>46069</v>
      </c>
      <c r="B7878" s="11" t="s">
        <v>1472</v>
      </c>
      <c r="C7878" s="7" t="s">
        <v>9237</v>
      </c>
      <c r="D7878" s="153"/>
      <c r="E7878" s="90" t="s">
        <v>4720</v>
      </c>
      <c r="G7878" s="2">
        <v>10000</v>
      </c>
      <c r="H7878" s="166"/>
      <c r="I7878" s="88">
        <f t="shared" si="1251"/>
        <v>21290.260000000002</v>
      </c>
      <c r="K7878" s="62"/>
      <c r="L7878" s="2">
        <f t="shared" si="1252"/>
        <v>20</v>
      </c>
      <c r="M7878">
        <f t="shared" si="1253"/>
        <v>0</v>
      </c>
    </row>
    <row r="7879" spans="1:13" x14ac:dyDescent="0.3">
      <c r="A7879" s="3">
        <f t="shared" si="1241"/>
        <v>46069</v>
      </c>
      <c r="B7879" s="11" t="s">
        <v>2143</v>
      </c>
      <c r="C7879" s="7" t="s">
        <v>1279</v>
      </c>
      <c r="D7879" s="153"/>
      <c r="E7879" s="90" t="s">
        <v>4720</v>
      </c>
      <c r="H7879" s="166">
        <v>9000</v>
      </c>
      <c r="I7879" s="88">
        <f t="shared" si="1251"/>
        <v>12290.260000000002</v>
      </c>
      <c r="K7879" s="62"/>
      <c r="L7879" s="2">
        <f t="shared" si="1252"/>
        <v>20</v>
      </c>
      <c r="M7879">
        <f t="shared" si="1253"/>
        <v>0</v>
      </c>
    </row>
    <row r="7880" spans="1:13" x14ac:dyDescent="0.3">
      <c r="A7880" s="3">
        <f t="shared" si="1241"/>
        <v>46069</v>
      </c>
      <c r="B7880" s="11" t="s">
        <v>7262</v>
      </c>
      <c r="C7880" s="7" t="s">
        <v>8104</v>
      </c>
      <c r="D7880" s="153"/>
      <c r="E7880" s="90" t="s">
        <v>4720</v>
      </c>
      <c r="G7880" s="2">
        <v>10000</v>
      </c>
      <c r="H7880" s="166"/>
      <c r="I7880" s="88">
        <f t="shared" si="1251"/>
        <v>22290.260000000002</v>
      </c>
      <c r="K7880" s="62"/>
      <c r="L7880" s="2">
        <f t="shared" si="1252"/>
        <v>20</v>
      </c>
      <c r="M7880">
        <f t="shared" si="1253"/>
        <v>0</v>
      </c>
    </row>
    <row r="7881" spans="1:13" x14ac:dyDescent="0.3">
      <c r="A7881" s="3">
        <f t="shared" si="1241"/>
        <v>46069</v>
      </c>
      <c r="B7881" s="11" t="s">
        <v>2448</v>
      </c>
      <c r="C7881" s="7" t="s">
        <v>2274</v>
      </c>
      <c r="D7881" s="153"/>
      <c r="E7881" s="90" t="s">
        <v>4720</v>
      </c>
      <c r="H7881" s="166">
        <v>5000</v>
      </c>
      <c r="I7881" s="88">
        <f t="shared" si="1251"/>
        <v>17290.260000000002</v>
      </c>
      <c r="K7881" s="62"/>
      <c r="L7881" s="2">
        <f t="shared" si="1252"/>
        <v>20</v>
      </c>
      <c r="M7881">
        <f t="shared" si="1253"/>
        <v>0</v>
      </c>
    </row>
    <row r="7882" spans="1:13" x14ac:dyDescent="0.3">
      <c r="A7882" s="3">
        <f t="shared" si="1241"/>
        <v>46069</v>
      </c>
      <c r="B7882" s="11" t="s">
        <v>8653</v>
      </c>
      <c r="C7882" s="7" t="s">
        <v>9923</v>
      </c>
      <c r="D7882" s="153"/>
      <c r="E7882" s="90" t="s">
        <v>4720</v>
      </c>
      <c r="H7882" s="166">
        <v>1700</v>
      </c>
      <c r="I7882" s="88">
        <f t="shared" ref="I7882:I7889" si="1254">I7881+G7882-H7882</f>
        <v>15590.260000000002</v>
      </c>
      <c r="K7882" s="62"/>
      <c r="L7882" s="2">
        <f t="shared" ref="L7882:L7889" si="1255">IF(E7882="C",0,IF((G7882+H7882)&lt;=5000,(G7882+H7882)*0.004,20)+IF(E7882="P",5,IF(E7882="Y",15,IF(E7882="YY",25))))</f>
        <v>6.8</v>
      </c>
      <c r="M7882">
        <f t="shared" ref="M7882:M7889" si="1256">IF(E7882="p",5,0)</f>
        <v>0</v>
      </c>
    </row>
    <row r="7883" spans="1:13" x14ac:dyDescent="0.3">
      <c r="A7883" s="3">
        <f t="shared" si="1241"/>
        <v>46069</v>
      </c>
      <c r="B7883" s="11" t="s">
        <v>3148</v>
      </c>
      <c r="C7883" s="7" t="s">
        <v>10216</v>
      </c>
      <c r="D7883" s="153"/>
      <c r="E7883" s="90" t="s">
        <v>4720</v>
      </c>
      <c r="G7883" s="2">
        <v>400</v>
      </c>
      <c r="H7883" s="166"/>
      <c r="I7883" s="88">
        <f t="shared" si="1254"/>
        <v>15990.260000000002</v>
      </c>
      <c r="K7883" s="62"/>
      <c r="L7883" s="2">
        <f t="shared" si="1255"/>
        <v>1.6</v>
      </c>
      <c r="M7883">
        <f t="shared" si="1256"/>
        <v>0</v>
      </c>
    </row>
    <row r="7884" spans="1:13" x14ac:dyDescent="0.3">
      <c r="A7884" s="3">
        <f t="shared" si="1241"/>
        <v>46069</v>
      </c>
      <c r="B7884" s="11" t="s">
        <v>2165</v>
      </c>
      <c r="C7884" s="7" t="s">
        <v>2874</v>
      </c>
      <c r="D7884" s="153"/>
      <c r="E7884" s="90" t="s">
        <v>4720</v>
      </c>
      <c r="H7884" s="166">
        <v>1000</v>
      </c>
      <c r="I7884" s="88">
        <f t="shared" si="1254"/>
        <v>14990.260000000002</v>
      </c>
      <c r="K7884" s="62"/>
      <c r="L7884" s="2">
        <f t="shared" si="1255"/>
        <v>4</v>
      </c>
      <c r="M7884">
        <f t="shared" si="1256"/>
        <v>0</v>
      </c>
    </row>
    <row r="7885" spans="1:13" x14ac:dyDescent="0.3">
      <c r="A7885" s="3">
        <v>46070</v>
      </c>
      <c r="B7885" s="11" t="s">
        <v>3369</v>
      </c>
      <c r="C7885" s="7" t="s">
        <v>3370</v>
      </c>
      <c r="D7885" s="153"/>
      <c r="E7885" s="90" t="s">
        <v>4720</v>
      </c>
      <c r="G7885" s="2">
        <v>6500</v>
      </c>
      <c r="H7885" s="166"/>
      <c r="I7885" s="88">
        <f t="shared" si="1254"/>
        <v>21490.260000000002</v>
      </c>
      <c r="K7885" s="62"/>
      <c r="L7885" s="2">
        <f t="shared" si="1255"/>
        <v>20</v>
      </c>
      <c r="M7885">
        <f t="shared" si="1256"/>
        <v>0</v>
      </c>
    </row>
    <row r="7886" spans="1:13" x14ac:dyDescent="0.3">
      <c r="A7886" s="3">
        <f t="shared" ref="A7886:A7949" si="1257">A7885</f>
        <v>46070</v>
      </c>
      <c r="B7886" s="11" t="s">
        <v>4072</v>
      </c>
      <c r="C7886" s="7" t="s">
        <v>3370</v>
      </c>
      <c r="D7886" s="153"/>
      <c r="E7886" s="90" t="s">
        <v>2088</v>
      </c>
      <c r="H7886" s="166">
        <v>1500</v>
      </c>
      <c r="I7886" s="88">
        <f t="shared" si="1254"/>
        <v>19990.260000000002</v>
      </c>
      <c r="K7886" s="62"/>
      <c r="L7886" s="2">
        <f t="shared" si="1255"/>
        <v>11</v>
      </c>
      <c r="M7886">
        <f t="shared" si="1256"/>
        <v>5</v>
      </c>
    </row>
    <row r="7887" spans="1:13" x14ac:dyDescent="0.3">
      <c r="A7887" s="3">
        <f t="shared" si="1257"/>
        <v>46070</v>
      </c>
      <c r="B7887" s="11" t="s">
        <v>7489</v>
      </c>
      <c r="C7887" s="7" t="s">
        <v>8807</v>
      </c>
      <c r="D7887" s="153"/>
      <c r="E7887" s="90" t="s">
        <v>4720</v>
      </c>
      <c r="H7887" s="166">
        <v>10000</v>
      </c>
      <c r="I7887" s="88">
        <f t="shared" si="1254"/>
        <v>9990.260000000002</v>
      </c>
      <c r="K7887" s="62"/>
      <c r="L7887" s="2">
        <f t="shared" si="1255"/>
        <v>20</v>
      </c>
      <c r="M7887">
        <f t="shared" si="1256"/>
        <v>0</v>
      </c>
    </row>
    <row r="7888" spans="1:13" x14ac:dyDescent="0.3">
      <c r="A7888" s="3">
        <f t="shared" si="1257"/>
        <v>46070</v>
      </c>
      <c r="B7888" s="11" t="s">
        <v>3955</v>
      </c>
      <c r="C7888" s="7" t="s">
        <v>8724</v>
      </c>
      <c r="D7888" s="153"/>
      <c r="E7888" s="90" t="s">
        <v>2088</v>
      </c>
      <c r="G7888" s="2">
        <v>5000</v>
      </c>
      <c r="H7888" s="166"/>
      <c r="I7888" s="88">
        <f t="shared" si="1254"/>
        <v>14990.260000000002</v>
      </c>
      <c r="K7888" s="62"/>
      <c r="L7888" s="2">
        <f t="shared" si="1255"/>
        <v>25</v>
      </c>
      <c r="M7888">
        <f t="shared" si="1256"/>
        <v>5</v>
      </c>
    </row>
    <row r="7889" spans="1:13" x14ac:dyDescent="0.3">
      <c r="A7889" s="3">
        <f t="shared" si="1257"/>
        <v>46070</v>
      </c>
      <c r="B7889" s="11" t="s">
        <v>8004</v>
      </c>
      <c r="C7889" s="7" t="s">
        <v>8190</v>
      </c>
      <c r="D7889" s="153"/>
      <c r="E7889" s="90" t="s">
        <v>2088</v>
      </c>
      <c r="G7889" s="2">
        <v>0</v>
      </c>
      <c r="H7889" s="166">
        <v>0</v>
      </c>
      <c r="I7889" s="88">
        <f t="shared" si="1254"/>
        <v>14990.260000000002</v>
      </c>
      <c r="K7889" s="62"/>
      <c r="L7889" s="2">
        <f t="shared" si="1255"/>
        <v>5</v>
      </c>
      <c r="M7889">
        <f t="shared" si="1256"/>
        <v>5</v>
      </c>
    </row>
    <row r="7890" spans="1:13" x14ac:dyDescent="0.3">
      <c r="A7890" s="3">
        <f t="shared" si="1257"/>
        <v>46070</v>
      </c>
      <c r="B7890" s="11" t="s">
        <v>10221</v>
      </c>
      <c r="C7890" s="7" t="s">
        <v>10218</v>
      </c>
      <c r="D7890" s="153"/>
      <c r="E7890" s="90" t="s">
        <v>16</v>
      </c>
      <c r="H7890" s="166">
        <v>200</v>
      </c>
      <c r="I7890" s="88">
        <f t="shared" ref="I7890:I7896" si="1258">I7889+G7890-H7890</f>
        <v>14790.260000000002</v>
      </c>
      <c r="K7890" s="62"/>
      <c r="L7890" s="2">
        <f t="shared" ref="L7890:L7896" si="1259">IF(E7890="C",0,IF((G7890+H7890)&lt;=5000,(G7890+H7890)*0.004,20)+IF(E7890="P",5,IF(E7890="Y",15,IF(E7890="YY",25))))</f>
        <v>15.8</v>
      </c>
      <c r="M7890">
        <f t="shared" ref="M7890:M7896" si="1260">IF(E7890="p",5,0)</f>
        <v>0</v>
      </c>
    </row>
    <row r="7891" spans="1:13" x14ac:dyDescent="0.3">
      <c r="A7891" s="3">
        <f t="shared" si="1257"/>
        <v>46070</v>
      </c>
      <c r="B7891" s="11" t="s">
        <v>9156</v>
      </c>
      <c r="C7891" s="7" t="s">
        <v>9155</v>
      </c>
      <c r="D7891" s="153"/>
      <c r="E7891" s="90" t="s">
        <v>2088</v>
      </c>
      <c r="G7891" s="2">
        <v>1000</v>
      </c>
      <c r="H7891" s="166"/>
      <c r="I7891" s="88">
        <f t="shared" si="1258"/>
        <v>15790.260000000002</v>
      </c>
      <c r="K7891" s="62"/>
      <c r="L7891" s="2">
        <f t="shared" si="1259"/>
        <v>9</v>
      </c>
      <c r="M7891">
        <f t="shared" si="1260"/>
        <v>5</v>
      </c>
    </row>
    <row r="7892" spans="1:13" x14ac:dyDescent="0.3">
      <c r="A7892" s="3">
        <f t="shared" si="1257"/>
        <v>46070</v>
      </c>
      <c r="B7892" s="11" t="s">
        <v>1472</v>
      </c>
      <c r="C7892" s="7" t="s">
        <v>10222</v>
      </c>
      <c r="D7892" s="153"/>
      <c r="E7892" s="90" t="s">
        <v>4720</v>
      </c>
      <c r="G7892" s="2">
        <v>1400</v>
      </c>
      <c r="H7892" s="166"/>
      <c r="I7892" s="88">
        <f t="shared" si="1258"/>
        <v>17190.260000000002</v>
      </c>
      <c r="K7892" s="62"/>
      <c r="L7892" s="2">
        <f t="shared" si="1259"/>
        <v>5.6000000000000005</v>
      </c>
      <c r="M7892">
        <f t="shared" si="1260"/>
        <v>0</v>
      </c>
    </row>
    <row r="7893" spans="1:13" x14ac:dyDescent="0.3">
      <c r="A7893" s="3">
        <f t="shared" si="1257"/>
        <v>46070</v>
      </c>
      <c r="B7893" s="11" t="s">
        <v>2490</v>
      </c>
      <c r="C7893" s="7" t="s">
        <v>2857</v>
      </c>
      <c r="D7893" s="153"/>
      <c r="E7893" s="90" t="s">
        <v>8332</v>
      </c>
      <c r="G7893" s="2">
        <v>0</v>
      </c>
      <c r="H7893" s="166">
        <v>15000</v>
      </c>
      <c r="I7893" s="88">
        <f t="shared" si="1258"/>
        <v>2190.260000000002</v>
      </c>
      <c r="K7893" s="62"/>
      <c r="L7893" s="2">
        <f t="shared" si="1259"/>
        <v>0</v>
      </c>
      <c r="M7893">
        <f t="shared" si="1260"/>
        <v>0</v>
      </c>
    </row>
    <row r="7894" spans="1:13" x14ac:dyDescent="0.3">
      <c r="A7894" s="3">
        <f t="shared" si="1257"/>
        <v>46070</v>
      </c>
      <c r="B7894" s="11" t="s">
        <v>10181</v>
      </c>
      <c r="C7894" s="7" t="s">
        <v>10182</v>
      </c>
      <c r="D7894" s="153"/>
      <c r="E7894" s="90" t="s">
        <v>2088</v>
      </c>
      <c r="G7894" s="2">
        <v>0</v>
      </c>
      <c r="H7894" s="166">
        <v>0</v>
      </c>
      <c r="I7894" s="88">
        <f t="shared" si="1258"/>
        <v>2190.260000000002</v>
      </c>
      <c r="K7894" s="62"/>
      <c r="L7894" s="2">
        <f t="shared" si="1259"/>
        <v>5</v>
      </c>
      <c r="M7894">
        <f t="shared" si="1260"/>
        <v>5</v>
      </c>
    </row>
    <row r="7895" spans="1:13" x14ac:dyDescent="0.3">
      <c r="A7895" s="3">
        <f t="shared" si="1257"/>
        <v>46070</v>
      </c>
      <c r="B7895" s="11" t="s">
        <v>7870</v>
      </c>
      <c r="C7895" s="7" t="s">
        <v>8380</v>
      </c>
      <c r="D7895" s="153"/>
      <c r="E7895" s="90" t="s">
        <v>2088</v>
      </c>
      <c r="G7895" s="2">
        <v>10000</v>
      </c>
      <c r="H7895" s="166"/>
      <c r="I7895" s="88">
        <f t="shared" si="1258"/>
        <v>12190.260000000002</v>
      </c>
      <c r="K7895" s="62"/>
      <c r="L7895" s="2">
        <f t="shared" si="1259"/>
        <v>25</v>
      </c>
      <c r="M7895">
        <f t="shared" si="1260"/>
        <v>5</v>
      </c>
    </row>
    <row r="7896" spans="1:13" x14ac:dyDescent="0.3">
      <c r="A7896" s="3">
        <f t="shared" si="1257"/>
        <v>46070</v>
      </c>
      <c r="B7896" s="11" t="s">
        <v>9474</v>
      </c>
      <c r="C7896" s="7" t="s">
        <v>10204</v>
      </c>
      <c r="D7896" s="153"/>
      <c r="E7896" s="90" t="s">
        <v>4720</v>
      </c>
      <c r="H7896" s="166">
        <v>12000</v>
      </c>
      <c r="I7896" s="88">
        <f t="shared" si="1258"/>
        <v>190.26000000000204</v>
      </c>
      <c r="K7896" s="62"/>
      <c r="L7896" s="2">
        <f t="shared" si="1259"/>
        <v>20</v>
      </c>
      <c r="M7896">
        <f t="shared" si="1260"/>
        <v>0</v>
      </c>
    </row>
    <row r="7897" spans="1:13" x14ac:dyDescent="0.3">
      <c r="A7897" s="3">
        <f t="shared" si="1257"/>
        <v>46070</v>
      </c>
      <c r="B7897" s="11" t="s">
        <v>1250</v>
      </c>
      <c r="C7897" s="7" t="s">
        <v>6985</v>
      </c>
      <c r="D7897" s="153"/>
      <c r="E7897" s="90" t="s">
        <v>4720</v>
      </c>
      <c r="G7897" s="2">
        <v>2000</v>
      </c>
      <c r="H7897" s="166"/>
      <c r="I7897" s="88">
        <f t="shared" ref="I7897:I7908" si="1261">I7896+G7897-H7897</f>
        <v>2190.260000000002</v>
      </c>
      <c r="K7897" s="62"/>
      <c r="L7897" s="2">
        <f t="shared" ref="L7897:L7908" si="1262">IF(E7897="C",0,IF((G7897+H7897)&lt;=5000,(G7897+H7897)*0.004,20)+IF(E7897="P",5,IF(E7897="Y",15,IF(E7897="YY",25))))</f>
        <v>8</v>
      </c>
      <c r="M7897">
        <f t="shared" ref="M7897:M7908" si="1263">IF(E7897="p",5,0)</f>
        <v>0</v>
      </c>
    </row>
    <row r="7898" spans="1:13" x14ac:dyDescent="0.3">
      <c r="A7898" s="3">
        <v>46071</v>
      </c>
      <c r="C7898" s="7" t="s">
        <v>2887</v>
      </c>
      <c r="D7898" s="153"/>
      <c r="E7898" s="90" t="s">
        <v>8332</v>
      </c>
      <c r="G7898" s="2">
        <v>10000</v>
      </c>
      <c r="H7898" s="166"/>
      <c r="I7898" s="88">
        <f t="shared" si="1261"/>
        <v>12190.260000000002</v>
      </c>
      <c r="K7898" s="62"/>
      <c r="L7898" s="2">
        <f t="shared" si="1262"/>
        <v>0</v>
      </c>
      <c r="M7898">
        <f t="shared" si="1263"/>
        <v>0</v>
      </c>
    </row>
    <row r="7899" spans="1:13" x14ac:dyDescent="0.3">
      <c r="A7899" s="3">
        <f t="shared" si="1257"/>
        <v>46071</v>
      </c>
      <c r="B7899" s="11" t="s">
        <v>6260</v>
      </c>
      <c r="C7899" s="7" t="s">
        <v>7117</v>
      </c>
      <c r="D7899" s="153"/>
      <c r="E7899" s="90" t="s">
        <v>4720</v>
      </c>
      <c r="H7899" s="166">
        <v>9000</v>
      </c>
      <c r="I7899" s="88">
        <f t="shared" si="1261"/>
        <v>3190.260000000002</v>
      </c>
      <c r="K7899" s="62"/>
      <c r="L7899" s="2">
        <f t="shared" si="1262"/>
        <v>20</v>
      </c>
      <c r="M7899">
        <f t="shared" si="1263"/>
        <v>0</v>
      </c>
    </row>
    <row r="7900" spans="1:13" x14ac:dyDescent="0.3">
      <c r="A7900" s="3">
        <f t="shared" si="1257"/>
        <v>46071</v>
      </c>
      <c r="B7900" s="11" t="s">
        <v>1250</v>
      </c>
      <c r="C7900" s="7" t="s">
        <v>2884</v>
      </c>
      <c r="D7900" s="153"/>
      <c r="E7900" s="90" t="s">
        <v>4720</v>
      </c>
      <c r="G7900" s="2">
        <v>1100</v>
      </c>
      <c r="H7900" s="166"/>
      <c r="I7900" s="88">
        <f t="shared" si="1261"/>
        <v>4290.260000000002</v>
      </c>
      <c r="K7900" s="62"/>
      <c r="L7900" s="2">
        <f t="shared" si="1262"/>
        <v>4.4000000000000004</v>
      </c>
      <c r="M7900">
        <f t="shared" si="1263"/>
        <v>0</v>
      </c>
    </row>
    <row r="7901" spans="1:13" x14ac:dyDescent="0.3">
      <c r="A7901" s="3">
        <f t="shared" si="1257"/>
        <v>46071</v>
      </c>
      <c r="B7901" s="11" t="s">
        <v>1250</v>
      </c>
      <c r="C7901" s="7" t="s">
        <v>3393</v>
      </c>
      <c r="D7901" s="153"/>
      <c r="E7901" s="90" t="s">
        <v>4720</v>
      </c>
      <c r="G7901" s="2">
        <v>1100</v>
      </c>
      <c r="H7901" s="166"/>
      <c r="I7901" s="88">
        <f t="shared" si="1261"/>
        <v>5390.260000000002</v>
      </c>
      <c r="K7901" s="62"/>
      <c r="L7901" s="2">
        <f t="shared" si="1262"/>
        <v>4.4000000000000004</v>
      </c>
      <c r="M7901">
        <f t="shared" si="1263"/>
        <v>0</v>
      </c>
    </row>
    <row r="7902" spans="1:13" x14ac:dyDescent="0.3">
      <c r="A7902" s="3">
        <f t="shared" si="1257"/>
        <v>46071</v>
      </c>
      <c r="B7902" s="11" t="s">
        <v>7396</v>
      </c>
      <c r="C7902" s="7" t="s">
        <v>7397</v>
      </c>
      <c r="D7902" s="153"/>
      <c r="E7902" s="90" t="s">
        <v>4720</v>
      </c>
      <c r="G7902" s="2">
        <v>2000</v>
      </c>
      <c r="H7902" s="166"/>
      <c r="I7902" s="88">
        <f t="shared" si="1261"/>
        <v>7390.260000000002</v>
      </c>
      <c r="K7902" s="62"/>
      <c r="L7902" s="2">
        <f t="shared" si="1262"/>
        <v>8</v>
      </c>
      <c r="M7902">
        <f t="shared" si="1263"/>
        <v>0</v>
      </c>
    </row>
    <row r="7903" spans="1:13" x14ac:dyDescent="0.3">
      <c r="A7903" s="3">
        <f t="shared" si="1257"/>
        <v>46071</v>
      </c>
      <c r="B7903" s="11" t="s">
        <v>10230</v>
      </c>
      <c r="C7903" s="7" t="s">
        <v>10229</v>
      </c>
      <c r="D7903" s="153"/>
      <c r="E7903" s="90" t="s">
        <v>14</v>
      </c>
      <c r="H7903" s="166">
        <v>2000</v>
      </c>
      <c r="I7903" s="88">
        <f t="shared" si="1261"/>
        <v>5390.260000000002</v>
      </c>
      <c r="K7903" s="62"/>
      <c r="L7903" s="2">
        <f t="shared" si="1262"/>
        <v>23</v>
      </c>
      <c r="M7903">
        <f t="shared" si="1263"/>
        <v>0</v>
      </c>
    </row>
    <row r="7904" spans="1:13" x14ac:dyDescent="0.3">
      <c r="A7904" s="3">
        <f t="shared" si="1257"/>
        <v>46071</v>
      </c>
      <c r="B7904" s="11" t="s">
        <v>8044</v>
      </c>
      <c r="C7904" s="7" t="s">
        <v>10231</v>
      </c>
      <c r="D7904" s="153"/>
      <c r="E7904" s="90" t="s">
        <v>2088</v>
      </c>
      <c r="G7904" s="2">
        <v>8000</v>
      </c>
      <c r="H7904" s="166"/>
      <c r="I7904" s="88">
        <f t="shared" si="1261"/>
        <v>13390.260000000002</v>
      </c>
      <c r="K7904" s="62"/>
      <c r="L7904" s="2">
        <f t="shared" si="1262"/>
        <v>25</v>
      </c>
      <c r="M7904">
        <f t="shared" si="1263"/>
        <v>5</v>
      </c>
    </row>
    <row r="7905" spans="1:13" x14ac:dyDescent="0.3">
      <c r="A7905" s="3">
        <f t="shared" si="1257"/>
        <v>46071</v>
      </c>
      <c r="B7905" s="11" t="s">
        <v>10230</v>
      </c>
      <c r="C7905" s="7" t="s">
        <v>10229</v>
      </c>
      <c r="D7905" s="153"/>
      <c r="E7905" s="90" t="s">
        <v>4720</v>
      </c>
      <c r="H7905" s="166">
        <v>6000</v>
      </c>
      <c r="I7905" s="88">
        <f t="shared" si="1261"/>
        <v>7390.260000000002</v>
      </c>
      <c r="K7905" s="62"/>
      <c r="L7905" s="2">
        <f t="shared" si="1262"/>
        <v>20</v>
      </c>
      <c r="M7905">
        <f t="shared" si="1263"/>
        <v>0</v>
      </c>
    </row>
    <row r="7906" spans="1:13" x14ac:dyDescent="0.3">
      <c r="A7906" s="3">
        <f t="shared" si="1257"/>
        <v>46071</v>
      </c>
      <c r="B7906" s="11" t="s">
        <v>7489</v>
      </c>
      <c r="C7906" s="7" t="s">
        <v>8807</v>
      </c>
      <c r="D7906" s="153"/>
      <c r="E7906" s="90" t="s">
        <v>4720</v>
      </c>
      <c r="H7906" s="166">
        <v>5000</v>
      </c>
      <c r="I7906" s="88">
        <f t="shared" si="1261"/>
        <v>2390.260000000002</v>
      </c>
      <c r="K7906" s="62"/>
      <c r="L7906" s="2">
        <f t="shared" si="1262"/>
        <v>20</v>
      </c>
      <c r="M7906">
        <f t="shared" si="1263"/>
        <v>0</v>
      </c>
    </row>
    <row r="7907" spans="1:13" x14ac:dyDescent="0.3">
      <c r="A7907" s="3">
        <f t="shared" si="1257"/>
        <v>46071</v>
      </c>
      <c r="B7907" s="11" t="s">
        <v>1472</v>
      </c>
      <c r="C7907" s="7" t="s">
        <v>9517</v>
      </c>
      <c r="D7907" s="153"/>
      <c r="E7907" s="90" t="s">
        <v>4720</v>
      </c>
      <c r="G7907" s="2">
        <v>1500</v>
      </c>
      <c r="H7907" s="166"/>
      <c r="I7907" s="88">
        <f t="shared" si="1261"/>
        <v>3890.260000000002</v>
      </c>
      <c r="K7907" s="62"/>
      <c r="L7907" s="2">
        <f t="shared" si="1262"/>
        <v>6</v>
      </c>
      <c r="M7907">
        <f t="shared" si="1263"/>
        <v>0</v>
      </c>
    </row>
    <row r="7908" spans="1:13" x14ac:dyDescent="0.3">
      <c r="A7908" s="3">
        <f t="shared" si="1257"/>
        <v>46071</v>
      </c>
      <c r="B7908" s="11" t="s">
        <v>1250</v>
      </c>
      <c r="C7908" s="7" t="s">
        <v>4437</v>
      </c>
      <c r="D7908" s="153"/>
      <c r="E7908" s="90" t="s">
        <v>4720</v>
      </c>
      <c r="G7908" s="2">
        <v>2500</v>
      </c>
      <c r="H7908" s="166"/>
      <c r="I7908" s="88">
        <f t="shared" si="1261"/>
        <v>6390.260000000002</v>
      </c>
      <c r="K7908" s="62"/>
      <c r="L7908" s="2">
        <f t="shared" si="1262"/>
        <v>10</v>
      </c>
      <c r="M7908">
        <f t="shared" si="1263"/>
        <v>0</v>
      </c>
    </row>
    <row r="7909" spans="1:13" x14ac:dyDescent="0.3">
      <c r="A7909" s="3">
        <f t="shared" si="1257"/>
        <v>46071</v>
      </c>
      <c r="B7909" s="11" t="s">
        <v>1160</v>
      </c>
      <c r="C7909" s="7" t="s">
        <v>8264</v>
      </c>
      <c r="D7909" s="153"/>
      <c r="E7909" s="90" t="s">
        <v>4720</v>
      </c>
      <c r="G7909" s="2">
        <v>1000</v>
      </c>
      <c r="H7909" s="166"/>
      <c r="I7909" s="88">
        <f t="shared" ref="I7909:I7918" si="1264">I7908+G7909-H7909</f>
        <v>7390.260000000002</v>
      </c>
      <c r="K7909" s="62"/>
      <c r="L7909" s="2">
        <f t="shared" ref="L7909:L7918" si="1265">IF(E7909="C",0,IF((G7909+H7909)&lt;=5000,(G7909+H7909)*0.004,20)+IF(E7909="P",5,IF(E7909="Y",15,IF(E7909="YY",25))))</f>
        <v>4</v>
      </c>
      <c r="M7909">
        <f t="shared" ref="M7909:M7918" si="1266">IF(E7909="p",5,0)</f>
        <v>0</v>
      </c>
    </row>
    <row r="7910" spans="1:13" x14ac:dyDescent="0.3">
      <c r="A7910" s="3">
        <f t="shared" si="1257"/>
        <v>46071</v>
      </c>
      <c r="B7910" s="11" t="s">
        <v>8052</v>
      </c>
      <c r="C7910" s="7" t="s">
        <v>4867</v>
      </c>
      <c r="D7910" s="153"/>
      <c r="E7910" s="90" t="s">
        <v>4720</v>
      </c>
      <c r="G7910" s="2">
        <v>2000</v>
      </c>
      <c r="H7910" s="166"/>
      <c r="I7910" s="88">
        <f t="shared" si="1264"/>
        <v>9390.260000000002</v>
      </c>
      <c r="K7910" s="62"/>
      <c r="L7910" s="2">
        <f t="shared" si="1265"/>
        <v>8</v>
      </c>
      <c r="M7910">
        <f t="shared" si="1266"/>
        <v>0</v>
      </c>
    </row>
    <row r="7911" spans="1:13" x14ac:dyDescent="0.3">
      <c r="A7911" s="3">
        <f t="shared" si="1257"/>
        <v>46071</v>
      </c>
      <c r="B7911" s="11" t="s">
        <v>1160</v>
      </c>
      <c r="C7911" s="7" t="s">
        <v>7638</v>
      </c>
      <c r="D7911" s="153"/>
      <c r="E7911" s="90" t="s">
        <v>4720</v>
      </c>
      <c r="G7911" s="2">
        <v>7000</v>
      </c>
      <c r="H7911" s="166"/>
      <c r="I7911" s="88">
        <f t="shared" si="1264"/>
        <v>16390.260000000002</v>
      </c>
      <c r="K7911" s="62"/>
      <c r="L7911" s="2">
        <f t="shared" si="1265"/>
        <v>20</v>
      </c>
      <c r="M7911">
        <f t="shared" si="1266"/>
        <v>0</v>
      </c>
    </row>
    <row r="7912" spans="1:13" x14ac:dyDescent="0.3">
      <c r="A7912" s="3">
        <v>46072</v>
      </c>
      <c r="B7912" s="11" t="s">
        <v>10221</v>
      </c>
      <c r="C7912" s="7" t="s">
        <v>10218</v>
      </c>
      <c r="D7912" s="153"/>
      <c r="E7912" s="90" t="s">
        <v>2088</v>
      </c>
      <c r="G7912" s="2">
        <v>0</v>
      </c>
      <c r="H7912" s="166">
        <v>0</v>
      </c>
      <c r="I7912" s="88">
        <f t="shared" si="1264"/>
        <v>16390.260000000002</v>
      </c>
      <c r="K7912" s="62"/>
      <c r="L7912" s="2">
        <f t="shared" si="1265"/>
        <v>5</v>
      </c>
      <c r="M7912">
        <f t="shared" si="1266"/>
        <v>5</v>
      </c>
    </row>
    <row r="7913" spans="1:13" x14ac:dyDescent="0.3">
      <c r="A7913" s="3">
        <f t="shared" si="1257"/>
        <v>46072</v>
      </c>
      <c r="B7913" s="11" t="s">
        <v>10230</v>
      </c>
      <c r="C7913" s="7" t="s">
        <v>10229</v>
      </c>
      <c r="D7913" s="153"/>
      <c r="E7913" s="90" t="s">
        <v>2088</v>
      </c>
      <c r="G7913" s="2">
        <v>0</v>
      </c>
      <c r="H7913" s="166">
        <v>0</v>
      </c>
      <c r="I7913" s="88">
        <f t="shared" si="1264"/>
        <v>16390.260000000002</v>
      </c>
      <c r="K7913" s="62"/>
      <c r="L7913" s="2">
        <f t="shared" si="1265"/>
        <v>5</v>
      </c>
      <c r="M7913">
        <f t="shared" si="1266"/>
        <v>5</v>
      </c>
    </row>
    <row r="7914" spans="1:13" x14ac:dyDescent="0.3">
      <c r="A7914" s="3">
        <f t="shared" si="1257"/>
        <v>46072</v>
      </c>
      <c r="B7914" s="11" t="s">
        <v>9561</v>
      </c>
      <c r="C7914" s="7" t="s">
        <v>3416</v>
      </c>
      <c r="D7914" s="153"/>
      <c r="E7914" s="90" t="s">
        <v>4720</v>
      </c>
      <c r="H7914" s="166">
        <v>500</v>
      </c>
      <c r="I7914" s="88">
        <f t="shared" si="1264"/>
        <v>15890.260000000002</v>
      </c>
      <c r="K7914" s="62"/>
      <c r="L7914" s="2">
        <f t="shared" si="1265"/>
        <v>2</v>
      </c>
      <c r="M7914">
        <f t="shared" si="1266"/>
        <v>0</v>
      </c>
    </row>
    <row r="7915" spans="1:13" x14ac:dyDescent="0.3">
      <c r="A7915" s="3">
        <v>46073</v>
      </c>
      <c r="C7915" s="7" t="s">
        <v>2887</v>
      </c>
      <c r="D7915" s="153"/>
      <c r="E7915" s="90" t="s">
        <v>4720</v>
      </c>
      <c r="G7915" s="2">
        <v>5000</v>
      </c>
      <c r="H7915" s="166"/>
      <c r="I7915" s="88">
        <f t="shared" si="1264"/>
        <v>20890.260000000002</v>
      </c>
      <c r="K7915" s="62"/>
      <c r="L7915" s="2">
        <f t="shared" si="1265"/>
        <v>20</v>
      </c>
      <c r="M7915">
        <f t="shared" si="1266"/>
        <v>0</v>
      </c>
    </row>
    <row r="7916" spans="1:13" x14ac:dyDescent="0.3">
      <c r="A7916" s="3">
        <f t="shared" si="1257"/>
        <v>46073</v>
      </c>
      <c r="B7916" s="11" t="s">
        <v>2490</v>
      </c>
      <c r="C7916" s="7" t="s">
        <v>2857</v>
      </c>
      <c r="D7916" s="153"/>
      <c r="E7916" s="90" t="s">
        <v>4720</v>
      </c>
      <c r="H7916" s="166">
        <v>20000</v>
      </c>
      <c r="I7916" s="88">
        <f t="shared" si="1264"/>
        <v>890.26000000000204</v>
      </c>
      <c r="K7916" s="62"/>
      <c r="L7916" s="2">
        <f t="shared" si="1265"/>
        <v>20</v>
      </c>
      <c r="M7916">
        <f t="shared" si="1266"/>
        <v>0</v>
      </c>
    </row>
    <row r="7917" spans="1:13" x14ac:dyDescent="0.3">
      <c r="A7917" s="3">
        <f t="shared" si="1257"/>
        <v>46073</v>
      </c>
      <c r="B7917" s="11" t="s">
        <v>10234</v>
      </c>
      <c r="C7917" s="7" t="s">
        <v>10235</v>
      </c>
      <c r="D7917" s="153"/>
      <c r="E7917" s="90" t="s">
        <v>4720</v>
      </c>
      <c r="G7917" s="2">
        <v>1000</v>
      </c>
      <c r="H7917" s="166"/>
      <c r="I7917" s="88">
        <f t="shared" si="1264"/>
        <v>1890.260000000002</v>
      </c>
      <c r="K7917" s="62"/>
      <c r="L7917" s="2">
        <f t="shared" si="1265"/>
        <v>4</v>
      </c>
      <c r="M7917">
        <f t="shared" si="1266"/>
        <v>0</v>
      </c>
    </row>
    <row r="7918" spans="1:13" x14ac:dyDescent="0.3">
      <c r="A7918" s="3">
        <f t="shared" si="1257"/>
        <v>46073</v>
      </c>
      <c r="B7918" s="11" t="s">
        <v>10197</v>
      </c>
      <c r="C7918" s="7" t="s">
        <v>10198</v>
      </c>
      <c r="D7918" s="153"/>
      <c r="E7918" s="90" t="s">
        <v>2088</v>
      </c>
      <c r="H7918" s="166"/>
      <c r="I7918" s="88">
        <f t="shared" si="1264"/>
        <v>1890.260000000002</v>
      </c>
      <c r="K7918" s="62"/>
      <c r="L7918" s="2">
        <f t="shared" si="1265"/>
        <v>5</v>
      </c>
      <c r="M7918">
        <f t="shared" si="1266"/>
        <v>5</v>
      </c>
    </row>
    <row r="7919" spans="1:13" x14ac:dyDescent="0.3">
      <c r="A7919" s="3">
        <f t="shared" si="1257"/>
        <v>46073</v>
      </c>
      <c r="B7919" s="11" t="s">
        <v>10197</v>
      </c>
      <c r="C7919" s="7" t="s">
        <v>10198</v>
      </c>
      <c r="D7919" s="153"/>
      <c r="E7919" s="90" t="s">
        <v>2088</v>
      </c>
      <c r="G7919" s="2">
        <v>10000</v>
      </c>
      <c r="H7919" s="166"/>
      <c r="I7919" s="88">
        <f t="shared" ref="I7919:I7928" si="1267">I7918+G7919-H7919</f>
        <v>11890.260000000002</v>
      </c>
      <c r="K7919" s="62"/>
      <c r="L7919" s="2">
        <f t="shared" ref="L7919:L7928" si="1268">IF(E7919="C",0,IF((G7919+H7919)&lt;=5000,(G7919+H7919)*0.004,20)+IF(E7919="P",5,IF(E7919="Y",15,IF(E7919="YY",25))))</f>
        <v>25</v>
      </c>
      <c r="M7919">
        <f t="shared" ref="M7919:M7928" si="1269">IF(E7919="p",5,0)</f>
        <v>5</v>
      </c>
    </row>
    <row r="7920" spans="1:13" x14ac:dyDescent="0.3">
      <c r="A7920" s="3">
        <f t="shared" si="1257"/>
        <v>46073</v>
      </c>
      <c r="B7920" s="11" t="s">
        <v>8653</v>
      </c>
      <c r="C7920" s="50" t="s">
        <v>10236</v>
      </c>
      <c r="D7920" s="153"/>
      <c r="E7920" s="90" t="s">
        <v>4720</v>
      </c>
      <c r="H7920" s="166">
        <v>4500</v>
      </c>
      <c r="I7920" s="88">
        <f t="shared" si="1267"/>
        <v>7390.260000000002</v>
      </c>
      <c r="K7920" s="62"/>
      <c r="L7920" s="2">
        <f t="shared" si="1268"/>
        <v>18</v>
      </c>
      <c r="M7920">
        <f t="shared" si="1269"/>
        <v>0</v>
      </c>
    </row>
    <row r="7921" spans="1:13" x14ac:dyDescent="0.3">
      <c r="A7921" s="3">
        <f t="shared" si="1257"/>
        <v>46073</v>
      </c>
      <c r="B7921" s="11" t="s">
        <v>8206</v>
      </c>
      <c r="C7921" s="7" t="s">
        <v>10237</v>
      </c>
      <c r="D7921" s="153"/>
      <c r="E7921" s="90" t="s">
        <v>2088</v>
      </c>
      <c r="H7921" s="166"/>
      <c r="I7921" s="88">
        <f t="shared" si="1267"/>
        <v>7390.260000000002</v>
      </c>
      <c r="K7921" s="62"/>
      <c r="L7921" s="2">
        <f t="shared" si="1268"/>
        <v>5</v>
      </c>
      <c r="M7921">
        <f t="shared" si="1269"/>
        <v>5</v>
      </c>
    </row>
    <row r="7922" spans="1:13" x14ac:dyDescent="0.3">
      <c r="A7922" s="3">
        <f t="shared" si="1257"/>
        <v>46073</v>
      </c>
      <c r="B7922" s="11" t="s">
        <v>8206</v>
      </c>
      <c r="C7922" s="7" t="s">
        <v>10237</v>
      </c>
      <c r="D7922" s="153"/>
      <c r="E7922" s="90" t="s">
        <v>2088</v>
      </c>
      <c r="G7922" s="2">
        <v>6000</v>
      </c>
      <c r="H7922" s="166"/>
      <c r="I7922" s="88">
        <f t="shared" si="1267"/>
        <v>13390.260000000002</v>
      </c>
      <c r="K7922" s="62"/>
      <c r="L7922" s="2">
        <f t="shared" si="1268"/>
        <v>25</v>
      </c>
      <c r="M7922">
        <f t="shared" si="1269"/>
        <v>5</v>
      </c>
    </row>
    <row r="7923" spans="1:13" x14ac:dyDescent="0.3">
      <c r="A7923" s="3">
        <f t="shared" si="1257"/>
        <v>46073</v>
      </c>
      <c r="B7923" s="11" t="s">
        <v>3849</v>
      </c>
      <c r="C7923" s="7" t="s">
        <v>2551</v>
      </c>
      <c r="D7923" s="153"/>
      <c r="E7923" s="90" t="s">
        <v>4720</v>
      </c>
      <c r="H7923" s="166">
        <v>10000</v>
      </c>
      <c r="I7923" s="88">
        <f t="shared" si="1267"/>
        <v>3390.260000000002</v>
      </c>
      <c r="K7923" s="62"/>
      <c r="L7923" s="2">
        <f t="shared" si="1268"/>
        <v>20</v>
      </c>
      <c r="M7923">
        <f t="shared" si="1269"/>
        <v>0</v>
      </c>
    </row>
    <row r="7924" spans="1:13" x14ac:dyDescent="0.3">
      <c r="A7924" s="3">
        <f t="shared" si="1257"/>
        <v>46073</v>
      </c>
      <c r="B7924" s="11" t="s">
        <v>1160</v>
      </c>
      <c r="C7924" s="7" t="s">
        <v>8748</v>
      </c>
      <c r="D7924" s="153"/>
      <c r="E7924" s="90" t="s">
        <v>4720</v>
      </c>
      <c r="G7924" s="2">
        <v>2500</v>
      </c>
      <c r="H7924" s="166"/>
      <c r="I7924" s="88">
        <f t="shared" si="1267"/>
        <v>5890.260000000002</v>
      </c>
      <c r="K7924" s="62"/>
      <c r="L7924" s="2">
        <f t="shared" si="1268"/>
        <v>10</v>
      </c>
      <c r="M7924">
        <f t="shared" si="1269"/>
        <v>0</v>
      </c>
    </row>
    <row r="7925" spans="1:13" x14ac:dyDescent="0.3">
      <c r="A7925" s="3">
        <v>46074</v>
      </c>
      <c r="B7925" s="11" t="s">
        <v>10221</v>
      </c>
      <c r="C7925" s="50" t="s">
        <v>10218</v>
      </c>
      <c r="D7925" s="153"/>
      <c r="E7925" s="90" t="s">
        <v>2088</v>
      </c>
      <c r="G7925" s="2">
        <v>0</v>
      </c>
      <c r="H7925" s="166">
        <v>0</v>
      </c>
      <c r="I7925" s="88">
        <f t="shared" si="1267"/>
        <v>5890.260000000002</v>
      </c>
      <c r="K7925" s="62"/>
      <c r="L7925" s="2">
        <f t="shared" si="1268"/>
        <v>5</v>
      </c>
      <c r="M7925">
        <f t="shared" si="1269"/>
        <v>5</v>
      </c>
    </row>
    <row r="7926" spans="1:13" x14ac:dyDescent="0.3">
      <c r="A7926" s="3">
        <f t="shared" si="1257"/>
        <v>46074</v>
      </c>
      <c r="B7926" s="11" t="s">
        <v>1160</v>
      </c>
      <c r="C7926" s="7" t="s">
        <v>8264</v>
      </c>
      <c r="D7926" s="153" t="s">
        <v>10238</v>
      </c>
      <c r="E7926" s="90" t="s">
        <v>4720</v>
      </c>
      <c r="G7926" s="2">
        <v>5000</v>
      </c>
      <c r="H7926" s="166"/>
      <c r="I7926" s="88">
        <f t="shared" si="1267"/>
        <v>10890.260000000002</v>
      </c>
      <c r="K7926" s="62"/>
      <c r="L7926" s="2">
        <f t="shared" si="1268"/>
        <v>20</v>
      </c>
      <c r="M7926">
        <f t="shared" si="1269"/>
        <v>0</v>
      </c>
    </row>
    <row r="7927" spans="1:13" x14ac:dyDescent="0.3">
      <c r="A7927" s="3">
        <f t="shared" si="1257"/>
        <v>46074</v>
      </c>
      <c r="B7927" s="11" t="s">
        <v>2490</v>
      </c>
      <c r="C7927" s="7" t="s">
        <v>2887</v>
      </c>
      <c r="D7927" s="153"/>
      <c r="E7927" s="90" t="s">
        <v>8332</v>
      </c>
      <c r="G7927" s="2">
        <v>5000</v>
      </c>
      <c r="H7927" s="166"/>
      <c r="I7927" s="88">
        <f t="shared" si="1267"/>
        <v>15890.260000000002</v>
      </c>
      <c r="K7927" s="62"/>
      <c r="L7927" s="2">
        <f t="shared" si="1268"/>
        <v>0</v>
      </c>
      <c r="M7927">
        <f t="shared" si="1269"/>
        <v>0</v>
      </c>
    </row>
    <row r="7928" spans="1:13" x14ac:dyDescent="0.3">
      <c r="A7928" s="3">
        <f t="shared" si="1257"/>
        <v>46074</v>
      </c>
      <c r="B7928" s="11" t="s">
        <v>2490</v>
      </c>
      <c r="C7928" s="7" t="s">
        <v>2857</v>
      </c>
      <c r="D7928" s="153"/>
      <c r="E7928" s="90" t="s">
        <v>4720</v>
      </c>
      <c r="H7928" s="166">
        <v>15000</v>
      </c>
      <c r="I7928" s="88">
        <f t="shared" si="1267"/>
        <v>890.26000000000204</v>
      </c>
      <c r="K7928" s="62"/>
      <c r="L7928" s="2">
        <f t="shared" si="1268"/>
        <v>20</v>
      </c>
      <c r="M7928">
        <f t="shared" si="1269"/>
        <v>0</v>
      </c>
    </row>
    <row r="7929" spans="1:13" x14ac:dyDescent="0.3">
      <c r="A7929" s="3">
        <f t="shared" si="1257"/>
        <v>46074</v>
      </c>
      <c r="B7929" s="11" t="s">
        <v>2241</v>
      </c>
      <c r="C7929" s="7" t="s">
        <v>10239</v>
      </c>
      <c r="D7929" s="153"/>
      <c r="E7929" s="90" t="s">
        <v>4720</v>
      </c>
      <c r="G7929" s="2">
        <v>3000</v>
      </c>
      <c r="H7929" s="166"/>
      <c r="I7929" s="88">
        <f t="shared" ref="I7929:I7938" si="1270">I7928+G7929-H7929</f>
        <v>3890.260000000002</v>
      </c>
      <c r="K7929" s="62"/>
      <c r="L7929" s="2">
        <f t="shared" ref="L7929:L7938" si="1271">IF(E7929="C",0,IF((G7929+H7929)&lt;=5000,(G7929+H7929)*0.004,20)+IF(E7929="P",5,IF(E7929="Y",15,IF(E7929="YY",25))))</f>
        <v>12</v>
      </c>
      <c r="M7929">
        <f t="shared" ref="M7929:M7938" si="1272">IF(E7929="p",5,0)</f>
        <v>0</v>
      </c>
    </row>
    <row r="7930" spans="1:13" x14ac:dyDescent="0.3">
      <c r="A7930" s="3">
        <f t="shared" si="1257"/>
        <v>46074</v>
      </c>
      <c r="B7930" s="11" t="s">
        <v>3289</v>
      </c>
      <c r="C7930" s="7" t="s">
        <v>2734</v>
      </c>
      <c r="D7930" s="153"/>
      <c r="E7930" s="90" t="s">
        <v>4720</v>
      </c>
      <c r="H7930" s="166">
        <v>1000</v>
      </c>
      <c r="I7930" s="88">
        <f t="shared" si="1270"/>
        <v>2890.260000000002</v>
      </c>
      <c r="K7930" s="62"/>
      <c r="L7930" s="2">
        <f t="shared" si="1271"/>
        <v>4</v>
      </c>
      <c r="M7930">
        <f t="shared" si="1272"/>
        <v>0</v>
      </c>
    </row>
    <row r="7931" spans="1:13" x14ac:dyDescent="0.3">
      <c r="A7931" s="3">
        <f t="shared" si="1257"/>
        <v>46074</v>
      </c>
      <c r="B7931" s="11" t="s">
        <v>1160</v>
      </c>
      <c r="C7931" s="7" t="s">
        <v>3371</v>
      </c>
      <c r="D7931" s="153"/>
      <c r="E7931" s="90" t="s">
        <v>4720</v>
      </c>
      <c r="G7931" s="2">
        <v>1000</v>
      </c>
      <c r="H7931" s="166"/>
      <c r="I7931" s="88">
        <f t="shared" si="1270"/>
        <v>3890.260000000002</v>
      </c>
      <c r="K7931" s="62"/>
      <c r="L7931" s="2">
        <f t="shared" si="1271"/>
        <v>4</v>
      </c>
      <c r="M7931">
        <f t="shared" si="1272"/>
        <v>0</v>
      </c>
    </row>
    <row r="7932" spans="1:13" x14ac:dyDescent="0.3">
      <c r="A7932" s="3">
        <v>46075</v>
      </c>
      <c r="B7932" s="11" t="s">
        <v>1250</v>
      </c>
      <c r="C7932" s="7" t="s">
        <v>10240</v>
      </c>
      <c r="D7932" s="153"/>
      <c r="E7932" s="90" t="s">
        <v>4720</v>
      </c>
      <c r="G7932" s="2">
        <v>6000</v>
      </c>
      <c r="H7932" s="166"/>
      <c r="I7932" s="88">
        <f t="shared" si="1270"/>
        <v>9890.260000000002</v>
      </c>
      <c r="K7932" s="62"/>
      <c r="L7932" s="2">
        <f t="shared" si="1271"/>
        <v>20</v>
      </c>
      <c r="M7932">
        <f t="shared" si="1272"/>
        <v>0</v>
      </c>
    </row>
    <row r="7933" spans="1:13" x14ac:dyDescent="0.3">
      <c r="A7933" s="3">
        <f t="shared" si="1257"/>
        <v>46075</v>
      </c>
      <c r="B7933" s="11" t="s">
        <v>1250</v>
      </c>
      <c r="C7933" s="7" t="s">
        <v>10241</v>
      </c>
      <c r="D7933" s="153"/>
      <c r="E7933" s="90" t="s">
        <v>4720</v>
      </c>
      <c r="G7933" s="2">
        <v>1300</v>
      </c>
      <c r="H7933" s="166"/>
      <c r="I7933" s="88">
        <f t="shared" si="1270"/>
        <v>11190.260000000002</v>
      </c>
      <c r="K7933" s="62"/>
      <c r="L7933" s="2">
        <f t="shared" si="1271"/>
        <v>5.2</v>
      </c>
      <c r="M7933">
        <f t="shared" si="1272"/>
        <v>0</v>
      </c>
    </row>
    <row r="7934" spans="1:13" x14ac:dyDescent="0.3">
      <c r="A7934" s="3">
        <f t="shared" si="1257"/>
        <v>46075</v>
      </c>
      <c r="B7934" s="11" t="s">
        <v>1160</v>
      </c>
      <c r="C7934" s="7" t="s">
        <v>10242</v>
      </c>
      <c r="D7934" s="153"/>
      <c r="E7934" s="90" t="s">
        <v>4720</v>
      </c>
      <c r="G7934" s="2">
        <v>2000</v>
      </c>
      <c r="H7934" s="166"/>
      <c r="I7934" s="88">
        <f t="shared" si="1270"/>
        <v>13190.260000000002</v>
      </c>
      <c r="K7934" s="62"/>
      <c r="L7934" s="2">
        <f t="shared" si="1271"/>
        <v>8</v>
      </c>
      <c r="M7934">
        <f t="shared" si="1272"/>
        <v>0</v>
      </c>
    </row>
    <row r="7935" spans="1:13" x14ac:dyDescent="0.3">
      <c r="A7935" s="3">
        <v>46076</v>
      </c>
      <c r="B7935" s="11" t="s">
        <v>8922</v>
      </c>
      <c r="C7935" s="7" t="s">
        <v>730</v>
      </c>
      <c r="D7935" s="153"/>
      <c r="E7935" s="90" t="s">
        <v>4720</v>
      </c>
      <c r="G7935" s="2">
        <v>2000</v>
      </c>
      <c r="H7935" s="166"/>
      <c r="I7935" s="88">
        <f t="shared" si="1270"/>
        <v>15190.260000000002</v>
      </c>
      <c r="K7935" s="62"/>
      <c r="L7935" s="2">
        <f t="shared" si="1271"/>
        <v>8</v>
      </c>
      <c r="M7935">
        <f t="shared" si="1272"/>
        <v>0</v>
      </c>
    </row>
    <row r="7936" spans="1:13" x14ac:dyDescent="0.3">
      <c r="A7936" s="3">
        <f t="shared" si="1257"/>
        <v>46076</v>
      </c>
      <c r="B7936" s="11" t="s">
        <v>10243</v>
      </c>
      <c r="C7936" s="7" t="s">
        <v>6137</v>
      </c>
      <c r="D7936" s="153"/>
      <c r="E7936" s="90" t="s">
        <v>4720</v>
      </c>
      <c r="G7936" s="2">
        <v>3000</v>
      </c>
      <c r="H7936" s="166"/>
      <c r="I7936" s="88">
        <f t="shared" si="1270"/>
        <v>18190.260000000002</v>
      </c>
      <c r="K7936" s="62"/>
      <c r="L7936" s="2">
        <f t="shared" si="1271"/>
        <v>12</v>
      </c>
      <c r="M7936">
        <f t="shared" si="1272"/>
        <v>0</v>
      </c>
    </row>
    <row r="7937" spans="1:13" x14ac:dyDescent="0.3">
      <c r="A7937" s="3">
        <f t="shared" si="1257"/>
        <v>46076</v>
      </c>
      <c r="B7937" s="11" t="s">
        <v>3612</v>
      </c>
      <c r="C7937" s="7" t="s">
        <v>10244</v>
      </c>
      <c r="D7937" s="153"/>
      <c r="E7937" s="90" t="s">
        <v>4720</v>
      </c>
      <c r="G7937" s="2">
        <v>8500</v>
      </c>
      <c r="H7937" s="166"/>
      <c r="I7937" s="88">
        <f t="shared" si="1270"/>
        <v>26690.260000000002</v>
      </c>
      <c r="K7937" s="62"/>
      <c r="L7937" s="2">
        <f t="shared" si="1271"/>
        <v>20</v>
      </c>
      <c r="M7937">
        <f t="shared" si="1272"/>
        <v>0</v>
      </c>
    </row>
    <row r="7938" spans="1:13" x14ac:dyDescent="0.3">
      <c r="A7938" s="3">
        <f t="shared" si="1257"/>
        <v>46076</v>
      </c>
      <c r="B7938" s="11" t="s">
        <v>1160</v>
      </c>
      <c r="C7938" s="7" t="s">
        <v>7500</v>
      </c>
      <c r="D7938" s="153"/>
      <c r="E7938" s="90" t="s">
        <v>4720</v>
      </c>
      <c r="G7938" s="2">
        <v>5000</v>
      </c>
      <c r="H7938" s="166"/>
      <c r="I7938" s="88">
        <f t="shared" si="1270"/>
        <v>31690.260000000002</v>
      </c>
      <c r="K7938" s="62"/>
      <c r="L7938" s="2">
        <f t="shared" si="1271"/>
        <v>20</v>
      </c>
      <c r="M7938">
        <f t="shared" si="1272"/>
        <v>0</v>
      </c>
    </row>
    <row r="7939" spans="1:13" x14ac:dyDescent="0.3">
      <c r="A7939" s="3">
        <f t="shared" si="1257"/>
        <v>46076</v>
      </c>
      <c r="B7939" s="11" t="s">
        <v>10245</v>
      </c>
      <c r="C7939" s="7" t="s">
        <v>10246</v>
      </c>
      <c r="D7939" s="153"/>
      <c r="E7939" s="90" t="s">
        <v>4720</v>
      </c>
      <c r="G7939" s="2">
        <v>5000</v>
      </c>
      <c r="H7939" s="166"/>
      <c r="I7939" s="88">
        <f t="shared" ref="I7939:I7952" si="1273">I7938+G7939-H7939</f>
        <v>36690.26</v>
      </c>
      <c r="K7939" s="62">
        <f>50+70+15</f>
        <v>135</v>
      </c>
      <c r="L7939" s="2">
        <f t="shared" ref="L7939:L7952" si="1274">IF(E7939="C",0,IF((G7939+H7939)&lt;=5000,(G7939+H7939)*0.004,20)+IF(E7939="P",5,IF(E7939="Y",15,IF(E7939="YY",25))))</f>
        <v>20</v>
      </c>
      <c r="M7939">
        <f t="shared" ref="M7939:M7952" si="1275">IF(E7939="p",5,0)</f>
        <v>0</v>
      </c>
    </row>
    <row r="7940" spans="1:13" x14ac:dyDescent="0.3">
      <c r="A7940" s="3">
        <f t="shared" si="1257"/>
        <v>46076</v>
      </c>
      <c r="B7940" s="11" t="s">
        <v>2490</v>
      </c>
      <c r="C7940" s="7" t="s">
        <v>2857</v>
      </c>
      <c r="D7940" s="153"/>
      <c r="E7940" s="90" t="s">
        <v>8332</v>
      </c>
      <c r="H7940" s="166">
        <v>36000</v>
      </c>
      <c r="I7940" s="88">
        <f t="shared" si="1273"/>
        <v>690.26000000000204</v>
      </c>
      <c r="K7940" s="62"/>
      <c r="L7940" s="2">
        <f t="shared" si="1274"/>
        <v>0</v>
      </c>
      <c r="M7940">
        <f t="shared" si="1275"/>
        <v>0</v>
      </c>
    </row>
    <row r="7941" spans="1:13" x14ac:dyDescent="0.3">
      <c r="A7941" s="3">
        <f t="shared" si="1257"/>
        <v>46076</v>
      </c>
      <c r="B7941" s="11" t="s">
        <v>7264</v>
      </c>
      <c r="C7941" s="7" t="s">
        <v>8064</v>
      </c>
      <c r="D7941" s="153"/>
      <c r="E7941" s="90" t="s">
        <v>2088</v>
      </c>
      <c r="G7941" s="2">
        <v>200</v>
      </c>
      <c r="H7941" s="166"/>
      <c r="I7941" s="88">
        <f t="shared" si="1273"/>
        <v>890.26000000000204</v>
      </c>
      <c r="K7941" s="62"/>
      <c r="L7941" s="2">
        <f t="shared" si="1274"/>
        <v>5.8</v>
      </c>
      <c r="M7941">
        <f t="shared" si="1275"/>
        <v>5</v>
      </c>
    </row>
    <row r="7942" spans="1:13" x14ac:dyDescent="0.3">
      <c r="A7942" s="3">
        <f t="shared" si="1257"/>
        <v>46076</v>
      </c>
      <c r="B7942" s="11" t="s">
        <v>9511</v>
      </c>
      <c r="C7942" s="7" t="s">
        <v>9263</v>
      </c>
      <c r="D7942" s="153"/>
      <c r="E7942" s="90" t="s">
        <v>4720</v>
      </c>
      <c r="G7942" s="2">
        <v>8500</v>
      </c>
      <c r="H7942" s="166"/>
      <c r="I7942" s="88">
        <f t="shared" si="1273"/>
        <v>9390.260000000002</v>
      </c>
      <c r="K7942" s="62"/>
      <c r="L7942" s="2">
        <f t="shared" si="1274"/>
        <v>20</v>
      </c>
      <c r="M7942">
        <f t="shared" si="1275"/>
        <v>0</v>
      </c>
    </row>
    <row r="7943" spans="1:13" x14ac:dyDescent="0.3">
      <c r="A7943" s="3">
        <f t="shared" si="1257"/>
        <v>46076</v>
      </c>
      <c r="B7943" s="11" t="s">
        <v>1472</v>
      </c>
      <c r="C7943" s="7" t="s">
        <v>10247</v>
      </c>
      <c r="D7943" s="153"/>
      <c r="E7943" s="90" t="s">
        <v>4720</v>
      </c>
      <c r="G7943" s="2">
        <v>10000</v>
      </c>
      <c r="H7943" s="166"/>
      <c r="I7943" s="88">
        <f t="shared" si="1273"/>
        <v>19390.260000000002</v>
      </c>
      <c r="K7943" s="62"/>
      <c r="L7943" s="2">
        <f t="shared" si="1274"/>
        <v>20</v>
      </c>
      <c r="M7943">
        <f t="shared" si="1275"/>
        <v>0</v>
      </c>
    </row>
    <row r="7944" spans="1:13" x14ac:dyDescent="0.3">
      <c r="A7944" s="3">
        <f t="shared" si="1257"/>
        <v>46076</v>
      </c>
      <c r="B7944" s="11" t="s">
        <v>7649</v>
      </c>
      <c r="C7944" s="7" t="s">
        <v>8378</v>
      </c>
      <c r="D7944" s="153"/>
      <c r="E7944" s="90" t="s">
        <v>4720</v>
      </c>
      <c r="G7944" s="2">
        <v>800</v>
      </c>
      <c r="H7944" s="166"/>
      <c r="I7944" s="88">
        <f t="shared" si="1273"/>
        <v>20190.260000000002</v>
      </c>
      <c r="K7944" s="62"/>
      <c r="L7944" s="2">
        <f t="shared" si="1274"/>
        <v>3.2</v>
      </c>
      <c r="M7944">
        <f t="shared" si="1275"/>
        <v>0</v>
      </c>
    </row>
    <row r="7945" spans="1:13" x14ac:dyDescent="0.3">
      <c r="A7945" s="3">
        <f t="shared" si="1257"/>
        <v>46076</v>
      </c>
      <c r="B7945" s="11" t="s">
        <v>2351</v>
      </c>
      <c r="C7945" s="7" t="s">
        <v>7638</v>
      </c>
      <c r="D7945" s="153"/>
      <c r="E7945" s="90" t="s">
        <v>4720</v>
      </c>
      <c r="G7945" s="2">
        <v>10000</v>
      </c>
      <c r="H7945" s="166"/>
      <c r="I7945" s="88">
        <f t="shared" si="1273"/>
        <v>30190.260000000002</v>
      </c>
      <c r="K7945" s="62"/>
      <c r="L7945" s="2">
        <f t="shared" si="1274"/>
        <v>20</v>
      </c>
      <c r="M7945">
        <f t="shared" si="1275"/>
        <v>0</v>
      </c>
    </row>
    <row r="7946" spans="1:13" x14ac:dyDescent="0.3">
      <c r="A7946" s="3">
        <f t="shared" si="1257"/>
        <v>46076</v>
      </c>
      <c r="B7946" s="11" t="s">
        <v>2490</v>
      </c>
      <c r="C7946" s="7" t="s">
        <v>2857</v>
      </c>
      <c r="D7946" s="153"/>
      <c r="E7946" s="90" t="s">
        <v>8332</v>
      </c>
      <c r="H7946" s="166">
        <v>30000</v>
      </c>
      <c r="I7946" s="88">
        <f t="shared" si="1273"/>
        <v>190.26000000000204</v>
      </c>
      <c r="K7946" s="62"/>
      <c r="L7946" s="2">
        <f t="shared" si="1274"/>
        <v>0</v>
      </c>
      <c r="M7946">
        <f t="shared" si="1275"/>
        <v>0</v>
      </c>
    </row>
    <row r="7947" spans="1:13" x14ac:dyDescent="0.3">
      <c r="A7947" s="3">
        <f t="shared" si="1257"/>
        <v>46076</v>
      </c>
      <c r="B7947" s="11" t="s">
        <v>5042</v>
      </c>
      <c r="C7947" s="7" t="s">
        <v>6379</v>
      </c>
      <c r="E7947" s="90" t="s">
        <v>2088</v>
      </c>
      <c r="G7947" s="2">
        <v>600</v>
      </c>
      <c r="H7947" s="166"/>
      <c r="I7947" s="88">
        <f t="shared" si="1273"/>
        <v>790.26000000000204</v>
      </c>
      <c r="K7947" s="62"/>
      <c r="L7947" s="2">
        <f t="shared" si="1274"/>
        <v>7.4</v>
      </c>
      <c r="M7947">
        <f t="shared" si="1275"/>
        <v>5</v>
      </c>
    </row>
    <row r="7948" spans="1:13" x14ac:dyDescent="0.3">
      <c r="A7948" s="3">
        <f t="shared" si="1257"/>
        <v>46076</v>
      </c>
      <c r="B7948" s="11" t="s">
        <v>1472</v>
      </c>
      <c r="C7948" s="7" t="s">
        <v>9237</v>
      </c>
      <c r="D7948" s="153"/>
      <c r="E7948" s="90" t="s">
        <v>4720</v>
      </c>
      <c r="G7948" s="2">
        <v>2000</v>
      </c>
      <c r="H7948" s="166"/>
      <c r="I7948" s="88">
        <f t="shared" si="1273"/>
        <v>2790.260000000002</v>
      </c>
      <c r="K7948" s="62"/>
      <c r="L7948" s="2">
        <f t="shared" si="1274"/>
        <v>8</v>
      </c>
      <c r="M7948">
        <f t="shared" si="1275"/>
        <v>0</v>
      </c>
    </row>
    <row r="7949" spans="1:13" x14ac:dyDescent="0.3">
      <c r="A7949" s="3">
        <f t="shared" si="1257"/>
        <v>46076</v>
      </c>
      <c r="B7949" s="11" t="s">
        <v>1160</v>
      </c>
      <c r="C7949" s="7" t="s">
        <v>10248</v>
      </c>
      <c r="D7949" s="153"/>
      <c r="E7949" s="90" t="s">
        <v>4720</v>
      </c>
      <c r="G7949" s="2">
        <v>4400</v>
      </c>
      <c r="H7949" s="166"/>
      <c r="I7949" s="88">
        <f t="shared" si="1273"/>
        <v>7190.260000000002</v>
      </c>
      <c r="K7949" s="62"/>
      <c r="L7949" s="2">
        <f t="shared" si="1274"/>
        <v>17.600000000000001</v>
      </c>
      <c r="M7949">
        <f t="shared" si="1275"/>
        <v>0</v>
      </c>
    </row>
    <row r="7950" spans="1:13" x14ac:dyDescent="0.3">
      <c r="A7950" s="3">
        <v>46077</v>
      </c>
      <c r="B7950" s="11" t="s">
        <v>1250</v>
      </c>
      <c r="C7950" s="7" t="s">
        <v>10249</v>
      </c>
      <c r="D7950" s="153"/>
      <c r="E7950" s="90" t="s">
        <v>4720</v>
      </c>
      <c r="G7950" s="2">
        <v>1500</v>
      </c>
      <c r="H7950" s="166"/>
      <c r="I7950" s="88">
        <f t="shared" si="1273"/>
        <v>8690.260000000002</v>
      </c>
      <c r="K7950" s="62"/>
      <c r="L7950" s="2">
        <f t="shared" si="1274"/>
        <v>6</v>
      </c>
      <c r="M7950">
        <f t="shared" si="1275"/>
        <v>0</v>
      </c>
    </row>
    <row r="7951" spans="1:13" x14ac:dyDescent="0.3">
      <c r="A7951" s="3">
        <f t="shared" ref="A7951:A7997" si="1276">A7950</f>
        <v>46077</v>
      </c>
      <c r="B7951" s="11" t="s">
        <v>10253</v>
      </c>
      <c r="C7951" s="7" t="s">
        <v>10257</v>
      </c>
      <c r="D7951" s="153"/>
      <c r="E7951" s="90" t="s">
        <v>14</v>
      </c>
      <c r="H7951" s="166">
        <v>2000</v>
      </c>
      <c r="I7951" s="88">
        <f t="shared" si="1273"/>
        <v>6690.260000000002</v>
      </c>
      <c r="K7951" s="62"/>
      <c r="L7951" s="2">
        <f t="shared" si="1274"/>
        <v>23</v>
      </c>
      <c r="M7951">
        <f t="shared" si="1275"/>
        <v>0</v>
      </c>
    </row>
    <row r="7952" spans="1:13" x14ac:dyDescent="0.3">
      <c r="A7952" s="3">
        <f t="shared" si="1276"/>
        <v>46077</v>
      </c>
      <c r="B7952" s="11" t="s">
        <v>3148</v>
      </c>
      <c r="C7952" s="7" t="s">
        <v>10251</v>
      </c>
      <c r="D7952" s="153"/>
      <c r="E7952" s="90" t="s">
        <v>4720</v>
      </c>
      <c r="G7952" s="2">
        <v>800</v>
      </c>
      <c r="H7952" s="166"/>
      <c r="I7952" s="88">
        <f t="shared" si="1273"/>
        <v>7490.260000000002</v>
      </c>
      <c r="K7952" s="62"/>
      <c r="L7952" s="2">
        <f t="shared" si="1274"/>
        <v>3.2</v>
      </c>
      <c r="M7952">
        <f t="shared" si="1275"/>
        <v>0</v>
      </c>
    </row>
    <row r="7953" spans="1:13" x14ac:dyDescent="0.3">
      <c r="A7953" s="3">
        <f t="shared" si="1276"/>
        <v>46077</v>
      </c>
      <c r="B7953" s="11" t="s">
        <v>9528</v>
      </c>
      <c r="C7953" s="7" t="s">
        <v>10252</v>
      </c>
      <c r="D7953" s="153"/>
      <c r="E7953" s="90" t="s">
        <v>4720</v>
      </c>
      <c r="G7953" s="2">
        <v>3000</v>
      </c>
      <c r="H7953" s="166"/>
      <c r="I7953" s="88">
        <f t="shared" ref="I7953:I7961" si="1277">I7952+G7953-H7953</f>
        <v>10490.260000000002</v>
      </c>
      <c r="K7953" s="62"/>
      <c r="L7953" s="2">
        <f t="shared" ref="L7953:L7961" si="1278">IF(E7953="C",0,IF((G7953+H7953)&lt;=5000,(G7953+H7953)*0.004,20)+IF(E7953="P",5,IF(E7953="Y",15,IF(E7953="YY",25))))</f>
        <v>12</v>
      </c>
      <c r="M7953">
        <f t="shared" ref="M7953:M7961" si="1279">IF(E7953="p",5,0)</f>
        <v>0</v>
      </c>
    </row>
    <row r="7954" spans="1:13" x14ac:dyDescent="0.3">
      <c r="A7954" s="3">
        <f t="shared" si="1276"/>
        <v>46077</v>
      </c>
      <c r="B7954" s="11" t="s">
        <v>6434</v>
      </c>
      <c r="C7954" s="50" t="s">
        <v>7117</v>
      </c>
      <c r="D7954" s="153"/>
      <c r="E7954" s="90" t="s">
        <v>4720</v>
      </c>
      <c r="H7954" s="166">
        <v>2500</v>
      </c>
      <c r="I7954" s="88">
        <f t="shared" si="1277"/>
        <v>7990.260000000002</v>
      </c>
      <c r="K7954" s="62"/>
      <c r="L7954" s="2">
        <f t="shared" si="1278"/>
        <v>10</v>
      </c>
      <c r="M7954">
        <f t="shared" si="1279"/>
        <v>0</v>
      </c>
    </row>
    <row r="7955" spans="1:13" x14ac:dyDescent="0.3">
      <c r="A7955" s="3">
        <f t="shared" si="1276"/>
        <v>46077</v>
      </c>
      <c r="B7955" s="11" t="s">
        <v>10031</v>
      </c>
      <c r="C7955" s="7" t="s">
        <v>10032</v>
      </c>
      <c r="D7955" s="153"/>
      <c r="E7955" s="90" t="s">
        <v>4720</v>
      </c>
      <c r="G7955" s="2">
        <v>5000</v>
      </c>
      <c r="H7955" s="166"/>
      <c r="I7955" s="88">
        <f t="shared" si="1277"/>
        <v>12990.260000000002</v>
      </c>
      <c r="K7955" s="62"/>
      <c r="L7955" s="2">
        <f t="shared" si="1278"/>
        <v>20</v>
      </c>
      <c r="M7955">
        <f t="shared" si="1279"/>
        <v>0</v>
      </c>
    </row>
    <row r="7956" spans="1:13" x14ac:dyDescent="0.3">
      <c r="A7956" s="3">
        <v>46078</v>
      </c>
      <c r="B7956" s="11" t="s">
        <v>10234</v>
      </c>
      <c r="C7956" s="7" t="s">
        <v>10235</v>
      </c>
      <c r="D7956" s="153"/>
      <c r="E7956" s="90" t="s">
        <v>4720</v>
      </c>
      <c r="G7956" s="2">
        <v>5000</v>
      </c>
      <c r="H7956" s="166"/>
      <c r="I7956" s="88">
        <f t="shared" si="1277"/>
        <v>17990.260000000002</v>
      </c>
      <c r="K7956" s="62"/>
      <c r="L7956" s="2">
        <f t="shared" si="1278"/>
        <v>20</v>
      </c>
      <c r="M7956">
        <f t="shared" si="1279"/>
        <v>0</v>
      </c>
    </row>
    <row r="7957" spans="1:13" x14ac:dyDescent="0.3">
      <c r="A7957" s="3">
        <f t="shared" si="1276"/>
        <v>46078</v>
      </c>
      <c r="B7957" s="11" t="s">
        <v>6522</v>
      </c>
      <c r="C7957" s="7" t="s">
        <v>10258</v>
      </c>
      <c r="D7957" s="153"/>
      <c r="E7957" s="90" t="s">
        <v>4720</v>
      </c>
      <c r="G7957" s="2">
        <v>10000</v>
      </c>
      <c r="H7957" s="166"/>
      <c r="I7957" s="88">
        <f t="shared" si="1277"/>
        <v>27990.260000000002</v>
      </c>
      <c r="K7957" s="62"/>
      <c r="L7957" s="2">
        <f t="shared" si="1278"/>
        <v>20</v>
      </c>
      <c r="M7957">
        <f t="shared" si="1279"/>
        <v>0</v>
      </c>
    </row>
    <row r="7958" spans="1:13" x14ac:dyDescent="0.3">
      <c r="A7958" s="3">
        <f t="shared" si="1276"/>
        <v>46078</v>
      </c>
      <c r="B7958" s="11" t="s">
        <v>6844</v>
      </c>
      <c r="C7958" s="7" t="s">
        <v>9075</v>
      </c>
      <c r="D7958" s="153"/>
      <c r="E7958" s="90" t="s">
        <v>4720</v>
      </c>
      <c r="H7958" s="166">
        <v>4000</v>
      </c>
      <c r="I7958" s="88">
        <f t="shared" si="1277"/>
        <v>23990.260000000002</v>
      </c>
      <c r="K7958" s="62"/>
      <c r="L7958" s="2">
        <f t="shared" si="1278"/>
        <v>16</v>
      </c>
      <c r="M7958">
        <f t="shared" si="1279"/>
        <v>0</v>
      </c>
    </row>
    <row r="7959" spans="1:13" x14ac:dyDescent="0.3">
      <c r="A7959" s="3">
        <f t="shared" si="1276"/>
        <v>46078</v>
      </c>
      <c r="B7959" s="11" t="s">
        <v>2490</v>
      </c>
      <c r="C7959" s="7" t="s">
        <v>2857</v>
      </c>
      <c r="D7959" s="153"/>
      <c r="E7959" s="90" t="s">
        <v>8332</v>
      </c>
      <c r="G7959" s="2">
        <v>0</v>
      </c>
      <c r="H7959" s="166">
        <v>20000</v>
      </c>
      <c r="I7959" s="88">
        <f t="shared" si="1277"/>
        <v>3990.260000000002</v>
      </c>
      <c r="K7959" s="62"/>
      <c r="L7959" s="2">
        <f t="shared" si="1278"/>
        <v>0</v>
      </c>
      <c r="M7959">
        <f t="shared" si="1279"/>
        <v>0</v>
      </c>
    </row>
    <row r="7960" spans="1:13" x14ac:dyDescent="0.3">
      <c r="A7960" s="3">
        <f t="shared" si="1276"/>
        <v>46078</v>
      </c>
      <c r="B7960" s="11" t="s">
        <v>10206</v>
      </c>
      <c r="C7960" s="7" t="s">
        <v>10207</v>
      </c>
      <c r="D7960" s="153"/>
      <c r="E7960" s="90" t="s">
        <v>2088</v>
      </c>
      <c r="G7960" s="2">
        <v>0</v>
      </c>
      <c r="H7960" s="166">
        <v>0</v>
      </c>
      <c r="I7960" s="88">
        <f t="shared" si="1277"/>
        <v>3990.260000000002</v>
      </c>
      <c r="K7960" s="62"/>
      <c r="L7960" s="2">
        <f t="shared" si="1278"/>
        <v>5</v>
      </c>
      <c r="M7960">
        <f t="shared" si="1279"/>
        <v>5</v>
      </c>
    </row>
    <row r="7961" spans="1:13" x14ac:dyDescent="0.3">
      <c r="A7961" s="3">
        <f t="shared" si="1276"/>
        <v>46078</v>
      </c>
      <c r="B7961" s="11" t="s">
        <v>10260</v>
      </c>
      <c r="C7961" s="7" t="s">
        <v>10261</v>
      </c>
      <c r="D7961" s="153"/>
      <c r="E7961" s="90" t="s">
        <v>2088</v>
      </c>
      <c r="G7961" s="2">
        <v>1000</v>
      </c>
      <c r="H7961" s="166"/>
      <c r="I7961" s="88">
        <f t="shared" si="1277"/>
        <v>4990.260000000002</v>
      </c>
      <c r="K7961" s="62"/>
      <c r="L7961" s="2">
        <f t="shared" si="1278"/>
        <v>9</v>
      </c>
      <c r="M7961">
        <f t="shared" si="1279"/>
        <v>5</v>
      </c>
    </row>
    <row r="7962" spans="1:13" x14ac:dyDescent="0.3">
      <c r="A7962" s="3">
        <f t="shared" si="1276"/>
        <v>46078</v>
      </c>
      <c r="B7962" s="11" t="s">
        <v>8052</v>
      </c>
      <c r="C7962" s="7" t="s">
        <v>4867</v>
      </c>
      <c r="D7962" s="153"/>
      <c r="E7962" s="90" t="s">
        <v>4720</v>
      </c>
      <c r="G7962" s="2">
        <v>1000</v>
      </c>
      <c r="H7962" s="166"/>
      <c r="I7962" s="88">
        <f t="shared" ref="I7962:I7968" si="1280">I7961+G7962-H7962</f>
        <v>5990.260000000002</v>
      </c>
      <c r="J7962" s="62"/>
      <c r="K7962" s="62"/>
      <c r="L7962" s="2">
        <f t="shared" ref="L7962:L7968" si="1281">IF(E7962="C",0,IF((G7962+H7962)&lt;=5000,(G7962+H7962)*0.004,20)+IF(E7962="P",5,IF(E7962="Y",15,IF(E7962="YY",25))))</f>
        <v>4</v>
      </c>
      <c r="M7962">
        <f t="shared" ref="M7962:M7968" si="1282">IF(E7962="p",5,0)</f>
        <v>0</v>
      </c>
    </row>
    <row r="7963" spans="1:13" x14ac:dyDescent="0.3">
      <c r="A7963" s="3">
        <f t="shared" si="1276"/>
        <v>46078</v>
      </c>
      <c r="B7963" s="11" t="s">
        <v>7870</v>
      </c>
      <c r="C7963" s="7" t="s">
        <v>8380</v>
      </c>
      <c r="D7963" s="153"/>
      <c r="E7963" s="90" t="s">
        <v>2088</v>
      </c>
      <c r="G7963" s="2">
        <v>7000</v>
      </c>
      <c r="H7963" s="166"/>
      <c r="I7963" s="88">
        <f t="shared" si="1280"/>
        <v>12990.260000000002</v>
      </c>
      <c r="K7963" s="62"/>
      <c r="L7963" s="2">
        <f t="shared" si="1281"/>
        <v>25</v>
      </c>
      <c r="M7963">
        <f t="shared" si="1282"/>
        <v>5</v>
      </c>
    </row>
    <row r="7964" spans="1:13" x14ac:dyDescent="0.3">
      <c r="A7964" s="3">
        <f t="shared" si="1276"/>
        <v>46078</v>
      </c>
      <c r="B7964" s="11" t="s">
        <v>9014</v>
      </c>
      <c r="C7964" s="7" t="s">
        <v>9090</v>
      </c>
      <c r="D7964" s="153"/>
      <c r="E7964" s="90" t="s">
        <v>4720</v>
      </c>
      <c r="H7964" s="166">
        <v>6000</v>
      </c>
      <c r="I7964" s="88">
        <f t="shared" si="1280"/>
        <v>6990.260000000002</v>
      </c>
      <c r="K7964" s="62"/>
      <c r="L7964" s="2">
        <f t="shared" si="1281"/>
        <v>20</v>
      </c>
      <c r="M7964">
        <f t="shared" si="1282"/>
        <v>0</v>
      </c>
    </row>
    <row r="7965" spans="1:13" x14ac:dyDescent="0.3">
      <c r="A7965" s="3">
        <f t="shared" si="1276"/>
        <v>46078</v>
      </c>
      <c r="B7965" s="11" t="s">
        <v>2448</v>
      </c>
      <c r="C7965" s="7" t="s">
        <v>2274</v>
      </c>
      <c r="D7965" s="153"/>
      <c r="E7965" s="90" t="s">
        <v>4720</v>
      </c>
      <c r="H7965" s="166">
        <v>3500</v>
      </c>
      <c r="I7965" s="88">
        <f t="shared" si="1280"/>
        <v>3490.260000000002</v>
      </c>
      <c r="K7965" s="62"/>
      <c r="L7965" s="2">
        <f t="shared" si="1281"/>
        <v>14</v>
      </c>
      <c r="M7965">
        <f t="shared" si="1282"/>
        <v>0</v>
      </c>
    </row>
    <row r="7966" spans="1:13" x14ac:dyDescent="0.3">
      <c r="A7966" s="3">
        <f t="shared" si="1276"/>
        <v>46078</v>
      </c>
      <c r="B7966" s="11" t="s">
        <v>3877</v>
      </c>
      <c r="C7966" s="7" t="s">
        <v>9163</v>
      </c>
      <c r="D7966" s="153"/>
      <c r="E7966" s="90" t="s">
        <v>4720</v>
      </c>
      <c r="G7966" s="2">
        <v>1000</v>
      </c>
      <c r="H7966" s="166"/>
      <c r="I7966" s="88">
        <f t="shared" si="1280"/>
        <v>4490.260000000002</v>
      </c>
      <c r="K7966" s="62"/>
      <c r="L7966" s="2">
        <f t="shared" si="1281"/>
        <v>4</v>
      </c>
      <c r="M7966">
        <f t="shared" si="1282"/>
        <v>0</v>
      </c>
    </row>
    <row r="7967" spans="1:13" x14ac:dyDescent="0.3">
      <c r="A7967" s="3">
        <f t="shared" si="1276"/>
        <v>46078</v>
      </c>
      <c r="B7967" s="11" t="s">
        <v>7051</v>
      </c>
      <c r="C7967" s="7" t="s">
        <v>10262</v>
      </c>
      <c r="D7967" s="153"/>
      <c r="E7967" s="90" t="s">
        <v>7772</v>
      </c>
      <c r="G7967" s="2">
        <v>1000</v>
      </c>
      <c r="H7967" s="166"/>
      <c r="I7967" s="88">
        <f t="shared" si="1280"/>
        <v>5490.260000000002</v>
      </c>
      <c r="K7967" s="62"/>
      <c r="L7967" s="2">
        <f t="shared" si="1281"/>
        <v>9</v>
      </c>
      <c r="M7967">
        <f t="shared" si="1282"/>
        <v>5</v>
      </c>
    </row>
    <row r="7968" spans="1:13" x14ac:dyDescent="0.3">
      <c r="A7968" s="3">
        <v>46079</v>
      </c>
      <c r="B7968" s="11" t="s">
        <v>9482</v>
      </c>
      <c r="C7968" s="7" t="s">
        <v>10263</v>
      </c>
      <c r="D7968" s="153"/>
      <c r="E7968" s="90" t="s">
        <v>4720</v>
      </c>
      <c r="G7968" s="2">
        <v>10000</v>
      </c>
      <c r="H7968" s="166"/>
      <c r="I7968" s="88">
        <f t="shared" si="1280"/>
        <v>15490.260000000002</v>
      </c>
      <c r="K7968" s="62"/>
      <c r="L7968" s="2">
        <f t="shared" si="1281"/>
        <v>20</v>
      </c>
      <c r="M7968">
        <f t="shared" si="1282"/>
        <v>0</v>
      </c>
    </row>
    <row r="7969" spans="1:13" x14ac:dyDescent="0.3">
      <c r="A7969" s="3">
        <f t="shared" si="1276"/>
        <v>46079</v>
      </c>
      <c r="B7969" s="11" t="s">
        <v>9511</v>
      </c>
      <c r="C7969" s="7" t="s">
        <v>8594</v>
      </c>
      <c r="D7969" s="153" t="s">
        <v>10265</v>
      </c>
      <c r="E7969" s="90" t="s">
        <v>4720</v>
      </c>
      <c r="G7969" s="2">
        <v>10000</v>
      </c>
      <c r="H7969" s="166"/>
      <c r="I7969" s="88">
        <f t="shared" ref="I7969:I7975" si="1283">I7968+G7969-H7969</f>
        <v>25490.260000000002</v>
      </c>
      <c r="K7969" s="62"/>
      <c r="L7969" s="2">
        <f t="shared" ref="L7969:L7975" si="1284">IF(E7969="C",0,IF((G7969+H7969)&lt;=5000,(G7969+H7969)*0.004,20)+IF(E7969="P",5,IF(E7969="Y",15,IF(E7969="YY",25))))</f>
        <v>20</v>
      </c>
      <c r="M7969">
        <f t="shared" ref="M7969:M7975" si="1285">IF(E7969="p",5,0)</f>
        <v>0</v>
      </c>
    </row>
    <row r="7970" spans="1:13" x14ac:dyDescent="0.3">
      <c r="A7970" s="3">
        <f t="shared" si="1276"/>
        <v>46079</v>
      </c>
      <c r="B7970" s="11" t="s">
        <v>8529</v>
      </c>
      <c r="C7970" s="7" t="s">
        <v>10266</v>
      </c>
      <c r="D7970" s="153"/>
      <c r="E7970" s="90" t="s">
        <v>2088</v>
      </c>
      <c r="G7970" s="2">
        <v>10000</v>
      </c>
      <c r="H7970" s="166"/>
      <c r="I7970" s="88">
        <f t="shared" si="1283"/>
        <v>35490.26</v>
      </c>
      <c r="K7970" s="62"/>
      <c r="L7970" s="2">
        <f t="shared" si="1284"/>
        <v>25</v>
      </c>
      <c r="M7970">
        <f t="shared" si="1285"/>
        <v>5</v>
      </c>
    </row>
    <row r="7971" spans="1:13" x14ac:dyDescent="0.3">
      <c r="A7971" s="3">
        <f t="shared" si="1276"/>
        <v>46079</v>
      </c>
      <c r="B7971" s="11" t="s">
        <v>2490</v>
      </c>
      <c r="C7971" s="7" t="s">
        <v>8860</v>
      </c>
      <c r="D7971" s="153"/>
      <c r="E7971" s="90" t="s">
        <v>8332</v>
      </c>
      <c r="H7971" s="166">
        <v>20000</v>
      </c>
      <c r="I7971" s="88">
        <f t="shared" si="1283"/>
        <v>15490.260000000002</v>
      </c>
      <c r="K7971" s="62"/>
      <c r="L7971" s="2">
        <f t="shared" si="1284"/>
        <v>0</v>
      </c>
      <c r="M7971">
        <f t="shared" si="1285"/>
        <v>0</v>
      </c>
    </row>
    <row r="7972" spans="1:13" x14ac:dyDescent="0.3">
      <c r="A7972" s="3">
        <v>46080</v>
      </c>
      <c r="B7972" s="11" t="s">
        <v>10221</v>
      </c>
      <c r="C7972" s="7" t="s">
        <v>10218</v>
      </c>
      <c r="D7972" s="153"/>
      <c r="E7972" s="90" t="s">
        <v>2088</v>
      </c>
      <c r="H7972" s="166">
        <v>4000</v>
      </c>
      <c r="I7972" s="88">
        <f t="shared" si="1283"/>
        <v>11490.260000000002</v>
      </c>
      <c r="K7972" s="62"/>
      <c r="L7972" s="2">
        <f t="shared" si="1284"/>
        <v>21</v>
      </c>
      <c r="M7972">
        <f t="shared" si="1285"/>
        <v>5</v>
      </c>
    </row>
    <row r="7973" spans="1:13" x14ac:dyDescent="0.3">
      <c r="A7973" s="3">
        <f t="shared" si="1276"/>
        <v>46080</v>
      </c>
      <c r="B7973" s="11" t="s">
        <v>1160</v>
      </c>
      <c r="C7973" s="7" t="s">
        <v>10267</v>
      </c>
      <c r="D7973" s="153"/>
      <c r="E7973" s="90" t="s">
        <v>4720</v>
      </c>
      <c r="G7973" s="2">
        <v>5000</v>
      </c>
      <c r="H7973" s="166"/>
      <c r="I7973" s="88">
        <f t="shared" si="1283"/>
        <v>16490.260000000002</v>
      </c>
      <c r="K7973" s="62"/>
      <c r="L7973" s="2">
        <f t="shared" si="1284"/>
        <v>20</v>
      </c>
      <c r="M7973">
        <f t="shared" si="1285"/>
        <v>0</v>
      </c>
    </row>
    <row r="7974" spans="1:13" x14ac:dyDescent="0.3">
      <c r="A7974" s="3">
        <f t="shared" si="1276"/>
        <v>46080</v>
      </c>
      <c r="B7974" s="11" t="s">
        <v>2241</v>
      </c>
      <c r="C7974" s="7" t="s">
        <v>10268</v>
      </c>
      <c r="D7974" s="153"/>
      <c r="E7974" s="90" t="s">
        <v>4720</v>
      </c>
      <c r="G7974" s="2">
        <v>10000</v>
      </c>
      <c r="H7974" s="166"/>
      <c r="I7974" s="88">
        <f t="shared" si="1283"/>
        <v>26490.260000000002</v>
      </c>
      <c r="K7974" s="62"/>
      <c r="L7974" s="2">
        <f t="shared" si="1284"/>
        <v>20</v>
      </c>
      <c r="M7974">
        <f t="shared" si="1285"/>
        <v>0</v>
      </c>
    </row>
    <row r="7975" spans="1:13" x14ac:dyDescent="0.3">
      <c r="A7975" s="3">
        <f t="shared" si="1276"/>
        <v>46080</v>
      </c>
      <c r="B7975" s="11" t="s">
        <v>4297</v>
      </c>
      <c r="C7975" s="7" t="s">
        <v>5522</v>
      </c>
      <c r="D7975" s="153"/>
      <c r="E7975" s="90" t="s">
        <v>4720</v>
      </c>
      <c r="H7975" s="166">
        <v>10000</v>
      </c>
      <c r="I7975" s="88">
        <f t="shared" si="1283"/>
        <v>16490.260000000002</v>
      </c>
      <c r="K7975" s="62"/>
      <c r="L7975" s="2">
        <f t="shared" si="1284"/>
        <v>20</v>
      </c>
      <c r="M7975">
        <f t="shared" si="1285"/>
        <v>0</v>
      </c>
    </row>
    <row r="7976" spans="1:13" x14ac:dyDescent="0.3">
      <c r="A7976" s="3">
        <f t="shared" si="1276"/>
        <v>46080</v>
      </c>
      <c r="B7976" s="11" t="s">
        <v>4652</v>
      </c>
      <c r="C7976" s="7" t="s">
        <v>4790</v>
      </c>
      <c r="D7976" s="153"/>
      <c r="E7976" s="90" t="s">
        <v>2088</v>
      </c>
      <c r="G7976" s="2">
        <v>1000</v>
      </c>
      <c r="H7976" s="166"/>
      <c r="I7976" s="88">
        <f t="shared" ref="I7976:I7984" si="1286">I7975+G7976-H7976</f>
        <v>17490.260000000002</v>
      </c>
      <c r="K7976" s="62"/>
      <c r="L7976" s="2">
        <f t="shared" ref="L7976:L7984" si="1287">IF(E7976="C",0,IF((G7976+H7976)&lt;=5000,(G7976+H7976)*0.004,20)+IF(E7976="P",5,IF(E7976="Y",15,IF(E7976="YY",25))))</f>
        <v>9</v>
      </c>
      <c r="M7976">
        <f t="shared" ref="M7976:M7984" si="1288">IF(E7976="p",5,0)</f>
        <v>5</v>
      </c>
    </row>
    <row r="7977" spans="1:13" x14ac:dyDescent="0.3">
      <c r="A7977" s="3">
        <f t="shared" si="1276"/>
        <v>46080</v>
      </c>
      <c r="B7977" s="11" t="s">
        <v>1170</v>
      </c>
      <c r="C7977" s="7" t="s">
        <v>7773</v>
      </c>
      <c r="D7977" s="153"/>
      <c r="E7977" s="90" t="s">
        <v>4720</v>
      </c>
      <c r="G7977" s="2">
        <v>5050</v>
      </c>
      <c r="H7977" s="166"/>
      <c r="I7977" s="88">
        <f t="shared" si="1286"/>
        <v>22540.260000000002</v>
      </c>
      <c r="K7977" s="62"/>
      <c r="L7977" s="2">
        <f t="shared" si="1287"/>
        <v>20</v>
      </c>
      <c r="M7977">
        <f t="shared" si="1288"/>
        <v>0</v>
      </c>
    </row>
    <row r="7978" spans="1:13" x14ac:dyDescent="0.3">
      <c r="A7978" s="3">
        <f t="shared" si="1276"/>
        <v>46080</v>
      </c>
      <c r="B7978" s="11" t="s">
        <v>4996</v>
      </c>
      <c r="C7978" s="7" t="s">
        <v>8765</v>
      </c>
      <c r="D7978" s="153"/>
      <c r="E7978" s="90" t="s">
        <v>2088</v>
      </c>
      <c r="G7978" s="2">
        <v>0</v>
      </c>
      <c r="H7978" s="166">
        <v>0</v>
      </c>
      <c r="I7978" s="88">
        <f t="shared" si="1286"/>
        <v>22540.260000000002</v>
      </c>
      <c r="K7978" s="62"/>
      <c r="L7978" s="2">
        <f t="shared" si="1287"/>
        <v>5</v>
      </c>
      <c r="M7978">
        <f t="shared" si="1288"/>
        <v>5</v>
      </c>
    </row>
    <row r="7979" spans="1:13" x14ac:dyDescent="0.3">
      <c r="A7979" s="3">
        <f t="shared" si="1276"/>
        <v>46080</v>
      </c>
      <c r="B7979" s="11" t="s">
        <v>4996</v>
      </c>
      <c r="C7979" s="7" t="s">
        <v>8765</v>
      </c>
      <c r="D7979" s="153"/>
      <c r="E7979" s="90" t="s">
        <v>2088</v>
      </c>
      <c r="G7979" s="2">
        <v>2500</v>
      </c>
      <c r="H7979" s="166"/>
      <c r="I7979" s="88">
        <f t="shared" si="1286"/>
        <v>25040.260000000002</v>
      </c>
      <c r="K7979" s="62"/>
      <c r="L7979" s="2">
        <f t="shared" si="1287"/>
        <v>15</v>
      </c>
      <c r="M7979">
        <f t="shared" si="1288"/>
        <v>5</v>
      </c>
    </row>
    <row r="7980" spans="1:13" x14ac:dyDescent="0.3">
      <c r="A7980" s="3">
        <f t="shared" si="1276"/>
        <v>46080</v>
      </c>
      <c r="B7980" s="11" t="s">
        <v>1472</v>
      </c>
      <c r="C7980" s="7" t="s">
        <v>9746</v>
      </c>
      <c r="D7980" s="153"/>
      <c r="E7980" s="90" t="s">
        <v>4720</v>
      </c>
      <c r="G7980" s="2">
        <v>2000</v>
      </c>
      <c r="H7980" s="166"/>
      <c r="I7980" s="88">
        <f t="shared" si="1286"/>
        <v>27040.260000000002</v>
      </c>
      <c r="K7980" s="62"/>
      <c r="L7980" s="2">
        <f t="shared" si="1287"/>
        <v>8</v>
      </c>
      <c r="M7980">
        <f t="shared" si="1288"/>
        <v>0</v>
      </c>
    </row>
    <row r="7981" spans="1:13" x14ac:dyDescent="0.3">
      <c r="A7981" s="3">
        <f t="shared" si="1276"/>
        <v>46080</v>
      </c>
      <c r="B7981" s="11" t="s">
        <v>3039</v>
      </c>
      <c r="C7981" s="7" t="s">
        <v>10269</v>
      </c>
      <c r="D7981" s="153"/>
      <c r="E7981" s="90" t="s">
        <v>4720</v>
      </c>
      <c r="G7981" s="2">
        <v>1000</v>
      </c>
      <c r="H7981" s="166"/>
      <c r="I7981" s="88">
        <f t="shared" si="1286"/>
        <v>28040.260000000002</v>
      </c>
      <c r="K7981" s="62"/>
      <c r="L7981" s="2">
        <f t="shared" si="1287"/>
        <v>4</v>
      </c>
      <c r="M7981">
        <f t="shared" si="1288"/>
        <v>0</v>
      </c>
    </row>
    <row r="7982" spans="1:13" x14ac:dyDescent="0.3">
      <c r="A7982" s="3">
        <f t="shared" si="1276"/>
        <v>46080</v>
      </c>
      <c r="C7982" s="7" t="s">
        <v>2490</v>
      </c>
      <c r="D7982" s="153"/>
      <c r="E7982" s="90" t="s">
        <v>4720</v>
      </c>
      <c r="G7982" s="2">
        <v>2000</v>
      </c>
      <c r="H7982" s="166">
        <v>30000</v>
      </c>
      <c r="I7982" s="88">
        <f t="shared" si="1286"/>
        <v>40.260000000002037</v>
      </c>
      <c r="K7982" s="62"/>
      <c r="L7982" s="2">
        <f t="shared" si="1287"/>
        <v>20</v>
      </c>
      <c r="M7982">
        <f t="shared" si="1288"/>
        <v>0</v>
      </c>
    </row>
    <row r="7983" spans="1:13" x14ac:dyDescent="0.3">
      <c r="A7983" s="3">
        <f t="shared" si="1276"/>
        <v>46080</v>
      </c>
      <c r="B7983" s="11" t="s">
        <v>8674</v>
      </c>
      <c r="C7983" s="7" t="s">
        <v>10270</v>
      </c>
      <c r="D7983" s="153"/>
      <c r="E7983" s="90" t="s">
        <v>4720</v>
      </c>
      <c r="G7983" s="2">
        <v>5000</v>
      </c>
      <c r="H7983" s="166"/>
      <c r="I7983" s="88">
        <f t="shared" si="1286"/>
        <v>5040.260000000002</v>
      </c>
      <c r="K7983" s="62"/>
      <c r="L7983" s="2">
        <f t="shared" si="1287"/>
        <v>20</v>
      </c>
      <c r="M7983">
        <f t="shared" si="1288"/>
        <v>0</v>
      </c>
    </row>
    <row r="7984" spans="1:13" x14ac:dyDescent="0.3">
      <c r="A7984" s="3">
        <f t="shared" si="1276"/>
        <v>46080</v>
      </c>
      <c r="B7984" s="11" t="s">
        <v>10276</v>
      </c>
      <c r="C7984" s="7" t="s">
        <v>10257</v>
      </c>
      <c r="D7984" s="153"/>
      <c r="E7984" s="90" t="s">
        <v>2088</v>
      </c>
      <c r="H7984" s="166">
        <v>2000</v>
      </c>
      <c r="I7984" s="88">
        <f t="shared" si="1286"/>
        <v>3040.260000000002</v>
      </c>
      <c r="K7984" s="62"/>
      <c r="L7984" s="2">
        <f t="shared" si="1287"/>
        <v>13</v>
      </c>
      <c r="M7984">
        <f t="shared" si="1288"/>
        <v>5</v>
      </c>
    </row>
    <row r="7985" spans="1:13" x14ac:dyDescent="0.3">
      <c r="A7985" s="3">
        <v>46081</v>
      </c>
      <c r="B7985" s="11" t="s">
        <v>8548</v>
      </c>
      <c r="C7985" s="7" t="s">
        <v>10279</v>
      </c>
      <c r="D7985" s="153"/>
      <c r="E7985" s="90" t="s">
        <v>2088</v>
      </c>
      <c r="G7985" s="2">
        <v>0</v>
      </c>
      <c r="H7985" s="166">
        <v>0</v>
      </c>
      <c r="I7985" s="88">
        <f t="shared" ref="I7985:I7996" si="1289">I7984+G7985-H7985</f>
        <v>3040.260000000002</v>
      </c>
      <c r="K7985" s="62"/>
      <c r="L7985" s="2">
        <f t="shared" ref="L7985:L7997" si="1290">IF(E7985="C",0,IF((G7985+H7985)&lt;=5000,(G7985+H7985)*0.004,20)+IF(E7985="P",5,IF(E7985="Y",15,IF(E7985="YY",25))))</f>
        <v>5</v>
      </c>
      <c r="M7985">
        <f t="shared" ref="M7985:M7997" si="1291">IF(E7985="p",5,0)</f>
        <v>5</v>
      </c>
    </row>
    <row r="7986" spans="1:13" x14ac:dyDescent="0.3">
      <c r="A7986" s="3">
        <f t="shared" si="1276"/>
        <v>46081</v>
      </c>
      <c r="B7986" s="11" t="s">
        <v>2241</v>
      </c>
      <c r="C7986" s="7"/>
      <c r="D7986" s="153"/>
      <c r="E7986" s="90" t="s">
        <v>4720</v>
      </c>
      <c r="G7986" s="2">
        <v>5050</v>
      </c>
      <c r="H7986" s="166"/>
      <c r="I7986" s="88">
        <f t="shared" si="1289"/>
        <v>8090.260000000002</v>
      </c>
      <c r="K7986" s="62"/>
      <c r="L7986" s="2">
        <f t="shared" si="1290"/>
        <v>20</v>
      </c>
      <c r="M7986">
        <f t="shared" si="1291"/>
        <v>0</v>
      </c>
    </row>
    <row r="7987" spans="1:13" x14ac:dyDescent="0.3">
      <c r="A7987" s="3">
        <f t="shared" si="1276"/>
        <v>46081</v>
      </c>
      <c r="B7987" s="11" t="s">
        <v>10221</v>
      </c>
      <c r="C7987" s="7" t="s">
        <v>10280</v>
      </c>
      <c r="D7987" s="153"/>
      <c r="E7987" s="90" t="s">
        <v>2088</v>
      </c>
      <c r="G7987" s="2">
        <v>500</v>
      </c>
      <c r="H7987" s="166"/>
      <c r="I7987" s="88">
        <f t="shared" si="1289"/>
        <v>8590.260000000002</v>
      </c>
      <c r="K7987" s="62"/>
      <c r="L7987" s="2">
        <f t="shared" si="1290"/>
        <v>7</v>
      </c>
      <c r="M7987">
        <f t="shared" si="1291"/>
        <v>5</v>
      </c>
    </row>
    <row r="7988" spans="1:13" x14ac:dyDescent="0.3">
      <c r="A7988" s="3">
        <f t="shared" si="1276"/>
        <v>46081</v>
      </c>
      <c r="B7988" s="11" t="s">
        <v>6864</v>
      </c>
      <c r="C7988" s="7" t="s">
        <v>8791</v>
      </c>
      <c r="D7988" s="153"/>
      <c r="E7988" s="90" t="s">
        <v>2088</v>
      </c>
      <c r="G7988" s="2">
        <v>4000</v>
      </c>
      <c r="H7988" s="166"/>
      <c r="I7988" s="88">
        <f t="shared" si="1289"/>
        <v>12590.260000000002</v>
      </c>
      <c r="K7988" s="62"/>
      <c r="L7988" s="2">
        <f t="shared" si="1290"/>
        <v>21</v>
      </c>
      <c r="M7988">
        <f t="shared" si="1291"/>
        <v>5</v>
      </c>
    </row>
    <row r="7989" spans="1:13" x14ac:dyDescent="0.3">
      <c r="A7989" s="3">
        <f t="shared" si="1276"/>
        <v>46081</v>
      </c>
      <c r="B7989" s="11" t="s">
        <v>3148</v>
      </c>
      <c r="C7989" s="7" t="s">
        <v>10282</v>
      </c>
      <c r="D7989" s="153"/>
      <c r="E7989" s="90" t="s">
        <v>4720</v>
      </c>
      <c r="G7989" s="2">
        <v>1000</v>
      </c>
      <c r="H7989" s="166"/>
      <c r="I7989" s="88">
        <f t="shared" si="1289"/>
        <v>13590.260000000002</v>
      </c>
      <c r="K7989" s="62"/>
      <c r="L7989" s="2">
        <f t="shared" si="1290"/>
        <v>4</v>
      </c>
      <c r="M7989">
        <f t="shared" si="1291"/>
        <v>0</v>
      </c>
    </row>
    <row r="7990" spans="1:13" x14ac:dyDescent="0.3">
      <c r="A7990" s="3">
        <f t="shared" si="1276"/>
        <v>46081</v>
      </c>
      <c r="B7990" s="11" t="s">
        <v>3524</v>
      </c>
      <c r="C7990" s="7" t="s">
        <v>3169</v>
      </c>
      <c r="D7990" s="153"/>
      <c r="E7990" s="90" t="s">
        <v>4720</v>
      </c>
      <c r="H7990" s="166">
        <v>5000</v>
      </c>
      <c r="I7990" s="88">
        <f t="shared" si="1289"/>
        <v>8590.260000000002</v>
      </c>
      <c r="K7990" s="62"/>
      <c r="L7990" s="2">
        <f t="shared" si="1290"/>
        <v>20</v>
      </c>
      <c r="M7990">
        <f t="shared" si="1291"/>
        <v>0</v>
      </c>
    </row>
    <row r="7991" spans="1:13" x14ac:dyDescent="0.3">
      <c r="A7991" s="3">
        <f t="shared" si="1276"/>
        <v>46081</v>
      </c>
      <c r="B7991" s="11" t="s">
        <v>2143</v>
      </c>
      <c r="C7991" s="7" t="s">
        <v>10283</v>
      </c>
      <c r="D7991" s="153"/>
      <c r="E7991" s="90" t="s">
        <v>4720</v>
      </c>
      <c r="H7991" s="166">
        <v>5000</v>
      </c>
      <c r="I7991" s="88">
        <f t="shared" si="1289"/>
        <v>3590.260000000002</v>
      </c>
      <c r="K7991" s="62"/>
      <c r="L7991" s="2">
        <f t="shared" si="1290"/>
        <v>20</v>
      </c>
      <c r="M7991">
        <f t="shared" si="1291"/>
        <v>0</v>
      </c>
    </row>
    <row r="7992" spans="1:13" x14ac:dyDescent="0.3">
      <c r="A7992" s="3">
        <f t="shared" si="1276"/>
        <v>46081</v>
      </c>
      <c r="B7992" s="11" t="s">
        <v>5042</v>
      </c>
      <c r="C7992" s="7" t="s">
        <v>6176</v>
      </c>
      <c r="D7992" s="153"/>
      <c r="E7992" s="90" t="s">
        <v>2088</v>
      </c>
      <c r="G7992" s="2">
        <v>3000</v>
      </c>
      <c r="H7992" s="166"/>
      <c r="I7992" s="88">
        <f t="shared" si="1289"/>
        <v>6590.260000000002</v>
      </c>
      <c r="K7992" s="62"/>
      <c r="L7992" s="2">
        <f t="shared" si="1290"/>
        <v>17</v>
      </c>
      <c r="M7992">
        <f t="shared" si="1291"/>
        <v>5</v>
      </c>
    </row>
    <row r="7993" spans="1:13" x14ac:dyDescent="0.3">
      <c r="A7993" s="3">
        <f t="shared" si="1276"/>
        <v>46081</v>
      </c>
      <c r="B7993" s="11" t="s">
        <v>7834</v>
      </c>
      <c r="C7993" s="7" t="s">
        <v>8201</v>
      </c>
      <c r="D7993" s="153"/>
      <c r="E7993" s="90" t="s">
        <v>2088</v>
      </c>
      <c r="G7993" s="2">
        <v>0</v>
      </c>
      <c r="H7993" s="166">
        <v>0</v>
      </c>
      <c r="I7993" s="88">
        <f t="shared" si="1289"/>
        <v>6590.260000000002</v>
      </c>
      <c r="K7993" s="62"/>
      <c r="L7993" s="2">
        <f t="shared" si="1290"/>
        <v>5</v>
      </c>
      <c r="M7993">
        <f t="shared" si="1291"/>
        <v>5</v>
      </c>
    </row>
    <row r="7994" spans="1:13" x14ac:dyDescent="0.3">
      <c r="A7994" s="3">
        <f t="shared" si="1276"/>
        <v>46081</v>
      </c>
      <c r="B7994" s="11" t="s">
        <v>7834</v>
      </c>
      <c r="C7994" s="7" t="s">
        <v>8201</v>
      </c>
      <c r="D7994" s="153"/>
      <c r="E7994" s="90" t="s">
        <v>2088</v>
      </c>
      <c r="G7994" s="2">
        <v>2800</v>
      </c>
      <c r="H7994" s="166"/>
      <c r="I7994" s="88">
        <f t="shared" si="1289"/>
        <v>9390.260000000002</v>
      </c>
      <c r="K7994" s="62"/>
      <c r="L7994" s="2">
        <f t="shared" ref="L7994:L7996" si="1292">IF(E7994="C",0,IF((G7994+H7994)&lt;=5000,(G7994+H7994)*0.004,20)+IF(E7994="P",5,IF(E7994="Y",15,IF(E7994="YY",25))))</f>
        <v>16.200000000000003</v>
      </c>
      <c r="M7994">
        <f t="shared" ref="M7994:M7996" si="1293">IF(E7994="p",5,0)</f>
        <v>5</v>
      </c>
    </row>
    <row r="7995" spans="1:13" x14ac:dyDescent="0.3">
      <c r="A7995" s="3">
        <f t="shared" si="1276"/>
        <v>46081</v>
      </c>
      <c r="B7995" s="11" t="s">
        <v>7852</v>
      </c>
      <c r="C7995" s="7" t="s">
        <v>8750</v>
      </c>
      <c r="D7995" s="153"/>
      <c r="E7995" s="90" t="s">
        <v>2088</v>
      </c>
      <c r="G7995" s="2">
        <v>0</v>
      </c>
      <c r="H7995" s="166">
        <v>0</v>
      </c>
      <c r="I7995" s="88">
        <f t="shared" si="1289"/>
        <v>9390.260000000002</v>
      </c>
      <c r="K7995" s="62"/>
      <c r="L7995" s="2">
        <f t="shared" si="1292"/>
        <v>5</v>
      </c>
      <c r="M7995">
        <f t="shared" si="1293"/>
        <v>5</v>
      </c>
    </row>
    <row r="7996" spans="1:13" x14ac:dyDescent="0.3">
      <c r="A7996" s="3">
        <f t="shared" si="1276"/>
        <v>46081</v>
      </c>
      <c r="B7996" s="11" t="s">
        <v>10284</v>
      </c>
      <c r="C7996" s="7"/>
      <c r="D7996" s="153"/>
      <c r="E7996" s="90" t="s">
        <v>2088</v>
      </c>
      <c r="G7996" s="2">
        <v>0</v>
      </c>
      <c r="H7996" s="166">
        <v>0</v>
      </c>
      <c r="I7996" s="88">
        <f t="shared" si="1289"/>
        <v>9390.260000000002</v>
      </c>
      <c r="K7996" s="62"/>
      <c r="L7996" s="2">
        <f t="shared" si="1292"/>
        <v>5</v>
      </c>
      <c r="M7996">
        <f t="shared" si="1293"/>
        <v>5</v>
      </c>
    </row>
    <row r="7997" spans="1:13" x14ac:dyDescent="0.3">
      <c r="A7997" s="3">
        <f t="shared" si="1276"/>
        <v>46081</v>
      </c>
      <c r="C7997"/>
      <c r="D7997" s="153"/>
      <c r="E7997" s="90" t="s">
        <v>4720</v>
      </c>
      <c r="H7997" s="166"/>
      <c r="I7997" s="88">
        <f>I7992+G7997-H7997</f>
        <v>6590.260000000002</v>
      </c>
      <c r="K7997" s="62"/>
      <c r="L7997" s="2">
        <f t="shared" si="1290"/>
        <v>0</v>
      </c>
      <c r="M7997">
        <f t="shared" si="1291"/>
        <v>0</v>
      </c>
    </row>
    <row r="7998" spans="1:13" x14ac:dyDescent="0.3">
      <c r="A7998" s="77">
        <f>COUNT(A7757:A7997)</f>
        <v>241</v>
      </c>
      <c r="B7998" s="80" t="s">
        <v>7120</v>
      </c>
      <c r="C7998" s="112">
        <f>SUMIF(E7757:E7997,"C",H7757:H7997)+SUMIF(E7757:E7997,"C",G7757:G7997)</f>
        <v>189000</v>
      </c>
      <c r="D7998" s="112">
        <f>COUNTIF(E7757:E7997,"P")</f>
        <v>69</v>
      </c>
      <c r="E7998" s="92">
        <f>COUNTIF(E7464:E7997,"Y")</f>
        <v>16</v>
      </c>
      <c r="F7998" s="80">
        <f>SUM(F4208)</f>
        <v>0</v>
      </c>
      <c r="G7998" s="121">
        <f>SUM(G7756:G7997)</f>
        <v>533940.26</v>
      </c>
      <c r="H7998" s="121">
        <f>SUM(H7756:H7997)</f>
        <v>524550</v>
      </c>
      <c r="I7998" s="121">
        <f>G7998+H7998-C7998</f>
        <v>869490.26</v>
      </c>
      <c r="J7998" s="122"/>
      <c r="K7998" s="122">
        <f>SUM(K7757:K7997)</f>
        <v>135</v>
      </c>
      <c r="L7998" s="121">
        <f>SUM(L7757:L7997)</f>
        <v>2971.3999999999996</v>
      </c>
      <c r="M7998" s="121">
        <f>SUM(M7757:M7997)</f>
        <v>345</v>
      </c>
    </row>
    <row r="8000" spans="1:13" x14ac:dyDescent="0.3">
      <c r="A8000" s="3">
        <v>46082</v>
      </c>
      <c r="C8000" s="7" t="s">
        <v>2832</v>
      </c>
      <c r="D8000" s="153"/>
      <c r="E8000" s="90" t="s">
        <v>2088</v>
      </c>
      <c r="G8000" s="88">
        <f>I7996-402.36</f>
        <v>8987.9000000000015</v>
      </c>
      <c r="H8000" s="166">
        <v>0</v>
      </c>
      <c r="I8000" s="88">
        <f t="shared" ref="I8000:I8010" si="1294">I7999+G8000-H8000</f>
        <v>8987.9000000000015</v>
      </c>
      <c r="K8000" s="62"/>
      <c r="L8000" s="2">
        <f t="shared" ref="L8000:L8010" si="1295">IF(E8000="C",0,IF((G8000+H8000)&lt;=5000,(G8000+H8000)*0.004,20)+IF(E8000="P",5,IF(E8000="Y",15,IF(E8000="YY",25))))</f>
        <v>25</v>
      </c>
      <c r="M8000">
        <f t="shared" ref="M8000" si="1296">IF(E8000="p",5,0)</f>
        <v>5</v>
      </c>
    </row>
    <row r="8001" spans="1:12" x14ac:dyDescent="0.3">
      <c r="A8001" s="3">
        <f>A8000</f>
        <v>46082</v>
      </c>
      <c r="B8001" s="11" t="s">
        <v>8900</v>
      </c>
      <c r="C8001" s="7" t="s">
        <v>8901</v>
      </c>
      <c r="D8001" s="153"/>
      <c r="E8001" s="90" t="s">
        <v>2088</v>
      </c>
      <c r="G8001" s="2">
        <v>2500</v>
      </c>
      <c r="H8001" s="166"/>
      <c r="I8001" s="88">
        <f t="shared" si="1294"/>
        <v>11487.900000000001</v>
      </c>
      <c r="K8001" s="62"/>
      <c r="L8001" s="2">
        <f t="shared" si="1295"/>
        <v>15</v>
      </c>
    </row>
    <row r="8002" spans="1:12" x14ac:dyDescent="0.3">
      <c r="A8002" s="3">
        <f t="shared" ref="A8002:A8042" si="1297">A8001</f>
        <v>46082</v>
      </c>
      <c r="B8002" s="11" t="s">
        <v>6892</v>
      </c>
      <c r="C8002" s="7" t="s">
        <v>509</v>
      </c>
      <c r="D8002" s="153"/>
      <c r="E8002" s="90" t="s">
        <v>2088</v>
      </c>
      <c r="G8002" s="2">
        <v>2500</v>
      </c>
      <c r="H8002" s="166"/>
      <c r="I8002" s="88">
        <f t="shared" si="1294"/>
        <v>13987.900000000001</v>
      </c>
      <c r="K8002" s="62"/>
      <c r="L8002" s="2">
        <f t="shared" si="1295"/>
        <v>15</v>
      </c>
    </row>
    <row r="8003" spans="1:12" x14ac:dyDescent="0.3">
      <c r="A8003" s="3">
        <f t="shared" si="1297"/>
        <v>46082</v>
      </c>
      <c r="B8003" s="11" t="s">
        <v>6892</v>
      </c>
      <c r="C8003" s="7" t="s">
        <v>509</v>
      </c>
      <c r="D8003" s="153"/>
      <c r="E8003" s="90" t="s">
        <v>2088</v>
      </c>
      <c r="G8003" s="2">
        <v>1500</v>
      </c>
      <c r="H8003" s="166"/>
      <c r="I8003" s="88">
        <f t="shared" si="1294"/>
        <v>15487.900000000001</v>
      </c>
      <c r="K8003" s="62"/>
      <c r="L8003" s="2">
        <f t="shared" si="1295"/>
        <v>11</v>
      </c>
    </row>
    <row r="8004" spans="1:12" x14ac:dyDescent="0.3">
      <c r="A8004" s="3">
        <f t="shared" si="1297"/>
        <v>46082</v>
      </c>
      <c r="B8004" s="11" t="s">
        <v>10194</v>
      </c>
      <c r="C8004" s="7" t="s">
        <v>10285</v>
      </c>
      <c r="D8004" s="153"/>
      <c r="E8004" s="90" t="s">
        <v>4720</v>
      </c>
      <c r="G8004" s="2">
        <v>7000</v>
      </c>
      <c r="H8004" s="166"/>
      <c r="I8004" s="88">
        <f t="shared" si="1294"/>
        <v>22487.9</v>
      </c>
      <c r="K8004" s="62"/>
      <c r="L8004" s="2">
        <f t="shared" si="1295"/>
        <v>20</v>
      </c>
    </row>
    <row r="8005" spans="1:12" x14ac:dyDescent="0.3">
      <c r="A8005" s="3">
        <f t="shared" si="1297"/>
        <v>46082</v>
      </c>
      <c r="B8005" s="11" t="s">
        <v>8961</v>
      </c>
      <c r="C8005" s="7" t="s">
        <v>8783</v>
      </c>
      <c r="D8005" s="153"/>
      <c r="E8005" s="90" t="s">
        <v>4720</v>
      </c>
      <c r="H8005" s="166">
        <v>2800</v>
      </c>
      <c r="I8005" s="88">
        <f t="shared" si="1294"/>
        <v>19687.900000000001</v>
      </c>
      <c r="K8005" s="62"/>
      <c r="L8005" s="2">
        <f t="shared" si="1295"/>
        <v>11.200000000000001</v>
      </c>
    </row>
    <row r="8006" spans="1:12" x14ac:dyDescent="0.3">
      <c r="A8006" s="3">
        <v>45718</v>
      </c>
      <c r="B8006" s="11" t="s">
        <v>3504</v>
      </c>
      <c r="C8006" s="7" t="s">
        <v>2652</v>
      </c>
      <c r="D8006" s="153"/>
      <c r="E8006" s="90" t="s">
        <v>4720</v>
      </c>
      <c r="H8006" s="166">
        <v>1000</v>
      </c>
      <c r="I8006" s="88">
        <f t="shared" si="1294"/>
        <v>18687.900000000001</v>
      </c>
      <c r="K8006" s="62"/>
      <c r="L8006" s="2">
        <f t="shared" si="1295"/>
        <v>4</v>
      </c>
    </row>
    <row r="8007" spans="1:12" x14ac:dyDescent="0.3">
      <c r="A8007" s="3">
        <f t="shared" si="1297"/>
        <v>45718</v>
      </c>
      <c r="B8007" s="11" t="s">
        <v>9469</v>
      </c>
      <c r="C8007" s="7" t="s">
        <v>9470</v>
      </c>
      <c r="D8007" s="153"/>
      <c r="E8007" s="90" t="s">
        <v>4720</v>
      </c>
      <c r="H8007" s="166">
        <v>500</v>
      </c>
      <c r="I8007" s="88">
        <f t="shared" si="1294"/>
        <v>18187.900000000001</v>
      </c>
      <c r="K8007" s="62"/>
      <c r="L8007" s="2">
        <f t="shared" si="1295"/>
        <v>2</v>
      </c>
    </row>
    <row r="8008" spans="1:12" x14ac:dyDescent="0.3">
      <c r="A8008" s="3">
        <f t="shared" si="1297"/>
        <v>45718</v>
      </c>
      <c r="B8008" s="11" t="s">
        <v>2351</v>
      </c>
      <c r="C8008" s="7" t="s">
        <v>7638</v>
      </c>
      <c r="D8008" s="153"/>
      <c r="E8008" s="90" t="s">
        <v>4720</v>
      </c>
      <c r="G8008" s="2">
        <v>10000</v>
      </c>
      <c r="H8008" s="166"/>
      <c r="I8008" s="88">
        <f t="shared" si="1294"/>
        <v>28187.9</v>
      </c>
      <c r="K8008" s="62"/>
      <c r="L8008" s="2">
        <f t="shared" si="1295"/>
        <v>20</v>
      </c>
    </row>
    <row r="8009" spans="1:12" x14ac:dyDescent="0.3">
      <c r="A8009" s="3">
        <f t="shared" si="1297"/>
        <v>45718</v>
      </c>
      <c r="B8009" s="11" t="s">
        <v>8052</v>
      </c>
      <c r="C8009" s="7" t="s">
        <v>4867</v>
      </c>
      <c r="D8009" s="153"/>
      <c r="E8009" s="90" t="s">
        <v>2088</v>
      </c>
      <c r="G8009" s="2">
        <v>500</v>
      </c>
      <c r="H8009" s="166"/>
      <c r="I8009" s="88">
        <f t="shared" si="1294"/>
        <v>28687.9</v>
      </c>
      <c r="K8009" s="62"/>
      <c r="L8009" s="2">
        <f t="shared" si="1295"/>
        <v>7</v>
      </c>
    </row>
    <row r="8010" spans="1:12" x14ac:dyDescent="0.3">
      <c r="A8010" s="3">
        <f t="shared" si="1297"/>
        <v>45718</v>
      </c>
      <c r="B8010" s="11" t="s">
        <v>8900</v>
      </c>
      <c r="C8010" s="7" t="s">
        <v>8901</v>
      </c>
      <c r="D8010" s="153"/>
      <c r="E8010" s="90" t="s">
        <v>2088</v>
      </c>
      <c r="G8010" s="2">
        <v>2600</v>
      </c>
      <c r="H8010" s="166"/>
      <c r="I8010" s="88">
        <f t="shared" si="1294"/>
        <v>31287.9</v>
      </c>
      <c r="K8010" s="62"/>
      <c r="L8010" s="2">
        <f t="shared" si="1295"/>
        <v>15.4</v>
      </c>
    </row>
    <row r="8011" spans="1:12" x14ac:dyDescent="0.3">
      <c r="A8011" s="3">
        <f t="shared" si="1297"/>
        <v>45718</v>
      </c>
      <c r="B8011" s="11" t="s">
        <v>8674</v>
      </c>
      <c r="C8011" s="7" t="s">
        <v>8675</v>
      </c>
      <c r="D8011" s="153"/>
      <c r="E8011" s="90" t="s">
        <v>2088</v>
      </c>
      <c r="G8011" s="2">
        <v>0</v>
      </c>
      <c r="H8011" s="166">
        <v>0</v>
      </c>
      <c r="I8011" s="88">
        <f t="shared" ref="I8011:I8022" si="1298">I8010+G8011-H8011</f>
        <v>31287.9</v>
      </c>
      <c r="K8011" s="62"/>
      <c r="L8011" s="2">
        <f t="shared" ref="L8011:L8022" si="1299">IF(E8011="C",0,IF((G8011+H8011)&lt;=5000,(G8011+H8011)*0.004,20)+IF(E8011="P",5,IF(E8011="Y",15,IF(E8011="YY",25))))</f>
        <v>5</v>
      </c>
    </row>
    <row r="8012" spans="1:12" x14ac:dyDescent="0.3">
      <c r="A8012" s="3">
        <f t="shared" si="1297"/>
        <v>45718</v>
      </c>
      <c r="B8012" s="11" t="s">
        <v>8674</v>
      </c>
      <c r="C8012" s="7" t="s">
        <v>8675</v>
      </c>
      <c r="D8012" s="153"/>
      <c r="E8012" s="90" t="s">
        <v>2088</v>
      </c>
      <c r="G8012" s="2">
        <v>6000</v>
      </c>
      <c r="H8012" s="166"/>
      <c r="I8012" s="88">
        <f t="shared" si="1298"/>
        <v>37287.9</v>
      </c>
      <c r="K8012" s="62"/>
      <c r="L8012" s="2">
        <f t="shared" si="1299"/>
        <v>25</v>
      </c>
    </row>
    <row r="8013" spans="1:12" x14ac:dyDescent="0.3">
      <c r="A8013" s="3">
        <f t="shared" si="1297"/>
        <v>45718</v>
      </c>
      <c r="B8013" s="11" t="s">
        <v>4072</v>
      </c>
      <c r="C8013" s="7" t="s">
        <v>1593</v>
      </c>
      <c r="D8013" s="153"/>
      <c r="E8013" s="90" t="s">
        <v>2088</v>
      </c>
      <c r="G8013" s="2">
        <v>3000</v>
      </c>
      <c r="H8013" s="166"/>
      <c r="I8013" s="88">
        <f t="shared" si="1298"/>
        <v>40287.9</v>
      </c>
      <c r="K8013" s="62"/>
      <c r="L8013" s="2">
        <f t="shared" si="1299"/>
        <v>17</v>
      </c>
    </row>
    <row r="8014" spans="1:12" x14ac:dyDescent="0.3">
      <c r="A8014" s="3">
        <f t="shared" si="1297"/>
        <v>45718</v>
      </c>
      <c r="B8014" s="11" t="s">
        <v>2743</v>
      </c>
      <c r="C8014" s="7" t="s">
        <v>9335</v>
      </c>
      <c r="D8014" s="153"/>
      <c r="E8014" s="90" t="s">
        <v>4720</v>
      </c>
      <c r="G8014" s="2">
        <v>5000</v>
      </c>
      <c r="H8014" s="166"/>
      <c r="I8014" s="88">
        <f t="shared" si="1298"/>
        <v>45287.9</v>
      </c>
      <c r="K8014" s="62"/>
      <c r="L8014" s="2">
        <f t="shared" si="1299"/>
        <v>20</v>
      </c>
    </row>
    <row r="8015" spans="1:12" x14ac:dyDescent="0.3">
      <c r="A8015" s="3">
        <f t="shared" si="1297"/>
        <v>45718</v>
      </c>
      <c r="B8015" s="11" t="s">
        <v>5458</v>
      </c>
      <c r="C8015" s="7" t="s">
        <v>10286</v>
      </c>
      <c r="D8015" s="153"/>
      <c r="E8015" s="90" t="s">
        <v>7772</v>
      </c>
      <c r="G8015" s="2">
        <v>2000</v>
      </c>
      <c r="H8015" s="166"/>
      <c r="I8015" s="88">
        <f t="shared" si="1298"/>
        <v>47287.9</v>
      </c>
      <c r="K8015" s="62"/>
      <c r="L8015" s="2">
        <f t="shared" si="1299"/>
        <v>13</v>
      </c>
    </row>
    <row r="8016" spans="1:12" x14ac:dyDescent="0.3">
      <c r="A8016" s="3">
        <f t="shared" si="1297"/>
        <v>45718</v>
      </c>
      <c r="B8016" s="11" t="s">
        <v>10221</v>
      </c>
      <c r="C8016" s="7" t="s">
        <v>10287</v>
      </c>
      <c r="D8016" s="153"/>
      <c r="E8016" s="90" t="s">
        <v>4720</v>
      </c>
      <c r="G8016" s="2">
        <v>4000</v>
      </c>
      <c r="H8016" s="166"/>
      <c r="I8016" s="88">
        <f t="shared" si="1298"/>
        <v>51287.9</v>
      </c>
      <c r="K8016" s="62"/>
      <c r="L8016" s="2">
        <f t="shared" si="1299"/>
        <v>16</v>
      </c>
    </row>
    <row r="8017" spans="1:12" x14ac:dyDescent="0.3">
      <c r="A8017" s="3">
        <f t="shared" si="1297"/>
        <v>45718</v>
      </c>
      <c r="B8017" s="11" t="s">
        <v>6549</v>
      </c>
      <c r="C8017" s="7" t="s">
        <v>10288</v>
      </c>
      <c r="D8017" s="153"/>
      <c r="E8017" s="90" t="s">
        <v>2088</v>
      </c>
      <c r="G8017" s="2">
        <v>4000</v>
      </c>
      <c r="H8017" s="166"/>
      <c r="I8017" s="88">
        <f t="shared" si="1298"/>
        <v>55287.9</v>
      </c>
      <c r="K8017" s="62"/>
      <c r="L8017" s="2">
        <f t="shared" si="1299"/>
        <v>21</v>
      </c>
    </row>
    <row r="8018" spans="1:12" x14ac:dyDescent="0.3">
      <c r="A8018" s="3">
        <f t="shared" si="1297"/>
        <v>45718</v>
      </c>
      <c r="B8018" s="11" t="s">
        <v>6233</v>
      </c>
      <c r="C8018" s="7" t="s">
        <v>10289</v>
      </c>
      <c r="D8018" s="153"/>
      <c r="E8018" s="90" t="s">
        <v>2088</v>
      </c>
      <c r="G8018" s="2">
        <v>4000</v>
      </c>
      <c r="H8018" s="166"/>
      <c r="I8018" s="88">
        <f t="shared" si="1298"/>
        <v>59287.9</v>
      </c>
      <c r="K8018" s="62"/>
      <c r="L8018" s="2">
        <f t="shared" si="1299"/>
        <v>21</v>
      </c>
    </row>
    <row r="8019" spans="1:12" x14ac:dyDescent="0.3">
      <c r="A8019" s="3">
        <f t="shared" si="1297"/>
        <v>45718</v>
      </c>
      <c r="B8019" s="11" t="s">
        <v>7269</v>
      </c>
      <c r="C8019" s="7" t="s">
        <v>8187</v>
      </c>
      <c r="D8019" s="153"/>
      <c r="E8019" s="90" t="s">
        <v>2088</v>
      </c>
      <c r="G8019" s="2">
        <v>5000</v>
      </c>
      <c r="H8019" s="166"/>
      <c r="I8019" s="88">
        <f t="shared" si="1298"/>
        <v>64287.9</v>
      </c>
      <c r="K8019" s="62"/>
      <c r="L8019" s="2">
        <f t="shared" si="1299"/>
        <v>25</v>
      </c>
    </row>
    <row r="8020" spans="1:12" x14ac:dyDescent="0.3">
      <c r="A8020" s="3">
        <f t="shared" si="1297"/>
        <v>45718</v>
      </c>
      <c r="B8020" s="11" t="s">
        <v>1170</v>
      </c>
      <c r="C8020" s="7" t="s">
        <v>10290</v>
      </c>
      <c r="D8020" s="153"/>
      <c r="E8020" s="90" t="s">
        <v>4720</v>
      </c>
      <c r="G8020" s="2">
        <v>4000</v>
      </c>
      <c r="H8020" s="166"/>
      <c r="I8020" s="88">
        <f t="shared" si="1298"/>
        <v>68287.899999999994</v>
      </c>
      <c r="K8020" s="62"/>
      <c r="L8020" s="2">
        <f t="shared" si="1299"/>
        <v>16</v>
      </c>
    </row>
    <row r="8021" spans="1:12" x14ac:dyDescent="0.3">
      <c r="A8021" s="3">
        <f t="shared" si="1297"/>
        <v>45718</v>
      </c>
      <c r="B8021" s="11" t="s">
        <v>1170</v>
      </c>
      <c r="C8021" s="7" t="s">
        <v>9277</v>
      </c>
      <c r="D8021" s="153"/>
      <c r="E8021" s="90" t="s">
        <v>4720</v>
      </c>
      <c r="G8021" s="2">
        <v>2000</v>
      </c>
      <c r="H8021" s="166"/>
      <c r="I8021" s="88">
        <f t="shared" si="1298"/>
        <v>70287.899999999994</v>
      </c>
      <c r="K8021" s="62"/>
      <c r="L8021" s="2">
        <f t="shared" si="1299"/>
        <v>8</v>
      </c>
    </row>
    <row r="8022" spans="1:12" x14ac:dyDescent="0.3">
      <c r="A8022" s="3">
        <f t="shared" si="1297"/>
        <v>45718</v>
      </c>
      <c r="B8022" s="11" t="s">
        <v>7886</v>
      </c>
      <c r="C8022" s="7" t="s">
        <v>10291</v>
      </c>
      <c r="D8022" s="153"/>
      <c r="E8022" s="90" t="s">
        <v>2088</v>
      </c>
      <c r="G8022" s="2">
        <v>0</v>
      </c>
      <c r="H8022" s="166">
        <v>0</v>
      </c>
      <c r="I8022" s="88">
        <f t="shared" si="1298"/>
        <v>70287.899999999994</v>
      </c>
      <c r="K8022" s="62"/>
      <c r="L8022" s="2">
        <f t="shared" si="1299"/>
        <v>5</v>
      </c>
    </row>
    <row r="8023" spans="1:12" x14ac:dyDescent="0.3">
      <c r="A8023" s="3">
        <f t="shared" si="1297"/>
        <v>45718</v>
      </c>
      <c r="B8023" s="11" t="s">
        <v>2241</v>
      </c>
      <c r="C8023" s="7" t="s">
        <v>7091</v>
      </c>
      <c r="D8023" s="153"/>
      <c r="E8023" s="90" t="s">
        <v>4720</v>
      </c>
      <c r="G8023" s="2">
        <v>4000</v>
      </c>
      <c r="H8023" s="166"/>
      <c r="I8023" s="88">
        <f t="shared" ref="I8023:I8031" si="1300">I8022+G8023-H8023</f>
        <v>74287.899999999994</v>
      </c>
      <c r="K8023" s="62"/>
      <c r="L8023" s="2">
        <f t="shared" ref="L8023:L8031" si="1301">IF(E8023="C",0,IF((G8023+H8023)&lt;=5000,(G8023+H8023)*0.004,20)+IF(E8023="P",5,IF(E8023="Y",15,IF(E8023="YY",25))))</f>
        <v>16</v>
      </c>
    </row>
    <row r="8024" spans="1:12" x14ac:dyDescent="0.3">
      <c r="A8024" s="3">
        <f t="shared" si="1297"/>
        <v>45718</v>
      </c>
      <c r="C8024" s="7" t="s">
        <v>2857</v>
      </c>
      <c r="D8024" s="153"/>
      <c r="E8024" s="90" t="s">
        <v>8332</v>
      </c>
      <c r="H8024" s="166">
        <v>70000</v>
      </c>
      <c r="I8024" s="88">
        <f t="shared" si="1300"/>
        <v>4287.8999999999942</v>
      </c>
      <c r="K8024" s="62"/>
      <c r="L8024" s="2">
        <f t="shared" si="1301"/>
        <v>0</v>
      </c>
    </row>
    <row r="8025" spans="1:12" x14ac:dyDescent="0.3">
      <c r="A8025" s="3">
        <f t="shared" si="1297"/>
        <v>45718</v>
      </c>
      <c r="B8025" s="11" t="s">
        <v>7547</v>
      </c>
      <c r="C8025" s="7" t="s">
        <v>10292</v>
      </c>
      <c r="D8025" s="153"/>
      <c r="E8025" s="90" t="s">
        <v>4720</v>
      </c>
      <c r="G8025" s="2">
        <v>5000</v>
      </c>
      <c r="H8025" s="166"/>
      <c r="I8025" s="88">
        <f t="shared" si="1300"/>
        <v>9287.8999999999942</v>
      </c>
      <c r="K8025" s="62"/>
      <c r="L8025" s="2">
        <f t="shared" si="1301"/>
        <v>20</v>
      </c>
    </row>
    <row r="8026" spans="1:12" x14ac:dyDescent="0.3">
      <c r="A8026" s="3">
        <f t="shared" si="1297"/>
        <v>45718</v>
      </c>
      <c r="B8026" s="11" t="s">
        <v>5659</v>
      </c>
      <c r="C8026" s="7" t="s">
        <v>5660</v>
      </c>
      <c r="D8026" s="153"/>
      <c r="E8026" s="90" t="s">
        <v>2088</v>
      </c>
      <c r="G8026" s="2">
        <v>5000</v>
      </c>
      <c r="H8026" s="166"/>
      <c r="I8026" s="88">
        <f t="shared" si="1300"/>
        <v>14287.899999999994</v>
      </c>
      <c r="K8026" s="62"/>
      <c r="L8026" s="2">
        <f t="shared" si="1301"/>
        <v>25</v>
      </c>
    </row>
    <row r="8027" spans="1:12" x14ac:dyDescent="0.3">
      <c r="A8027" s="3">
        <f t="shared" si="1297"/>
        <v>45718</v>
      </c>
      <c r="B8027" s="11" t="s">
        <v>5872</v>
      </c>
      <c r="C8027" s="7" t="s">
        <v>5873</v>
      </c>
      <c r="D8027" s="153"/>
      <c r="E8027" s="90" t="s">
        <v>4720</v>
      </c>
      <c r="G8027" s="2">
        <v>5000</v>
      </c>
      <c r="H8027" s="166"/>
      <c r="I8027" s="88">
        <f t="shared" si="1300"/>
        <v>19287.899999999994</v>
      </c>
      <c r="K8027" s="62"/>
      <c r="L8027" s="2">
        <f t="shared" si="1301"/>
        <v>20</v>
      </c>
    </row>
    <row r="8028" spans="1:12" x14ac:dyDescent="0.3">
      <c r="A8028" s="3">
        <f t="shared" si="1297"/>
        <v>45718</v>
      </c>
      <c r="B8028" s="11" t="s">
        <v>8880</v>
      </c>
      <c r="C8028" s="7" t="s">
        <v>8881</v>
      </c>
      <c r="D8028" s="153"/>
      <c r="E8028" s="90" t="s">
        <v>2088</v>
      </c>
      <c r="G8028" s="2">
        <v>5000</v>
      </c>
      <c r="H8028" s="166"/>
      <c r="I8028" s="88">
        <f t="shared" si="1300"/>
        <v>24287.899999999994</v>
      </c>
      <c r="K8028" s="62"/>
      <c r="L8028" s="2">
        <f t="shared" si="1301"/>
        <v>25</v>
      </c>
    </row>
    <row r="8029" spans="1:12" x14ac:dyDescent="0.3">
      <c r="A8029" s="3">
        <f t="shared" si="1297"/>
        <v>45718</v>
      </c>
      <c r="B8029" s="11" t="s">
        <v>9393</v>
      </c>
      <c r="C8029" s="7" t="s">
        <v>10045</v>
      </c>
      <c r="D8029" s="153" t="s">
        <v>10293</v>
      </c>
      <c r="E8029" s="90" t="s">
        <v>4720</v>
      </c>
      <c r="G8029" s="2">
        <v>5000</v>
      </c>
      <c r="H8029" s="166"/>
      <c r="I8029" s="88">
        <f t="shared" si="1300"/>
        <v>29287.899999999994</v>
      </c>
      <c r="K8029" s="62"/>
      <c r="L8029" s="2">
        <f t="shared" si="1301"/>
        <v>20</v>
      </c>
    </row>
    <row r="8030" spans="1:12" x14ac:dyDescent="0.3">
      <c r="A8030" s="3">
        <f t="shared" si="1297"/>
        <v>45718</v>
      </c>
      <c r="B8030" s="11" t="s">
        <v>6940</v>
      </c>
      <c r="C8030" s="7" t="s">
        <v>7470</v>
      </c>
      <c r="D8030" s="153"/>
      <c r="E8030" s="90" t="s">
        <v>4720</v>
      </c>
      <c r="G8030" s="2">
        <v>2000</v>
      </c>
      <c r="H8030" s="166"/>
      <c r="I8030" s="88">
        <f t="shared" si="1300"/>
        <v>31287.899999999994</v>
      </c>
      <c r="K8030" s="62"/>
      <c r="L8030" s="2">
        <f t="shared" si="1301"/>
        <v>8</v>
      </c>
    </row>
    <row r="8031" spans="1:12" x14ac:dyDescent="0.3">
      <c r="A8031" s="3">
        <f t="shared" si="1297"/>
        <v>45718</v>
      </c>
      <c r="B8031" s="11" t="s">
        <v>1160</v>
      </c>
      <c r="C8031" s="7" t="s">
        <v>10294</v>
      </c>
      <c r="D8031" s="153"/>
      <c r="E8031" s="90" t="s">
        <v>4720</v>
      </c>
      <c r="G8031" s="2">
        <v>300</v>
      </c>
      <c r="H8031" s="166"/>
      <c r="I8031" s="88">
        <f t="shared" si="1300"/>
        <v>31587.899999999994</v>
      </c>
      <c r="K8031" s="62"/>
      <c r="L8031" s="2">
        <f t="shared" si="1301"/>
        <v>1.2</v>
      </c>
    </row>
    <row r="8032" spans="1:12" x14ac:dyDescent="0.3">
      <c r="A8032" s="3">
        <f t="shared" si="1297"/>
        <v>45718</v>
      </c>
      <c r="B8032" s="11" t="s">
        <v>8895</v>
      </c>
      <c r="C8032" s="7" t="s">
        <v>8896</v>
      </c>
      <c r="D8032" s="153"/>
      <c r="E8032" s="90" t="s">
        <v>2088</v>
      </c>
      <c r="G8032" s="2">
        <v>5000</v>
      </c>
      <c r="H8032" s="166"/>
      <c r="I8032" s="88">
        <f t="shared" ref="I8032:I8042" si="1302">I8031+G8032-H8032</f>
        <v>36587.899999999994</v>
      </c>
      <c r="K8032" s="62"/>
      <c r="L8032" s="2">
        <f t="shared" ref="L8032:L8042" si="1303">IF(E8032="C",0,IF((G8032+H8032)&lt;=5000,(G8032+H8032)*0.004,20)+IF(E8032="P",5,IF(E8032="Y",15,IF(E8032="YY",25))))</f>
        <v>25</v>
      </c>
    </row>
    <row r="8033" spans="1:12" x14ac:dyDescent="0.3">
      <c r="A8033" s="3">
        <f t="shared" si="1297"/>
        <v>45718</v>
      </c>
      <c r="B8033" s="11" t="s">
        <v>9771</v>
      </c>
      <c r="C8033" s="7" t="s">
        <v>10109</v>
      </c>
      <c r="D8033" s="153"/>
      <c r="E8033" s="90" t="s">
        <v>2088</v>
      </c>
      <c r="G8033" s="2">
        <v>3000</v>
      </c>
      <c r="H8033" s="166"/>
      <c r="I8033" s="88">
        <f t="shared" si="1302"/>
        <v>39587.899999999994</v>
      </c>
      <c r="K8033" s="62"/>
      <c r="L8033" s="2">
        <f t="shared" si="1303"/>
        <v>17</v>
      </c>
    </row>
    <row r="8034" spans="1:12" x14ac:dyDescent="0.3">
      <c r="A8034" s="3">
        <f t="shared" si="1297"/>
        <v>45718</v>
      </c>
      <c r="B8034" s="11" t="s">
        <v>2143</v>
      </c>
      <c r="C8034" s="7" t="s">
        <v>10295</v>
      </c>
      <c r="D8034" s="153"/>
      <c r="E8034" s="90" t="s">
        <v>4720</v>
      </c>
      <c r="H8034" s="166">
        <v>10000</v>
      </c>
      <c r="I8034" s="88">
        <f t="shared" si="1302"/>
        <v>29587.899999999994</v>
      </c>
      <c r="K8034" s="62"/>
      <c r="L8034" s="2">
        <f t="shared" si="1303"/>
        <v>20</v>
      </c>
    </row>
    <row r="8035" spans="1:12" x14ac:dyDescent="0.3">
      <c r="A8035" s="3">
        <f t="shared" si="1297"/>
        <v>45718</v>
      </c>
      <c r="B8035" s="11" t="s">
        <v>3849</v>
      </c>
      <c r="C8035" s="7" t="s">
        <v>10296</v>
      </c>
      <c r="D8035" s="153"/>
      <c r="E8035" s="90" t="s">
        <v>4720</v>
      </c>
      <c r="H8035" s="166">
        <v>5000</v>
      </c>
      <c r="I8035" s="88">
        <f t="shared" si="1302"/>
        <v>24587.899999999994</v>
      </c>
      <c r="K8035" s="62"/>
      <c r="L8035" s="2">
        <f t="shared" si="1303"/>
        <v>20</v>
      </c>
    </row>
    <row r="8036" spans="1:12" x14ac:dyDescent="0.3">
      <c r="A8036" s="3">
        <f t="shared" si="1297"/>
        <v>45718</v>
      </c>
      <c r="B8036" s="11" t="s">
        <v>1160</v>
      </c>
      <c r="C8036" s="7" t="s">
        <v>10297</v>
      </c>
      <c r="D8036" s="153"/>
      <c r="E8036" s="90" t="s">
        <v>4720</v>
      </c>
      <c r="G8036" s="2">
        <v>4000</v>
      </c>
      <c r="H8036" s="166"/>
      <c r="I8036" s="88">
        <f t="shared" si="1302"/>
        <v>28587.899999999994</v>
      </c>
      <c r="K8036" s="62"/>
      <c r="L8036" s="2">
        <f t="shared" si="1303"/>
        <v>16</v>
      </c>
    </row>
    <row r="8037" spans="1:12" x14ac:dyDescent="0.3">
      <c r="A8037" s="3">
        <f t="shared" si="1297"/>
        <v>45718</v>
      </c>
      <c r="B8037" s="11" t="s">
        <v>7800</v>
      </c>
      <c r="C8037" s="7" t="s">
        <v>7284</v>
      </c>
      <c r="D8037" s="153"/>
      <c r="E8037" s="90" t="s">
        <v>2088</v>
      </c>
      <c r="G8037" s="2">
        <v>2000</v>
      </c>
      <c r="H8037" s="166"/>
      <c r="I8037" s="88">
        <f t="shared" si="1302"/>
        <v>30587.899999999994</v>
      </c>
      <c r="K8037" s="62"/>
      <c r="L8037" s="2">
        <f t="shared" si="1303"/>
        <v>13</v>
      </c>
    </row>
    <row r="8038" spans="1:12" x14ac:dyDescent="0.3">
      <c r="A8038" s="3">
        <f t="shared" si="1297"/>
        <v>45718</v>
      </c>
      <c r="B8038" s="11" t="s">
        <v>8052</v>
      </c>
      <c r="C8038" s="7" t="s">
        <v>4867</v>
      </c>
      <c r="D8038" s="153"/>
      <c r="E8038" s="90" t="s">
        <v>2088</v>
      </c>
      <c r="G8038" s="2">
        <v>0</v>
      </c>
      <c r="H8038" s="166">
        <v>0</v>
      </c>
      <c r="I8038" s="88">
        <f t="shared" si="1302"/>
        <v>30587.899999999994</v>
      </c>
      <c r="K8038" s="62"/>
      <c r="L8038" s="2">
        <f t="shared" si="1303"/>
        <v>5</v>
      </c>
    </row>
    <row r="8039" spans="1:12" x14ac:dyDescent="0.3">
      <c r="A8039" s="3">
        <f t="shared" si="1297"/>
        <v>45718</v>
      </c>
      <c r="B8039" s="11" t="s">
        <v>9014</v>
      </c>
      <c r="C8039" s="7" t="s">
        <v>9090</v>
      </c>
      <c r="D8039" s="153"/>
      <c r="E8039" s="90" t="s">
        <v>4720</v>
      </c>
      <c r="H8039" s="166">
        <v>1500</v>
      </c>
      <c r="I8039" s="88">
        <f t="shared" si="1302"/>
        <v>29087.899999999994</v>
      </c>
      <c r="K8039" s="62"/>
      <c r="L8039" s="2">
        <f t="shared" si="1303"/>
        <v>6</v>
      </c>
    </row>
    <row r="8040" spans="1:12" x14ac:dyDescent="0.3">
      <c r="A8040" s="3">
        <f t="shared" si="1297"/>
        <v>45718</v>
      </c>
      <c r="B8040" s="11" t="s">
        <v>10298</v>
      </c>
      <c r="C8040" s="7" t="s">
        <v>10299</v>
      </c>
      <c r="D8040" s="153"/>
      <c r="E8040" s="90" t="s">
        <v>4720</v>
      </c>
      <c r="G8040" s="2">
        <v>500</v>
      </c>
      <c r="H8040" s="166"/>
      <c r="I8040" s="88">
        <f t="shared" si="1302"/>
        <v>29587.899999999994</v>
      </c>
      <c r="K8040" s="62"/>
      <c r="L8040" s="2">
        <f t="shared" si="1303"/>
        <v>2</v>
      </c>
    </row>
    <row r="8041" spans="1:12" x14ac:dyDescent="0.3">
      <c r="A8041" s="3">
        <f t="shared" si="1297"/>
        <v>45718</v>
      </c>
      <c r="B8041" s="11" t="s">
        <v>1250</v>
      </c>
      <c r="C8041" s="7" t="s">
        <v>6985</v>
      </c>
      <c r="D8041" s="153"/>
      <c r="E8041" s="90" t="s">
        <v>4720</v>
      </c>
      <c r="G8041" s="2">
        <v>1500</v>
      </c>
      <c r="H8041" s="166"/>
      <c r="I8041" s="88">
        <f t="shared" si="1302"/>
        <v>31087.899999999994</v>
      </c>
      <c r="K8041" s="62"/>
      <c r="L8041" s="2">
        <f t="shared" si="1303"/>
        <v>6</v>
      </c>
    </row>
    <row r="8042" spans="1:12" x14ac:dyDescent="0.3">
      <c r="A8042" s="3">
        <f t="shared" si="1297"/>
        <v>45718</v>
      </c>
      <c r="B8042" s="11" t="s">
        <v>9300</v>
      </c>
      <c r="C8042" s="7" t="s">
        <v>10300</v>
      </c>
      <c r="D8042" s="153"/>
      <c r="E8042" s="90" t="s">
        <v>4720</v>
      </c>
      <c r="G8042" s="2">
        <v>5000</v>
      </c>
      <c r="H8042" s="166"/>
      <c r="I8042" s="88">
        <f t="shared" si="1302"/>
        <v>36087.899999999994</v>
      </c>
      <c r="K8042" s="62"/>
      <c r="L8042" s="2">
        <f t="shared" si="1303"/>
        <v>20</v>
      </c>
    </row>
    <row r="8043" spans="1:12" x14ac:dyDescent="0.3">
      <c r="A8043" s="3">
        <v>46084</v>
      </c>
      <c r="B8043" s="11" t="s">
        <v>10298</v>
      </c>
      <c r="C8043" s="7" t="s">
        <v>9310</v>
      </c>
      <c r="D8043" s="153"/>
      <c r="E8043" s="90" t="s">
        <v>4720</v>
      </c>
      <c r="G8043" s="2">
        <v>2000</v>
      </c>
      <c r="H8043" s="166"/>
      <c r="I8043" s="88">
        <f t="shared" ref="I8043:I8055" si="1304">I8042+G8043-H8043</f>
        <v>38087.899999999994</v>
      </c>
      <c r="K8043" s="62"/>
      <c r="L8043" s="2">
        <f t="shared" ref="L8043:L8055" si="1305">IF(E8043="C",0,IF((G8043+H8043)&lt;=5000,(G8043+H8043)*0.004,20)+IF(E8043="P",5,IF(E8043="Y",15,IF(E8043="YY",25))))</f>
        <v>8</v>
      </c>
    </row>
    <row r="8044" spans="1:12" x14ac:dyDescent="0.3">
      <c r="A8044" s="3">
        <f>A8043</f>
        <v>46084</v>
      </c>
      <c r="B8044" s="11" t="s">
        <v>1160</v>
      </c>
      <c r="C8044" s="7" t="s">
        <v>7155</v>
      </c>
      <c r="D8044" s="153"/>
      <c r="E8044" s="90" t="s">
        <v>4720</v>
      </c>
      <c r="G8044" s="2">
        <v>6500</v>
      </c>
      <c r="H8044" s="166"/>
      <c r="I8044" s="88">
        <f t="shared" si="1304"/>
        <v>44587.899999999994</v>
      </c>
      <c r="K8044" s="62"/>
      <c r="L8044" s="2">
        <f t="shared" si="1305"/>
        <v>20</v>
      </c>
    </row>
    <row r="8045" spans="1:12" x14ac:dyDescent="0.3">
      <c r="A8045" s="3">
        <f t="shared" ref="A8045:A8108" si="1306">A8044</f>
        <v>46084</v>
      </c>
      <c r="B8045" s="11" t="s">
        <v>6522</v>
      </c>
      <c r="C8045" s="7" t="s">
        <v>8675</v>
      </c>
      <c r="D8045" s="153"/>
      <c r="E8045" s="90" t="s">
        <v>4720</v>
      </c>
      <c r="G8045" s="2">
        <v>2000</v>
      </c>
      <c r="H8045" s="166"/>
      <c r="I8045" s="88">
        <f t="shared" si="1304"/>
        <v>46587.899999999994</v>
      </c>
      <c r="K8045" s="62"/>
      <c r="L8045" s="2">
        <f t="shared" si="1305"/>
        <v>8</v>
      </c>
    </row>
    <row r="8046" spans="1:12" x14ac:dyDescent="0.3">
      <c r="A8046" s="3">
        <f t="shared" si="1306"/>
        <v>46084</v>
      </c>
      <c r="B8046" s="11" t="s">
        <v>8049</v>
      </c>
      <c r="C8046" s="7" t="s">
        <v>10301</v>
      </c>
      <c r="D8046" s="153"/>
      <c r="E8046" s="90" t="s">
        <v>4720</v>
      </c>
      <c r="G8046" s="2">
        <v>5000</v>
      </c>
      <c r="H8046" s="166"/>
      <c r="I8046" s="88">
        <f t="shared" si="1304"/>
        <v>51587.899999999994</v>
      </c>
      <c r="K8046" s="62"/>
      <c r="L8046" s="2">
        <f t="shared" si="1305"/>
        <v>20</v>
      </c>
    </row>
    <row r="8047" spans="1:12" x14ac:dyDescent="0.3">
      <c r="A8047" s="3">
        <f t="shared" si="1306"/>
        <v>46084</v>
      </c>
      <c r="B8047" s="11" t="s">
        <v>6522</v>
      </c>
      <c r="C8047" s="7" t="s">
        <v>10302</v>
      </c>
      <c r="D8047" s="153"/>
      <c r="E8047" s="90" t="s">
        <v>4720</v>
      </c>
      <c r="G8047" s="2">
        <v>5050</v>
      </c>
      <c r="H8047" s="166"/>
      <c r="I8047" s="88">
        <f t="shared" si="1304"/>
        <v>56637.899999999994</v>
      </c>
      <c r="K8047" s="62"/>
      <c r="L8047" s="2">
        <f t="shared" si="1305"/>
        <v>20</v>
      </c>
    </row>
    <row r="8048" spans="1:12" x14ac:dyDescent="0.3">
      <c r="A8048" s="3">
        <f t="shared" si="1306"/>
        <v>46084</v>
      </c>
      <c r="B8048" s="11" t="s">
        <v>2241</v>
      </c>
      <c r="C8048" s="7" t="s">
        <v>10303</v>
      </c>
      <c r="D8048" s="153"/>
      <c r="E8048" s="90" t="s">
        <v>4720</v>
      </c>
      <c r="G8048" s="2">
        <v>1400</v>
      </c>
      <c r="H8048" s="166"/>
      <c r="I8048" s="88">
        <f t="shared" si="1304"/>
        <v>58037.899999999994</v>
      </c>
      <c r="K8048" s="62"/>
      <c r="L8048" s="2">
        <f t="shared" si="1305"/>
        <v>5.6000000000000005</v>
      </c>
    </row>
    <row r="8049" spans="1:12" x14ac:dyDescent="0.3">
      <c r="A8049" s="3">
        <f t="shared" si="1306"/>
        <v>46084</v>
      </c>
      <c r="B8049" s="11" t="s">
        <v>10304</v>
      </c>
      <c r="C8049" s="7" t="s">
        <v>10305</v>
      </c>
      <c r="D8049" s="153"/>
      <c r="E8049" s="90" t="s">
        <v>4720</v>
      </c>
      <c r="H8049" s="166">
        <v>2500</v>
      </c>
      <c r="I8049" s="88">
        <f t="shared" si="1304"/>
        <v>55537.899999999994</v>
      </c>
      <c r="K8049" s="62"/>
      <c r="L8049" s="2">
        <f t="shared" si="1305"/>
        <v>10</v>
      </c>
    </row>
    <row r="8050" spans="1:12" x14ac:dyDescent="0.3">
      <c r="A8050" s="3">
        <f t="shared" si="1306"/>
        <v>46084</v>
      </c>
      <c r="B8050" s="11" t="s">
        <v>6701</v>
      </c>
      <c r="C8050" s="7" t="s">
        <v>6702</v>
      </c>
      <c r="D8050" s="153"/>
      <c r="E8050" s="90" t="s">
        <v>4720</v>
      </c>
      <c r="G8050" s="2">
        <v>2500</v>
      </c>
      <c r="H8050" s="166"/>
      <c r="I8050" s="88">
        <f t="shared" si="1304"/>
        <v>58037.899999999994</v>
      </c>
      <c r="K8050" s="62"/>
      <c r="L8050" s="2">
        <f t="shared" si="1305"/>
        <v>10</v>
      </c>
    </row>
    <row r="8051" spans="1:12" x14ac:dyDescent="0.3">
      <c r="A8051" s="3">
        <f t="shared" si="1306"/>
        <v>46084</v>
      </c>
      <c r="B8051" s="11" t="s">
        <v>8078</v>
      </c>
      <c r="C8051" s="7" t="s">
        <v>9758</v>
      </c>
      <c r="D8051" s="153"/>
      <c r="E8051" s="90" t="s">
        <v>2088</v>
      </c>
      <c r="H8051" s="166">
        <v>5000</v>
      </c>
      <c r="I8051" s="88">
        <f t="shared" si="1304"/>
        <v>53037.899999999994</v>
      </c>
      <c r="K8051" s="62"/>
      <c r="L8051" s="2">
        <f t="shared" si="1305"/>
        <v>25</v>
      </c>
    </row>
    <row r="8052" spans="1:12" x14ac:dyDescent="0.3">
      <c r="A8052" s="3">
        <f t="shared" si="1306"/>
        <v>46084</v>
      </c>
      <c r="B8052" s="11" t="s">
        <v>1472</v>
      </c>
      <c r="C8052" s="7" t="s">
        <v>10306</v>
      </c>
      <c r="D8052" s="153"/>
      <c r="E8052" s="90" t="s">
        <v>4720</v>
      </c>
      <c r="G8052" s="2">
        <v>10000</v>
      </c>
      <c r="H8052" s="166"/>
      <c r="I8052" s="88">
        <f t="shared" si="1304"/>
        <v>63037.899999999994</v>
      </c>
      <c r="K8052" s="62"/>
      <c r="L8052" s="2">
        <f t="shared" si="1305"/>
        <v>20</v>
      </c>
    </row>
    <row r="8053" spans="1:12" x14ac:dyDescent="0.3">
      <c r="A8053" s="3">
        <f t="shared" si="1306"/>
        <v>46084</v>
      </c>
      <c r="B8053" s="11" t="s">
        <v>10307</v>
      </c>
      <c r="C8053" s="7" t="s">
        <v>10308</v>
      </c>
      <c r="D8053" s="153"/>
      <c r="E8053" s="90" t="s">
        <v>4720</v>
      </c>
      <c r="G8053" s="2">
        <v>9000</v>
      </c>
      <c r="H8053" s="166"/>
      <c r="I8053" s="88">
        <f t="shared" si="1304"/>
        <v>72037.899999999994</v>
      </c>
      <c r="K8053" s="62"/>
      <c r="L8053" s="2">
        <f t="shared" si="1305"/>
        <v>20</v>
      </c>
    </row>
    <row r="8054" spans="1:12" x14ac:dyDescent="0.3">
      <c r="A8054" s="3">
        <f t="shared" si="1306"/>
        <v>46084</v>
      </c>
      <c r="B8054" s="11" t="s">
        <v>2143</v>
      </c>
      <c r="C8054" s="7" t="s">
        <v>10295</v>
      </c>
      <c r="D8054" s="153"/>
      <c r="E8054" s="90" t="s">
        <v>4720</v>
      </c>
      <c r="H8054" s="166">
        <v>10000</v>
      </c>
      <c r="I8054" s="88">
        <f t="shared" si="1304"/>
        <v>62037.899999999994</v>
      </c>
      <c r="K8054" s="62"/>
      <c r="L8054" s="2">
        <f t="shared" si="1305"/>
        <v>20</v>
      </c>
    </row>
    <row r="8055" spans="1:12" x14ac:dyDescent="0.3">
      <c r="A8055" s="3">
        <f t="shared" si="1306"/>
        <v>46084</v>
      </c>
      <c r="B8055" s="11" t="s">
        <v>9528</v>
      </c>
      <c r="C8055" s="7" t="s">
        <v>10252</v>
      </c>
      <c r="D8055" s="153"/>
      <c r="E8055" s="90" t="s">
        <v>4720</v>
      </c>
      <c r="G8055" s="2">
        <v>5500</v>
      </c>
      <c r="H8055" s="166"/>
      <c r="I8055" s="88">
        <f t="shared" si="1304"/>
        <v>67537.899999999994</v>
      </c>
      <c r="K8055" s="62"/>
      <c r="L8055" s="2">
        <f t="shared" si="1305"/>
        <v>20</v>
      </c>
    </row>
    <row r="8056" spans="1:12" x14ac:dyDescent="0.3">
      <c r="A8056" s="3">
        <f t="shared" si="1306"/>
        <v>46084</v>
      </c>
      <c r="B8056" s="11" t="s">
        <v>6260</v>
      </c>
      <c r="C8056" s="7" t="s">
        <v>7117</v>
      </c>
      <c r="D8056" s="153"/>
      <c r="E8056" s="90" t="s">
        <v>4720</v>
      </c>
      <c r="H8056" s="166">
        <v>9000</v>
      </c>
      <c r="I8056" s="88">
        <f t="shared" ref="I8056:I8064" si="1307">I8055+G8056-H8056</f>
        <v>58537.899999999994</v>
      </c>
      <c r="K8056" s="62"/>
      <c r="L8056" s="2">
        <f t="shared" ref="L8056:L8064" si="1308">IF(E8056="C",0,IF((G8056+H8056)&lt;=5000,(G8056+H8056)*0.004,20)+IF(E8056="P",5,IF(E8056="Y",15,IF(E8056="YY",25))))</f>
        <v>20</v>
      </c>
    </row>
    <row r="8057" spans="1:12" x14ac:dyDescent="0.3">
      <c r="A8057" s="3">
        <f t="shared" si="1306"/>
        <v>46084</v>
      </c>
      <c r="B8057" s="11" t="s">
        <v>8052</v>
      </c>
      <c r="C8057" s="7" t="s">
        <v>4867</v>
      </c>
      <c r="D8057" s="153"/>
      <c r="E8057" s="90" t="s">
        <v>2088</v>
      </c>
      <c r="G8057" s="2">
        <v>10000</v>
      </c>
      <c r="H8057" s="166"/>
      <c r="I8057" s="88">
        <f t="shared" si="1307"/>
        <v>68537.899999999994</v>
      </c>
      <c r="K8057" s="62"/>
      <c r="L8057" s="2">
        <f t="shared" si="1308"/>
        <v>25</v>
      </c>
    </row>
    <row r="8058" spans="1:12" x14ac:dyDescent="0.3">
      <c r="A8058" s="3">
        <f t="shared" si="1306"/>
        <v>46084</v>
      </c>
      <c r="B8058" s="11" t="s">
        <v>2241</v>
      </c>
      <c r="C8058" s="7" t="s">
        <v>10310</v>
      </c>
      <c r="D8058" s="153"/>
      <c r="E8058" s="90" t="s">
        <v>4720</v>
      </c>
      <c r="G8058" s="2">
        <v>9000</v>
      </c>
      <c r="H8058" s="166"/>
      <c r="I8058" s="88">
        <f t="shared" si="1307"/>
        <v>77537.899999999994</v>
      </c>
      <c r="K8058" s="62"/>
      <c r="L8058" s="2">
        <f t="shared" si="1308"/>
        <v>20</v>
      </c>
    </row>
    <row r="8059" spans="1:12" x14ac:dyDescent="0.3">
      <c r="A8059" s="3">
        <f t="shared" si="1306"/>
        <v>46084</v>
      </c>
      <c r="B8059" s="11" t="s">
        <v>7834</v>
      </c>
      <c r="C8059" s="7" t="s">
        <v>8201</v>
      </c>
      <c r="D8059" s="153"/>
      <c r="E8059" s="90" t="s">
        <v>2088</v>
      </c>
      <c r="G8059" s="2">
        <v>2500</v>
      </c>
      <c r="H8059" s="166"/>
      <c r="I8059" s="88">
        <f t="shared" si="1307"/>
        <v>80037.899999999994</v>
      </c>
      <c r="K8059" s="62"/>
      <c r="L8059" s="2">
        <f t="shared" si="1308"/>
        <v>15</v>
      </c>
    </row>
    <row r="8060" spans="1:12" x14ac:dyDescent="0.3">
      <c r="A8060" s="3">
        <f t="shared" si="1306"/>
        <v>46084</v>
      </c>
      <c r="B8060" s="11" t="s">
        <v>1160</v>
      </c>
      <c r="C8060" s="7" t="s">
        <v>10311</v>
      </c>
      <c r="D8060" s="153"/>
      <c r="E8060" s="90" t="s">
        <v>4720</v>
      </c>
      <c r="G8060" s="2">
        <v>5000</v>
      </c>
      <c r="H8060" s="166"/>
      <c r="I8060" s="88">
        <f t="shared" si="1307"/>
        <v>85037.9</v>
      </c>
      <c r="K8060" s="62"/>
      <c r="L8060" s="2">
        <f t="shared" si="1308"/>
        <v>20</v>
      </c>
    </row>
    <row r="8061" spans="1:12" x14ac:dyDescent="0.3">
      <c r="A8061" s="3">
        <v>46086</v>
      </c>
      <c r="C8061" s="8" t="s">
        <v>4215</v>
      </c>
      <c r="D8061" s="153"/>
      <c r="E8061" s="90" t="s">
        <v>4720</v>
      </c>
      <c r="H8061" s="171">
        <v>1000</v>
      </c>
      <c r="I8061" s="88">
        <f t="shared" si="1307"/>
        <v>84037.9</v>
      </c>
      <c r="J8061">
        <v>84037.9</v>
      </c>
      <c r="K8061" s="62">
        <f>I8061-J8061</f>
        <v>0</v>
      </c>
      <c r="L8061" s="2">
        <f t="shared" si="1308"/>
        <v>4</v>
      </c>
    </row>
    <row r="8062" spans="1:12" x14ac:dyDescent="0.3">
      <c r="A8062" s="3">
        <f t="shared" si="1306"/>
        <v>46086</v>
      </c>
      <c r="B8062" s="11" t="s">
        <v>2351</v>
      </c>
      <c r="C8062" s="7" t="s">
        <v>7641</v>
      </c>
      <c r="D8062" s="153"/>
      <c r="E8062" s="90" t="s">
        <v>4720</v>
      </c>
      <c r="G8062" s="2">
        <v>3000</v>
      </c>
      <c r="H8062" s="166"/>
      <c r="I8062" s="88">
        <f t="shared" si="1307"/>
        <v>87037.9</v>
      </c>
      <c r="K8062" s="62"/>
      <c r="L8062" s="2">
        <f t="shared" si="1308"/>
        <v>12</v>
      </c>
    </row>
    <row r="8063" spans="1:12" x14ac:dyDescent="0.3">
      <c r="A8063" s="3">
        <f t="shared" si="1306"/>
        <v>46086</v>
      </c>
      <c r="B8063" s="11" t="s">
        <v>6844</v>
      </c>
      <c r="C8063" s="7" t="s">
        <v>8198</v>
      </c>
      <c r="D8063" s="153"/>
      <c r="E8063" s="90" t="s">
        <v>4720</v>
      </c>
      <c r="H8063" s="166">
        <v>3500</v>
      </c>
      <c r="I8063" s="88">
        <f t="shared" si="1307"/>
        <v>83537.899999999994</v>
      </c>
      <c r="K8063" s="62"/>
      <c r="L8063" s="2">
        <f t="shared" si="1308"/>
        <v>14</v>
      </c>
    </row>
    <row r="8064" spans="1:12" x14ac:dyDescent="0.3">
      <c r="A8064" s="3">
        <f t="shared" si="1306"/>
        <v>46086</v>
      </c>
      <c r="B8064" s="11" t="s">
        <v>6486</v>
      </c>
      <c r="C8064" s="7" t="s">
        <v>8841</v>
      </c>
      <c r="D8064" s="153"/>
      <c r="E8064" s="90" t="s">
        <v>2088</v>
      </c>
      <c r="G8064" s="2">
        <v>4000</v>
      </c>
      <c r="H8064" s="166"/>
      <c r="I8064" s="88">
        <f t="shared" si="1307"/>
        <v>87537.9</v>
      </c>
      <c r="K8064" s="62"/>
      <c r="L8064" s="2">
        <f t="shared" si="1308"/>
        <v>21</v>
      </c>
    </row>
    <row r="8065" spans="1:12" x14ac:dyDescent="0.3">
      <c r="A8065" s="3">
        <f t="shared" si="1306"/>
        <v>46086</v>
      </c>
      <c r="B8065" s="11" t="s">
        <v>7279</v>
      </c>
      <c r="C8065" s="7" t="s">
        <v>7280</v>
      </c>
      <c r="D8065" s="153"/>
      <c r="E8065" s="90" t="s">
        <v>2088</v>
      </c>
      <c r="G8065" s="2">
        <v>0</v>
      </c>
      <c r="H8065" s="166">
        <v>0</v>
      </c>
      <c r="I8065" s="88">
        <f t="shared" ref="I8065:I8075" si="1309">I8064+G8065-H8065</f>
        <v>87537.9</v>
      </c>
      <c r="K8065" s="62"/>
      <c r="L8065" s="2">
        <f t="shared" ref="L8065:L8075" si="1310">IF(E8065="C",0,IF((G8065+H8065)&lt;=5000,(G8065+H8065)*0.004,20)+IF(E8065="P",5,IF(E8065="Y",15,IF(E8065="YY",25))))</f>
        <v>5</v>
      </c>
    </row>
    <row r="8066" spans="1:12" x14ac:dyDescent="0.3">
      <c r="A8066" s="3">
        <f t="shared" si="1306"/>
        <v>46086</v>
      </c>
      <c r="B8066" s="11" t="s">
        <v>6940</v>
      </c>
      <c r="C8066" s="7" t="s">
        <v>10312</v>
      </c>
      <c r="D8066" s="153"/>
      <c r="E8066" s="90" t="s">
        <v>4720</v>
      </c>
      <c r="G8066" s="2">
        <v>5000</v>
      </c>
      <c r="H8066" s="166"/>
      <c r="I8066" s="88">
        <f t="shared" si="1309"/>
        <v>92537.9</v>
      </c>
      <c r="K8066" s="62"/>
      <c r="L8066" s="2">
        <f t="shared" si="1310"/>
        <v>20</v>
      </c>
    </row>
    <row r="8067" spans="1:12" x14ac:dyDescent="0.3">
      <c r="A8067" s="3">
        <f t="shared" si="1306"/>
        <v>46086</v>
      </c>
      <c r="B8067" s="11" t="s">
        <v>10313</v>
      </c>
      <c r="C8067" s="7" t="s">
        <v>8768</v>
      </c>
      <c r="D8067" s="153"/>
      <c r="E8067" s="90" t="s">
        <v>4720</v>
      </c>
      <c r="G8067" s="2">
        <v>5000</v>
      </c>
      <c r="H8067" s="166"/>
      <c r="I8067" s="88">
        <f t="shared" si="1309"/>
        <v>97537.9</v>
      </c>
      <c r="K8067" s="62"/>
      <c r="L8067" s="2">
        <f t="shared" si="1310"/>
        <v>20</v>
      </c>
    </row>
    <row r="8068" spans="1:12" x14ac:dyDescent="0.3">
      <c r="A8068" s="3">
        <f t="shared" si="1306"/>
        <v>46086</v>
      </c>
      <c r="B8068" s="11" t="s">
        <v>3524</v>
      </c>
      <c r="C8068" s="7" t="s">
        <v>2679</v>
      </c>
      <c r="D8068" s="153"/>
      <c r="E8068" s="90" t="s">
        <v>4720</v>
      </c>
      <c r="H8068" s="166">
        <v>10000</v>
      </c>
      <c r="I8068" s="88">
        <f t="shared" si="1309"/>
        <v>87537.9</v>
      </c>
      <c r="K8068" s="62"/>
      <c r="L8068" s="2">
        <f t="shared" si="1310"/>
        <v>20</v>
      </c>
    </row>
    <row r="8069" spans="1:12" x14ac:dyDescent="0.3">
      <c r="A8069" s="3">
        <f t="shared" si="1306"/>
        <v>46086</v>
      </c>
      <c r="B8069" s="11" t="s">
        <v>2490</v>
      </c>
      <c r="C8069" s="7" t="s">
        <v>2857</v>
      </c>
      <c r="D8069" s="153"/>
      <c r="E8069" s="90" t="s">
        <v>8332</v>
      </c>
      <c r="H8069" s="166">
        <v>80000</v>
      </c>
      <c r="I8069" s="88">
        <f t="shared" si="1309"/>
        <v>7537.8999999999942</v>
      </c>
      <c r="K8069" s="62"/>
      <c r="L8069" s="2">
        <f t="shared" si="1310"/>
        <v>0</v>
      </c>
    </row>
    <row r="8070" spans="1:12" x14ac:dyDescent="0.3">
      <c r="A8070" s="3">
        <f t="shared" si="1306"/>
        <v>46086</v>
      </c>
      <c r="B8070" s="11" t="s">
        <v>1250</v>
      </c>
      <c r="C8070" s="7" t="s">
        <v>489</v>
      </c>
      <c r="D8070" s="153"/>
      <c r="E8070" s="90" t="s">
        <v>4720</v>
      </c>
      <c r="G8070" s="2">
        <v>5000</v>
      </c>
      <c r="H8070" s="166"/>
      <c r="I8070" s="88">
        <f t="shared" si="1309"/>
        <v>12537.899999999994</v>
      </c>
      <c r="K8070" s="62"/>
      <c r="L8070" s="2">
        <f t="shared" si="1310"/>
        <v>20</v>
      </c>
    </row>
    <row r="8071" spans="1:12" x14ac:dyDescent="0.3">
      <c r="A8071" s="3">
        <f t="shared" si="1306"/>
        <v>46086</v>
      </c>
      <c r="B8071" s="11" t="s">
        <v>1472</v>
      </c>
      <c r="C8071" s="7" t="s">
        <v>8055</v>
      </c>
      <c r="D8071" s="153"/>
      <c r="E8071" s="90" t="s">
        <v>4720</v>
      </c>
      <c r="G8071" s="2">
        <v>6000</v>
      </c>
      <c r="H8071" s="166"/>
      <c r="I8071" s="88">
        <f t="shared" si="1309"/>
        <v>18537.899999999994</v>
      </c>
      <c r="K8071" s="62"/>
      <c r="L8071" s="2">
        <f t="shared" si="1310"/>
        <v>20</v>
      </c>
    </row>
    <row r="8072" spans="1:12" x14ac:dyDescent="0.3">
      <c r="A8072" s="3">
        <f t="shared" si="1306"/>
        <v>46086</v>
      </c>
      <c r="B8072" s="11" t="s">
        <v>7166</v>
      </c>
      <c r="C8072" s="7" t="s">
        <v>8055</v>
      </c>
      <c r="D8072" s="153"/>
      <c r="E8072" s="90" t="s">
        <v>4720</v>
      </c>
      <c r="H8072" s="166">
        <v>6000</v>
      </c>
      <c r="I8072" s="88">
        <f t="shared" si="1309"/>
        <v>12537.899999999994</v>
      </c>
      <c r="K8072" s="62"/>
      <c r="L8072" s="2">
        <f t="shared" si="1310"/>
        <v>20</v>
      </c>
    </row>
    <row r="8073" spans="1:12" x14ac:dyDescent="0.3">
      <c r="A8073" s="3">
        <f t="shared" si="1306"/>
        <v>46086</v>
      </c>
      <c r="B8073" s="11" t="s">
        <v>6726</v>
      </c>
      <c r="C8073" s="7" t="s">
        <v>8784</v>
      </c>
      <c r="D8073" s="153"/>
      <c r="E8073" s="90" t="s">
        <v>4720</v>
      </c>
      <c r="G8073" s="2">
        <v>4000</v>
      </c>
      <c r="H8073" s="166"/>
      <c r="I8073" s="88">
        <f t="shared" si="1309"/>
        <v>16537.899999999994</v>
      </c>
      <c r="K8073" s="62"/>
      <c r="L8073" s="2">
        <f t="shared" si="1310"/>
        <v>16</v>
      </c>
    </row>
    <row r="8074" spans="1:12" x14ac:dyDescent="0.3">
      <c r="A8074" s="3">
        <v>46087</v>
      </c>
      <c r="B8074" s="11" t="s">
        <v>5355</v>
      </c>
      <c r="C8074" s="7" t="s">
        <v>9436</v>
      </c>
      <c r="D8074" s="153"/>
      <c r="E8074" s="90" t="s">
        <v>2088</v>
      </c>
      <c r="G8074" s="2">
        <v>1500</v>
      </c>
      <c r="H8074" s="166"/>
      <c r="I8074" s="88">
        <f t="shared" si="1309"/>
        <v>18037.899999999994</v>
      </c>
      <c r="K8074" s="62"/>
      <c r="L8074" s="2">
        <f t="shared" si="1310"/>
        <v>11</v>
      </c>
    </row>
    <row r="8075" spans="1:12" x14ac:dyDescent="0.3">
      <c r="A8075" s="3">
        <f t="shared" si="1306"/>
        <v>46087</v>
      </c>
      <c r="B8075" s="11" t="s">
        <v>10315</v>
      </c>
      <c r="C8075" s="7" t="s">
        <v>10316</v>
      </c>
      <c r="D8075" s="153"/>
      <c r="E8075" s="90" t="s">
        <v>4720</v>
      </c>
      <c r="H8075" s="166">
        <v>300</v>
      </c>
      <c r="I8075" s="88">
        <f t="shared" si="1309"/>
        <v>17737.899999999994</v>
      </c>
      <c r="K8075" s="62"/>
      <c r="L8075" s="2">
        <f t="shared" si="1310"/>
        <v>1.2</v>
      </c>
    </row>
    <row r="8076" spans="1:12" x14ac:dyDescent="0.3">
      <c r="A8076" s="3">
        <f t="shared" si="1306"/>
        <v>46087</v>
      </c>
      <c r="B8076" s="11" t="s">
        <v>7329</v>
      </c>
      <c r="C8076" s="7" t="s">
        <v>94</v>
      </c>
      <c r="D8076" s="153"/>
      <c r="E8076" s="90" t="s">
        <v>2088</v>
      </c>
      <c r="G8076" s="2">
        <v>5000</v>
      </c>
      <c r="H8076" s="166"/>
      <c r="I8076" s="88">
        <f t="shared" ref="I8076:I8094" si="1311">I8075+G8076-H8076</f>
        <v>22737.899999999994</v>
      </c>
      <c r="K8076" s="62"/>
      <c r="L8076" s="2">
        <f t="shared" ref="L8076:L8094" si="1312">IF(E8076="C",0,IF((G8076+H8076)&lt;=5000,(G8076+H8076)*0.004,20)+IF(E8076="P",5,IF(E8076="Y",15,IF(E8076="YY",25))))</f>
        <v>25</v>
      </c>
    </row>
    <row r="8077" spans="1:12" x14ac:dyDescent="0.3">
      <c r="A8077" s="3">
        <f t="shared" si="1306"/>
        <v>46087</v>
      </c>
      <c r="B8077" s="11" t="s">
        <v>1250</v>
      </c>
      <c r="C8077" s="7" t="s">
        <v>10</v>
      </c>
      <c r="D8077" s="153"/>
      <c r="E8077" s="90" t="s">
        <v>4720</v>
      </c>
      <c r="G8077" s="2">
        <v>1000</v>
      </c>
      <c r="H8077" s="166"/>
      <c r="I8077" s="88">
        <f t="shared" si="1311"/>
        <v>23737.899999999994</v>
      </c>
      <c r="K8077" s="62"/>
      <c r="L8077" s="2">
        <f t="shared" si="1312"/>
        <v>4</v>
      </c>
    </row>
    <row r="8078" spans="1:12" x14ac:dyDescent="0.3">
      <c r="A8078" s="3">
        <f t="shared" si="1306"/>
        <v>46087</v>
      </c>
      <c r="B8078" s="11" t="s">
        <v>1160</v>
      </c>
      <c r="C8078" s="7" t="s">
        <v>10317</v>
      </c>
      <c r="D8078" s="153"/>
      <c r="E8078" s="90" t="s">
        <v>4720</v>
      </c>
      <c r="G8078" s="2">
        <v>8100</v>
      </c>
      <c r="H8078" s="166"/>
      <c r="I8078" s="88">
        <f t="shared" si="1311"/>
        <v>31837.899999999994</v>
      </c>
      <c r="K8078" s="62"/>
      <c r="L8078" s="2">
        <f t="shared" si="1312"/>
        <v>20</v>
      </c>
    </row>
    <row r="8079" spans="1:12" x14ac:dyDescent="0.3">
      <c r="A8079" s="3">
        <f t="shared" si="1306"/>
        <v>46087</v>
      </c>
      <c r="B8079" s="11" t="s">
        <v>3849</v>
      </c>
      <c r="C8079" s="7" t="s">
        <v>10296</v>
      </c>
      <c r="D8079" s="153"/>
      <c r="E8079" s="90" t="s">
        <v>4720</v>
      </c>
      <c r="H8079" s="166">
        <v>12000</v>
      </c>
      <c r="I8079" s="88">
        <f t="shared" si="1311"/>
        <v>19837.899999999994</v>
      </c>
      <c r="K8079" s="62"/>
      <c r="L8079" s="2">
        <f t="shared" si="1312"/>
        <v>20</v>
      </c>
    </row>
    <row r="8080" spans="1:12" x14ac:dyDescent="0.3">
      <c r="A8080" s="3">
        <f t="shared" si="1306"/>
        <v>46087</v>
      </c>
      <c r="B8080" s="11" t="s">
        <v>8674</v>
      </c>
      <c r="C8080" s="7" t="s">
        <v>8675</v>
      </c>
      <c r="D8080" s="153"/>
      <c r="E8080" s="90" t="s">
        <v>2088</v>
      </c>
      <c r="G8080" s="2">
        <v>2000</v>
      </c>
      <c r="H8080" s="166"/>
      <c r="I8080" s="88">
        <f t="shared" si="1311"/>
        <v>21837.899999999994</v>
      </c>
      <c r="K8080" s="62"/>
      <c r="L8080" s="2">
        <f t="shared" si="1312"/>
        <v>13</v>
      </c>
    </row>
    <row r="8081" spans="1:12" x14ac:dyDescent="0.3">
      <c r="A8081" s="3">
        <f t="shared" si="1306"/>
        <v>46087</v>
      </c>
      <c r="B8081" s="11" t="s">
        <v>8955</v>
      </c>
      <c r="C8081" s="7" t="s">
        <v>7573</v>
      </c>
      <c r="D8081" s="153"/>
      <c r="E8081" s="90" t="s">
        <v>2088</v>
      </c>
      <c r="G8081" s="2">
        <v>0</v>
      </c>
      <c r="H8081" s="166">
        <v>0</v>
      </c>
      <c r="I8081" s="88">
        <f t="shared" si="1311"/>
        <v>21837.899999999994</v>
      </c>
      <c r="K8081" s="62"/>
      <c r="L8081" s="2">
        <f t="shared" si="1312"/>
        <v>5</v>
      </c>
    </row>
    <row r="8082" spans="1:12" x14ac:dyDescent="0.3">
      <c r="A8082" s="3">
        <f t="shared" si="1306"/>
        <v>46087</v>
      </c>
      <c r="B8082" s="11" t="s">
        <v>8955</v>
      </c>
      <c r="C8082" s="7" t="s">
        <v>7573</v>
      </c>
      <c r="D8082" s="153"/>
      <c r="E8082" s="90" t="s">
        <v>2088</v>
      </c>
      <c r="G8082" s="2">
        <v>6000</v>
      </c>
      <c r="H8082" s="166"/>
      <c r="I8082" s="88">
        <f t="shared" si="1311"/>
        <v>27837.899999999994</v>
      </c>
      <c r="K8082" s="62"/>
      <c r="L8082" s="2">
        <f t="shared" si="1312"/>
        <v>25</v>
      </c>
    </row>
    <row r="8083" spans="1:12" x14ac:dyDescent="0.3">
      <c r="A8083" s="3">
        <f t="shared" si="1306"/>
        <v>46087</v>
      </c>
      <c r="B8083" s="11" t="s">
        <v>10253</v>
      </c>
      <c r="C8083" s="7" t="s">
        <v>10318</v>
      </c>
      <c r="D8083" s="153"/>
      <c r="E8083" s="90" t="s">
        <v>4720</v>
      </c>
      <c r="H8083" s="166">
        <v>2000</v>
      </c>
      <c r="I8083" s="88">
        <f t="shared" si="1311"/>
        <v>25837.899999999994</v>
      </c>
      <c r="K8083" s="62"/>
      <c r="L8083" s="2">
        <f t="shared" si="1312"/>
        <v>8</v>
      </c>
    </row>
    <row r="8084" spans="1:12" x14ac:dyDescent="0.3">
      <c r="A8084" s="3">
        <f t="shared" si="1306"/>
        <v>46087</v>
      </c>
      <c r="B8084" s="11" t="s">
        <v>6728</v>
      </c>
      <c r="C8084" s="7" t="s">
        <v>268</v>
      </c>
      <c r="D8084" s="153"/>
      <c r="E8084" s="90" t="s">
        <v>2088</v>
      </c>
      <c r="G8084" s="2">
        <v>5200</v>
      </c>
      <c r="H8084" s="166"/>
      <c r="I8084" s="88">
        <f t="shared" si="1311"/>
        <v>31037.899999999994</v>
      </c>
      <c r="K8084" s="62"/>
      <c r="L8084" s="2">
        <f t="shared" si="1312"/>
        <v>25</v>
      </c>
    </row>
    <row r="8085" spans="1:12" x14ac:dyDescent="0.3">
      <c r="A8085" s="3">
        <f t="shared" si="1306"/>
        <v>46087</v>
      </c>
      <c r="B8085" s="11" t="s">
        <v>3524</v>
      </c>
      <c r="C8085" s="7" t="s">
        <v>3088</v>
      </c>
      <c r="D8085" s="153"/>
      <c r="E8085" s="90" t="s">
        <v>4720</v>
      </c>
      <c r="H8085" s="166">
        <v>10000</v>
      </c>
      <c r="I8085" s="88">
        <f t="shared" si="1311"/>
        <v>21037.899999999994</v>
      </c>
      <c r="K8085" s="62"/>
      <c r="L8085" s="2">
        <f t="shared" si="1312"/>
        <v>20</v>
      </c>
    </row>
    <row r="8086" spans="1:12" x14ac:dyDescent="0.3">
      <c r="A8086" s="3">
        <f t="shared" si="1306"/>
        <v>46087</v>
      </c>
      <c r="B8086" s="11" t="s">
        <v>6733</v>
      </c>
      <c r="C8086" s="7" t="s">
        <v>9368</v>
      </c>
      <c r="D8086" s="153"/>
      <c r="E8086" s="90" t="s">
        <v>2088</v>
      </c>
      <c r="G8086" s="2">
        <v>2500</v>
      </c>
      <c r="H8086" s="166"/>
      <c r="I8086" s="88">
        <f t="shared" si="1311"/>
        <v>23537.899999999994</v>
      </c>
      <c r="K8086" s="62"/>
      <c r="L8086" s="2">
        <f t="shared" si="1312"/>
        <v>15</v>
      </c>
    </row>
    <row r="8087" spans="1:12" x14ac:dyDescent="0.3">
      <c r="A8087" s="3">
        <v>46088</v>
      </c>
      <c r="B8087" s="11" t="s">
        <v>3669</v>
      </c>
      <c r="C8087" s="7" t="s">
        <v>10319</v>
      </c>
      <c r="D8087" s="153"/>
      <c r="E8087" s="90" t="s">
        <v>4720</v>
      </c>
      <c r="G8087" s="2">
        <v>7100</v>
      </c>
      <c r="H8087" s="166"/>
      <c r="I8087" s="88">
        <f t="shared" si="1311"/>
        <v>30637.899999999994</v>
      </c>
      <c r="K8087" s="62"/>
      <c r="L8087" s="2">
        <f t="shared" si="1312"/>
        <v>20</v>
      </c>
    </row>
    <row r="8088" spans="1:12" x14ac:dyDescent="0.3">
      <c r="A8088" s="3">
        <f t="shared" si="1306"/>
        <v>46088</v>
      </c>
      <c r="B8088" s="11" t="s">
        <v>3524</v>
      </c>
      <c r="C8088" s="7" t="s">
        <v>7733</v>
      </c>
      <c r="D8088" s="153"/>
      <c r="E8088" s="90" t="s">
        <v>4720</v>
      </c>
      <c r="H8088" s="166">
        <v>10000</v>
      </c>
      <c r="I8088" s="88">
        <f t="shared" si="1311"/>
        <v>20637.899999999994</v>
      </c>
      <c r="K8088" s="62"/>
      <c r="L8088" s="2">
        <f t="shared" si="1312"/>
        <v>20</v>
      </c>
    </row>
    <row r="8089" spans="1:12" x14ac:dyDescent="0.3">
      <c r="A8089" s="3">
        <f t="shared" si="1306"/>
        <v>46088</v>
      </c>
      <c r="B8089" s="11" t="s">
        <v>4622</v>
      </c>
      <c r="C8089" s="7" t="s">
        <v>8340</v>
      </c>
      <c r="D8089" s="153"/>
      <c r="E8089" s="90" t="s">
        <v>2088</v>
      </c>
      <c r="G8089" s="2">
        <v>0</v>
      </c>
      <c r="H8089" s="166">
        <v>0</v>
      </c>
      <c r="I8089" s="88">
        <f t="shared" si="1311"/>
        <v>20637.899999999994</v>
      </c>
      <c r="K8089" s="62"/>
      <c r="L8089" s="2">
        <f t="shared" si="1312"/>
        <v>5</v>
      </c>
    </row>
    <row r="8090" spans="1:12" x14ac:dyDescent="0.3">
      <c r="A8090" s="3">
        <f t="shared" si="1306"/>
        <v>46088</v>
      </c>
      <c r="B8090" s="11" t="s">
        <v>4622</v>
      </c>
      <c r="C8090" s="7" t="s">
        <v>8340</v>
      </c>
      <c r="D8090" s="153"/>
      <c r="E8090" s="90" t="s">
        <v>2088</v>
      </c>
      <c r="G8090" s="2">
        <v>4000</v>
      </c>
      <c r="H8090" s="166"/>
      <c r="I8090" s="88">
        <f t="shared" si="1311"/>
        <v>24637.899999999994</v>
      </c>
      <c r="K8090" s="62"/>
      <c r="L8090" s="2">
        <f t="shared" si="1312"/>
        <v>21</v>
      </c>
    </row>
    <row r="8091" spans="1:12" x14ac:dyDescent="0.3">
      <c r="A8091" s="3">
        <f t="shared" si="1306"/>
        <v>46088</v>
      </c>
      <c r="B8091" s="11" t="s">
        <v>8052</v>
      </c>
      <c r="C8091" s="7" t="s">
        <v>4867</v>
      </c>
      <c r="D8091" s="153"/>
      <c r="E8091" s="90" t="s">
        <v>2088</v>
      </c>
      <c r="G8091" s="2">
        <v>2000</v>
      </c>
      <c r="H8091" s="166"/>
      <c r="I8091" s="88">
        <f t="shared" si="1311"/>
        <v>26637.899999999994</v>
      </c>
      <c r="K8091" s="62"/>
      <c r="L8091" s="2">
        <f t="shared" si="1312"/>
        <v>13</v>
      </c>
    </row>
    <row r="8092" spans="1:12" x14ac:dyDescent="0.3">
      <c r="A8092" s="3">
        <f t="shared" si="1306"/>
        <v>46088</v>
      </c>
      <c r="B8092" s="11" t="s">
        <v>6687</v>
      </c>
      <c r="C8092" s="7" t="s">
        <v>9625</v>
      </c>
      <c r="D8092" s="153"/>
      <c r="E8092" s="90" t="s">
        <v>4720</v>
      </c>
      <c r="G8092" s="2">
        <v>4000</v>
      </c>
      <c r="H8092" s="166"/>
      <c r="I8092" s="88">
        <f t="shared" si="1311"/>
        <v>30637.899999999994</v>
      </c>
      <c r="K8092" s="62"/>
      <c r="L8092" s="2">
        <f t="shared" si="1312"/>
        <v>16</v>
      </c>
    </row>
    <row r="8093" spans="1:12" x14ac:dyDescent="0.3">
      <c r="A8093" s="3">
        <f t="shared" si="1306"/>
        <v>46088</v>
      </c>
      <c r="B8093" s="11" t="s">
        <v>1250</v>
      </c>
      <c r="C8093" s="7" t="s">
        <v>7037</v>
      </c>
      <c r="D8093" s="153"/>
      <c r="E8093" s="90" t="s">
        <v>4720</v>
      </c>
      <c r="G8093" s="2">
        <v>2000</v>
      </c>
      <c r="H8093" s="166"/>
      <c r="I8093" s="88">
        <f t="shared" si="1311"/>
        <v>32637.899999999994</v>
      </c>
      <c r="K8093" s="62"/>
      <c r="L8093" s="2">
        <f t="shared" si="1312"/>
        <v>8</v>
      </c>
    </row>
    <row r="8094" spans="1:12" x14ac:dyDescent="0.3">
      <c r="A8094" s="3">
        <f t="shared" si="1306"/>
        <v>46088</v>
      </c>
      <c r="B8094" s="11" t="s">
        <v>6726</v>
      </c>
      <c r="C8094" s="7" t="s">
        <v>8949</v>
      </c>
      <c r="D8094" s="153"/>
      <c r="E8094" s="90" t="s">
        <v>4720</v>
      </c>
      <c r="G8094" s="2">
        <v>3000</v>
      </c>
      <c r="H8094" s="166"/>
      <c r="I8094" s="88">
        <f t="shared" si="1311"/>
        <v>35637.899999999994</v>
      </c>
      <c r="K8094" s="62"/>
      <c r="L8094" s="2">
        <f t="shared" si="1312"/>
        <v>12</v>
      </c>
    </row>
    <row r="8095" spans="1:12" x14ac:dyDescent="0.3">
      <c r="A8095" s="3">
        <f t="shared" si="1306"/>
        <v>46088</v>
      </c>
      <c r="B8095" s="11" t="s">
        <v>2143</v>
      </c>
      <c r="C8095" s="7" t="s">
        <v>1279</v>
      </c>
      <c r="D8095" s="153"/>
      <c r="E8095" s="90" t="s">
        <v>4720</v>
      </c>
      <c r="H8095" s="166">
        <v>10000</v>
      </c>
      <c r="I8095" s="88">
        <f t="shared" ref="I8095:I8103" si="1313">I8094+G8095-H8095</f>
        <v>25637.899999999994</v>
      </c>
      <c r="K8095" s="62"/>
      <c r="L8095" s="2">
        <f t="shared" ref="L8095:L8103" si="1314">IF(E8095="C",0,IF((G8095+H8095)&lt;=5000,(G8095+H8095)*0.004,20)+IF(E8095="P",5,IF(E8095="Y",15,IF(E8095="YY",25))))</f>
        <v>20</v>
      </c>
    </row>
    <row r="8096" spans="1:12" x14ac:dyDescent="0.3">
      <c r="A8096" s="3">
        <f t="shared" si="1306"/>
        <v>46088</v>
      </c>
      <c r="B8096" s="11" t="s">
        <v>1250</v>
      </c>
      <c r="C8096" s="7" t="s">
        <v>7326</v>
      </c>
      <c r="D8096" s="153"/>
      <c r="E8096" s="90" t="s">
        <v>4720</v>
      </c>
      <c r="G8096" s="2">
        <v>10000</v>
      </c>
      <c r="H8096" s="166"/>
      <c r="I8096" s="88">
        <f t="shared" si="1313"/>
        <v>35637.899999999994</v>
      </c>
      <c r="K8096" s="62"/>
      <c r="L8096" s="2">
        <f t="shared" si="1314"/>
        <v>20</v>
      </c>
    </row>
    <row r="8097" spans="1:12" x14ac:dyDescent="0.3">
      <c r="A8097" s="3">
        <f t="shared" si="1306"/>
        <v>46088</v>
      </c>
      <c r="B8097" s="11" t="s">
        <v>6940</v>
      </c>
      <c r="C8097" s="7" t="s">
        <v>7470</v>
      </c>
      <c r="D8097" s="153"/>
      <c r="E8097" s="90" t="s">
        <v>4720</v>
      </c>
      <c r="H8097" s="166">
        <v>500</v>
      </c>
      <c r="I8097" s="88">
        <f t="shared" si="1313"/>
        <v>35137.899999999994</v>
      </c>
      <c r="K8097" s="62"/>
      <c r="L8097" s="2">
        <f t="shared" si="1314"/>
        <v>2</v>
      </c>
    </row>
    <row r="8098" spans="1:12" x14ac:dyDescent="0.3">
      <c r="A8098" s="3">
        <f t="shared" si="1306"/>
        <v>46088</v>
      </c>
      <c r="B8098" s="11" t="s">
        <v>3524</v>
      </c>
      <c r="C8098" s="7" t="s">
        <v>3169</v>
      </c>
      <c r="D8098" s="153"/>
      <c r="E8098" s="90" t="s">
        <v>4720</v>
      </c>
      <c r="H8098" s="166">
        <v>10000</v>
      </c>
      <c r="I8098" s="88">
        <f t="shared" si="1313"/>
        <v>25137.899999999994</v>
      </c>
      <c r="K8098" s="62"/>
      <c r="L8098" s="2">
        <f t="shared" si="1314"/>
        <v>20</v>
      </c>
    </row>
    <row r="8099" spans="1:12" x14ac:dyDescent="0.3">
      <c r="A8099" s="3">
        <f t="shared" si="1306"/>
        <v>46088</v>
      </c>
      <c r="B8099" s="11" t="s">
        <v>3504</v>
      </c>
      <c r="C8099" s="7" t="s">
        <v>10320</v>
      </c>
      <c r="D8099" s="153"/>
      <c r="E8099" s="90" t="s">
        <v>4720</v>
      </c>
      <c r="H8099" s="166">
        <v>10000</v>
      </c>
      <c r="I8099" s="88">
        <f t="shared" si="1313"/>
        <v>15137.899999999994</v>
      </c>
      <c r="K8099" s="62"/>
      <c r="L8099" s="2">
        <f t="shared" si="1314"/>
        <v>20</v>
      </c>
    </row>
    <row r="8100" spans="1:12" x14ac:dyDescent="0.3">
      <c r="A8100" s="3">
        <f t="shared" si="1306"/>
        <v>46088</v>
      </c>
      <c r="B8100" s="11" t="s">
        <v>2143</v>
      </c>
      <c r="C8100" s="7" t="s">
        <v>1279</v>
      </c>
      <c r="D8100" s="153"/>
      <c r="E8100" s="90" t="s">
        <v>4720</v>
      </c>
      <c r="H8100" s="166">
        <v>10000</v>
      </c>
      <c r="I8100" s="88">
        <f t="shared" si="1313"/>
        <v>5137.8999999999942</v>
      </c>
      <c r="K8100" s="62"/>
      <c r="L8100" s="2">
        <f t="shared" si="1314"/>
        <v>20</v>
      </c>
    </row>
    <row r="8101" spans="1:12" x14ac:dyDescent="0.3">
      <c r="A8101" s="3">
        <v>46089</v>
      </c>
      <c r="B8101" s="11" t="s">
        <v>9540</v>
      </c>
      <c r="C8101" s="7" t="s">
        <v>9553</v>
      </c>
      <c r="D8101" s="153"/>
      <c r="E8101" s="90" t="s">
        <v>4720</v>
      </c>
      <c r="H8101" s="166">
        <v>300</v>
      </c>
      <c r="I8101" s="88">
        <f t="shared" si="1313"/>
        <v>4837.8999999999942</v>
      </c>
      <c r="K8101" s="62"/>
      <c r="L8101" s="2">
        <f t="shared" si="1314"/>
        <v>1.2</v>
      </c>
    </row>
    <row r="8102" spans="1:12" x14ac:dyDescent="0.3">
      <c r="A8102" s="3">
        <f t="shared" si="1306"/>
        <v>46089</v>
      </c>
      <c r="B8102" s="11" t="s">
        <v>7545</v>
      </c>
      <c r="C8102" s="7" t="s">
        <v>6592</v>
      </c>
      <c r="D8102" s="153"/>
      <c r="E8102" s="90" t="s">
        <v>2088</v>
      </c>
      <c r="G8102" s="2">
        <v>0</v>
      </c>
      <c r="H8102" s="166">
        <v>0</v>
      </c>
      <c r="I8102" s="88">
        <f t="shared" si="1313"/>
        <v>4837.8999999999942</v>
      </c>
      <c r="K8102" s="62"/>
      <c r="L8102" s="2">
        <f t="shared" si="1314"/>
        <v>5</v>
      </c>
    </row>
    <row r="8103" spans="1:12" x14ac:dyDescent="0.3">
      <c r="A8103" s="3">
        <f t="shared" si="1306"/>
        <v>46089</v>
      </c>
      <c r="B8103" s="11" t="s">
        <v>7545</v>
      </c>
      <c r="C8103" s="7" t="s">
        <v>6592</v>
      </c>
      <c r="D8103" s="153"/>
      <c r="E8103" s="90" t="s">
        <v>2088</v>
      </c>
      <c r="G8103" s="2">
        <v>1000</v>
      </c>
      <c r="H8103" s="166"/>
      <c r="I8103" s="88">
        <f t="shared" si="1313"/>
        <v>5837.8999999999942</v>
      </c>
      <c r="K8103" s="62"/>
      <c r="L8103" s="2">
        <f t="shared" si="1314"/>
        <v>9</v>
      </c>
    </row>
    <row r="8104" spans="1:12" x14ac:dyDescent="0.3">
      <c r="A8104" s="3">
        <f t="shared" si="1306"/>
        <v>46089</v>
      </c>
      <c r="B8104" s="11" t="s">
        <v>2448</v>
      </c>
      <c r="C8104" s="50" t="s">
        <v>2274</v>
      </c>
      <c r="D8104" s="153"/>
      <c r="E8104" s="90" t="s">
        <v>4720</v>
      </c>
      <c r="H8104" s="166">
        <v>5000</v>
      </c>
      <c r="I8104" s="88">
        <f t="shared" ref="I8104:I8112" si="1315">I8103+G8104-H8104</f>
        <v>837.89999999999418</v>
      </c>
      <c r="K8104" s="62"/>
      <c r="L8104" s="2">
        <f t="shared" ref="L8104:L8112" si="1316">IF(E8104="C",0,IF((G8104+H8104)&lt;=5000,(G8104+H8104)*0.004,20)+IF(E8104="P",5,IF(E8104="Y",15,IF(E8104="YY",25))))</f>
        <v>20</v>
      </c>
    </row>
    <row r="8105" spans="1:12" x14ac:dyDescent="0.3">
      <c r="A8105" s="3">
        <f t="shared" si="1306"/>
        <v>46089</v>
      </c>
      <c r="B8105" s="11" t="s">
        <v>1250</v>
      </c>
      <c r="C8105" s="7" t="s">
        <v>8736</v>
      </c>
      <c r="D8105" s="153"/>
      <c r="E8105" s="90" t="s">
        <v>4720</v>
      </c>
      <c r="G8105" s="2">
        <v>5000</v>
      </c>
      <c r="H8105" s="166"/>
      <c r="I8105" s="88">
        <f t="shared" si="1315"/>
        <v>5837.8999999999942</v>
      </c>
      <c r="K8105" s="62"/>
      <c r="L8105" s="2">
        <f t="shared" si="1316"/>
        <v>20</v>
      </c>
    </row>
    <row r="8106" spans="1:12" x14ac:dyDescent="0.3">
      <c r="A8106" s="3">
        <v>46090</v>
      </c>
      <c r="B8106" s="11" t="s">
        <v>2241</v>
      </c>
      <c r="C8106" s="50" t="s">
        <v>10321</v>
      </c>
      <c r="D8106" s="153"/>
      <c r="E8106" s="90" t="s">
        <v>4720</v>
      </c>
      <c r="G8106" s="2">
        <v>1500</v>
      </c>
      <c r="H8106" s="166"/>
      <c r="I8106" s="88">
        <f t="shared" si="1315"/>
        <v>7337.8999999999942</v>
      </c>
      <c r="K8106" s="62"/>
      <c r="L8106" s="2">
        <f t="shared" si="1316"/>
        <v>6</v>
      </c>
    </row>
    <row r="8107" spans="1:12" x14ac:dyDescent="0.3">
      <c r="A8107" s="3">
        <f t="shared" si="1306"/>
        <v>46090</v>
      </c>
      <c r="B8107" s="11" t="s">
        <v>7186</v>
      </c>
      <c r="C8107" s="7" t="s">
        <v>9112</v>
      </c>
      <c r="D8107" s="153"/>
      <c r="E8107" s="90" t="s">
        <v>4720</v>
      </c>
      <c r="G8107" s="2">
        <v>10000</v>
      </c>
      <c r="H8107" s="166"/>
      <c r="I8107" s="88">
        <f t="shared" si="1315"/>
        <v>17337.899999999994</v>
      </c>
      <c r="K8107" s="62"/>
      <c r="L8107" s="2">
        <f t="shared" si="1316"/>
        <v>20</v>
      </c>
    </row>
    <row r="8108" spans="1:12" x14ac:dyDescent="0.3">
      <c r="A8108" s="3">
        <f t="shared" si="1306"/>
        <v>46090</v>
      </c>
      <c r="B8108" s="11" t="s">
        <v>10276</v>
      </c>
      <c r="C8108" s="7" t="s">
        <v>10318</v>
      </c>
      <c r="D8108" s="153"/>
      <c r="E8108" s="90" t="s">
        <v>4720</v>
      </c>
      <c r="H8108" s="166">
        <v>8000</v>
      </c>
      <c r="I8108" s="88">
        <f t="shared" si="1315"/>
        <v>9337.8999999999942</v>
      </c>
      <c r="K8108" s="62"/>
      <c r="L8108" s="2">
        <f t="shared" si="1316"/>
        <v>20</v>
      </c>
    </row>
    <row r="8109" spans="1:12" x14ac:dyDescent="0.3">
      <c r="A8109" s="3">
        <f t="shared" ref="A8109:A8172" si="1317">A8108</f>
        <v>46090</v>
      </c>
      <c r="B8109" s="11" t="s">
        <v>2241</v>
      </c>
      <c r="C8109" s="50" t="s">
        <v>9830</v>
      </c>
      <c r="D8109" s="153"/>
      <c r="E8109" s="90" t="s">
        <v>4720</v>
      </c>
      <c r="G8109" s="2">
        <v>7000</v>
      </c>
      <c r="H8109" s="166"/>
      <c r="I8109" s="88">
        <f t="shared" si="1315"/>
        <v>16337.899999999994</v>
      </c>
      <c r="K8109" s="62"/>
      <c r="L8109" s="2">
        <f t="shared" si="1316"/>
        <v>20</v>
      </c>
    </row>
    <row r="8110" spans="1:12" x14ac:dyDescent="0.3">
      <c r="A8110" s="3">
        <f t="shared" si="1317"/>
        <v>46090</v>
      </c>
      <c r="C8110" s="50" t="s">
        <v>2857</v>
      </c>
      <c r="D8110" s="153"/>
      <c r="E8110" s="90" t="s">
        <v>4720</v>
      </c>
      <c r="H8110" s="166">
        <v>16000</v>
      </c>
      <c r="I8110" s="88">
        <f t="shared" si="1315"/>
        <v>337.89999999999418</v>
      </c>
      <c r="K8110" s="62"/>
      <c r="L8110" s="2">
        <f t="shared" si="1316"/>
        <v>20</v>
      </c>
    </row>
    <row r="8111" spans="1:12" x14ac:dyDescent="0.3">
      <c r="A8111" s="3">
        <f t="shared" si="1317"/>
        <v>46090</v>
      </c>
      <c r="B8111" s="11" t="s">
        <v>7493</v>
      </c>
      <c r="C8111" s="50" t="s">
        <v>7494</v>
      </c>
      <c r="D8111" s="153"/>
      <c r="E8111" s="90" t="s">
        <v>2088</v>
      </c>
      <c r="G8111" s="2">
        <v>5000</v>
      </c>
      <c r="H8111" s="166"/>
      <c r="I8111" s="88">
        <f t="shared" si="1315"/>
        <v>5337.8999999999942</v>
      </c>
      <c r="K8111" s="62"/>
      <c r="L8111" s="2">
        <f t="shared" si="1316"/>
        <v>25</v>
      </c>
    </row>
    <row r="8112" spans="1:12" x14ac:dyDescent="0.3">
      <c r="A8112" s="3">
        <f t="shared" si="1317"/>
        <v>46090</v>
      </c>
      <c r="B8112" s="11" t="s">
        <v>1250</v>
      </c>
      <c r="C8112" s="50" t="s">
        <v>128</v>
      </c>
      <c r="D8112" s="153"/>
      <c r="E8112" s="90" t="s">
        <v>4720</v>
      </c>
      <c r="G8112" s="2">
        <v>4000</v>
      </c>
      <c r="H8112" s="166"/>
      <c r="I8112" s="88">
        <f t="shared" si="1315"/>
        <v>9337.8999999999942</v>
      </c>
      <c r="K8112" s="62"/>
      <c r="L8112" s="2">
        <f t="shared" si="1316"/>
        <v>16</v>
      </c>
    </row>
    <row r="8113" spans="1:12" x14ac:dyDescent="0.3">
      <c r="A8113" s="3">
        <f t="shared" si="1317"/>
        <v>46090</v>
      </c>
      <c r="B8113" s="11" t="s">
        <v>6766</v>
      </c>
      <c r="C8113" s="7" t="s">
        <v>8481</v>
      </c>
      <c r="D8113" s="153"/>
      <c r="E8113" s="90" t="s">
        <v>2088</v>
      </c>
      <c r="G8113" s="2">
        <v>0</v>
      </c>
      <c r="H8113" s="166">
        <v>0</v>
      </c>
      <c r="I8113" s="88">
        <f t="shared" ref="I8113:I8123" si="1318">I8112+G8113-H8113</f>
        <v>9337.8999999999942</v>
      </c>
      <c r="K8113" s="62"/>
      <c r="L8113" s="2">
        <f t="shared" ref="L8113:L8123" si="1319">IF(E8113="C",0,IF((G8113+H8113)&lt;=5000,(G8113+H8113)*0.004,20)+IF(E8113="P",5,IF(E8113="Y",15,IF(E8113="YY",25))))</f>
        <v>5</v>
      </c>
    </row>
    <row r="8114" spans="1:12" x14ac:dyDescent="0.3">
      <c r="A8114" s="3">
        <f t="shared" si="1317"/>
        <v>46090</v>
      </c>
      <c r="B8114" s="11" t="s">
        <v>6766</v>
      </c>
      <c r="C8114" s="7" t="s">
        <v>8481</v>
      </c>
      <c r="D8114" s="153"/>
      <c r="E8114" s="90" t="s">
        <v>2088</v>
      </c>
      <c r="G8114" s="2">
        <v>1000</v>
      </c>
      <c r="H8114" s="166"/>
      <c r="I8114" s="88">
        <f t="shared" si="1318"/>
        <v>10337.899999999994</v>
      </c>
      <c r="K8114" s="62"/>
      <c r="L8114" s="2">
        <f t="shared" si="1319"/>
        <v>9</v>
      </c>
    </row>
    <row r="8115" spans="1:12" x14ac:dyDescent="0.3">
      <c r="A8115" s="3">
        <f t="shared" si="1317"/>
        <v>46090</v>
      </c>
      <c r="B8115" s="11" t="s">
        <v>9907</v>
      </c>
      <c r="C8115" s="50" t="s">
        <v>9909</v>
      </c>
      <c r="D8115" s="153"/>
      <c r="E8115" s="90" t="s">
        <v>2088</v>
      </c>
      <c r="H8115" s="166">
        <v>500</v>
      </c>
      <c r="I8115" s="88">
        <f t="shared" si="1318"/>
        <v>9837.8999999999942</v>
      </c>
      <c r="K8115" s="62"/>
      <c r="L8115" s="2">
        <f t="shared" si="1319"/>
        <v>7</v>
      </c>
    </row>
    <row r="8116" spans="1:12" x14ac:dyDescent="0.3">
      <c r="A8116" s="3">
        <f t="shared" si="1317"/>
        <v>46090</v>
      </c>
      <c r="B8116" s="11" t="s">
        <v>9903</v>
      </c>
      <c r="C8116" s="7" t="s">
        <v>10322</v>
      </c>
      <c r="D8116" s="153"/>
      <c r="E8116" s="90" t="s">
        <v>2088</v>
      </c>
      <c r="H8116" s="166">
        <v>500</v>
      </c>
      <c r="I8116" s="88">
        <f t="shared" si="1318"/>
        <v>9337.8999999999942</v>
      </c>
      <c r="K8116" s="62"/>
      <c r="L8116" s="2">
        <f t="shared" si="1319"/>
        <v>7</v>
      </c>
    </row>
    <row r="8117" spans="1:12" x14ac:dyDescent="0.3">
      <c r="A8117" s="3">
        <f t="shared" si="1317"/>
        <v>46090</v>
      </c>
      <c r="B8117" s="11" t="s">
        <v>2942</v>
      </c>
      <c r="C8117" s="50" t="s">
        <v>10323</v>
      </c>
      <c r="D8117" s="153"/>
      <c r="E8117" s="90" t="s">
        <v>4720</v>
      </c>
      <c r="G8117" s="2">
        <v>2000</v>
      </c>
      <c r="H8117" s="166"/>
      <c r="I8117" s="88">
        <f t="shared" si="1318"/>
        <v>11337.899999999994</v>
      </c>
      <c r="K8117" s="62"/>
      <c r="L8117" s="2">
        <f t="shared" si="1319"/>
        <v>8</v>
      </c>
    </row>
    <row r="8118" spans="1:12" x14ac:dyDescent="0.3">
      <c r="A8118" s="3">
        <f t="shared" si="1317"/>
        <v>46090</v>
      </c>
      <c r="B8118" s="11" t="s">
        <v>7859</v>
      </c>
      <c r="C8118" s="7" t="s">
        <v>10324</v>
      </c>
      <c r="D8118" s="153"/>
      <c r="E8118" s="90" t="s">
        <v>2088</v>
      </c>
      <c r="G8118" s="2">
        <v>5000</v>
      </c>
      <c r="H8118" s="166"/>
      <c r="I8118" s="88">
        <f t="shared" si="1318"/>
        <v>16337.899999999994</v>
      </c>
      <c r="K8118" s="62"/>
      <c r="L8118" s="2">
        <f t="shared" si="1319"/>
        <v>25</v>
      </c>
    </row>
    <row r="8119" spans="1:12" x14ac:dyDescent="0.3">
      <c r="A8119" s="3">
        <f t="shared" si="1317"/>
        <v>46090</v>
      </c>
      <c r="B8119" s="11" t="s">
        <v>7405</v>
      </c>
      <c r="C8119" s="50" t="s">
        <v>9235</v>
      </c>
      <c r="D8119" s="153"/>
      <c r="E8119" s="90" t="s">
        <v>4720</v>
      </c>
      <c r="H8119" s="166">
        <v>10000</v>
      </c>
      <c r="I8119" s="88">
        <f t="shared" si="1318"/>
        <v>6337.8999999999942</v>
      </c>
      <c r="K8119" s="62"/>
      <c r="L8119" s="2">
        <f t="shared" si="1319"/>
        <v>20</v>
      </c>
    </row>
    <row r="8120" spans="1:12" x14ac:dyDescent="0.3">
      <c r="A8120" s="3">
        <f t="shared" si="1317"/>
        <v>46090</v>
      </c>
      <c r="B8120" s="11" t="s">
        <v>10042</v>
      </c>
      <c r="C8120" s="7" t="s">
        <v>10193</v>
      </c>
      <c r="D8120" s="153"/>
      <c r="E8120" s="90" t="s">
        <v>4720</v>
      </c>
      <c r="H8120" s="166">
        <v>4000</v>
      </c>
      <c r="I8120" s="88">
        <f t="shared" si="1318"/>
        <v>2337.8999999999942</v>
      </c>
      <c r="K8120" s="62"/>
      <c r="L8120" s="2">
        <f t="shared" si="1319"/>
        <v>16</v>
      </c>
    </row>
    <row r="8121" spans="1:12" x14ac:dyDescent="0.3">
      <c r="A8121" s="3">
        <f t="shared" si="1317"/>
        <v>46090</v>
      </c>
      <c r="B8121" s="11" t="s">
        <v>1250</v>
      </c>
      <c r="C8121" s="50" t="s">
        <v>4437</v>
      </c>
      <c r="D8121" s="153"/>
      <c r="E8121" s="90" t="s">
        <v>4720</v>
      </c>
      <c r="G8121" s="2">
        <v>1400</v>
      </c>
      <c r="H8121" s="166"/>
      <c r="I8121" s="88">
        <f t="shared" si="1318"/>
        <v>3737.8999999999942</v>
      </c>
      <c r="K8121" s="62"/>
      <c r="L8121" s="2">
        <f t="shared" si="1319"/>
        <v>5.6000000000000005</v>
      </c>
    </row>
    <row r="8122" spans="1:12" x14ac:dyDescent="0.3">
      <c r="A8122" s="3">
        <v>46095</v>
      </c>
      <c r="B8122" s="11" t="s">
        <v>1250</v>
      </c>
      <c r="D8122" s="153"/>
      <c r="E8122" s="90" t="s">
        <v>4720</v>
      </c>
      <c r="G8122" s="2">
        <v>600</v>
      </c>
      <c r="H8122" s="166"/>
      <c r="I8122" s="88">
        <f t="shared" si="1318"/>
        <v>4337.8999999999942</v>
      </c>
      <c r="K8122" s="62"/>
      <c r="L8122" s="2">
        <f t="shared" si="1319"/>
        <v>2.4</v>
      </c>
    </row>
    <row r="8123" spans="1:12" x14ac:dyDescent="0.3">
      <c r="A8123" s="3">
        <f t="shared" si="1317"/>
        <v>46095</v>
      </c>
      <c r="B8123" s="11" t="s">
        <v>8247</v>
      </c>
      <c r="C8123" s="50" t="s">
        <v>9580</v>
      </c>
      <c r="D8123" s="153"/>
      <c r="E8123" s="90" t="s">
        <v>2088</v>
      </c>
      <c r="G8123" s="2">
        <v>6050</v>
      </c>
      <c r="H8123" s="166"/>
      <c r="I8123" s="88">
        <f t="shared" si="1318"/>
        <v>10387.899999999994</v>
      </c>
      <c r="K8123" s="62"/>
      <c r="L8123" s="2">
        <f t="shared" si="1319"/>
        <v>25</v>
      </c>
    </row>
    <row r="8124" spans="1:12" x14ac:dyDescent="0.3">
      <c r="A8124" s="3">
        <f t="shared" si="1317"/>
        <v>46095</v>
      </c>
      <c r="B8124" s="11" t="s">
        <v>8806</v>
      </c>
      <c r="C8124" s="50" t="s">
        <v>10326</v>
      </c>
      <c r="D8124" s="153"/>
      <c r="E8124" s="90" t="s">
        <v>2088</v>
      </c>
      <c r="G8124" s="2">
        <v>0</v>
      </c>
      <c r="H8124" s="166">
        <v>0</v>
      </c>
      <c r="I8124" s="88">
        <f t="shared" ref="I8124:I8130" si="1320">I8123+G8124-H8124</f>
        <v>10387.899999999994</v>
      </c>
      <c r="K8124" s="62"/>
      <c r="L8124" s="2">
        <f t="shared" ref="L8124:L8130" si="1321">IF(E8124="C",0,IF((G8124+H8124)&lt;=5000,(G8124+H8124)*0.004,20)+IF(E8124="P",5,IF(E8124="Y",15,IF(E8124="YY",25))))</f>
        <v>5</v>
      </c>
    </row>
    <row r="8125" spans="1:12" x14ac:dyDescent="0.3">
      <c r="A8125" s="3">
        <f t="shared" si="1317"/>
        <v>46095</v>
      </c>
      <c r="B8125" s="11" t="s">
        <v>3148</v>
      </c>
      <c r="C8125" s="50" t="s">
        <v>9880</v>
      </c>
      <c r="D8125" s="153"/>
      <c r="E8125" s="90" t="s">
        <v>4720</v>
      </c>
      <c r="G8125" s="2">
        <v>4000</v>
      </c>
      <c r="H8125" s="166"/>
      <c r="I8125" s="88">
        <f t="shared" si="1320"/>
        <v>14387.899999999994</v>
      </c>
      <c r="K8125" s="62"/>
      <c r="L8125" s="2">
        <f t="shared" si="1321"/>
        <v>16</v>
      </c>
    </row>
    <row r="8126" spans="1:12" x14ac:dyDescent="0.3">
      <c r="A8126" s="3">
        <f t="shared" si="1317"/>
        <v>46095</v>
      </c>
      <c r="B8126" s="11" t="s">
        <v>7374</v>
      </c>
      <c r="C8126" s="50" t="s">
        <v>8655</v>
      </c>
      <c r="D8126" s="153"/>
      <c r="E8126" s="90" t="s">
        <v>2088</v>
      </c>
      <c r="G8126" s="2">
        <v>10000</v>
      </c>
      <c r="H8126" s="166"/>
      <c r="I8126" s="88">
        <f t="shared" si="1320"/>
        <v>24387.899999999994</v>
      </c>
      <c r="K8126" s="62"/>
      <c r="L8126" s="2">
        <f t="shared" si="1321"/>
        <v>25</v>
      </c>
    </row>
    <row r="8127" spans="1:12" x14ac:dyDescent="0.3">
      <c r="A8127" s="3">
        <f t="shared" si="1317"/>
        <v>46095</v>
      </c>
      <c r="B8127" s="11" t="s">
        <v>8806</v>
      </c>
      <c r="C8127" s="50" t="s">
        <v>10326</v>
      </c>
      <c r="D8127" s="153"/>
      <c r="E8127" s="90" t="s">
        <v>2088</v>
      </c>
      <c r="H8127" s="166">
        <v>20000</v>
      </c>
      <c r="I8127" s="88">
        <f t="shared" si="1320"/>
        <v>4387.8999999999942</v>
      </c>
      <c r="K8127" s="62"/>
      <c r="L8127" s="2">
        <f t="shared" si="1321"/>
        <v>25</v>
      </c>
    </row>
    <row r="8128" spans="1:12" x14ac:dyDescent="0.3">
      <c r="A8128" s="3">
        <v>46097</v>
      </c>
      <c r="B8128" s="11" t="s">
        <v>9820</v>
      </c>
      <c r="C8128" s="50" t="s">
        <v>9821</v>
      </c>
      <c r="D8128" s="153"/>
      <c r="E8128" s="90" t="s">
        <v>4720</v>
      </c>
      <c r="G8128" s="2">
        <v>1000</v>
      </c>
      <c r="H8128" s="166"/>
      <c r="I8128" s="88">
        <f t="shared" si="1320"/>
        <v>5387.8999999999942</v>
      </c>
      <c r="K8128" s="62"/>
      <c r="L8128" s="2">
        <f t="shared" si="1321"/>
        <v>4</v>
      </c>
    </row>
    <row r="8129" spans="1:12" x14ac:dyDescent="0.3">
      <c r="A8129" s="3">
        <f t="shared" si="1317"/>
        <v>46097</v>
      </c>
      <c r="B8129" s="11" t="s">
        <v>7405</v>
      </c>
      <c r="C8129" s="50" t="s">
        <v>10325</v>
      </c>
      <c r="D8129" s="153"/>
      <c r="E8129" s="90" t="s">
        <v>4720</v>
      </c>
      <c r="H8129" s="166">
        <v>5000</v>
      </c>
      <c r="I8129" s="88">
        <f t="shared" si="1320"/>
        <v>387.89999999999418</v>
      </c>
      <c r="K8129" s="62"/>
      <c r="L8129" s="2">
        <f t="shared" si="1321"/>
        <v>20</v>
      </c>
    </row>
    <row r="8130" spans="1:12" x14ac:dyDescent="0.3">
      <c r="A8130" s="3">
        <f t="shared" si="1317"/>
        <v>46097</v>
      </c>
      <c r="B8130" s="11" t="s">
        <v>8922</v>
      </c>
      <c r="C8130" s="7" t="s">
        <v>730</v>
      </c>
      <c r="D8130" s="153"/>
      <c r="E8130" s="90" t="s">
        <v>4720</v>
      </c>
      <c r="G8130" s="2">
        <v>5000</v>
      </c>
      <c r="H8130" s="166"/>
      <c r="I8130" s="88">
        <f t="shared" si="1320"/>
        <v>5387.8999999999942</v>
      </c>
      <c r="K8130" s="62"/>
      <c r="L8130" s="2">
        <f t="shared" si="1321"/>
        <v>20</v>
      </c>
    </row>
    <row r="8131" spans="1:12" x14ac:dyDescent="0.3">
      <c r="A8131" s="3">
        <f t="shared" si="1317"/>
        <v>46097</v>
      </c>
      <c r="B8131" s="11" t="s">
        <v>7374</v>
      </c>
      <c r="C8131" s="7" t="s">
        <v>8655</v>
      </c>
      <c r="D8131" s="153"/>
      <c r="E8131" s="90" t="s">
        <v>2088</v>
      </c>
      <c r="G8131" s="2">
        <v>10000</v>
      </c>
      <c r="H8131" s="166"/>
      <c r="I8131" s="88">
        <f t="shared" ref="I8131:I8142" si="1322">I8130+G8131-H8131</f>
        <v>15387.899999999994</v>
      </c>
      <c r="K8131" s="62"/>
      <c r="L8131" s="2">
        <f t="shared" ref="L8131:L8142" si="1323">IF(E8131="C",0,IF((G8131+H8131)&lt;=5000,(G8131+H8131)*0.004,20)+IF(E8131="P",5,IF(E8131="Y",15,IF(E8131="YY",25))))</f>
        <v>25</v>
      </c>
    </row>
    <row r="8132" spans="1:12" x14ac:dyDescent="0.3">
      <c r="A8132" s="3">
        <f t="shared" si="1317"/>
        <v>46097</v>
      </c>
      <c r="B8132" s="11" t="s">
        <v>6743</v>
      </c>
      <c r="C8132" s="7" t="s">
        <v>9170</v>
      </c>
      <c r="D8132" s="153"/>
      <c r="E8132" s="90" t="s">
        <v>2088</v>
      </c>
      <c r="G8132" s="2">
        <v>1500</v>
      </c>
      <c r="H8132" s="166"/>
      <c r="I8132" s="88">
        <f t="shared" si="1322"/>
        <v>16887.899999999994</v>
      </c>
      <c r="K8132" s="62"/>
      <c r="L8132" s="2">
        <f t="shared" si="1323"/>
        <v>11</v>
      </c>
    </row>
    <row r="8133" spans="1:12" x14ac:dyDescent="0.3">
      <c r="A8133" s="3">
        <f t="shared" si="1317"/>
        <v>46097</v>
      </c>
      <c r="B8133" s="11" t="s">
        <v>2241</v>
      </c>
      <c r="C8133" s="7" t="s">
        <v>7091</v>
      </c>
      <c r="D8133" s="153"/>
      <c r="E8133" s="90" t="s">
        <v>4720</v>
      </c>
      <c r="G8133" s="2">
        <v>10000</v>
      </c>
      <c r="H8133" s="166"/>
      <c r="I8133" s="88">
        <f t="shared" si="1322"/>
        <v>26887.899999999994</v>
      </c>
      <c r="K8133" s="62"/>
      <c r="L8133" s="2">
        <f t="shared" si="1323"/>
        <v>20</v>
      </c>
    </row>
    <row r="8134" spans="1:12" x14ac:dyDescent="0.3">
      <c r="A8134" s="3">
        <f t="shared" si="1317"/>
        <v>46097</v>
      </c>
      <c r="B8134" s="11" t="s">
        <v>4297</v>
      </c>
      <c r="C8134" s="7" t="s">
        <v>5522</v>
      </c>
      <c r="D8134" s="153"/>
      <c r="E8134" s="90" t="s">
        <v>4720</v>
      </c>
      <c r="H8134" s="166">
        <v>10000</v>
      </c>
      <c r="I8134" s="88">
        <f t="shared" si="1322"/>
        <v>16887.899999999994</v>
      </c>
      <c r="K8134" s="62"/>
      <c r="L8134" s="2">
        <f t="shared" si="1323"/>
        <v>20</v>
      </c>
    </row>
    <row r="8135" spans="1:12" x14ac:dyDescent="0.3">
      <c r="A8135" s="3">
        <f t="shared" si="1317"/>
        <v>46097</v>
      </c>
      <c r="B8135" s="11" t="s">
        <v>7649</v>
      </c>
      <c r="C8135" s="7" t="s">
        <v>10327</v>
      </c>
      <c r="D8135" s="153"/>
      <c r="E8135" s="90" t="s">
        <v>4720</v>
      </c>
      <c r="H8135" s="166">
        <v>15100</v>
      </c>
      <c r="I8135" s="88">
        <f t="shared" si="1322"/>
        <v>1787.8999999999942</v>
      </c>
      <c r="K8135" s="62"/>
      <c r="L8135" s="2">
        <f t="shared" si="1323"/>
        <v>20</v>
      </c>
    </row>
    <row r="8136" spans="1:12" x14ac:dyDescent="0.3">
      <c r="A8136" s="3">
        <f t="shared" si="1317"/>
        <v>46097</v>
      </c>
      <c r="B8136" s="11" t="s">
        <v>2634</v>
      </c>
      <c r="C8136" s="7" t="s">
        <v>10328</v>
      </c>
      <c r="D8136" s="153"/>
      <c r="E8136" s="90" t="s">
        <v>4720</v>
      </c>
      <c r="H8136" s="166">
        <v>500</v>
      </c>
      <c r="I8136" s="88">
        <f t="shared" si="1322"/>
        <v>1287.8999999999942</v>
      </c>
      <c r="K8136" s="62"/>
      <c r="L8136" s="2">
        <f t="shared" si="1323"/>
        <v>2</v>
      </c>
    </row>
    <row r="8137" spans="1:12" x14ac:dyDescent="0.3">
      <c r="A8137" s="3">
        <f t="shared" si="1317"/>
        <v>46097</v>
      </c>
      <c r="B8137" s="11" t="s">
        <v>3403</v>
      </c>
      <c r="C8137" s="7" t="s">
        <v>10329</v>
      </c>
      <c r="D8137" s="153"/>
      <c r="E8137" s="90" t="s">
        <v>4720</v>
      </c>
      <c r="G8137" s="2">
        <v>7000</v>
      </c>
      <c r="H8137" s="166"/>
      <c r="I8137" s="88">
        <f t="shared" si="1322"/>
        <v>8287.8999999999942</v>
      </c>
      <c r="K8137" s="62"/>
      <c r="L8137" s="2">
        <f t="shared" si="1323"/>
        <v>20</v>
      </c>
    </row>
    <row r="8138" spans="1:12" x14ac:dyDescent="0.3">
      <c r="A8138" s="3">
        <f t="shared" si="1317"/>
        <v>46097</v>
      </c>
      <c r="B8138" s="11" t="s">
        <v>6260</v>
      </c>
      <c r="C8138" s="7" t="s">
        <v>7117</v>
      </c>
      <c r="D8138" s="153"/>
      <c r="E8138" s="90" t="s">
        <v>4720</v>
      </c>
      <c r="H8138" s="166">
        <v>6000</v>
      </c>
      <c r="I8138" s="88">
        <f t="shared" si="1322"/>
        <v>2287.8999999999942</v>
      </c>
      <c r="K8138" s="62"/>
      <c r="L8138" s="2">
        <f t="shared" si="1323"/>
        <v>20</v>
      </c>
    </row>
    <row r="8139" spans="1:12" x14ac:dyDescent="0.3">
      <c r="A8139" s="3">
        <f t="shared" si="1317"/>
        <v>46097</v>
      </c>
      <c r="B8139" s="11" t="s">
        <v>2241</v>
      </c>
      <c r="C8139" s="7" t="s">
        <v>10303</v>
      </c>
      <c r="D8139" s="153"/>
      <c r="E8139" s="90" t="s">
        <v>4720</v>
      </c>
      <c r="G8139" s="2">
        <v>2000</v>
      </c>
      <c r="H8139" s="166"/>
      <c r="I8139" s="88">
        <f t="shared" si="1322"/>
        <v>4287.8999999999942</v>
      </c>
      <c r="K8139" s="62"/>
      <c r="L8139" s="2">
        <f t="shared" si="1323"/>
        <v>8</v>
      </c>
    </row>
    <row r="8140" spans="1:12" x14ac:dyDescent="0.3">
      <c r="A8140" s="3">
        <f t="shared" si="1317"/>
        <v>46097</v>
      </c>
      <c r="B8140" s="11" t="s">
        <v>9381</v>
      </c>
      <c r="C8140" s="7" t="s">
        <v>9510</v>
      </c>
      <c r="D8140" s="153"/>
      <c r="E8140" s="90" t="s">
        <v>2088</v>
      </c>
      <c r="G8140" s="2">
        <v>7000</v>
      </c>
      <c r="H8140" s="166"/>
      <c r="I8140" s="88">
        <f t="shared" si="1322"/>
        <v>11287.899999999994</v>
      </c>
      <c r="K8140" s="62"/>
      <c r="L8140" s="2">
        <f t="shared" si="1323"/>
        <v>25</v>
      </c>
    </row>
    <row r="8141" spans="1:12" x14ac:dyDescent="0.3">
      <c r="A8141" s="3">
        <f t="shared" si="1317"/>
        <v>46097</v>
      </c>
      <c r="B8141" s="11" t="s">
        <v>1160</v>
      </c>
      <c r="C8141" s="7" t="s">
        <v>10330</v>
      </c>
      <c r="D8141" s="153"/>
      <c r="E8141" s="90" t="s">
        <v>4720</v>
      </c>
      <c r="G8141" s="2">
        <v>1000</v>
      </c>
      <c r="H8141" s="166"/>
      <c r="I8141" s="88">
        <f t="shared" si="1322"/>
        <v>12287.899999999994</v>
      </c>
      <c r="K8141" s="62"/>
      <c r="L8141" s="2">
        <f t="shared" si="1323"/>
        <v>4</v>
      </c>
    </row>
    <row r="8142" spans="1:12" x14ac:dyDescent="0.3">
      <c r="A8142" s="3">
        <f t="shared" si="1317"/>
        <v>46097</v>
      </c>
      <c r="B8142" s="11" t="s">
        <v>7289</v>
      </c>
      <c r="C8142" s="7" t="s">
        <v>8926</v>
      </c>
      <c r="D8142" s="153"/>
      <c r="E8142" s="90" t="s">
        <v>2088</v>
      </c>
      <c r="G8142" s="2">
        <v>5000</v>
      </c>
      <c r="H8142" s="166"/>
      <c r="I8142" s="88">
        <f t="shared" si="1322"/>
        <v>17287.899999999994</v>
      </c>
      <c r="K8142" s="62"/>
      <c r="L8142" s="2">
        <f t="shared" si="1323"/>
        <v>25</v>
      </c>
    </row>
    <row r="8143" spans="1:12" x14ac:dyDescent="0.3">
      <c r="A8143" s="3">
        <f t="shared" si="1317"/>
        <v>46097</v>
      </c>
      <c r="B8143" s="11" t="s">
        <v>1250</v>
      </c>
      <c r="C8143" s="7" t="s">
        <v>9589</v>
      </c>
      <c r="D8143" s="153"/>
      <c r="E8143" s="90" t="s">
        <v>4720</v>
      </c>
      <c r="G8143" s="2">
        <v>5000</v>
      </c>
      <c r="H8143" s="166"/>
      <c r="I8143" s="88">
        <f t="shared" ref="I8143:I8151" si="1324">I8142+G8143-H8143</f>
        <v>22287.899999999994</v>
      </c>
      <c r="K8143" s="62"/>
      <c r="L8143" s="2">
        <f t="shared" ref="L8143:L8151" si="1325">IF(E8143="C",0,IF((G8143+H8143)&lt;=5000,(G8143+H8143)*0.004,20)+IF(E8143="P",5,IF(E8143="Y",15,IF(E8143="YY",25))))</f>
        <v>20</v>
      </c>
    </row>
    <row r="8144" spans="1:12" x14ac:dyDescent="0.3">
      <c r="A8144" s="3">
        <f t="shared" si="1317"/>
        <v>46097</v>
      </c>
      <c r="B8144" s="11" t="s">
        <v>2490</v>
      </c>
      <c r="C8144" s="7" t="s">
        <v>2857</v>
      </c>
      <c r="D8144" s="153"/>
      <c r="E8144" s="90" t="s">
        <v>8332</v>
      </c>
      <c r="H8144" s="166">
        <v>22000</v>
      </c>
      <c r="I8144" s="88">
        <f t="shared" si="1324"/>
        <v>287.89999999999418</v>
      </c>
      <c r="K8144" s="62"/>
      <c r="L8144" s="2">
        <f t="shared" si="1325"/>
        <v>0</v>
      </c>
    </row>
    <row r="8145" spans="1:12" x14ac:dyDescent="0.3">
      <c r="A8145" s="3">
        <f t="shared" si="1317"/>
        <v>46097</v>
      </c>
      <c r="B8145" s="11" t="s">
        <v>1250</v>
      </c>
      <c r="C8145" s="7" t="s">
        <v>4690</v>
      </c>
      <c r="D8145" s="153"/>
      <c r="E8145" s="90" t="s">
        <v>4720</v>
      </c>
      <c r="G8145" s="2">
        <v>5000</v>
      </c>
      <c r="H8145" s="166"/>
      <c r="I8145" s="88">
        <f t="shared" si="1324"/>
        <v>5287.8999999999942</v>
      </c>
      <c r="K8145" s="62"/>
      <c r="L8145" s="2">
        <f t="shared" si="1325"/>
        <v>20</v>
      </c>
    </row>
    <row r="8146" spans="1:12" x14ac:dyDescent="0.3">
      <c r="A8146" s="3">
        <f t="shared" si="1317"/>
        <v>46097</v>
      </c>
      <c r="B8146" s="11" t="s">
        <v>6522</v>
      </c>
      <c r="C8146" s="7" t="s">
        <v>8468</v>
      </c>
      <c r="D8146" s="153"/>
      <c r="E8146" s="90" t="s">
        <v>4720</v>
      </c>
      <c r="G8146" s="2">
        <v>5000</v>
      </c>
      <c r="H8146" s="166"/>
      <c r="I8146" s="88">
        <f t="shared" si="1324"/>
        <v>10287.899999999994</v>
      </c>
      <c r="K8146" s="62"/>
      <c r="L8146" s="2">
        <f t="shared" si="1325"/>
        <v>20</v>
      </c>
    </row>
    <row r="8147" spans="1:12" x14ac:dyDescent="0.3">
      <c r="A8147" s="3">
        <v>46098</v>
      </c>
      <c r="B8147" s="11" t="s">
        <v>5458</v>
      </c>
      <c r="C8147" s="7" t="s">
        <v>10331</v>
      </c>
      <c r="D8147" s="153"/>
      <c r="E8147" s="90" t="s">
        <v>2088</v>
      </c>
      <c r="G8147" s="2">
        <v>2500</v>
      </c>
      <c r="H8147" s="166"/>
      <c r="I8147" s="88">
        <f t="shared" si="1324"/>
        <v>12787.899999999994</v>
      </c>
      <c r="K8147" s="62"/>
      <c r="L8147" s="2">
        <f t="shared" si="1325"/>
        <v>15</v>
      </c>
    </row>
    <row r="8148" spans="1:12" x14ac:dyDescent="0.3">
      <c r="A8148" s="3">
        <f t="shared" si="1317"/>
        <v>46098</v>
      </c>
      <c r="B8148" s="11" t="s">
        <v>2490</v>
      </c>
      <c r="C8148" s="7" t="s">
        <v>2857</v>
      </c>
      <c r="D8148" s="153"/>
      <c r="E8148" s="90" t="s">
        <v>8332</v>
      </c>
      <c r="H8148" s="166">
        <v>12000</v>
      </c>
      <c r="I8148" s="88">
        <f t="shared" si="1324"/>
        <v>787.89999999999418</v>
      </c>
      <c r="K8148" s="62"/>
      <c r="L8148" s="2">
        <f t="shared" si="1325"/>
        <v>0</v>
      </c>
    </row>
    <row r="8149" spans="1:12" x14ac:dyDescent="0.3">
      <c r="A8149" s="3">
        <f t="shared" si="1317"/>
        <v>46098</v>
      </c>
      <c r="B8149" s="11" t="s">
        <v>8052</v>
      </c>
      <c r="C8149" s="7" t="s">
        <v>4867</v>
      </c>
      <c r="D8149" s="153"/>
      <c r="E8149" s="90" t="s">
        <v>2088</v>
      </c>
      <c r="G8149" s="2">
        <v>1000</v>
      </c>
      <c r="H8149" s="166"/>
      <c r="I8149" s="88">
        <f t="shared" si="1324"/>
        <v>1787.8999999999942</v>
      </c>
      <c r="K8149" s="62"/>
      <c r="L8149" s="2">
        <f t="shared" si="1325"/>
        <v>9</v>
      </c>
    </row>
    <row r="8150" spans="1:12" x14ac:dyDescent="0.3">
      <c r="A8150" s="3">
        <f t="shared" si="1317"/>
        <v>46098</v>
      </c>
      <c r="B8150" s="11" t="s">
        <v>3289</v>
      </c>
      <c r="C8150" s="7" t="s">
        <v>2734</v>
      </c>
      <c r="D8150" s="153"/>
      <c r="E8150" s="90" t="s">
        <v>4720</v>
      </c>
      <c r="H8150" s="166">
        <v>1000</v>
      </c>
      <c r="I8150" s="88">
        <f t="shared" si="1324"/>
        <v>787.89999999999418</v>
      </c>
      <c r="K8150" s="62"/>
      <c r="L8150" s="2">
        <f t="shared" si="1325"/>
        <v>4</v>
      </c>
    </row>
    <row r="8151" spans="1:12" x14ac:dyDescent="0.3">
      <c r="A8151" s="3">
        <v>46099</v>
      </c>
      <c r="B8151" s="11" t="s">
        <v>7108</v>
      </c>
      <c r="C8151" s="7" t="s">
        <v>9182</v>
      </c>
      <c r="D8151" s="153"/>
      <c r="E8151" s="90" t="s">
        <v>2088</v>
      </c>
      <c r="G8151" s="2">
        <v>0</v>
      </c>
      <c r="H8151" s="166">
        <v>0</v>
      </c>
      <c r="I8151" s="88">
        <f t="shared" si="1324"/>
        <v>787.89999999999418</v>
      </c>
      <c r="K8151" s="62"/>
      <c r="L8151" s="2">
        <f t="shared" si="1325"/>
        <v>5</v>
      </c>
    </row>
    <row r="8152" spans="1:12" x14ac:dyDescent="0.3">
      <c r="A8152" s="3">
        <f t="shared" si="1317"/>
        <v>46099</v>
      </c>
      <c r="B8152" s="11" t="s">
        <v>7108</v>
      </c>
      <c r="C8152" s="7" t="s">
        <v>9182</v>
      </c>
      <c r="D8152" s="153"/>
      <c r="E8152" s="90" t="s">
        <v>2088</v>
      </c>
      <c r="G8152" s="2">
        <v>7000</v>
      </c>
      <c r="H8152" s="166"/>
      <c r="I8152" s="88">
        <f t="shared" ref="I8152:I8163" si="1326">I8151+G8152-H8152</f>
        <v>7787.8999999999942</v>
      </c>
      <c r="K8152" s="62"/>
      <c r="L8152" s="2">
        <f t="shared" ref="L8152:L8163" si="1327">IF(E8152="C",0,IF((G8152+H8152)&lt;=5000,(G8152+H8152)*0.004,20)+IF(E8152="P",5,IF(E8152="Y",15,IF(E8152="YY",25))))</f>
        <v>25</v>
      </c>
    </row>
    <row r="8153" spans="1:12" x14ac:dyDescent="0.3">
      <c r="A8153" s="3">
        <f t="shared" si="1317"/>
        <v>46099</v>
      </c>
      <c r="B8153" s="11" t="s">
        <v>8465</v>
      </c>
      <c r="C8153" s="7" t="s">
        <v>9096</v>
      </c>
      <c r="D8153" s="153"/>
      <c r="E8153" s="90" t="s">
        <v>2088</v>
      </c>
      <c r="G8153" s="2">
        <v>2000</v>
      </c>
      <c r="H8153" s="166"/>
      <c r="I8153" s="88">
        <f t="shared" si="1326"/>
        <v>9787.8999999999942</v>
      </c>
      <c r="K8153" s="62"/>
      <c r="L8153" s="2">
        <f t="shared" si="1327"/>
        <v>13</v>
      </c>
    </row>
    <row r="8154" spans="1:12" x14ac:dyDescent="0.3">
      <c r="A8154" s="3">
        <f t="shared" si="1317"/>
        <v>46099</v>
      </c>
      <c r="B8154" s="11" t="s">
        <v>10332</v>
      </c>
      <c r="C8154" s="7" t="s">
        <v>8849</v>
      </c>
      <c r="D8154" s="153"/>
      <c r="E8154" s="90" t="s">
        <v>4720</v>
      </c>
      <c r="H8154" s="166">
        <v>500</v>
      </c>
      <c r="I8154" s="88">
        <f t="shared" si="1326"/>
        <v>9287.8999999999942</v>
      </c>
      <c r="K8154" s="62"/>
      <c r="L8154" s="2">
        <f t="shared" si="1327"/>
        <v>2</v>
      </c>
    </row>
    <row r="8155" spans="1:12" x14ac:dyDescent="0.3">
      <c r="A8155" s="3">
        <f t="shared" si="1317"/>
        <v>46099</v>
      </c>
      <c r="B8155" s="11" t="s">
        <v>10334</v>
      </c>
      <c r="C8155" s="7" t="s">
        <v>10335</v>
      </c>
      <c r="D8155" s="153"/>
      <c r="E8155" s="90" t="s">
        <v>16</v>
      </c>
      <c r="H8155" s="166">
        <v>1500</v>
      </c>
      <c r="I8155" s="88">
        <f t="shared" si="1326"/>
        <v>7787.8999999999942</v>
      </c>
      <c r="K8155" s="62"/>
      <c r="L8155" s="2">
        <f t="shared" si="1327"/>
        <v>21</v>
      </c>
    </row>
    <row r="8156" spans="1:12" x14ac:dyDescent="0.3">
      <c r="A8156" s="3">
        <f t="shared" si="1317"/>
        <v>46099</v>
      </c>
      <c r="B8156" s="11" t="s">
        <v>3849</v>
      </c>
      <c r="C8156" s="7" t="s">
        <v>10296</v>
      </c>
      <c r="D8156" s="153"/>
      <c r="E8156" s="90" t="s">
        <v>4720</v>
      </c>
      <c r="H8156" s="166">
        <v>3000</v>
      </c>
      <c r="I8156" s="88">
        <f t="shared" si="1326"/>
        <v>4787.8999999999942</v>
      </c>
      <c r="K8156" s="62"/>
      <c r="L8156" s="2">
        <f t="shared" si="1327"/>
        <v>12</v>
      </c>
    </row>
    <row r="8157" spans="1:12" x14ac:dyDescent="0.3">
      <c r="A8157" s="3">
        <f t="shared" si="1317"/>
        <v>46099</v>
      </c>
      <c r="B8157" s="11" t="s">
        <v>1250</v>
      </c>
      <c r="C8157" s="7" t="s">
        <v>3393</v>
      </c>
      <c r="D8157" s="153"/>
      <c r="E8157" s="90" t="s">
        <v>4720</v>
      </c>
      <c r="G8157" s="2">
        <v>1100</v>
      </c>
      <c r="H8157" s="166"/>
      <c r="I8157" s="88">
        <f t="shared" si="1326"/>
        <v>5887.8999999999942</v>
      </c>
      <c r="K8157" s="62"/>
      <c r="L8157" s="2">
        <f t="shared" si="1327"/>
        <v>4.4000000000000004</v>
      </c>
    </row>
    <row r="8158" spans="1:12" x14ac:dyDescent="0.3">
      <c r="A8158" s="3">
        <f t="shared" si="1317"/>
        <v>46099</v>
      </c>
      <c r="B8158" s="11" t="s">
        <v>7800</v>
      </c>
      <c r="C8158" s="7" t="s">
        <v>7284</v>
      </c>
      <c r="D8158" s="153"/>
      <c r="E8158" s="90" t="s">
        <v>2088</v>
      </c>
      <c r="G8158" s="2">
        <v>2000</v>
      </c>
      <c r="H8158" s="166"/>
      <c r="I8158" s="88">
        <f t="shared" si="1326"/>
        <v>7887.8999999999942</v>
      </c>
      <c r="K8158" s="62"/>
      <c r="L8158" s="2">
        <f t="shared" si="1327"/>
        <v>13</v>
      </c>
    </row>
    <row r="8159" spans="1:12" x14ac:dyDescent="0.3">
      <c r="A8159" s="3">
        <f t="shared" si="1317"/>
        <v>46099</v>
      </c>
      <c r="B8159" s="11" t="s">
        <v>8348</v>
      </c>
      <c r="C8159" s="7" t="s">
        <v>8384</v>
      </c>
      <c r="D8159" s="153"/>
      <c r="E8159" s="90" t="s">
        <v>2088</v>
      </c>
      <c r="G8159" s="2">
        <v>0</v>
      </c>
      <c r="H8159" s="166">
        <v>0</v>
      </c>
      <c r="I8159" s="88">
        <f t="shared" si="1326"/>
        <v>7887.8999999999942</v>
      </c>
      <c r="K8159" s="62"/>
      <c r="L8159" s="2">
        <f t="shared" si="1327"/>
        <v>5</v>
      </c>
    </row>
    <row r="8160" spans="1:12" x14ac:dyDescent="0.3">
      <c r="A8160" s="3">
        <f t="shared" si="1317"/>
        <v>46099</v>
      </c>
      <c r="B8160" s="11" t="s">
        <v>8348</v>
      </c>
      <c r="C8160" s="7" t="s">
        <v>8384</v>
      </c>
      <c r="D8160" s="153"/>
      <c r="E8160" s="90" t="s">
        <v>2088</v>
      </c>
      <c r="G8160" s="2">
        <v>10000</v>
      </c>
      <c r="H8160" s="166"/>
      <c r="I8160" s="88">
        <f t="shared" si="1326"/>
        <v>17887.899999999994</v>
      </c>
      <c r="K8160" s="62"/>
      <c r="L8160" s="2">
        <f t="shared" si="1327"/>
        <v>25</v>
      </c>
    </row>
    <row r="8161" spans="1:12" x14ac:dyDescent="0.3">
      <c r="A8161" s="3">
        <f t="shared" si="1317"/>
        <v>46099</v>
      </c>
      <c r="B8161" s="11" t="s">
        <v>2797</v>
      </c>
      <c r="C8161" s="7" t="s">
        <v>10338</v>
      </c>
      <c r="D8161" s="153"/>
      <c r="E8161" s="90" t="s">
        <v>4720</v>
      </c>
      <c r="H8161" s="166">
        <v>10000</v>
      </c>
      <c r="I8161" s="88">
        <f t="shared" si="1326"/>
        <v>7887.8999999999942</v>
      </c>
      <c r="K8161" s="62"/>
      <c r="L8161" s="2">
        <f t="shared" si="1327"/>
        <v>20</v>
      </c>
    </row>
    <row r="8162" spans="1:12" x14ac:dyDescent="0.3">
      <c r="A8162" s="3">
        <f t="shared" si="1317"/>
        <v>46099</v>
      </c>
      <c r="B8162" s="11" t="s">
        <v>1250</v>
      </c>
      <c r="C8162" s="50" t="s">
        <v>2626</v>
      </c>
      <c r="D8162" s="153"/>
      <c r="E8162" s="90" t="s">
        <v>4720</v>
      </c>
      <c r="G8162" s="2">
        <v>5000</v>
      </c>
      <c r="H8162" s="166"/>
      <c r="I8162" s="88">
        <f t="shared" si="1326"/>
        <v>12887.899999999994</v>
      </c>
      <c r="K8162" s="62"/>
      <c r="L8162" s="2">
        <f t="shared" si="1327"/>
        <v>20</v>
      </c>
    </row>
    <row r="8163" spans="1:12" x14ac:dyDescent="0.3">
      <c r="A8163" s="3">
        <f t="shared" si="1317"/>
        <v>46099</v>
      </c>
      <c r="B8163" s="11" t="s">
        <v>9393</v>
      </c>
      <c r="C8163" s="50" t="s">
        <v>10339</v>
      </c>
      <c r="D8163" s="153"/>
      <c r="E8163" s="90" t="s">
        <v>4720</v>
      </c>
      <c r="G8163" s="2">
        <v>6000</v>
      </c>
      <c r="H8163" s="166"/>
      <c r="I8163" s="88">
        <f t="shared" si="1326"/>
        <v>18887.899999999994</v>
      </c>
      <c r="K8163" s="62"/>
      <c r="L8163" s="2">
        <f t="shared" si="1327"/>
        <v>20</v>
      </c>
    </row>
    <row r="8164" spans="1:12" x14ac:dyDescent="0.3">
      <c r="A8164" s="3">
        <v>46100</v>
      </c>
      <c r="B8164" s="11" t="s">
        <v>2528</v>
      </c>
      <c r="C8164" s="7" t="s">
        <v>4207</v>
      </c>
      <c r="D8164" s="153"/>
      <c r="E8164" s="90" t="s">
        <v>4720</v>
      </c>
      <c r="G8164" s="2">
        <v>5000</v>
      </c>
      <c r="H8164" s="166"/>
      <c r="I8164" s="88">
        <f t="shared" ref="I8164:I8190" si="1328">I8163+G8164-H8164</f>
        <v>23887.899999999994</v>
      </c>
      <c r="K8164" s="62"/>
      <c r="L8164" s="2">
        <f t="shared" ref="L8164:L8178" si="1329">IF(E8164="C",0,IF((G8164+H8164)&lt;=5000,(G8164+H8164)*0.004,20)+IF(E8164="P",5,IF(E8164="Y",15,IF(E8164="YY",25))))</f>
        <v>20</v>
      </c>
    </row>
    <row r="8165" spans="1:12" x14ac:dyDescent="0.3">
      <c r="A8165" s="3">
        <f t="shared" si="1317"/>
        <v>46100</v>
      </c>
      <c r="B8165" s="11" t="s">
        <v>2490</v>
      </c>
      <c r="C8165" s="7" t="s">
        <v>2362</v>
      </c>
      <c r="D8165" s="153"/>
      <c r="E8165" s="90" t="s">
        <v>2088</v>
      </c>
      <c r="H8165" s="166">
        <v>20000</v>
      </c>
      <c r="I8165" s="88">
        <f t="shared" si="1328"/>
        <v>3887.8999999999942</v>
      </c>
      <c r="K8165" s="62"/>
      <c r="L8165" s="2">
        <f t="shared" si="1329"/>
        <v>25</v>
      </c>
    </row>
    <row r="8166" spans="1:12" x14ac:dyDescent="0.3">
      <c r="A8166" s="3">
        <f t="shared" si="1317"/>
        <v>46100</v>
      </c>
      <c r="B8166" s="11" t="s">
        <v>3420</v>
      </c>
      <c r="C8166" s="7" t="s">
        <v>9095</v>
      </c>
      <c r="D8166" s="153"/>
      <c r="E8166" s="90" t="s">
        <v>2088</v>
      </c>
      <c r="H8166" s="166">
        <v>1000</v>
      </c>
      <c r="I8166" s="88">
        <f t="shared" si="1328"/>
        <v>2887.8999999999942</v>
      </c>
      <c r="K8166" s="62"/>
      <c r="L8166" s="2">
        <f t="shared" si="1329"/>
        <v>9</v>
      </c>
    </row>
    <row r="8167" spans="1:12" x14ac:dyDescent="0.3">
      <c r="A8167" s="3">
        <f t="shared" si="1317"/>
        <v>46100</v>
      </c>
      <c r="B8167" s="11" t="s">
        <v>6718</v>
      </c>
      <c r="C8167" s="7" t="s">
        <v>7048</v>
      </c>
      <c r="D8167" s="153"/>
      <c r="E8167" s="90" t="s">
        <v>2088</v>
      </c>
      <c r="G8167" s="2">
        <v>2000</v>
      </c>
      <c r="H8167" s="166"/>
      <c r="I8167" s="88">
        <f t="shared" si="1328"/>
        <v>4887.8999999999942</v>
      </c>
      <c r="K8167" s="62"/>
      <c r="L8167" s="2">
        <f t="shared" si="1329"/>
        <v>13</v>
      </c>
    </row>
    <row r="8168" spans="1:12" x14ac:dyDescent="0.3">
      <c r="A8168" s="3">
        <f t="shared" si="1317"/>
        <v>46100</v>
      </c>
      <c r="B8168" s="11" t="s">
        <v>5542</v>
      </c>
      <c r="C8168" s="7" t="s">
        <v>8861</v>
      </c>
      <c r="D8168" s="153"/>
      <c r="E8168" s="90" t="s">
        <v>4720</v>
      </c>
      <c r="G8168" s="2">
        <v>5500</v>
      </c>
      <c r="H8168" s="166"/>
      <c r="I8168" s="88">
        <f t="shared" si="1328"/>
        <v>10387.899999999994</v>
      </c>
      <c r="K8168" s="62"/>
      <c r="L8168" s="2">
        <f t="shared" si="1329"/>
        <v>20</v>
      </c>
    </row>
    <row r="8169" spans="1:12" x14ac:dyDescent="0.3">
      <c r="A8169" s="3">
        <f t="shared" si="1317"/>
        <v>46100</v>
      </c>
      <c r="B8169" s="11" t="s">
        <v>8348</v>
      </c>
      <c r="C8169" s="7" t="s">
        <v>10345</v>
      </c>
      <c r="D8169" s="153"/>
      <c r="E8169" s="90" t="s">
        <v>4720</v>
      </c>
      <c r="G8169" s="2">
        <v>10000</v>
      </c>
      <c r="H8169" s="166"/>
      <c r="I8169" s="88">
        <f t="shared" si="1328"/>
        <v>20387.899999999994</v>
      </c>
      <c r="K8169" s="62"/>
      <c r="L8169" s="2">
        <f t="shared" si="1329"/>
        <v>20</v>
      </c>
    </row>
    <row r="8170" spans="1:12" x14ac:dyDescent="0.3">
      <c r="A8170" s="3">
        <f t="shared" si="1317"/>
        <v>46100</v>
      </c>
      <c r="B8170" s="11" t="s">
        <v>1250</v>
      </c>
      <c r="C8170" s="7" t="s">
        <v>3847</v>
      </c>
      <c r="D8170" s="153"/>
      <c r="E8170" s="90" t="s">
        <v>4720</v>
      </c>
      <c r="G8170" s="2">
        <v>1500</v>
      </c>
      <c r="H8170" s="166"/>
      <c r="I8170" s="88">
        <f t="shared" si="1328"/>
        <v>21887.899999999994</v>
      </c>
      <c r="K8170" s="62"/>
      <c r="L8170" s="2">
        <f t="shared" si="1329"/>
        <v>6</v>
      </c>
    </row>
    <row r="8171" spans="1:12" x14ac:dyDescent="0.3">
      <c r="A8171" s="3">
        <f t="shared" si="1317"/>
        <v>46100</v>
      </c>
      <c r="B8171" s="11" t="s">
        <v>2490</v>
      </c>
      <c r="C8171" s="7" t="s">
        <v>2857</v>
      </c>
      <c r="D8171" s="153"/>
      <c r="E8171" s="90" t="s">
        <v>8332</v>
      </c>
      <c r="G8171" s="2">
        <v>0</v>
      </c>
      <c r="H8171" s="166">
        <v>20000</v>
      </c>
      <c r="I8171" s="88">
        <f t="shared" si="1328"/>
        <v>1887.8999999999942</v>
      </c>
      <c r="K8171" s="62"/>
      <c r="L8171" s="2">
        <f t="shared" si="1329"/>
        <v>0</v>
      </c>
    </row>
    <row r="8172" spans="1:12" x14ac:dyDescent="0.3">
      <c r="A8172" s="3">
        <f t="shared" si="1317"/>
        <v>46100</v>
      </c>
      <c r="B8172" s="11" t="s">
        <v>7262</v>
      </c>
      <c r="C8172" s="7" t="s">
        <v>7263</v>
      </c>
      <c r="D8172" s="153"/>
      <c r="E8172" s="90" t="s">
        <v>2088</v>
      </c>
      <c r="G8172" s="2">
        <v>0</v>
      </c>
      <c r="H8172" s="166">
        <v>0</v>
      </c>
      <c r="I8172" s="88">
        <f t="shared" si="1328"/>
        <v>1887.8999999999942</v>
      </c>
      <c r="K8172" s="62"/>
      <c r="L8172" s="2">
        <f t="shared" si="1329"/>
        <v>5</v>
      </c>
    </row>
    <row r="8173" spans="1:12" x14ac:dyDescent="0.3">
      <c r="A8173" s="3">
        <f t="shared" ref="A8173:A8236" si="1330">A8172</f>
        <v>46100</v>
      </c>
      <c r="B8173" s="11" t="s">
        <v>7262</v>
      </c>
      <c r="C8173" s="7" t="s">
        <v>7263</v>
      </c>
      <c r="D8173" s="153"/>
      <c r="E8173" s="90" t="s">
        <v>2088</v>
      </c>
      <c r="G8173" s="2">
        <v>2500</v>
      </c>
      <c r="H8173" s="166"/>
      <c r="I8173" s="88">
        <f t="shared" si="1328"/>
        <v>4387.8999999999942</v>
      </c>
      <c r="K8173" s="62"/>
      <c r="L8173" s="2">
        <f t="shared" si="1329"/>
        <v>15</v>
      </c>
    </row>
    <row r="8174" spans="1:12" x14ac:dyDescent="0.3">
      <c r="A8174" s="3">
        <v>46101</v>
      </c>
      <c r="B8174" s="11" t="s">
        <v>3504</v>
      </c>
      <c r="C8174" s="7" t="s">
        <v>10346</v>
      </c>
      <c r="D8174" s="153" t="s">
        <v>4089</v>
      </c>
      <c r="E8174" s="90" t="s">
        <v>4720</v>
      </c>
      <c r="H8174" s="166">
        <v>2000</v>
      </c>
      <c r="I8174" s="88">
        <f t="shared" si="1328"/>
        <v>2387.8999999999942</v>
      </c>
      <c r="K8174" s="62"/>
      <c r="L8174" s="2">
        <f t="shared" si="1329"/>
        <v>8</v>
      </c>
    </row>
    <row r="8175" spans="1:12" x14ac:dyDescent="0.3">
      <c r="A8175" s="3">
        <f t="shared" si="1330"/>
        <v>46101</v>
      </c>
      <c r="B8175" s="11" t="s">
        <v>7186</v>
      </c>
      <c r="C8175" s="7" t="s">
        <v>7187</v>
      </c>
      <c r="D8175" s="153"/>
      <c r="E8175" s="90" t="s">
        <v>2088</v>
      </c>
      <c r="G8175" s="2">
        <v>10000</v>
      </c>
      <c r="H8175" s="166"/>
      <c r="I8175" s="88">
        <f t="shared" si="1328"/>
        <v>12387.899999999994</v>
      </c>
      <c r="K8175" s="62"/>
      <c r="L8175" s="2">
        <f t="shared" si="1329"/>
        <v>25</v>
      </c>
    </row>
    <row r="8176" spans="1:12" x14ac:dyDescent="0.3">
      <c r="A8176" s="3">
        <f t="shared" si="1330"/>
        <v>46101</v>
      </c>
      <c r="B8176" s="11" t="s">
        <v>3849</v>
      </c>
      <c r="C8176" s="7" t="s">
        <v>2551</v>
      </c>
      <c r="D8176" s="153"/>
      <c r="E8176" s="90" t="s">
        <v>4720</v>
      </c>
      <c r="H8176" s="166">
        <v>12000</v>
      </c>
      <c r="I8176" s="88">
        <f t="shared" si="1328"/>
        <v>387.89999999999418</v>
      </c>
      <c r="K8176" s="62"/>
      <c r="L8176" s="2">
        <f t="shared" si="1329"/>
        <v>20</v>
      </c>
    </row>
    <row r="8177" spans="1:12" x14ac:dyDescent="0.3">
      <c r="A8177" s="3">
        <f t="shared" si="1330"/>
        <v>46101</v>
      </c>
      <c r="B8177" s="11" t="s">
        <v>1160</v>
      </c>
      <c r="C8177" s="7" t="s">
        <v>7794</v>
      </c>
      <c r="D8177" s="153"/>
      <c r="E8177" s="90" t="s">
        <v>4720</v>
      </c>
      <c r="G8177" s="2">
        <v>1500</v>
      </c>
      <c r="H8177" s="166"/>
      <c r="I8177" s="88">
        <f t="shared" si="1328"/>
        <v>1887.8999999999942</v>
      </c>
      <c r="K8177" s="62"/>
      <c r="L8177" s="2">
        <f t="shared" si="1329"/>
        <v>6</v>
      </c>
    </row>
    <row r="8178" spans="1:12" x14ac:dyDescent="0.3">
      <c r="A8178" s="3">
        <f t="shared" si="1330"/>
        <v>46101</v>
      </c>
      <c r="B8178" s="11" t="s">
        <v>7605</v>
      </c>
      <c r="C8178" s="7" t="s">
        <v>8252</v>
      </c>
      <c r="D8178" s="153"/>
      <c r="E8178" s="90" t="s">
        <v>2088</v>
      </c>
      <c r="G8178" s="2">
        <v>5000</v>
      </c>
      <c r="H8178" s="166"/>
      <c r="I8178" s="88">
        <f t="shared" si="1328"/>
        <v>6887.8999999999942</v>
      </c>
      <c r="K8178" s="62"/>
      <c r="L8178" s="2">
        <f t="shared" si="1329"/>
        <v>25</v>
      </c>
    </row>
    <row r="8179" spans="1:12" x14ac:dyDescent="0.3">
      <c r="A8179" s="3">
        <f t="shared" si="1330"/>
        <v>46101</v>
      </c>
      <c r="B8179" s="11" t="s">
        <v>2143</v>
      </c>
      <c r="C8179" s="7" t="s">
        <v>1279</v>
      </c>
      <c r="D8179" s="153"/>
      <c r="E8179" s="90" t="s">
        <v>4720</v>
      </c>
      <c r="H8179" s="166">
        <v>5000</v>
      </c>
      <c r="I8179" s="88">
        <f t="shared" si="1328"/>
        <v>1887.8999999999942</v>
      </c>
      <c r="K8179" s="62"/>
      <c r="L8179" s="2">
        <f t="shared" ref="L8179:L8190" si="1331">IF(E8179="C",0,IF((G8179+H8179)&lt;=5000,(G8179+H8179)*0.004,20)+IF(E8179="P",5,IF(E8179="Y",15,IF(E8179="YY",25))))</f>
        <v>20</v>
      </c>
    </row>
    <row r="8180" spans="1:12" x14ac:dyDescent="0.3">
      <c r="A8180" s="3">
        <f t="shared" si="1330"/>
        <v>46101</v>
      </c>
      <c r="B8180" s="11" t="s">
        <v>1250</v>
      </c>
      <c r="C8180" s="7" t="s">
        <v>2626</v>
      </c>
      <c r="D8180" s="153"/>
      <c r="E8180" s="90" t="s">
        <v>4720</v>
      </c>
      <c r="G8180" s="2">
        <v>2500</v>
      </c>
      <c r="H8180" s="166"/>
      <c r="I8180" s="88">
        <f t="shared" si="1328"/>
        <v>4387.8999999999942</v>
      </c>
      <c r="K8180" s="62"/>
      <c r="L8180" s="2">
        <f t="shared" si="1331"/>
        <v>10</v>
      </c>
    </row>
    <row r="8181" spans="1:12" x14ac:dyDescent="0.3">
      <c r="A8181" s="3">
        <f t="shared" si="1330"/>
        <v>46101</v>
      </c>
      <c r="B8181" s="11" t="s">
        <v>6687</v>
      </c>
      <c r="C8181" s="7" t="s">
        <v>9625</v>
      </c>
      <c r="D8181" s="153"/>
      <c r="E8181" s="90" t="s">
        <v>4720</v>
      </c>
      <c r="G8181" s="2">
        <v>2000</v>
      </c>
      <c r="H8181" s="166"/>
      <c r="I8181" s="88">
        <f t="shared" si="1328"/>
        <v>6387.8999999999942</v>
      </c>
      <c r="K8181" s="62"/>
      <c r="L8181" s="2">
        <f t="shared" si="1331"/>
        <v>8</v>
      </c>
    </row>
    <row r="8182" spans="1:12" x14ac:dyDescent="0.3">
      <c r="A8182" s="3">
        <f t="shared" si="1330"/>
        <v>46101</v>
      </c>
      <c r="B8182" s="11" t="s">
        <v>1472</v>
      </c>
      <c r="C8182" s="7" t="s">
        <v>10072</v>
      </c>
      <c r="D8182" s="153"/>
      <c r="E8182" s="90" t="s">
        <v>4720</v>
      </c>
      <c r="G8182" s="2">
        <v>1300</v>
      </c>
      <c r="H8182" s="166"/>
      <c r="I8182" s="88">
        <f t="shared" si="1328"/>
        <v>7687.8999999999942</v>
      </c>
      <c r="K8182" s="62"/>
      <c r="L8182" s="2">
        <f t="shared" si="1331"/>
        <v>5.2</v>
      </c>
    </row>
    <row r="8183" spans="1:12" x14ac:dyDescent="0.3">
      <c r="A8183" s="3">
        <f t="shared" si="1330"/>
        <v>46101</v>
      </c>
      <c r="B8183" s="11" t="s">
        <v>3524</v>
      </c>
      <c r="C8183" s="7" t="s">
        <v>3088</v>
      </c>
      <c r="D8183" s="153"/>
      <c r="E8183" s="90" t="s">
        <v>4720</v>
      </c>
      <c r="H8183" s="166">
        <v>7500</v>
      </c>
      <c r="I8183" s="88">
        <f t="shared" si="1328"/>
        <v>187.89999999999418</v>
      </c>
      <c r="K8183" s="62"/>
      <c r="L8183" s="2">
        <f t="shared" si="1331"/>
        <v>20</v>
      </c>
    </row>
    <row r="8184" spans="1:12" x14ac:dyDescent="0.3">
      <c r="A8184" s="3">
        <v>46104</v>
      </c>
      <c r="B8184" s="11" t="s">
        <v>10221</v>
      </c>
      <c r="C8184" s="7" t="s">
        <v>10280</v>
      </c>
      <c r="D8184" s="153"/>
      <c r="E8184" s="90" t="s">
        <v>2088</v>
      </c>
      <c r="G8184" s="2">
        <v>1000</v>
      </c>
      <c r="H8184" s="166"/>
      <c r="I8184" s="88">
        <f t="shared" si="1328"/>
        <v>1187.8999999999942</v>
      </c>
      <c r="K8184" s="62"/>
      <c r="L8184" s="2">
        <f t="shared" si="1331"/>
        <v>9</v>
      </c>
    </row>
    <row r="8185" spans="1:12" x14ac:dyDescent="0.3">
      <c r="A8185" s="3">
        <f t="shared" si="1330"/>
        <v>46104</v>
      </c>
      <c r="B8185" s="11" t="s">
        <v>10348</v>
      </c>
      <c r="C8185" s="7" t="s">
        <v>10350</v>
      </c>
      <c r="D8185" s="153"/>
      <c r="E8185" s="90" t="s">
        <v>16</v>
      </c>
      <c r="H8185" s="166">
        <v>500</v>
      </c>
      <c r="I8185" s="88">
        <f t="shared" si="1328"/>
        <v>687.89999999999418</v>
      </c>
      <c r="K8185" s="62"/>
      <c r="L8185" s="2">
        <f t="shared" si="1331"/>
        <v>17</v>
      </c>
    </row>
    <row r="8186" spans="1:12" x14ac:dyDescent="0.3">
      <c r="A8186" s="3">
        <v>46105</v>
      </c>
      <c r="B8186" s="11" t="s">
        <v>7186</v>
      </c>
      <c r="C8186" s="7" t="s">
        <v>9112</v>
      </c>
      <c r="D8186" s="153"/>
      <c r="E8186" s="90" t="s">
        <v>2088</v>
      </c>
      <c r="G8186" s="2">
        <v>10000</v>
      </c>
      <c r="H8186" s="166"/>
      <c r="I8186" s="88">
        <f t="shared" si="1328"/>
        <v>10687.899999999994</v>
      </c>
      <c r="K8186" s="62"/>
      <c r="L8186" s="2">
        <f t="shared" si="1331"/>
        <v>25</v>
      </c>
    </row>
    <row r="8187" spans="1:12" x14ac:dyDescent="0.3">
      <c r="A8187" s="3">
        <f t="shared" si="1330"/>
        <v>46105</v>
      </c>
      <c r="B8187" s="11" t="s">
        <v>2490</v>
      </c>
      <c r="C8187" s="7" t="s">
        <v>2857</v>
      </c>
      <c r="D8187" s="153"/>
      <c r="E8187" s="90" t="s">
        <v>8332</v>
      </c>
      <c r="H8187" s="166">
        <v>10000</v>
      </c>
      <c r="I8187" s="88">
        <f t="shared" si="1328"/>
        <v>687.89999999999418</v>
      </c>
      <c r="J8187" s="62"/>
      <c r="K8187" s="62"/>
      <c r="L8187" s="2">
        <f t="shared" si="1331"/>
        <v>0</v>
      </c>
    </row>
    <row r="8188" spans="1:12" x14ac:dyDescent="0.3">
      <c r="A8188" s="3">
        <f t="shared" si="1330"/>
        <v>46105</v>
      </c>
      <c r="B8188" s="11" t="s">
        <v>5364</v>
      </c>
      <c r="C8188" s="7" t="s">
        <v>9945</v>
      </c>
      <c r="D8188" s="153"/>
      <c r="E8188" s="90" t="s">
        <v>4720</v>
      </c>
      <c r="G8188" s="2">
        <v>700</v>
      </c>
      <c r="H8188" s="166"/>
      <c r="I8188" s="88">
        <f t="shared" si="1328"/>
        <v>1387.8999999999942</v>
      </c>
      <c r="K8188" s="62"/>
      <c r="L8188" s="2">
        <f t="shared" si="1331"/>
        <v>2.8000000000000003</v>
      </c>
    </row>
    <row r="8189" spans="1:12" x14ac:dyDescent="0.3">
      <c r="A8189" s="3">
        <f t="shared" si="1330"/>
        <v>46105</v>
      </c>
      <c r="B8189" s="11" t="s">
        <v>6718</v>
      </c>
      <c r="C8189" s="7" t="s">
        <v>7048</v>
      </c>
      <c r="D8189" s="153"/>
      <c r="E8189" s="90" t="s">
        <v>2088</v>
      </c>
      <c r="G8189" s="2">
        <v>10000</v>
      </c>
      <c r="H8189" s="166"/>
      <c r="I8189" s="88">
        <f t="shared" si="1328"/>
        <v>11387.899999999994</v>
      </c>
      <c r="K8189" s="62"/>
      <c r="L8189" s="2">
        <f t="shared" si="1331"/>
        <v>25</v>
      </c>
    </row>
    <row r="8190" spans="1:12" x14ac:dyDescent="0.3">
      <c r="A8190" s="3">
        <f t="shared" si="1330"/>
        <v>46105</v>
      </c>
      <c r="B8190" s="11" t="s">
        <v>10348</v>
      </c>
      <c r="C8190" s="7" t="s">
        <v>10350</v>
      </c>
      <c r="D8190" s="153"/>
      <c r="E8190" s="90" t="s">
        <v>2088</v>
      </c>
      <c r="G8190" s="2">
        <v>0</v>
      </c>
      <c r="H8190" s="166">
        <v>0</v>
      </c>
      <c r="I8190" s="88">
        <f t="shared" si="1328"/>
        <v>11387.899999999994</v>
      </c>
      <c r="K8190" s="62"/>
      <c r="L8190" s="2">
        <f t="shared" si="1331"/>
        <v>5</v>
      </c>
    </row>
    <row r="8191" spans="1:12" x14ac:dyDescent="0.3">
      <c r="A8191" s="3">
        <f t="shared" si="1330"/>
        <v>46105</v>
      </c>
      <c r="B8191" s="11" t="s">
        <v>6701</v>
      </c>
      <c r="C8191" s="7" t="s">
        <v>6702</v>
      </c>
      <c r="D8191" s="153"/>
      <c r="E8191" s="90" t="s">
        <v>4720</v>
      </c>
      <c r="G8191" s="2">
        <v>3000</v>
      </c>
      <c r="H8191" s="166"/>
      <c r="I8191" s="88">
        <f t="shared" ref="I8191:I8200" si="1332">I8190+G8191-H8191</f>
        <v>14387.899999999994</v>
      </c>
      <c r="K8191" s="62"/>
      <c r="L8191" s="2">
        <f t="shared" ref="L8191:L8200" si="1333">IF(E8191="C",0,IF((G8191+H8191)&lt;=5000,(G8191+H8191)*0.004,20)+IF(E8191="P",5,IF(E8191="Y",15,IF(E8191="YY",25))))</f>
        <v>12</v>
      </c>
    </row>
    <row r="8192" spans="1:12" x14ac:dyDescent="0.3">
      <c r="A8192" s="3">
        <f t="shared" si="1330"/>
        <v>46105</v>
      </c>
      <c r="B8192" s="11" t="s">
        <v>10074</v>
      </c>
      <c r="C8192" s="7" t="s">
        <v>10075</v>
      </c>
      <c r="D8192" s="153"/>
      <c r="E8192" s="90" t="s">
        <v>4720</v>
      </c>
      <c r="G8192" s="2">
        <v>2000</v>
      </c>
      <c r="H8192" s="166"/>
      <c r="I8192" s="88">
        <f t="shared" si="1332"/>
        <v>16387.899999999994</v>
      </c>
      <c r="K8192" s="62"/>
      <c r="L8192" s="2">
        <f t="shared" si="1333"/>
        <v>8</v>
      </c>
    </row>
    <row r="8193" spans="1:12" x14ac:dyDescent="0.3">
      <c r="A8193" s="3">
        <f t="shared" si="1330"/>
        <v>46105</v>
      </c>
      <c r="B8193" s="11" t="s">
        <v>3232</v>
      </c>
      <c r="C8193" s="7" t="s">
        <v>9375</v>
      </c>
      <c r="D8193" s="153"/>
      <c r="E8193" s="90" t="s">
        <v>4720</v>
      </c>
      <c r="G8193" s="2">
        <v>5000</v>
      </c>
      <c r="H8193" s="166"/>
      <c r="I8193" s="88">
        <f t="shared" si="1332"/>
        <v>21387.899999999994</v>
      </c>
      <c r="K8193" s="62"/>
      <c r="L8193" s="2">
        <f t="shared" si="1333"/>
        <v>20</v>
      </c>
    </row>
    <row r="8194" spans="1:12" x14ac:dyDescent="0.3">
      <c r="A8194" s="3">
        <f t="shared" si="1330"/>
        <v>46105</v>
      </c>
      <c r="B8194" s="11" t="s">
        <v>2490</v>
      </c>
      <c r="C8194" s="7" t="s">
        <v>2857</v>
      </c>
      <c r="D8194" s="153"/>
      <c r="E8194" s="90" t="s">
        <v>8332</v>
      </c>
      <c r="H8194" s="166">
        <v>20000</v>
      </c>
      <c r="I8194" s="88">
        <f t="shared" si="1332"/>
        <v>1387.8999999999942</v>
      </c>
      <c r="K8194" s="62"/>
      <c r="L8194" s="2">
        <f t="shared" si="1333"/>
        <v>0</v>
      </c>
    </row>
    <row r="8195" spans="1:12" x14ac:dyDescent="0.3">
      <c r="A8195" s="3">
        <f t="shared" si="1330"/>
        <v>46105</v>
      </c>
      <c r="B8195" s="11" t="s">
        <v>7778</v>
      </c>
      <c r="C8195" s="7" t="s">
        <v>10357</v>
      </c>
      <c r="D8195" s="153"/>
      <c r="E8195" s="90" t="s">
        <v>4720</v>
      </c>
      <c r="G8195" s="2">
        <v>1000</v>
      </c>
      <c r="H8195" s="166"/>
      <c r="I8195" s="88">
        <f t="shared" si="1332"/>
        <v>2387.8999999999942</v>
      </c>
      <c r="K8195" s="62"/>
      <c r="L8195" s="2">
        <f t="shared" si="1333"/>
        <v>4</v>
      </c>
    </row>
    <row r="8196" spans="1:12" x14ac:dyDescent="0.3">
      <c r="A8196" s="3">
        <f t="shared" si="1330"/>
        <v>46105</v>
      </c>
      <c r="B8196" s="11" t="s">
        <v>5888</v>
      </c>
      <c r="C8196" s="7" t="s">
        <v>10358</v>
      </c>
      <c r="D8196" s="153"/>
      <c r="E8196" s="90" t="s">
        <v>2088</v>
      </c>
      <c r="G8196" s="2">
        <v>4000</v>
      </c>
      <c r="H8196" s="166"/>
      <c r="I8196" s="88">
        <f t="shared" si="1332"/>
        <v>6387.8999999999942</v>
      </c>
      <c r="K8196" s="62"/>
      <c r="L8196" s="2">
        <f t="shared" si="1333"/>
        <v>21</v>
      </c>
    </row>
    <row r="8197" spans="1:12" x14ac:dyDescent="0.3">
      <c r="A8197" s="3">
        <f t="shared" si="1330"/>
        <v>46105</v>
      </c>
      <c r="B8197" s="11" t="s">
        <v>7262</v>
      </c>
      <c r="C8197" s="7" t="s">
        <v>7263</v>
      </c>
      <c r="D8197" s="153"/>
      <c r="E8197" s="90" t="s">
        <v>2088</v>
      </c>
      <c r="G8197" s="2">
        <v>5000</v>
      </c>
      <c r="H8197" s="166"/>
      <c r="I8197" s="88">
        <f t="shared" si="1332"/>
        <v>11387.899999999994</v>
      </c>
      <c r="K8197" s="62"/>
      <c r="L8197" s="2">
        <f t="shared" si="1333"/>
        <v>25</v>
      </c>
    </row>
    <row r="8198" spans="1:12" x14ac:dyDescent="0.3">
      <c r="A8198" s="3">
        <f t="shared" si="1330"/>
        <v>46105</v>
      </c>
      <c r="B8198" s="11" t="s">
        <v>10359</v>
      </c>
      <c r="C8198" s="7" t="s">
        <v>3670</v>
      </c>
      <c r="D8198" s="153"/>
      <c r="E8198" s="90" t="s">
        <v>4720</v>
      </c>
      <c r="G8198" s="2">
        <v>3000</v>
      </c>
      <c r="H8198" s="166"/>
      <c r="I8198" s="88">
        <f t="shared" si="1332"/>
        <v>14387.899999999994</v>
      </c>
      <c r="K8198" s="62"/>
      <c r="L8198" s="2">
        <f t="shared" si="1333"/>
        <v>12</v>
      </c>
    </row>
    <row r="8199" spans="1:12" x14ac:dyDescent="0.3">
      <c r="A8199" s="3">
        <v>46106</v>
      </c>
      <c r="B8199" s="11" t="s">
        <v>8679</v>
      </c>
      <c r="C8199" s="7" t="s">
        <v>8680</v>
      </c>
      <c r="D8199" s="153"/>
      <c r="E8199" s="90" t="s">
        <v>2088</v>
      </c>
      <c r="G8199" s="2">
        <v>1500</v>
      </c>
      <c r="H8199" s="166"/>
      <c r="I8199" s="88">
        <f t="shared" si="1332"/>
        <v>15887.899999999994</v>
      </c>
      <c r="K8199" s="62"/>
      <c r="L8199" s="2">
        <f t="shared" si="1333"/>
        <v>11</v>
      </c>
    </row>
    <row r="8200" spans="1:12" x14ac:dyDescent="0.3">
      <c r="A8200" s="3">
        <f t="shared" si="1330"/>
        <v>46106</v>
      </c>
      <c r="B8200" s="11" t="s">
        <v>6733</v>
      </c>
      <c r="C8200" s="7" t="s">
        <v>9368</v>
      </c>
      <c r="D8200" s="153"/>
      <c r="E8200" s="90" t="s">
        <v>2088</v>
      </c>
      <c r="G8200" s="2">
        <v>700</v>
      </c>
      <c r="H8200" s="166"/>
      <c r="I8200" s="88">
        <f t="shared" si="1332"/>
        <v>16587.899999999994</v>
      </c>
      <c r="K8200" s="62"/>
      <c r="L8200" s="2">
        <f t="shared" si="1333"/>
        <v>7.8000000000000007</v>
      </c>
    </row>
    <row r="8201" spans="1:12" x14ac:dyDescent="0.3">
      <c r="A8201" s="3">
        <f t="shared" si="1330"/>
        <v>46106</v>
      </c>
      <c r="B8201" s="11" t="s">
        <v>2490</v>
      </c>
      <c r="C8201" s="7" t="s">
        <v>2857</v>
      </c>
      <c r="D8201" s="153"/>
      <c r="E8201" s="90" t="s">
        <v>8332</v>
      </c>
      <c r="H8201" s="166">
        <v>15000</v>
      </c>
      <c r="I8201" s="88">
        <f t="shared" ref="I8201:I8214" si="1334">I8200+G8201-H8201</f>
        <v>1587.8999999999942</v>
      </c>
      <c r="K8201" s="62"/>
      <c r="L8201" s="2">
        <f t="shared" ref="L8201:L8214" si="1335">IF(E8201="C",0,IF((G8201+H8201)&lt;=5000,(G8201+H8201)*0.004,20)+IF(E8201="P",5,IF(E8201="Y",15,IF(E8201="YY",25))))</f>
        <v>0</v>
      </c>
    </row>
    <row r="8202" spans="1:12" x14ac:dyDescent="0.3">
      <c r="A8202" s="3">
        <f t="shared" si="1330"/>
        <v>46106</v>
      </c>
      <c r="B8202" s="11" t="s">
        <v>6940</v>
      </c>
      <c r="C8202" s="7" t="s">
        <v>7470</v>
      </c>
      <c r="D8202" s="153"/>
      <c r="E8202" s="90" t="s">
        <v>4720</v>
      </c>
      <c r="G8202" s="2">
        <v>1900</v>
      </c>
      <c r="H8202" s="166"/>
      <c r="I8202" s="88">
        <f t="shared" si="1334"/>
        <v>3487.8999999999942</v>
      </c>
      <c r="K8202" s="62"/>
      <c r="L8202" s="2">
        <f t="shared" si="1335"/>
        <v>7.6000000000000005</v>
      </c>
    </row>
    <row r="8203" spans="1:12" x14ac:dyDescent="0.3">
      <c r="A8203" s="3">
        <f t="shared" si="1330"/>
        <v>46106</v>
      </c>
      <c r="B8203" s="11" t="s">
        <v>2241</v>
      </c>
      <c r="C8203" s="7" t="s">
        <v>10360</v>
      </c>
      <c r="D8203" s="153"/>
      <c r="E8203" s="90" t="s">
        <v>4720</v>
      </c>
      <c r="G8203" s="2">
        <v>1000</v>
      </c>
      <c r="H8203" s="166"/>
      <c r="I8203" s="88">
        <f t="shared" si="1334"/>
        <v>4487.8999999999942</v>
      </c>
      <c r="K8203" s="62"/>
      <c r="L8203" s="2">
        <f t="shared" si="1335"/>
        <v>4</v>
      </c>
    </row>
    <row r="8204" spans="1:12" x14ac:dyDescent="0.3">
      <c r="A8204" s="3">
        <f t="shared" si="1330"/>
        <v>46106</v>
      </c>
      <c r="B8204" s="11" t="s">
        <v>8659</v>
      </c>
      <c r="C8204" s="7" t="s">
        <v>2626</v>
      </c>
      <c r="D8204" s="153"/>
      <c r="E8204" s="90" t="s">
        <v>2088</v>
      </c>
      <c r="G8204" s="2">
        <v>1000</v>
      </c>
      <c r="H8204" s="166"/>
      <c r="I8204" s="88">
        <f t="shared" si="1334"/>
        <v>5487.8999999999942</v>
      </c>
      <c r="K8204" s="62"/>
      <c r="L8204" s="2">
        <f t="shared" si="1335"/>
        <v>9</v>
      </c>
    </row>
    <row r="8205" spans="1:12" x14ac:dyDescent="0.3">
      <c r="A8205" s="3">
        <v>46107</v>
      </c>
      <c r="B8205" s="11" t="s">
        <v>3402</v>
      </c>
      <c r="C8205" s="7" t="s">
        <v>9276</v>
      </c>
      <c r="D8205" s="153"/>
      <c r="E8205" s="90" t="s">
        <v>4720</v>
      </c>
      <c r="G8205" s="2">
        <v>1000</v>
      </c>
      <c r="H8205" s="166"/>
      <c r="I8205" s="88">
        <f t="shared" si="1334"/>
        <v>6487.8999999999942</v>
      </c>
      <c r="K8205" s="62"/>
      <c r="L8205" s="2">
        <f t="shared" si="1335"/>
        <v>4</v>
      </c>
    </row>
    <row r="8206" spans="1:12" x14ac:dyDescent="0.3">
      <c r="A8206" s="3">
        <f t="shared" si="1330"/>
        <v>46107</v>
      </c>
      <c r="B8206" s="11" t="s">
        <v>2241</v>
      </c>
      <c r="C8206" s="7" t="s">
        <v>10361</v>
      </c>
      <c r="D8206" s="153"/>
      <c r="E8206" s="90" t="s">
        <v>4720</v>
      </c>
      <c r="G8206" s="2">
        <v>1000</v>
      </c>
      <c r="H8206" s="166"/>
      <c r="I8206" s="88">
        <f t="shared" si="1334"/>
        <v>7487.8999999999942</v>
      </c>
      <c r="K8206" s="62"/>
      <c r="L8206" s="2">
        <f t="shared" si="1335"/>
        <v>4</v>
      </c>
    </row>
    <row r="8207" spans="1:12" x14ac:dyDescent="0.3">
      <c r="A8207" s="3">
        <f t="shared" si="1330"/>
        <v>46107</v>
      </c>
      <c r="B8207" s="11" t="s">
        <v>1250</v>
      </c>
      <c r="C8207" s="7" t="s">
        <v>2626</v>
      </c>
      <c r="D8207" s="153"/>
      <c r="E8207" s="90" t="s">
        <v>4720</v>
      </c>
      <c r="G8207" s="2">
        <v>2300</v>
      </c>
      <c r="H8207" s="166"/>
      <c r="I8207" s="88">
        <f t="shared" si="1334"/>
        <v>9787.8999999999942</v>
      </c>
      <c r="K8207" s="62"/>
      <c r="L8207" s="2">
        <f t="shared" si="1335"/>
        <v>9.2000000000000011</v>
      </c>
    </row>
    <row r="8208" spans="1:12" x14ac:dyDescent="0.3">
      <c r="A8208" s="3">
        <f t="shared" si="1330"/>
        <v>46107</v>
      </c>
      <c r="B8208" s="11" t="s">
        <v>1250</v>
      </c>
      <c r="C8208" s="7" t="s">
        <v>10362</v>
      </c>
      <c r="D8208" s="153"/>
      <c r="E8208" s="90" t="s">
        <v>4720</v>
      </c>
      <c r="G8208" s="2">
        <v>3000</v>
      </c>
      <c r="H8208" s="166"/>
      <c r="I8208" s="88">
        <f t="shared" si="1334"/>
        <v>12787.899999999994</v>
      </c>
      <c r="K8208" s="62"/>
      <c r="L8208" s="2">
        <f t="shared" si="1335"/>
        <v>12</v>
      </c>
    </row>
    <row r="8209" spans="1:12" x14ac:dyDescent="0.3">
      <c r="A8209" s="3">
        <f t="shared" si="1330"/>
        <v>46107</v>
      </c>
      <c r="B8209" s="11" t="s">
        <v>9227</v>
      </c>
      <c r="C8209" s="7" t="s">
        <v>9228</v>
      </c>
      <c r="D8209" s="153"/>
      <c r="E8209" s="90" t="s">
        <v>4720</v>
      </c>
      <c r="G8209" s="2">
        <v>500</v>
      </c>
      <c r="H8209" s="166"/>
      <c r="I8209" s="88">
        <f t="shared" si="1334"/>
        <v>13287.899999999994</v>
      </c>
      <c r="K8209" s="62"/>
      <c r="L8209" s="2">
        <f t="shared" si="1335"/>
        <v>2</v>
      </c>
    </row>
    <row r="8210" spans="1:12" x14ac:dyDescent="0.3">
      <c r="A8210" s="3">
        <f t="shared" si="1330"/>
        <v>46107</v>
      </c>
      <c r="B8210" s="11" t="s">
        <v>7418</v>
      </c>
      <c r="C8210" s="7" t="s">
        <v>6651</v>
      </c>
      <c r="D8210" s="153"/>
      <c r="E8210" s="90" t="s">
        <v>2088</v>
      </c>
      <c r="G8210" s="2">
        <v>5000</v>
      </c>
      <c r="H8210" s="166"/>
      <c r="I8210" s="88">
        <f t="shared" si="1334"/>
        <v>18287.899999999994</v>
      </c>
      <c r="K8210" s="62"/>
      <c r="L8210" s="2">
        <f t="shared" si="1335"/>
        <v>25</v>
      </c>
    </row>
    <row r="8211" spans="1:12" x14ac:dyDescent="0.3">
      <c r="A8211" s="3">
        <f t="shared" si="1330"/>
        <v>46107</v>
      </c>
      <c r="B8211" s="11" t="s">
        <v>7800</v>
      </c>
      <c r="C8211" s="7" t="s">
        <v>7284</v>
      </c>
      <c r="D8211" s="153"/>
      <c r="E8211" s="90" t="s">
        <v>4720</v>
      </c>
      <c r="G8211" s="2">
        <v>2000</v>
      </c>
      <c r="H8211" s="166"/>
      <c r="I8211" s="88">
        <f t="shared" si="1334"/>
        <v>20287.899999999994</v>
      </c>
      <c r="K8211" s="62"/>
      <c r="L8211" s="2">
        <f t="shared" si="1335"/>
        <v>8</v>
      </c>
    </row>
    <row r="8212" spans="1:12" x14ac:dyDescent="0.3">
      <c r="A8212" s="3">
        <f t="shared" si="1330"/>
        <v>46107</v>
      </c>
      <c r="B8212" s="11" t="s">
        <v>2490</v>
      </c>
      <c r="C8212" s="7" t="s">
        <v>2857</v>
      </c>
      <c r="D8212" s="153"/>
      <c r="E8212" s="90" t="s">
        <v>2088</v>
      </c>
      <c r="G8212" s="2">
        <v>0</v>
      </c>
      <c r="H8212" s="166">
        <v>20000</v>
      </c>
      <c r="I8212" s="88">
        <f t="shared" si="1334"/>
        <v>287.89999999999418</v>
      </c>
      <c r="K8212" s="62"/>
      <c r="L8212" s="2">
        <f t="shared" si="1335"/>
        <v>25</v>
      </c>
    </row>
    <row r="8213" spans="1:12" x14ac:dyDescent="0.3">
      <c r="A8213" s="3">
        <f t="shared" si="1330"/>
        <v>46107</v>
      </c>
      <c r="B8213" s="11" t="s">
        <v>6718</v>
      </c>
      <c r="C8213" s="7" t="s">
        <v>7048</v>
      </c>
      <c r="D8213" s="153"/>
      <c r="E8213" s="90" t="s">
        <v>2088</v>
      </c>
      <c r="G8213" s="2">
        <v>10000</v>
      </c>
      <c r="H8213" s="166"/>
      <c r="I8213" s="88">
        <f t="shared" si="1334"/>
        <v>10287.899999999994</v>
      </c>
      <c r="K8213" s="62"/>
      <c r="L8213" s="2">
        <f t="shared" si="1335"/>
        <v>25</v>
      </c>
    </row>
    <row r="8214" spans="1:12" x14ac:dyDescent="0.3">
      <c r="A8214" s="3">
        <f t="shared" si="1330"/>
        <v>46107</v>
      </c>
      <c r="B8214" s="11" t="s">
        <v>8348</v>
      </c>
      <c r="C8214" s="7" t="s">
        <v>8384</v>
      </c>
      <c r="D8214" s="153"/>
      <c r="E8214" s="90" t="s">
        <v>2088</v>
      </c>
      <c r="G8214" s="2">
        <v>10000</v>
      </c>
      <c r="H8214" s="166"/>
      <c r="I8214" s="88">
        <f t="shared" si="1334"/>
        <v>20287.899999999994</v>
      </c>
      <c r="K8214" s="62"/>
      <c r="L8214" s="2">
        <f t="shared" si="1335"/>
        <v>25</v>
      </c>
    </row>
    <row r="8215" spans="1:12" x14ac:dyDescent="0.3">
      <c r="A8215" s="3">
        <f t="shared" si="1330"/>
        <v>46107</v>
      </c>
      <c r="B8215" s="11" t="s">
        <v>2490</v>
      </c>
      <c r="C8215" s="7" t="s">
        <v>2857</v>
      </c>
      <c r="D8215" s="153"/>
      <c r="E8215" s="90" t="s">
        <v>8332</v>
      </c>
      <c r="H8215" s="166">
        <v>20000</v>
      </c>
      <c r="I8215" s="88">
        <f t="shared" ref="I8215:I8217" si="1336">I8214+G8215-H8215</f>
        <v>287.89999999999418</v>
      </c>
      <c r="K8215" s="62"/>
      <c r="L8215" s="2">
        <f t="shared" ref="L8215:L8217" si="1337">IF(E8215="C",0,IF((G8215+H8215)&lt;=5000,(G8215+H8215)*0.004,20)+IF(E8215="P",5,IF(E8215="Y",15,IF(E8215="YY",25))))</f>
        <v>0</v>
      </c>
    </row>
    <row r="8216" spans="1:12" x14ac:dyDescent="0.3">
      <c r="A8216" s="3">
        <f t="shared" si="1330"/>
        <v>46107</v>
      </c>
      <c r="B8216" s="11" t="s">
        <v>1250</v>
      </c>
      <c r="C8216" s="7" t="s">
        <v>10319</v>
      </c>
      <c r="D8216" s="153"/>
      <c r="E8216" s="90" t="s">
        <v>4720</v>
      </c>
      <c r="G8216" s="2">
        <v>4000</v>
      </c>
      <c r="H8216" s="166"/>
      <c r="I8216" s="88">
        <f t="shared" si="1336"/>
        <v>4287.8999999999942</v>
      </c>
      <c r="K8216" s="62"/>
      <c r="L8216" s="2">
        <f t="shared" si="1337"/>
        <v>16</v>
      </c>
    </row>
    <row r="8217" spans="1:12" x14ac:dyDescent="0.3">
      <c r="A8217" s="3">
        <f t="shared" si="1330"/>
        <v>46107</v>
      </c>
      <c r="B8217" s="11" t="s">
        <v>9762</v>
      </c>
      <c r="C8217" s="7" t="s">
        <v>4205</v>
      </c>
      <c r="D8217" s="153"/>
      <c r="E8217" s="90" t="s">
        <v>2088</v>
      </c>
      <c r="G8217" s="2">
        <v>0</v>
      </c>
      <c r="H8217" s="166">
        <v>0</v>
      </c>
      <c r="I8217" s="88">
        <f t="shared" si="1336"/>
        <v>4287.8999999999942</v>
      </c>
      <c r="K8217" s="62"/>
      <c r="L8217" s="2">
        <f t="shared" si="1337"/>
        <v>5</v>
      </c>
    </row>
    <row r="8218" spans="1:12" x14ac:dyDescent="0.3">
      <c r="A8218" s="3">
        <f t="shared" si="1330"/>
        <v>46107</v>
      </c>
      <c r="B8218" s="11" t="s">
        <v>8052</v>
      </c>
      <c r="C8218" s="7" t="s">
        <v>4867</v>
      </c>
      <c r="D8218" s="153"/>
      <c r="E8218" s="90" t="s">
        <v>2088</v>
      </c>
      <c r="G8218" s="2">
        <v>700</v>
      </c>
      <c r="H8218" s="166"/>
      <c r="I8218" s="88">
        <f t="shared" ref="I8218:I8230" si="1338">I8217+G8218-H8218</f>
        <v>4987.8999999999942</v>
      </c>
      <c r="K8218" s="62"/>
      <c r="L8218" s="2">
        <f t="shared" ref="L8218:L8230" si="1339">IF(E8218="C",0,IF((G8218+H8218)&lt;=5000,(G8218+H8218)*0.004,20)+IF(E8218="P",5,IF(E8218="Y",15,IF(E8218="YY",25))))</f>
        <v>7.8000000000000007</v>
      </c>
    </row>
    <row r="8219" spans="1:12" x14ac:dyDescent="0.3">
      <c r="A8219" s="3">
        <f t="shared" si="1330"/>
        <v>46107</v>
      </c>
      <c r="B8219" s="11" t="s">
        <v>9474</v>
      </c>
      <c r="C8219" s="7" t="s">
        <v>9475</v>
      </c>
      <c r="D8219" s="153"/>
      <c r="E8219" s="90" t="s">
        <v>4720</v>
      </c>
      <c r="H8219" s="166">
        <v>1000</v>
      </c>
      <c r="I8219" s="88">
        <f t="shared" si="1338"/>
        <v>3987.8999999999942</v>
      </c>
      <c r="K8219" s="62"/>
      <c r="L8219" s="2">
        <f t="shared" si="1339"/>
        <v>4</v>
      </c>
    </row>
    <row r="8220" spans="1:12" x14ac:dyDescent="0.3">
      <c r="A8220" s="3">
        <v>46108</v>
      </c>
      <c r="B8220" s="11" t="s">
        <v>10363</v>
      </c>
      <c r="C8220" s="7" t="s">
        <v>5981</v>
      </c>
      <c r="D8220" s="153"/>
      <c r="E8220" s="90" t="s">
        <v>4720</v>
      </c>
      <c r="G8220" s="2">
        <v>500</v>
      </c>
      <c r="H8220" s="166"/>
      <c r="I8220" s="88">
        <f t="shared" si="1338"/>
        <v>4487.8999999999942</v>
      </c>
      <c r="K8220" s="62"/>
      <c r="L8220" s="2">
        <f t="shared" si="1339"/>
        <v>2</v>
      </c>
    </row>
    <row r="8221" spans="1:12" x14ac:dyDescent="0.3">
      <c r="A8221" s="3">
        <f t="shared" si="1330"/>
        <v>46108</v>
      </c>
      <c r="B8221" s="11" t="s">
        <v>5961</v>
      </c>
      <c r="C8221" s="7" t="s">
        <v>10364</v>
      </c>
      <c r="D8221" s="153"/>
      <c r="E8221" s="90" t="s">
        <v>2088</v>
      </c>
      <c r="G8221" s="2">
        <v>0</v>
      </c>
      <c r="H8221" s="166">
        <v>0</v>
      </c>
      <c r="I8221" s="88">
        <f t="shared" si="1338"/>
        <v>4487.8999999999942</v>
      </c>
      <c r="K8221" s="62"/>
      <c r="L8221" s="2">
        <f t="shared" si="1339"/>
        <v>5</v>
      </c>
    </row>
    <row r="8222" spans="1:12" x14ac:dyDescent="0.3">
      <c r="A8222" s="3">
        <f t="shared" si="1330"/>
        <v>46108</v>
      </c>
      <c r="B8222" s="11" t="s">
        <v>6289</v>
      </c>
      <c r="C8222" s="7" t="s">
        <v>6288</v>
      </c>
      <c r="D8222" s="153"/>
      <c r="E8222" s="90" t="s">
        <v>4720</v>
      </c>
      <c r="G8222" s="2">
        <v>2500</v>
      </c>
      <c r="H8222" s="166"/>
      <c r="I8222" s="88">
        <f t="shared" si="1338"/>
        <v>6987.8999999999942</v>
      </c>
      <c r="K8222" s="62"/>
      <c r="L8222" s="2">
        <f t="shared" si="1339"/>
        <v>10</v>
      </c>
    </row>
    <row r="8223" spans="1:12" x14ac:dyDescent="0.3">
      <c r="A8223" s="3">
        <f t="shared" si="1330"/>
        <v>46108</v>
      </c>
      <c r="B8223" s="11" t="s">
        <v>5961</v>
      </c>
      <c r="C8223" s="7" t="s">
        <v>10364</v>
      </c>
      <c r="D8223" s="153"/>
      <c r="E8223" s="90" t="s">
        <v>2088</v>
      </c>
      <c r="G8223" s="2">
        <v>2000</v>
      </c>
      <c r="H8223" s="166"/>
      <c r="I8223" s="88">
        <f t="shared" si="1338"/>
        <v>8987.8999999999942</v>
      </c>
      <c r="K8223" s="62"/>
      <c r="L8223" s="2">
        <f t="shared" si="1339"/>
        <v>13</v>
      </c>
    </row>
    <row r="8224" spans="1:12" x14ac:dyDescent="0.3">
      <c r="A8224" s="3">
        <f t="shared" si="1330"/>
        <v>46108</v>
      </c>
      <c r="B8224" s="11" t="s">
        <v>3148</v>
      </c>
      <c r="C8224" s="50" t="s">
        <v>10365</v>
      </c>
      <c r="D8224" s="153"/>
      <c r="E8224" s="90" t="s">
        <v>4720</v>
      </c>
      <c r="G8224" s="2">
        <v>7000</v>
      </c>
      <c r="H8224" s="166"/>
      <c r="I8224" s="88">
        <f t="shared" si="1338"/>
        <v>15987.899999999994</v>
      </c>
      <c r="K8224" s="62"/>
      <c r="L8224" s="2">
        <f t="shared" si="1339"/>
        <v>20</v>
      </c>
    </row>
    <row r="8225" spans="1:12" x14ac:dyDescent="0.3">
      <c r="A8225" s="3">
        <f t="shared" si="1330"/>
        <v>46108</v>
      </c>
      <c r="B8225" s="11" t="s">
        <v>10221</v>
      </c>
      <c r="C8225" s="50" t="s">
        <v>10287</v>
      </c>
      <c r="D8225" s="153"/>
      <c r="E8225" s="90" t="s">
        <v>7772</v>
      </c>
      <c r="H8225" s="166">
        <v>1000</v>
      </c>
      <c r="I8225" s="88">
        <f t="shared" si="1338"/>
        <v>14987.899999999994</v>
      </c>
      <c r="K8225" s="62"/>
      <c r="L8225" s="2">
        <f t="shared" si="1339"/>
        <v>9</v>
      </c>
    </row>
    <row r="8226" spans="1:12" x14ac:dyDescent="0.3">
      <c r="A8226" s="3">
        <f t="shared" si="1330"/>
        <v>46108</v>
      </c>
      <c r="B8226" s="11" t="s">
        <v>2448</v>
      </c>
      <c r="C8226" s="7" t="s">
        <v>2274</v>
      </c>
      <c r="D8226" s="153"/>
      <c r="E8226" s="90" t="s">
        <v>4720</v>
      </c>
      <c r="H8226" s="166">
        <v>9000</v>
      </c>
      <c r="I8226" s="88">
        <f t="shared" si="1338"/>
        <v>5987.8999999999942</v>
      </c>
      <c r="K8226" s="62"/>
      <c r="L8226" s="2">
        <f t="shared" si="1339"/>
        <v>20</v>
      </c>
    </row>
    <row r="8227" spans="1:12" x14ac:dyDescent="0.3">
      <c r="A8227" s="3">
        <f t="shared" si="1330"/>
        <v>46108</v>
      </c>
      <c r="B8227" s="11" t="s">
        <v>6718</v>
      </c>
      <c r="C8227" s="7" t="s">
        <v>7048</v>
      </c>
      <c r="D8227" s="153"/>
      <c r="E8227" s="90" t="s">
        <v>2088</v>
      </c>
      <c r="G8227" s="2">
        <v>10000</v>
      </c>
      <c r="H8227" s="166"/>
      <c r="I8227" s="88">
        <f t="shared" si="1338"/>
        <v>15987.899999999994</v>
      </c>
      <c r="K8227" s="62"/>
      <c r="L8227" s="2">
        <f t="shared" si="1339"/>
        <v>25</v>
      </c>
    </row>
    <row r="8228" spans="1:12" x14ac:dyDescent="0.3">
      <c r="A8228" s="3">
        <f t="shared" si="1330"/>
        <v>46108</v>
      </c>
      <c r="B8228" s="11" t="s">
        <v>6522</v>
      </c>
      <c r="C8228" s="7" t="s">
        <v>4366</v>
      </c>
      <c r="D8228" s="153"/>
      <c r="E8228" s="90" t="s">
        <v>4720</v>
      </c>
      <c r="G8228" s="2">
        <v>1500</v>
      </c>
      <c r="H8228" s="166"/>
      <c r="I8228" s="88">
        <f t="shared" si="1338"/>
        <v>17487.899999999994</v>
      </c>
      <c r="K8228" s="62"/>
      <c r="L8228" s="2">
        <f t="shared" si="1339"/>
        <v>6</v>
      </c>
    </row>
    <row r="8229" spans="1:12" x14ac:dyDescent="0.3">
      <c r="A8229" s="3">
        <f t="shared" si="1330"/>
        <v>46108</v>
      </c>
      <c r="B8229" s="11" t="s">
        <v>6940</v>
      </c>
      <c r="C8229" s="7" t="s">
        <v>7470</v>
      </c>
      <c r="D8229" s="153"/>
      <c r="E8229" s="90" t="s">
        <v>4720</v>
      </c>
      <c r="G8229" s="2">
        <v>4000</v>
      </c>
      <c r="H8229" s="166"/>
      <c r="I8229" s="88">
        <f t="shared" si="1338"/>
        <v>21487.899999999994</v>
      </c>
      <c r="K8229" s="62"/>
      <c r="L8229" s="2">
        <f t="shared" si="1339"/>
        <v>16</v>
      </c>
    </row>
    <row r="8230" spans="1:12" x14ac:dyDescent="0.3">
      <c r="A8230" s="3">
        <f t="shared" si="1330"/>
        <v>46108</v>
      </c>
      <c r="B8230" s="11" t="s">
        <v>1250</v>
      </c>
      <c r="C8230" s="7" t="s">
        <v>3658</v>
      </c>
      <c r="D8230" s="153"/>
      <c r="E8230" s="90" t="s">
        <v>4720</v>
      </c>
      <c r="G8230" s="2">
        <v>8000</v>
      </c>
      <c r="H8230" s="166"/>
      <c r="I8230" s="88">
        <f t="shared" si="1338"/>
        <v>29487.899999999994</v>
      </c>
      <c r="K8230" s="62"/>
      <c r="L8230" s="2">
        <f t="shared" si="1339"/>
        <v>20</v>
      </c>
    </row>
    <row r="8231" spans="1:12" x14ac:dyDescent="0.3">
      <c r="A8231" s="3">
        <f t="shared" si="1330"/>
        <v>46108</v>
      </c>
      <c r="B8231" s="11" t="s">
        <v>1250</v>
      </c>
      <c r="C8231" s="7" t="s">
        <v>3658</v>
      </c>
      <c r="D8231" s="153"/>
      <c r="E8231" s="90" t="s">
        <v>4720</v>
      </c>
      <c r="G8231" s="2">
        <v>2000</v>
      </c>
      <c r="H8231" s="166"/>
      <c r="I8231" s="88">
        <f t="shared" ref="I8231:I8241" si="1340">I8230+G8231-H8231</f>
        <v>31487.899999999994</v>
      </c>
      <c r="K8231" s="62"/>
      <c r="L8231" s="2">
        <f t="shared" ref="L8231:L8241" si="1341">IF(E8231="C",0,IF((G8231+H8231)&lt;=5000,(G8231+H8231)*0.004,20)+IF(E8231="P",5,IF(E8231="Y",15,IF(E8231="YY",25))))</f>
        <v>8</v>
      </c>
    </row>
    <row r="8232" spans="1:12" x14ac:dyDescent="0.3">
      <c r="A8232" s="3">
        <f t="shared" si="1330"/>
        <v>46108</v>
      </c>
      <c r="B8232" s="11" t="s">
        <v>3524</v>
      </c>
      <c r="C8232" s="7" t="s">
        <v>3169</v>
      </c>
      <c r="D8232" s="153"/>
      <c r="E8232" s="90" t="s">
        <v>4720</v>
      </c>
      <c r="H8232" s="178">
        <v>10000</v>
      </c>
      <c r="I8232" s="88">
        <f t="shared" si="1340"/>
        <v>21487.899999999994</v>
      </c>
      <c r="K8232" s="62"/>
      <c r="L8232" s="2">
        <f t="shared" si="1341"/>
        <v>20</v>
      </c>
    </row>
    <row r="8233" spans="1:12" x14ac:dyDescent="0.3">
      <c r="A8233" s="3">
        <f t="shared" si="1330"/>
        <v>46108</v>
      </c>
      <c r="B8233" s="11" t="s">
        <v>10367</v>
      </c>
      <c r="C8233" s="7" t="s">
        <v>10368</v>
      </c>
      <c r="D8233" s="153"/>
      <c r="E8233" s="90" t="s">
        <v>4720</v>
      </c>
      <c r="G8233" s="2">
        <v>1500</v>
      </c>
      <c r="H8233" s="166"/>
      <c r="I8233" s="88">
        <f t="shared" si="1340"/>
        <v>22987.899999999994</v>
      </c>
      <c r="K8233" s="62"/>
      <c r="L8233" s="2">
        <f t="shared" si="1341"/>
        <v>6</v>
      </c>
    </row>
    <row r="8234" spans="1:12" x14ac:dyDescent="0.3">
      <c r="A8234" s="3">
        <v>46109</v>
      </c>
      <c r="B8234" s="11" t="s">
        <v>7394</v>
      </c>
      <c r="C8234" s="7" t="s">
        <v>7395</v>
      </c>
      <c r="D8234" s="153"/>
      <c r="E8234" s="90" t="s">
        <v>4720</v>
      </c>
      <c r="H8234" s="166">
        <v>200</v>
      </c>
      <c r="I8234" s="88">
        <f t="shared" si="1340"/>
        <v>22787.899999999994</v>
      </c>
      <c r="K8234" s="62"/>
      <c r="L8234" s="2">
        <f t="shared" si="1341"/>
        <v>0.8</v>
      </c>
    </row>
    <row r="8235" spans="1:12" x14ac:dyDescent="0.3">
      <c r="A8235" s="3">
        <f t="shared" si="1330"/>
        <v>46109</v>
      </c>
      <c r="B8235" s="11" t="s">
        <v>6718</v>
      </c>
      <c r="C8235" s="7" t="s">
        <v>7048</v>
      </c>
      <c r="D8235" s="153"/>
      <c r="E8235" s="90" t="s">
        <v>2088</v>
      </c>
      <c r="G8235" s="2">
        <v>10000</v>
      </c>
      <c r="H8235" s="166"/>
      <c r="I8235" s="88">
        <f t="shared" si="1340"/>
        <v>32787.899999999994</v>
      </c>
      <c r="K8235" s="62"/>
      <c r="L8235" s="2">
        <f t="shared" si="1341"/>
        <v>25</v>
      </c>
    </row>
    <row r="8236" spans="1:12" x14ac:dyDescent="0.3">
      <c r="A8236" s="3">
        <f t="shared" si="1330"/>
        <v>46109</v>
      </c>
      <c r="B8236" s="11" t="s">
        <v>1250</v>
      </c>
      <c r="C8236" s="7" t="s">
        <v>9180</v>
      </c>
      <c r="D8236" s="153"/>
      <c r="E8236" s="90" t="s">
        <v>4720</v>
      </c>
      <c r="G8236" s="2">
        <v>3000</v>
      </c>
      <c r="H8236" s="166"/>
      <c r="I8236" s="88">
        <f t="shared" si="1340"/>
        <v>35787.899999999994</v>
      </c>
      <c r="K8236" s="62"/>
      <c r="L8236" s="2">
        <f t="shared" si="1341"/>
        <v>12</v>
      </c>
    </row>
    <row r="8237" spans="1:12" x14ac:dyDescent="0.3">
      <c r="A8237" s="3">
        <v>46110</v>
      </c>
      <c r="B8237" s="11" t="s">
        <v>1250</v>
      </c>
      <c r="C8237" s="7" t="s">
        <v>2626</v>
      </c>
      <c r="D8237" s="153"/>
      <c r="E8237" s="90" t="s">
        <v>4720</v>
      </c>
      <c r="G8237" s="2">
        <v>1500</v>
      </c>
      <c r="H8237" s="166"/>
      <c r="I8237" s="88">
        <f t="shared" si="1340"/>
        <v>37287.899999999994</v>
      </c>
      <c r="K8237" s="62"/>
      <c r="L8237" s="2">
        <f t="shared" si="1341"/>
        <v>6</v>
      </c>
    </row>
    <row r="8238" spans="1:12" x14ac:dyDescent="0.3">
      <c r="A8238" s="3">
        <f t="shared" ref="A8238:A8257" si="1342">A8237</f>
        <v>46110</v>
      </c>
      <c r="B8238" s="11" t="s">
        <v>6726</v>
      </c>
      <c r="C8238" s="7" t="s">
        <v>8949</v>
      </c>
      <c r="D8238" s="153"/>
      <c r="E8238" s="90" t="s">
        <v>4720</v>
      </c>
      <c r="G8238" s="2">
        <v>3000</v>
      </c>
      <c r="H8238" s="166"/>
      <c r="I8238" s="88">
        <f t="shared" si="1340"/>
        <v>40287.899999999994</v>
      </c>
      <c r="K8238" s="62"/>
      <c r="L8238" s="2">
        <f t="shared" si="1341"/>
        <v>12</v>
      </c>
    </row>
    <row r="8239" spans="1:12" x14ac:dyDescent="0.3">
      <c r="A8239" s="3">
        <f t="shared" si="1342"/>
        <v>46110</v>
      </c>
      <c r="B8239" s="11" t="s">
        <v>2143</v>
      </c>
      <c r="C8239" s="7" t="s">
        <v>1279</v>
      </c>
      <c r="D8239" s="153"/>
      <c r="E8239" s="90" t="s">
        <v>4720</v>
      </c>
      <c r="H8239" s="178">
        <v>10000</v>
      </c>
      <c r="I8239" s="88">
        <f t="shared" si="1340"/>
        <v>30287.899999999994</v>
      </c>
      <c r="K8239" s="62"/>
      <c r="L8239" s="2">
        <f t="shared" si="1341"/>
        <v>20</v>
      </c>
    </row>
    <row r="8240" spans="1:12" x14ac:dyDescent="0.3">
      <c r="A8240" s="3">
        <v>46111</v>
      </c>
      <c r="B8240" s="11" t="s">
        <v>6260</v>
      </c>
      <c r="C8240" s="7" t="s">
        <v>7117</v>
      </c>
      <c r="D8240" s="153"/>
      <c r="E8240" s="90" t="s">
        <v>4720</v>
      </c>
      <c r="H8240" s="166">
        <v>6500</v>
      </c>
      <c r="I8240" s="88">
        <f t="shared" si="1340"/>
        <v>23787.899999999994</v>
      </c>
      <c r="K8240" s="62"/>
      <c r="L8240" s="2">
        <f t="shared" si="1341"/>
        <v>20</v>
      </c>
    </row>
    <row r="8241" spans="1:12" x14ac:dyDescent="0.3">
      <c r="A8241" s="3">
        <f t="shared" si="1342"/>
        <v>46111</v>
      </c>
      <c r="B8241" s="11" t="s">
        <v>2241</v>
      </c>
      <c r="C8241" s="7" t="s">
        <v>9946</v>
      </c>
      <c r="D8241" s="153"/>
      <c r="E8241" s="90" t="s">
        <v>4720</v>
      </c>
      <c r="G8241" s="2">
        <v>7000</v>
      </c>
      <c r="H8241" s="166"/>
      <c r="I8241" s="88">
        <f t="shared" si="1340"/>
        <v>30787.899999999994</v>
      </c>
      <c r="K8241" s="62"/>
      <c r="L8241" s="2">
        <f t="shared" si="1341"/>
        <v>20</v>
      </c>
    </row>
    <row r="8242" spans="1:12" x14ac:dyDescent="0.3">
      <c r="A8242" s="3">
        <f t="shared" si="1342"/>
        <v>46111</v>
      </c>
      <c r="B8242" s="11" t="s">
        <v>3504</v>
      </c>
      <c r="C8242" s="7" t="s">
        <v>10346</v>
      </c>
      <c r="D8242" s="153"/>
      <c r="E8242" s="90" t="s">
        <v>4720</v>
      </c>
      <c r="H8242" s="166">
        <v>2500</v>
      </c>
      <c r="I8242" s="88">
        <f t="shared" ref="I8242:I8247" si="1343">I8241+G8242-H8242</f>
        <v>28287.899999999994</v>
      </c>
      <c r="K8242" s="62"/>
      <c r="L8242" s="2">
        <f t="shared" ref="L8242:L8247" si="1344">IF(E8242="C",0,IF((G8242+H8242)&lt;=5000,(G8242+H8242)*0.004,20)+IF(E8242="P",5,IF(E8242="Y",15,IF(E8242="YY",25))))</f>
        <v>10</v>
      </c>
    </row>
    <row r="8243" spans="1:12" x14ac:dyDescent="0.3">
      <c r="A8243" s="3">
        <f t="shared" si="1342"/>
        <v>46111</v>
      </c>
      <c r="B8243" s="11" t="s">
        <v>9540</v>
      </c>
      <c r="C8243" s="7" t="s">
        <v>9541</v>
      </c>
      <c r="D8243" s="153"/>
      <c r="E8243" s="90" t="s">
        <v>4720</v>
      </c>
      <c r="H8243" s="166">
        <v>700</v>
      </c>
      <c r="I8243" s="88">
        <f t="shared" si="1343"/>
        <v>27587.899999999994</v>
      </c>
      <c r="K8243" s="62"/>
      <c r="L8243" s="2">
        <f t="shared" si="1344"/>
        <v>2.8000000000000003</v>
      </c>
    </row>
    <row r="8244" spans="1:12" x14ac:dyDescent="0.3">
      <c r="A8244" s="3">
        <f t="shared" si="1342"/>
        <v>46111</v>
      </c>
      <c r="B8244" s="11" t="s">
        <v>8052</v>
      </c>
      <c r="C8244" s="7" t="s">
        <v>4867</v>
      </c>
      <c r="D8244" s="153"/>
      <c r="E8244" s="90" t="s">
        <v>4720</v>
      </c>
      <c r="G8244" s="2">
        <v>700</v>
      </c>
      <c r="H8244" s="166"/>
      <c r="I8244" s="88">
        <f t="shared" si="1343"/>
        <v>28287.899999999994</v>
      </c>
      <c r="K8244" s="62"/>
      <c r="L8244" s="2">
        <f t="shared" si="1344"/>
        <v>2.8000000000000003</v>
      </c>
    </row>
    <row r="8245" spans="1:12" x14ac:dyDescent="0.3">
      <c r="A8245" s="3">
        <v>46112</v>
      </c>
      <c r="B8245" s="11" t="s">
        <v>1250</v>
      </c>
      <c r="C8245" s="7" t="s">
        <v>10373</v>
      </c>
      <c r="D8245" s="153"/>
      <c r="E8245" s="90" t="s">
        <v>4720</v>
      </c>
      <c r="G8245" s="2">
        <v>1000</v>
      </c>
      <c r="H8245" s="166"/>
      <c r="I8245" s="88">
        <f t="shared" si="1343"/>
        <v>29287.899999999994</v>
      </c>
      <c r="K8245" s="62"/>
      <c r="L8245" s="2">
        <f t="shared" si="1344"/>
        <v>4</v>
      </c>
    </row>
    <row r="8246" spans="1:12" x14ac:dyDescent="0.3">
      <c r="A8246" s="3">
        <f t="shared" si="1342"/>
        <v>46112</v>
      </c>
      <c r="B8246" s="11" t="s">
        <v>6260</v>
      </c>
      <c r="C8246" s="7" t="s">
        <v>7117</v>
      </c>
      <c r="D8246" s="153"/>
      <c r="E8246" s="90" t="s">
        <v>4720</v>
      </c>
      <c r="H8246" s="166">
        <v>4000</v>
      </c>
      <c r="I8246" s="88">
        <f t="shared" si="1343"/>
        <v>25287.899999999994</v>
      </c>
      <c r="K8246" s="62"/>
      <c r="L8246" s="2">
        <f t="shared" si="1344"/>
        <v>16</v>
      </c>
    </row>
    <row r="8247" spans="1:12" x14ac:dyDescent="0.3">
      <c r="A8247" s="3">
        <f t="shared" si="1342"/>
        <v>46112</v>
      </c>
      <c r="B8247" s="11" t="s">
        <v>9140</v>
      </c>
      <c r="C8247" s="7" t="s">
        <v>9609</v>
      </c>
      <c r="D8247" s="153"/>
      <c r="E8247" s="90" t="s">
        <v>2088</v>
      </c>
      <c r="G8247" s="2">
        <v>5000</v>
      </c>
      <c r="H8247" s="166"/>
      <c r="I8247" s="88">
        <f t="shared" si="1343"/>
        <v>30287.899999999994</v>
      </c>
      <c r="K8247" s="62"/>
      <c r="L8247" s="2">
        <f t="shared" si="1344"/>
        <v>25</v>
      </c>
    </row>
    <row r="8248" spans="1:12" x14ac:dyDescent="0.3">
      <c r="A8248" s="3">
        <f t="shared" si="1342"/>
        <v>46112</v>
      </c>
      <c r="B8248" s="11" t="s">
        <v>7724</v>
      </c>
      <c r="C8248" s="7" t="s">
        <v>7725</v>
      </c>
      <c r="D8248" s="153"/>
      <c r="E8248" s="90" t="s">
        <v>2088</v>
      </c>
      <c r="G8248" s="2">
        <v>0</v>
      </c>
      <c r="H8248" s="166">
        <v>0</v>
      </c>
      <c r="I8248" s="88">
        <f t="shared" ref="I8248:I8257" si="1345">I8247+G8248-H8248</f>
        <v>30287.899999999994</v>
      </c>
      <c r="K8248" s="62"/>
      <c r="L8248" s="2">
        <f t="shared" ref="L8248:L8257" si="1346">IF(E8248="C",0,IF((G8248+H8248)&lt;=5000,(G8248+H8248)*0.004,20)+IF(E8248="P",5,IF(E8248="Y",15,IF(E8248="YY",25))))</f>
        <v>5</v>
      </c>
    </row>
    <row r="8249" spans="1:12" x14ac:dyDescent="0.3">
      <c r="A8249" s="3">
        <f t="shared" si="1342"/>
        <v>46112</v>
      </c>
      <c r="B8249" s="11" t="s">
        <v>7724</v>
      </c>
      <c r="C8249" s="7" t="s">
        <v>7725</v>
      </c>
      <c r="D8249" s="153"/>
      <c r="E8249" s="90" t="s">
        <v>2088</v>
      </c>
      <c r="G8249" s="2">
        <v>4000</v>
      </c>
      <c r="H8249" s="166"/>
      <c r="I8249" s="88">
        <f t="shared" si="1345"/>
        <v>34287.899999999994</v>
      </c>
      <c r="K8249" s="62"/>
      <c r="L8249" s="2">
        <f t="shared" si="1346"/>
        <v>21</v>
      </c>
    </row>
    <row r="8250" spans="1:12" x14ac:dyDescent="0.3">
      <c r="A8250" s="3">
        <f t="shared" si="1342"/>
        <v>46112</v>
      </c>
      <c r="B8250" s="11" t="s">
        <v>1250</v>
      </c>
      <c r="C8250" s="7" t="s">
        <v>6288</v>
      </c>
      <c r="D8250" s="153"/>
      <c r="E8250" s="90" t="s">
        <v>4720</v>
      </c>
      <c r="G8250" s="2">
        <v>7000</v>
      </c>
      <c r="H8250" s="166"/>
      <c r="I8250" s="88">
        <f t="shared" si="1345"/>
        <v>41287.899999999994</v>
      </c>
      <c r="K8250" s="62"/>
      <c r="L8250" s="2">
        <f t="shared" si="1346"/>
        <v>20</v>
      </c>
    </row>
    <row r="8251" spans="1:12" x14ac:dyDescent="0.3">
      <c r="A8251" s="3">
        <f t="shared" si="1342"/>
        <v>46112</v>
      </c>
      <c r="B8251" s="11" t="s">
        <v>7800</v>
      </c>
      <c r="C8251" s="7" t="s">
        <v>7284</v>
      </c>
      <c r="D8251" s="153"/>
      <c r="E8251" s="90" t="s">
        <v>2088</v>
      </c>
      <c r="G8251" s="2">
        <v>0</v>
      </c>
      <c r="H8251" s="166">
        <v>0</v>
      </c>
      <c r="I8251" s="88">
        <f t="shared" si="1345"/>
        <v>41287.899999999994</v>
      </c>
      <c r="K8251" s="62"/>
      <c r="L8251" s="2">
        <f t="shared" si="1346"/>
        <v>5</v>
      </c>
    </row>
    <row r="8252" spans="1:12" x14ac:dyDescent="0.3">
      <c r="A8252" s="3">
        <f t="shared" si="1342"/>
        <v>46112</v>
      </c>
      <c r="B8252" s="11" t="s">
        <v>7800</v>
      </c>
      <c r="C8252" s="7" t="s">
        <v>7284</v>
      </c>
      <c r="D8252" s="153"/>
      <c r="E8252" s="90" t="s">
        <v>2088</v>
      </c>
      <c r="G8252" s="2">
        <v>1500</v>
      </c>
      <c r="H8252" s="166">
        <v>0</v>
      </c>
      <c r="I8252" s="88">
        <f t="shared" si="1345"/>
        <v>42787.899999999994</v>
      </c>
      <c r="K8252" s="62"/>
      <c r="L8252" s="2">
        <f t="shared" si="1346"/>
        <v>11</v>
      </c>
    </row>
    <row r="8253" spans="1:12" x14ac:dyDescent="0.3">
      <c r="A8253" s="3">
        <f t="shared" si="1342"/>
        <v>46112</v>
      </c>
      <c r="B8253" s="11" t="s">
        <v>7005</v>
      </c>
      <c r="C8253" s="7" t="s">
        <v>7715</v>
      </c>
      <c r="D8253" s="153"/>
      <c r="E8253" s="90" t="s">
        <v>4720</v>
      </c>
      <c r="G8253" s="2">
        <v>0</v>
      </c>
      <c r="H8253" s="166">
        <v>0</v>
      </c>
      <c r="I8253" s="88">
        <f t="shared" si="1345"/>
        <v>42787.899999999994</v>
      </c>
      <c r="K8253" s="62"/>
      <c r="L8253" s="2">
        <f t="shared" si="1346"/>
        <v>0</v>
      </c>
    </row>
    <row r="8254" spans="1:12" x14ac:dyDescent="0.3">
      <c r="A8254" s="3">
        <f t="shared" si="1342"/>
        <v>46112</v>
      </c>
      <c r="B8254" s="11" t="s">
        <v>7005</v>
      </c>
      <c r="C8254" s="7" t="s">
        <v>7715</v>
      </c>
      <c r="D8254" s="153"/>
      <c r="E8254" s="90" t="s">
        <v>4720</v>
      </c>
      <c r="G8254" s="2">
        <v>2500</v>
      </c>
      <c r="H8254" s="166"/>
      <c r="I8254" s="88">
        <f t="shared" si="1345"/>
        <v>45287.899999999994</v>
      </c>
      <c r="K8254" s="62"/>
      <c r="L8254" s="2">
        <f t="shared" si="1346"/>
        <v>10</v>
      </c>
    </row>
    <row r="8255" spans="1:12" x14ac:dyDescent="0.3">
      <c r="A8255" s="3">
        <f t="shared" si="1342"/>
        <v>46112</v>
      </c>
      <c r="B8255" s="11" t="s">
        <v>10376</v>
      </c>
      <c r="C8255" s="7" t="s">
        <v>10377</v>
      </c>
      <c r="D8255" s="153"/>
      <c r="E8255" s="90" t="s">
        <v>4720</v>
      </c>
      <c r="H8255" s="166">
        <v>10000</v>
      </c>
      <c r="I8255" s="88">
        <f t="shared" si="1345"/>
        <v>35287.899999999994</v>
      </c>
      <c r="K8255" s="62"/>
      <c r="L8255" s="2">
        <f t="shared" si="1346"/>
        <v>20</v>
      </c>
    </row>
    <row r="8256" spans="1:12" x14ac:dyDescent="0.3">
      <c r="A8256" s="3">
        <f t="shared" si="1342"/>
        <v>46112</v>
      </c>
      <c r="B8256" s="11" t="s">
        <v>4396</v>
      </c>
      <c r="C8256" s="7" t="s">
        <v>8620</v>
      </c>
      <c r="D8256" s="153"/>
      <c r="E8256" s="90" t="s">
        <v>4720</v>
      </c>
      <c r="G8256" s="2">
        <v>1500</v>
      </c>
      <c r="H8256" s="166"/>
      <c r="I8256" s="88">
        <f t="shared" si="1345"/>
        <v>36787.899999999994</v>
      </c>
      <c r="K8256" s="62"/>
      <c r="L8256" s="2">
        <f t="shared" si="1346"/>
        <v>6</v>
      </c>
    </row>
    <row r="8257" spans="1:14" x14ac:dyDescent="0.3">
      <c r="A8257" s="3">
        <f t="shared" si="1342"/>
        <v>46112</v>
      </c>
      <c r="B8257" s="11" t="s">
        <v>9474</v>
      </c>
      <c r="C8257" s="7" t="s">
        <v>9475</v>
      </c>
      <c r="D8257" s="153"/>
      <c r="E8257" s="90" t="s">
        <v>4720</v>
      </c>
      <c r="H8257" s="166">
        <v>20000</v>
      </c>
      <c r="I8257" s="88">
        <f t="shared" si="1345"/>
        <v>16787.899999999994</v>
      </c>
      <c r="K8257" s="62"/>
      <c r="L8257" s="2">
        <f t="shared" si="1346"/>
        <v>20</v>
      </c>
    </row>
    <row r="8258" spans="1:14" x14ac:dyDescent="0.3">
      <c r="A8258" s="77">
        <f>COUNT(A8001:A8257)</f>
        <v>257</v>
      </c>
      <c r="B8258" s="80" t="s">
        <v>7120</v>
      </c>
      <c r="C8258" s="112">
        <f>SUMIF(E8001:E8257,"C",H8001:H8257)+SUMIF(E8001:E8257,"C",G8001:G8257)</f>
        <v>269000</v>
      </c>
      <c r="D8258" s="112">
        <f>COUNTIF(E8001:E8257,"P")</f>
        <v>90</v>
      </c>
      <c r="E8258" s="92">
        <f>COUNTIF(E8001:E8257,"Y")</f>
        <v>2</v>
      </c>
      <c r="F8258" s="80">
        <f>SUM(F4212)</f>
        <v>0</v>
      </c>
      <c r="G8258" s="121">
        <f>SUM(G8001:G8257)</f>
        <v>679200</v>
      </c>
      <c r="H8258" s="121">
        <f>SUM(H8001:H8257)</f>
        <v>671400</v>
      </c>
      <c r="I8258" s="121">
        <f>G8258+H8258-C8258</f>
        <v>1081600</v>
      </c>
      <c r="J8258" s="122"/>
      <c r="K8258" s="122">
        <f>D8258*5</f>
        <v>450</v>
      </c>
      <c r="L8258" s="121">
        <f>SUM(L8001:L8257)</f>
        <v>3558.0000000000009</v>
      </c>
      <c r="M8258" s="121">
        <f>SUM(M8001:M8257)</f>
        <v>0</v>
      </c>
      <c r="N8258" s="62">
        <f>((L8258+K8258)*0.8)*0.95</f>
        <v>3046.0800000000008</v>
      </c>
    </row>
    <row r="8260" spans="1:14" x14ac:dyDescent="0.3">
      <c r="A8260" s="3">
        <v>46113</v>
      </c>
      <c r="C8260" s="7" t="s">
        <v>10378</v>
      </c>
      <c r="D8260" s="153"/>
      <c r="E8260" s="90" t="s">
        <v>4720</v>
      </c>
      <c r="G8260" s="2">
        <f>16787+47.36</f>
        <v>16834.36</v>
      </c>
      <c r="H8260" s="166">
        <v>0</v>
      </c>
      <c r="I8260" s="88">
        <f t="shared" ref="I8260:I8274" si="1347">I8259+G8260-H8260</f>
        <v>16834.36</v>
      </c>
      <c r="K8260" s="62"/>
      <c r="L8260" s="2">
        <v>0</v>
      </c>
    </row>
    <row r="8261" spans="1:14" x14ac:dyDescent="0.3">
      <c r="A8261" s="3">
        <v>46113</v>
      </c>
      <c r="B8261" s="11" t="s">
        <v>1250</v>
      </c>
      <c r="C8261" s="7" t="s">
        <v>10235</v>
      </c>
      <c r="D8261" s="153"/>
      <c r="E8261" s="90" t="s">
        <v>4720</v>
      </c>
      <c r="G8261" s="2">
        <v>3000</v>
      </c>
      <c r="H8261" s="166"/>
      <c r="I8261" s="88">
        <f t="shared" si="1347"/>
        <v>19834.36</v>
      </c>
      <c r="K8261" s="62"/>
      <c r="L8261" s="2">
        <f t="shared" ref="L8261:L8274" si="1348">IF(E8261="C",0,IF((G8261+H8261)&lt;=5000,(G8261+H8261)*0.004,20)+IF(E8261="P",5,IF(E8261="Y",15,IF(E8261="YY",25))))</f>
        <v>12</v>
      </c>
    </row>
    <row r="8262" spans="1:14" x14ac:dyDescent="0.3">
      <c r="A8262" s="3">
        <f t="shared" ref="A8262:A8325" si="1349">A8261</f>
        <v>46113</v>
      </c>
      <c r="B8262" s="11" t="s">
        <v>6260</v>
      </c>
      <c r="C8262" s="7" t="s">
        <v>7117</v>
      </c>
      <c r="D8262" s="153"/>
      <c r="E8262" s="90" t="s">
        <v>4720</v>
      </c>
      <c r="H8262" s="166">
        <v>10000</v>
      </c>
      <c r="I8262" s="88">
        <f t="shared" si="1347"/>
        <v>9834.36</v>
      </c>
      <c r="K8262" s="62"/>
      <c r="L8262" s="2">
        <f t="shared" si="1348"/>
        <v>20</v>
      </c>
    </row>
    <row r="8263" spans="1:14" x14ac:dyDescent="0.3">
      <c r="A8263" s="3">
        <f t="shared" si="1349"/>
        <v>46113</v>
      </c>
      <c r="B8263" s="11" t="s">
        <v>8809</v>
      </c>
      <c r="C8263" s="7" t="s">
        <v>10379</v>
      </c>
      <c r="D8263" s="153"/>
      <c r="E8263" s="90" t="s">
        <v>4720</v>
      </c>
      <c r="G8263" s="2">
        <v>10000</v>
      </c>
      <c r="H8263" s="166"/>
      <c r="I8263" s="88">
        <f t="shared" si="1347"/>
        <v>19834.36</v>
      </c>
      <c r="K8263" s="62"/>
      <c r="L8263" s="2">
        <f t="shared" si="1348"/>
        <v>20</v>
      </c>
    </row>
    <row r="8264" spans="1:14" x14ac:dyDescent="0.3">
      <c r="A8264" s="3">
        <f t="shared" si="1349"/>
        <v>46113</v>
      </c>
      <c r="B8264" s="11" t="s">
        <v>1160</v>
      </c>
      <c r="C8264" s="7" t="s">
        <v>10380</v>
      </c>
      <c r="D8264" s="153"/>
      <c r="E8264" s="90" t="s">
        <v>4720</v>
      </c>
      <c r="G8264" s="2">
        <v>500</v>
      </c>
      <c r="H8264" s="166"/>
      <c r="I8264" s="88">
        <f t="shared" si="1347"/>
        <v>20334.36</v>
      </c>
      <c r="K8264" s="62"/>
      <c r="L8264" s="2">
        <f t="shared" si="1348"/>
        <v>2</v>
      </c>
    </row>
    <row r="8265" spans="1:14" x14ac:dyDescent="0.3">
      <c r="A8265" s="3">
        <f t="shared" si="1349"/>
        <v>46113</v>
      </c>
      <c r="B8265" s="11" t="s">
        <v>1160</v>
      </c>
      <c r="C8265" s="7" t="s">
        <v>10381</v>
      </c>
      <c r="D8265" s="153"/>
      <c r="E8265" s="90" t="s">
        <v>4720</v>
      </c>
      <c r="G8265" s="2">
        <v>500</v>
      </c>
      <c r="H8265" s="166"/>
      <c r="I8265" s="88">
        <f t="shared" si="1347"/>
        <v>20834.36</v>
      </c>
      <c r="K8265" s="62"/>
      <c r="L8265" s="2">
        <f t="shared" si="1348"/>
        <v>2</v>
      </c>
    </row>
    <row r="8266" spans="1:14" x14ac:dyDescent="0.3">
      <c r="A8266" s="3">
        <f t="shared" si="1349"/>
        <v>46113</v>
      </c>
      <c r="B8266" s="11" t="s">
        <v>9664</v>
      </c>
      <c r="C8266" s="7" t="s">
        <v>9847</v>
      </c>
      <c r="D8266" s="153"/>
      <c r="E8266" s="90" t="s">
        <v>2088</v>
      </c>
      <c r="G8266" s="2">
        <v>0</v>
      </c>
      <c r="H8266" s="166">
        <v>0</v>
      </c>
      <c r="I8266" s="88">
        <f t="shared" si="1347"/>
        <v>20834.36</v>
      </c>
      <c r="K8266" s="62"/>
      <c r="L8266" s="2">
        <f t="shared" si="1348"/>
        <v>5</v>
      </c>
    </row>
    <row r="8267" spans="1:14" x14ac:dyDescent="0.3">
      <c r="A8267" s="3">
        <f t="shared" si="1349"/>
        <v>46113</v>
      </c>
      <c r="B8267" s="11" t="s">
        <v>9664</v>
      </c>
      <c r="C8267" s="7" t="s">
        <v>9847</v>
      </c>
      <c r="D8267" s="153"/>
      <c r="E8267" s="90" t="s">
        <v>2088</v>
      </c>
      <c r="G8267" s="2">
        <v>2650</v>
      </c>
      <c r="H8267" s="166"/>
      <c r="I8267" s="88">
        <f t="shared" si="1347"/>
        <v>23484.36</v>
      </c>
      <c r="K8267" s="62"/>
      <c r="L8267" s="2">
        <f t="shared" si="1348"/>
        <v>15.6</v>
      </c>
    </row>
    <row r="8268" spans="1:14" x14ac:dyDescent="0.3">
      <c r="A8268" s="3">
        <f t="shared" si="1349"/>
        <v>46113</v>
      </c>
      <c r="B8268" s="11" t="s">
        <v>8320</v>
      </c>
      <c r="C8268" s="7" t="s">
        <v>10382</v>
      </c>
      <c r="D8268" s="153"/>
      <c r="E8268" s="90" t="s">
        <v>4720</v>
      </c>
      <c r="G8268" s="2">
        <v>1000</v>
      </c>
      <c r="H8268" s="166"/>
      <c r="I8268" s="88">
        <f t="shared" si="1347"/>
        <v>24484.36</v>
      </c>
      <c r="J8268" s="62"/>
      <c r="K8268" s="62"/>
      <c r="L8268" s="2">
        <f t="shared" si="1348"/>
        <v>4</v>
      </c>
    </row>
    <row r="8269" spans="1:14" x14ac:dyDescent="0.3">
      <c r="A8269" s="3">
        <v>46114</v>
      </c>
      <c r="B8269" s="11" t="s">
        <v>6260</v>
      </c>
      <c r="C8269" s="7" t="s">
        <v>7117</v>
      </c>
      <c r="D8269" s="153"/>
      <c r="E8269" s="90" t="s">
        <v>4720</v>
      </c>
      <c r="H8269" s="166">
        <v>5000</v>
      </c>
      <c r="I8269" s="88">
        <f t="shared" si="1347"/>
        <v>19484.36</v>
      </c>
      <c r="K8269" s="62"/>
      <c r="L8269" s="2">
        <f t="shared" si="1348"/>
        <v>20</v>
      </c>
    </row>
    <row r="8270" spans="1:14" x14ac:dyDescent="0.3">
      <c r="A8270" s="3">
        <f t="shared" si="1349"/>
        <v>46114</v>
      </c>
      <c r="B8270" s="11" t="s">
        <v>10384</v>
      </c>
      <c r="C8270" s="7" t="s">
        <v>10385</v>
      </c>
      <c r="D8270" s="153"/>
      <c r="E8270" s="90" t="s">
        <v>4720</v>
      </c>
      <c r="G8270" s="2">
        <v>3500</v>
      </c>
      <c r="H8270" s="166"/>
      <c r="I8270" s="88">
        <f t="shared" si="1347"/>
        <v>22984.36</v>
      </c>
      <c r="K8270" s="62"/>
      <c r="L8270" s="2">
        <f t="shared" si="1348"/>
        <v>14</v>
      </c>
    </row>
    <row r="8271" spans="1:14" x14ac:dyDescent="0.3">
      <c r="A8271" s="3">
        <f t="shared" si="1349"/>
        <v>46114</v>
      </c>
      <c r="B8271" s="11" t="s">
        <v>10388</v>
      </c>
      <c r="C8271" s="7" t="s">
        <v>10392</v>
      </c>
      <c r="D8271" s="153"/>
      <c r="E8271" s="90" t="s">
        <v>16</v>
      </c>
      <c r="H8271" s="166">
        <v>500</v>
      </c>
      <c r="I8271" s="88">
        <f t="shared" si="1347"/>
        <v>22484.36</v>
      </c>
      <c r="K8271" s="62"/>
      <c r="L8271" s="2">
        <f t="shared" si="1348"/>
        <v>17</v>
      </c>
    </row>
    <row r="8272" spans="1:14" x14ac:dyDescent="0.3">
      <c r="A8272" s="3">
        <f t="shared" si="1349"/>
        <v>46114</v>
      </c>
      <c r="B8272" s="11" t="s">
        <v>10389</v>
      </c>
      <c r="C8272" s="7" t="s">
        <v>10390</v>
      </c>
      <c r="D8272" s="153"/>
      <c r="E8272" s="90" t="s">
        <v>16</v>
      </c>
      <c r="H8272" s="166">
        <v>500</v>
      </c>
      <c r="I8272" s="88">
        <f t="shared" si="1347"/>
        <v>21984.36</v>
      </c>
      <c r="K8272" s="62"/>
      <c r="L8272" s="2">
        <f t="shared" si="1348"/>
        <v>17</v>
      </c>
    </row>
    <row r="8273" spans="1:12" x14ac:dyDescent="0.3">
      <c r="A8273" s="3">
        <f t="shared" si="1349"/>
        <v>46114</v>
      </c>
      <c r="B8273" s="11" t="s">
        <v>7255</v>
      </c>
      <c r="C8273" s="7" t="s">
        <v>252</v>
      </c>
      <c r="D8273" s="153"/>
      <c r="E8273" s="90" t="s">
        <v>2088</v>
      </c>
      <c r="G8273" s="2">
        <v>0</v>
      </c>
      <c r="H8273" s="166">
        <v>0</v>
      </c>
      <c r="I8273" s="88">
        <f t="shared" si="1347"/>
        <v>21984.36</v>
      </c>
      <c r="K8273" s="62"/>
      <c r="L8273" s="2">
        <f t="shared" si="1348"/>
        <v>5</v>
      </c>
    </row>
    <row r="8274" spans="1:12" x14ac:dyDescent="0.3">
      <c r="A8274" s="3">
        <f t="shared" si="1349"/>
        <v>46114</v>
      </c>
      <c r="B8274" s="11" t="s">
        <v>7255</v>
      </c>
      <c r="C8274" s="7" t="s">
        <v>252</v>
      </c>
      <c r="D8274" s="153"/>
      <c r="E8274" s="90" t="s">
        <v>2088</v>
      </c>
      <c r="G8274" s="2">
        <v>500</v>
      </c>
      <c r="H8274" s="166"/>
      <c r="I8274" s="88">
        <f t="shared" si="1347"/>
        <v>22484.36</v>
      </c>
      <c r="K8274" s="62"/>
      <c r="L8274" s="2">
        <f t="shared" si="1348"/>
        <v>7</v>
      </c>
    </row>
    <row r="8275" spans="1:12" x14ac:dyDescent="0.3">
      <c r="A8275" s="3">
        <f t="shared" si="1349"/>
        <v>46114</v>
      </c>
      <c r="B8275" s="11" t="s">
        <v>9482</v>
      </c>
      <c r="C8275" s="7" t="s">
        <v>6903</v>
      </c>
      <c r="D8275" s="153"/>
      <c r="E8275" s="90" t="s">
        <v>4720</v>
      </c>
      <c r="G8275" s="2">
        <v>10000</v>
      </c>
      <c r="H8275" s="166"/>
      <c r="I8275" s="88">
        <f t="shared" ref="I8275:I8292" si="1350">I8274+G8275-H8275</f>
        <v>32484.36</v>
      </c>
      <c r="K8275" s="62"/>
      <c r="L8275" s="2">
        <f t="shared" ref="L8275:L8292" si="1351">IF(E8275="C",0,IF((G8275+H8275)&lt;=5000,(G8275+H8275)*0.004,20)+IF(E8275="P",5,IF(E8275="Y",15,IF(E8275="YY",25))))</f>
        <v>20</v>
      </c>
    </row>
    <row r="8276" spans="1:12" x14ac:dyDescent="0.3">
      <c r="A8276" s="3">
        <f t="shared" si="1349"/>
        <v>46114</v>
      </c>
      <c r="B8276" s="11" t="s">
        <v>3543</v>
      </c>
      <c r="C8276" s="7" t="s">
        <v>2626</v>
      </c>
      <c r="D8276" s="153"/>
      <c r="E8276" s="90" t="s">
        <v>4720</v>
      </c>
      <c r="G8276" s="2">
        <v>2500</v>
      </c>
      <c r="H8276" s="166"/>
      <c r="I8276" s="88">
        <f t="shared" si="1350"/>
        <v>34984.36</v>
      </c>
      <c r="K8276" s="62"/>
      <c r="L8276" s="2">
        <f t="shared" si="1351"/>
        <v>10</v>
      </c>
    </row>
    <row r="8277" spans="1:12" x14ac:dyDescent="0.3">
      <c r="A8277" s="3">
        <f t="shared" si="1349"/>
        <v>46114</v>
      </c>
      <c r="B8277" s="11" t="s">
        <v>2241</v>
      </c>
      <c r="C8277" s="7" t="s">
        <v>8445</v>
      </c>
      <c r="D8277" s="153"/>
      <c r="E8277" s="90" t="s">
        <v>4720</v>
      </c>
      <c r="G8277" s="2">
        <v>10000</v>
      </c>
      <c r="H8277" s="166"/>
      <c r="I8277" s="88">
        <f t="shared" si="1350"/>
        <v>44984.36</v>
      </c>
      <c r="K8277" s="62"/>
      <c r="L8277" s="2">
        <f t="shared" si="1351"/>
        <v>20</v>
      </c>
    </row>
    <row r="8278" spans="1:12" x14ac:dyDescent="0.3">
      <c r="A8278" s="3">
        <f t="shared" si="1349"/>
        <v>46114</v>
      </c>
      <c r="B8278" s="11" t="s">
        <v>2448</v>
      </c>
      <c r="C8278" s="7" t="s">
        <v>2274</v>
      </c>
      <c r="D8278" s="153"/>
      <c r="E8278" s="90" t="s">
        <v>4720</v>
      </c>
      <c r="H8278" s="166">
        <v>7000</v>
      </c>
      <c r="I8278" s="88">
        <f t="shared" si="1350"/>
        <v>37984.36</v>
      </c>
      <c r="K8278" s="62"/>
      <c r="L8278" s="2">
        <f t="shared" si="1351"/>
        <v>20</v>
      </c>
    </row>
    <row r="8279" spans="1:12" x14ac:dyDescent="0.3">
      <c r="A8279" s="3">
        <f t="shared" si="1349"/>
        <v>46114</v>
      </c>
      <c r="B8279" s="11" t="s">
        <v>8880</v>
      </c>
      <c r="C8279" s="7" t="s">
        <v>8881</v>
      </c>
      <c r="D8279" s="153"/>
      <c r="E8279" s="90" t="s">
        <v>2088</v>
      </c>
      <c r="G8279" s="2">
        <v>3000</v>
      </c>
      <c r="H8279" s="166"/>
      <c r="I8279" s="88">
        <f t="shared" si="1350"/>
        <v>40984.36</v>
      </c>
      <c r="K8279" s="62"/>
      <c r="L8279" s="2">
        <f t="shared" si="1351"/>
        <v>17</v>
      </c>
    </row>
    <row r="8280" spans="1:12" x14ac:dyDescent="0.3">
      <c r="A8280" s="3">
        <v>46116</v>
      </c>
      <c r="B8280" s="11" t="s">
        <v>9903</v>
      </c>
      <c r="C8280" s="7" t="s">
        <v>10396</v>
      </c>
      <c r="D8280" s="153"/>
      <c r="E8280" s="90" t="s">
        <v>2088</v>
      </c>
      <c r="H8280" s="166">
        <v>500</v>
      </c>
      <c r="I8280" s="88">
        <f t="shared" si="1350"/>
        <v>40484.36</v>
      </c>
      <c r="K8280" s="62"/>
      <c r="L8280" s="2">
        <f t="shared" si="1351"/>
        <v>7</v>
      </c>
    </row>
    <row r="8281" spans="1:12" x14ac:dyDescent="0.3">
      <c r="A8281" s="3">
        <f t="shared" si="1349"/>
        <v>46116</v>
      </c>
      <c r="B8281" s="11" t="s">
        <v>9907</v>
      </c>
      <c r="C8281" s="7" t="s">
        <v>9909</v>
      </c>
      <c r="D8281" s="153"/>
      <c r="E8281" s="90" t="s">
        <v>2088</v>
      </c>
      <c r="H8281" s="166">
        <v>500</v>
      </c>
      <c r="I8281" s="88">
        <f t="shared" si="1350"/>
        <v>39984.36</v>
      </c>
      <c r="K8281" s="62"/>
      <c r="L8281" s="2">
        <f t="shared" si="1351"/>
        <v>7</v>
      </c>
    </row>
    <row r="8282" spans="1:12" x14ac:dyDescent="0.3">
      <c r="A8282" s="3">
        <f t="shared" si="1349"/>
        <v>46116</v>
      </c>
      <c r="B8282" s="11" t="s">
        <v>7405</v>
      </c>
      <c r="C8282" s="7" t="s">
        <v>9235</v>
      </c>
      <c r="D8282" s="153"/>
      <c r="E8282" s="90" t="s">
        <v>2088</v>
      </c>
      <c r="H8282" s="166">
        <v>6000</v>
      </c>
      <c r="I8282" s="88">
        <f t="shared" si="1350"/>
        <v>33984.36</v>
      </c>
      <c r="K8282" s="62"/>
      <c r="L8282" s="2">
        <f t="shared" si="1351"/>
        <v>25</v>
      </c>
    </row>
    <row r="8283" spans="1:12" x14ac:dyDescent="0.3">
      <c r="A8283" s="3">
        <f t="shared" si="1349"/>
        <v>46116</v>
      </c>
      <c r="B8283" s="11" t="s">
        <v>6260</v>
      </c>
      <c r="C8283" s="7" t="s">
        <v>7117</v>
      </c>
      <c r="D8283" s="153"/>
      <c r="E8283" s="90" t="s">
        <v>4720</v>
      </c>
      <c r="H8283" s="166">
        <v>5000</v>
      </c>
      <c r="I8283" s="88">
        <f t="shared" si="1350"/>
        <v>28984.36</v>
      </c>
      <c r="K8283" s="62"/>
      <c r="L8283" s="2">
        <f t="shared" si="1351"/>
        <v>20</v>
      </c>
    </row>
    <row r="8284" spans="1:12" x14ac:dyDescent="0.3">
      <c r="A8284" s="3">
        <f t="shared" si="1349"/>
        <v>46116</v>
      </c>
      <c r="B8284" s="11" t="s">
        <v>8950</v>
      </c>
      <c r="C8284" s="7" t="s">
        <v>10397</v>
      </c>
      <c r="D8284" s="153"/>
      <c r="E8284" s="90" t="s">
        <v>4720</v>
      </c>
      <c r="G8284" s="2">
        <v>4000</v>
      </c>
      <c r="H8284" s="166"/>
      <c r="I8284" s="88">
        <f t="shared" si="1350"/>
        <v>32984.36</v>
      </c>
      <c r="K8284" s="62"/>
      <c r="L8284" s="2">
        <f t="shared" si="1351"/>
        <v>16</v>
      </c>
    </row>
    <row r="8285" spans="1:12" x14ac:dyDescent="0.3">
      <c r="A8285" s="3">
        <f t="shared" si="1349"/>
        <v>46116</v>
      </c>
      <c r="B8285" s="11" t="s">
        <v>2448</v>
      </c>
      <c r="C8285" s="7" t="s">
        <v>2274</v>
      </c>
      <c r="D8285" s="153"/>
      <c r="E8285" s="90" t="s">
        <v>4720</v>
      </c>
      <c r="H8285" s="166">
        <v>9000</v>
      </c>
      <c r="I8285" s="88">
        <f t="shared" si="1350"/>
        <v>23984.36</v>
      </c>
      <c r="K8285" s="62"/>
      <c r="L8285" s="2">
        <f t="shared" si="1351"/>
        <v>20</v>
      </c>
    </row>
    <row r="8286" spans="1:12" x14ac:dyDescent="0.3">
      <c r="A8286" s="3">
        <f t="shared" si="1349"/>
        <v>46116</v>
      </c>
      <c r="B8286" s="11" t="s">
        <v>9540</v>
      </c>
      <c r="C8286" s="7" t="s">
        <v>9541</v>
      </c>
      <c r="D8286" s="153"/>
      <c r="E8286" s="90" t="s">
        <v>4720</v>
      </c>
      <c r="H8286" s="166">
        <v>1200</v>
      </c>
      <c r="I8286" s="88">
        <f t="shared" si="1350"/>
        <v>22784.36</v>
      </c>
      <c r="K8286" s="62"/>
      <c r="L8286" s="2">
        <f t="shared" si="1351"/>
        <v>4.8</v>
      </c>
    </row>
    <row r="8287" spans="1:12" x14ac:dyDescent="0.3">
      <c r="A8287" s="3">
        <f t="shared" si="1349"/>
        <v>46116</v>
      </c>
      <c r="B8287" s="11" t="s">
        <v>7870</v>
      </c>
      <c r="C8287" s="7" t="s">
        <v>8380</v>
      </c>
      <c r="D8287" s="153"/>
      <c r="E8287" s="90" t="s">
        <v>2088</v>
      </c>
      <c r="G8287" s="2">
        <v>5000</v>
      </c>
      <c r="H8287" s="166"/>
      <c r="I8287" s="88">
        <f t="shared" si="1350"/>
        <v>27784.36</v>
      </c>
      <c r="K8287" s="62"/>
      <c r="L8287" s="2">
        <f t="shared" si="1351"/>
        <v>25</v>
      </c>
    </row>
    <row r="8288" spans="1:12" x14ac:dyDescent="0.3">
      <c r="A8288" s="3">
        <f t="shared" si="1349"/>
        <v>46116</v>
      </c>
      <c r="B8288" s="11" t="s">
        <v>7514</v>
      </c>
      <c r="C8288" s="7" t="s">
        <v>6985</v>
      </c>
      <c r="D8288" s="153"/>
      <c r="E8288" s="90" t="s">
        <v>4720</v>
      </c>
      <c r="G8288" s="2">
        <v>3050</v>
      </c>
      <c r="H8288" s="166"/>
      <c r="I8288" s="88">
        <f t="shared" si="1350"/>
        <v>30834.36</v>
      </c>
      <c r="K8288" s="62"/>
      <c r="L8288" s="2">
        <f t="shared" si="1351"/>
        <v>12.200000000000001</v>
      </c>
    </row>
    <row r="8289" spans="1:12" x14ac:dyDescent="0.3">
      <c r="A8289" s="3">
        <f t="shared" si="1349"/>
        <v>46116</v>
      </c>
      <c r="B8289" s="11" t="s">
        <v>8052</v>
      </c>
      <c r="C8289" s="7" t="s">
        <v>4867</v>
      </c>
      <c r="D8289" s="153"/>
      <c r="E8289" s="90" t="s">
        <v>2088</v>
      </c>
      <c r="G8289" s="2">
        <v>10000</v>
      </c>
      <c r="H8289" s="166"/>
      <c r="I8289" s="88">
        <f t="shared" si="1350"/>
        <v>40834.36</v>
      </c>
      <c r="K8289" s="62"/>
      <c r="L8289" s="2">
        <f t="shared" si="1351"/>
        <v>25</v>
      </c>
    </row>
    <row r="8290" spans="1:12" x14ac:dyDescent="0.3">
      <c r="A8290" s="3">
        <v>46117</v>
      </c>
      <c r="B8290" s="11" t="s">
        <v>1250</v>
      </c>
      <c r="C8290" s="7" t="s">
        <v>10398</v>
      </c>
      <c r="D8290" s="153"/>
      <c r="E8290" s="90" t="s">
        <v>4720</v>
      </c>
      <c r="G8290" s="2">
        <v>1000</v>
      </c>
      <c r="H8290" s="166"/>
      <c r="I8290" s="88">
        <f t="shared" si="1350"/>
        <v>41834.36</v>
      </c>
      <c r="K8290" s="62"/>
      <c r="L8290" s="2">
        <f t="shared" si="1351"/>
        <v>4</v>
      </c>
    </row>
    <row r="8291" spans="1:12" x14ac:dyDescent="0.3">
      <c r="A8291" s="3">
        <f t="shared" si="1349"/>
        <v>46117</v>
      </c>
      <c r="B8291" s="11" t="s">
        <v>10194</v>
      </c>
      <c r="C8291" s="7" t="s">
        <v>10285</v>
      </c>
      <c r="D8291" s="153"/>
      <c r="E8291" s="90" t="s">
        <v>4720</v>
      </c>
      <c r="G8291" s="2">
        <v>8000</v>
      </c>
      <c r="H8291" s="166"/>
      <c r="I8291" s="88">
        <f t="shared" si="1350"/>
        <v>49834.36</v>
      </c>
      <c r="K8291" s="62"/>
      <c r="L8291" s="2">
        <f t="shared" si="1351"/>
        <v>20</v>
      </c>
    </row>
    <row r="8292" spans="1:12" x14ac:dyDescent="0.3">
      <c r="A8292" s="3">
        <f t="shared" si="1349"/>
        <v>46117</v>
      </c>
      <c r="B8292" s="11" t="s">
        <v>5604</v>
      </c>
      <c r="C8292" s="7" t="s">
        <v>5605</v>
      </c>
      <c r="D8292" s="153"/>
      <c r="E8292" s="90" t="s">
        <v>4720</v>
      </c>
      <c r="G8292" s="2">
        <v>600</v>
      </c>
      <c r="H8292" s="166"/>
      <c r="I8292" s="88">
        <f t="shared" si="1350"/>
        <v>50434.36</v>
      </c>
      <c r="K8292" s="62"/>
      <c r="L8292" s="2">
        <f t="shared" si="1351"/>
        <v>2.4</v>
      </c>
    </row>
    <row r="8293" spans="1:12" x14ac:dyDescent="0.3">
      <c r="A8293" s="3">
        <v>46118</v>
      </c>
      <c r="B8293" s="11" t="s">
        <v>6260</v>
      </c>
      <c r="C8293" s="7" t="s">
        <v>7117</v>
      </c>
      <c r="D8293" s="153"/>
      <c r="E8293" s="90" t="s">
        <v>4720</v>
      </c>
      <c r="H8293" s="166">
        <v>9000</v>
      </c>
      <c r="I8293" s="88">
        <f t="shared" ref="I8293:I8322" si="1352">I8292+G8293-H8293</f>
        <v>41434.36</v>
      </c>
      <c r="K8293" s="62"/>
      <c r="L8293" s="2">
        <f t="shared" ref="L8293:L8322" si="1353">IF(E8293="C",0,IF((G8293+H8293)&lt;=5000,(G8293+H8293)*0.004,20)+IF(E8293="P",5,IF(E8293="Y",15,IF(E8293="YY",25))))</f>
        <v>20</v>
      </c>
    </row>
    <row r="8294" spans="1:12" x14ac:dyDescent="0.3">
      <c r="A8294" s="3">
        <f t="shared" si="1349"/>
        <v>46118</v>
      </c>
      <c r="B8294" s="11" t="s">
        <v>10399</v>
      </c>
      <c r="C8294" s="7" t="s">
        <v>9757</v>
      </c>
      <c r="D8294" s="153"/>
      <c r="E8294" s="90" t="s">
        <v>2088</v>
      </c>
      <c r="G8294" s="2">
        <v>0</v>
      </c>
      <c r="H8294" s="166">
        <v>0</v>
      </c>
      <c r="I8294" s="88">
        <f t="shared" si="1352"/>
        <v>41434.36</v>
      </c>
      <c r="K8294" s="62"/>
      <c r="L8294" s="2">
        <f t="shared" si="1353"/>
        <v>5</v>
      </c>
    </row>
    <row r="8295" spans="1:12" x14ac:dyDescent="0.3">
      <c r="A8295" s="3">
        <f t="shared" si="1349"/>
        <v>46118</v>
      </c>
      <c r="B8295" s="11" t="s">
        <v>10399</v>
      </c>
      <c r="C8295" s="7" t="s">
        <v>9757</v>
      </c>
      <c r="D8295" s="153"/>
      <c r="E8295" s="90" t="s">
        <v>2088</v>
      </c>
      <c r="G8295" s="2">
        <v>2500</v>
      </c>
      <c r="H8295" s="166"/>
      <c r="I8295" s="88">
        <f t="shared" si="1352"/>
        <v>43934.36</v>
      </c>
      <c r="K8295" s="62"/>
      <c r="L8295" s="2">
        <f t="shared" si="1353"/>
        <v>15</v>
      </c>
    </row>
    <row r="8296" spans="1:12" x14ac:dyDescent="0.3">
      <c r="A8296" s="3">
        <f t="shared" si="1349"/>
        <v>46118</v>
      </c>
      <c r="B8296" s="11" t="s">
        <v>7026</v>
      </c>
      <c r="C8296" s="7" t="s">
        <v>8886</v>
      </c>
      <c r="D8296" s="153"/>
      <c r="E8296" s="90" t="s">
        <v>7772</v>
      </c>
      <c r="G8296" s="2">
        <v>0</v>
      </c>
      <c r="H8296" s="166">
        <v>0</v>
      </c>
      <c r="I8296" s="88">
        <f t="shared" si="1352"/>
        <v>43934.36</v>
      </c>
      <c r="K8296" s="62"/>
      <c r="L8296" s="2">
        <f t="shared" si="1353"/>
        <v>5</v>
      </c>
    </row>
    <row r="8297" spans="1:12" x14ac:dyDescent="0.3">
      <c r="A8297" s="3">
        <f t="shared" si="1349"/>
        <v>46118</v>
      </c>
      <c r="B8297" s="11" t="s">
        <v>7026</v>
      </c>
      <c r="C8297" s="7" t="s">
        <v>8886</v>
      </c>
      <c r="D8297" s="153"/>
      <c r="E8297" s="90" t="s">
        <v>7772</v>
      </c>
      <c r="G8297" s="2">
        <v>3000</v>
      </c>
      <c r="H8297" s="166"/>
      <c r="I8297" s="88">
        <f t="shared" si="1352"/>
        <v>46934.36</v>
      </c>
      <c r="K8297" s="62"/>
      <c r="L8297" s="2">
        <f t="shared" si="1353"/>
        <v>17</v>
      </c>
    </row>
    <row r="8298" spans="1:12" x14ac:dyDescent="0.3">
      <c r="A8298" s="3">
        <f t="shared" si="1349"/>
        <v>46118</v>
      </c>
      <c r="B8298" s="11" t="s">
        <v>6257</v>
      </c>
      <c r="C8298" s="7" t="s">
        <v>4437</v>
      </c>
      <c r="D8298" s="153"/>
      <c r="E8298" s="90" t="s">
        <v>4720</v>
      </c>
      <c r="G8298" s="2">
        <v>1900</v>
      </c>
      <c r="H8298" s="166"/>
      <c r="I8298" s="88">
        <f t="shared" si="1352"/>
        <v>48834.36</v>
      </c>
      <c r="K8298" s="62"/>
      <c r="L8298" s="2">
        <f t="shared" si="1353"/>
        <v>7.6000000000000005</v>
      </c>
    </row>
    <row r="8299" spans="1:12" x14ac:dyDescent="0.3">
      <c r="A8299" s="3">
        <f t="shared" si="1349"/>
        <v>46118</v>
      </c>
      <c r="B8299" s="11" t="s">
        <v>1250</v>
      </c>
      <c r="C8299" s="7" t="s">
        <v>10401</v>
      </c>
      <c r="D8299" s="153"/>
      <c r="E8299" s="90" t="s">
        <v>4720</v>
      </c>
      <c r="G8299" s="2">
        <v>2000</v>
      </c>
      <c r="H8299" s="166"/>
      <c r="I8299" s="88">
        <f t="shared" si="1352"/>
        <v>50834.36</v>
      </c>
      <c r="K8299" s="62"/>
      <c r="L8299" s="2">
        <f t="shared" si="1353"/>
        <v>8</v>
      </c>
    </row>
    <row r="8300" spans="1:12" x14ac:dyDescent="0.3">
      <c r="A8300" s="3">
        <f t="shared" si="1349"/>
        <v>46118</v>
      </c>
      <c r="B8300" s="11" t="s">
        <v>6687</v>
      </c>
      <c r="C8300" s="7" t="s">
        <v>10402</v>
      </c>
      <c r="D8300" s="153"/>
      <c r="E8300" s="90" t="s">
        <v>4720</v>
      </c>
      <c r="G8300" s="2">
        <v>1000</v>
      </c>
      <c r="H8300" s="166"/>
      <c r="I8300" s="88">
        <f t="shared" si="1352"/>
        <v>51834.36</v>
      </c>
      <c r="K8300" s="62"/>
      <c r="L8300" s="2">
        <f t="shared" si="1353"/>
        <v>4</v>
      </c>
    </row>
    <row r="8301" spans="1:12" x14ac:dyDescent="0.3">
      <c r="A8301" s="3">
        <f t="shared" si="1349"/>
        <v>46118</v>
      </c>
      <c r="B8301" s="11" t="s">
        <v>10407</v>
      </c>
      <c r="C8301" s="7" t="s">
        <v>10418</v>
      </c>
      <c r="D8301" s="153"/>
      <c r="E8301" s="90" t="s">
        <v>16</v>
      </c>
      <c r="H8301" s="166">
        <v>2000</v>
      </c>
      <c r="I8301" s="88">
        <f t="shared" si="1352"/>
        <v>49834.36</v>
      </c>
      <c r="K8301" s="62"/>
      <c r="L8301" s="2">
        <f t="shared" si="1353"/>
        <v>23</v>
      </c>
    </row>
    <row r="8302" spans="1:12" x14ac:dyDescent="0.3">
      <c r="A8302" s="3">
        <f t="shared" si="1349"/>
        <v>46118</v>
      </c>
      <c r="B8302" s="11" t="s">
        <v>10408</v>
      </c>
      <c r="C8302" s="7" t="s">
        <v>10409</v>
      </c>
      <c r="D8302" s="153"/>
      <c r="E8302" s="90" t="s">
        <v>16</v>
      </c>
      <c r="H8302" s="166">
        <v>2000</v>
      </c>
      <c r="I8302" s="88">
        <f t="shared" si="1352"/>
        <v>47834.36</v>
      </c>
      <c r="K8302" s="62"/>
      <c r="L8302" s="2">
        <f t="shared" si="1353"/>
        <v>23</v>
      </c>
    </row>
    <row r="8303" spans="1:12" x14ac:dyDescent="0.3">
      <c r="A8303" s="3">
        <f t="shared" si="1349"/>
        <v>46118</v>
      </c>
      <c r="B8303" s="11" t="s">
        <v>10405</v>
      </c>
      <c r="C8303" s="7" t="s">
        <v>50</v>
      </c>
      <c r="D8303" s="153"/>
      <c r="E8303" s="90" t="s">
        <v>4720</v>
      </c>
      <c r="H8303" s="166">
        <v>1500</v>
      </c>
      <c r="I8303" s="88">
        <f t="shared" si="1352"/>
        <v>46334.36</v>
      </c>
      <c r="K8303" s="62"/>
      <c r="L8303" s="2">
        <f t="shared" si="1353"/>
        <v>6</v>
      </c>
    </row>
    <row r="8304" spans="1:12" x14ac:dyDescent="0.3">
      <c r="A8304" s="3">
        <v>46119</v>
      </c>
      <c r="B8304" s="11" t="s">
        <v>4561</v>
      </c>
      <c r="C8304" s="7" t="s">
        <v>7920</v>
      </c>
      <c r="D8304" s="153"/>
      <c r="E8304" s="90" t="s">
        <v>2088</v>
      </c>
      <c r="H8304" s="166">
        <v>10000</v>
      </c>
      <c r="I8304" s="88">
        <f t="shared" si="1352"/>
        <v>36334.36</v>
      </c>
      <c r="K8304" s="62"/>
      <c r="L8304" s="2">
        <f t="shared" si="1353"/>
        <v>25</v>
      </c>
    </row>
    <row r="8305" spans="1:12" x14ac:dyDescent="0.3">
      <c r="A8305" s="3">
        <f t="shared" si="1349"/>
        <v>46119</v>
      </c>
      <c r="B8305" s="11" t="s">
        <v>6260</v>
      </c>
      <c r="C8305" s="7" t="s">
        <v>7117</v>
      </c>
      <c r="D8305" s="153"/>
      <c r="E8305" s="90" t="s">
        <v>4720</v>
      </c>
      <c r="H8305" s="166">
        <v>5500</v>
      </c>
      <c r="I8305" s="88">
        <f t="shared" si="1352"/>
        <v>30834.36</v>
      </c>
      <c r="K8305" s="62"/>
      <c r="L8305" s="2">
        <f t="shared" si="1353"/>
        <v>20</v>
      </c>
    </row>
    <row r="8306" spans="1:12" x14ac:dyDescent="0.3">
      <c r="A8306" s="3">
        <f t="shared" si="1349"/>
        <v>46119</v>
      </c>
      <c r="B8306" s="11" t="s">
        <v>10221</v>
      </c>
      <c r="C8306" s="7" t="s">
        <v>10280</v>
      </c>
      <c r="D8306" s="153"/>
      <c r="E8306" s="90" t="s">
        <v>2088</v>
      </c>
      <c r="H8306" s="166">
        <v>5000</v>
      </c>
      <c r="I8306" s="88">
        <f t="shared" si="1352"/>
        <v>25834.36</v>
      </c>
      <c r="K8306" s="62"/>
      <c r="L8306" s="2">
        <f t="shared" si="1353"/>
        <v>25</v>
      </c>
    </row>
    <row r="8307" spans="1:12" x14ac:dyDescent="0.3">
      <c r="A8307" s="3">
        <f t="shared" si="1349"/>
        <v>46119</v>
      </c>
      <c r="B8307" s="11" t="s">
        <v>2448</v>
      </c>
      <c r="C8307" s="7" t="s">
        <v>2274</v>
      </c>
      <c r="D8307" s="153"/>
      <c r="E8307" s="90" t="s">
        <v>4720</v>
      </c>
      <c r="H8307" s="166">
        <v>16000</v>
      </c>
      <c r="I8307" s="88">
        <f t="shared" si="1352"/>
        <v>9834.36</v>
      </c>
      <c r="K8307" s="62"/>
      <c r="L8307" s="2">
        <f t="shared" si="1353"/>
        <v>20</v>
      </c>
    </row>
    <row r="8308" spans="1:12" x14ac:dyDescent="0.3">
      <c r="A8308" s="3">
        <f t="shared" si="1349"/>
        <v>46119</v>
      </c>
      <c r="B8308" s="11" t="s">
        <v>1250</v>
      </c>
      <c r="C8308" s="7" t="s">
        <v>10406</v>
      </c>
      <c r="D8308" s="153"/>
      <c r="E8308" s="90" t="s">
        <v>4720</v>
      </c>
      <c r="G8308" s="2">
        <v>10000</v>
      </c>
      <c r="H8308" s="166"/>
      <c r="I8308" s="88">
        <f t="shared" si="1352"/>
        <v>19834.36</v>
      </c>
      <c r="K8308" s="62"/>
      <c r="L8308" s="2">
        <f t="shared" si="1353"/>
        <v>20</v>
      </c>
    </row>
    <row r="8309" spans="1:12" x14ac:dyDescent="0.3">
      <c r="A8309" s="3">
        <f t="shared" si="1349"/>
        <v>46119</v>
      </c>
      <c r="B8309" s="11" t="s">
        <v>3148</v>
      </c>
      <c r="C8309" s="7" t="s">
        <v>10282</v>
      </c>
      <c r="D8309" s="153"/>
      <c r="E8309" s="90" t="s">
        <v>4720</v>
      </c>
      <c r="G8309" s="2">
        <v>1000</v>
      </c>
      <c r="H8309" s="166"/>
      <c r="I8309" s="88">
        <f t="shared" si="1352"/>
        <v>20834.36</v>
      </c>
      <c r="K8309" s="62"/>
      <c r="L8309" s="2">
        <f t="shared" si="1353"/>
        <v>4</v>
      </c>
    </row>
    <row r="8310" spans="1:12" x14ac:dyDescent="0.3">
      <c r="A8310" s="3">
        <f t="shared" si="1349"/>
        <v>46119</v>
      </c>
      <c r="B8310" s="11" t="s">
        <v>1250</v>
      </c>
      <c r="C8310" s="7" t="s">
        <v>2348</v>
      </c>
      <c r="D8310" s="153"/>
      <c r="E8310" s="90" t="s">
        <v>4720</v>
      </c>
      <c r="G8310" s="2">
        <v>4500</v>
      </c>
      <c r="H8310" s="166"/>
      <c r="I8310" s="88">
        <f t="shared" si="1352"/>
        <v>25334.36</v>
      </c>
      <c r="K8310" s="62"/>
      <c r="L8310" s="2">
        <f t="shared" si="1353"/>
        <v>18</v>
      </c>
    </row>
    <row r="8311" spans="1:12" x14ac:dyDescent="0.3">
      <c r="A8311" s="3">
        <f t="shared" si="1349"/>
        <v>46119</v>
      </c>
      <c r="B8311" s="11" t="s">
        <v>6289</v>
      </c>
      <c r="C8311" s="7" t="s">
        <v>6288</v>
      </c>
      <c r="D8311" s="153"/>
      <c r="E8311" s="90" t="s">
        <v>4720</v>
      </c>
      <c r="G8311" s="2">
        <v>2000</v>
      </c>
      <c r="H8311" s="166"/>
      <c r="I8311" s="88">
        <f t="shared" si="1352"/>
        <v>27334.36</v>
      </c>
      <c r="K8311" s="62"/>
      <c r="L8311" s="2">
        <f t="shared" si="1353"/>
        <v>8</v>
      </c>
    </row>
    <row r="8312" spans="1:12" x14ac:dyDescent="0.3">
      <c r="A8312" s="3">
        <f t="shared" si="1349"/>
        <v>46119</v>
      </c>
      <c r="B8312" s="11" t="s">
        <v>10408</v>
      </c>
      <c r="C8312" s="7" t="s">
        <v>10409</v>
      </c>
      <c r="D8312" s="153"/>
      <c r="E8312" s="90" t="s">
        <v>2088</v>
      </c>
      <c r="G8312" s="2">
        <v>0</v>
      </c>
      <c r="H8312" s="166">
        <v>0</v>
      </c>
      <c r="I8312" s="88">
        <f t="shared" si="1352"/>
        <v>27334.36</v>
      </c>
      <c r="K8312" s="62"/>
      <c r="L8312" s="2">
        <f t="shared" si="1353"/>
        <v>5</v>
      </c>
    </row>
    <row r="8313" spans="1:12" x14ac:dyDescent="0.3">
      <c r="A8313" s="3">
        <f t="shared" si="1349"/>
        <v>46119</v>
      </c>
      <c r="B8313" s="11" t="s">
        <v>10407</v>
      </c>
      <c r="C8313" s="7" t="s">
        <v>10421</v>
      </c>
      <c r="D8313" s="153"/>
      <c r="E8313" s="90" t="s">
        <v>2088</v>
      </c>
      <c r="G8313" s="2">
        <v>0</v>
      </c>
      <c r="H8313" s="166">
        <v>0</v>
      </c>
      <c r="I8313" s="88">
        <f t="shared" si="1352"/>
        <v>27334.36</v>
      </c>
      <c r="K8313" s="62"/>
      <c r="L8313" s="2">
        <f t="shared" si="1353"/>
        <v>5</v>
      </c>
    </row>
    <row r="8314" spans="1:12" x14ac:dyDescent="0.3">
      <c r="A8314" s="3">
        <f t="shared" si="1349"/>
        <v>46119</v>
      </c>
      <c r="B8314" s="11" t="s">
        <v>10422</v>
      </c>
      <c r="C8314" s="7" t="s">
        <v>8849</v>
      </c>
      <c r="D8314" s="153"/>
      <c r="E8314" s="90" t="s">
        <v>4720</v>
      </c>
      <c r="H8314" s="166">
        <v>500</v>
      </c>
      <c r="I8314" s="88">
        <f t="shared" si="1352"/>
        <v>26834.36</v>
      </c>
      <c r="K8314" s="62"/>
      <c r="L8314" s="2">
        <f t="shared" si="1353"/>
        <v>2</v>
      </c>
    </row>
    <row r="8315" spans="1:12" x14ac:dyDescent="0.3">
      <c r="A8315" s="3">
        <f t="shared" si="1349"/>
        <v>46119</v>
      </c>
      <c r="B8315" s="11" t="s">
        <v>10334</v>
      </c>
      <c r="C8315" s="7" t="s">
        <v>10423</v>
      </c>
      <c r="D8315" s="153"/>
      <c r="E8315" s="90" t="s">
        <v>4720</v>
      </c>
      <c r="H8315" s="166">
        <v>1500</v>
      </c>
      <c r="I8315" s="88">
        <f t="shared" si="1352"/>
        <v>25334.36</v>
      </c>
      <c r="K8315" s="62"/>
      <c r="L8315" s="2">
        <f t="shared" si="1353"/>
        <v>6</v>
      </c>
    </row>
    <row r="8316" spans="1:12" x14ac:dyDescent="0.3">
      <c r="A8316" s="3">
        <v>46120</v>
      </c>
      <c r="B8316" s="11" t="s">
        <v>6260</v>
      </c>
      <c r="C8316" s="7" t="s">
        <v>7117</v>
      </c>
      <c r="D8316" s="153"/>
      <c r="E8316" s="90" t="s">
        <v>4720</v>
      </c>
      <c r="H8316" s="166">
        <v>4500</v>
      </c>
      <c r="I8316" s="88">
        <f t="shared" si="1352"/>
        <v>20834.36</v>
      </c>
      <c r="K8316" s="62"/>
      <c r="L8316" s="2">
        <f t="shared" si="1353"/>
        <v>18</v>
      </c>
    </row>
    <row r="8317" spans="1:12" x14ac:dyDescent="0.3">
      <c r="A8317" s="3">
        <f t="shared" si="1349"/>
        <v>46120</v>
      </c>
      <c r="B8317" s="11" t="s">
        <v>2448</v>
      </c>
      <c r="C8317" s="7" t="s">
        <v>2274</v>
      </c>
      <c r="D8317" s="153"/>
      <c r="E8317" s="90" t="s">
        <v>4720</v>
      </c>
      <c r="H8317" s="166">
        <v>8000</v>
      </c>
      <c r="I8317" s="88">
        <f t="shared" si="1352"/>
        <v>12834.36</v>
      </c>
      <c r="K8317" s="62"/>
      <c r="L8317" s="2">
        <f t="shared" si="1353"/>
        <v>20</v>
      </c>
    </row>
    <row r="8318" spans="1:12" x14ac:dyDescent="0.3">
      <c r="A8318" s="3">
        <f t="shared" si="1349"/>
        <v>46120</v>
      </c>
      <c r="B8318" s="11" t="s">
        <v>10424</v>
      </c>
      <c r="C8318" s="7" t="s">
        <v>7710</v>
      </c>
      <c r="D8318" s="153"/>
      <c r="E8318" s="90" t="s">
        <v>4720</v>
      </c>
      <c r="G8318" s="2">
        <v>10000</v>
      </c>
      <c r="H8318" s="166"/>
      <c r="I8318" s="88">
        <f t="shared" si="1352"/>
        <v>22834.36</v>
      </c>
      <c r="K8318" s="62"/>
      <c r="L8318" s="2">
        <f t="shared" si="1353"/>
        <v>20</v>
      </c>
    </row>
    <row r="8319" spans="1:12" x14ac:dyDescent="0.3">
      <c r="A8319" s="3">
        <f t="shared" si="1349"/>
        <v>46120</v>
      </c>
      <c r="B8319" s="11" t="s">
        <v>1160</v>
      </c>
      <c r="C8319" s="7" t="s">
        <v>3701</v>
      </c>
      <c r="D8319" s="153"/>
      <c r="E8319" s="90" t="s">
        <v>4720</v>
      </c>
      <c r="G8319" s="2">
        <v>2000</v>
      </c>
      <c r="H8319" s="166"/>
      <c r="I8319" s="88">
        <f t="shared" si="1352"/>
        <v>24834.36</v>
      </c>
      <c r="K8319" s="62"/>
      <c r="L8319" s="2">
        <f t="shared" si="1353"/>
        <v>8</v>
      </c>
    </row>
    <row r="8320" spans="1:12" x14ac:dyDescent="0.3">
      <c r="A8320" s="3">
        <f t="shared" si="1349"/>
        <v>46120</v>
      </c>
      <c r="B8320" s="11" t="s">
        <v>9393</v>
      </c>
      <c r="C8320" s="7" t="s">
        <v>2013</v>
      </c>
      <c r="D8320" s="153"/>
      <c r="E8320" s="90" t="s">
        <v>2088</v>
      </c>
      <c r="G8320" s="2">
        <v>1500</v>
      </c>
      <c r="H8320" s="166"/>
      <c r="I8320" s="88">
        <f t="shared" si="1352"/>
        <v>26334.36</v>
      </c>
      <c r="K8320" s="62"/>
      <c r="L8320" s="2">
        <f t="shared" si="1353"/>
        <v>11</v>
      </c>
    </row>
    <row r="8321" spans="1:12" x14ac:dyDescent="0.3">
      <c r="A8321" s="3">
        <f t="shared" si="1349"/>
        <v>46120</v>
      </c>
      <c r="B8321" s="11" t="s">
        <v>10425</v>
      </c>
      <c r="C8321" s="7" t="s">
        <v>8735</v>
      </c>
      <c r="D8321" s="153"/>
      <c r="E8321" s="90" t="s">
        <v>4720</v>
      </c>
      <c r="H8321" s="166">
        <v>500</v>
      </c>
      <c r="I8321" s="88">
        <f t="shared" si="1352"/>
        <v>25834.36</v>
      </c>
      <c r="K8321" s="62"/>
      <c r="L8321" s="2">
        <f t="shared" si="1353"/>
        <v>2</v>
      </c>
    </row>
    <row r="8322" spans="1:12" x14ac:dyDescent="0.3">
      <c r="A8322" s="3">
        <f t="shared" si="1349"/>
        <v>46120</v>
      </c>
      <c r="B8322" s="11" t="s">
        <v>8320</v>
      </c>
      <c r="C8322" s="7" t="s">
        <v>10426</v>
      </c>
      <c r="D8322" s="153" t="s">
        <v>10427</v>
      </c>
      <c r="E8322" s="90" t="s">
        <v>4720</v>
      </c>
      <c r="G8322" s="2">
        <v>2400</v>
      </c>
      <c r="H8322" s="166"/>
      <c r="I8322" s="88">
        <f t="shared" si="1352"/>
        <v>28234.36</v>
      </c>
      <c r="K8322" s="62"/>
      <c r="L8322" s="2">
        <f t="shared" si="1353"/>
        <v>9.6</v>
      </c>
    </row>
    <row r="8323" spans="1:12" x14ac:dyDescent="0.3">
      <c r="A8323" s="3">
        <f t="shared" si="1349"/>
        <v>46120</v>
      </c>
      <c r="B8323" s="11" t="s">
        <v>8676</v>
      </c>
      <c r="C8323" s="7" t="s">
        <v>10428</v>
      </c>
      <c r="D8323" s="153"/>
      <c r="E8323" s="90" t="s">
        <v>7772</v>
      </c>
      <c r="H8323" s="166"/>
      <c r="I8323" s="88">
        <f t="shared" ref="I8323:I8332" si="1354">I8322+G8323-H8323</f>
        <v>28234.36</v>
      </c>
      <c r="K8323" s="62"/>
      <c r="L8323" s="2">
        <f t="shared" ref="L8323:L8332" si="1355">IF(E8323="C",0,IF((G8323+H8323)&lt;=5000,(G8323+H8323)*0.004,20)+IF(E8323="P",5,IF(E8323="Y",15,IF(E8323="YY",25))))</f>
        <v>5</v>
      </c>
    </row>
    <row r="8324" spans="1:12" x14ac:dyDescent="0.3">
      <c r="A8324" s="3">
        <f t="shared" si="1349"/>
        <v>46120</v>
      </c>
      <c r="B8324" s="11" t="s">
        <v>8676</v>
      </c>
      <c r="C8324" s="7" t="s">
        <v>10428</v>
      </c>
      <c r="D8324" s="153"/>
      <c r="E8324" s="90" t="s">
        <v>7772</v>
      </c>
      <c r="G8324" s="2">
        <v>10000</v>
      </c>
      <c r="H8324" s="166"/>
      <c r="I8324" s="88">
        <f t="shared" si="1354"/>
        <v>38234.36</v>
      </c>
      <c r="K8324" s="62"/>
      <c r="L8324" s="2">
        <f t="shared" si="1355"/>
        <v>25</v>
      </c>
    </row>
    <row r="8325" spans="1:12" x14ac:dyDescent="0.3">
      <c r="A8325" s="3">
        <f t="shared" si="1349"/>
        <v>46120</v>
      </c>
      <c r="B8325" s="11" t="s">
        <v>2743</v>
      </c>
      <c r="C8325" s="7" t="s">
        <v>9516</v>
      </c>
      <c r="D8325" s="153"/>
      <c r="E8325" s="90" t="s">
        <v>4720</v>
      </c>
      <c r="G8325" s="2">
        <v>10000</v>
      </c>
      <c r="H8325" s="166"/>
      <c r="I8325" s="88">
        <f t="shared" si="1354"/>
        <v>48234.36</v>
      </c>
      <c r="K8325" s="62"/>
      <c r="L8325" s="2">
        <f t="shared" si="1355"/>
        <v>20</v>
      </c>
    </row>
    <row r="8326" spans="1:12" x14ac:dyDescent="0.3">
      <c r="A8326" s="3">
        <f t="shared" ref="A8326:A8389" si="1356">A8325</f>
        <v>46120</v>
      </c>
      <c r="B8326" s="11" t="s">
        <v>10429</v>
      </c>
      <c r="C8326" s="7" t="s">
        <v>10430</v>
      </c>
      <c r="D8326" s="153"/>
      <c r="E8326" s="90" t="s">
        <v>2088</v>
      </c>
      <c r="G8326" s="2">
        <v>0</v>
      </c>
      <c r="H8326" s="166">
        <v>0</v>
      </c>
      <c r="I8326" s="88">
        <f t="shared" si="1354"/>
        <v>48234.36</v>
      </c>
      <c r="K8326" s="62"/>
      <c r="L8326" s="2">
        <f t="shared" si="1355"/>
        <v>5</v>
      </c>
    </row>
    <row r="8327" spans="1:12" x14ac:dyDescent="0.3">
      <c r="A8327" s="3">
        <f t="shared" si="1356"/>
        <v>46120</v>
      </c>
      <c r="B8327" s="11" t="s">
        <v>8674</v>
      </c>
      <c r="C8327" s="7" t="s">
        <v>10382</v>
      </c>
      <c r="D8327" s="153"/>
      <c r="E8327" s="90" t="s">
        <v>2088</v>
      </c>
      <c r="G8327" s="2">
        <v>0</v>
      </c>
      <c r="H8327" s="166">
        <v>0</v>
      </c>
      <c r="I8327" s="88">
        <f t="shared" si="1354"/>
        <v>48234.36</v>
      </c>
      <c r="K8327" s="62"/>
      <c r="L8327" s="2">
        <f t="shared" si="1355"/>
        <v>5</v>
      </c>
    </row>
    <row r="8328" spans="1:12" x14ac:dyDescent="0.3">
      <c r="A8328" s="3">
        <f t="shared" si="1356"/>
        <v>46120</v>
      </c>
      <c r="B8328" s="11" t="s">
        <v>8674</v>
      </c>
      <c r="C8328" s="7" t="s">
        <v>10382</v>
      </c>
      <c r="D8328" s="153"/>
      <c r="E8328" s="90" t="s">
        <v>4720</v>
      </c>
      <c r="G8328" s="2">
        <v>1500</v>
      </c>
      <c r="H8328" s="166"/>
      <c r="I8328" s="88">
        <f t="shared" si="1354"/>
        <v>49734.36</v>
      </c>
      <c r="K8328" s="62"/>
      <c r="L8328" s="2">
        <f t="shared" si="1355"/>
        <v>6</v>
      </c>
    </row>
    <row r="8329" spans="1:12" x14ac:dyDescent="0.3">
      <c r="A8329" s="3">
        <v>46121</v>
      </c>
      <c r="B8329" s="11" t="s">
        <v>2351</v>
      </c>
      <c r="C8329" s="7"/>
      <c r="D8329" s="153"/>
      <c r="E8329" s="90" t="s">
        <v>4720</v>
      </c>
      <c r="G8329" s="2">
        <v>500</v>
      </c>
      <c r="H8329" s="166"/>
      <c r="I8329" s="88">
        <f t="shared" si="1354"/>
        <v>50234.36</v>
      </c>
      <c r="K8329" s="62"/>
      <c r="L8329" s="2">
        <f t="shared" si="1355"/>
        <v>2</v>
      </c>
    </row>
    <row r="8330" spans="1:12" x14ac:dyDescent="0.3">
      <c r="A8330" s="3">
        <f t="shared" si="1356"/>
        <v>46121</v>
      </c>
      <c r="B8330" s="11" t="s">
        <v>6486</v>
      </c>
      <c r="C8330" s="7" t="s">
        <v>8841</v>
      </c>
      <c r="D8330" s="153"/>
      <c r="E8330" s="90" t="s">
        <v>2088</v>
      </c>
      <c r="G8330" s="2">
        <v>2000</v>
      </c>
      <c r="H8330" s="166"/>
      <c r="I8330" s="88">
        <f t="shared" si="1354"/>
        <v>52234.36</v>
      </c>
      <c r="K8330" s="62"/>
      <c r="L8330" s="2">
        <f t="shared" si="1355"/>
        <v>13</v>
      </c>
    </row>
    <row r="8331" spans="1:12" x14ac:dyDescent="0.3">
      <c r="A8331" s="3">
        <f t="shared" si="1356"/>
        <v>46121</v>
      </c>
      <c r="B8331" s="11" t="s">
        <v>10436</v>
      </c>
      <c r="C8331" s="7" t="s">
        <v>10432</v>
      </c>
      <c r="D8331" s="153"/>
      <c r="E8331" s="90" t="s">
        <v>14</v>
      </c>
      <c r="H8331" s="166">
        <v>2000</v>
      </c>
      <c r="I8331" s="88">
        <f t="shared" si="1354"/>
        <v>50234.36</v>
      </c>
      <c r="K8331" s="62"/>
      <c r="L8331" s="2">
        <f t="shared" si="1355"/>
        <v>23</v>
      </c>
    </row>
    <row r="8332" spans="1:12" x14ac:dyDescent="0.3">
      <c r="A8332" s="3">
        <f t="shared" si="1356"/>
        <v>46121</v>
      </c>
      <c r="B8332" s="11" t="s">
        <v>8900</v>
      </c>
      <c r="C8332" s="7" t="s">
        <v>10437</v>
      </c>
      <c r="D8332" s="153"/>
      <c r="E8332" s="90" t="s">
        <v>4720</v>
      </c>
      <c r="G8332" s="2">
        <v>2500</v>
      </c>
      <c r="H8332" s="166"/>
      <c r="I8332" s="88">
        <f t="shared" si="1354"/>
        <v>52734.36</v>
      </c>
      <c r="K8332" s="62"/>
      <c r="L8332" s="2">
        <f t="shared" si="1355"/>
        <v>10</v>
      </c>
    </row>
    <row r="8333" spans="1:12" x14ac:dyDescent="0.3">
      <c r="A8333" s="3">
        <f t="shared" si="1356"/>
        <v>46121</v>
      </c>
      <c r="C8333" s="7" t="s">
        <v>2857</v>
      </c>
      <c r="D8333" s="153"/>
      <c r="E8333" s="90" t="s">
        <v>8332</v>
      </c>
      <c r="H8333" s="166">
        <v>50000</v>
      </c>
      <c r="I8333" s="88">
        <f t="shared" ref="I8333:I8340" si="1357">I8332+G8333-H8333</f>
        <v>2734.3600000000006</v>
      </c>
      <c r="K8333" s="62"/>
      <c r="L8333" s="2">
        <f t="shared" ref="L8333:L8365" si="1358">IF(E8333="C",0,IF((G8333+H8333)&lt;=5000,(G8333+H8333)*0.004,20)+IF(E8333="P",5,IF(E8333="Y",15,IF(E8333="YY",25))))</f>
        <v>0</v>
      </c>
    </row>
    <row r="8334" spans="1:12" x14ac:dyDescent="0.3">
      <c r="A8334" s="3">
        <f t="shared" si="1356"/>
        <v>46121</v>
      </c>
      <c r="B8334" s="11" t="s">
        <v>9227</v>
      </c>
      <c r="C8334" s="7" t="s">
        <v>9228</v>
      </c>
      <c r="D8334" s="153"/>
      <c r="E8334" s="90" t="s">
        <v>2088</v>
      </c>
      <c r="G8334" s="2">
        <v>1000</v>
      </c>
      <c r="H8334" s="166"/>
      <c r="I8334" s="88">
        <f t="shared" si="1357"/>
        <v>3734.3600000000006</v>
      </c>
      <c r="K8334" s="62"/>
      <c r="L8334" s="2">
        <f t="shared" si="1358"/>
        <v>9</v>
      </c>
    </row>
    <row r="8335" spans="1:12" x14ac:dyDescent="0.3">
      <c r="A8335" s="3">
        <f t="shared" si="1356"/>
        <v>46121</v>
      </c>
      <c r="B8335" s="11" t="s">
        <v>6726</v>
      </c>
      <c r="C8335" s="7" t="s">
        <v>267</v>
      </c>
      <c r="D8335" s="153"/>
      <c r="E8335" s="90" t="s">
        <v>2088</v>
      </c>
      <c r="G8335" s="2">
        <v>6000</v>
      </c>
      <c r="H8335" s="166"/>
      <c r="I8335" s="88">
        <f t="shared" si="1357"/>
        <v>9734.36</v>
      </c>
      <c r="K8335" s="62"/>
      <c r="L8335" s="2">
        <f t="shared" si="1358"/>
        <v>25</v>
      </c>
    </row>
    <row r="8336" spans="1:12" x14ac:dyDescent="0.3">
      <c r="A8336" s="3">
        <f t="shared" si="1356"/>
        <v>46121</v>
      </c>
      <c r="B8336" s="11" t="s">
        <v>3877</v>
      </c>
      <c r="C8336" s="7" t="s">
        <v>10101</v>
      </c>
      <c r="D8336" s="153"/>
      <c r="E8336" s="90" t="s">
        <v>2088</v>
      </c>
      <c r="G8336" s="2">
        <v>0</v>
      </c>
      <c r="H8336" s="166">
        <v>0</v>
      </c>
      <c r="I8336" s="88">
        <f t="shared" si="1357"/>
        <v>9734.36</v>
      </c>
      <c r="K8336" s="62"/>
      <c r="L8336" s="2">
        <f t="shared" si="1358"/>
        <v>5</v>
      </c>
    </row>
    <row r="8337" spans="1:12" x14ac:dyDescent="0.3">
      <c r="A8337" s="3">
        <f t="shared" si="1356"/>
        <v>46121</v>
      </c>
      <c r="B8337" s="11" t="s">
        <v>3877</v>
      </c>
      <c r="C8337" s="7" t="s">
        <v>10101</v>
      </c>
      <c r="D8337" s="153"/>
      <c r="E8337" s="90" t="s">
        <v>2088</v>
      </c>
      <c r="G8337" s="2">
        <v>700</v>
      </c>
      <c r="H8337" s="166"/>
      <c r="I8337" s="88">
        <f t="shared" si="1357"/>
        <v>10434.36</v>
      </c>
      <c r="K8337" s="62"/>
      <c r="L8337" s="2">
        <f t="shared" si="1358"/>
        <v>7.8000000000000007</v>
      </c>
    </row>
    <row r="8338" spans="1:12" x14ac:dyDescent="0.3">
      <c r="A8338" s="3">
        <f t="shared" si="1356"/>
        <v>46121</v>
      </c>
      <c r="B8338" s="11" t="s">
        <v>6940</v>
      </c>
      <c r="C8338" s="7" t="s">
        <v>7470</v>
      </c>
      <c r="D8338" s="153"/>
      <c r="E8338" s="90" t="s">
        <v>4720</v>
      </c>
      <c r="G8338" s="2">
        <v>500</v>
      </c>
      <c r="H8338" s="166"/>
      <c r="I8338" s="88">
        <f t="shared" si="1357"/>
        <v>10934.36</v>
      </c>
      <c r="K8338" s="62"/>
      <c r="L8338" s="2">
        <f t="shared" si="1358"/>
        <v>2</v>
      </c>
    </row>
    <row r="8339" spans="1:12" x14ac:dyDescent="0.3">
      <c r="A8339" s="3">
        <f t="shared" si="1356"/>
        <v>46121</v>
      </c>
      <c r="B8339" s="11" t="s">
        <v>6660</v>
      </c>
      <c r="C8339" s="7" t="s">
        <v>10438</v>
      </c>
      <c r="D8339" s="153"/>
      <c r="E8339" s="90" t="s">
        <v>4720</v>
      </c>
      <c r="G8339" s="2">
        <v>3000</v>
      </c>
      <c r="H8339" s="166"/>
      <c r="I8339" s="88">
        <f t="shared" si="1357"/>
        <v>13934.36</v>
      </c>
      <c r="K8339" s="62"/>
      <c r="L8339" s="2">
        <f t="shared" si="1358"/>
        <v>12</v>
      </c>
    </row>
    <row r="8340" spans="1:12" x14ac:dyDescent="0.3">
      <c r="A8340" s="3">
        <f t="shared" si="1356"/>
        <v>46121</v>
      </c>
      <c r="B8340" s="11" t="s">
        <v>7834</v>
      </c>
      <c r="C8340" s="7" t="s">
        <v>7835</v>
      </c>
      <c r="D8340" s="153"/>
      <c r="E8340" s="90" t="s">
        <v>2088</v>
      </c>
      <c r="G8340" s="2">
        <v>2900</v>
      </c>
      <c r="H8340" s="166"/>
      <c r="I8340" s="88">
        <f t="shared" si="1357"/>
        <v>16834.36</v>
      </c>
      <c r="K8340" s="62"/>
      <c r="L8340" s="2">
        <f t="shared" si="1358"/>
        <v>16.600000000000001</v>
      </c>
    </row>
    <row r="8341" spans="1:12" x14ac:dyDescent="0.3">
      <c r="A8341" s="3">
        <f t="shared" si="1356"/>
        <v>46121</v>
      </c>
      <c r="B8341" s="11" t="s">
        <v>1160</v>
      </c>
      <c r="C8341" s="7" t="s">
        <v>8616</v>
      </c>
      <c r="D8341" s="153"/>
      <c r="E8341" s="90" t="s">
        <v>4720</v>
      </c>
      <c r="G8341" s="2">
        <v>4000</v>
      </c>
      <c r="H8341" s="166"/>
      <c r="I8341" s="88">
        <f t="shared" ref="I8341:I8365" si="1359">I8340+G8341-H8341</f>
        <v>20834.36</v>
      </c>
      <c r="K8341" s="62"/>
      <c r="L8341" s="2">
        <f t="shared" si="1358"/>
        <v>16</v>
      </c>
    </row>
    <row r="8342" spans="1:12" x14ac:dyDescent="0.3">
      <c r="A8342" s="3">
        <f t="shared" si="1356"/>
        <v>46121</v>
      </c>
      <c r="B8342" s="11" t="s">
        <v>3849</v>
      </c>
      <c r="C8342" s="7" t="s">
        <v>2551</v>
      </c>
      <c r="D8342" s="153"/>
      <c r="E8342" s="90" t="s">
        <v>4720</v>
      </c>
      <c r="H8342" s="166">
        <v>9000</v>
      </c>
      <c r="I8342" s="88">
        <f t="shared" si="1359"/>
        <v>11834.36</v>
      </c>
      <c r="K8342" s="62"/>
      <c r="L8342" s="2">
        <f t="shared" si="1358"/>
        <v>20</v>
      </c>
    </row>
    <row r="8343" spans="1:12" x14ac:dyDescent="0.3">
      <c r="A8343" s="3">
        <f t="shared" si="1356"/>
        <v>46121</v>
      </c>
      <c r="B8343" s="11" t="s">
        <v>8052</v>
      </c>
      <c r="C8343" s="7" t="s">
        <v>4867</v>
      </c>
      <c r="D8343" s="153"/>
      <c r="E8343" s="90" t="s">
        <v>2088</v>
      </c>
      <c r="G8343" s="2">
        <v>2500</v>
      </c>
      <c r="H8343" s="166"/>
      <c r="I8343" s="88">
        <f t="shared" si="1359"/>
        <v>14334.36</v>
      </c>
      <c r="K8343" s="62"/>
      <c r="L8343" s="2">
        <f t="shared" si="1358"/>
        <v>15</v>
      </c>
    </row>
    <row r="8344" spans="1:12" x14ac:dyDescent="0.3">
      <c r="A8344" s="3">
        <f t="shared" si="1356"/>
        <v>46121</v>
      </c>
      <c r="B8344" s="11" t="s">
        <v>10440</v>
      </c>
      <c r="C8344" s="7" t="s">
        <v>10441</v>
      </c>
      <c r="D8344" s="153"/>
      <c r="E8344" s="90" t="s">
        <v>2088</v>
      </c>
      <c r="G8344" s="2">
        <v>1000</v>
      </c>
      <c r="H8344" s="166"/>
      <c r="I8344" s="88">
        <f t="shared" si="1359"/>
        <v>15334.36</v>
      </c>
      <c r="K8344" s="62"/>
      <c r="L8344" s="2">
        <f t="shared" si="1358"/>
        <v>9</v>
      </c>
    </row>
    <row r="8345" spans="1:12" x14ac:dyDescent="0.3">
      <c r="A8345" s="3">
        <f t="shared" si="1356"/>
        <v>46121</v>
      </c>
      <c r="B8345" s="11" t="s">
        <v>9474</v>
      </c>
      <c r="C8345" s="7" t="s">
        <v>10442</v>
      </c>
      <c r="D8345" s="153"/>
      <c r="E8345" s="90" t="s">
        <v>4720</v>
      </c>
      <c r="H8345" s="166">
        <v>1500</v>
      </c>
      <c r="I8345" s="88">
        <f t="shared" si="1359"/>
        <v>13834.36</v>
      </c>
      <c r="K8345" s="62"/>
      <c r="L8345" s="2">
        <f t="shared" si="1358"/>
        <v>6</v>
      </c>
    </row>
    <row r="8346" spans="1:12" x14ac:dyDescent="0.3">
      <c r="A8346" s="3">
        <v>46122</v>
      </c>
      <c r="B8346" s="11" t="s">
        <v>6260</v>
      </c>
      <c r="C8346" s="7" t="s">
        <v>7117</v>
      </c>
      <c r="D8346" s="153"/>
      <c r="E8346" s="90" t="s">
        <v>4720</v>
      </c>
      <c r="H8346" s="166">
        <v>4500</v>
      </c>
      <c r="I8346" s="88">
        <f t="shared" si="1359"/>
        <v>9334.36</v>
      </c>
      <c r="K8346" s="62"/>
      <c r="L8346" s="2">
        <f t="shared" si="1358"/>
        <v>18</v>
      </c>
    </row>
    <row r="8347" spans="1:12" x14ac:dyDescent="0.3">
      <c r="A8347" s="3">
        <f t="shared" si="1356"/>
        <v>46122</v>
      </c>
      <c r="B8347" s="11" t="s">
        <v>10443</v>
      </c>
      <c r="C8347" s="7" t="s">
        <v>10043</v>
      </c>
      <c r="D8347" s="153"/>
      <c r="E8347" s="90" t="s">
        <v>4720</v>
      </c>
      <c r="H8347" s="166">
        <v>4000</v>
      </c>
      <c r="I8347" s="88">
        <f t="shared" si="1359"/>
        <v>5334.3600000000006</v>
      </c>
      <c r="K8347" s="62"/>
      <c r="L8347" s="2">
        <f t="shared" si="1358"/>
        <v>16</v>
      </c>
    </row>
    <row r="8348" spans="1:12" x14ac:dyDescent="0.3">
      <c r="A8348" s="3">
        <f t="shared" si="1356"/>
        <v>46122</v>
      </c>
      <c r="B8348" s="11" t="s">
        <v>8906</v>
      </c>
      <c r="C8348" s="7" t="s">
        <v>10444</v>
      </c>
      <c r="D8348" s="153"/>
      <c r="E8348" s="90" t="s">
        <v>4720</v>
      </c>
      <c r="H8348" s="166">
        <v>1500</v>
      </c>
      <c r="I8348" s="88">
        <f t="shared" si="1359"/>
        <v>3834.3600000000006</v>
      </c>
      <c r="K8348" s="62"/>
      <c r="L8348" s="2">
        <f t="shared" si="1358"/>
        <v>6</v>
      </c>
    </row>
    <row r="8349" spans="1:12" x14ac:dyDescent="0.3">
      <c r="A8349" s="3">
        <f t="shared" si="1356"/>
        <v>46122</v>
      </c>
      <c r="B8349" s="11" t="s">
        <v>7394</v>
      </c>
      <c r="C8349" s="7" t="s">
        <v>7395</v>
      </c>
      <c r="D8349" s="153"/>
      <c r="E8349" s="90" t="s">
        <v>2088</v>
      </c>
      <c r="G8349" s="2">
        <v>0</v>
      </c>
      <c r="H8349" s="166"/>
      <c r="I8349" s="88">
        <f t="shared" si="1359"/>
        <v>3834.3600000000006</v>
      </c>
      <c r="K8349" s="62"/>
      <c r="L8349" s="2">
        <f t="shared" si="1358"/>
        <v>5</v>
      </c>
    </row>
    <row r="8350" spans="1:12" x14ac:dyDescent="0.3">
      <c r="A8350" s="3">
        <f t="shared" si="1356"/>
        <v>46122</v>
      </c>
      <c r="B8350" s="11" t="s">
        <v>7394</v>
      </c>
      <c r="C8350" s="7" t="s">
        <v>7395</v>
      </c>
      <c r="D8350" s="153"/>
      <c r="E8350" s="90" t="s">
        <v>2088</v>
      </c>
      <c r="G8350" s="2">
        <v>2700</v>
      </c>
      <c r="H8350" s="166"/>
      <c r="I8350" s="88">
        <f t="shared" si="1359"/>
        <v>6534.3600000000006</v>
      </c>
      <c r="K8350" s="62"/>
      <c r="L8350" s="2">
        <f t="shared" si="1358"/>
        <v>15.8</v>
      </c>
    </row>
    <row r="8351" spans="1:12" x14ac:dyDescent="0.3">
      <c r="A8351" s="3">
        <f t="shared" si="1356"/>
        <v>46122</v>
      </c>
      <c r="B8351" s="11" t="s">
        <v>1170</v>
      </c>
      <c r="C8351" s="7"/>
      <c r="D8351" s="153"/>
      <c r="E8351" s="90" t="s">
        <v>4720</v>
      </c>
      <c r="G8351" s="2">
        <v>3000</v>
      </c>
      <c r="H8351" s="166"/>
      <c r="I8351" s="88">
        <f t="shared" si="1359"/>
        <v>9534.36</v>
      </c>
      <c r="K8351" s="62"/>
      <c r="L8351" s="2">
        <f t="shared" si="1358"/>
        <v>12</v>
      </c>
    </row>
    <row r="8352" spans="1:12" x14ac:dyDescent="0.3">
      <c r="A8352" s="3">
        <f t="shared" si="1356"/>
        <v>46122</v>
      </c>
      <c r="B8352" s="11" t="s">
        <v>7616</v>
      </c>
      <c r="C8352" s="7" t="s">
        <v>10445</v>
      </c>
      <c r="D8352" s="153"/>
      <c r="E8352" s="90" t="s">
        <v>2088</v>
      </c>
      <c r="G8352" s="2">
        <v>0</v>
      </c>
      <c r="H8352" s="166">
        <v>0</v>
      </c>
      <c r="I8352" s="88">
        <f t="shared" si="1359"/>
        <v>9534.36</v>
      </c>
      <c r="K8352" s="62"/>
      <c r="L8352" s="2">
        <f t="shared" si="1358"/>
        <v>5</v>
      </c>
    </row>
    <row r="8353" spans="1:12" x14ac:dyDescent="0.3">
      <c r="A8353" s="3">
        <f t="shared" si="1356"/>
        <v>46122</v>
      </c>
      <c r="B8353" s="11" t="s">
        <v>7329</v>
      </c>
      <c r="C8353" s="7" t="s">
        <v>7853</v>
      </c>
      <c r="D8353" s="153"/>
      <c r="E8353" s="90" t="s">
        <v>4720</v>
      </c>
      <c r="G8353" s="2">
        <v>2500</v>
      </c>
      <c r="H8353" s="166"/>
      <c r="I8353" s="88">
        <f t="shared" si="1359"/>
        <v>12034.36</v>
      </c>
      <c r="K8353" s="62"/>
      <c r="L8353" s="2">
        <f t="shared" si="1358"/>
        <v>10</v>
      </c>
    </row>
    <row r="8354" spans="1:12" x14ac:dyDescent="0.3">
      <c r="A8354" s="3">
        <f t="shared" si="1356"/>
        <v>46122</v>
      </c>
      <c r="B8354" s="11" t="s">
        <v>7547</v>
      </c>
      <c r="C8354" s="7" t="s">
        <v>6685</v>
      </c>
      <c r="D8354" s="153"/>
      <c r="E8354" s="90" t="s">
        <v>4720</v>
      </c>
      <c r="G8354" s="2">
        <v>2500</v>
      </c>
      <c r="H8354" s="166"/>
      <c r="I8354" s="88">
        <f t="shared" si="1359"/>
        <v>14534.36</v>
      </c>
      <c r="K8354" s="62"/>
      <c r="L8354" s="2">
        <f t="shared" si="1358"/>
        <v>10</v>
      </c>
    </row>
    <row r="8355" spans="1:12" x14ac:dyDescent="0.3">
      <c r="A8355" s="3">
        <f t="shared" si="1356"/>
        <v>46122</v>
      </c>
      <c r="B8355" s="11" t="s">
        <v>7405</v>
      </c>
      <c r="C8355" s="7" t="s">
        <v>9235</v>
      </c>
      <c r="D8355" s="153"/>
      <c r="E8355" s="90" t="s">
        <v>2088</v>
      </c>
      <c r="G8355" s="2">
        <v>10000</v>
      </c>
      <c r="H8355" s="166"/>
      <c r="I8355" s="88">
        <f t="shared" si="1359"/>
        <v>24534.36</v>
      </c>
      <c r="K8355" s="62"/>
      <c r="L8355" s="2">
        <f t="shared" si="1358"/>
        <v>25</v>
      </c>
    </row>
    <row r="8356" spans="1:12" x14ac:dyDescent="0.3">
      <c r="A8356" s="3">
        <f t="shared" si="1356"/>
        <v>46122</v>
      </c>
      <c r="B8356" s="11" t="s">
        <v>1250</v>
      </c>
      <c r="C8356" s="7" t="s">
        <v>9626</v>
      </c>
      <c r="D8356" s="153"/>
      <c r="E8356" s="90" t="s">
        <v>4720</v>
      </c>
      <c r="G8356" s="2">
        <v>3000</v>
      </c>
      <c r="H8356" s="166"/>
      <c r="I8356" s="88">
        <f t="shared" si="1359"/>
        <v>27534.36</v>
      </c>
      <c r="K8356" s="62"/>
      <c r="L8356" s="2">
        <f t="shared" si="1358"/>
        <v>12</v>
      </c>
    </row>
    <row r="8357" spans="1:12" x14ac:dyDescent="0.3">
      <c r="A8357" s="3">
        <f t="shared" si="1356"/>
        <v>46122</v>
      </c>
      <c r="B8357" s="11" t="s">
        <v>10447</v>
      </c>
      <c r="C8357" s="7" t="s">
        <v>10448</v>
      </c>
      <c r="D8357" s="153"/>
      <c r="E8357" s="90" t="s">
        <v>16</v>
      </c>
      <c r="H8357" s="166">
        <v>500</v>
      </c>
      <c r="I8357" s="88">
        <f t="shared" si="1359"/>
        <v>27034.36</v>
      </c>
      <c r="K8357" s="62"/>
      <c r="L8357" s="2">
        <f t="shared" si="1358"/>
        <v>17</v>
      </c>
    </row>
    <row r="8358" spans="1:12" x14ac:dyDescent="0.3">
      <c r="A8358" s="3">
        <f t="shared" si="1356"/>
        <v>46122</v>
      </c>
      <c r="B8358" s="11" t="s">
        <v>7299</v>
      </c>
      <c r="C8358" s="7" t="s">
        <v>7300</v>
      </c>
      <c r="D8358" s="153"/>
      <c r="E8358" s="90" t="s">
        <v>2088</v>
      </c>
      <c r="G8358" s="2">
        <v>2000</v>
      </c>
      <c r="H8358" s="166"/>
      <c r="I8358" s="88">
        <f t="shared" si="1359"/>
        <v>29034.36</v>
      </c>
      <c r="K8358" s="62"/>
      <c r="L8358" s="2">
        <f t="shared" si="1358"/>
        <v>13</v>
      </c>
    </row>
    <row r="8359" spans="1:12" x14ac:dyDescent="0.3">
      <c r="A8359" s="3">
        <f t="shared" si="1356"/>
        <v>46122</v>
      </c>
      <c r="B8359" s="11" t="s">
        <v>6549</v>
      </c>
      <c r="C8359" s="7" t="s">
        <v>10449</v>
      </c>
      <c r="D8359" s="153"/>
      <c r="E8359" s="90" t="s">
        <v>2088</v>
      </c>
      <c r="G8359" s="2">
        <v>1500</v>
      </c>
      <c r="H8359" s="166"/>
      <c r="I8359" s="88">
        <f t="shared" si="1359"/>
        <v>30534.36</v>
      </c>
      <c r="K8359" s="62"/>
      <c r="L8359" s="2">
        <f t="shared" si="1358"/>
        <v>11</v>
      </c>
    </row>
    <row r="8360" spans="1:12" x14ac:dyDescent="0.3">
      <c r="A8360" s="3">
        <f t="shared" si="1356"/>
        <v>46122</v>
      </c>
      <c r="B8360" s="11" t="s">
        <v>6233</v>
      </c>
      <c r="C8360" s="7" t="s">
        <v>10450</v>
      </c>
      <c r="D8360" s="153"/>
      <c r="E8360" s="90" t="s">
        <v>7772</v>
      </c>
      <c r="G8360" s="2">
        <v>1500</v>
      </c>
      <c r="H8360" s="166"/>
      <c r="I8360" s="88">
        <f t="shared" si="1359"/>
        <v>32034.36</v>
      </c>
      <c r="K8360" s="62"/>
      <c r="L8360" s="2">
        <f t="shared" si="1358"/>
        <v>11</v>
      </c>
    </row>
    <row r="8361" spans="1:12" x14ac:dyDescent="0.3">
      <c r="A8361" s="3">
        <v>46123</v>
      </c>
      <c r="B8361" s="11" t="s">
        <v>6260</v>
      </c>
      <c r="C8361" s="7" t="s">
        <v>7117</v>
      </c>
      <c r="D8361" s="153"/>
      <c r="E8361" s="90" t="s">
        <v>4720</v>
      </c>
      <c r="H8361" s="166">
        <v>3500</v>
      </c>
      <c r="I8361" s="88">
        <f t="shared" si="1359"/>
        <v>28534.36</v>
      </c>
      <c r="K8361" s="62"/>
      <c r="L8361" s="2">
        <f t="shared" si="1358"/>
        <v>14</v>
      </c>
    </row>
    <row r="8362" spans="1:12" x14ac:dyDescent="0.3">
      <c r="A8362" s="3">
        <f t="shared" si="1356"/>
        <v>46123</v>
      </c>
      <c r="B8362" s="11" t="s">
        <v>9238</v>
      </c>
      <c r="C8362" s="7" t="s">
        <v>10451</v>
      </c>
      <c r="D8362" s="153"/>
      <c r="E8362" s="90" t="s">
        <v>4720</v>
      </c>
      <c r="G8362" s="2">
        <v>2500</v>
      </c>
      <c r="H8362" s="166"/>
      <c r="I8362" s="88">
        <f t="shared" si="1359"/>
        <v>31034.36</v>
      </c>
      <c r="K8362" s="62"/>
      <c r="L8362" s="2">
        <f t="shared" si="1358"/>
        <v>10</v>
      </c>
    </row>
    <row r="8363" spans="1:12" x14ac:dyDescent="0.3">
      <c r="A8363" s="3">
        <f t="shared" si="1356"/>
        <v>46123</v>
      </c>
      <c r="B8363" s="11" t="s">
        <v>6872</v>
      </c>
      <c r="C8363" s="7" t="s">
        <v>10455</v>
      </c>
      <c r="D8363" s="153"/>
      <c r="E8363" s="90" t="s">
        <v>4720</v>
      </c>
      <c r="G8363" s="2">
        <v>5000</v>
      </c>
      <c r="H8363" s="166"/>
      <c r="I8363" s="88">
        <f t="shared" si="1359"/>
        <v>36034.36</v>
      </c>
      <c r="K8363" s="62"/>
      <c r="L8363" s="2">
        <f t="shared" si="1358"/>
        <v>20</v>
      </c>
    </row>
    <row r="8364" spans="1:12" x14ac:dyDescent="0.3">
      <c r="A8364" s="3">
        <f t="shared" si="1356"/>
        <v>46123</v>
      </c>
      <c r="B8364" s="11" t="s">
        <v>9957</v>
      </c>
      <c r="C8364" s="7" t="s">
        <v>10456</v>
      </c>
      <c r="D8364" s="153"/>
      <c r="E8364" s="90" t="s">
        <v>2088</v>
      </c>
      <c r="G8364" s="2">
        <v>4000</v>
      </c>
      <c r="H8364" s="166"/>
      <c r="I8364" s="88">
        <f t="shared" si="1359"/>
        <v>40034.36</v>
      </c>
      <c r="K8364" s="62"/>
      <c r="L8364" s="2">
        <f t="shared" si="1358"/>
        <v>21</v>
      </c>
    </row>
    <row r="8365" spans="1:12" x14ac:dyDescent="0.3">
      <c r="A8365" s="3">
        <f t="shared" si="1356"/>
        <v>46123</v>
      </c>
      <c r="B8365" s="11" t="s">
        <v>5123</v>
      </c>
      <c r="C8365" s="7" t="s">
        <v>10457</v>
      </c>
      <c r="D8365" s="153"/>
      <c r="E8365" s="90" t="s">
        <v>4720</v>
      </c>
      <c r="H8365" s="166">
        <v>1500</v>
      </c>
      <c r="I8365" s="88">
        <f t="shared" si="1359"/>
        <v>38534.36</v>
      </c>
      <c r="K8365" s="62"/>
      <c r="L8365" s="2">
        <f t="shared" si="1358"/>
        <v>6</v>
      </c>
    </row>
    <row r="8366" spans="1:12" x14ac:dyDescent="0.3">
      <c r="A8366" s="3">
        <f t="shared" si="1356"/>
        <v>46123</v>
      </c>
      <c r="B8366" s="11" t="s">
        <v>7348</v>
      </c>
      <c r="C8366" s="7" t="s">
        <v>9589</v>
      </c>
      <c r="D8366" s="153"/>
      <c r="E8366" s="90" t="s">
        <v>4720</v>
      </c>
      <c r="G8366" s="2">
        <v>2000</v>
      </c>
      <c r="H8366" s="166"/>
      <c r="I8366" s="88">
        <f t="shared" ref="I8366:I8375" si="1360">I8365+G8366-H8366</f>
        <v>40534.36</v>
      </c>
      <c r="K8366" s="62"/>
      <c r="L8366" s="2">
        <f t="shared" ref="L8366:L8375" si="1361">IF(E8366="C",0,IF((G8366+H8366)&lt;=5000,(G8366+H8366)*0.004,20)+IF(E8366="P",5,IF(E8366="Y",15,IF(E8366="YY",25))))</f>
        <v>8</v>
      </c>
    </row>
    <row r="8367" spans="1:12" x14ac:dyDescent="0.3">
      <c r="A8367" s="3">
        <f t="shared" si="1356"/>
        <v>46123</v>
      </c>
      <c r="B8367" s="11" t="s">
        <v>1472</v>
      </c>
      <c r="C8367" s="7" t="s">
        <v>8055</v>
      </c>
      <c r="D8367" s="153"/>
      <c r="E8367" s="90" t="s">
        <v>4720</v>
      </c>
      <c r="G8367" s="2">
        <v>2500</v>
      </c>
      <c r="H8367" s="166"/>
      <c r="I8367" s="88">
        <f t="shared" si="1360"/>
        <v>43034.36</v>
      </c>
      <c r="K8367" s="62"/>
      <c r="L8367" s="2">
        <f t="shared" si="1361"/>
        <v>10</v>
      </c>
    </row>
    <row r="8368" spans="1:12" x14ac:dyDescent="0.3">
      <c r="A8368" s="3">
        <f t="shared" si="1356"/>
        <v>46123</v>
      </c>
      <c r="B8368" s="11" t="s">
        <v>7166</v>
      </c>
      <c r="C8368" s="7" t="s">
        <v>8055</v>
      </c>
      <c r="D8368" s="153"/>
      <c r="E8368" s="90" t="s">
        <v>4720</v>
      </c>
      <c r="H8368" s="166">
        <v>2500</v>
      </c>
      <c r="I8368" s="88">
        <f t="shared" si="1360"/>
        <v>40534.36</v>
      </c>
      <c r="K8368" s="62"/>
      <c r="L8368" s="2">
        <f t="shared" si="1361"/>
        <v>10</v>
      </c>
    </row>
    <row r="8369" spans="1:12" x14ac:dyDescent="0.3">
      <c r="A8369" s="3">
        <v>46124</v>
      </c>
      <c r="B8369" s="11" t="s">
        <v>2448</v>
      </c>
      <c r="C8369" s="7" t="s">
        <v>2274</v>
      </c>
      <c r="D8369" s="153"/>
      <c r="E8369" s="90" t="s">
        <v>4720</v>
      </c>
      <c r="H8369" s="166">
        <v>8000</v>
      </c>
      <c r="I8369" s="88">
        <f t="shared" si="1360"/>
        <v>32534.36</v>
      </c>
      <c r="K8369" s="62"/>
      <c r="L8369" s="2">
        <f t="shared" si="1361"/>
        <v>20</v>
      </c>
    </row>
    <row r="8370" spans="1:12" x14ac:dyDescent="0.3">
      <c r="A8370" s="3">
        <f t="shared" si="1356"/>
        <v>46124</v>
      </c>
      <c r="B8370" s="11" t="s">
        <v>3232</v>
      </c>
      <c r="C8370" s="7" t="s">
        <v>10458</v>
      </c>
      <c r="D8370" s="153"/>
      <c r="E8370" s="90" t="s">
        <v>4720</v>
      </c>
      <c r="G8370" s="2">
        <v>2000</v>
      </c>
      <c r="H8370" s="166"/>
      <c r="I8370" s="88">
        <f t="shared" si="1360"/>
        <v>34534.36</v>
      </c>
      <c r="K8370" s="62"/>
      <c r="L8370" s="2">
        <f t="shared" si="1361"/>
        <v>8</v>
      </c>
    </row>
    <row r="8371" spans="1:12" x14ac:dyDescent="0.3">
      <c r="A8371" s="3">
        <f t="shared" si="1356"/>
        <v>46124</v>
      </c>
      <c r="B8371" s="11" t="s">
        <v>6260</v>
      </c>
      <c r="C8371" s="7" t="s">
        <v>7117</v>
      </c>
      <c r="D8371" s="153"/>
      <c r="E8371" s="90" t="s">
        <v>4720</v>
      </c>
      <c r="H8371" s="166">
        <v>4000</v>
      </c>
      <c r="I8371" s="88">
        <f t="shared" si="1360"/>
        <v>30534.36</v>
      </c>
      <c r="K8371" s="62"/>
      <c r="L8371" s="2">
        <f t="shared" si="1361"/>
        <v>16</v>
      </c>
    </row>
    <row r="8372" spans="1:12" x14ac:dyDescent="0.3">
      <c r="A8372" s="3">
        <f t="shared" si="1356"/>
        <v>46124</v>
      </c>
      <c r="B8372" s="11" t="s">
        <v>6582</v>
      </c>
      <c r="C8372" s="7" t="s">
        <v>6583</v>
      </c>
      <c r="D8372" s="153"/>
      <c r="E8372" s="90" t="s">
        <v>4720</v>
      </c>
      <c r="G8372" s="2">
        <v>2500</v>
      </c>
      <c r="H8372" s="166"/>
      <c r="I8372" s="88">
        <f t="shared" si="1360"/>
        <v>33034.36</v>
      </c>
      <c r="K8372" s="62"/>
      <c r="L8372" s="2">
        <f t="shared" si="1361"/>
        <v>10</v>
      </c>
    </row>
    <row r="8373" spans="1:12" x14ac:dyDescent="0.3">
      <c r="A8373" s="3">
        <v>46125</v>
      </c>
      <c r="B8373" s="11" t="s">
        <v>8878</v>
      </c>
      <c r="C8373" s="7" t="s">
        <v>704</v>
      </c>
      <c r="D8373" s="153"/>
      <c r="E8373" s="90" t="s">
        <v>2088</v>
      </c>
      <c r="G8373" s="2">
        <v>7000</v>
      </c>
      <c r="H8373" s="166"/>
      <c r="I8373" s="88">
        <f t="shared" si="1360"/>
        <v>40034.36</v>
      </c>
      <c r="K8373" s="62"/>
      <c r="L8373" s="2">
        <f t="shared" si="1361"/>
        <v>25</v>
      </c>
    </row>
    <row r="8374" spans="1:12" x14ac:dyDescent="0.3">
      <c r="A8374" s="3">
        <f t="shared" si="1356"/>
        <v>46125</v>
      </c>
      <c r="B8374" s="11" t="s">
        <v>6260</v>
      </c>
      <c r="C8374" s="7" t="s">
        <v>10460</v>
      </c>
      <c r="D8374" s="153"/>
      <c r="E8374" s="90" t="s">
        <v>4720</v>
      </c>
      <c r="H8374" s="166">
        <v>7000</v>
      </c>
      <c r="I8374" s="88">
        <f t="shared" si="1360"/>
        <v>33034.36</v>
      </c>
      <c r="K8374" s="62"/>
      <c r="L8374" s="2">
        <f t="shared" si="1361"/>
        <v>20</v>
      </c>
    </row>
    <row r="8375" spans="1:12" x14ac:dyDescent="0.3">
      <c r="A8375" s="3">
        <f t="shared" si="1356"/>
        <v>46125</v>
      </c>
      <c r="B8375" s="11" t="s">
        <v>10221</v>
      </c>
      <c r="C8375" s="7" t="s">
        <v>10280</v>
      </c>
      <c r="D8375" s="153"/>
      <c r="E8375" s="90" t="s">
        <v>2088</v>
      </c>
      <c r="H8375" s="166">
        <v>4500</v>
      </c>
      <c r="I8375" s="88">
        <f t="shared" si="1360"/>
        <v>28534.36</v>
      </c>
      <c r="K8375" s="62"/>
      <c r="L8375" s="2">
        <f t="shared" si="1361"/>
        <v>23</v>
      </c>
    </row>
    <row r="8376" spans="1:12" x14ac:dyDescent="0.3">
      <c r="A8376" s="3">
        <f t="shared" si="1356"/>
        <v>46125</v>
      </c>
      <c r="B8376" s="11" t="s">
        <v>3232</v>
      </c>
      <c r="C8376" s="7" t="s">
        <v>10461</v>
      </c>
      <c r="D8376" s="153"/>
      <c r="E8376" s="90" t="s">
        <v>4720</v>
      </c>
      <c r="G8376" s="2">
        <v>2550</v>
      </c>
      <c r="H8376" s="166"/>
      <c r="I8376" s="88">
        <f t="shared" ref="I8376:I8387" si="1362">I8375+G8376-H8376</f>
        <v>31084.36</v>
      </c>
      <c r="K8376" s="62"/>
      <c r="L8376" s="2">
        <f t="shared" ref="L8376:L8387" si="1363">IF(E8376="C",0,IF((G8376+H8376)&lt;=5000,(G8376+H8376)*0.004,20)+IF(E8376="P",5,IF(E8376="Y",15,IF(E8376="YY",25))))</f>
        <v>10.200000000000001</v>
      </c>
    </row>
    <row r="8377" spans="1:12" x14ac:dyDescent="0.3">
      <c r="A8377" s="3">
        <f t="shared" si="1356"/>
        <v>46125</v>
      </c>
      <c r="B8377" s="11" t="s">
        <v>10388</v>
      </c>
      <c r="C8377" s="7" t="s">
        <v>10392</v>
      </c>
      <c r="D8377" s="153"/>
      <c r="E8377" s="90" t="s">
        <v>2088</v>
      </c>
      <c r="G8377" s="2">
        <v>0</v>
      </c>
      <c r="H8377" s="166">
        <v>0</v>
      </c>
      <c r="I8377" s="88">
        <f t="shared" si="1362"/>
        <v>31084.36</v>
      </c>
      <c r="K8377" s="62"/>
      <c r="L8377" s="2">
        <f t="shared" si="1363"/>
        <v>5</v>
      </c>
    </row>
    <row r="8378" spans="1:12" x14ac:dyDescent="0.3">
      <c r="A8378" s="3">
        <f t="shared" si="1356"/>
        <v>46125</v>
      </c>
      <c r="B8378" s="11" t="s">
        <v>10389</v>
      </c>
      <c r="C8378" s="7" t="s">
        <v>10390</v>
      </c>
      <c r="D8378" s="153"/>
      <c r="E8378" s="90" t="s">
        <v>2088</v>
      </c>
      <c r="G8378" s="2">
        <v>0</v>
      </c>
      <c r="H8378" s="166">
        <v>0</v>
      </c>
      <c r="I8378" s="88">
        <f t="shared" si="1362"/>
        <v>31084.36</v>
      </c>
      <c r="K8378" s="62"/>
      <c r="L8378" s="2">
        <f t="shared" si="1363"/>
        <v>5</v>
      </c>
    </row>
    <row r="8379" spans="1:12" x14ac:dyDescent="0.3">
      <c r="A8379" s="3">
        <f t="shared" si="1356"/>
        <v>46125</v>
      </c>
      <c r="B8379" s="11" t="s">
        <v>8059</v>
      </c>
      <c r="C8379" s="7" t="s">
        <v>10463</v>
      </c>
      <c r="D8379" s="153"/>
      <c r="E8379" s="90" t="s">
        <v>4720</v>
      </c>
      <c r="G8379" s="2">
        <v>1000</v>
      </c>
      <c r="H8379" s="166"/>
      <c r="I8379" s="88">
        <f t="shared" si="1362"/>
        <v>32084.36</v>
      </c>
      <c r="K8379" s="62"/>
      <c r="L8379" s="2">
        <f t="shared" si="1363"/>
        <v>4</v>
      </c>
    </row>
    <row r="8380" spans="1:12" x14ac:dyDescent="0.3">
      <c r="A8380" s="3">
        <f t="shared" si="1356"/>
        <v>46125</v>
      </c>
      <c r="B8380" s="11" t="s">
        <v>10464</v>
      </c>
      <c r="C8380" s="7" t="s">
        <v>10465</v>
      </c>
      <c r="D8380" s="153"/>
      <c r="E8380" s="90" t="s">
        <v>4720</v>
      </c>
      <c r="G8380" s="2">
        <v>2500</v>
      </c>
      <c r="H8380" s="166"/>
      <c r="I8380" s="88">
        <f t="shared" si="1362"/>
        <v>34584.36</v>
      </c>
      <c r="K8380" s="62"/>
      <c r="L8380" s="2">
        <f t="shared" si="1363"/>
        <v>10</v>
      </c>
    </row>
    <row r="8381" spans="1:12" x14ac:dyDescent="0.3">
      <c r="A8381" s="3">
        <f t="shared" si="1356"/>
        <v>46125</v>
      </c>
      <c r="B8381" s="11" t="s">
        <v>6940</v>
      </c>
      <c r="C8381" s="7" t="s">
        <v>7470</v>
      </c>
      <c r="D8381" s="153"/>
      <c r="E8381" s="90" t="s">
        <v>4720</v>
      </c>
      <c r="G8381" s="2">
        <v>3900</v>
      </c>
      <c r="H8381" s="166"/>
      <c r="I8381" s="88">
        <f t="shared" si="1362"/>
        <v>38484.36</v>
      </c>
      <c r="K8381" s="62"/>
      <c r="L8381" s="2">
        <f t="shared" si="1363"/>
        <v>15.6</v>
      </c>
    </row>
    <row r="8382" spans="1:12" x14ac:dyDescent="0.3">
      <c r="A8382" s="3">
        <f t="shared" si="1356"/>
        <v>46125</v>
      </c>
      <c r="B8382" s="11" t="s">
        <v>6840</v>
      </c>
      <c r="C8382" s="7" t="s">
        <v>6841</v>
      </c>
      <c r="D8382" s="153"/>
      <c r="E8382" s="90" t="s">
        <v>4720</v>
      </c>
      <c r="G8382" s="2">
        <v>10000</v>
      </c>
      <c r="H8382" s="166"/>
      <c r="I8382" s="88">
        <f t="shared" si="1362"/>
        <v>48484.36</v>
      </c>
      <c r="K8382" s="62"/>
      <c r="L8382" s="2">
        <f t="shared" si="1363"/>
        <v>20</v>
      </c>
    </row>
    <row r="8383" spans="1:12" x14ac:dyDescent="0.3">
      <c r="A8383" s="3">
        <f t="shared" si="1356"/>
        <v>46125</v>
      </c>
      <c r="B8383" s="11" t="s">
        <v>4297</v>
      </c>
      <c r="C8383" s="7" t="s">
        <v>5522</v>
      </c>
      <c r="D8383" s="153"/>
      <c r="E8383" s="90" t="s">
        <v>4720</v>
      </c>
      <c r="H8383" s="166">
        <v>10000</v>
      </c>
      <c r="I8383" s="88">
        <f t="shared" si="1362"/>
        <v>38484.36</v>
      </c>
      <c r="K8383" s="62"/>
      <c r="L8383" s="2">
        <f t="shared" si="1363"/>
        <v>20</v>
      </c>
    </row>
    <row r="8384" spans="1:12" x14ac:dyDescent="0.3">
      <c r="A8384" s="3">
        <f t="shared" si="1356"/>
        <v>46125</v>
      </c>
      <c r="B8384" s="11" t="s">
        <v>7374</v>
      </c>
      <c r="C8384" s="7" t="s">
        <v>10466</v>
      </c>
      <c r="D8384" s="153"/>
      <c r="E8384" s="90" t="s">
        <v>2088</v>
      </c>
      <c r="G8384" s="2">
        <v>5000</v>
      </c>
      <c r="H8384" s="166"/>
      <c r="I8384" s="88">
        <f t="shared" si="1362"/>
        <v>43484.36</v>
      </c>
      <c r="K8384" s="62"/>
      <c r="L8384" s="2">
        <f t="shared" si="1363"/>
        <v>25</v>
      </c>
    </row>
    <row r="8385" spans="1:12" x14ac:dyDescent="0.3">
      <c r="A8385" s="3">
        <f t="shared" si="1356"/>
        <v>46125</v>
      </c>
      <c r="B8385" s="11" t="s">
        <v>5076</v>
      </c>
      <c r="C8385" s="7" t="s">
        <v>10068</v>
      </c>
      <c r="D8385" s="153"/>
      <c r="E8385" s="90" t="s">
        <v>4720</v>
      </c>
      <c r="G8385" s="2">
        <v>0</v>
      </c>
      <c r="H8385" s="166">
        <v>0</v>
      </c>
      <c r="I8385" s="88">
        <f t="shared" si="1362"/>
        <v>43484.36</v>
      </c>
      <c r="K8385" s="62"/>
      <c r="L8385" s="2">
        <f t="shared" si="1363"/>
        <v>0</v>
      </c>
    </row>
    <row r="8386" spans="1:12" x14ac:dyDescent="0.3">
      <c r="A8386" s="3">
        <f t="shared" si="1356"/>
        <v>46125</v>
      </c>
      <c r="B8386" s="11" t="s">
        <v>10468</v>
      </c>
      <c r="C8386" s="7" t="s">
        <v>10469</v>
      </c>
      <c r="D8386" s="153"/>
      <c r="E8386" s="90" t="s">
        <v>16</v>
      </c>
      <c r="H8386" s="166">
        <v>1000</v>
      </c>
      <c r="I8386" s="88">
        <f t="shared" si="1362"/>
        <v>42484.36</v>
      </c>
      <c r="K8386" s="62"/>
      <c r="L8386" s="2">
        <f t="shared" si="1363"/>
        <v>19</v>
      </c>
    </row>
    <row r="8387" spans="1:12" x14ac:dyDescent="0.3">
      <c r="A8387" s="3">
        <f t="shared" si="1356"/>
        <v>46125</v>
      </c>
      <c r="B8387" s="11" t="s">
        <v>1250</v>
      </c>
      <c r="C8387" s="7" t="s">
        <v>4437</v>
      </c>
      <c r="D8387" s="153"/>
      <c r="E8387" s="90" t="s">
        <v>4720</v>
      </c>
      <c r="G8387" s="2">
        <v>1500</v>
      </c>
      <c r="H8387" s="166"/>
      <c r="I8387" s="88">
        <f t="shared" si="1362"/>
        <v>43984.36</v>
      </c>
      <c r="K8387" s="62"/>
      <c r="L8387" s="2">
        <f t="shared" si="1363"/>
        <v>6</v>
      </c>
    </row>
    <row r="8388" spans="1:12" x14ac:dyDescent="0.3">
      <c r="A8388" s="3">
        <v>46126</v>
      </c>
      <c r="B8388" s="11" t="s">
        <v>6676</v>
      </c>
      <c r="C8388" s="7" t="s">
        <v>7675</v>
      </c>
      <c r="D8388" s="153"/>
      <c r="E8388" s="90" t="s">
        <v>4720</v>
      </c>
      <c r="H8388" s="166">
        <v>2000</v>
      </c>
      <c r="I8388" s="88">
        <f t="shared" ref="I8388:I8403" si="1364">I8387+G8388-H8388</f>
        <v>41984.36</v>
      </c>
      <c r="K8388" s="62"/>
      <c r="L8388" s="2">
        <f t="shared" ref="L8388:L8403" si="1365">IF(E8388="C",0,IF((G8388+H8388)&lt;=5000,(G8388+H8388)*0.004,20)+IF(E8388="P",5,IF(E8388="Y",15,IF(E8388="YY",25))))</f>
        <v>8</v>
      </c>
    </row>
    <row r="8389" spans="1:12" x14ac:dyDescent="0.3">
      <c r="A8389" s="3">
        <f t="shared" si="1356"/>
        <v>46126</v>
      </c>
      <c r="B8389" s="11" t="s">
        <v>1250</v>
      </c>
      <c r="C8389" s="7" t="s">
        <v>2295</v>
      </c>
      <c r="D8389" s="153"/>
      <c r="E8389" s="90" t="s">
        <v>4720</v>
      </c>
      <c r="G8389" s="64">
        <v>10000</v>
      </c>
      <c r="H8389" s="166"/>
      <c r="I8389" s="88">
        <f t="shared" si="1364"/>
        <v>51984.36</v>
      </c>
      <c r="K8389" s="62"/>
      <c r="L8389" s="2">
        <f t="shared" si="1365"/>
        <v>20</v>
      </c>
    </row>
    <row r="8390" spans="1:12" x14ac:dyDescent="0.3">
      <c r="A8390" s="3"/>
      <c r="B8390" s="11" t="s">
        <v>10479</v>
      </c>
      <c r="C8390" s="7"/>
      <c r="D8390" s="153"/>
      <c r="E8390" s="90" t="s">
        <v>14</v>
      </c>
      <c r="G8390" s="64"/>
      <c r="H8390" s="166">
        <v>2000</v>
      </c>
      <c r="I8390" s="88">
        <f t="shared" si="1364"/>
        <v>49984.36</v>
      </c>
      <c r="K8390" s="62"/>
    </row>
    <row r="8391" spans="1:12" x14ac:dyDescent="0.3">
      <c r="A8391" s="3">
        <v>46127</v>
      </c>
      <c r="B8391" s="11" t="s">
        <v>6260</v>
      </c>
      <c r="C8391" s="7" t="s">
        <v>7117</v>
      </c>
      <c r="D8391" s="153"/>
      <c r="E8391" s="90" t="s">
        <v>4720</v>
      </c>
      <c r="H8391" s="166">
        <v>7000</v>
      </c>
      <c r="I8391" s="88">
        <f t="shared" si="1364"/>
        <v>42984.36</v>
      </c>
      <c r="K8391" s="62"/>
      <c r="L8391" s="2">
        <f t="shared" si="1365"/>
        <v>20</v>
      </c>
    </row>
    <row r="8392" spans="1:12" x14ac:dyDescent="0.3">
      <c r="A8392" s="3">
        <f t="shared" ref="A8392:A8455" si="1366">A8391</f>
        <v>46127</v>
      </c>
      <c r="B8392" s="11" t="s">
        <v>3369</v>
      </c>
      <c r="C8392" s="7" t="s">
        <v>3370</v>
      </c>
      <c r="D8392" s="153"/>
      <c r="E8392" s="90" t="s">
        <v>4720</v>
      </c>
      <c r="G8392" s="2">
        <v>1500</v>
      </c>
      <c r="H8392" s="166"/>
      <c r="I8392" s="88">
        <f t="shared" si="1364"/>
        <v>44484.36</v>
      </c>
      <c r="K8392" s="62"/>
      <c r="L8392" s="2">
        <f t="shared" si="1365"/>
        <v>6</v>
      </c>
    </row>
    <row r="8393" spans="1:12" x14ac:dyDescent="0.3">
      <c r="A8393" s="3">
        <f t="shared" si="1366"/>
        <v>46127</v>
      </c>
      <c r="B8393" s="11" t="s">
        <v>4072</v>
      </c>
      <c r="C8393" s="7" t="s">
        <v>3370</v>
      </c>
      <c r="D8393" s="153"/>
      <c r="E8393" s="90" t="s">
        <v>4720</v>
      </c>
      <c r="H8393" s="166">
        <v>1500</v>
      </c>
      <c r="I8393" s="88">
        <f t="shared" si="1364"/>
        <v>42984.36</v>
      </c>
      <c r="K8393" s="62"/>
      <c r="L8393" s="2">
        <f t="shared" si="1365"/>
        <v>6</v>
      </c>
    </row>
    <row r="8394" spans="1:12" x14ac:dyDescent="0.3">
      <c r="A8394" s="3">
        <f t="shared" si="1366"/>
        <v>46127</v>
      </c>
      <c r="B8394" s="11" t="s">
        <v>5115</v>
      </c>
      <c r="C8394" s="7" t="s">
        <v>10478</v>
      </c>
      <c r="D8394" s="153"/>
      <c r="E8394" s="90" t="s">
        <v>2088</v>
      </c>
      <c r="H8394" s="166">
        <v>1200</v>
      </c>
      <c r="I8394" s="88">
        <f t="shared" si="1364"/>
        <v>41784.36</v>
      </c>
      <c r="K8394" s="62"/>
      <c r="L8394" s="2">
        <f t="shared" si="1365"/>
        <v>9.8000000000000007</v>
      </c>
    </row>
    <row r="8395" spans="1:12" x14ac:dyDescent="0.3">
      <c r="A8395" s="3">
        <f t="shared" si="1366"/>
        <v>46127</v>
      </c>
      <c r="B8395" s="11" t="s">
        <v>7289</v>
      </c>
      <c r="C8395" s="7" t="s">
        <v>8759</v>
      </c>
      <c r="D8395" s="153"/>
      <c r="E8395" s="90" t="s">
        <v>2088</v>
      </c>
      <c r="G8395" s="2">
        <v>0</v>
      </c>
      <c r="H8395" s="166">
        <v>0</v>
      </c>
      <c r="I8395" s="88">
        <f t="shared" si="1364"/>
        <v>41784.36</v>
      </c>
      <c r="K8395" s="62"/>
      <c r="L8395" s="2">
        <f t="shared" si="1365"/>
        <v>5</v>
      </c>
    </row>
    <row r="8396" spans="1:12" x14ac:dyDescent="0.3">
      <c r="A8396" s="3">
        <f t="shared" si="1366"/>
        <v>46127</v>
      </c>
      <c r="B8396" s="11" t="s">
        <v>7289</v>
      </c>
      <c r="C8396" s="7" t="s">
        <v>8759</v>
      </c>
      <c r="D8396" s="153"/>
      <c r="E8396" s="90" t="s">
        <v>2088</v>
      </c>
      <c r="G8396" s="2">
        <v>2900</v>
      </c>
      <c r="H8396" s="166"/>
      <c r="I8396" s="88">
        <f t="shared" si="1364"/>
        <v>44684.36</v>
      </c>
      <c r="K8396" s="62"/>
      <c r="L8396" s="2">
        <f t="shared" si="1365"/>
        <v>16.600000000000001</v>
      </c>
    </row>
    <row r="8397" spans="1:12" x14ac:dyDescent="0.3">
      <c r="A8397" s="3">
        <f t="shared" si="1366"/>
        <v>46127</v>
      </c>
      <c r="B8397" s="11" t="s">
        <v>1250</v>
      </c>
      <c r="C8397" s="7" t="s">
        <v>7198</v>
      </c>
      <c r="D8397" s="153"/>
      <c r="E8397" s="90" t="s">
        <v>4720</v>
      </c>
      <c r="G8397" s="2">
        <v>4000</v>
      </c>
      <c r="H8397" s="166"/>
      <c r="I8397" s="88">
        <f t="shared" si="1364"/>
        <v>48684.36</v>
      </c>
      <c r="K8397" s="62"/>
      <c r="L8397" s="2">
        <f t="shared" si="1365"/>
        <v>16</v>
      </c>
    </row>
    <row r="8398" spans="1:12" x14ac:dyDescent="0.3">
      <c r="A8398" s="3">
        <f t="shared" si="1366"/>
        <v>46127</v>
      </c>
      <c r="B8398" s="11" t="s">
        <v>9393</v>
      </c>
      <c r="C8398" s="7" t="s">
        <v>2013</v>
      </c>
      <c r="D8398" s="153"/>
      <c r="E8398" s="90" t="s">
        <v>2088</v>
      </c>
      <c r="G8398" s="2">
        <v>500</v>
      </c>
      <c r="H8398" s="166"/>
      <c r="I8398" s="88">
        <f t="shared" si="1364"/>
        <v>49184.36</v>
      </c>
      <c r="K8398" s="62"/>
      <c r="L8398" s="2">
        <f t="shared" si="1365"/>
        <v>7</v>
      </c>
    </row>
    <row r="8399" spans="1:12" x14ac:dyDescent="0.3">
      <c r="A8399" s="3">
        <f t="shared" si="1366"/>
        <v>46127</v>
      </c>
      <c r="C8399" s="7" t="s">
        <v>2857</v>
      </c>
      <c r="D8399" s="153"/>
      <c r="E8399" s="90" t="s">
        <v>8332</v>
      </c>
      <c r="H8399" s="166">
        <v>45000</v>
      </c>
      <c r="I8399" s="88">
        <f t="shared" si="1364"/>
        <v>4184.3600000000006</v>
      </c>
      <c r="J8399" s="62"/>
      <c r="K8399" s="62"/>
      <c r="L8399" s="2">
        <f t="shared" si="1365"/>
        <v>0</v>
      </c>
    </row>
    <row r="8400" spans="1:12" x14ac:dyDescent="0.3">
      <c r="A8400" s="3">
        <f t="shared" si="1366"/>
        <v>46127</v>
      </c>
      <c r="B8400" s="11" t="s">
        <v>7255</v>
      </c>
      <c r="C8400" s="7" t="s">
        <v>10481</v>
      </c>
      <c r="D8400" s="153"/>
      <c r="E8400" s="90" t="s">
        <v>4720</v>
      </c>
      <c r="G8400" s="2">
        <v>1000</v>
      </c>
      <c r="H8400" s="166"/>
      <c r="I8400" s="88">
        <f t="shared" si="1364"/>
        <v>5184.3600000000006</v>
      </c>
      <c r="K8400" s="62"/>
      <c r="L8400" s="2">
        <f t="shared" si="1365"/>
        <v>4</v>
      </c>
    </row>
    <row r="8401" spans="1:12" x14ac:dyDescent="0.3">
      <c r="A8401" s="3">
        <f t="shared" si="1366"/>
        <v>46127</v>
      </c>
      <c r="B8401" s="11" t="s">
        <v>4622</v>
      </c>
      <c r="C8401" s="7" t="s">
        <v>8340</v>
      </c>
      <c r="D8401" s="153"/>
      <c r="E8401" s="90" t="s">
        <v>4720</v>
      </c>
      <c r="G8401" s="2">
        <v>2000</v>
      </c>
      <c r="H8401" s="166"/>
      <c r="I8401" s="88">
        <f t="shared" si="1364"/>
        <v>7184.3600000000006</v>
      </c>
      <c r="K8401" s="62"/>
      <c r="L8401" s="2">
        <f t="shared" si="1365"/>
        <v>8</v>
      </c>
    </row>
    <row r="8402" spans="1:12" x14ac:dyDescent="0.3">
      <c r="A8402" s="3">
        <f t="shared" si="1366"/>
        <v>46127</v>
      </c>
      <c r="B8402" s="11" t="s">
        <v>10468</v>
      </c>
      <c r="C8402" s="7" t="s">
        <v>10469</v>
      </c>
      <c r="D8402" s="153"/>
      <c r="E8402" s="90" t="s">
        <v>2088</v>
      </c>
      <c r="G8402" s="2">
        <v>0</v>
      </c>
      <c r="H8402" s="166">
        <v>0</v>
      </c>
      <c r="I8402" s="88">
        <f t="shared" si="1364"/>
        <v>7184.3600000000006</v>
      </c>
      <c r="K8402" s="62"/>
      <c r="L8402" s="2">
        <f t="shared" si="1365"/>
        <v>5</v>
      </c>
    </row>
    <row r="8403" spans="1:12" x14ac:dyDescent="0.3">
      <c r="A8403" s="3">
        <f t="shared" si="1366"/>
        <v>46127</v>
      </c>
      <c r="B8403" s="11" t="s">
        <v>6733</v>
      </c>
      <c r="C8403" s="7" t="s">
        <v>9368</v>
      </c>
      <c r="D8403" s="153"/>
      <c r="E8403" s="90" t="s">
        <v>2088</v>
      </c>
      <c r="G8403" s="2">
        <v>1700</v>
      </c>
      <c r="H8403" s="166"/>
      <c r="I8403" s="88">
        <f t="shared" si="1364"/>
        <v>8884.36</v>
      </c>
      <c r="K8403" s="62"/>
      <c r="L8403" s="2">
        <f t="shared" si="1365"/>
        <v>11.8</v>
      </c>
    </row>
    <row r="8404" spans="1:12" x14ac:dyDescent="0.3">
      <c r="A8404" s="3">
        <f t="shared" si="1366"/>
        <v>46127</v>
      </c>
      <c r="B8404" s="11" t="s">
        <v>7262</v>
      </c>
      <c r="C8404" s="7" t="s">
        <v>8794</v>
      </c>
      <c r="D8404" s="153"/>
      <c r="E8404" s="90" t="s">
        <v>2088</v>
      </c>
      <c r="G8404" s="2">
        <v>5000</v>
      </c>
      <c r="H8404" s="166"/>
      <c r="I8404" s="88">
        <f t="shared" ref="I8404:I8414" si="1367">I8403+G8404-H8404</f>
        <v>13884.36</v>
      </c>
      <c r="K8404" s="62"/>
      <c r="L8404" s="2">
        <f t="shared" ref="L8404:L8414" si="1368">IF(E8404="C",0,IF((G8404+H8404)&lt;=5000,(G8404+H8404)*0.004,20)+IF(E8404="P",5,IF(E8404="Y",15,IF(E8404="YY",25))))</f>
        <v>25</v>
      </c>
    </row>
    <row r="8405" spans="1:12" x14ac:dyDescent="0.3">
      <c r="A8405" s="3">
        <v>46128</v>
      </c>
      <c r="B8405" s="11" t="s">
        <v>4558</v>
      </c>
      <c r="C8405" s="7" t="s">
        <v>10484</v>
      </c>
      <c r="D8405" s="153"/>
      <c r="E8405" s="90" t="s">
        <v>2088</v>
      </c>
      <c r="G8405" s="2">
        <v>4000</v>
      </c>
      <c r="H8405" s="166"/>
      <c r="I8405" s="88">
        <f t="shared" si="1367"/>
        <v>17884.36</v>
      </c>
      <c r="K8405" s="62"/>
      <c r="L8405" s="2">
        <f t="shared" si="1368"/>
        <v>21</v>
      </c>
    </row>
    <row r="8406" spans="1:12" x14ac:dyDescent="0.3">
      <c r="A8406" s="3">
        <f t="shared" si="1366"/>
        <v>46128</v>
      </c>
      <c r="B8406" s="11" t="s">
        <v>3669</v>
      </c>
      <c r="C8406" s="7" t="s">
        <v>10485</v>
      </c>
      <c r="D8406" s="153"/>
      <c r="E8406" s="90" t="s">
        <v>4720</v>
      </c>
      <c r="F8406" s="4">
        <v>0</v>
      </c>
      <c r="G8406" s="2">
        <v>8000</v>
      </c>
      <c r="H8406" s="166"/>
      <c r="I8406" s="88">
        <f t="shared" si="1367"/>
        <v>25884.36</v>
      </c>
      <c r="K8406" s="62"/>
      <c r="L8406" s="2">
        <f t="shared" si="1368"/>
        <v>20</v>
      </c>
    </row>
    <row r="8407" spans="1:12" x14ac:dyDescent="0.3">
      <c r="A8407" s="3">
        <f t="shared" si="1366"/>
        <v>46128</v>
      </c>
      <c r="B8407" s="11" t="s">
        <v>1160</v>
      </c>
      <c r="C8407" s="7" t="s">
        <v>3896</v>
      </c>
      <c r="D8407" s="153"/>
      <c r="E8407" s="90" t="s">
        <v>4720</v>
      </c>
      <c r="G8407" s="2">
        <v>2500</v>
      </c>
      <c r="H8407" s="166"/>
      <c r="I8407" s="88">
        <f t="shared" si="1367"/>
        <v>28384.36</v>
      </c>
      <c r="K8407" s="62"/>
      <c r="L8407" s="2">
        <f t="shared" si="1368"/>
        <v>10</v>
      </c>
    </row>
    <row r="8408" spans="1:12" x14ac:dyDescent="0.3">
      <c r="A8408" s="3">
        <f t="shared" si="1366"/>
        <v>46128</v>
      </c>
      <c r="B8408" s="11" t="s">
        <v>9381</v>
      </c>
      <c r="C8408" s="7" t="s">
        <v>372</v>
      </c>
      <c r="D8408" s="153"/>
      <c r="E8408" s="90" t="s">
        <v>2088</v>
      </c>
      <c r="G8408" s="2">
        <v>0</v>
      </c>
      <c r="H8408" s="166">
        <v>0</v>
      </c>
      <c r="I8408" s="88">
        <f t="shared" si="1367"/>
        <v>28384.36</v>
      </c>
      <c r="K8408" s="62"/>
      <c r="L8408" s="2">
        <f t="shared" si="1368"/>
        <v>5</v>
      </c>
    </row>
    <row r="8409" spans="1:12" x14ac:dyDescent="0.3">
      <c r="A8409" s="3">
        <f t="shared" si="1366"/>
        <v>46128</v>
      </c>
      <c r="B8409" s="11" t="s">
        <v>9381</v>
      </c>
      <c r="C8409" s="7" t="s">
        <v>372</v>
      </c>
      <c r="D8409" s="153"/>
      <c r="E8409" s="90" t="s">
        <v>2088</v>
      </c>
      <c r="G8409" s="2">
        <v>6000</v>
      </c>
      <c r="H8409" s="166"/>
      <c r="I8409" s="88">
        <f t="shared" si="1367"/>
        <v>34384.36</v>
      </c>
      <c r="K8409" s="62"/>
      <c r="L8409" s="2">
        <f t="shared" si="1368"/>
        <v>25</v>
      </c>
    </row>
    <row r="8410" spans="1:12" x14ac:dyDescent="0.3">
      <c r="A8410" s="3">
        <f t="shared" si="1366"/>
        <v>46128</v>
      </c>
      <c r="B8410" s="11" t="s">
        <v>10181</v>
      </c>
      <c r="C8410" s="7" t="s">
        <v>10486</v>
      </c>
      <c r="D8410" s="153"/>
      <c r="E8410" s="90" t="s">
        <v>2088</v>
      </c>
      <c r="G8410" s="2">
        <v>0</v>
      </c>
      <c r="H8410" s="166">
        <v>0</v>
      </c>
      <c r="I8410" s="88">
        <f t="shared" si="1367"/>
        <v>34384.36</v>
      </c>
      <c r="K8410" s="62"/>
      <c r="L8410" s="2">
        <f t="shared" si="1368"/>
        <v>5</v>
      </c>
    </row>
    <row r="8411" spans="1:12" x14ac:dyDescent="0.3">
      <c r="A8411" s="3">
        <f t="shared" si="1366"/>
        <v>46128</v>
      </c>
      <c r="B8411" s="11" t="s">
        <v>10487</v>
      </c>
      <c r="C8411" s="7" t="s">
        <v>10488</v>
      </c>
      <c r="D8411" s="153"/>
      <c r="E8411" s="90" t="s">
        <v>2088</v>
      </c>
      <c r="G8411" s="2">
        <v>1500</v>
      </c>
      <c r="H8411" s="166"/>
      <c r="I8411" s="88">
        <f t="shared" si="1367"/>
        <v>35884.36</v>
      </c>
      <c r="K8411" s="62"/>
      <c r="L8411" s="2">
        <f t="shared" si="1368"/>
        <v>11</v>
      </c>
    </row>
    <row r="8412" spans="1:12" x14ac:dyDescent="0.3">
      <c r="A8412" s="3">
        <f t="shared" si="1366"/>
        <v>46128</v>
      </c>
      <c r="B8412" s="11" t="s">
        <v>10489</v>
      </c>
      <c r="C8412" s="7" t="s">
        <v>9609</v>
      </c>
      <c r="D8412" s="153"/>
      <c r="E8412" s="90" t="s">
        <v>2088</v>
      </c>
      <c r="G8412" s="2">
        <v>5000</v>
      </c>
      <c r="H8412" s="166"/>
      <c r="I8412" s="88">
        <f t="shared" si="1367"/>
        <v>40884.36</v>
      </c>
      <c r="K8412" s="62"/>
      <c r="L8412" s="2">
        <f t="shared" si="1368"/>
        <v>25</v>
      </c>
    </row>
    <row r="8413" spans="1:12" x14ac:dyDescent="0.3">
      <c r="A8413" s="3">
        <f t="shared" si="1366"/>
        <v>46128</v>
      </c>
      <c r="B8413" s="11" t="s">
        <v>5986</v>
      </c>
      <c r="C8413" s="7" t="s">
        <v>5985</v>
      </c>
      <c r="D8413" s="153"/>
      <c r="E8413" s="90" t="s">
        <v>4720</v>
      </c>
      <c r="H8413" s="166">
        <v>11000</v>
      </c>
      <c r="I8413" s="88">
        <f t="shared" si="1367"/>
        <v>29884.36</v>
      </c>
      <c r="K8413" s="62"/>
      <c r="L8413" s="2">
        <f t="shared" si="1368"/>
        <v>20</v>
      </c>
    </row>
    <row r="8414" spans="1:12" x14ac:dyDescent="0.3">
      <c r="A8414" s="3">
        <f t="shared" si="1366"/>
        <v>46128</v>
      </c>
      <c r="B8414" s="11" t="s">
        <v>1160</v>
      </c>
      <c r="C8414" s="7" t="s">
        <v>10490</v>
      </c>
      <c r="D8414" s="153"/>
      <c r="E8414" s="90" t="s">
        <v>4720</v>
      </c>
      <c r="G8414" s="2">
        <v>2000</v>
      </c>
      <c r="H8414" s="166"/>
      <c r="I8414" s="88">
        <f t="shared" si="1367"/>
        <v>31884.36</v>
      </c>
      <c r="K8414" s="62"/>
      <c r="L8414" s="2">
        <f t="shared" si="1368"/>
        <v>8</v>
      </c>
    </row>
    <row r="8415" spans="1:12" x14ac:dyDescent="0.3">
      <c r="A8415" s="3">
        <f t="shared" si="1366"/>
        <v>46128</v>
      </c>
      <c r="B8415" s="11" t="s">
        <v>1160</v>
      </c>
      <c r="C8415" s="7" t="s">
        <v>5167</v>
      </c>
      <c r="D8415" s="153"/>
      <c r="E8415" s="90" t="s">
        <v>4720</v>
      </c>
      <c r="G8415" s="2">
        <v>1500</v>
      </c>
      <c r="H8415" s="166"/>
      <c r="I8415" s="88">
        <f t="shared" ref="I8415:I8429" si="1369">I8414+G8415-H8415</f>
        <v>33384.36</v>
      </c>
      <c r="K8415" s="62"/>
      <c r="L8415" s="2">
        <f t="shared" ref="L8415:L8429" si="1370">IF(E8415="C",0,IF((G8415+H8415)&lt;=5000,(G8415+H8415)*0.004,20)+IF(E8415="P",5,IF(E8415="Y",15,IF(E8415="YY",25))))</f>
        <v>6</v>
      </c>
    </row>
    <row r="8416" spans="1:12" x14ac:dyDescent="0.3">
      <c r="A8416" s="3">
        <f t="shared" si="1366"/>
        <v>46128</v>
      </c>
      <c r="C8416" s="7" t="s">
        <v>2857</v>
      </c>
      <c r="D8416" s="153"/>
      <c r="E8416" s="90" t="s">
        <v>8332</v>
      </c>
      <c r="H8416" s="166">
        <v>30000</v>
      </c>
      <c r="I8416" s="88">
        <f t="shared" si="1369"/>
        <v>3384.3600000000006</v>
      </c>
      <c r="K8416" s="62"/>
      <c r="L8416" s="2">
        <f t="shared" si="1370"/>
        <v>0</v>
      </c>
    </row>
    <row r="8417" spans="1:12" x14ac:dyDescent="0.3">
      <c r="A8417" s="3">
        <f t="shared" si="1366"/>
        <v>46128</v>
      </c>
      <c r="B8417" s="11" t="s">
        <v>8052</v>
      </c>
      <c r="C8417" s="7" t="s">
        <v>4867</v>
      </c>
      <c r="D8417" s="153"/>
      <c r="E8417" s="90" t="s">
        <v>2088</v>
      </c>
      <c r="G8417" s="2">
        <v>1000</v>
      </c>
      <c r="H8417" s="166"/>
      <c r="I8417" s="88">
        <f t="shared" si="1369"/>
        <v>4384.3600000000006</v>
      </c>
      <c r="K8417" s="62"/>
      <c r="L8417" s="2">
        <f t="shared" si="1370"/>
        <v>9</v>
      </c>
    </row>
    <row r="8418" spans="1:12" x14ac:dyDescent="0.3">
      <c r="A8418" s="3">
        <f t="shared" si="1366"/>
        <v>46128</v>
      </c>
      <c r="B8418" s="11" t="s">
        <v>10447</v>
      </c>
      <c r="C8418" s="7" t="s">
        <v>10448</v>
      </c>
      <c r="D8418" s="153"/>
      <c r="E8418" s="90" t="s">
        <v>2088</v>
      </c>
      <c r="G8418" s="2">
        <v>0</v>
      </c>
      <c r="H8418" s="166">
        <v>0</v>
      </c>
      <c r="I8418" s="88">
        <f t="shared" si="1369"/>
        <v>4384.3600000000006</v>
      </c>
      <c r="K8418" s="62"/>
      <c r="L8418" s="2">
        <f t="shared" si="1370"/>
        <v>5</v>
      </c>
    </row>
    <row r="8419" spans="1:12" x14ac:dyDescent="0.3">
      <c r="A8419" s="3">
        <f t="shared" si="1366"/>
        <v>46128</v>
      </c>
      <c r="B8419" s="11" t="s">
        <v>10479</v>
      </c>
      <c r="C8419" s="7" t="s">
        <v>4463</v>
      </c>
      <c r="D8419" s="153"/>
      <c r="E8419" s="90" t="s">
        <v>2088</v>
      </c>
      <c r="G8419" s="2">
        <v>0</v>
      </c>
      <c r="H8419" s="166">
        <v>0</v>
      </c>
      <c r="I8419" s="88">
        <f t="shared" si="1369"/>
        <v>4384.3600000000006</v>
      </c>
      <c r="K8419" s="62"/>
      <c r="L8419" s="2">
        <f t="shared" si="1370"/>
        <v>5</v>
      </c>
    </row>
    <row r="8420" spans="1:12" x14ac:dyDescent="0.3">
      <c r="A8420" s="3">
        <f t="shared" si="1366"/>
        <v>46128</v>
      </c>
      <c r="B8420" s="11" t="s">
        <v>4752</v>
      </c>
      <c r="C8420" s="7" t="s">
        <v>5806</v>
      </c>
      <c r="D8420" s="153"/>
      <c r="E8420" s="90" t="s">
        <v>4720</v>
      </c>
      <c r="G8420" s="2">
        <v>1250</v>
      </c>
      <c r="H8420" s="166"/>
      <c r="I8420" s="88">
        <f t="shared" si="1369"/>
        <v>5634.3600000000006</v>
      </c>
      <c r="K8420" s="62"/>
      <c r="L8420" s="2">
        <f t="shared" si="1370"/>
        <v>5</v>
      </c>
    </row>
    <row r="8421" spans="1:12" x14ac:dyDescent="0.3">
      <c r="A8421" s="3">
        <f t="shared" si="1366"/>
        <v>46128</v>
      </c>
      <c r="B8421" s="11" t="s">
        <v>6728</v>
      </c>
      <c r="C8421" s="7" t="s">
        <v>9175</v>
      </c>
      <c r="D8421" s="153"/>
      <c r="E8421" s="90" t="s">
        <v>2088</v>
      </c>
      <c r="G8421" s="2">
        <v>1500</v>
      </c>
      <c r="H8421" s="166"/>
      <c r="I8421" s="88">
        <f t="shared" si="1369"/>
        <v>7134.3600000000006</v>
      </c>
      <c r="K8421" s="62"/>
      <c r="L8421" s="2">
        <f t="shared" si="1370"/>
        <v>11</v>
      </c>
    </row>
    <row r="8422" spans="1:12" x14ac:dyDescent="0.3">
      <c r="A8422" s="3">
        <f t="shared" si="1366"/>
        <v>46128</v>
      </c>
      <c r="B8422" s="11" t="s">
        <v>2241</v>
      </c>
      <c r="C8422" s="7" t="s">
        <v>10494</v>
      </c>
      <c r="D8422" s="153"/>
      <c r="E8422" s="90" t="s">
        <v>4720</v>
      </c>
      <c r="G8422" s="2">
        <v>5000</v>
      </c>
      <c r="H8422" s="166"/>
      <c r="I8422" s="88">
        <f t="shared" si="1369"/>
        <v>12134.36</v>
      </c>
      <c r="K8422" s="62"/>
      <c r="L8422" s="2">
        <f t="shared" si="1370"/>
        <v>20</v>
      </c>
    </row>
    <row r="8423" spans="1:12" x14ac:dyDescent="0.3">
      <c r="A8423" s="3">
        <f t="shared" si="1366"/>
        <v>46128</v>
      </c>
      <c r="B8423" s="11" t="s">
        <v>10498</v>
      </c>
      <c r="C8423" s="7" t="s">
        <v>10497</v>
      </c>
      <c r="D8423" s="153"/>
      <c r="E8423" s="90" t="s">
        <v>2088</v>
      </c>
      <c r="H8423" s="166">
        <v>2000</v>
      </c>
      <c r="I8423" s="88">
        <f t="shared" si="1369"/>
        <v>10134.36</v>
      </c>
      <c r="K8423" s="62"/>
      <c r="L8423" s="2">
        <f t="shared" si="1370"/>
        <v>13</v>
      </c>
    </row>
    <row r="8424" spans="1:12" x14ac:dyDescent="0.3">
      <c r="A8424" s="3">
        <v>46129</v>
      </c>
      <c r="B8424" s="11" t="s">
        <v>1250</v>
      </c>
      <c r="C8424" s="7" t="s">
        <v>10496</v>
      </c>
      <c r="D8424" s="153"/>
      <c r="E8424" s="90" t="s">
        <v>4720</v>
      </c>
      <c r="G8424" s="2">
        <v>6000</v>
      </c>
      <c r="H8424" s="166"/>
      <c r="I8424" s="88">
        <f t="shared" si="1369"/>
        <v>16134.36</v>
      </c>
      <c r="K8424" s="62"/>
      <c r="L8424" s="2">
        <f t="shared" si="1370"/>
        <v>20</v>
      </c>
    </row>
    <row r="8425" spans="1:12" x14ac:dyDescent="0.3">
      <c r="A8425" s="3">
        <f t="shared" si="1366"/>
        <v>46129</v>
      </c>
      <c r="B8425" s="11" t="s">
        <v>3865</v>
      </c>
      <c r="C8425" s="7" t="s">
        <v>2890</v>
      </c>
      <c r="D8425" s="153"/>
      <c r="E8425" s="90" t="s">
        <v>2088</v>
      </c>
      <c r="G8425" s="2">
        <v>4500</v>
      </c>
      <c r="H8425" s="166"/>
      <c r="I8425" s="88">
        <f t="shared" si="1369"/>
        <v>20634.36</v>
      </c>
      <c r="K8425" s="62"/>
      <c r="L8425" s="2">
        <f t="shared" si="1370"/>
        <v>23</v>
      </c>
    </row>
    <row r="8426" spans="1:12" x14ac:dyDescent="0.3">
      <c r="A8426" s="3">
        <f t="shared" si="1366"/>
        <v>46129</v>
      </c>
      <c r="B8426" s="11" t="s">
        <v>10500</v>
      </c>
      <c r="C8426" s="7" t="s">
        <v>10506</v>
      </c>
      <c r="D8426" s="153"/>
      <c r="E8426" s="90" t="s">
        <v>2088</v>
      </c>
      <c r="H8426" s="166">
        <v>500</v>
      </c>
      <c r="I8426" s="88">
        <f t="shared" si="1369"/>
        <v>20134.36</v>
      </c>
      <c r="K8426" s="62"/>
      <c r="L8426" s="2">
        <f t="shared" si="1370"/>
        <v>7</v>
      </c>
    </row>
    <row r="8427" spans="1:12" x14ac:dyDescent="0.3">
      <c r="A8427" s="3">
        <f t="shared" si="1366"/>
        <v>46129</v>
      </c>
      <c r="B8427" s="11" t="s">
        <v>10508</v>
      </c>
      <c r="C8427" s="7" t="s">
        <v>10509</v>
      </c>
      <c r="D8427" s="153"/>
      <c r="E8427" s="90" t="s">
        <v>4720</v>
      </c>
      <c r="G8427" s="2">
        <v>1000</v>
      </c>
      <c r="H8427" s="166"/>
      <c r="I8427" s="88">
        <f t="shared" si="1369"/>
        <v>21134.36</v>
      </c>
      <c r="K8427" s="62"/>
      <c r="L8427" s="2">
        <f t="shared" si="1370"/>
        <v>4</v>
      </c>
    </row>
    <row r="8428" spans="1:12" x14ac:dyDescent="0.3">
      <c r="A8428" s="3">
        <f t="shared" si="1366"/>
        <v>46129</v>
      </c>
      <c r="B8428" s="11" t="s">
        <v>7374</v>
      </c>
      <c r="C8428" s="7" t="s">
        <v>10466</v>
      </c>
      <c r="D8428" s="153"/>
      <c r="E8428" s="90" t="s">
        <v>2088</v>
      </c>
      <c r="G8428" s="2">
        <v>6000</v>
      </c>
      <c r="H8428" s="166"/>
      <c r="I8428" s="88">
        <f t="shared" si="1369"/>
        <v>27134.36</v>
      </c>
      <c r="K8428" s="62"/>
      <c r="L8428" s="2">
        <f t="shared" si="1370"/>
        <v>25</v>
      </c>
    </row>
    <row r="8429" spans="1:12" x14ac:dyDescent="0.3">
      <c r="A8429" s="3">
        <f t="shared" si="1366"/>
        <v>46129</v>
      </c>
      <c r="B8429" s="11" t="s">
        <v>8156</v>
      </c>
      <c r="C8429" s="7" t="s">
        <v>10510</v>
      </c>
      <c r="D8429" s="153"/>
      <c r="E8429" s="90" t="s">
        <v>4720</v>
      </c>
      <c r="G8429" s="2">
        <v>8000</v>
      </c>
      <c r="H8429" s="166"/>
      <c r="I8429" s="88">
        <f t="shared" si="1369"/>
        <v>35134.36</v>
      </c>
      <c r="K8429" s="62"/>
      <c r="L8429" s="2">
        <f t="shared" si="1370"/>
        <v>20</v>
      </c>
    </row>
    <row r="8430" spans="1:12" x14ac:dyDescent="0.3">
      <c r="A8430" s="3">
        <f t="shared" si="1366"/>
        <v>46129</v>
      </c>
      <c r="C8430" s="7" t="s">
        <v>2857</v>
      </c>
      <c r="D8430" s="153"/>
      <c r="E8430" s="90" t="s">
        <v>8332</v>
      </c>
      <c r="H8430" s="166">
        <v>30000</v>
      </c>
      <c r="I8430" s="88">
        <f t="shared" ref="I8430:I8439" si="1371">I8429+G8430-H8430</f>
        <v>5134.3600000000006</v>
      </c>
      <c r="K8430" s="62"/>
      <c r="L8430" s="2">
        <f t="shared" ref="L8430:L8439" si="1372">IF(E8430="C",0,IF((G8430+H8430)&lt;=5000,(G8430+H8430)*0.004,20)+IF(E8430="P",5,IF(E8430="Y",15,IF(E8430="YY",25))))</f>
        <v>0</v>
      </c>
    </row>
    <row r="8431" spans="1:12" x14ac:dyDescent="0.3">
      <c r="A8431" s="3">
        <f t="shared" si="1366"/>
        <v>46129</v>
      </c>
      <c r="B8431" s="11" t="s">
        <v>9227</v>
      </c>
      <c r="C8431" s="7" t="s">
        <v>10511</v>
      </c>
      <c r="D8431" s="153"/>
      <c r="E8431" s="90" t="s">
        <v>4720</v>
      </c>
      <c r="G8431" s="2">
        <v>900</v>
      </c>
      <c r="H8431" s="166"/>
      <c r="I8431" s="88">
        <f t="shared" si="1371"/>
        <v>6034.3600000000006</v>
      </c>
      <c r="K8431" s="62"/>
      <c r="L8431" s="2">
        <f t="shared" si="1372"/>
        <v>3.6</v>
      </c>
    </row>
    <row r="8432" spans="1:12" x14ac:dyDescent="0.3">
      <c r="A8432" s="3">
        <f t="shared" si="1366"/>
        <v>46129</v>
      </c>
      <c r="B8432" s="11" t="s">
        <v>3039</v>
      </c>
      <c r="C8432" s="7" t="s">
        <v>10512</v>
      </c>
      <c r="D8432" s="153"/>
      <c r="E8432" s="90" t="s">
        <v>4720</v>
      </c>
      <c r="G8432" s="2">
        <v>700</v>
      </c>
      <c r="H8432" s="166"/>
      <c r="I8432" s="88">
        <f t="shared" si="1371"/>
        <v>6734.3600000000006</v>
      </c>
      <c r="K8432" s="62"/>
      <c r="L8432" s="2">
        <f t="shared" si="1372"/>
        <v>2.8000000000000003</v>
      </c>
    </row>
    <row r="8433" spans="1:12" x14ac:dyDescent="0.3">
      <c r="A8433" s="3">
        <f t="shared" si="1366"/>
        <v>46129</v>
      </c>
      <c r="B8433" s="11" t="s">
        <v>5355</v>
      </c>
      <c r="C8433" s="7" t="s">
        <v>6995</v>
      </c>
      <c r="D8433" s="153"/>
      <c r="E8433" s="90" t="s">
        <v>4720</v>
      </c>
      <c r="G8433" s="2">
        <v>4000</v>
      </c>
      <c r="H8433" s="166"/>
      <c r="I8433" s="88">
        <f t="shared" si="1371"/>
        <v>10734.36</v>
      </c>
      <c r="K8433" s="62"/>
      <c r="L8433" s="2">
        <f t="shared" si="1372"/>
        <v>16</v>
      </c>
    </row>
    <row r="8434" spans="1:12" x14ac:dyDescent="0.3">
      <c r="A8434" s="3">
        <f t="shared" si="1366"/>
        <v>46129</v>
      </c>
      <c r="B8434" s="11" t="s">
        <v>10518</v>
      </c>
      <c r="C8434" s="7" t="s">
        <v>10519</v>
      </c>
      <c r="D8434" s="153"/>
      <c r="E8434" s="90" t="s">
        <v>14</v>
      </c>
      <c r="H8434" s="166">
        <v>500</v>
      </c>
      <c r="I8434" s="88">
        <f t="shared" si="1371"/>
        <v>10234.36</v>
      </c>
      <c r="K8434" s="62"/>
      <c r="L8434" s="2">
        <f t="shared" si="1372"/>
        <v>17</v>
      </c>
    </row>
    <row r="8435" spans="1:12" x14ac:dyDescent="0.3">
      <c r="A8435" s="3">
        <f t="shared" si="1366"/>
        <v>46129</v>
      </c>
      <c r="B8435" s="11" t="s">
        <v>10520</v>
      </c>
      <c r="C8435" s="7" t="s">
        <v>10521</v>
      </c>
      <c r="D8435" s="153"/>
      <c r="E8435" s="90" t="s">
        <v>14</v>
      </c>
      <c r="H8435" s="166">
        <v>500</v>
      </c>
      <c r="I8435" s="88">
        <f t="shared" si="1371"/>
        <v>9734.36</v>
      </c>
      <c r="K8435" s="62"/>
      <c r="L8435" s="2">
        <f t="shared" si="1372"/>
        <v>17</v>
      </c>
    </row>
    <row r="8436" spans="1:12" x14ac:dyDescent="0.3">
      <c r="A8436" s="3">
        <f t="shared" si="1366"/>
        <v>46129</v>
      </c>
      <c r="B8436" s="11" t="s">
        <v>3669</v>
      </c>
      <c r="C8436" s="7" t="s">
        <v>10517</v>
      </c>
      <c r="D8436" s="153"/>
      <c r="E8436" s="90" t="s">
        <v>4720</v>
      </c>
      <c r="G8436" s="2">
        <v>10000</v>
      </c>
      <c r="H8436" s="166"/>
      <c r="I8436" s="88">
        <f t="shared" si="1371"/>
        <v>19734.36</v>
      </c>
      <c r="K8436" s="62"/>
      <c r="L8436" s="2">
        <f t="shared" si="1372"/>
        <v>20</v>
      </c>
    </row>
    <row r="8437" spans="1:12" x14ac:dyDescent="0.3">
      <c r="A8437" s="3">
        <f t="shared" si="1366"/>
        <v>46129</v>
      </c>
      <c r="B8437" s="11" t="s">
        <v>10500</v>
      </c>
      <c r="C8437" s="7" t="s">
        <v>10506</v>
      </c>
      <c r="D8437" s="153"/>
      <c r="E8437" s="90" t="s">
        <v>7772</v>
      </c>
      <c r="G8437" s="2">
        <v>0</v>
      </c>
      <c r="H8437" s="166">
        <v>0</v>
      </c>
      <c r="I8437" s="88">
        <f t="shared" si="1371"/>
        <v>19734.36</v>
      </c>
      <c r="K8437" s="62"/>
      <c r="L8437" s="2">
        <f t="shared" si="1372"/>
        <v>5</v>
      </c>
    </row>
    <row r="8438" spans="1:12" x14ac:dyDescent="0.3">
      <c r="A8438" s="3">
        <v>46130</v>
      </c>
      <c r="B8438" s="11" t="s">
        <v>7418</v>
      </c>
      <c r="C8438" s="7" t="s">
        <v>9498</v>
      </c>
      <c r="D8438" s="153"/>
      <c r="E8438" s="90" t="s">
        <v>7772</v>
      </c>
      <c r="G8438" s="2">
        <v>5000</v>
      </c>
      <c r="H8438" s="166"/>
      <c r="I8438" s="88">
        <f t="shared" si="1371"/>
        <v>24734.36</v>
      </c>
      <c r="K8438" s="62"/>
      <c r="L8438" s="2">
        <f t="shared" si="1372"/>
        <v>25</v>
      </c>
    </row>
    <row r="8439" spans="1:12" x14ac:dyDescent="0.3">
      <c r="A8439" s="3">
        <f t="shared" si="1366"/>
        <v>46130</v>
      </c>
      <c r="B8439" s="11" t="s">
        <v>6718</v>
      </c>
      <c r="C8439" s="7" t="s">
        <v>8042</v>
      </c>
      <c r="D8439" s="153"/>
      <c r="E8439" s="90" t="s">
        <v>2088</v>
      </c>
      <c r="G8439" s="2">
        <v>8000</v>
      </c>
      <c r="H8439" s="166"/>
      <c r="I8439" s="88">
        <f t="shared" si="1371"/>
        <v>32734.36</v>
      </c>
      <c r="K8439" s="62"/>
      <c r="L8439" s="2">
        <f t="shared" si="1372"/>
        <v>25</v>
      </c>
    </row>
    <row r="8440" spans="1:12" x14ac:dyDescent="0.3">
      <c r="A8440" s="3">
        <f t="shared" si="1366"/>
        <v>46130</v>
      </c>
      <c r="C8440" s="7" t="s">
        <v>2857</v>
      </c>
      <c r="D8440" s="153"/>
      <c r="E8440" s="90" t="s">
        <v>8332</v>
      </c>
      <c r="H8440" s="166">
        <v>30000</v>
      </c>
      <c r="I8440" s="88">
        <f t="shared" ref="I8440:I8449" si="1373">I8439+G8440-H8440</f>
        <v>2734.3600000000006</v>
      </c>
      <c r="K8440" s="62"/>
      <c r="L8440" s="2">
        <f t="shared" ref="L8440:L8449" si="1374">IF(E8440="C",0,IF((G8440+H8440)&lt;=5000,(G8440+H8440)*0.004,20)+IF(E8440="P",5,IF(E8440="Y",15,IF(E8440="YY",25))))</f>
        <v>0</v>
      </c>
    </row>
    <row r="8441" spans="1:12" x14ac:dyDescent="0.3">
      <c r="A8441" s="3">
        <f t="shared" si="1366"/>
        <v>46130</v>
      </c>
      <c r="B8441" s="11" t="s">
        <v>7870</v>
      </c>
      <c r="C8441" s="7" t="s">
        <v>9417</v>
      </c>
      <c r="D8441" s="153"/>
      <c r="E8441" s="90" t="s">
        <v>2088</v>
      </c>
      <c r="G8441" s="2">
        <v>3500</v>
      </c>
      <c r="H8441" s="166"/>
      <c r="I8441" s="88">
        <f t="shared" si="1373"/>
        <v>6234.3600000000006</v>
      </c>
      <c r="K8441" s="62"/>
      <c r="L8441" s="2">
        <f t="shared" si="1374"/>
        <v>19</v>
      </c>
    </row>
    <row r="8442" spans="1:12" x14ac:dyDescent="0.3">
      <c r="A8442" s="3">
        <f t="shared" si="1366"/>
        <v>46130</v>
      </c>
      <c r="B8442" s="11" t="s">
        <v>2241</v>
      </c>
      <c r="C8442" s="7" t="s">
        <v>10522</v>
      </c>
      <c r="D8442" s="153"/>
      <c r="E8442" s="90" t="s">
        <v>4720</v>
      </c>
      <c r="G8442" s="2">
        <v>2000</v>
      </c>
      <c r="H8442" s="166"/>
      <c r="I8442" s="88">
        <f t="shared" si="1373"/>
        <v>8234.36</v>
      </c>
      <c r="K8442" s="62"/>
      <c r="L8442" s="2">
        <f t="shared" si="1374"/>
        <v>8</v>
      </c>
    </row>
    <row r="8443" spans="1:12" x14ac:dyDescent="0.3">
      <c r="A8443" s="3">
        <f t="shared" si="1366"/>
        <v>46130</v>
      </c>
      <c r="B8443" s="11" t="s">
        <v>2241</v>
      </c>
      <c r="C8443" s="7" t="s">
        <v>10523</v>
      </c>
      <c r="D8443" s="153"/>
      <c r="E8443" s="90" t="s">
        <v>4720</v>
      </c>
      <c r="G8443" s="2">
        <v>950</v>
      </c>
      <c r="H8443" s="166"/>
      <c r="I8443" s="88">
        <f t="shared" si="1373"/>
        <v>9184.36</v>
      </c>
      <c r="K8443" s="62"/>
      <c r="L8443" s="2">
        <f t="shared" si="1374"/>
        <v>3.8000000000000003</v>
      </c>
    </row>
    <row r="8444" spans="1:12" x14ac:dyDescent="0.3">
      <c r="A8444" s="3">
        <v>46131</v>
      </c>
      <c r="B8444" s="11" t="s">
        <v>1160</v>
      </c>
      <c r="C8444" s="7" t="s">
        <v>6480</v>
      </c>
      <c r="D8444" s="153"/>
      <c r="E8444" s="90" t="s">
        <v>4720</v>
      </c>
      <c r="G8444" s="2">
        <v>1000</v>
      </c>
      <c r="H8444" s="166"/>
      <c r="I8444" s="88">
        <f t="shared" si="1373"/>
        <v>10184.36</v>
      </c>
      <c r="K8444" s="62"/>
      <c r="L8444" s="2">
        <f t="shared" si="1374"/>
        <v>4</v>
      </c>
    </row>
    <row r="8445" spans="1:12" x14ac:dyDescent="0.3">
      <c r="A8445" s="3">
        <f t="shared" si="1366"/>
        <v>46131</v>
      </c>
      <c r="B8445" s="11" t="s">
        <v>10498</v>
      </c>
      <c r="C8445" s="7" t="s">
        <v>10501</v>
      </c>
      <c r="D8445" s="153"/>
      <c r="E8445" s="90" t="s">
        <v>2088</v>
      </c>
      <c r="G8445" s="2">
        <v>0</v>
      </c>
      <c r="H8445" s="166">
        <v>0</v>
      </c>
      <c r="I8445" s="88">
        <f t="shared" si="1373"/>
        <v>10184.36</v>
      </c>
      <c r="K8445" s="62"/>
      <c r="L8445" s="2">
        <f t="shared" si="1374"/>
        <v>5</v>
      </c>
    </row>
    <row r="8446" spans="1:12" x14ac:dyDescent="0.3">
      <c r="A8446" s="3">
        <v>46132</v>
      </c>
      <c r="B8446" s="11" t="s">
        <v>10221</v>
      </c>
      <c r="C8446" s="7" t="s">
        <v>10280</v>
      </c>
      <c r="D8446" s="153"/>
      <c r="E8446" s="90" t="s">
        <v>2088</v>
      </c>
      <c r="G8446" s="2">
        <v>1500</v>
      </c>
      <c r="H8446" s="166"/>
      <c r="I8446" s="88">
        <f t="shared" si="1373"/>
        <v>11684.36</v>
      </c>
      <c r="K8446" s="62"/>
      <c r="L8446" s="2">
        <f t="shared" si="1374"/>
        <v>11</v>
      </c>
    </row>
    <row r="8447" spans="1:12" x14ac:dyDescent="0.3">
      <c r="A8447" s="3">
        <f t="shared" si="1366"/>
        <v>46132</v>
      </c>
      <c r="B8447" s="11" t="s">
        <v>10530</v>
      </c>
      <c r="C8447" s="7" t="s">
        <v>10527</v>
      </c>
      <c r="D8447" s="153"/>
      <c r="E8447" s="90" t="s">
        <v>16</v>
      </c>
      <c r="H8447" s="166">
        <v>500</v>
      </c>
      <c r="I8447" s="88">
        <f t="shared" si="1373"/>
        <v>11184.36</v>
      </c>
      <c r="K8447" s="62"/>
      <c r="L8447" s="2">
        <f t="shared" si="1374"/>
        <v>17</v>
      </c>
    </row>
    <row r="8448" spans="1:12" x14ac:dyDescent="0.3">
      <c r="A8448" s="3">
        <v>46133</v>
      </c>
      <c r="B8448" s="11" t="s">
        <v>10533</v>
      </c>
      <c r="C8448" s="7" t="s">
        <v>9880</v>
      </c>
      <c r="D8448" s="153"/>
      <c r="E8448" s="90" t="s">
        <v>7772</v>
      </c>
      <c r="G8448" s="2">
        <v>3050</v>
      </c>
      <c r="H8448" s="166"/>
      <c r="I8448" s="88">
        <f t="shared" si="1373"/>
        <v>14234.36</v>
      </c>
      <c r="K8448" s="62"/>
      <c r="L8448" s="2">
        <f t="shared" si="1374"/>
        <v>17.200000000000003</v>
      </c>
    </row>
    <row r="8449" spans="1:12" x14ac:dyDescent="0.3">
      <c r="A8449" s="3">
        <f t="shared" si="1366"/>
        <v>46133</v>
      </c>
      <c r="B8449" s="11" t="s">
        <v>10534</v>
      </c>
      <c r="C8449" s="7" t="s">
        <v>10535</v>
      </c>
      <c r="E8449" s="90" t="s">
        <v>14</v>
      </c>
      <c r="H8449" s="166">
        <v>500</v>
      </c>
      <c r="I8449" s="88">
        <f t="shared" si="1373"/>
        <v>13734.36</v>
      </c>
      <c r="K8449" s="62"/>
      <c r="L8449" s="2">
        <f t="shared" si="1374"/>
        <v>17</v>
      </c>
    </row>
    <row r="8450" spans="1:12" x14ac:dyDescent="0.3">
      <c r="A8450" s="3">
        <f t="shared" si="1366"/>
        <v>46133</v>
      </c>
      <c r="B8450" s="11" t="s">
        <v>7060</v>
      </c>
      <c r="C8450" s="7" t="s">
        <v>10536</v>
      </c>
      <c r="D8450" s="153"/>
      <c r="E8450" s="90" t="s">
        <v>2088</v>
      </c>
      <c r="G8450" s="2">
        <v>5000</v>
      </c>
      <c r="H8450" s="166"/>
      <c r="I8450" s="88">
        <f t="shared" ref="I8450:I8464" si="1375">I8449+G8450-H8450</f>
        <v>18734.36</v>
      </c>
      <c r="K8450" s="62"/>
      <c r="L8450" s="2">
        <f t="shared" ref="L8450:L8464" si="1376">IF(E8450="C",0,IF((G8450+H8450)&lt;=5000,(G8450+H8450)*0.004,20)+IF(E8450="P",5,IF(E8450="Y",15,IF(E8450="YY",25))))</f>
        <v>25</v>
      </c>
    </row>
    <row r="8451" spans="1:12" x14ac:dyDescent="0.3">
      <c r="A8451" s="3">
        <f t="shared" si="1366"/>
        <v>46133</v>
      </c>
      <c r="B8451" s="11" t="s">
        <v>3289</v>
      </c>
      <c r="C8451" s="7" t="s">
        <v>10537</v>
      </c>
      <c r="D8451" s="153"/>
      <c r="E8451" s="90" t="s">
        <v>4720</v>
      </c>
      <c r="H8451" s="166">
        <v>1000</v>
      </c>
      <c r="I8451" s="88">
        <f t="shared" si="1375"/>
        <v>17734.36</v>
      </c>
      <c r="K8451" s="62"/>
      <c r="L8451" s="2">
        <f t="shared" si="1376"/>
        <v>4</v>
      </c>
    </row>
    <row r="8452" spans="1:12" x14ac:dyDescent="0.3">
      <c r="A8452" s="3">
        <f t="shared" si="1366"/>
        <v>46133</v>
      </c>
      <c r="B8452" s="11" t="s">
        <v>10539</v>
      </c>
      <c r="C8452" s="7" t="s">
        <v>10538</v>
      </c>
      <c r="D8452" s="153"/>
      <c r="E8452" s="90" t="s">
        <v>4720</v>
      </c>
      <c r="H8452" s="166">
        <v>5000</v>
      </c>
      <c r="I8452" s="88">
        <f t="shared" si="1375"/>
        <v>12734.36</v>
      </c>
      <c r="K8452" s="62"/>
      <c r="L8452" s="2">
        <f t="shared" si="1376"/>
        <v>20</v>
      </c>
    </row>
    <row r="8453" spans="1:12" x14ac:dyDescent="0.3">
      <c r="A8453" s="3">
        <f t="shared" si="1366"/>
        <v>46133</v>
      </c>
      <c r="B8453" s="11" t="s">
        <v>8049</v>
      </c>
      <c r="C8453" s="7" t="s">
        <v>10301</v>
      </c>
      <c r="D8453" s="153"/>
      <c r="E8453" s="90" t="s">
        <v>4720</v>
      </c>
      <c r="G8453" s="2">
        <v>1000</v>
      </c>
      <c r="H8453" s="166"/>
      <c r="I8453" s="88">
        <f t="shared" si="1375"/>
        <v>13734.36</v>
      </c>
      <c r="K8453" s="62"/>
      <c r="L8453" s="2">
        <f t="shared" si="1376"/>
        <v>4</v>
      </c>
    </row>
    <row r="8454" spans="1:12" x14ac:dyDescent="0.3">
      <c r="A8454" s="3">
        <f t="shared" si="1366"/>
        <v>46133</v>
      </c>
      <c r="B8454" s="11" t="s">
        <v>5542</v>
      </c>
      <c r="C8454" s="7" t="s">
        <v>10235</v>
      </c>
      <c r="D8454" s="153"/>
      <c r="E8454" s="90" t="s">
        <v>4720</v>
      </c>
      <c r="G8454" s="2">
        <v>2000</v>
      </c>
      <c r="H8454" s="166"/>
      <c r="I8454" s="88">
        <f t="shared" si="1375"/>
        <v>15734.36</v>
      </c>
      <c r="K8454" s="62"/>
      <c r="L8454" s="2">
        <f t="shared" si="1376"/>
        <v>8</v>
      </c>
    </row>
    <row r="8455" spans="1:12" x14ac:dyDescent="0.3">
      <c r="A8455" s="3">
        <f t="shared" si="1366"/>
        <v>46133</v>
      </c>
      <c r="B8455" s="11" t="s">
        <v>10424</v>
      </c>
      <c r="C8455" s="7" t="s">
        <v>7710</v>
      </c>
      <c r="D8455" s="153"/>
      <c r="E8455" s="90" t="s">
        <v>4720</v>
      </c>
      <c r="G8455" s="2">
        <v>8000</v>
      </c>
      <c r="H8455" s="166"/>
      <c r="I8455" s="88">
        <f t="shared" si="1375"/>
        <v>23734.36</v>
      </c>
      <c r="K8455" s="62"/>
      <c r="L8455" s="2">
        <f t="shared" si="1376"/>
        <v>20</v>
      </c>
    </row>
    <row r="8456" spans="1:12" x14ac:dyDescent="0.3">
      <c r="A8456" s="3">
        <f t="shared" ref="A8456:A8519" si="1377">A8455</f>
        <v>46133</v>
      </c>
      <c r="B8456" s="11" t="s">
        <v>3849</v>
      </c>
      <c r="C8456" s="7" t="s">
        <v>4218</v>
      </c>
      <c r="D8456" s="153"/>
      <c r="E8456" s="90" t="s">
        <v>4720</v>
      </c>
      <c r="H8456" s="166">
        <v>12100</v>
      </c>
      <c r="I8456" s="88">
        <f t="shared" si="1375"/>
        <v>11634.36</v>
      </c>
      <c r="K8456" s="62"/>
      <c r="L8456" s="2">
        <f t="shared" si="1376"/>
        <v>20</v>
      </c>
    </row>
    <row r="8457" spans="1:12" x14ac:dyDescent="0.3">
      <c r="A8457" s="3">
        <f t="shared" si="1377"/>
        <v>46133</v>
      </c>
      <c r="B8457" s="11" t="s">
        <v>6726</v>
      </c>
      <c r="C8457" s="7" t="s">
        <v>10540</v>
      </c>
      <c r="D8457" s="153"/>
      <c r="E8457" s="90" t="s">
        <v>4720</v>
      </c>
      <c r="G8457" s="2">
        <v>3000</v>
      </c>
      <c r="H8457" s="166"/>
      <c r="I8457" s="88">
        <f t="shared" si="1375"/>
        <v>14634.36</v>
      </c>
      <c r="K8457" s="62"/>
      <c r="L8457" s="2">
        <f t="shared" si="1376"/>
        <v>12</v>
      </c>
    </row>
    <row r="8458" spans="1:12" x14ac:dyDescent="0.3">
      <c r="A8458" s="3">
        <f t="shared" si="1377"/>
        <v>46133</v>
      </c>
      <c r="B8458" s="11" t="s">
        <v>10530</v>
      </c>
      <c r="C8458" s="7" t="s">
        <v>10527</v>
      </c>
      <c r="D8458" s="153"/>
      <c r="E8458" s="90" t="s">
        <v>7772</v>
      </c>
      <c r="G8458" s="2">
        <v>0</v>
      </c>
      <c r="H8458" s="166">
        <v>0</v>
      </c>
      <c r="I8458" s="88">
        <f t="shared" si="1375"/>
        <v>14634.36</v>
      </c>
      <c r="K8458" s="62"/>
      <c r="L8458" s="2">
        <f t="shared" si="1376"/>
        <v>5</v>
      </c>
    </row>
    <row r="8459" spans="1:12" x14ac:dyDescent="0.3">
      <c r="A8459" s="3">
        <v>46134</v>
      </c>
      <c r="B8459" s="11" t="s">
        <v>1250</v>
      </c>
      <c r="C8459" s="7" t="s">
        <v>2884</v>
      </c>
      <c r="D8459" s="153"/>
      <c r="E8459" s="90" t="s">
        <v>4720</v>
      </c>
      <c r="G8459" s="2">
        <v>1100</v>
      </c>
      <c r="H8459" s="166"/>
      <c r="I8459" s="88">
        <f t="shared" si="1375"/>
        <v>15734.36</v>
      </c>
      <c r="K8459" s="62"/>
      <c r="L8459" s="2">
        <f t="shared" si="1376"/>
        <v>4.4000000000000004</v>
      </c>
    </row>
    <row r="8460" spans="1:12" x14ac:dyDescent="0.3">
      <c r="A8460" s="3">
        <f t="shared" si="1377"/>
        <v>46134</v>
      </c>
      <c r="B8460" s="11" t="s">
        <v>1250</v>
      </c>
      <c r="C8460" s="7" t="s">
        <v>3393</v>
      </c>
      <c r="D8460" s="153"/>
      <c r="E8460" s="90" t="s">
        <v>4720</v>
      </c>
      <c r="G8460" s="2">
        <v>1100</v>
      </c>
      <c r="H8460" s="166"/>
      <c r="I8460" s="88">
        <f t="shared" si="1375"/>
        <v>16834.36</v>
      </c>
      <c r="K8460" s="62"/>
      <c r="L8460" s="2">
        <f t="shared" si="1376"/>
        <v>4.4000000000000004</v>
      </c>
    </row>
    <row r="8461" spans="1:12" x14ac:dyDescent="0.3">
      <c r="A8461" s="3">
        <f t="shared" si="1377"/>
        <v>46134</v>
      </c>
      <c r="B8461" s="11" t="s">
        <v>4520</v>
      </c>
      <c r="C8461" s="7" t="s">
        <v>7460</v>
      </c>
      <c r="D8461" s="153"/>
      <c r="E8461" s="90" t="s">
        <v>2088</v>
      </c>
      <c r="G8461" s="2">
        <v>3000</v>
      </c>
      <c r="H8461" s="166"/>
      <c r="I8461" s="88">
        <f t="shared" si="1375"/>
        <v>19834.36</v>
      </c>
      <c r="K8461" s="62"/>
      <c r="L8461" s="2">
        <f t="shared" si="1376"/>
        <v>17</v>
      </c>
    </row>
    <row r="8462" spans="1:12" x14ac:dyDescent="0.3">
      <c r="A8462" s="3">
        <f t="shared" si="1377"/>
        <v>46134</v>
      </c>
      <c r="B8462" s="11" t="s">
        <v>10534</v>
      </c>
      <c r="C8462" s="7" t="s">
        <v>10535</v>
      </c>
      <c r="D8462" s="153"/>
      <c r="E8462" s="90" t="s">
        <v>2088</v>
      </c>
      <c r="G8462" s="2">
        <v>0</v>
      </c>
      <c r="H8462" s="166">
        <v>0</v>
      </c>
      <c r="I8462" s="88">
        <f t="shared" si="1375"/>
        <v>19834.36</v>
      </c>
      <c r="K8462" s="62"/>
      <c r="L8462" s="2">
        <f t="shared" si="1376"/>
        <v>5</v>
      </c>
    </row>
    <row r="8463" spans="1:12" x14ac:dyDescent="0.3">
      <c r="A8463" s="3">
        <f t="shared" si="1377"/>
        <v>46134</v>
      </c>
      <c r="B8463" s="11" t="s">
        <v>10221</v>
      </c>
      <c r="C8463" s="7" t="s">
        <v>10544</v>
      </c>
      <c r="D8463" s="153"/>
      <c r="E8463" s="90" t="s">
        <v>4720</v>
      </c>
      <c r="G8463" s="2">
        <v>10000</v>
      </c>
      <c r="H8463" s="166"/>
      <c r="I8463" s="88">
        <f t="shared" si="1375"/>
        <v>29834.36</v>
      </c>
      <c r="K8463" s="62"/>
      <c r="L8463" s="2">
        <f t="shared" si="1376"/>
        <v>20</v>
      </c>
    </row>
    <row r="8464" spans="1:12" x14ac:dyDescent="0.3">
      <c r="A8464" s="3">
        <f t="shared" si="1377"/>
        <v>46134</v>
      </c>
      <c r="B8464" s="11" t="s">
        <v>7418</v>
      </c>
      <c r="C8464" s="7" t="s">
        <v>10545</v>
      </c>
      <c r="D8464" s="153"/>
      <c r="E8464" s="90" t="s">
        <v>7772</v>
      </c>
      <c r="G8464" s="2">
        <v>6000</v>
      </c>
      <c r="H8464" s="166"/>
      <c r="I8464" s="88">
        <f t="shared" si="1375"/>
        <v>35834.36</v>
      </c>
      <c r="K8464" s="62"/>
      <c r="L8464" s="2">
        <f t="shared" si="1376"/>
        <v>25</v>
      </c>
    </row>
    <row r="8465" spans="1:12" x14ac:dyDescent="0.3">
      <c r="A8465" s="3">
        <f t="shared" si="1377"/>
        <v>46134</v>
      </c>
      <c r="B8465" s="11" t="s">
        <v>8679</v>
      </c>
      <c r="C8465" s="7" t="s">
        <v>10546</v>
      </c>
      <c r="D8465" s="153"/>
      <c r="E8465" s="90" t="s">
        <v>7772</v>
      </c>
      <c r="G8465" s="2">
        <v>1000</v>
      </c>
      <c r="H8465" s="166"/>
      <c r="I8465" s="88">
        <f t="shared" ref="I8465:I8470" si="1378">I8464+G8465-H8465</f>
        <v>36834.36</v>
      </c>
      <c r="K8465" s="62"/>
      <c r="L8465" s="2">
        <f t="shared" ref="L8465:L8470" si="1379">IF(E8465="C",0,IF((G8465+H8465)&lt;=5000,(G8465+H8465)*0.004,20)+IF(E8465="P",5,IF(E8465="Y",15,IF(E8465="YY",25))))</f>
        <v>9</v>
      </c>
    </row>
    <row r="8466" spans="1:12" x14ac:dyDescent="0.3">
      <c r="A8466" s="3">
        <f t="shared" si="1377"/>
        <v>46134</v>
      </c>
      <c r="B8466" s="11" t="s">
        <v>5604</v>
      </c>
      <c r="C8466" s="7" t="s">
        <v>9717</v>
      </c>
      <c r="D8466" s="153"/>
      <c r="E8466" s="90" t="s">
        <v>4720</v>
      </c>
      <c r="G8466" s="2">
        <v>1500</v>
      </c>
      <c r="H8466" s="166"/>
      <c r="I8466" s="88">
        <f t="shared" si="1378"/>
        <v>38334.36</v>
      </c>
      <c r="K8466" s="62"/>
      <c r="L8466" s="2">
        <f t="shared" si="1379"/>
        <v>6</v>
      </c>
    </row>
    <row r="8467" spans="1:12" x14ac:dyDescent="0.3">
      <c r="A8467" s="3">
        <f t="shared" si="1377"/>
        <v>46134</v>
      </c>
      <c r="B8467" s="11" t="s">
        <v>1170</v>
      </c>
      <c r="C8467" s="7" t="s">
        <v>9277</v>
      </c>
      <c r="D8467" s="153"/>
      <c r="E8467" s="90" t="s">
        <v>4720</v>
      </c>
      <c r="G8467" s="2">
        <v>800</v>
      </c>
      <c r="H8467" s="166"/>
      <c r="I8467" s="88">
        <f t="shared" si="1378"/>
        <v>39134.36</v>
      </c>
      <c r="K8467" s="62"/>
      <c r="L8467" s="2">
        <f t="shared" si="1379"/>
        <v>3.2</v>
      </c>
    </row>
    <row r="8468" spans="1:12" x14ac:dyDescent="0.3">
      <c r="A8468" s="3">
        <f t="shared" si="1377"/>
        <v>46134</v>
      </c>
      <c r="B8468" s="11" t="s">
        <v>7051</v>
      </c>
      <c r="C8468" s="7" t="s">
        <v>7236</v>
      </c>
      <c r="D8468" s="153"/>
      <c r="E8468" s="90" t="s">
        <v>4720</v>
      </c>
      <c r="G8468" s="2">
        <v>2000</v>
      </c>
      <c r="H8468" s="166"/>
      <c r="I8468" s="88">
        <f t="shared" si="1378"/>
        <v>41134.36</v>
      </c>
      <c r="K8468" s="62"/>
      <c r="L8468" s="2">
        <f t="shared" si="1379"/>
        <v>8</v>
      </c>
    </row>
    <row r="8469" spans="1:12" x14ac:dyDescent="0.3">
      <c r="A8469" s="3">
        <f t="shared" si="1377"/>
        <v>46134</v>
      </c>
      <c r="B8469" s="11" t="s">
        <v>2490</v>
      </c>
      <c r="C8469" s="7" t="s">
        <v>2857</v>
      </c>
      <c r="D8469" s="153"/>
      <c r="E8469" s="90" t="s">
        <v>8332</v>
      </c>
      <c r="H8469" s="166">
        <v>38000</v>
      </c>
      <c r="I8469" s="88">
        <f t="shared" si="1378"/>
        <v>3134.3600000000006</v>
      </c>
      <c r="K8469" s="62"/>
      <c r="L8469" s="2">
        <f t="shared" si="1379"/>
        <v>0</v>
      </c>
    </row>
    <row r="8470" spans="1:12" x14ac:dyDescent="0.3">
      <c r="A8470" s="3">
        <f t="shared" si="1377"/>
        <v>46134</v>
      </c>
      <c r="B8470" s="11" t="s">
        <v>10547</v>
      </c>
      <c r="C8470" s="7" t="s">
        <v>6424</v>
      </c>
      <c r="D8470" s="153"/>
      <c r="E8470" s="90" t="s">
        <v>4720</v>
      </c>
      <c r="G8470" s="2">
        <v>1500</v>
      </c>
      <c r="H8470" s="166"/>
      <c r="I8470" s="88">
        <f t="shared" si="1378"/>
        <v>4634.3600000000006</v>
      </c>
      <c r="K8470" s="62"/>
      <c r="L8470" s="2">
        <f t="shared" si="1379"/>
        <v>6</v>
      </c>
    </row>
    <row r="8471" spans="1:12" x14ac:dyDescent="0.3">
      <c r="A8471" s="3">
        <f t="shared" si="1377"/>
        <v>46134</v>
      </c>
      <c r="B8471" s="11" t="s">
        <v>1250</v>
      </c>
      <c r="C8471" s="7" t="s">
        <v>10235</v>
      </c>
      <c r="D8471" s="153"/>
      <c r="E8471" s="90" t="s">
        <v>4720</v>
      </c>
      <c r="G8471" s="2">
        <v>1000</v>
      </c>
      <c r="H8471" s="166"/>
      <c r="I8471" s="88">
        <f t="shared" ref="I8471:I8484" si="1380">I8470+G8471-H8471</f>
        <v>5634.3600000000006</v>
      </c>
      <c r="K8471" s="62"/>
      <c r="L8471" s="2">
        <f t="shared" ref="L8471:L8484" si="1381">IF(E8471="C",0,IF((G8471+H8471)&lt;=5000,(G8471+H8471)*0.004,20)+IF(E8471="P",5,IF(E8471="Y",15,IF(E8471="YY",25))))</f>
        <v>4</v>
      </c>
    </row>
    <row r="8472" spans="1:12" x14ac:dyDescent="0.3">
      <c r="A8472" s="3">
        <f t="shared" si="1377"/>
        <v>46134</v>
      </c>
      <c r="B8472" s="11" t="s">
        <v>8674</v>
      </c>
      <c r="C8472" s="7" t="s">
        <v>10382</v>
      </c>
      <c r="D8472" s="153"/>
      <c r="E8472" s="90" t="s">
        <v>2088</v>
      </c>
      <c r="G8472" s="2">
        <v>500</v>
      </c>
      <c r="H8472" s="166"/>
      <c r="I8472" s="88">
        <f t="shared" si="1380"/>
        <v>6134.3600000000006</v>
      </c>
      <c r="K8472" s="62"/>
      <c r="L8472" s="2">
        <f t="shared" si="1381"/>
        <v>7</v>
      </c>
    </row>
    <row r="8473" spans="1:12" x14ac:dyDescent="0.3">
      <c r="A8473" s="3">
        <f t="shared" si="1377"/>
        <v>46134</v>
      </c>
      <c r="B8473" s="11" t="s">
        <v>3420</v>
      </c>
      <c r="C8473" s="7" t="s">
        <v>9095</v>
      </c>
      <c r="D8473" s="153"/>
      <c r="E8473" s="90" t="s">
        <v>2088</v>
      </c>
      <c r="H8473" s="166">
        <v>1000</v>
      </c>
      <c r="I8473" s="88">
        <f t="shared" si="1380"/>
        <v>5134.3600000000006</v>
      </c>
      <c r="K8473" s="62"/>
      <c r="L8473" s="2">
        <f t="shared" si="1381"/>
        <v>9</v>
      </c>
    </row>
    <row r="8474" spans="1:12" x14ac:dyDescent="0.3">
      <c r="A8474" s="3">
        <f t="shared" si="1377"/>
        <v>46134</v>
      </c>
      <c r="B8474" s="11" t="s">
        <v>7108</v>
      </c>
      <c r="C8474" s="7" t="s">
        <v>9182</v>
      </c>
      <c r="D8474" s="153"/>
      <c r="E8474" s="90" t="s">
        <v>2088</v>
      </c>
      <c r="H8474" s="166">
        <v>1000</v>
      </c>
      <c r="I8474" s="88">
        <f t="shared" si="1380"/>
        <v>4134.3600000000006</v>
      </c>
      <c r="K8474" s="62"/>
      <c r="L8474" s="2">
        <f t="shared" si="1381"/>
        <v>9</v>
      </c>
    </row>
    <row r="8475" spans="1:12" x14ac:dyDescent="0.3">
      <c r="A8475" s="3">
        <f t="shared" si="1377"/>
        <v>46134</v>
      </c>
      <c r="B8475" s="11" t="s">
        <v>1250</v>
      </c>
      <c r="C8475" s="7" t="s">
        <v>9195</v>
      </c>
      <c r="D8475" s="153"/>
      <c r="E8475" s="90" t="s">
        <v>4720</v>
      </c>
      <c r="G8475" s="2">
        <v>2500</v>
      </c>
      <c r="H8475" s="166"/>
      <c r="I8475" s="88">
        <f t="shared" si="1380"/>
        <v>6634.3600000000006</v>
      </c>
      <c r="K8475" s="62"/>
      <c r="L8475" s="2">
        <f t="shared" si="1381"/>
        <v>10</v>
      </c>
    </row>
    <row r="8476" spans="1:12" x14ac:dyDescent="0.3">
      <c r="A8476" s="3">
        <f t="shared" si="1377"/>
        <v>46134</v>
      </c>
      <c r="B8476" s="11" t="s">
        <v>3685</v>
      </c>
      <c r="C8476" s="7" t="s">
        <v>8849</v>
      </c>
      <c r="D8476" s="153"/>
      <c r="E8476" s="90" t="s">
        <v>4720</v>
      </c>
      <c r="H8476" s="166">
        <v>500</v>
      </c>
      <c r="I8476" s="88">
        <f t="shared" si="1380"/>
        <v>6134.3600000000006</v>
      </c>
      <c r="K8476" s="62"/>
      <c r="L8476" s="2">
        <f t="shared" si="1381"/>
        <v>2</v>
      </c>
    </row>
    <row r="8477" spans="1:12" x14ac:dyDescent="0.3">
      <c r="A8477" s="3">
        <f t="shared" si="1377"/>
        <v>46134</v>
      </c>
      <c r="B8477" s="11" t="s">
        <v>10334</v>
      </c>
      <c r="C8477" s="7" t="s">
        <v>10423</v>
      </c>
      <c r="D8477" s="153"/>
      <c r="E8477" s="90" t="s">
        <v>2088</v>
      </c>
      <c r="H8477" s="166">
        <v>500</v>
      </c>
      <c r="I8477" s="88">
        <f t="shared" si="1380"/>
        <v>5634.3600000000006</v>
      </c>
      <c r="K8477" s="62"/>
      <c r="L8477" s="2">
        <f t="shared" si="1381"/>
        <v>7</v>
      </c>
    </row>
    <row r="8478" spans="1:12" x14ac:dyDescent="0.3">
      <c r="A8478" s="3">
        <f t="shared" si="1377"/>
        <v>46134</v>
      </c>
      <c r="B8478" s="11" t="s">
        <v>9300</v>
      </c>
      <c r="C8478" s="7" t="s">
        <v>10549</v>
      </c>
      <c r="D8478" s="153"/>
      <c r="E8478" s="90" t="s">
        <v>2088</v>
      </c>
      <c r="G8478" s="2">
        <v>2500</v>
      </c>
      <c r="H8478" s="166"/>
      <c r="I8478" s="88">
        <f t="shared" si="1380"/>
        <v>8134.3600000000006</v>
      </c>
      <c r="K8478" s="62"/>
      <c r="L8478" s="2">
        <f t="shared" si="1381"/>
        <v>15</v>
      </c>
    </row>
    <row r="8479" spans="1:12" x14ac:dyDescent="0.3">
      <c r="A8479" s="3">
        <f t="shared" si="1377"/>
        <v>46134</v>
      </c>
      <c r="B8479" s="11" t="s">
        <v>10518</v>
      </c>
      <c r="C8479" s="7" t="s">
        <v>10551</v>
      </c>
      <c r="D8479" s="153"/>
      <c r="E8479" s="90" t="s">
        <v>2088</v>
      </c>
      <c r="G8479" s="2">
        <v>0</v>
      </c>
      <c r="H8479" s="166">
        <v>0</v>
      </c>
      <c r="I8479" s="88">
        <f t="shared" si="1380"/>
        <v>8134.3600000000006</v>
      </c>
      <c r="K8479" s="62"/>
      <c r="L8479" s="2">
        <f t="shared" si="1381"/>
        <v>5</v>
      </c>
    </row>
    <row r="8480" spans="1:12" x14ac:dyDescent="0.3">
      <c r="A8480" s="3">
        <v>46138</v>
      </c>
      <c r="B8480" s="11" t="s">
        <v>1472</v>
      </c>
      <c r="C8480" s="7" t="s">
        <v>10553</v>
      </c>
      <c r="D8480" s="153"/>
      <c r="E8480" s="90" t="s">
        <v>4720</v>
      </c>
      <c r="G8480" s="2">
        <v>1000</v>
      </c>
      <c r="H8480" s="166"/>
      <c r="I8480" s="88">
        <f t="shared" si="1380"/>
        <v>9134.36</v>
      </c>
      <c r="K8480" s="62"/>
      <c r="L8480" s="2">
        <f t="shared" si="1381"/>
        <v>4</v>
      </c>
    </row>
    <row r="8481" spans="1:12" x14ac:dyDescent="0.3">
      <c r="A8481" s="3">
        <f t="shared" si="1377"/>
        <v>46138</v>
      </c>
      <c r="B8481" s="11" t="s">
        <v>10556</v>
      </c>
      <c r="C8481" s="7"/>
      <c r="D8481" s="153"/>
      <c r="E8481" s="90" t="s">
        <v>16</v>
      </c>
      <c r="H8481" s="166">
        <v>500</v>
      </c>
      <c r="I8481" s="88">
        <f t="shared" si="1380"/>
        <v>8634.36</v>
      </c>
      <c r="K8481" s="62"/>
      <c r="L8481" s="2">
        <f t="shared" si="1381"/>
        <v>17</v>
      </c>
    </row>
    <row r="8482" spans="1:12" x14ac:dyDescent="0.3">
      <c r="A8482" s="3">
        <f t="shared" si="1377"/>
        <v>46138</v>
      </c>
      <c r="B8482" s="11" t="s">
        <v>10557</v>
      </c>
      <c r="C8482" s="7" t="s">
        <v>10558</v>
      </c>
      <c r="D8482" s="153"/>
      <c r="E8482" s="90" t="s">
        <v>16</v>
      </c>
      <c r="H8482" s="166">
        <v>2000</v>
      </c>
      <c r="I8482" s="88">
        <f t="shared" si="1380"/>
        <v>6634.3600000000006</v>
      </c>
      <c r="K8482" s="62"/>
      <c r="L8482" s="2">
        <f t="shared" si="1381"/>
        <v>23</v>
      </c>
    </row>
    <row r="8483" spans="1:12" x14ac:dyDescent="0.3">
      <c r="A8483" s="3">
        <f t="shared" si="1377"/>
        <v>46138</v>
      </c>
      <c r="B8483" s="11" t="s">
        <v>9771</v>
      </c>
      <c r="C8483" s="7" t="s">
        <v>10560</v>
      </c>
      <c r="D8483" s="153"/>
      <c r="E8483" s="90" t="s">
        <v>4720</v>
      </c>
      <c r="G8483" s="2">
        <v>2000</v>
      </c>
      <c r="H8483" s="166"/>
      <c r="I8483" s="88">
        <f t="shared" si="1380"/>
        <v>8634.36</v>
      </c>
      <c r="K8483" s="62"/>
      <c r="L8483" s="2">
        <f t="shared" si="1381"/>
        <v>8</v>
      </c>
    </row>
    <row r="8484" spans="1:12" x14ac:dyDescent="0.3">
      <c r="A8484" s="3">
        <v>46139</v>
      </c>
      <c r="B8484" s="11" t="s">
        <v>7026</v>
      </c>
      <c r="C8484" s="7" t="s">
        <v>9053</v>
      </c>
      <c r="D8484" s="153"/>
      <c r="E8484" s="90" t="s">
        <v>2088</v>
      </c>
      <c r="G8484" s="2">
        <v>5000</v>
      </c>
      <c r="H8484" s="166"/>
      <c r="I8484" s="88">
        <f t="shared" si="1380"/>
        <v>13634.36</v>
      </c>
      <c r="K8484" s="62"/>
      <c r="L8484" s="2">
        <f t="shared" si="1381"/>
        <v>25</v>
      </c>
    </row>
    <row r="8485" spans="1:12" x14ac:dyDescent="0.3">
      <c r="A8485" s="3">
        <f t="shared" si="1377"/>
        <v>46139</v>
      </c>
      <c r="B8485" s="11" t="s">
        <v>3987</v>
      </c>
      <c r="C8485" s="7" t="s">
        <v>2295</v>
      </c>
      <c r="D8485" s="153"/>
      <c r="E8485" s="90" t="s">
        <v>4720</v>
      </c>
      <c r="G8485" s="2">
        <v>5000</v>
      </c>
      <c r="H8485" s="166"/>
      <c r="I8485" s="88">
        <f t="shared" ref="I8485:I8514" si="1382">I8484+G8485-H8485</f>
        <v>18634.36</v>
      </c>
      <c r="K8485" s="62"/>
      <c r="L8485" s="2">
        <f t="shared" ref="L8485:L8505" si="1383">IF(E8485="C",0,IF((G8485+H8485)&lt;=5000,(G8485+H8485)*0.004,20)+IF(E8485="P",5,IF(E8485="Y",15,IF(E8485="YY",25))))</f>
        <v>20</v>
      </c>
    </row>
    <row r="8486" spans="1:12" x14ac:dyDescent="0.3">
      <c r="A8486" s="3">
        <f t="shared" si="1377"/>
        <v>46139</v>
      </c>
      <c r="B8486" s="11" t="s">
        <v>6434</v>
      </c>
      <c r="C8486" s="7" t="s">
        <v>7117</v>
      </c>
      <c r="D8486" s="153"/>
      <c r="E8486" s="90" t="s">
        <v>4720</v>
      </c>
      <c r="H8486" s="166">
        <v>7500</v>
      </c>
      <c r="I8486" s="88">
        <f t="shared" si="1382"/>
        <v>11134.36</v>
      </c>
      <c r="K8486" s="62"/>
      <c r="L8486" s="2">
        <f t="shared" si="1383"/>
        <v>20</v>
      </c>
    </row>
    <row r="8487" spans="1:12" x14ac:dyDescent="0.3">
      <c r="A8487" s="3">
        <f t="shared" si="1377"/>
        <v>46139</v>
      </c>
      <c r="C8487" s="7" t="s">
        <v>10561</v>
      </c>
      <c r="D8487" s="153"/>
      <c r="E8487" s="90" t="s">
        <v>4720</v>
      </c>
      <c r="H8487" s="166">
        <v>8200</v>
      </c>
      <c r="I8487" s="88">
        <f t="shared" si="1382"/>
        <v>2934.3600000000006</v>
      </c>
      <c r="K8487" s="62"/>
      <c r="L8487" s="2">
        <f t="shared" si="1383"/>
        <v>20</v>
      </c>
    </row>
    <row r="8488" spans="1:12" x14ac:dyDescent="0.3">
      <c r="A8488" s="3">
        <f t="shared" si="1377"/>
        <v>46139</v>
      </c>
      <c r="B8488" s="11" t="s">
        <v>10424</v>
      </c>
      <c r="C8488" s="7" t="s">
        <v>10562</v>
      </c>
      <c r="D8488" s="153"/>
      <c r="E8488" s="90" t="s">
        <v>4720</v>
      </c>
      <c r="G8488" s="2">
        <v>5000</v>
      </c>
      <c r="H8488" s="166"/>
      <c r="I8488" s="88">
        <f t="shared" si="1382"/>
        <v>7934.3600000000006</v>
      </c>
      <c r="K8488" s="62"/>
      <c r="L8488" s="2">
        <f t="shared" si="1383"/>
        <v>20</v>
      </c>
    </row>
    <row r="8489" spans="1:12" x14ac:dyDescent="0.3">
      <c r="A8489" s="3">
        <f t="shared" si="1377"/>
        <v>46139</v>
      </c>
      <c r="B8489" s="11" t="s">
        <v>3915</v>
      </c>
      <c r="C8489" s="7" t="s">
        <v>10563</v>
      </c>
      <c r="D8489" s="153"/>
      <c r="E8489" s="90" t="s">
        <v>4720</v>
      </c>
      <c r="G8489" s="2">
        <v>10000</v>
      </c>
      <c r="H8489" s="166"/>
      <c r="I8489" s="88">
        <f t="shared" si="1382"/>
        <v>17934.36</v>
      </c>
      <c r="K8489" s="62"/>
      <c r="L8489" s="2">
        <f t="shared" si="1383"/>
        <v>20</v>
      </c>
    </row>
    <row r="8490" spans="1:12" x14ac:dyDescent="0.3">
      <c r="A8490" s="3">
        <f t="shared" si="1377"/>
        <v>46139</v>
      </c>
      <c r="C8490" s="7" t="s">
        <v>2857</v>
      </c>
      <c r="D8490" s="153"/>
      <c r="E8490" s="90" t="s">
        <v>4720</v>
      </c>
      <c r="H8490" s="166">
        <v>17000</v>
      </c>
      <c r="I8490" s="88">
        <f t="shared" si="1382"/>
        <v>934.36000000000058</v>
      </c>
      <c r="K8490" s="62"/>
      <c r="L8490" s="2">
        <f t="shared" si="1383"/>
        <v>20</v>
      </c>
    </row>
    <row r="8491" spans="1:12" x14ac:dyDescent="0.3">
      <c r="A8491" s="3">
        <f t="shared" si="1377"/>
        <v>46139</v>
      </c>
      <c r="B8491" s="11" t="s">
        <v>8052</v>
      </c>
      <c r="C8491" s="7" t="s">
        <v>4867</v>
      </c>
      <c r="D8491" s="153"/>
      <c r="E8491" s="90" t="s">
        <v>4720</v>
      </c>
      <c r="G8491" s="2">
        <v>1500</v>
      </c>
      <c r="H8491" s="166"/>
      <c r="I8491" s="88">
        <f t="shared" si="1382"/>
        <v>2434.3600000000006</v>
      </c>
      <c r="K8491" s="62"/>
      <c r="L8491" s="2">
        <f t="shared" si="1383"/>
        <v>6</v>
      </c>
    </row>
    <row r="8492" spans="1:12" x14ac:dyDescent="0.3">
      <c r="A8492" s="3">
        <f t="shared" si="1377"/>
        <v>46139</v>
      </c>
      <c r="B8492" s="11" t="s">
        <v>1160</v>
      </c>
      <c r="C8492" s="7"/>
      <c r="D8492" s="153"/>
      <c r="E8492" s="90" t="s">
        <v>4720</v>
      </c>
      <c r="G8492" s="2">
        <v>1000</v>
      </c>
      <c r="H8492" s="166"/>
      <c r="I8492" s="88">
        <f t="shared" si="1382"/>
        <v>3434.3600000000006</v>
      </c>
      <c r="K8492" s="62"/>
      <c r="L8492" s="2">
        <f t="shared" si="1383"/>
        <v>4</v>
      </c>
    </row>
    <row r="8493" spans="1:12" x14ac:dyDescent="0.3">
      <c r="A8493" s="3">
        <f t="shared" si="1377"/>
        <v>46139</v>
      </c>
      <c r="B8493" s="11" t="s">
        <v>10520</v>
      </c>
      <c r="C8493" s="7" t="s">
        <v>10564</v>
      </c>
      <c r="D8493" s="153"/>
      <c r="E8493" s="90" t="s">
        <v>2088</v>
      </c>
      <c r="G8493" s="2">
        <v>0</v>
      </c>
      <c r="H8493" s="166"/>
      <c r="I8493" s="88">
        <f t="shared" si="1382"/>
        <v>3434.3600000000006</v>
      </c>
      <c r="K8493" s="62"/>
      <c r="L8493" s="2">
        <f t="shared" si="1383"/>
        <v>5</v>
      </c>
    </row>
    <row r="8494" spans="1:12" x14ac:dyDescent="0.3">
      <c r="A8494" s="3">
        <f t="shared" si="1377"/>
        <v>46139</v>
      </c>
      <c r="B8494" s="11" t="s">
        <v>10556</v>
      </c>
      <c r="C8494" s="7" t="s">
        <v>10571</v>
      </c>
      <c r="D8494" s="153"/>
      <c r="E8494" s="90" t="s">
        <v>2088</v>
      </c>
      <c r="G8494" s="2">
        <v>0</v>
      </c>
      <c r="H8494" s="166">
        <v>0</v>
      </c>
      <c r="I8494" s="88">
        <f t="shared" si="1382"/>
        <v>3434.3600000000006</v>
      </c>
      <c r="K8494" s="62"/>
      <c r="L8494" s="2">
        <f t="shared" si="1383"/>
        <v>5</v>
      </c>
    </row>
    <row r="8495" spans="1:12" x14ac:dyDescent="0.3">
      <c r="A8495" s="3">
        <f t="shared" si="1377"/>
        <v>46139</v>
      </c>
      <c r="B8495" s="11" t="s">
        <v>10568</v>
      </c>
      <c r="C8495" s="7" t="s">
        <v>10579</v>
      </c>
      <c r="D8495" s="153"/>
      <c r="E8495" s="90" t="s">
        <v>16</v>
      </c>
      <c r="H8495" s="166">
        <v>200</v>
      </c>
      <c r="I8495" s="88">
        <f t="shared" si="1382"/>
        <v>3234.3600000000006</v>
      </c>
      <c r="K8495" s="62"/>
    </row>
    <row r="8496" spans="1:12" x14ac:dyDescent="0.3">
      <c r="A8496" s="3">
        <v>46140</v>
      </c>
      <c r="C8496" s="7" t="s">
        <v>2886</v>
      </c>
      <c r="D8496" s="153"/>
      <c r="E8496" s="90" t="s">
        <v>4720</v>
      </c>
      <c r="G8496" s="2">
        <v>10000</v>
      </c>
      <c r="H8496" s="166"/>
      <c r="I8496" s="88">
        <f t="shared" si="1382"/>
        <v>13234.36</v>
      </c>
      <c r="K8496" s="62"/>
      <c r="L8496" s="2">
        <f t="shared" si="1383"/>
        <v>20</v>
      </c>
    </row>
    <row r="8497" spans="1:12" x14ac:dyDescent="0.3">
      <c r="A8497" s="3">
        <f t="shared" si="1377"/>
        <v>46140</v>
      </c>
      <c r="B8497" s="11" t="s">
        <v>2448</v>
      </c>
      <c r="C8497" s="7" t="s">
        <v>2274</v>
      </c>
      <c r="D8497" s="153"/>
      <c r="E8497" s="90" t="s">
        <v>4720</v>
      </c>
      <c r="H8497" s="166">
        <v>9000</v>
      </c>
      <c r="I8497" s="88">
        <f t="shared" si="1382"/>
        <v>4234.3600000000006</v>
      </c>
      <c r="K8497" s="62"/>
      <c r="L8497" s="2">
        <f t="shared" si="1383"/>
        <v>20</v>
      </c>
    </row>
    <row r="8498" spans="1:12" x14ac:dyDescent="0.3">
      <c r="A8498" s="3">
        <f t="shared" si="1377"/>
        <v>46140</v>
      </c>
      <c r="B8498" s="11" t="s">
        <v>5888</v>
      </c>
      <c r="C8498" s="7" t="s">
        <v>8167</v>
      </c>
      <c r="D8498" s="153"/>
      <c r="E8498" s="90" t="s">
        <v>2088</v>
      </c>
      <c r="G8498" s="2">
        <v>2000</v>
      </c>
      <c r="H8498" s="166"/>
      <c r="I8498" s="88">
        <f t="shared" si="1382"/>
        <v>6234.3600000000006</v>
      </c>
      <c r="K8498" s="62"/>
      <c r="L8498" s="2">
        <f t="shared" si="1383"/>
        <v>13</v>
      </c>
    </row>
    <row r="8499" spans="1:12" x14ac:dyDescent="0.3">
      <c r="A8499" s="3">
        <f t="shared" si="1377"/>
        <v>46140</v>
      </c>
      <c r="B8499" s="11" t="s">
        <v>3148</v>
      </c>
      <c r="C8499" s="7" t="s">
        <v>7610</v>
      </c>
      <c r="D8499" s="153"/>
      <c r="E8499" s="90" t="s">
        <v>4720</v>
      </c>
      <c r="G8499" s="2">
        <v>1000</v>
      </c>
      <c r="H8499" s="166"/>
      <c r="I8499" s="88">
        <f t="shared" si="1382"/>
        <v>7234.3600000000006</v>
      </c>
      <c r="K8499" s="62"/>
      <c r="L8499" s="2">
        <f t="shared" si="1383"/>
        <v>4</v>
      </c>
    </row>
    <row r="8500" spans="1:12" x14ac:dyDescent="0.3">
      <c r="A8500" s="3">
        <f t="shared" si="1377"/>
        <v>46140</v>
      </c>
      <c r="B8500" s="11" t="s">
        <v>4622</v>
      </c>
      <c r="C8500" s="7" t="s">
        <v>8340</v>
      </c>
      <c r="D8500" s="153"/>
      <c r="E8500" s="90" t="s">
        <v>7772</v>
      </c>
      <c r="G8500" s="2">
        <v>3000</v>
      </c>
      <c r="H8500" s="166"/>
      <c r="I8500" s="88">
        <f t="shared" si="1382"/>
        <v>10234.36</v>
      </c>
      <c r="K8500" s="62"/>
      <c r="L8500" s="2">
        <f t="shared" si="1383"/>
        <v>17</v>
      </c>
    </row>
    <row r="8501" spans="1:12" x14ac:dyDescent="0.3">
      <c r="A8501" s="3">
        <f t="shared" si="1377"/>
        <v>46140</v>
      </c>
      <c r="B8501" s="11" t="s">
        <v>8674</v>
      </c>
      <c r="C8501" s="7" t="s">
        <v>10382</v>
      </c>
      <c r="D8501" s="153"/>
      <c r="E8501" s="90" t="s">
        <v>2088</v>
      </c>
      <c r="G8501" s="2">
        <v>600</v>
      </c>
      <c r="H8501" s="166"/>
      <c r="I8501" s="88">
        <f t="shared" si="1382"/>
        <v>10834.36</v>
      </c>
      <c r="K8501" s="62"/>
      <c r="L8501" s="2">
        <f t="shared" si="1383"/>
        <v>7.4</v>
      </c>
    </row>
    <row r="8502" spans="1:12" x14ac:dyDescent="0.3">
      <c r="A8502" s="3">
        <f t="shared" si="1377"/>
        <v>46140</v>
      </c>
      <c r="B8502" s="11" t="s">
        <v>4297</v>
      </c>
      <c r="C8502" s="7" t="s">
        <v>5522</v>
      </c>
      <c r="D8502" s="153"/>
      <c r="E8502" s="90" t="s">
        <v>4720</v>
      </c>
      <c r="H8502" s="166">
        <v>5000</v>
      </c>
      <c r="I8502" s="88">
        <f t="shared" si="1382"/>
        <v>5834.3600000000006</v>
      </c>
      <c r="K8502" s="62"/>
      <c r="L8502" s="2">
        <f t="shared" si="1383"/>
        <v>20</v>
      </c>
    </row>
    <row r="8503" spans="1:12" x14ac:dyDescent="0.3">
      <c r="A8503" s="3">
        <f t="shared" si="1377"/>
        <v>46140</v>
      </c>
      <c r="B8503" s="11" t="s">
        <v>8206</v>
      </c>
      <c r="C8503" s="7" t="s">
        <v>10237</v>
      </c>
      <c r="D8503" s="153"/>
      <c r="E8503" s="90" t="s">
        <v>2088</v>
      </c>
      <c r="G8503" s="2">
        <v>7000</v>
      </c>
      <c r="H8503" s="166"/>
      <c r="I8503" s="88">
        <f t="shared" si="1382"/>
        <v>12834.36</v>
      </c>
      <c r="K8503" s="62"/>
      <c r="L8503" s="2">
        <f t="shared" si="1383"/>
        <v>25</v>
      </c>
    </row>
    <row r="8504" spans="1:12" x14ac:dyDescent="0.3">
      <c r="A8504" s="3">
        <f t="shared" si="1377"/>
        <v>46140</v>
      </c>
      <c r="B8504" s="11" t="s">
        <v>9511</v>
      </c>
      <c r="C8504" s="7" t="s">
        <v>10578</v>
      </c>
      <c r="D8504" s="153"/>
      <c r="E8504" s="90" t="s">
        <v>4720</v>
      </c>
      <c r="G8504" s="2">
        <v>4000</v>
      </c>
      <c r="H8504" s="166"/>
      <c r="I8504" s="88">
        <f t="shared" si="1382"/>
        <v>16834.36</v>
      </c>
      <c r="K8504" s="62"/>
      <c r="L8504" s="2">
        <f t="shared" si="1383"/>
        <v>16</v>
      </c>
    </row>
    <row r="8505" spans="1:12" x14ac:dyDescent="0.3">
      <c r="A8505" s="3">
        <f t="shared" si="1377"/>
        <v>46140</v>
      </c>
      <c r="B8505" s="11" t="s">
        <v>8990</v>
      </c>
      <c r="C8505" s="7" t="s">
        <v>9992</v>
      </c>
      <c r="D8505" s="153"/>
      <c r="E8505" s="90" t="s">
        <v>2088</v>
      </c>
      <c r="G8505" s="2">
        <v>0</v>
      </c>
      <c r="H8505" s="166">
        <v>0</v>
      </c>
      <c r="I8505" s="88">
        <f t="shared" si="1382"/>
        <v>16834.36</v>
      </c>
      <c r="K8505" s="62"/>
      <c r="L8505" s="2">
        <f t="shared" si="1383"/>
        <v>5</v>
      </c>
    </row>
    <row r="8506" spans="1:12" x14ac:dyDescent="0.3">
      <c r="A8506" s="3">
        <f t="shared" si="1377"/>
        <v>46140</v>
      </c>
      <c r="B8506" s="11" t="s">
        <v>9393</v>
      </c>
      <c r="C8506" s="7" t="s">
        <v>10045</v>
      </c>
      <c r="D8506" s="153"/>
      <c r="E8506" s="90" t="s">
        <v>4720</v>
      </c>
      <c r="G8506" s="2">
        <v>2000</v>
      </c>
      <c r="H8506" s="166"/>
      <c r="I8506" s="88">
        <f t="shared" si="1382"/>
        <v>18834.36</v>
      </c>
      <c r="K8506" s="62"/>
      <c r="L8506" s="2">
        <f t="shared" ref="L8506:L8514" si="1384">IF(E8506="C",0,IF((G8506+H8506)&lt;=5000,(G8506+H8506)*0.004,20)+IF(E8506="P",5,IF(E8506="Y",15,IF(E8506="YY",25))))</f>
        <v>8</v>
      </c>
    </row>
    <row r="8507" spans="1:12" x14ac:dyDescent="0.3">
      <c r="A8507" s="3">
        <v>46141</v>
      </c>
      <c r="C8507" s="7" t="s">
        <v>2490</v>
      </c>
      <c r="D8507" s="153"/>
      <c r="E8507" s="90" t="s">
        <v>4720</v>
      </c>
      <c r="H8507" s="166">
        <v>15000</v>
      </c>
      <c r="I8507" s="88">
        <f t="shared" si="1382"/>
        <v>3834.3600000000006</v>
      </c>
      <c r="K8507" s="62"/>
      <c r="L8507" s="2">
        <f t="shared" si="1384"/>
        <v>20</v>
      </c>
    </row>
    <row r="8508" spans="1:12" x14ac:dyDescent="0.3">
      <c r="A8508" s="3">
        <f t="shared" si="1377"/>
        <v>46141</v>
      </c>
      <c r="B8508" s="11" t="s">
        <v>5028</v>
      </c>
      <c r="C8508" s="7" t="s">
        <v>3828</v>
      </c>
      <c r="D8508" s="153"/>
      <c r="E8508" s="90" t="s">
        <v>4720</v>
      </c>
      <c r="G8508" s="2">
        <v>5000</v>
      </c>
      <c r="H8508" s="166"/>
      <c r="I8508" s="88">
        <f t="shared" si="1382"/>
        <v>8834.36</v>
      </c>
      <c r="K8508" s="62"/>
      <c r="L8508" s="2">
        <f t="shared" si="1384"/>
        <v>20</v>
      </c>
    </row>
    <row r="8509" spans="1:12" x14ac:dyDescent="0.3">
      <c r="A8509" s="3">
        <f t="shared" si="1377"/>
        <v>46141</v>
      </c>
      <c r="B8509" s="11" t="s">
        <v>2448</v>
      </c>
      <c r="C8509" s="7" t="s">
        <v>2274</v>
      </c>
      <c r="D8509" s="153"/>
      <c r="E8509" s="90" t="s">
        <v>4720</v>
      </c>
      <c r="H8509" s="166">
        <v>4000</v>
      </c>
      <c r="I8509" s="88">
        <f t="shared" si="1382"/>
        <v>4834.3600000000006</v>
      </c>
      <c r="K8509" s="62"/>
      <c r="L8509" s="2">
        <f t="shared" si="1384"/>
        <v>16</v>
      </c>
    </row>
    <row r="8510" spans="1:12" x14ac:dyDescent="0.3">
      <c r="A8510" s="3">
        <f t="shared" si="1377"/>
        <v>46141</v>
      </c>
      <c r="B8510" s="11" t="s">
        <v>3504</v>
      </c>
      <c r="C8510" s="7" t="s">
        <v>2652</v>
      </c>
      <c r="D8510" s="153"/>
      <c r="E8510" s="90" t="s">
        <v>4720</v>
      </c>
      <c r="H8510" s="166">
        <v>1000</v>
      </c>
      <c r="I8510" s="88">
        <f t="shared" si="1382"/>
        <v>3834.3600000000006</v>
      </c>
      <c r="K8510" s="62"/>
      <c r="L8510" s="2">
        <f t="shared" si="1384"/>
        <v>4</v>
      </c>
    </row>
    <row r="8511" spans="1:12" x14ac:dyDescent="0.3">
      <c r="A8511" s="3">
        <f t="shared" si="1377"/>
        <v>46141</v>
      </c>
      <c r="C8511" s="7" t="s">
        <v>10580</v>
      </c>
      <c r="D8511" s="153"/>
      <c r="E8511" s="90" t="s">
        <v>4720</v>
      </c>
      <c r="H8511" s="166">
        <v>1000</v>
      </c>
      <c r="I8511" s="88">
        <f t="shared" si="1382"/>
        <v>2834.3600000000006</v>
      </c>
      <c r="K8511" s="62"/>
      <c r="L8511" s="2">
        <f t="shared" si="1384"/>
        <v>4</v>
      </c>
    </row>
    <row r="8512" spans="1:12" x14ac:dyDescent="0.3">
      <c r="A8512" s="3">
        <f t="shared" si="1377"/>
        <v>46141</v>
      </c>
      <c r="B8512" s="11" t="s">
        <v>6805</v>
      </c>
      <c r="C8512" s="7" t="s">
        <v>6806</v>
      </c>
      <c r="D8512" s="153"/>
      <c r="E8512" s="90" t="s">
        <v>2088</v>
      </c>
      <c r="H8512" s="166">
        <v>2000</v>
      </c>
      <c r="I8512" s="88">
        <f t="shared" si="1382"/>
        <v>834.36000000000058</v>
      </c>
      <c r="K8512" s="62"/>
      <c r="L8512" s="2">
        <f t="shared" si="1384"/>
        <v>13</v>
      </c>
    </row>
    <row r="8513" spans="1:14" x14ac:dyDescent="0.3">
      <c r="A8513" s="3">
        <f t="shared" si="1377"/>
        <v>46141</v>
      </c>
      <c r="B8513" s="11" t="s">
        <v>8895</v>
      </c>
      <c r="C8513" s="7" t="s">
        <v>8896</v>
      </c>
      <c r="D8513" s="153"/>
      <c r="E8513" s="90" t="s">
        <v>2088</v>
      </c>
      <c r="G8513" s="2">
        <v>2500</v>
      </c>
      <c r="H8513" s="166"/>
      <c r="I8513" s="88">
        <f t="shared" si="1382"/>
        <v>3334.3600000000006</v>
      </c>
      <c r="K8513" s="62"/>
      <c r="L8513" s="2">
        <f t="shared" si="1384"/>
        <v>15</v>
      </c>
    </row>
    <row r="8514" spans="1:14" x14ac:dyDescent="0.3">
      <c r="A8514" s="3">
        <f t="shared" si="1377"/>
        <v>46141</v>
      </c>
      <c r="B8514" s="11" t="s">
        <v>1170</v>
      </c>
      <c r="C8514" s="7" t="s">
        <v>7773</v>
      </c>
      <c r="D8514" s="153"/>
      <c r="E8514" s="90" t="s">
        <v>4720</v>
      </c>
      <c r="G8514" s="2">
        <v>4050</v>
      </c>
      <c r="H8514" s="166"/>
      <c r="I8514" s="88">
        <f t="shared" si="1382"/>
        <v>7384.3600000000006</v>
      </c>
      <c r="K8514" s="62"/>
      <c r="L8514" s="2">
        <f t="shared" si="1384"/>
        <v>16.2</v>
      </c>
    </row>
    <row r="8515" spans="1:14" x14ac:dyDescent="0.3">
      <c r="A8515" s="3">
        <v>46142</v>
      </c>
      <c r="B8515" s="11" t="s">
        <v>6687</v>
      </c>
      <c r="C8515" s="7" t="s">
        <v>10581</v>
      </c>
      <c r="D8515" s="153"/>
      <c r="E8515" s="90" t="s">
        <v>4720</v>
      </c>
      <c r="G8515" s="2">
        <v>1500</v>
      </c>
      <c r="H8515" s="166"/>
      <c r="I8515" s="88">
        <f t="shared" ref="I8515:I8519" si="1385">I8514+G8515-H8515</f>
        <v>8884.36</v>
      </c>
      <c r="K8515" s="62"/>
      <c r="L8515" s="2">
        <f t="shared" ref="L8515:L8519" si="1386">IF(E8515="C",0,IF((G8515+H8515)&lt;=5000,(G8515+H8515)*0.004,20)+IF(E8515="P",5,IF(E8515="Y",15,IF(E8515="YY",25))))</f>
        <v>6</v>
      </c>
    </row>
    <row r="8516" spans="1:14" x14ac:dyDescent="0.3">
      <c r="A8516" s="3">
        <f t="shared" si="1377"/>
        <v>46142</v>
      </c>
      <c r="B8516" s="11" t="s">
        <v>2528</v>
      </c>
      <c r="C8516" s="7" t="s">
        <v>4207</v>
      </c>
      <c r="D8516" s="153"/>
      <c r="E8516" s="90" t="s">
        <v>4720</v>
      </c>
      <c r="G8516" s="2">
        <v>3000</v>
      </c>
      <c r="H8516" s="166"/>
      <c r="I8516" s="88">
        <f t="shared" si="1385"/>
        <v>11884.36</v>
      </c>
      <c r="K8516" s="62"/>
      <c r="L8516" s="2">
        <f t="shared" si="1386"/>
        <v>12</v>
      </c>
    </row>
    <row r="8517" spans="1:14" x14ac:dyDescent="0.3">
      <c r="A8517" s="3">
        <f t="shared" si="1377"/>
        <v>46142</v>
      </c>
      <c r="B8517" s="11" t="s">
        <v>6260</v>
      </c>
      <c r="C8517" s="7" t="s">
        <v>7117</v>
      </c>
      <c r="D8517" s="153"/>
      <c r="E8517" s="90" t="s">
        <v>4720</v>
      </c>
      <c r="H8517" s="166">
        <v>1500</v>
      </c>
      <c r="I8517" s="88">
        <f t="shared" si="1385"/>
        <v>10384.36</v>
      </c>
      <c r="K8517" s="62"/>
      <c r="L8517" s="2">
        <f t="shared" si="1386"/>
        <v>6</v>
      </c>
    </row>
    <row r="8518" spans="1:14" x14ac:dyDescent="0.3">
      <c r="A8518" s="3">
        <f t="shared" si="1377"/>
        <v>46142</v>
      </c>
      <c r="B8518" s="11" t="s">
        <v>9820</v>
      </c>
      <c r="C8518" s="7" t="s">
        <v>9821</v>
      </c>
      <c r="D8518" s="153"/>
      <c r="E8518" s="90" t="s">
        <v>7772</v>
      </c>
      <c r="G8518" s="2">
        <v>0</v>
      </c>
      <c r="H8518" s="166">
        <v>0</v>
      </c>
      <c r="I8518" s="88">
        <f t="shared" si="1385"/>
        <v>10384.36</v>
      </c>
      <c r="K8518" s="62"/>
      <c r="L8518" s="2">
        <f t="shared" si="1386"/>
        <v>5</v>
      </c>
    </row>
    <row r="8519" spans="1:14" x14ac:dyDescent="0.3">
      <c r="A8519" s="3">
        <f t="shared" si="1377"/>
        <v>46142</v>
      </c>
      <c r="C8519" s="7" t="s">
        <v>4215</v>
      </c>
      <c r="D8519" s="153"/>
      <c r="E8519" s="90" t="s">
        <v>4720</v>
      </c>
      <c r="H8519" s="166">
        <v>502.83</v>
      </c>
      <c r="I8519" s="88">
        <f t="shared" si="1385"/>
        <v>9881.5300000000007</v>
      </c>
      <c r="K8519" s="62">
        <f>I8519-J8519</f>
        <v>9881.5300000000007</v>
      </c>
      <c r="L8519" s="2">
        <f t="shared" si="1386"/>
        <v>2.01132</v>
      </c>
    </row>
    <row r="8520" spans="1:14" x14ac:dyDescent="0.3">
      <c r="A8520" s="77">
        <f>COUNT(A8261:A8519)</f>
        <v>258</v>
      </c>
      <c r="B8520" s="80" t="s">
        <v>7120</v>
      </c>
      <c r="C8520" s="112">
        <f>SUMIF(E8261:E8519,"C",H8261:H8519)+SUMIF(E8261:E8519,"C",G8261:G8519)</f>
        <v>223000</v>
      </c>
      <c r="D8520" s="112">
        <f>COUNTIF(E8261:E8519,"P")</f>
        <v>95</v>
      </c>
      <c r="E8520" s="92">
        <f>COUNTIF(E8261:E8519,"Y")</f>
        <v>15</v>
      </c>
      <c r="F8520" s="80">
        <f>SUM(F4219)</f>
        <v>0</v>
      </c>
      <c r="G8520" s="121">
        <f>SUM(G8261:G8519)</f>
        <v>516950</v>
      </c>
      <c r="H8520" s="121">
        <f>SUM(H8261:H8519)</f>
        <v>523902.83</v>
      </c>
      <c r="I8520" s="121">
        <f>G8520+H8520-C8520</f>
        <v>817852.83000000007</v>
      </c>
      <c r="J8520" s="122"/>
      <c r="K8520" s="122">
        <f>D8520*5</f>
        <v>475</v>
      </c>
      <c r="L8520" s="121">
        <f>SUM(L8261:L8519)</f>
        <v>3151.4113199999997</v>
      </c>
      <c r="M8520" s="121">
        <f>SUM(M8261:M8519)</f>
        <v>0</v>
      </c>
      <c r="N8520" s="62">
        <f>((L8520+K8520)*0.8)*0.95</f>
        <v>2756.0726031999998</v>
      </c>
    </row>
    <row r="8522" spans="1:14" x14ac:dyDescent="0.3">
      <c r="A8522" s="3">
        <v>46143</v>
      </c>
      <c r="B8522" s="11" t="s">
        <v>6260</v>
      </c>
      <c r="C8522" s="7" t="s">
        <v>7117</v>
      </c>
      <c r="D8522" s="153"/>
      <c r="E8522" s="90" t="s">
        <v>8332</v>
      </c>
      <c r="G8522" s="88">
        <f>I8519</f>
        <v>9881.5300000000007</v>
      </c>
      <c r="H8522" s="166"/>
      <c r="I8522" s="88">
        <f t="shared" ref="I8522:I8541" si="1387">I8521+G8522-H8522</f>
        <v>9881.5300000000007</v>
      </c>
      <c r="K8522" s="62"/>
      <c r="L8522" s="2">
        <f t="shared" ref="L8522:L8541" si="1388">IF(E8522="C",0,IF((G8522+H8522)&lt;=5000,(G8522+H8522)*0.004,20)+IF(E8522="P",5,IF(E8522="Y",15,IF(E8522="YY",25))))</f>
        <v>0</v>
      </c>
    </row>
    <row r="8523" spans="1:14" x14ac:dyDescent="0.3">
      <c r="A8523" s="3">
        <f t="shared" ref="A8523:A8586" si="1389">A8522</f>
        <v>46143</v>
      </c>
      <c r="B8523" s="11" t="s">
        <v>9820</v>
      </c>
      <c r="C8523" s="7" t="s">
        <v>9821</v>
      </c>
      <c r="D8523" s="153"/>
      <c r="E8523" s="90" t="s">
        <v>4720</v>
      </c>
      <c r="G8523" s="2">
        <v>3500</v>
      </c>
      <c r="H8523" s="166">
        <v>0</v>
      </c>
      <c r="I8523" s="88">
        <f t="shared" si="1387"/>
        <v>13381.53</v>
      </c>
      <c r="K8523" s="62"/>
      <c r="L8523" s="2">
        <f t="shared" si="1388"/>
        <v>14</v>
      </c>
    </row>
    <row r="8524" spans="1:14" x14ac:dyDescent="0.3">
      <c r="A8524" s="3">
        <f t="shared" si="1389"/>
        <v>46143</v>
      </c>
      <c r="B8524" s="11" t="s">
        <v>10468</v>
      </c>
      <c r="C8524" s="7" t="s">
        <v>10582</v>
      </c>
      <c r="D8524" s="153"/>
      <c r="E8524" s="90" t="s">
        <v>4720</v>
      </c>
      <c r="H8524" s="166">
        <v>6000</v>
      </c>
      <c r="I8524" s="88">
        <f t="shared" si="1387"/>
        <v>7381.5300000000007</v>
      </c>
      <c r="K8524" s="62"/>
      <c r="L8524" s="2">
        <f t="shared" si="1388"/>
        <v>20</v>
      </c>
    </row>
    <row r="8525" spans="1:14" x14ac:dyDescent="0.3">
      <c r="A8525" s="3">
        <f t="shared" si="1389"/>
        <v>46143</v>
      </c>
      <c r="B8525" s="11" t="s">
        <v>1472</v>
      </c>
      <c r="C8525" s="7" t="s">
        <v>3844</v>
      </c>
      <c r="D8525" s="153"/>
      <c r="E8525" s="90" t="s">
        <v>4720</v>
      </c>
      <c r="G8525" s="2">
        <v>2000</v>
      </c>
      <c r="H8525" s="166"/>
      <c r="I8525" s="88">
        <f t="shared" si="1387"/>
        <v>9381.5300000000007</v>
      </c>
      <c r="K8525" s="62"/>
      <c r="L8525" s="2">
        <f t="shared" si="1388"/>
        <v>8</v>
      </c>
    </row>
    <row r="8526" spans="1:14" x14ac:dyDescent="0.3">
      <c r="A8526" s="3">
        <f t="shared" si="1389"/>
        <v>46143</v>
      </c>
      <c r="B8526" s="11" t="s">
        <v>1170</v>
      </c>
      <c r="C8526" s="7" t="s">
        <v>10583</v>
      </c>
      <c r="D8526" s="153"/>
      <c r="E8526" s="90" t="s">
        <v>4720</v>
      </c>
      <c r="G8526" s="2">
        <v>1000</v>
      </c>
      <c r="H8526" s="166"/>
      <c r="I8526" s="88">
        <f t="shared" si="1387"/>
        <v>10381.530000000001</v>
      </c>
      <c r="K8526" s="62"/>
      <c r="L8526" s="2">
        <f t="shared" si="1388"/>
        <v>4</v>
      </c>
    </row>
    <row r="8527" spans="1:14" x14ac:dyDescent="0.3">
      <c r="A8527" s="3">
        <f t="shared" si="1389"/>
        <v>46143</v>
      </c>
      <c r="B8527" s="11" t="s">
        <v>10498</v>
      </c>
      <c r="C8527" s="7" t="s">
        <v>10501</v>
      </c>
      <c r="D8527" s="153"/>
      <c r="E8527" s="90" t="s">
        <v>4720</v>
      </c>
      <c r="H8527" s="166">
        <v>5000</v>
      </c>
      <c r="I8527" s="88">
        <f t="shared" si="1387"/>
        <v>5381.5300000000007</v>
      </c>
      <c r="K8527" s="62"/>
      <c r="L8527" s="2">
        <f t="shared" si="1388"/>
        <v>20</v>
      </c>
    </row>
    <row r="8528" spans="1:14" x14ac:dyDescent="0.3">
      <c r="A8528" s="3">
        <f t="shared" si="1389"/>
        <v>46143</v>
      </c>
      <c r="B8528" s="11" t="s">
        <v>1170</v>
      </c>
      <c r="C8528" s="7"/>
      <c r="D8528" s="153"/>
      <c r="E8528" s="90" t="s">
        <v>4720</v>
      </c>
      <c r="G8528" s="2">
        <v>5000</v>
      </c>
      <c r="H8528" s="166"/>
      <c r="I8528" s="88">
        <f t="shared" si="1387"/>
        <v>10381.530000000001</v>
      </c>
      <c r="J8528" s="62"/>
      <c r="K8528" s="62"/>
      <c r="L8528" s="2">
        <f t="shared" si="1388"/>
        <v>20</v>
      </c>
    </row>
    <row r="8529" spans="1:12" x14ac:dyDescent="0.3">
      <c r="A8529" s="3">
        <f t="shared" si="1389"/>
        <v>46143</v>
      </c>
      <c r="B8529" s="11" t="s">
        <v>1250</v>
      </c>
      <c r="C8529" s="7" t="s">
        <v>4086</v>
      </c>
      <c r="D8529" s="153"/>
      <c r="E8529" s="90" t="s">
        <v>4720</v>
      </c>
      <c r="G8529" s="2">
        <v>2000</v>
      </c>
      <c r="H8529" s="166"/>
      <c r="I8529" s="88">
        <f t="shared" si="1387"/>
        <v>12381.53</v>
      </c>
      <c r="K8529" s="62"/>
      <c r="L8529" s="2">
        <f t="shared" si="1388"/>
        <v>8</v>
      </c>
    </row>
    <row r="8530" spans="1:12" x14ac:dyDescent="0.3">
      <c r="A8530" s="3">
        <f t="shared" si="1389"/>
        <v>46143</v>
      </c>
      <c r="B8530" s="11" t="s">
        <v>2448</v>
      </c>
      <c r="C8530" s="7" t="s">
        <v>2289</v>
      </c>
      <c r="D8530" s="153"/>
      <c r="E8530" s="90" t="s">
        <v>4720</v>
      </c>
      <c r="H8530" s="166">
        <v>7000</v>
      </c>
      <c r="I8530" s="88">
        <f t="shared" si="1387"/>
        <v>5381.5300000000007</v>
      </c>
      <c r="K8530" s="62"/>
      <c r="L8530" s="2">
        <f t="shared" si="1388"/>
        <v>20</v>
      </c>
    </row>
    <row r="8531" spans="1:12" x14ac:dyDescent="0.3">
      <c r="A8531" s="3">
        <v>46144</v>
      </c>
      <c r="B8531" s="11" t="s">
        <v>7255</v>
      </c>
      <c r="C8531" s="7" t="s">
        <v>252</v>
      </c>
      <c r="D8531" s="153"/>
      <c r="E8531" s="90" t="s">
        <v>2088</v>
      </c>
      <c r="G8531" s="2">
        <v>1000</v>
      </c>
      <c r="H8531" s="166"/>
      <c r="I8531" s="88">
        <f t="shared" si="1387"/>
        <v>6381.5300000000007</v>
      </c>
      <c r="K8531" s="62"/>
      <c r="L8531" s="2">
        <f t="shared" si="1388"/>
        <v>9</v>
      </c>
    </row>
    <row r="8532" spans="1:12" x14ac:dyDescent="0.3">
      <c r="A8532" s="3">
        <f t="shared" si="1389"/>
        <v>46144</v>
      </c>
      <c r="B8532" s="11" t="s">
        <v>1250</v>
      </c>
      <c r="C8532" s="7" t="s">
        <v>6985</v>
      </c>
      <c r="D8532" s="153"/>
      <c r="E8532" s="90" t="s">
        <v>4720</v>
      </c>
      <c r="G8532" s="2">
        <v>4000</v>
      </c>
      <c r="H8532" s="166"/>
      <c r="I8532" s="88">
        <f t="shared" si="1387"/>
        <v>10381.530000000001</v>
      </c>
      <c r="K8532" s="62"/>
      <c r="L8532" s="2">
        <f t="shared" si="1388"/>
        <v>16</v>
      </c>
    </row>
    <row r="8533" spans="1:12" x14ac:dyDescent="0.3">
      <c r="A8533" s="3">
        <f t="shared" si="1389"/>
        <v>46144</v>
      </c>
      <c r="B8533" s="11" t="s">
        <v>10074</v>
      </c>
      <c r="C8533" s="7" t="s">
        <v>10075</v>
      </c>
      <c r="D8533" s="153"/>
      <c r="E8533" s="90" t="s">
        <v>4720</v>
      </c>
      <c r="G8533" s="2">
        <v>1000</v>
      </c>
      <c r="H8533" s="166"/>
      <c r="I8533" s="88">
        <f t="shared" si="1387"/>
        <v>11381.53</v>
      </c>
      <c r="K8533" s="62"/>
      <c r="L8533" s="2">
        <f t="shared" si="1388"/>
        <v>4</v>
      </c>
    </row>
    <row r="8534" spans="1:12" x14ac:dyDescent="0.3">
      <c r="A8534" s="3">
        <f t="shared" si="1389"/>
        <v>46144</v>
      </c>
      <c r="B8534" s="11" t="s">
        <v>9156</v>
      </c>
      <c r="C8534" s="7" t="s">
        <v>10586</v>
      </c>
      <c r="D8534" s="153"/>
      <c r="E8534" s="90" t="s">
        <v>2088</v>
      </c>
      <c r="G8534" s="2">
        <v>3000</v>
      </c>
      <c r="H8534" s="166"/>
      <c r="I8534" s="88">
        <f t="shared" si="1387"/>
        <v>14381.53</v>
      </c>
      <c r="K8534" s="62"/>
      <c r="L8534" s="2">
        <f t="shared" si="1388"/>
        <v>17</v>
      </c>
    </row>
    <row r="8535" spans="1:12" x14ac:dyDescent="0.3">
      <c r="A8535" s="3">
        <f t="shared" si="1389"/>
        <v>46144</v>
      </c>
      <c r="B8535" s="11" t="s">
        <v>6701</v>
      </c>
      <c r="C8535" s="7" t="s">
        <v>10587</v>
      </c>
      <c r="D8535" s="153"/>
      <c r="E8535" s="90" t="s">
        <v>4720</v>
      </c>
      <c r="G8535" s="2">
        <v>2500</v>
      </c>
      <c r="H8535" s="166"/>
      <c r="I8535" s="88">
        <f t="shared" si="1387"/>
        <v>16881.53</v>
      </c>
      <c r="K8535" s="62"/>
      <c r="L8535" s="2">
        <f t="shared" si="1388"/>
        <v>10</v>
      </c>
    </row>
    <row r="8536" spans="1:12" x14ac:dyDescent="0.3">
      <c r="A8536" s="3">
        <f t="shared" si="1389"/>
        <v>46144</v>
      </c>
      <c r="B8536" s="11" t="s">
        <v>1250</v>
      </c>
      <c r="C8536" s="7" t="s">
        <v>7710</v>
      </c>
      <c r="D8536" s="153"/>
      <c r="E8536" s="90" t="s">
        <v>4720</v>
      </c>
      <c r="G8536" s="2">
        <v>1200</v>
      </c>
      <c r="H8536" s="166"/>
      <c r="I8536" s="88">
        <f t="shared" si="1387"/>
        <v>18081.53</v>
      </c>
      <c r="K8536" s="62"/>
      <c r="L8536" s="2">
        <f t="shared" si="1388"/>
        <v>4.8</v>
      </c>
    </row>
    <row r="8537" spans="1:12" x14ac:dyDescent="0.3">
      <c r="A8537" s="3">
        <f t="shared" si="1389"/>
        <v>46144</v>
      </c>
      <c r="B8537" s="11" t="s">
        <v>1160</v>
      </c>
      <c r="C8537" s="7" t="s">
        <v>10588</v>
      </c>
      <c r="D8537" s="153"/>
      <c r="E8537" s="90" t="s">
        <v>4720</v>
      </c>
      <c r="G8537" s="2">
        <v>1500</v>
      </c>
      <c r="H8537" s="166"/>
      <c r="I8537" s="88">
        <f t="shared" si="1387"/>
        <v>19581.53</v>
      </c>
      <c r="K8537" s="62"/>
      <c r="L8537" s="2">
        <f t="shared" si="1388"/>
        <v>6</v>
      </c>
    </row>
    <row r="8538" spans="1:12" x14ac:dyDescent="0.3">
      <c r="A8538" s="3">
        <f t="shared" si="1389"/>
        <v>46144</v>
      </c>
      <c r="B8538" s="11" t="s">
        <v>3232</v>
      </c>
      <c r="C8538" s="7" t="s">
        <v>10589</v>
      </c>
      <c r="D8538" s="153"/>
      <c r="E8538" s="90" t="s">
        <v>4720</v>
      </c>
      <c r="G8538" s="2">
        <v>1400</v>
      </c>
      <c r="H8538" s="166"/>
      <c r="I8538" s="88">
        <f t="shared" si="1387"/>
        <v>20981.53</v>
      </c>
      <c r="K8538" s="62"/>
      <c r="L8538" s="2">
        <f t="shared" si="1388"/>
        <v>5.6000000000000005</v>
      </c>
    </row>
    <row r="8539" spans="1:12" x14ac:dyDescent="0.3">
      <c r="A8539" s="3">
        <f t="shared" si="1389"/>
        <v>46144</v>
      </c>
      <c r="B8539" s="11" t="s">
        <v>6522</v>
      </c>
      <c r="C8539" s="7" t="s">
        <v>4366</v>
      </c>
      <c r="D8539" s="153"/>
      <c r="E8539" s="90" t="s">
        <v>4720</v>
      </c>
      <c r="G8539" s="2">
        <v>1000</v>
      </c>
      <c r="H8539" s="166"/>
      <c r="I8539" s="88">
        <f t="shared" si="1387"/>
        <v>21981.53</v>
      </c>
      <c r="K8539" s="62"/>
      <c r="L8539" s="2">
        <f t="shared" si="1388"/>
        <v>4</v>
      </c>
    </row>
    <row r="8540" spans="1:12" x14ac:dyDescent="0.3">
      <c r="A8540" s="3">
        <v>46146</v>
      </c>
      <c r="B8540" s="11" t="s">
        <v>1160</v>
      </c>
      <c r="C8540" s="7" t="s">
        <v>8616</v>
      </c>
      <c r="D8540" s="153"/>
      <c r="E8540" s="90" t="s">
        <v>4720</v>
      </c>
      <c r="G8540" s="2">
        <v>1500</v>
      </c>
      <c r="H8540" s="166"/>
      <c r="I8540" s="88">
        <f t="shared" si="1387"/>
        <v>23481.53</v>
      </c>
      <c r="K8540" s="62"/>
      <c r="L8540" s="2">
        <f t="shared" si="1388"/>
        <v>6</v>
      </c>
    </row>
    <row r="8541" spans="1:12" x14ac:dyDescent="0.3">
      <c r="A8541" s="3">
        <f t="shared" si="1389"/>
        <v>46146</v>
      </c>
      <c r="B8541" s="11" t="s">
        <v>4297</v>
      </c>
      <c r="C8541" s="7" t="s">
        <v>1279</v>
      </c>
      <c r="D8541" s="153"/>
      <c r="E8541" s="90" t="s">
        <v>8332</v>
      </c>
      <c r="H8541" s="166">
        <v>10000</v>
      </c>
      <c r="I8541" s="88">
        <f t="shared" si="1387"/>
        <v>13481.529999999999</v>
      </c>
      <c r="K8541" s="62"/>
      <c r="L8541" s="2">
        <f t="shared" si="1388"/>
        <v>0</v>
      </c>
    </row>
    <row r="8542" spans="1:12" x14ac:dyDescent="0.3">
      <c r="A8542" s="3">
        <f t="shared" si="1389"/>
        <v>46146</v>
      </c>
      <c r="B8542" s="11" t="s">
        <v>8052</v>
      </c>
      <c r="C8542" s="7" t="s">
        <v>4867</v>
      </c>
      <c r="D8542" s="153"/>
      <c r="E8542" s="90" t="s">
        <v>4720</v>
      </c>
      <c r="G8542" s="2">
        <v>5000</v>
      </c>
      <c r="H8542" s="166"/>
      <c r="I8542" s="88">
        <f t="shared" ref="I8542:I8562" si="1390">I8541+G8542-H8542</f>
        <v>18481.53</v>
      </c>
      <c r="K8542" s="62"/>
      <c r="L8542" s="2">
        <f t="shared" ref="L8542:L8562" si="1391">IF(E8542="C",0,IF((G8542+H8542)&lt;=5000,(G8542+H8542)*0.004,20)+IF(E8542="P",5,IF(E8542="Y",15,IF(E8542="YY",25))))</f>
        <v>20</v>
      </c>
    </row>
    <row r="8543" spans="1:12" x14ac:dyDescent="0.3">
      <c r="A8543" s="3">
        <v>46147</v>
      </c>
      <c r="B8543" s="11" t="s">
        <v>3877</v>
      </c>
      <c r="C8543" s="7" t="s">
        <v>9163</v>
      </c>
      <c r="D8543" s="153"/>
      <c r="E8543" s="90" t="s">
        <v>2088</v>
      </c>
      <c r="H8543" s="166">
        <v>3200</v>
      </c>
      <c r="I8543" s="88">
        <f t="shared" si="1390"/>
        <v>15281.529999999999</v>
      </c>
      <c r="K8543" s="62"/>
      <c r="L8543" s="2">
        <f t="shared" si="1391"/>
        <v>17.8</v>
      </c>
    </row>
    <row r="8544" spans="1:12" x14ac:dyDescent="0.3">
      <c r="A8544" s="3">
        <f t="shared" si="1389"/>
        <v>46147</v>
      </c>
      <c r="B8544" s="11" t="s">
        <v>10593</v>
      </c>
      <c r="C8544" s="7"/>
      <c r="D8544" s="153"/>
      <c r="E8544" s="90" t="s">
        <v>14</v>
      </c>
      <c r="H8544" s="166">
        <v>2000</v>
      </c>
      <c r="I8544" s="88">
        <f t="shared" si="1390"/>
        <v>13281.529999999999</v>
      </c>
      <c r="K8544" s="62"/>
      <c r="L8544" s="2">
        <f t="shared" si="1391"/>
        <v>23</v>
      </c>
    </row>
    <row r="8545" spans="1:12" x14ac:dyDescent="0.3">
      <c r="A8545" s="3">
        <f t="shared" si="1389"/>
        <v>46147</v>
      </c>
      <c r="B8545" s="11" t="s">
        <v>8320</v>
      </c>
      <c r="C8545" s="7" t="s">
        <v>10594</v>
      </c>
      <c r="D8545" s="153"/>
      <c r="E8545" s="90" t="s">
        <v>4720</v>
      </c>
      <c r="G8545" s="2">
        <v>2500</v>
      </c>
      <c r="H8545" s="166"/>
      <c r="I8545" s="88">
        <f t="shared" si="1390"/>
        <v>15781.529999999999</v>
      </c>
      <c r="J8545" s="1">
        <v>-20</v>
      </c>
      <c r="K8545" s="62"/>
      <c r="L8545" s="2">
        <f t="shared" si="1391"/>
        <v>10</v>
      </c>
    </row>
    <row r="8546" spans="1:12" x14ac:dyDescent="0.3">
      <c r="A8546" s="3">
        <f t="shared" si="1389"/>
        <v>46147</v>
      </c>
      <c r="B8546" s="11" t="s">
        <v>3915</v>
      </c>
      <c r="C8546" s="7" t="s">
        <v>10563</v>
      </c>
      <c r="D8546" s="153"/>
      <c r="E8546" s="90" t="s">
        <v>4720</v>
      </c>
      <c r="G8546" s="2">
        <v>10000</v>
      </c>
      <c r="H8546" s="166"/>
      <c r="I8546" s="88">
        <f t="shared" si="1390"/>
        <v>25781.53</v>
      </c>
      <c r="K8546" s="62"/>
      <c r="L8546" s="2">
        <f t="shared" si="1391"/>
        <v>20</v>
      </c>
    </row>
    <row r="8547" spans="1:12" x14ac:dyDescent="0.3">
      <c r="A8547" s="3">
        <f t="shared" si="1389"/>
        <v>46147</v>
      </c>
      <c r="C8547" s="7" t="s">
        <v>2857</v>
      </c>
      <c r="D8547" s="153"/>
      <c r="E8547" s="90" t="s">
        <v>4720</v>
      </c>
      <c r="H8547" s="166">
        <v>20000</v>
      </c>
      <c r="I8547" s="88">
        <f t="shared" si="1390"/>
        <v>5781.5299999999988</v>
      </c>
      <c r="K8547" s="62"/>
      <c r="L8547" s="2">
        <f t="shared" si="1391"/>
        <v>20</v>
      </c>
    </row>
    <row r="8548" spans="1:12" x14ac:dyDescent="0.3">
      <c r="A8548" s="3">
        <f t="shared" si="1389"/>
        <v>46147</v>
      </c>
      <c r="B8548" s="11" t="s">
        <v>7859</v>
      </c>
      <c r="C8548" s="7" t="s">
        <v>10324</v>
      </c>
      <c r="D8548" s="153"/>
      <c r="E8548" s="90" t="s">
        <v>2088</v>
      </c>
      <c r="G8548" s="2">
        <v>2500</v>
      </c>
      <c r="H8548" s="166"/>
      <c r="I8548" s="88">
        <f t="shared" si="1390"/>
        <v>8281.5299999999988</v>
      </c>
      <c r="K8548" s="62"/>
      <c r="L8548" s="2">
        <f t="shared" si="1391"/>
        <v>15</v>
      </c>
    </row>
    <row r="8549" spans="1:12" x14ac:dyDescent="0.3">
      <c r="A8549" s="3">
        <f t="shared" si="1389"/>
        <v>46147</v>
      </c>
      <c r="B8549" s="11" t="s">
        <v>8465</v>
      </c>
      <c r="C8549" s="7" t="s">
        <v>9096</v>
      </c>
      <c r="D8549" s="153"/>
      <c r="E8549" s="90" t="s">
        <v>2088</v>
      </c>
      <c r="G8549" s="2">
        <v>3000</v>
      </c>
      <c r="H8549" s="166"/>
      <c r="I8549" s="88">
        <f t="shared" si="1390"/>
        <v>11281.529999999999</v>
      </c>
      <c r="K8549" s="62"/>
      <c r="L8549" s="2">
        <f t="shared" si="1391"/>
        <v>17</v>
      </c>
    </row>
    <row r="8550" spans="1:12" x14ac:dyDescent="0.3">
      <c r="A8550" s="3">
        <f t="shared" si="1389"/>
        <v>46147</v>
      </c>
      <c r="B8550" s="11" t="s">
        <v>8086</v>
      </c>
      <c r="C8550" s="7" t="s">
        <v>8238</v>
      </c>
      <c r="D8550" s="153"/>
      <c r="E8550" s="90" t="s">
        <v>2088</v>
      </c>
      <c r="G8550" s="2">
        <v>1000</v>
      </c>
      <c r="H8550" s="166"/>
      <c r="I8550" s="88">
        <f t="shared" si="1390"/>
        <v>12281.529999999999</v>
      </c>
      <c r="K8550" s="62"/>
      <c r="L8550" s="2">
        <f t="shared" si="1391"/>
        <v>9</v>
      </c>
    </row>
    <row r="8551" spans="1:12" x14ac:dyDescent="0.3">
      <c r="A8551" s="3">
        <f t="shared" si="1389"/>
        <v>46147</v>
      </c>
      <c r="B8551" s="11" t="s">
        <v>6872</v>
      </c>
      <c r="C8551" s="7" t="s">
        <v>10599</v>
      </c>
      <c r="D8551" s="153"/>
      <c r="E8551" s="90" t="s">
        <v>4720</v>
      </c>
      <c r="G8551" s="2">
        <v>5000</v>
      </c>
      <c r="H8551" s="166"/>
      <c r="I8551" s="88">
        <f t="shared" si="1390"/>
        <v>17281.53</v>
      </c>
      <c r="K8551" s="62"/>
      <c r="L8551" s="2">
        <f t="shared" si="1391"/>
        <v>20</v>
      </c>
    </row>
    <row r="8552" spans="1:12" x14ac:dyDescent="0.3">
      <c r="A8552" s="3">
        <f t="shared" si="1389"/>
        <v>46147</v>
      </c>
      <c r="B8552" s="11" t="s">
        <v>1250</v>
      </c>
      <c r="C8552" s="7"/>
      <c r="D8552" s="153"/>
      <c r="E8552" s="90" t="s">
        <v>4720</v>
      </c>
      <c r="G8552" s="2">
        <v>2000</v>
      </c>
      <c r="H8552" s="166"/>
      <c r="I8552" s="88">
        <f t="shared" si="1390"/>
        <v>19281.53</v>
      </c>
      <c r="K8552" s="62"/>
      <c r="L8552" s="2">
        <f t="shared" si="1391"/>
        <v>8</v>
      </c>
    </row>
    <row r="8553" spans="1:12" x14ac:dyDescent="0.3">
      <c r="A8553" s="3">
        <v>46148</v>
      </c>
      <c r="B8553" s="11" t="s">
        <v>8599</v>
      </c>
      <c r="C8553" s="7" t="s">
        <v>10600</v>
      </c>
      <c r="D8553" s="153" t="s">
        <v>10601</v>
      </c>
      <c r="E8553" s="90" t="s">
        <v>4720</v>
      </c>
      <c r="G8553" s="2">
        <v>4000</v>
      </c>
      <c r="H8553" s="166"/>
      <c r="I8553" s="88">
        <f t="shared" si="1390"/>
        <v>23281.53</v>
      </c>
      <c r="K8553" s="62"/>
      <c r="L8553" s="2">
        <f t="shared" si="1391"/>
        <v>16</v>
      </c>
    </row>
    <row r="8554" spans="1:12" x14ac:dyDescent="0.3">
      <c r="A8554" s="3">
        <f t="shared" si="1389"/>
        <v>46148</v>
      </c>
      <c r="B8554" s="11" t="s">
        <v>1160</v>
      </c>
      <c r="C8554" s="7" t="s">
        <v>4662</v>
      </c>
      <c r="D8554" s="153"/>
      <c r="E8554" s="90" t="s">
        <v>4720</v>
      </c>
      <c r="G8554" s="2">
        <v>2000</v>
      </c>
      <c r="H8554" s="166"/>
      <c r="I8554" s="88">
        <f t="shared" si="1390"/>
        <v>25281.53</v>
      </c>
      <c r="K8554" s="62"/>
      <c r="L8554" s="2">
        <f t="shared" si="1391"/>
        <v>8</v>
      </c>
    </row>
    <row r="8555" spans="1:12" x14ac:dyDescent="0.3">
      <c r="A8555" s="3">
        <f t="shared" si="1389"/>
        <v>46148</v>
      </c>
      <c r="B8555" s="11" t="s">
        <v>6797</v>
      </c>
      <c r="C8555" s="7" t="s">
        <v>10602</v>
      </c>
      <c r="D8555" s="153"/>
      <c r="E8555" s="90" t="s">
        <v>4720</v>
      </c>
      <c r="G8555" s="2">
        <v>2000</v>
      </c>
      <c r="H8555" s="166"/>
      <c r="I8555" s="88">
        <f t="shared" si="1390"/>
        <v>27281.53</v>
      </c>
      <c r="K8555" s="62"/>
      <c r="L8555" s="2">
        <f t="shared" si="1391"/>
        <v>8</v>
      </c>
    </row>
    <row r="8556" spans="1:12" x14ac:dyDescent="0.3">
      <c r="A8556" s="3">
        <v>46149</v>
      </c>
      <c r="C8556" s="7" t="s">
        <v>2857</v>
      </c>
      <c r="D8556" s="153"/>
      <c r="E8556" s="90" t="s">
        <v>8332</v>
      </c>
      <c r="H8556" s="166">
        <v>20000</v>
      </c>
      <c r="I8556" s="88">
        <f t="shared" si="1390"/>
        <v>7281.5299999999988</v>
      </c>
      <c r="K8556" s="62"/>
      <c r="L8556" s="2">
        <f t="shared" si="1391"/>
        <v>0</v>
      </c>
    </row>
    <row r="8557" spans="1:12" x14ac:dyDescent="0.3">
      <c r="A8557" s="3">
        <f t="shared" si="1389"/>
        <v>46149</v>
      </c>
      <c r="B8557" s="11" t="s">
        <v>8659</v>
      </c>
      <c r="C8557" s="7" t="s">
        <v>2626</v>
      </c>
      <c r="D8557" s="153"/>
      <c r="E8557" s="90" t="s">
        <v>2088</v>
      </c>
      <c r="G8557" s="2">
        <v>1000</v>
      </c>
      <c r="H8557" s="166"/>
      <c r="I8557" s="88">
        <f t="shared" si="1390"/>
        <v>8281.5299999999988</v>
      </c>
      <c r="K8557" s="62"/>
      <c r="L8557" s="2">
        <f t="shared" si="1391"/>
        <v>9</v>
      </c>
    </row>
    <row r="8558" spans="1:12" x14ac:dyDescent="0.3">
      <c r="A8558" s="3">
        <f t="shared" si="1389"/>
        <v>46149</v>
      </c>
      <c r="B8558" s="11" t="s">
        <v>1250</v>
      </c>
      <c r="C8558" s="7" t="s">
        <v>7117</v>
      </c>
      <c r="D8558" s="153"/>
      <c r="E8558" s="90" t="s">
        <v>4720</v>
      </c>
      <c r="H8558" s="166">
        <v>7000</v>
      </c>
      <c r="I8558" s="88">
        <f t="shared" si="1390"/>
        <v>1281.5299999999988</v>
      </c>
      <c r="K8558" s="62"/>
      <c r="L8558" s="2">
        <f t="shared" si="1391"/>
        <v>20</v>
      </c>
    </row>
    <row r="8559" spans="1:12" x14ac:dyDescent="0.3">
      <c r="A8559" s="3">
        <f t="shared" si="1389"/>
        <v>46149</v>
      </c>
      <c r="B8559" s="11" t="s">
        <v>8052</v>
      </c>
      <c r="C8559" s="7" t="s">
        <v>4867</v>
      </c>
      <c r="D8559" s="153"/>
      <c r="E8559" s="90" t="s">
        <v>2088</v>
      </c>
      <c r="G8559" s="2">
        <v>6000</v>
      </c>
      <c r="H8559" s="166"/>
      <c r="I8559" s="88">
        <f t="shared" si="1390"/>
        <v>7281.5299999999988</v>
      </c>
      <c r="K8559" s="62"/>
      <c r="L8559" s="2">
        <f t="shared" si="1391"/>
        <v>25</v>
      </c>
    </row>
    <row r="8560" spans="1:12" x14ac:dyDescent="0.3">
      <c r="A8560" s="3">
        <f t="shared" si="1389"/>
        <v>46149</v>
      </c>
      <c r="B8560" s="11" t="s">
        <v>10592</v>
      </c>
      <c r="C8560" s="7" t="s">
        <v>10595</v>
      </c>
      <c r="D8560" s="153"/>
      <c r="E8560" s="90" t="s">
        <v>2088</v>
      </c>
      <c r="G8560" s="2">
        <v>0</v>
      </c>
      <c r="H8560" s="166">
        <v>0</v>
      </c>
      <c r="I8560" s="88">
        <f t="shared" si="1390"/>
        <v>7281.5299999999988</v>
      </c>
      <c r="K8560" s="62"/>
      <c r="L8560" s="2">
        <f t="shared" si="1391"/>
        <v>5</v>
      </c>
    </row>
    <row r="8561" spans="1:12" x14ac:dyDescent="0.3">
      <c r="A8561" s="3">
        <f t="shared" si="1389"/>
        <v>46149</v>
      </c>
      <c r="B8561" s="11" t="s">
        <v>2271</v>
      </c>
      <c r="C8561" s="7" t="s">
        <v>8084</v>
      </c>
      <c r="D8561" s="153"/>
      <c r="E8561" s="90" t="s">
        <v>4720</v>
      </c>
      <c r="G8561" s="2">
        <v>3000</v>
      </c>
      <c r="H8561" s="166"/>
      <c r="I8561" s="88">
        <f t="shared" si="1390"/>
        <v>10281.529999999999</v>
      </c>
      <c r="K8561" s="62"/>
      <c r="L8561" s="2">
        <f t="shared" si="1391"/>
        <v>12</v>
      </c>
    </row>
    <row r="8562" spans="1:12" x14ac:dyDescent="0.3">
      <c r="A8562" s="3">
        <f t="shared" si="1389"/>
        <v>46149</v>
      </c>
      <c r="B8562" s="11" t="s">
        <v>1472</v>
      </c>
      <c r="C8562" s="7" t="s">
        <v>10605</v>
      </c>
      <c r="D8562" s="153"/>
      <c r="E8562" s="90" t="s">
        <v>4720</v>
      </c>
      <c r="G8562" s="2">
        <v>1000</v>
      </c>
      <c r="H8562" s="166"/>
      <c r="I8562" s="88">
        <f t="shared" si="1390"/>
        <v>11281.529999999999</v>
      </c>
      <c r="K8562" s="62"/>
      <c r="L8562" s="2">
        <f t="shared" si="1391"/>
        <v>4</v>
      </c>
    </row>
    <row r="8563" spans="1:12" x14ac:dyDescent="0.3">
      <c r="A8563" s="3">
        <f t="shared" si="1389"/>
        <v>46149</v>
      </c>
      <c r="B8563" s="11" t="s">
        <v>3524</v>
      </c>
      <c r="C8563" s="7" t="s">
        <v>5724</v>
      </c>
      <c r="D8563" s="153"/>
      <c r="E8563" s="90" t="s">
        <v>4720</v>
      </c>
      <c r="H8563" s="166">
        <v>10000</v>
      </c>
      <c r="I8563" s="88">
        <f t="shared" ref="I8563:I8597" si="1392">I8562+G8563-H8563</f>
        <v>1281.5299999999988</v>
      </c>
      <c r="K8563" s="62"/>
      <c r="L8563" s="2">
        <f t="shared" ref="L8563:L8597" si="1393">IF(E8563="C",0,IF((G8563+H8563)&lt;=5000,(G8563+H8563)*0.004,20)+IF(E8563="P",5,IF(E8563="Y",15,IF(E8563="YY",25))))</f>
        <v>20</v>
      </c>
    </row>
    <row r="8564" spans="1:12" x14ac:dyDescent="0.3">
      <c r="A8564" s="3">
        <v>46150</v>
      </c>
      <c r="B8564" s="11" t="s">
        <v>7394</v>
      </c>
      <c r="C8564" s="7" t="s">
        <v>7395</v>
      </c>
      <c r="D8564" s="153"/>
      <c r="E8564" s="90" t="s">
        <v>4720</v>
      </c>
      <c r="H8564" s="166">
        <v>200</v>
      </c>
      <c r="I8564" s="88">
        <f t="shared" si="1392"/>
        <v>1081.5299999999988</v>
      </c>
      <c r="K8564" s="62"/>
      <c r="L8564" s="2">
        <f t="shared" si="1393"/>
        <v>0.8</v>
      </c>
    </row>
    <row r="8565" spans="1:12" x14ac:dyDescent="0.3">
      <c r="A8565" s="3">
        <f t="shared" si="1389"/>
        <v>46150</v>
      </c>
      <c r="B8565" s="11" t="s">
        <v>7669</v>
      </c>
      <c r="C8565" s="7" t="s">
        <v>6581</v>
      </c>
      <c r="D8565" s="153"/>
      <c r="E8565" s="90" t="s">
        <v>4720</v>
      </c>
      <c r="G8565" s="2">
        <v>7500</v>
      </c>
      <c r="H8565" s="166"/>
      <c r="I8565" s="88">
        <f t="shared" si="1392"/>
        <v>8581.5299999999988</v>
      </c>
      <c r="K8565" s="62"/>
      <c r="L8565" s="2">
        <f t="shared" si="1393"/>
        <v>20</v>
      </c>
    </row>
    <row r="8566" spans="1:12" x14ac:dyDescent="0.3">
      <c r="A8566" s="3">
        <f t="shared" si="1389"/>
        <v>46150</v>
      </c>
      <c r="B8566" s="11" t="s">
        <v>6260</v>
      </c>
      <c r="C8566" s="7" t="s">
        <v>7117</v>
      </c>
      <c r="D8566" s="153"/>
      <c r="E8566" s="90" t="s">
        <v>4720</v>
      </c>
      <c r="H8566" s="166">
        <v>4000</v>
      </c>
      <c r="I8566" s="88">
        <f t="shared" si="1392"/>
        <v>4581.5299999999988</v>
      </c>
      <c r="K8566" s="62"/>
      <c r="L8566" s="2">
        <f t="shared" si="1393"/>
        <v>16</v>
      </c>
    </row>
    <row r="8567" spans="1:12" x14ac:dyDescent="0.3">
      <c r="A8567" s="3">
        <v>46151</v>
      </c>
      <c r="B8567" s="11" t="s">
        <v>10625</v>
      </c>
      <c r="C8567" s="7" t="s">
        <v>10631</v>
      </c>
      <c r="D8567" s="153"/>
      <c r="E8567" s="90" t="s">
        <v>16</v>
      </c>
      <c r="H8567" s="166">
        <v>500</v>
      </c>
      <c r="I8567" s="88">
        <f t="shared" si="1392"/>
        <v>4081.5299999999988</v>
      </c>
      <c r="K8567" s="62"/>
      <c r="L8567" s="2">
        <f t="shared" si="1393"/>
        <v>17</v>
      </c>
    </row>
    <row r="8568" spans="1:12" x14ac:dyDescent="0.3">
      <c r="A8568" s="3">
        <f t="shared" si="1389"/>
        <v>46151</v>
      </c>
      <c r="B8568" s="11" t="s">
        <v>10627</v>
      </c>
      <c r="C8568" s="7" t="s">
        <v>10628</v>
      </c>
      <c r="D8568" s="153"/>
      <c r="E8568" s="90" t="s">
        <v>4720</v>
      </c>
      <c r="G8568" s="2">
        <v>10000</v>
      </c>
      <c r="H8568" s="166"/>
      <c r="I8568" s="88">
        <f t="shared" si="1392"/>
        <v>14081.529999999999</v>
      </c>
      <c r="K8568" s="62"/>
      <c r="L8568" s="2">
        <f t="shared" si="1393"/>
        <v>20</v>
      </c>
    </row>
    <row r="8569" spans="1:12" x14ac:dyDescent="0.3">
      <c r="A8569" s="3">
        <f t="shared" si="1389"/>
        <v>46151</v>
      </c>
      <c r="B8569" s="11" t="s">
        <v>10630</v>
      </c>
      <c r="C8569" s="7" t="s">
        <v>10632</v>
      </c>
      <c r="D8569" s="153"/>
      <c r="E8569" s="90" t="s">
        <v>16</v>
      </c>
      <c r="H8569" s="166">
        <v>500</v>
      </c>
      <c r="I8569" s="88">
        <f t="shared" si="1392"/>
        <v>13581.529999999999</v>
      </c>
      <c r="K8569" s="62"/>
      <c r="L8569" s="2">
        <f t="shared" si="1393"/>
        <v>17</v>
      </c>
    </row>
    <row r="8570" spans="1:12" x14ac:dyDescent="0.3">
      <c r="A8570" s="3">
        <f t="shared" si="1389"/>
        <v>46151</v>
      </c>
      <c r="B8570" s="11" t="s">
        <v>6940</v>
      </c>
      <c r="C8570" s="7" t="s">
        <v>7470</v>
      </c>
      <c r="D8570" s="153"/>
      <c r="E8570" s="90" t="s">
        <v>4720</v>
      </c>
      <c r="G8570" s="2">
        <v>1000</v>
      </c>
      <c r="H8570" s="166"/>
      <c r="I8570" s="88">
        <f t="shared" si="1392"/>
        <v>14581.529999999999</v>
      </c>
      <c r="K8570" s="62"/>
      <c r="L8570" s="2">
        <f t="shared" si="1393"/>
        <v>4</v>
      </c>
    </row>
    <row r="8571" spans="1:12" x14ac:dyDescent="0.3">
      <c r="A8571" s="3">
        <f t="shared" si="1389"/>
        <v>46151</v>
      </c>
      <c r="B8571" s="11" t="s">
        <v>6233</v>
      </c>
      <c r="C8571" s="11" t="s">
        <v>10450</v>
      </c>
      <c r="D8571" s="153"/>
      <c r="E8571" s="90" t="s">
        <v>7772</v>
      </c>
      <c r="G8571" s="2">
        <v>2000</v>
      </c>
      <c r="H8571" s="166"/>
      <c r="I8571" s="88">
        <f t="shared" si="1392"/>
        <v>16581.53</v>
      </c>
      <c r="K8571" s="62"/>
      <c r="L8571" s="2">
        <f t="shared" si="1393"/>
        <v>13</v>
      </c>
    </row>
    <row r="8572" spans="1:12" x14ac:dyDescent="0.3">
      <c r="A8572" s="3">
        <f t="shared" si="1389"/>
        <v>46151</v>
      </c>
      <c r="B8572" s="11" t="s">
        <v>6549</v>
      </c>
      <c r="C8572" s="7" t="s">
        <v>7990</v>
      </c>
      <c r="D8572" s="153"/>
      <c r="E8572" s="90" t="s">
        <v>4720</v>
      </c>
      <c r="G8572" s="2">
        <v>1000</v>
      </c>
      <c r="H8572" s="166"/>
      <c r="I8572" s="88">
        <f t="shared" si="1392"/>
        <v>17581.53</v>
      </c>
      <c r="K8572" s="62"/>
      <c r="L8572" s="2">
        <f t="shared" si="1393"/>
        <v>4</v>
      </c>
    </row>
    <row r="8573" spans="1:12" x14ac:dyDescent="0.3">
      <c r="A8573" s="3">
        <f t="shared" si="1389"/>
        <v>46151</v>
      </c>
      <c r="B8573" s="11" t="s">
        <v>6434</v>
      </c>
      <c r="C8573" s="7" t="s">
        <v>7117</v>
      </c>
      <c r="D8573" s="153"/>
      <c r="E8573" s="90" t="s">
        <v>4720</v>
      </c>
      <c r="H8573" s="166">
        <v>5000</v>
      </c>
      <c r="I8573" s="88">
        <f t="shared" si="1392"/>
        <v>12581.529999999999</v>
      </c>
      <c r="K8573" s="62"/>
      <c r="L8573" s="2">
        <f t="shared" si="1393"/>
        <v>20</v>
      </c>
    </row>
    <row r="8574" spans="1:12" x14ac:dyDescent="0.3">
      <c r="A8574" s="3">
        <f t="shared" si="1389"/>
        <v>46151</v>
      </c>
      <c r="B8574" s="11" t="s">
        <v>1250</v>
      </c>
      <c r="C8574" s="7" t="s">
        <v>10633</v>
      </c>
      <c r="D8574" s="153"/>
      <c r="E8574" s="90" t="s">
        <v>4720</v>
      </c>
      <c r="G8574" s="2">
        <v>10000</v>
      </c>
      <c r="H8574" s="166"/>
      <c r="I8574" s="88">
        <f t="shared" si="1392"/>
        <v>22581.53</v>
      </c>
      <c r="K8574" s="62"/>
      <c r="L8574" s="2">
        <f t="shared" si="1393"/>
        <v>20</v>
      </c>
    </row>
    <row r="8575" spans="1:12" x14ac:dyDescent="0.3">
      <c r="A8575" s="3">
        <f t="shared" si="1389"/>
        <v>46151</v>
      </c>
      <c r="B8575" s="11" t="s">
        <v>2448</v>
      </c>
      <c r="C8575" s="7" t="s">
        <v>2289</v>
      </c>
      <c r="D8575" s="153"/>
      <c r="E8575" s="90" t="s">
        <v>4720</v>
      </c>
      <c r="H8575" s="166">
        <v>5000</v>
      </c>
      <c r="I8575" s="88">
        <f t="shared" si="1392"/>
        <v>17581.53</v>
      </c>
      <c r="K8575" s="62"/>
      <c r="L8575" s="2">
        <f t="shared" si="1393"/>
        <v>20</v>
      </c>
    </row>
    <row r="8576" spans="1:12" x14ac:dyDescent="0.3">
      <c r="A8576" s="3">
        <f t="shared" si="1389"/>
        <v>46151</v>
      </c>
      <c r="B8576" s="11" t="s">
        <v>3915</v>
      </c>
      <c r="C8576" s="7" t="s">
        <v>10523</v>
      </c>
      <c r="D8576" s="153"/>
      <c r="E8576" s="90" t="s">
        <v>4720</v>
      </c>
      <c r="G8576" s="2">
        <v>2500</v>
      </c>
      <c r="H8576" s="166"/>
      <c r="I8576" s="88">
        <f t="shared" si="1392"/>
        <v>20081.53</v>
      </c>
      <c r="K8576" s="62"/>
      <c r="L8576" s="2">
        <f t="shared" si="1393"/>
        <v>10</v>
      </c>
    </row>
    <row r="8577" spans="1:12" x14ac:dyDescent="0.3">
      <c r="A8577" s="3">
        <f t="shared" si="1389"/>
        <v>46151</v>
      </c>
      <c r="B8577" s="11" t="s">
        <v>1250</v>
      </c>
      <c r="C8577" s="7" t="s">
        <v>10634</v>
      </c>
      <c r="D8577" s="153"/>
      <c r="E8577" s="90" t="s">
        <v>4720</v>
      </c>
      <c r="G8577" s="2">
        <v>2000</v>
      </c>
      <c r="H8577" s="166"/>
      <c r="I8577" s="88">
        <f t="shared" si="1392"/>
        <v>22081.53</v>
      </c>
      <c r="K8577" s="62"/>
      <c r="L8577" s="2">
        <f t="shared" si="1393"/>
        <v>8</v>
      </c>
    </row>
    <row r="8578" spans="1:12" x14ac:dyDescent="0.3">
      <c r="A8578" s="3">
        <v>46152</v>
      </c>
      <c r="B8578" s="11" t="s">
        <v>2241</v>
      </c>
      <c r="C8578" s="7" t="s">
        <v>10523</v>
      </c>
      <c r="D8578" s="153"/>
      <c r="E8578" s="90" t="s">
        <v>4720</v>
      </c>
      <c r="G8578" s="2">
        <v>1000</v>
      </c>
      <c r="H8578" s="166"/>
      <c r="I8578" s="88">
        <f t="shared" si="1392"/>
        <v>23081.53</v>
      </c>
      <c r="K8578" s="62"/>
      <c r="L8578" s="2">
        <f t="shared" si="1393"/>
        <v>4</v>
      </c>
    </row>
    <row r="8579" spans="1:12" x14ac:dyDescent="0.3">
      <c r="A8579" s="3">
        <f t="shared" si="1389"/>
        <v>46152</v>
      </c>
      <c r="B8579" s="11" t="s">
        <v>6459</v>
      </c>
      <c r="C8579" s="7" t="s">
        <v>1554</v>
      </c>
      <c r="D8579" s="153"/>
      <c r="E8579" s="90" t="s">
        <v>4720</v>
      </c>
      <c r="H8579" s="166">
        <v>5000</v>
      </c>
      <c r="I8579" s="88">
        <f t="shared" si="1392"/>
        <v>18081.53</v>
      </c>
      <c r="K8579" s="62"/>
      <c r="L8579" s="2">
        <f t="shared" si="1393"/>
        <v>20</v>
      </c>
    </row>
    <row r="8580" spans="1:12" x14ac:dyDescent="0.3">
      <c r="A8580" s="3">
        <v>46153</v>
      </c>
      <c r="B8580" s="11" t="s">
        <v>3915</v>
      </c>
      <c r="C8580" s="7" t="s">
        <v>10563</v>
      </c>
      <c r="D8580" s="153"/>
      <c r="E8580" s="90" t="s">
        <v>4720</v>
      </c>
      <c r="G8580" s="2">
        <v>10000</v>
      </c>
      <c r="H8580" s="166"/>
      <c r="I8580" s="88">
        <f t="shared" si="1392"/>
        <v>28081.53</v>
      </c>
      <c r="K8580" s="62"/>
      <c r="L8580" s="2">
        <f t="shared" si="1393"/>
        <v>20</v>
      </c>
    </row>
    <row r="8581" spans="1:12" x14ac:dyDescent="0.3">
      <c r="A8581" s="3">
        <f t="shared" si="1389"/>
        <v>46153</v>
      </c>
      <c r="C8581" s="7" t="s">
        <v>2857</v>
      </c>
      <c r="D8581" s="153"/>
      <c r="E8581" s="90" t="s">
        <v>8332</v>
      </c>
      <c r="H8581" s="166">
        <v>25000</v>
      </c>
      <c r="I8581" s="88">
        <f t="shared" si="1392"/>
        <v>3081.5299999999988</v>
      </c>
      <c r="K8581" s="62"/>
      <c r="L8581" s="2">
        <f t="shared" si="1393"/>
        <v>0</v>
      </c>
    </row>
    <row r="8582" spans="1:12" x14ac:dyDescent="0.3">
      <c r="A8582" s="3">
        <f t="shared" si="1389"/>
        <v>46153</v>
      </c>
      <c r="B8582" s="11" t="s">
        <v>8924</v>
      </c>
      <c r="C8582" s="7" t="s">
        <v>10635</v>
      </c>
      <c r="D8582" s="153"/>
      <c r="E8582" s="90" t="s">
        <v>2088</v>
      </c>
      <c r="G8582" s="2">
        <v>2000</v>
      </c>
      <c r="H8582" s="166"/>
      <c r="I8582" s="88">
        <f t="shared" si="1392"/>
        <v>5081.5299999999988</v>
      </c>
      <c r="K8582" s="62"/>
      <c r="L8582" s="2">
        <f t="shared" si="1393"/>
        <v>13</v>
      </c>
    </row>
    <row r="8583" spans="1:12" x14ac:dyDescent="0.3">
      <c r="A8583" s="3">
        <f t="shared" si="1389"/>
        <v>46153</v>
      </c>
      <c r="B8583" s="11" t="s">
        <v>1250</v>
      </c>
      <c r="C8583" s="7" t="s">
        <v>5981</v>
      </c>
      <c r="D8583" s="153"/>
      <c r="E8583" s="90" t="s">
        <v>4720</v>
      </c>
      <c r="G8583" s="2">
        <v>5000</v>
      </c>
      <c r="H8583" s="166"/>
      <c r="I8583" s="88">
        <f t="shared" si="1392"/>
        <v>10081.529999999999</v>
      </c>
      <c r="K8583" s="62"/>
      <c r="L8583" s="2">
        <f t="shared" si="1393"/>
        <v>20</v>
      </c>
    </row>
    <row r="8584" spans="1:12" x14ac:dyDescent="0.3">
      <c r="A8584" s="3">
        <f t="shared" si="1389"/>
        <v>46153</v>
      </c>
      <c r="B8584" s="11" t="s">
        <v>9381</v>
      </c>
      <c r="C8584" s="7" t="s">
        <v>10241</v>
      </c>
      <c r="D8584" s="153"/>
      <c r="E8584" s="90" t="s">
        <v>2088</v>
      </c>
      <c r="G8584" s="2">
        <v>0</v>
      </c>
      <c r="H8584" s="166">
        <v>0</v>
      </c>
      <c r="I8584" s="88">
        <f t="shared" si="1392"/>
        <v>10081.529999999999</v>
      </c>
      <c r="K8584" s="62"/>
      <c r="L8584" s="2">
        <f t="shared" si="1393"/>
        <v>5</v>
      </c>
    </row>
    <row r="8585" spans="1:12" x14ac:dyDescent="0.3">
      <c r="A8585" s="3">
        <f t="shared" si="1389"/>
        <v>46153</v>
      </c>
      <c r="B8585" s="11" t="s">
        <v>9381</v>
      </c>
      <c r="C8585" s="7" t="s">
        <v>10241</v>
      </c>
      <c r="D8585" s="153"/>
      <c r="E8585" s="90" t="s">
        <v>2088</v>
      </c>
      <c r="G8585" s="2">
        <v>1400</v>
      </c>
      <c r="H8585" s="166"/>
      <c r="I8585" s="88">
        <f t="shared" si="1392"/>
        <v>11481.529999999999</v>
      </c>
      <c r="K8585" s="62"/>
      <c r="L8585" s="2">
        <f t="shared" si="1393"/>
        <v>10.600000000000001</v>
      </c>
    </row>
    <row r="8586" spans="1:12" x14ac:dyDescent="0.3">
      <c r="A8586" s="3">
        <f t="shared" si="1389"/>
        <v>46153</v>
      </c>
      <c r="B8586" s="11" t="s">
        <v>1160</v>
      </c>
      <c r="C8586" s="7" t="s">
        <v>7638</v>
      </c>
      <c r="D8586" s="153"/>
      <c r="E8586" s="90" t="s">
        <v>4720</v>
      </c>
      <c r="G8586" s="2">
        <v>10000</v>
      </c>
      <c r="H8586" s="166"/>
      <c r="I8586" s="88">
        <f t="shared" si="1392"/>
        <v>21481.53</v>
      </c>
      <c r="K8586" s="62"/>
      <c r="L8586" s="2">
        <f t="shared" si="1393"/>
        <v>20</v>
      </c>
    </row>
    <row r="8587" spans="1:12" x14ac:dyDescent="0.3">
      <c r="A8587" s="3">
        <f t="shared" ref="A8587:A8650" si="1394">A8586</f>
        <v>46153</v>
      </c>
      <c r="B8587" s="11" t="s">
        <v>1160</v>
      </c>
      <c r="C8587" s="7" t="s">
        <v>6480</v>
      </c>
      <c r="D8587" s="153"/>
      <c r="E8587" s="90" t="s">
        <v>4720</v>
      </c>
      <c r="G8587" s="2">
        <v>1000</v>
      </c>
      <c r="H8587" s="166"/>
      <c r="I8587" s="88">
        <f t="shared" si="1392"/>
        <v>22481.53</v>
      </c>
      <c r="K8587" s="62"/>
      <c r="L8587" s="2">
        <f t="shared" si="1393"/>
        <v>4</v>
      </c>
    </row>
    <row r="8588" spans="1:12" x14ac:dyDescent="0.3">
      <c r="A8588" s="3">
        <f t="shared" si="1394"/>
        <v>46153</v>
      </c>
      <c r="B8588" s="11" t="s">
        <v>1160</v>
      </c>
      <c r="C8588" s="7" t="s">
        <v>7453</v>
      </c>
      <c r="D8588" s="153"/>
      <c r="E8588" s="90" t="s">
        <v>4720</v>
      </c>
      <c r="G8588" s="2">
        <v>3000</v>
      </c>
      <c r="H8588" s="166"/>
      <c r="I8588" s="88">
        <f t="shared" si="1392"/>
        <v>25481.53</v>
      </c>
      <c r="K8588" s="62"/>
      <c r="L8588" s="2">
        <f t="shared" si="1393"/>
        <v>12</v>
      </c>
    </row>
    <row r="8589" spans="1:12" x14ac:dyDescent="0.3">
      <c r="A8589" s="3">
        <f t="shared" si="1394"/>
        <v>46153</v>
      </c>
      <c r="B8589" s="11" t="s">
        <v>6864</v>
      </c>
      <c r="C8589" s="7" t="s">
        <v>6863</v>
      </c>
      <c r="D8589" s="153"/>
      <c r="E8589" s="90" t="s">
        <v>2088</v>
      </c>
      <c r="G8589" s="2">
        <v>1000</v>
      </c>
      <c r="H8589" s="166"/>
      <c r="I8589" s="88">
        <f t="shared" si="1392"/>
        <v>26481.53</v>
      </c>
      <c r="K8589" s="62"/>
      <c r="L8589" s="2">
        <f t="shared" si="1393"/>
        <v>9</v>
      </c>
    </row>
    <row r="8590" spans="1:12" x14ac:dyDescent="0.3">
      <c r="A8590" s="3">
        <f t="shared" si="1394"/>
        <v>46153</v>
      </c>
      <c r="B8590" s="11" t="s">
        <v>8156</v>
      </c>
      <c r="C8590" s="7" t="s">
        <v>10636</v>
      </c>
      <c r="D8590" s="153"/>
      <c r="E8590" s="90" t="s">
        <v>4720</v>
      </c>
      <c r="G8590" s="2">
        <v>5000</v>
      </c>
      <c r="H8590" s="166"/>
      <c r="I8590" s="88">
        <f t="shared" si="1392"/>
        <v>31481.53</v>
      </c>
      <c r="K8590" s="62"/>
      <c r="L8590" s="2">
        <f t="shared" si="1393"/>
        <v>20</v>
      </c>
    </row>
    <row r="8591" spans="1:12" x14ac:dyDescent="0.3">
      <c r="A8591" s="3">
        <f t="shared" si="1394"/>
        <v>46153</v>
      </c>
      <c r="B8591" s="11" t="s">
        <v>3148</v>
      </c>
      <c r="C8591" s="7" t="s">
        <v>10545</v>
      </c>
      <c r="D8591" s="153"/>
      <c r="E8591" s="90" t="s">
        <v>4720</v>
      </c>
      <c r="G8591" s="2">
        <v>2000</v>
      </c>
      <c r="H8591" s="166"/>
      <c r="I8591" s="88">
        <f t="shared" si="1392"/>
        <v>33481.53</v>
      </c>
      <c r="K8591" s="62"/>
      <c r="L8591" s="2">
        <f t="shared" si="1393"/>
        <v>8</v>
      </c>
    </row>
    <row r="8592" spans="1:12" x14ac:dyDescent="0.3">
      <c r="A8592" s="3">
        <f t="shared" si="1394"/>
        <v>46153</v>
      </c>
      <c r="B8592" s="11" t="s">
        <v>8341</v>
      </c>
      <c r="C8592" s="7" t="s">
        <v>8342</v>
      </c>
      <c r="D8592" s="153"/>
      <c r="E8592" s="90" t="s">
        <v>4720</v>
      </c>
      <c r="H8592" s="166">
        <v>8000</v>
      </c>
      <c r="I8592" s="88">
        <f t="shared" si="1392"/>
        <v>25481.53</v>
      </c>
      <c r="K8592" s="62"/>
      <c r="L8592" s="2">
        <f t="shared" si="1393"/>
        <v>20</v>
      </c>
    </row>
    <row r="8593" spans="1:12" x14ac:dyDescent="0.3">
      <c r="A8593" s="3">
        <f t="shared" si="1394"/>
        <v>46153</v>
      </c>
      <c r="B8593" s="11" t="s">
        <v>6231</v>
      </c>
      <c r="C8593" s="7" t="s">
        <v>6468</v>
      </c>
      <c r="D8593" s="153"/>
      <c r="E8593" s="90" t="s">
        <v>4720</v>
      </c>
      <c r="G8593" s="74">
        <v>1800</v>
      </c>
      <c r="H8593" s="166"/>
      <c r="I8593" s="88">
        <f t="shared" si="1392"/>
        <v>27281.53</v>
      </c>
      <c r="K8593" s="62"/>
      <c r="L8593" s="2">
        <f t="shared" si="1393"/>
        <v>7.2</v>
      </c>
    </row>
    <row r="8594" spans="1:12" x14ac:dyDescent="0.3">
      <c r="A8594" s="3">
        <f t="shared" si="1394"/>
        <v>46153</v>
      </c>
      <c r="B8594" s="11" t="s">
        <v>3232</v>
      </c>
      <c r="C8594" s="7" t="s">
        <v>10637</v>
      </c>
      <c r="D8594" s="153"/>
      <c r="E8594" s="90" t="s">
        <v>4720</v>
      </c>
      <c r="G8594" s="74">
        <v>2500</v>
      </c>
      <c r="H8594" s="166"/>
      <c r="I8594" s="88">
        <f t="shared" si="1392"/>
        <v>29781.53</v>
      </c>
      <c r="K8594" s="62"/>
      <c r="L8594" s="2">
        <f t="shared" si="1393"/>
        <v>10</v>
      </c>
    </row>
    <row r="8595" spans="1:12" x14ac:dyDescent="0.3">
      <c r="A8595" s="3">
        <f t="shared" si="1394"/>
        <v>46153</v>
      </c>
      <c r="C8595" s="7" t="s">
        <v>2857</v>
      </c>
      <c r="D8595" s="153"/>
      <c r="E8595" s="90" t="s">
        <v>8332</v>
      </c>
      <c r="H8595" s="166">
        <v>25000</v>
      </c>
      <c r="I8595" s="88">
        <f t="shared" si="1392"/>
        <v>4781.5299999999988</v>
      </c>
      <c r="K8595" s="62"/>
      <c r="L8595" s="2">
        <f t="shared" si="1393"/>
        <v>0</v>
      </c>
    </row>
    <row r="8596" spans="1:12" x14ac:dyDescent="0.3">
      <c r="A8596" s="3">
        <f t="shared" si="1394"/>
        <v>46153</v>
      </c>
      <c r="B8596" s="11" t="s">
        <v>7834</v>
      </c>
      <c r="C8596" s="7" t="s">
        <v>7835</v>
      </c>
      <c r="D8596" s="153"/>
      <c r="E8596" s="90" t="s">
        <v>2088</v>
      </c>
      <c r="G8596" s="2">
        <v>300</v>
      </c>
      <c r="H8596" s="166"/>
      <c r="I8596" s="88">
        <f t="shared" si="1392"/>
        <v>5081.5299999999988</v>
      </c>
      <c r="K8596" s="62"/>
      <c r="L8596" s="2">
        <f t="shared" si="1393"/>
        <v>6.2</v>
      </c>
    </row>
    <row r="8597" spans="1:12" x14ac:dyDescent="0.3">
      <c r="A8597" s="3">
        <f t="shared" si="1394"/>
        <v>46153</v>
      </c>
      <c r="B8597" s="11" t="s">
        <v>1250</v>
      </c>
      <c r="C8597" s="7" t="s">
        <v>6985</v>
      </c>
      <c r="D8597" s="153"/>
      <c r="E8597" s="90" t="s">
        <v>4720</v>
      </c>
      <c r="G8597" s="2">
        <v>3000</v>
      </c>
      <c r="H8597" s="166"/>
      <c r="I8597" s="88">
        <f t="shared" si="1392"/>
        <v>8081.5299999999988</v>
      </c>
      <c r="K8597" s="62"/>
      <c r="L8597" s="2">
        <f t="shared" si="1393"/>
        <v>12</v>
      </c>
    </row>
    <row r="8598" spans="1:12" x14ac:dyDescent="0.3">
      <c r="A8598" s="3">
        <f t="shared" si="1394"/>
        <v>46153</v>
      </c>
      <c r="B8598" s="11" t="s">
        <v>10625</v>
      </c>
      <c r="C8598" s="7" t="s">
        <v>10631</v>
      </c>
      <c r="D8598" s="153"/>
      <c r="E8598" s="90" t="s">
        <v>7772</v>
      </c>
      <c r="G8598" s="2">
        <v>0</v>
      </c>
      <c r="H8598" s="166"/>
      <c r="I8598" s="88">
        <f t="shared" ref="I8598:I8619" si="1395">I8597+G8598-H8598</f>
        <v>8081.5299999999988</v>
      </c>
      <c r="K8598" s="62"/>
      <c r="L8598" s="2">
        <f t="shared" ref="L8598:L8619" si="1396">IF(E8598="C",0,IF((G8598+H8598)&lt;=5000,(G8598+H8598)*0.004,20)+IF(E8598="P",5,IF(E8598="Y",15,IF(E8598="YY",25))))</f>
        <v>5</v>
      </c>
    </row>
    <row r="8599" spans="1:12" x14ac:dyDescent="0.3">
      <c r="A8599" s="3">
        <f t="shared" si="1394"/>
        <v>46153</v>
      </c>
      <c r="B8599" s="11" t="s">
        <v>10630</v>
      </c>
      <c r="C8599" s="7" t="s">
        <v>10640</v>
      </c>
      <c r="D8599" s="153"/>
      <c r="E8599" s="90" t="s">
        <v>7772</v>
      </c>
      <c r="G8599" s="2">
        <v>0</v>
      </c>
      <c r="H8599" s="166"/>
      <c r="I8599" s="88">
        <f t="shared" si="1395"/>
        <v>8081.5299999999988</v>
      </c>
      <c r="K8599" s="62"/>
      <c r="L8599" s="2">
        <f t="shared" si="1396"/>
        <v>5</v>
      </c>
    </row>
    <row r="8600" spans="1:12" x14ac:dyDescent="0.3">
      <c r="A8600" s="3">
        <f t="shared" si="1394"/>
        <v>46153</v>
      </c>
      <c r="B8600" s="11" t="s">
        <v>6905</v>
      </c>
      <c r="C8600" s="7" t="s">
        <v>7117</v>
      </c>
      <c r="D8600" s="153"/>
      <c r="E8600" s="90" t="s">
        <v>4720</v>
      </c>
      <c r="H8600" s="166">
        <v>5500</v>
      </c>
      <c r="I8600" s="88">
        <f t="shared" si="1395"/>
        <v>2581.5299999999988</v>
      </c>
      <c r="K8600" s="62"/>
      <c r="L8600" s="2">
        <f t="shared" si="1396"/>
        <v>20</v>
      </c>
    </row>
    <row r="8601" spans="1:12" x14ac:dyDescent="0.3">
      <c r="A8601" s="3">
        <v>46163</v>
      </c>
      <c r="B8601" s="11" t="s">
        <v>8052</v>
      </c>
      <c r="C8601" s="7" t="s">
        <v>4867</v>
      </c>
      <c r="D8601" s="153"/>
      <c r="E8601" s="90" t="s">
        <v>4720</v>
      </c>
      <c r="G8601" s="2">
        <v>3000</v>
      </c>
      <c r="H8601" s="166"/>
      <c r="I8601" s="88">
        <f t="shared" si="1395"/>
        <v>5581.5299999999988</v>
      </c>
      <c r="K8601" s="62"/>
      <c r="L8601" s="2">
        <f t="shared" si="1396"/>
        <v>12</v>
      </c>
    </row>
    <row r="8602" spans="1:12" x14ac:dyDescent="0.3">
      <c r="A8602" s="3">
        <f t="shared" si="1394"/>
        <v>46163</v>
      </c>
      <c r="B8602" s="11" t="s">
        <v>10221</v>
      </c>
      <c r="C8602" s="7" t="s">
        <v>10218</v>
      </c>
      <c r="D8602" s="153"/>
      <c r="E8602" s="90" t="s">
        <v>4720</v>
      </c>
      <c r="G8602" s="2">
        <v>400</v>
      </c>
      <c r="H8602" s="166"/>
      <c r="I8602" s="88">
        <f t="shared" si="1395"/>
        <v>5981.5299999999988</v>
      </c>
      <c r="K8602" s="62"/>
      <c r="L8602" s="2">
        <f t="shared" si="1396"/>
        <v>1.6</v>
      </c>
    </row>
    <row r="8603" spans="1:12" x14ac:dyDescent="0.3">
      <c r="A8603" s="3">
        <f t="shared" si="1394"/>
        <v>46163</v>
      </c>
      <c r="B8603" s="11" t="s">
        <v>9528</v>
      </c>
      <c r="C8603" s="7" t="s">
        <v>8751</v>
      </c>
      <c r="D8603" s="153"/>
      <c r="E8603" s="90" t="s">
        <v>4720</v>
      </c>
      <c r="G8603" s="2">
        <v>1000</v>
      </c>
      <c r="H8603" s="166"/>
      <c r="I8603" s="88">
        <f t="shared" si="1395"/>
        <v>6981.5299999999988</v>
      </c>
      <c r="K8603" s="62"/>
      <c r="L8603" s="2">
        <f t="shared" si="1396"/>
        <v>4</v>
      </c>
    </row>
    <row r="8604" spans="1:12" x14ac:dyDescent="0.3">
      <c r="A8604" s="3">
        <f t="shared" si="1394"/>
        <v>46163</v>
      </c>
      <c r="B8604" s="11" t="s">
        <v>3420</v>
      </c>
      <c r="C8604" s="7" t="s">
        <v>3421</v>
      </c>
      <c r="D8604" s="153"/>
      <c r="E8604" s="90" t="s">
        <v>2088</v>
      </c>
      <c r="H8604" s="166">
        <v>1000</v>
      </c>
      <c r="I8604" s="88">
        <f t="shared" si="1395"/>
        <v>5981.5299999999988</v>
      </c>
      <c r="K8604" s="62"/>
      <c r="L8604" s="2">
        <f t="shared" si="1396"/>
        <v>9</v>
      </c>
    </row>
    <row r="8605" spans="1:12" x14ac:dyDescent="0.3">
      <c r="A8605" s="3">
        <f t="shared" si="1394"/>
        <v>46163</v>
      </c>
      <c r="B8605" s="11" t="s">
        <v>7108</v>
      </c>
      <c r="C8605" s="7" t="s">
        <v>10643</v>
      </c>
      <c r="D8605" s="153"/>
      <c r="E8605" s="90" t="s">
        <v>2088</v>
      </c>
      <c r="G8605" s="2">
        <v>2000</v>
      </c>
      <c r="H8605" s="166"/>
      <c r="I8605" s="88">
        <f t="shared" si="1395"/>
        <v>7981.5299999999988</v>
      </c>
      <c r="K8605" s="62"/>
      <c r="L8605" s="2">
        <f t="shared" si="1396"/>
        <v>13</v>
      </c>
    </row>
    <row r="8606" spans="1:12" x14ac:dyDescent="0.3">
      <c r="A8606" s="3">
        <f t="shared" si="1394"/>
        <v>46163</v>
      </c>
      <c r="B8606" s="11" t="s">
        <v>7724</v>
      </c>
      <c r="C8606" s="7" t="s">
        <v>10644</v>
      </c>
      <c r="D8606" s="153"/>
      <c r="E8606" s="90" t="s">
        <v>2088</v>
      </c>
      <c r="G8606" s="2">
        <v>0</v>
      </c>
      <c r="H8606" s="166">
        <v>0</v>
      </c>
      <c r="I8606" s="88">
        <f t="shared" si="1395"/>
        <v>7981.5299999999988</v>
      </c>
      <c r="K8606" s="62"/>
      <c r="L8606" s="2">
        <f t="shared" si="1396"/>
        <v>5</v>
      </c>
    </row>
    <row r="8607" spans="1:12" x14ac:dyDescent="0.3">
      <c r="A8607" s="3">
        <v>46164</v>
      </c>
      <c r="B8607" s="11" t="s">
        <v>7466</v>
      </c>
      <c r="C8607" s="7" t="s">
        <v>2414</v>
      </c>
      <c r="D8607" s="153"/>
      <c r="E8607" s="90" t="s">
        <v>2088</v>
      </c>
      <c r="G8607" s="2">
        <v>1000</v>
      </c>
      <c r="H8607" s="166"/>
      <c r="I8607" s="88">
        <f t="shared" si="1395"/>
        <v>8981.5299999999988</v>
      </c>
      <c r="K8607" s="62"/>
      <c r="L8607" s="2">
        <f t="shared" si="1396"/>
        <v>9</v>
      </c>
    </row>
    <row r="8608" spans="1:12" x14ac:dyDescent="0.3">
      <c r="A8608" s="3">
        <f t="shared" si="1394"/>
        <v>46164</v>
      </c>
      <c r="B8608" s="11" t="s">
        <v>2089</v>
      </c>
      <c r="C8608" s="7" t="s">
        <v>10645</v>
      </c>
      <c r="D8608" s="153"/>
      <c r="E8608" s="90" t="s">
        <v>2088</v>
      </c>
      <c r="G8608" s="2">
        <v>0</v>
      </c>
      <c r="H8608" s="166"/>
      <c r="I8608" s="88">
        <f t="shared" si="1395"/>
        <v>8981.5299999999988</v>
      </c>
      <c r="K8608" s="62"/>
      <c r="L8608" s="2">
        <f t="shared" si="1396"/>
        <v>5</v>
      </c>
    </row>
    <row r="8609" spans="1:12" x14ac:dyDescent="0.3">
      <c r="A8609" s="3">
        <f t="shared" si="1394"/>
        <v>46164</v>
      </c>
      <c r="B8609" s="11" t="s">
        <v>2089</v>
      </c>
      <c r="C8609" s="7" t="s">
        <v>10645</v>
      </c>
      <c r="D8609" s="153"/>
      <c r="E8609" s="90" t="s">
        <v>2088</v>
      </c>
      <c r="G8609" s="2">
        <v>3000</v>
      </c>
      <c r="H8609" s="166"/>
      <c r="I8609" s="88">
        <f t="shared" si="1395"/>
        <v>11981.529999999999</v>
      </c>
      <c r="K8609" s="62"/>
      <c r="L8609" s="2">
        <f t="shared" si="1396"/>
        <v>17</v>
      </c>
    </row>
    <row r="8610" spans="1:12" x14ac:dyDescent="0.3">
      <c r="A8610" s="3">
        <f t="shared" si="1394"/>
        <v>46164</v>
      </c>
      <c r="B8610" s="11" t="s">
        <v>1170</v>
      </c>
      <c r="C8610" s="7" t="s">
        <v>7773</v>
      </c>
      <c r="D8610" s="153"/>
      <c r="E8610" s="90" t="s">
        <v>4720</v>
      </c>
      <c r="G8610" s="2">
        <v>3050</v>
      </c>
      <c r="H8610" s="166"/>
      <c r="I8610" s="88">
        <f t="shared" si="1395"/>
        <v>15031.529999999999</v>
      </c>
      <c r="K8610" s="62"/>
      <c r="L8610" s="2">
        <f t="shared" si="1396"/>
        <v>12.200000000000001</v>
      </c>
    </row>
    <row r="8611" spans="1:12" x14ac:dyDescent="0.3">
      <c r="A8611" s="3">
        <f t="shared" si="1394"/>
        <v>46164</v>
      </c>
      <c r="B8611" s="11" t="s">
        <v>2241</v>
      </c>
      <c r="C8611" s="7" t="s">
        <v>8358</v>
      </c>
      <c r="D8611" s="153"/>
      <c r="E8611" s="90" t="s">
        <v>4720</v>
      </c>
      <c r="G8611" s="2">
        <v>500</v>
      </c>
      <c r="H8611" s="166"/>
      <c r="I8611" s="88">
        <f t="shared" si="1395"/>
        <v>15531.529999999999</v>
      </c>
      <c r="K8611" s="62"/>
      <c r="L8611" s="2">
        <f t="shared" si="1396"/>
        <v>2</v>
      </c>
    </row>
    <row r="8612" spans="1:12" x14ac:dyDescent="0.3">
      <c r="A8612" s="3">
        <f t="shared" si="1394"/>
        <v>46164</v>
      </c>
      <c r="B8612" s="11" t="s">
        <v>1250</v>
      </c>
      <c r="C8612" s="7" t="s">
        <v>2348</v>
      </c>
      <c r="D8612" s="153"/>
      <c r="E8612" s="90" t="s">
        <v>4720</v>
      </c>
      <c r="G8612" s="2">
        <v>5000</v>
      </c>
      <c r="H8612" s="166"/>
      <c r="I8612" s="88">
        <f t="shared" si="1395"/>
        <v>20531.53</v>
      </c>
      <c r="K8612" s="62"/>
      <c r="L8612" s="2">
        <f t="shared" si="1396"/>
        <v>20</v>
      </c>
    </row>
    <row r="8613" spans="1:12" x14ac:dyDescent="0.3">
      <c r="A8613" s="3">
        <f t="shared" si="1394"/>
        <v>46164</v>
      </c>
      <c r="C8613" s="7" t="s">
        <v>2857</v>
      </c>
      <c r="D8613" s="153"/>
      <c r="E8613" s="90" t="s">
        <v>8332</v>
      </c>
      <c r="H8613" s="166">
        <v>20000</v>
      </c>
      <c r="I8613" s="88">
        <f t="shared" si="1395"/>
        <v>531.52999999999884</v>
      </c>
      <c r="K8613" s="62"/>
      <c r="L8613" s="2">
        <f t="shared" si="1396"/>
        <v>0</v>
      </c>
    </row>
    <row r="8614" spans="1:12" x14ac:dyDescent="0.3">
      <c r="A8614" s="3">
        <f t="shared" si="1394"/>
        <v>46164</v>
      </c>
      <c r="B8614" s="11" t="s">
        <v>1250</v>
      </c>
      <c r="C8614" s="7" t="s">
        <v>6985</v>
      </c>
      <c r="D8614" s="153"/>
      <c r="E8614" s="90" t="s">
        <v>4720</v>
      </c>
      <c r="G8614" s="2">
        <v>3000</v>
      </c>
      <c r="H8614" s="166"/>
      <c r="I8614" s="88">
        <f t="shared" si="1395"/>
        <v>3531.5299999999988</v>
      </c>
      <c r="K8614" s="62"/>
      <c r="L8614" s="2">
        <f t="shared" si="1396"/>
        <v>12</v>
      </c>
    </row>
    <row r="8615" spans="1:12" x14ac:dyDescent="0.3">
      <c r="A8615" s="3">
        <f t="shared" si="1394"/>
        <v>46164</v>
      </c>
      <c r="B8615" s="11" t="s">
        <v>1250</v>
      </c>
      <c r="C8615" s="7" t="s">
        <v>10156</v>
      </c>
      <c r="D8615" s="153"/>
      <c r="E8615" s="90" t="s">
        <v>4720</v>
      </c>
      <c r="G8615" s="2">
        <v>500</v>
      </c>
      <c r="H8615" s="166"/>
      <c r="I8615" s="88">
        <f t="shared" si="1395"/>
        <v>4031.5299999999988</v>
      </c>
      <c r="K8615" s="62"/>
      <c r="L8615" s="2">
        <f t="shared" si="1396"/>
        <v>2</v>
      </c>
    </row>
    <row r="8616" spans="1:12" x14ac:dyDescent="0.3">
      <c r="A8616" s="3">
        <f t="shared" si="1394"/>
        <v>46164</v>
      </c>
      <c r="B8616" s="11" t="s">
        <v>1472</v>
      </c>
      <c r="C8616" s="7" t="s">
        <v>10648</v>
      </c>
      <c r="D8616" s="153"/>
      <c r="E8616" s="90" t="s">
        <v>4720</v>
      </c>
      <c r="G8616" s="2">
        <v>1000</v>
      </c>
      <c r="H8616" s="166"/>
      <c r="I8616" s="88">
        <f t="shared" si="1395"/>
        <v>5031.5299999999988</v>
      </c>
      <c r="K8616" s="62"/>
      <c r="L8616" s="2">
        <f t="shared" si="1396"/>
        <v>4</v>
      </c>
    </row>
    <row r="8617" spans="1:12" x14ac:dyDescent="0.3">
      <c r="A8617" s="3">
        <f t="shared" si="1394"/>
        <v>46164</v>
      </c>
      <c r="B8617" s="11" t="s">
        <v>2241</v>
      </c>
      <c r="C8617" s="7" t="s">
        <v>10649</v>
      </c>
      <c r="D8617" s="153"/>
      <c r="E8617" s="90" t="s">
        <v>4720</v>
      </c>
      <c r="G8617" s="2">
        <v>500</v>
      </c>
      <c r="H8617" s="166"/>
      <c r="I8617" s="88">
        <f t="shared" si="1395"/>
        <v>5531.5299999999988</v>
      </c>
      <c r="K8617" s="62"/>
      <c r="L8617" s="2">
        <f t="shared" si="1396"/>
        <v>2</v>
      </c>
    </row>
    <row r="8618" spans="1:12" x14ac:dyDescent="0.3">
      <c r="A8618" s="3">
        <f t="shared" si="1394"/>
        <v>46164</v>
      </c>
      <c r="B8618" s="11" t="s">
        <v>9014</v>
      </c>
      <c r="C8618" s="7" t="s">
        <v>9090</v>
      </c>
      <c r="D8618" s="153"/>
      <c r="E8618" s="90" t="s">
        <v>4720</v>
      </c>
      <c r="H8618" s="166">
        <v>3900</v>
      </c>
      <c r="I8618" s="88">
        <f t="shared" si="1395"/>
        <v>1631.5299999999988</v>
      </c>
      <c r="K8618" s="62"/>
      <c r="L8618" s="2">
        <f t="shared" si="1396"/>
        <v>15.6</v>
      </c>
    </row>
    <row r="8619" spans="1:12" x14ac:dyDescent="0.3">
      <c r="A8619" s="3">
        <f t="shared" si="1394"/>
        <v>46164</v>
      </c>
      <c r="B8619" s="11" t="s">
        <v>2241</v>
      </c>
      <c r="C8619" s="7" t="s">
        <v>10523</v>
      </c>
      <c r="D8619" s="153"/>
      <c r="E8619" s="90" t="s">
        <v>4720</v>
      </c>
      <c r="G8619" s="2">
        <v>1000</v>
      </c>
      <c r="H8619" s="166"/>
      <c r="I8619" s="88">
        <f t="shared" si="1395"/>
        <v>2631.5299999999988</v>
      </c>
      <c r="K8619" s="62"/>
      <c r="L8619" s="2">
        <f t="shared" si="1396"/>
        <v>4</v>
      </c>
    </row>
    <row r="8620" spans="1:12" x14ac:dyDescent="0.3">
      <c r="A8620" s="3">
        <v>46165</v>
      </c>
      <c r="B8620" s="11" t="s">
        <v>7255</v>
      </c>
      <c r="C8620" s="7" t="s">
        <v>252</v>
      </c>
      <c r="D8620" s="153"/>
      <c r="E8620" s="90" t="s">
        <v>2088</v>
      </c>
      <c r="G8620" s="2">
        <v>1500</v>
      </c>
      <c r="H8620" s="166"/>
      <c r="I8620" s="88">
        <f t="shared" ref="I8620:I8631" si="1397">I8619+G8620-H8620</f>
        <v>4131.5299999999988</v>
      </c>
      <c r="K8620" s="62"/>
      <c r="L8620" s="2">
        <f t="shared" ref="L8620:L8631" si="1398">IF(E8620="C",0,IF((G8620+H8620)&lt;=5000,(G8620+H8620)*0.004,20)+IF(E8620="P",5,IF(E8620="Y",15,IF(E8620="YY",25))))</f>
        <v>11</v>
      </c>
    </row>
    <row r="8621" spans="1:12" x14ac:dyDescent="0.3">
      <c r="A8621" s="3">
        <f t="shared" si="1394"/>
        <v>46165</v>
      </c>
      <c r="B8621" s="11" t="s">
        <v>1160</v>
      </c>
      <c r="C8621" s="7" t="s">
        <v>10650</v>
      </c>
      <c r="D8621" s="153"/>
      <c r="E8621" s="90" t="s">
        <v>4720</v>
      </c>
      <c r="G8621" s="2">
        <v>2000</v>
      </c>
      <c r="H8621" s="166"/>
      <c r="I8621" s="88">
        <f t="shared" si="1397"/>
        <v>6131.5299999999988</v>
      </c>
      <c r="K8621" s="62"/>
      <c r="L8621" s="2">
        <f t="shared" si="1398"/>
        <v>8</v>
      </c>
    </row>
    <row r="8622" spans="1:12" x14ac:dyDescent="0.3">
      <c r="A8622" s="3">
        <f t="shared" si="1394"/>
        <v>46165</v>
      </c>
      <c r="B8622" s="11" t="s">
        <v>6260</v>
      </c>
      <c r="C8622" s="7" t="s">
        <v>7117</v>
      </c>
      <c r="D8622" s="153"/>
      <c r="E8622" s="90" t="s">
        <v>4720</v>
      </c>
      <c r="H8622" s="166">
        <v>4000</v>
      </c>
      <c r="I8622" s="88">
        <f t="shared" si="1397"/>
        <v>2131.5299999999988</v>
      </c>
      <c r="K8622" s="62"/>
      <c r="L8622" s="2">
        <f t="shared" si="1398"/>
        <v>16</v>
      </c>
    </row>
    <row r="8623" spans="1:12" x14ac:dyDescent="0.3">
      <c r="A8623" s="3">
        <f t="shared" si="1394"/>
        <v>46165</v>
      </c>
      <c r="B8623" s="11" t="s">
        <v>7545</v>
      </c>
      <c r="C8623" s="7" t="s">
        <v>7546</v>
      </c>
      <c r="D8623" s="153"/>
      <c r="E8623" s="90" t="s">
        <v>2088</v>
      </c>
      <c r="H8623" s="166"/>
      <c r="I8623" s="88">
        <f t="shared" si="1397"/>
        <v>2131.5299999999988</v>
      </c>
      <c r="K8623" s="62"/>
      <c r="L8623" s="2">
        <f t="shared" si="1398"/>
        <v>5</v>
      </c>
    </row>
    <row r="8624" spans="1:12" x14ac:dyDescent="0.3">
      <c r="A8624" s="3">
        <f t="shared" si="1394"/>
        <v>46165</v>
      </c>
      <c r="B8624" s="11" t="s">
        <v>7545</v>
      </c>
      <c r="C8624" s="7" t="s">
        <v>7546</v>
      </c>
      <c r="D8624" s="153"/>
      <c r="E8624" s="90" t="s">
        <v>2088</v>
      </c>
      <c r="G8624" s="2">
        <v>2000</v>
      </c>
      <c r="H8624" s="166"/>
      <c r="I8624" s="88">
        <f t="shared" si="1397"/>
        <v>4131.5299999999988</v>
      </c>
      <c r="K8624" s="62"/>
      <c r="L8624" s="2">
        <f t="shared" si="1398"/>
        <v>13</v>
      </c>
    </row>
    <row r="8625" spans="1:12" x14ac:dyDescent="0.3">
      <c r="A8625" s="3">
        <f t="shared" si="1394"/>
        <v>46165</v>
      </c>
      <c r="B8625" s="11" t="s">
        <v>6892</v>
      </c>
      <c r="C8625" s="7" t="s">
        <v>7248</v>
      </c>
      <c r="D8625" s="153"/>
      <c r="E8625" s="90" t="s">
        <v>2088</v>
      </c>
      <c r="G8625" s="2">
        <v>7050</v>
      </c>
      <c r="H8625" s="166"/>
      <c r="I8625" s="88">
        <f t="shared" si="1397"/>
        <v>11181.529999999999</v>
      </c>
      <c r="K8625" s="62"/>
      <c r="L8625" s="2">
        <f t="shared" si="1398"/>
        <v>25</v>
      </c>
    </row>
    <row r="8626" spans="1:12" x14ac:dyDescent="0.3">
      <c r="A8626" s="3">
        <f t="shared" si="1394"/>
        <v>46165</v>
      </c>
      <c r="B8626" s="11" t="s">
        <v>8929</v>
      </c>
      <c r="C8626" s="7" t="s">
        <v>8930</v>
      </c>
      <c r="D8626" s="153"/>
      <c r="E8626" s="90" t="s">
        <v>4720</v>
      </c>
      <c r="H8626" s="166">
        <v>1000</v>
      </c>
      <c r="I8626" s="88">
        <f t="shared" si="1397"/>
        <v>10181.529999999999</v>
      </c>
      <c r="K8626" s="62"/>
      <c r="L8626" s="2">
        <f t="shared" si="1398"/>
        <v>4</v>
      </c>
    </row>
    <row r="8627" spans="1:12" x14ac:dyDescent="0.3">
      <c r="A8627" s="3">
        <f t="shared" si="1394"/>
        <v>46165</v>
      </c>
      <c r="B8627" s="11" t="s">
        <v>9014</v>
      </c>
      <c r="C8627" s="7" t="s">
        <v>9090</v>
      </c>
      <c r="D8627" s="153"/>
      <c r="E8627" s="90" t="s">
        <v>4720</v>
      </c>
      <c r="H8627" s="166">
        <v>10000</v>
      </c>
      <c r="I8627" s="88">
        <f t="shared" si="1397"/>
        <v>181.52999999999884</v>
      </c>
      <c r="K8627" s="62"/>
      <c r="L8627" s="2">
        <f t="shared" si="1398"/>
        <v>20</v>
      </c>
    </row>
    <row r="8628" spans="1:12" x14ac:dyDescent="0.3">
      <c r="A8628" s="3">
        <f t="shared" si="1394"/>
        <v>46165</v>
      </c>
      <c r="B8628" s="11" t="s">
        <v>8465</v>
      </c>
      <c r="C8628" s="7" t="s">
        <v>9096</v>
      </c>
      <c r="D8628" s="153"/>
      <c r="E8628" s="90" t="s">
        <v>2088</v>
      </c>
      <c r="G8628" s="2">
        <v>6050</v>
      </c>
      <c r="H8628" s="166"/>
      <c r="I8628" s="88">
        <f t="shared" si="1397"/>
        <v>6231.5299999999988</v>
      </c>
      <c r="K8628" s="62"/>
      <c r="L8628" s="2">
        <f t="shared" si="1398"/>
        <v>25</v>
      </c>
    </row>
    <row r="8629" spans="1:12" x14ac:dyDescent="0.3">
      <c r="A8629" s="3">
        <v>46166</v>
      </c>
      <c r="B8629" s="11" t="s">
        <v>1250</v>
      </c>
      <c r="C8629" s="7" t="s">
        <v>10651</v>
      </c>
      <c r="D8629" s="153"/>
      <c r="E8629" s="90" t="s">
        <v>4720</v>
      </c>
      <c r="H8629" s="166">
        <v>1400</v>
      </c>
      <c r="I8629" s="88">
        <f t="shared" si="1397"/>
        <v>4831.5299999999988</v>
      </c>
      <c r="K8629" s="62"/>
      <c r="L8629" s="2">
        <f t="shared" si="1398"/>
        <v>5.6000000000000005</v>
      </c>
    </row>
    <row r="8630" spans="1:12" x14ac:dyDescent="0.3">
      <c r="A8630" s="3">
        <f t="shared" si="1394"/>
        <v>46166</v>
      </c>
      <c r="B8630" s="11" t="s">
        <v>9474</v>
      </c>
      <c r="C8630" s="7" t="s">
        <v>10204</v>
      </c>
      <c r="D8630" s="153"/>
      <c r="E8630" s="90" t="s">
        <v>4720</v>
      </c>
      <c r="H8630" s="166">
        <v>2800</v>
      </c>
      <c r="I8630" s="88">
        <f t="shared" si="1397"/>
        <v>2031.5299999999988</v>
      </c>
      <c r="K8630" s="62"/>
      <c r="L8630" s="2">
        <f t="shared" si="1398"/>
        <v>11.200000000000001</v>
      </c>
    </row>
    <row r="8631" spans="1:12" x14ac:dyDescent="0.3">
      <c r="A8631" s="3">
        <f t="shared" si="1394"/>
        <v>46166</v>
      </c>
      <c r="B8631" s="11" t="s">
        <v>8906</v>
      </c>
      <c r="C8631" s="7" t="s">
        <v>10444</v>
      </c>
      <c r="D8631" s="153"/>
      <c r="E8631" s="90" t="s">
        <v>4720</v>
      </c>
      <c r="H8631" s="166">
        <v>1500</v>
      </c>
      <c r="I8631" s="88">
        <f t="shared" si="1397"/>
        <v>531.52999999999884</v>
      </c>
      <c r="K8631" s="62"/>
      <c r="L8631" s="2">
        <f t="shared" si="1398"/>
        <v>6</v>
      </c>
    </row>
    <row r="8632" spans="1:12" x14ac:dyDescent="0.3">
      <c r="A8632" s="3">
        <v>46167</v>
      </c>
      <c r="B8632" s="11" t="s">
        <v>7081</v>
      </c>
      <c r="C8632" s="7" t="s">
        <v>8978</v>
      </c>
      <c r="D8632" s="153"/>
      <c r="E8632" s="90" t="s">
        <v>2088</v>
      </c>
      <c r="G8632" s="2">
        <v>2500</v>
      </c>
      <c r="H8632" s="166"/>
      <c r="I8632" s="88">
        <f t="shared" ref="I8632:I8651" si="1399">I8631+G8632-H8632</f>
        <v>3031.5299999999988</v>
      </c>
      <c r="K8632" s="62"/>
      <c r="L8632" s="2">
        <f t="shared" ref="L8632:L8651" si="1400">IF(E8632="C",0,IF((G8632+H8632)&lt;=5000,(G8632+H8632)*0.004,20)+IF(E8632="P",5,IF(E8632="Y",15,IF(E8632="YY",25))))</f>
        <v>15</v>
      </c>
    </row>
    <row r="8633" spans="1:12" x14ac:dyDescent="0.3">
      <c r="A8633" s="3">
        <f t="shared" si="1394"/>
        <v>46167</v>
      </c>
      <c r="C8633" s="7" t="s">
        <v>2887</v>
      </c>
      <c r="D8633" s="153"/>
      <c r="E8633" s="90" t="s">
        <v>8332</v>
      </c>
      <c r="G8633" s="2">
        <v>20000</v>
      </c>
      <c r="H8633" s="166"/>
      <c r="I8633" s="88">
        <f t="shared" si="1399"/>
        <v>23031.53</v>
      </c>
      <c r="K8633" s="62"/>
      <c r="L8633" s="2">
        <f t="shared" si="1400"/>
        <v>0</v>
      </c>
    </row>
    <row r="8634" spans="1:12" x14ac:dyDescent="0.3">
      <c r="A8634" s="3">
        <f t="shared" si="1394"/>
        <v>46167</v>
      </c>
      <c r="B8634" s="11" t="s">
        <v>10029</v>
      </c>
      <c r="C8634" s="7" t="s">
        <v>10652</v>
      </c>
      <c r="D8634" s="153"/>
      <c r="E8634" s="90" t="s">
        <v>4720</v>
      </c>
      <c r="H8634" s="166">
        <v>8000</v>
      </c>
      <c r="I8634" s="88">
        <f t="shared" si="1399"/>
        <v>15031.529999999999</v>
      </c>
      <c r="K8634" s="62"/>
      <c r="L8634" s="2">
        <f t="shared" si="1400"/>
        <v>20</v>
      </c>
    </row>
    <row r="8635" spans="1:12" x14ac:dyDescent="0.3">
      <c r="A8635" s="3">
        <f t="shared" si="1394"/>
        <v>46167</v>
      </c>
      <c r="B8635" s="11" t="s">
        <v>10031</v>
      </c>
      <c r="C8635" s="7" t="s">
        <v>10032</v>
      </c>
      <c r="D8635" s="153"/>
      <c r="E8635" s="90" t="s">
        <v>4720</v>
      </c>
      <c r="H8635" s="166">
        <v>12000</v>
      </c>
      <c r="I8635" s="88">
        <f t="shared" si="1399"/>
        <v>3031.5299999999988</v>
      </c>
      <c r="K8635" s="62"/>
      <c r="L8635" s="2">
        <f t="shared" si="1400"/>
        <v>20</v>
      </c>
    </row>
    <row r="8636" spans="1:12" x14ac:dyDescent="0.3">
      <c r="A8636" s="3">
        <f t="shared" si="1394"/>
        <v>46167</v>
      </c>
      <c r="B8636" s="11" t="s">
        <v>6844</v>
      </c>
      <c r="C8636" s="7" t="s">
        <v>6845</v>
      </c>
      <c r="D8636" s="153"/>
      <c r="E8636" s="90" t="s">
        <v>4720</v>
      </c>
      <c r="H8636" s="166">
        <v>2800</v>
      </c>
      <c r="I8636" s="88">
        <f t="shared" si="1399"/>
        <v>231.52999999999884</v>
      </c>
      <c r="K8636" s="62"/>
      <c r="L8636" s="2">
        <f t="shared" si="1400"/>
        <v>11.200000000000001</v>
      </c>
    </row>
    <row r="8637" spans="1:12" x14ac:dyDescent="0.3">
      <c r="A8637" s="3">
        <f t="shared" si="1394"/>
        <v>46167</v>
      </c>
      <c r="B8637" s="11" t="s">
        <v>2241</v>
      </c>
      <c r="C8637" s="7" t="s">
        <v>10653</v>
      </c>
      <c r="D8637" s="153"/>
      <c r="E8637" s="90" t="s">
        <v>4720</v>
      </c>
      <c r="G8637" s="2">
        <v>3500</v>
      </c>
      <c r="H8637" s="166"/>
      <c r="I8637" s="88">
        <f t="shared" si="1399"/>
        <v>3731.5299999999988</v>
      </c>
      <c r="K8637" s="62"/>
      <c r="L8637" s="2">
        <f t="shared" si="1400"/>
        <v>14</v>
      </c>
    </row>
    <row r="8638" spans="1:12" x14ac:dyDescent="0.3">
      <c r="A8638" s="3">
        <f t="shared" si="1394"/>
        <v>46167</v>
      </c>
      <c r="B8638" s="11" t="s">
        <v>5872</v>
      </c>
      <c r="C8638" s="7" t="s">
        <v>9586</v>
      </c>
      <c r="D8638" s="153"/>
      <c r="E8638" s="90" t="s">
        <v>4720</v>
      </c>
      <c r="G8638" s="2">
        <v>2500</v>
      </c>
      <c r="H8638" s="166"/>
      <c r="I8638" s="88">
        <f t="shared" si="1399"/>
        <v>6231.5299999999988</v>
      </c>
      <c r="K8638" s="62"/>
      <c r="L8638" s="2">
        <f t="shared" si="1400"/>
        <v>10</v>
      </c>
    </row>
    <row r="8639" spans="1:12" x14ac:dyDescent="0.3">
      <c r="A8639" s="3">
        <f t="shared" si="1394"/>
        <v>46167</v>
      </c>
      <c r="B8639" s="11" t="s">
        <v>6892</v>
      </c>
      <c r="C8639" s="7" t="s">
        <v>7248</v>
      </c>
      <c r="D8639" s="153"/>
      <c r="E8639" s="90" t="s">
        <v>2088</v>
      </c>
      <c r="G8639" s="2">
        <v>10000</v>
      </c>
      <c r="H8639" s="166"/>
      <c r="I8639" s="88">
        <f t="shared" si="1399"/>
        <v>16231.529999999999</v>
      </c>
      <c r="K8639" s="62"/>
      <c r="L8639" s="2">
        <f t="shared" si="1400"/>
        <v>25</v>
      </c>
    </row>
    <row r="8640" spans="1:12" x14ac:dyDescent="0.3">
      <c r="A8640" s="3">
        <f t="shared" si="1394"/>
        <v>46167</v>
      </c>
      <c r="B8640" s="11" t="s">
        <v>7724</v>
      </c>
      <c r="C8640" s="7" t="s">
        <v>10644</v>
      </c>
      <c r="D8640" s="153"/>
      <c r="E8640" s="90" t="s">
        <v>2088</v>
      </c>
      <c r="G8640" s="2">
        <v>3000</v>
      </c>
      <c r="H8640" s="166"/>
      <c r="I8640" s="88">
        <f t="shared" si="1399"/>
        <v>19231.53</v>
      </c>
      <c r="K8640" s="62"/>
      <c r="L8640" s="2">
        <f t="shared" si="1400"/>
        <v>17</v>
      </c>
    </row>
    <row r="8641" spans="1:14" x14ac:dyDescent="0.3">
      <c r="A8641" s="3">
        <f t="shared" si="1394"/>
        <v>46167</v>
      </c>
      <c r="B8641" s="11" t="s">
        <v>2416</v>
      </c>
      <c r="C8641" s="7" t="s">
        <v>10654</v>
      </c>
      <c r="D8641" s="153" t="s">
        <v>10655</v>
      </c>
      <c r="E8641" s="90" t="s">
        <v>4720</v>
      </c>
      <c r="G8641" s="2">
        <v>10000</v>
      </c>
      <c r="H8641" s="166"/>
      <c r="I8641" s="88">
        <f t="shared" si="1399"/>
        <v>29231.53</v>
      </c>
      <c r="K8641" s="62"/>
      <c r="L8641" s="2">
        <f t="shared" si="1400"/>
        <v>20</v>
      </c>
    </row>
    <row r="8642" spans="1:14" x14ac:dyDescent="0.3">
      <c r="A8642" s="3">
        <f t="shared" si="1394"/>
        <v>46167</v>
      </c>
      <c r="B8642" s="11" t="s">
        <v>3915</v>
      </c>
      <c r="C8642" s="7" t="s">
        <v>10563</v>
      </c>
      <c r="D8642" s="153"/>
      <c r="E8642" s="90" t="s">
        <v>4720</v>
      </c>
      <c r="G8642" s="2">
        <v>750</v>
      </c>
      <c r="H8642" s="166"/>
      <c r="I8642" s="88">
        <f t="shared" si="1399"/>
        <v>29981.53</v>
      </c>
      <c r="K8642" s="62"/>
      <c r="L8642" s="2">
        <f t="shared" si="1400"/>
        <v>3</v>
      </c>
    </row>
    <row r="8643" spans="1:14" x14ac:dyDescent="0.3">
      <c r="A8643" s="3">
        <f t="shared" si="1394"/>
        <v>46167</v>
      </c>
      <c r="B8643" s="11" t="s">
        <v>1250</v>
      </c>
      <c r="C8643" s="7" t="s">
        <v>10563</v>
      </c>
      <c r="D8643" s="153"/>
      <c r="E8643" s="90" t="s">
        <v>4720</v>
      </c>
      <c r="G8643" s="2">
        <v>600</v>
      </c>
      <c r="H8643" s="166"/>
      <c r="I8643" s="88">
        <f t="shared" si="1399"/>
        <v>30581.53</v>
      </c>
      <c r="K8643" s="62"/>
      <c r="L8643" s="2">
        <f t="shared" si="1400"/>
        <v>2.4</v>
      </c>
    </row>
    <row r="8644" spans="1:14" x14ac:dyDescent="0.3">
      <c r="A8644" s="3">
        <f t="shared" si="1394"/>
        <v>46167</v>
      </c>
      <c r="C8644" s="7" t="s">
        <v>2857</v>
      </c>
      <c r="D8644" s="153"/>
      <c r="E8644" s="90" t="s">
        <v>8332</v>
      </c>
      <c r="H8644" s="166">
        <v>30000</v>
      </c>
      <c r="I8644" s="88">
        <f t="shared" si="1399"/>
        <v>581.52999999999884</v>
      </c>
      <c r="K8644" s="62"/>
      <c r="L8644" s="2">
        <f t="shared" si="1400"/>
        <v>0</v>
      </c>
    </row>
    <row r="8645" spans="1:14" x14ac:dyDescent="0.3">
      <c r="A8645" s="3">
        <f t="shared" si="1394"/>
        <v>46167</v>
      </c>
      <c r="B8645" s="11" t="s">
        <v>10658</v>
      </c>
      <c r="C8645" s="7" t="s">
        <v>10664</v>
      </c>
      <c r="D8645" s="153"/>
      <c r="E8645" s="90" t="s">
        <v>16</v>
      </c>
      <c r="H8645" s="166">
        <v>500</v>
      </c>
      <c r="I8645" s="88">
        <f t="shared" si="1399"/>
        <v>81.529999999998836</v>
      </c>
      <c r="K8645" s="62"/>
      <c r="L8645" s="2">
        <f t="shared" si="1400"/>
        <v>17</v>
      </c>
    </row>
    <row r="8646" spans="1:14" x14ac:dyDescent="0.3">
      <c r="A8646" s="3">
        <f t="shared" si="1394"/>
        <v>46167</v>
      </c>
      <c r="B8646" s="11" t="s">
        <v>1250</v>
      </c>
      <c r="C8646" s="7" t="s">
        <v>7614</v>
      </c>
      <c r="D8646" s="153"/>
      <c r="E8646" s="90" t="s">
        <v>4720</v>
      </c>
      <c r="G8646" s="2">
        <v>5000</v>
      </c>
      <c r="H8646" s="166"/>
      <c r="I8646" s="88">
        <f t="shared" si="1399"/>
        <v>5081.5299999999988</v>
      </c>
      <c r="K8646" s="62"/>
      <c r="L8646" s="2">
        <f t="shared" si="1400"/>
        <v>20</v>
      </c>
    </row>
    <row r="8647" spans="1:14" x14ac:dyDescent="0.3">
      <c r="A8647" s="3">
        <v>46168</v>
      </c>
      <c r="B8647" s="11" t="s">
        <v>10660</v>
      </c>
      <c r="C8647" s="7" t="s">
        <v>10661</v>
      </c>
      <c r="D8647" s="153"/>
      <c r="E8647" s="90" t="s">
        <v>16</v>
      </c>
      <c r="H8647" s="166">
        <v>500</v>
      </c>
      <c r="I8647" s="88">
        <f t="shared" si="1399"/>
        <v>4581.5299999999988</v>
      </c>
      <c r="K8647" s="62"/>
      <c r="L8647" s="2">
        <f t="shared" si="1400"/>
        <v>17</v>
      </c>
    </row>
    <row r="8648" spans="1:14" x14ac:dyDescent="0.3">
      <c r="A8648" s="3">
        <f t="shared" si="1394"/>
        <v>46168</v>
      </c>
      <c r="B8648" s="11" t="s">
        <v>1160</v>
      </c>
      <c r="C8648" s="50" t="s">
        <v>3513</v>
      </c>
      <c r="D8648" s="153"/>
      <c r="E8648" s="90" t="s">
        <v>4720</v>
      </c>
      <c r="G8648" s="2">
        <v>2000</v>
      </c>
      <c r="H8648" s="166"/>
      <c r="I8648" s="88">
        <f t="shared" si="1399"/>
        <v>6581.5299999999988</v>
      </c>
      <c r="K8648" s="62"/>
      <c r="L8648" s="2">
        <f t="shared" si="1400"/>
        <v>8</v>
      </c>
    </row>
    <row r="8649" spans="1:14" x14ac:dyDescent="0.3">
      <c r="A8649" s="3">
        <f t="shared" si="1394"/>
        <v>46168</v>
      </c>
      <c r="D8649" s="153"/>
      <c r="H8649" s="166">
        <v>3000</v>
      </c>
      <c r="I8649" s="88">
        <f t="shared" si="1399"/>
        <v>3581.5299999999988</v>
      </c>
      <c r="K8649" s="62"/>
      <c r="L8649" s="2">
        <f t="shared" si="1400"/>
        <v>12</v>
      </c>
    </row>
    <row r="8650" spans="1:14" x14ac:dyDescent="0.3">
      <c r="A8650" s="3">
        <f t="shared" si="1394"/>
        <v>46168</v>
      </c>
      <c r="D8650" s="153"/>
      <c r="H8650" s="166">
        <v>500</v>
      </c>
      <c r="I8650" s="88">
        <f t="shared" si="1399"/>
        <v>3081.5299999999988</v>
      </c>
      <c r="K8650" s="62"/>
      <c r="L8650" s="2">
        <f t="shared" si="1400"/>
        <v>2</v>
      </c>
    </row>
    <row r="8651" spans="1:14" x14ac:dyDescent="0.3">
      <c r="A8651" s="3">
        <f t="shared" ref="A8651" si="1401">A8650</f>
        <v>46168</v>
      </c>
      <c r="D8651" s="153"/>
      <c r="H8651" s="166">
        <v>1000</v>
      </c>
      <c r="I8651" s="88">
        <f t="shared" si="1399"/>
        <v>2081.5299999999988</v>
      </c>
      <c r="K8651" s="62"/>
      <c r="L8651" s="2">
        <f t="shared" si="1400"/>
        <v>4</v>
      </c>
    </row>
    <row r="8652" spans="1:14" x14ac:dyDescent="0.3">
      <c r="A8652" s="77">
        <f>COUNT(A8523:A8651)</f>
        <v>129</v>
      </c>
      <c r="B8652" s="80" t="s">
        <v>7120</v>
      </c>
      <c r="C8652" s="112">
        <f>SUMIF(E8522:E8651,"C",H8522:H8651)+SUMIF(E8522:E8651,"C",G8522:G8651)</f>
        <v>159881.53</v>
      </c>
      <c r="D8652" s="112">
        <f>COUNTIF(E8652:E9660,"P")</f>
        <v>208</v>
      </c>
      <c r="E8652" s="92">
        <f>COUNTIF(E8522:E8651,"Y")</f>
        <v>5</v>
      </c>
      <c r="F8652" s="80">
        <f>SUM(F4224)</f>
        <v>0</v>
      </c>
      <c r="G8652" s="121">
        <f>SUM(G8522:G8651)</f>
        <v>279881.53000000003</v>
      </c>
      <c r="H8652" s="121">
        <f>SUM(H8522:H8651)</f>
        <v>277800</v>
      </c>
      <c r="I8652" s="121">
        <f>G8652+H8652-C8652</f>
        <v>397800</v>
      </c>
      <c r="J8652" s="122"/>
      <c r="K8652" s="122">
        <f>D8652*5</f>
        <v>1040</v>
      </c>
      <c r="L8652" s="121">
        <f>SUM(L8522:L8651)</f>
        <v>1480.8000000000002</v>
      </c>
      <c r="M8652" s="121">
        <f>SUM(M8266:M8651)</f>
        <v>0</v>
      </c>
      <c r="N8652" s="62">
        <f>((L8652+K8652)*0.8)*0.95</f>
        <v>1915.8080000000002</v>
      </c>
    </row>
    <row r="8654" spans="1:14" x14ac:dyDescent="0.3">
      <c r="A8654" s="3">
        <v>46174</v>
      </c>
      <c r="C8654" s="7" t="s">
        <v>6831</v>
      </c>
      <c r="D8654" s="153"/>
      <c r="E8654" s="90" t="s">
        <v>8332</v>
      </c>
      <c r="G8654" s="88">
        <f>I8651</f>
        <v>2081.5299999999988</v>
      </c>
      <c r="H8654" s="166"/>
      <c r="I8654" s="88">
        <f t="shared" ref="I8654:I8666" si="1402">I8653+G8654-H8654</f>
        <v>2081.5299999999988</v>
      </c>
      <c r="K8654" s="62"/>
      <c r="L8654" s="2">
        <f t="shared" ref="L8654:L8666" si="1403">IF(E8654="C",0,IF((G8654+H8654)&lt;=5000,(G8654+H8654)*0.004,20)+IF(E8654="P",5,IF(E8654="Y",15,IF(E8654="YY",25))))</f>
        <v>0</v>
      </c>
    </row>
    <row r="8655" spans="1:14" x14ac:dyDescent="0.3">
      <c r="A8655" s="3">
        <v>46176</v>
      </c>
      <c r="B8655" s="11" t="s">
        <v>1250</v>
      </c>
      <c r="C8655" s="50" t="s">
        <v>5721</v>
      </c>
      <c r="D8655" s="153"/>
      <c r="E8655" s="90" t="s">
        <v>4720</v>
      </c>
      <c r="G8655" s="2">
        <v>5000</v>
      </c>
      <c r="H8655" s="166"/>
      <c r="I8655" s="88">
        <f t="shared" si="1402"/>
        <v>7081.5299999999988</v>
      </c>
      <c r="K8655" s="62"/>
      <c r="L8655" s="2">
        <f t="shared" si="1403"/>
        <v>20</v>
      </c>
    </row>
    <row r="8656" spans="1:14" x14ac:dyDescent="0.3">
      <c r="A8656" s="3">
        <f t="shared" ref="A8656:A8689" si="1404">A8655</f>
        <v>46176</v>
      </c>
      <c r="B8656" s="11" t="s">
        <v>2241</v>
      </c>
      <c r="C8656" s="50" t="s">
        <v>10669</v>
      </c>
      <c r="D8656" s="153"/>
      <c r="E8656" s="90" t="s">
        <v>4720</v>
      </c>
      <c r="G8656" s="2">
        <v>1600</v>
      </c>
      <c r="H8656" s="166"/>
      <c r="I8656" s="88">
        <f t="shared" si="1402"/>
        <v>8681.5299999999988</v>
      </c>
      <c r="K8656" s="62"/>
      <c r="L8656" s="2">
        <f t="shared" si="1403"/>
        <v>6.4</v>
      </c>
    </row>
    <row r="8657" spans="1:12" x14ac:dyDescent="0.3">
      <c r="A8657" s="3">
        <f t="shared" si="1404"/>
        <v>46176</v>
      </c>
      <c r="B8657" s="11" t="s">
        <v>6906</v>
      </c>
      <c r="C8657" s="50" t="s">
        <v>8689</v>
      </c>
      <c r="D8657" s="153"/>
      <c r="E8657" s="90" t="s">
        <v>2088</v>
      </c>
      <c r="G8657" s="2">
        <v>2000</v>
      </c>
      <c r="H8657" s="166"/>
      <c r="I8657" s="88">
        <f t="shared" si="1402"/>
        <v>10681.529999999999</v>
      </c>
      <c r="K8657" s="62"/>
      <c r="L8657" s="2">
        <f t="shared" si="1403"/>
        <v>13</v>
      </c>
    </row>
    <row r="8658" spans="1:12" x14ac:dyDescent="0.3">
      <c r="A8658" s="3">
        <f t="shared" si="1404"/>
        <v>46176</v>
      </c>
      <c r="B8658" s="11" t="s">
        <v>9014</v>
      </c>
      <c r="C8658" s="50" t="s">
        <v>9090</v>
      </c>
      <c r="D8658" s="153"/>
      <c r="E8658" s="90" t="s">
        <v>4720</v>
      </c>
      <c r="H8658" s="166">
        <v>10000</v>
      </c>
      <c r="I8658" s="88">
        <f t="shared" si="1402"/>
        <v>681.52999999999884</v>
      </c>
      <c r="K8658" s="62"/>
      <c r="L8658" s="2">
        <f t="shared" si="1403"/>
        <v>20</v>
      </c>
    </row>
    <row r="8659" spans="1:12" x14ac:dyDescent="0.3">
      <c r="A8659" s="3">
        <f t="shared" si="1404"/>
        <v>46176</v>
      </c>
      <c r="B8659" s="11" t="s">
        <v>1160</v>
      </c>
      <c r="C8659" s="50" t="s">
        <v>8565</v>
      </c>
      <c r="D8659" s="153"/>
      <c r="E8659" s="90" t="s">
        <v>4720</v>
      </c>
      <c r="G8659" s="2">
        <v>3000</v>
      </c>
      <c r="H8659" s="166"/>
      <c r="I8659" s="88">
        <f t="shared" si="1402"/>
        <v>3681.5299999999988</v>
      </c>
      <c r="K8659" s="62"/>
      <c r="L8659" s="2">
        <f t="shared" si="1403"/>
        <v>12</v>
      </c>
    </row>
    <row r="8660" spans="1:12" x14ac:dyDescent="0.3">
      <c r="A8660" s="3">
        <v>46177</v>
      </c>
      <c r="B8660" s="11" t="s">
        <v>1250</v>
      </c>
      <c r="C8660" s="50" t="s">
        <v>4207</v>
      </c>
      <c r="D8660" s="153"/>
      <c r="E8660" s="90" t="s">
        <v>4720</v>
      </c>
      <c r="G8660" s="2">
        <v>3000</v>
      </c>
      <c r="H8660" s="166"/>
      <c r="I8660" s="88">
        <f t="shared" si="1402"/>
        <v>6681.5299999999988</v>
      </c>
      <c r="K8660" s="62"/>
      <c r="L8660" s="2">
        <f t="shared" si="1403"/>
        <v>12</v>
      </c>
    </row>
    <row r="8661" spans="1:12" x14ac:dyDescent="0.3">
      <c r="A8661" s="3">
        <f t="shared" si="1404"/>
        <v>46177</v>
      </c>
      <c r="B8661" s="11" t="s">
        <v>9741</v>
      </c>
      <c r="C8661" s="50" t="s">
        <v>754</v>
      </c>
      <c r="D8661" s="153"/>
      <c r="E8661" s="90" t="s">
        <v>2088</v>
      </c>
      <c r="G8661" s="2">
        <v>3000</v>
      </c>
      <c r="H8661" s="166"/>
      <c r="I8661" s="88">
        <f t="shared" si="1402"/>
        <v>9681.5299999999988</v>
      </c>
      <c r="K8661" s="62"/>
      <c r="L8661" s="2">
        <f t="shared" si="1403"/>
        <v>17</v>
      </c>
    </row>
    <row r="8662" spans="1:12" x14ac:dyDescent="0.3">
      <c r="A8662" s="3">
        <f t="shared" si="1404"/>
        <v>46177</v>
      </c>
      <c r="B8662" s="11" t="s">
        <v>6854</v>
      </c>
      <c r="C8662" s="50" t="s">
        <v>6858</v>
      </c>
      <c r="D8662" s="153"/>
      <c r="E8662" s="90" t="s">
        <v>2088</v>
      </c>
      <c r="G8662" s="2">
        <v>0</v>
      </c>
      <c r="H8662" s="166">
        <v>0</v>
      </c>
      <c r="I8662" s="88">
        <f t="shared" si="1402"/>
        <v>9681.5299999999988</v>
      </c>
      <c r="K8662" s="62"/>
      <c r="L8662" s="2">
        <f t="shared" si="1403"/>
        <v>5</v>
      </c>
    </row>
    <row r="8663" spans="1:12" x14ac:dyDescent="0.3">
      <c r="A8663" s="3">
        <f t="shared" si="1404"/>
        <v>46177</v>
      </c>
      <c r="B8663" s="11" t="s">
        <v>8465</v>
      </c>
      <c r="C8663" s="50" t="s">
        <v>9096</v>
      </c>
      <c r="D8663" s="153"/>
      <c r="E8663" s="90" t="s">
        <v>2088</v>
      </c>
      <c r="G8663" s="2">
        <v>1000</v>
      </c>
      <c r="H8663" s="166"/>
      <c r="I8663" s="88">
        <f t="shared" si="1402"/>
        <v>10681.529999999999</v>
      </c>
      <c r="K8663" s="62"/>
      <c r="L8663" s="2">
        <f t="shared" si="1403"/>
        <v>9</v>
      </c>
    </row>
    <row r="8664" spans="1:12" x14ac:dyDescent="0.3">
      <c r="A8664" s="3">
        <f t="shared" si="1404"/>
        <v>46177</v>
      </c>
      <c r="B8664" s="11" t="s">
        <v>4652</v>
      </c>
      <c r="C8664" s="50" t="s">
        <v>4658</v>
      </c>
      <c r="D8664" s="153"/>
      <c r="E8664" s="90" t="s">
        <v>2088</v>
      </c>
      <c r="H8664" s="166">
        <v>500</v>
      </c>
      <c r="I8664" s="88">
        <f t="shared" si="1402"/>
        <v>10181.529999999999</v>
      </c>
      <c r="K8664" s="62"/>
      <c r="L8664" s="2">
        <f t="shared" si="1403"/>
        <v>7</v>
      </c>
    </row>
    <row r="8665" spans="1:12" x14ac:dyDescent="0.3">
      <c r="A8665" s="3">
        <f t="shared" si="1404"/>
        <v>46177</v>
      </c>
      <c r="B8665" s="11" t="s">
        <v>9351</v>
      </c>
      <c r="C8665" s="50" t="s">
        <v>10670</v>
      </c>
      <c r="D8665" s="153"/>
      <c r="E8665" s="90" t="s">
        <v>2088</v>
      </c>
      <c r="G8665" s="2">
        <v>1000</v>
      </c>
      <c r="H8665" s="166"/>
      <c r="I8665" s="88">
        <f t="shared" si="1402"/>
        <v>11181.529999999999</v>
      </c>
      <c r="K8665" s="62"/>
      <c r="L8665" s="2">
        <f t="shared" si="1403"/>
        <v>9</v>
      </c>
    </row>
    <row r="8666" spans="1:12" x14ac:dyDescent="0.3">
      <c r="A8666" s="3">
        <f t="shared" si="1404"/>
        <v>46177</v>
      </c>
      <c r="B8666" s="11" t="s">
        <v>7800</v>
      </c>
      <c r="C8666" s="50" t="s">
        <v>7284</v>
      </c>
      <c r="D8666" s="153"/>
      <c r="E8666" s="90" t="s">
        <v>4720</v>
      </c>
      <c r="G8666" s="2">
        <v>600</v>
      </c>
      <c r="H8666" s="166"/>
      <c r="I8666" s="88">
        <f t="shared" si="1402"/>
        <v>11781.529999999999</v>
      </c>
      <c r="K8666" s="62"/>
      <c r="L8666" s="2">
        <f t="shared" si="1403"/>
        <v>2.4</v>
      </c>
    </row>
    <row r="8667" spans="1:12" x14ac:dyDescent="0.3">
      <c r="A8667" s="3">
        <f t="shared" si="1404"/>
        <v>46177</v>
      </c>
      <c r="B8667" s="11" t="s">
        <v>7120</v>
      </c>
      <c r="C8667" s="50" t="s">
        <v>2857</v>
      </c>
      <c r="D8667" s="153"/>
      <c r="E8667" s="90" t="s">
        <v>8332</v>
      </c>
      <c r="H8667" s="166">
        <v>11000</v>
      </c>
      <c r="I8667" s="88">
        <f t="shared" ref="I8667:I8680" si="1405">I8666+G8667-H8667</f>
        <v>781.52999999999884</v>
      </c>
      <c r="K8667" s="62"/>
      <c r="L8667" s="2">
        <f t="shared" ref="L8667:L8680" si="1406">IF(E8667="C",0,IF((G8667+H8667)&lt;=5000,(G8667+H8667)*0.004,20)+IF(E8667="P",5,IF(E8667="Y",15,IF(E8667="YY",25))))</f>
        <v>0</v>
      </c>
    </row>
    <row r="8668" spans="1:12" x14ac:dyDescent="0.3">
      <c r="A8668" s="3">
        <f t="shared" si="1404"/>
        <v>46177</v>
      </c>
      <c r="B8668" s="11" t="s">
        <v>8052</v>
      </c>
      <c r="C8668" s="50" t="s">
        <v>4867</v>
      </c>
      <c r="D8668" s="153"/>
      <c r="E8668" s="90" t="s">
        <v>2088</v>
      </c>
      <c r="G8668" s="2">
        <v>5000</v>
      </c>
      <c r="H8668" s="166"/>
      <c r="I8668" s="88">
        <f t="shared" si="1405"/>
        <v>5781.5299999999988</v>
      </c>
      <c r="K8668" s="62"/>
      <c r="L8668" s="2">
        <f t="shared" si="1406"/>
        <v>25</v>
      </c>
    </row>
    <row r="8669" spans="1:12" x14ac:dyDescent="0.3">
      <c r="A8669" s="3">
        <f t="shared" si="1404"/>
        <v>46177</v>
      </c>
      <c r="B8669" s="11" t="s">
        <v>2634</v>
      </c>
      <c r="C8669" s="50" t="s">
        <v>3251</v>
      </c>
      <c r="D8669" s="153"/>
      <c r="E8669" s="90" t="s">
        <v>4720</v>
      </c>
      <c r="H8669" s="166">
        <v>4000</v>
      </c>
      <c r="I8669" s="88">
        <f t="shared" si="1405"/>
        <v>1781.5299999999988</v>
      </c>
      <c r="K8669" s="62"/>
      <c r="L8669" s="2">
        <f t="shared" si="1406"/>
        <v>16</v>
      </c>
    </row>
    <row r="8670" spans="1:12" x14ac:dyDescent="0.3">
      <c r="A8670" s="3">
        <f t="shared" si="1404"/>
        <v>46177</v>
      </c>
      <c r="B8670" s="11" t="s">
        <v>1250</v>
      </c>
      <c r="C8670" s="50" t="s">
        <v>2734</v>
      </c>
      <c r="D8670" s="153"/>
      <c r="E8670" s="90" t="s">
        <v>4720</v>
      </c>
      <c r="G8670" s="2">
        <v>1000</v>
      </c>
      <c r="H8670" s="166"/>
      <c r="I8670" s="88">
        <f t="shared" si="1405"/>
        <v>2781.5299999999988</v>
      </c>
      <c r="K8670" s="62"/>
      <c r="L8670" s="2">
        <f t="shared" si="1406"/>
        <v>4</v>
      </c>
    </row>
    <row r="8671" spans="1:12" x14ac:dyDescent="0.3">
      <c r="A8671" s="3">
        <v>46178</v>
      </c>
      <c r="B8671" s="11" t="s">
        <v>10674</v>
      </c>
      <c r="C8671" s="50" t="s">
        <v>10675</v>
      </c>
      <c r="D8671" s="153"/>
      <c r="E8671" s="90" t="s">
        <v>4720</v>
      </c>
      <c r="G8671" s="2">
        <v>3000</v>
      </c>
      <c r="H8671" s="166"/>
      <c r="I8671" s="88">
        <f t="shared" si="1405"/>
        <v>5781.5299999999988</v>
      </c>
      <c r="K8671" s="62"/>
      <c r="L8671" s="2">
        <f t="shared" si="1406"/>
        <v>12</v>
      </c>
    </row>
    <row r="8672" spans="1:12" x14ac:dyDescent="0.3">
      <c r="A8672" s="3">
        <f t="shared" si="1404"/>
        <v>46178</v>
      </c>
      <c r="B8672" s="11" t="s">
        <v>1250</v>
      </c>
      <c r="C8672" s="50" t="s">
        <v>10676</v>
      </c>
      <c r="D8672" s="153"/>
      <c r="E8672" s="90" t="s">
        <v>4720</v>
      </c>
      <c r="G8672" s="2">
        <v>6000</v>
      </c>
      <c r="H8672" s="166"/>
      <c r="I8672" s="88">
        <f t="shared" si="1405"/>
        <v>11781.529999999999</v>
      </c>
      <c r="K8672" s="62"/>
      <c r="L8672" s="2">
        <f t="shared" si="1406"/>
        <v>20</v>
      </c>
    </row>
    <row r="8673" spans="1:12" x14ac:dyDescent="0.3">
      <c r="A8673" s="3">
        <f t="shared" si="1404"/>
        <v>46178</v>
      </c>
      <c r="B8673" s="11" t="s">
        <v>2634</v>
      </c>
      <c r="C8673" s="50" t="s">
        <v>3251</v>
      </c>
      <c r="D8673" s="153"/>
      <c r="E8673" s="90" t="s">
        <v>4720</v>
      </c>
      <c r="H8673" s="166">
        <v>5000</v>
      </c>
      <c r="I8673" s="88">
        <f t="shared" si="1405"/>
        <v>6781.5299999999988</v>
      </c>
      <c r="K8673" s="62"/>
      <c r="L8673" s="2">
        <f t="shared" si="1406"/>
        <v>20</v>
      </c>
    </row>
    <row r="8674" spans="1:12" x14ac:dyDescent="0.3">
      <c r="A8674" s="3">
        <f t="shared" si="1404"/>
        <v>46178</v>
      </c>
      <c r="B8674" s="11" t="s">
        <v>10678</v>
      </c>
      <c r="C8674" s="7" t="s">
        <v>10679</v>
      </c>
      <c r="D8674" s="7"/>
      <c r="E8674" s="90" t="s">
        <v>16</v>
      </c>
      <c r="H8674" s="166">
        <v>500</v>
      </c>
      <c r="I8674" s="88">
        <f t="shared" si="1405"/>
        <v>6281.5299999999988</v>
      </c>
      <c r="K8674" s="62"/>
      <c r="L8674" s="2">
        <f t="shared" si="1406"/>
        <v>17</v>
      </c>
    </row>
    <row r="8675" spans="1:12" x14ac:dyDescent="0.3">
      <c r="A8675" s="3">
        <f t="shared" si="1404"/>
        <v>46178</v>
      </c>
      <c r="B8675" s="11" t="s">
        <v>1250</v>
      </c>
      <c r="C8675" s="50" t="s">
        <v>2348</v>
      </c>
      <c r="D8675" s="153"/>
      <c r="E8675" s="90" t="s">
        <v>4720</v>
      </c>
      <c r="G8675" s="2">
        <v>3000</v>
      </c>
      <c r="H8675" s="166"/>
      <c r="I8675" s="88">
        <f t="shared" si="1405"/>
        <v>9281.5299999999988</v>
      </c>
      <c r="K8675" s="62"/>
      <c r="L8675" s="2">
        <f t="shared" si="1406"/>
        <v>12</v>
      </c>
    </row>
    <row r="8676" spans="1:12" x14ac:dyDescent="0.3">
      <c r="A8676" s="3">
        <f t="shared" si="1404"/>
        <v>46178</v>
      </c>
      <c r="B8676" s="11" t="s">
        <v>10682</v>
      </c>
      <c r="C8676" s="50" t="s">
        <v>10683</v>
      </c>
      <c r="D8676" s="153"/>
      <c r="E8676" s="90" t="s">
        <v>2088</v>
      </c>
      <c r="H8676" s="166">
        <v>500</v>
      </c>
      <c r="I8676" s="88">
        <f t="shared" si="1405"/>
        <v>8781.5299999999988</v>
      </c>
      <c r="K8676" s="62"/>
      <c r="L8676" s="2">
        <f t="shared" si="1406"/>
        <v>7</v>
      </c>
    </row>
    <row r="8677" spans="1:12" x14ac:dyDescent="0.3">
      <c r="A8677" s="3">
        <f t="shared" si="1404"/>
        <v>46178</v>
      </c>
      <c r="B8677" s="11" t="s">
        <v>2490</v>
      </c>
      <c r="C8677" s="50" t="s">
        <v>2362</v>
      </c>
      <c r="D8677" s="153"/>
      <c r="E8677" s="90" t="s">
        <v>8332</v>
      </c>
      <c r="H8677" s="166">
        <v>8000</v>
      </c>
      <c r="I8677" s="88">
        <f t="shared" si="1405"/>
        <v>781.52999999999884</v>
      </c>
      <c r="K8677" s="62"/>
      <c r="L8677" s="2">
        <f t="shared" si="1406"/>
        <v>0</v>
      </c>
    </row>
    <row r="8678" spans="1:12" x14ac:dyDescent="0.3">
      <c r="A8678" s="3">
        <f t="shared" si="1404"/>
        <v>46178</v>
      </c>
      <c r="B8678" s="11" t="s">
        <v>10367</v>
      </c>
      <c r="C8678" s="50" t="s">
        <v>10368</v>
      </c>
      <c r="D8678" s="153"/>
      <c r="E8678" s="90" t="s">
        <v>2088</v>
      </c>
      <c r="G8678" s="2">
        <v>2000</v>
      </c>
      <c r="H8678" s="166"/>
      <c r="I8678" s="88">
        <f t="shared" si="1405"/>
        <v>2781.5299999999988</v>
      </c>
      <c r="K8678" s="62"/>
      <c r="L8678" s="2">
        <f t="shared" si="1406"/>
        <v>13</v>
      </c>
    </row>
    <row r="8679" spans="1:12" x14ac:dyDescent="0.3">
      <c r="A8679" s="3">
        <f t="shared" si="1404"/>
        <v>46178</v>
      </c>
      <c r="B8679" s="11" t="s">
        <v>4622</v>
      </c>
      <c r="C8679" s="50" t="s">
        <v>8340</v>
      </c>
      <c r="D8679" s="153"/>
      <c r="E8679" s="90" t="s">
        <v>2088</v>
      </c>
      <c r="G8679" s="2">
        <v>0</v>
      </c>
      <c r="H8679" s="166">
        <v>0</v>
      </c>
      <c r="I8679" s="88">
        <f t="shared" si="1405"/>
        <v>2781.5299999999988</v>
      </c>
      <c r="K8679" s="62"/>
      <c r="L8679" s="2">
        <f t="shared" si="1406"/>
        <v>5</v>
      </c>
    </row>
    <row r="8680" spans="1:12" x14ac:dyDescent="0.3">
      <c r="A8680" s="3">
        <f t="shared" si="1404"/>
        <v>46178</v>
      </c>
      <c r="B8680" s="11" t="s">
        <v>4622</v>
      </c>
      <c r="C8680" s="50" t="s">
        <v>8340</v>
      </c>
      <c r="D8680" s="153"/>
      <c r="E8680" s="90" t="s">
        <v>2088</v>
      </c>
      <c r="G8680" s="2">
        <v>5000</v>
      </c>
      <c r="H8680" s="166"/>
      <c r="I8680" s="88">
        <f t="shared" si="1405"/>
        <v>7781.5299999999988</v>
      </c>
      <c r="K8680" s="62"/>
      <c r="L8680" s="2">
        <f t="shared" si="1406"/>
        <v>25</v>
      </c>
    </row>
    <row r="8681" spans="1:12" x14ac:dyDescent="0.3">
      <c r="A8681" s="3">
        <f t="shared" si="1404"/>
        <v>46178</v>
      </c>
      <c r="B8681" s="11" t="s">
        <v>10660</v>
      </c>
      <c r="C8681" s="50" t="s">
        <v>10684</v>
      </c>
      <c r="D8681" s="153"/>
      <c r="E8681" s="90" t="s">
        <v>2088</v>
      </c>
      <c r="G8681" s="2">
        <v>0</v>
      </c>
      <c r="H8681" s="166">
        <v>0</v>
      </c>
      <c r="I8681" s="88">
        <f t="shared" ref="I8681:I8691" si="1407">I8680+G8681-H8681</f>
        <v>7781.5299999999988</v>
      </c>
      <c r="K8681" s="62"/>
      <c r="L8681" s="2">
        <f t="shared" ref="L8681:L8691" si="1408">IF(E8681="C",0,IF((G8681+H8681)&lt;=5000,(G8681+H8681)*0.004,20)+IF(E8681="P",5,IF(E8681="Y",15,IF(E8681="YY",25))))</f>
        <v>5</v>
      </c>
    </row>
    <row r="8682" spans="1:12" x14ac:dyDescent="0.3">
      <c r="A8682" s="3">
        <f t="shared" si="1404"/>
        <v>46178</v>
      </c>
      <c r="B8682" s="11" t="s">
        <v>10671</v>
      </c>
      <c r="C8682" s="7" t="s">
        <v>3960</v>
      </c>
      <c r="D8682" s="153"/>
      <c r="E8682" s="90" t="s">
        <v>2088</v>
      </c>
      <c r="G8682" s="2">
        <v>0</v>
      </c>
      <c r="H8682" s="166">
        <v>0</v>
      </c>
      <c r="I8682" s="88">
        <f t="shared" si="1407"/>
        <v>7781.5299999999988</v>
      </c>
      <c r="K8682" s="62"/>
      <c r="L8682" s="2">
        <f t="shared" si="1408"/>
        <v>5</v>
      </c>
    </row>
    <row r="8683" spans="1:12" x14ac:dyDescent="0.3">
      <c r="A8683" s="3">
        <f t="shared" si="1404"/>
        <v>46178</v>
      </c>
      <c r="B8683" s="11" t="s">
        <v>10671</v>
      </c>
      <c r="C8683" s="7" t="s">
        <v>3960</v>
      </c>
      <c r="D8683" s="153"/>
      <c r="E8683" s="90" t="s">
        <v>2088</v>
      </c>
      <c r="H8683" s="166">
        <v>50</v>
      </c>
      <c r="I8683" s="88">
        <f t="shared" si="1407"/>
        <v>7731.5299999999988</v>
      </c>
      <c r="K8683" s="62"/>
      <c r="L8683" s="2">
        <f t="shared" si="1408"/>
        <v>5.2</v>
      </c>
    </row>
    <row r="8684" spans="1:12" x14ac:dyDescent="0.3">
      <c r="A8684" s="3">
        <v>46179</v>
      </c>
      <c r="B8684" s="11" t="s">
        <v>10678</v>
      </c>
      <c r="C8684" s="7" t="s">
        <v>10679</v>
      </c>
      <c r="D8684" s="153"/>
      <c r="E8684" s="90" t="s">
        <v>2088</v>
      </c>
      <c r="G8684" s="2">
        <v>0</v>
      </c>
      <c r="H8684" s="166">
        <v>0</v>
      </c>
      <c r="I8684" s="88">
        <f t="shared" si="1407"/>
        <v>7731.5299999999988</v>
      </c>
      <c r="K8684" s="62"/>
      <c r="L8684" s="2">
        <f t="shared" si="1408"/>
        <v>5</v>
      </c>
    </row>
    <row r="8685" spans="1:12" x14ac:dyDescent="0.3">
      <c r="A8685" s="3">
        <f t="shared" si="1404"/>
        <v>46179</v>
      </c>
      <c r="B8685" s="11" t="s">
        <v>10694</v>
      </c>
      <c r="C8685" s="7" t="s">
        <v>10693</v>
      </c>
      <c r="D8685" s="153"/>
      <c r="E8685" s="90" t="s">
        <v>16</v>
      </c>
      <c r="H8685" s="166">
        <v>2000</v>
      </c>
      <c r="I8685" s="88">
        <f t="shared" si="1407"/>
        <v>5731.5299999999988</v>
      </c>
      <c r="K8685" s="62"/>
      <c r="L8685" s="2">
        <f t="shared" si="1408"/>
        <v>23</v>
      </c>
    </row>
    <row r="8686" spans="1:12" x14ac:dyDescent="0.3">
      <c r="A8686" s="3">
        <f t="shared" si="1404"/>
        <v>46179</v>
      </c>
      <c r="B8686" s="11" t="s">
        <v>2241</v>
      </c>
      <c r="C8686" s="50" t="s">
        <v>10695</v>
      </c>
      <c r="D8686" s="153"/>
      <c r="E8686" s="90" t="s">
        <v>4720</v>
      </c>
      <c r="G8686" s="2">
        <v>2000</v>
      </c>
      <c r="H8686" s="166"/>
      <c r="I8686" s="88">
        <f t="shared" si="1407"/>
        <v>7731.5299999999988</v>
      </c>
      <c r="K8686" s="62"/>
      <c r="L8686" s="2">
        <f t="shared" si="1408"/>
        <v>8</v>
      </c>
    </row>
    <row r="8687" spans="1:12" x14ac:dyDescent="0.3">
      <c r="A8687" s="3">
        <v>46181</v>
      </c>
      <c r="B8687" s="11" t="s">
        <v>10697</v>
      </c>
      <c r="C8687" s="7" t="s">
        <v>10698</v>
      </c>
      <c r="D8687" s="153"/>
      <c r="E8687" s="90" t="s">
        <v>14</v>
      </c>
      <c r="H8687" s="166">
        <v>1000</v>
      </c>
      <c r="I8687" s="88">
        <f t="shared" si="1407"/>
        <v>6731.5299999999988</v>
      </c>
      <c r="K8687" s="62"/>
      <c r="L8687" s="2">
        <f t="shared" si="1408"/>
        <v>19</v>
      </c>
    </row>
    <row r="8688" spans="1:12" x14ac:dyDescent="0.3">
      <c r="A8688" s="3">
        <f t="shared" si="1404"/>
        <v>46181</v>
      </c>
      <c r="B8688" s="11" t="s">
        <v>8052</v>
      </c>
      <c r="C8688" s="50" t="s">
        <v>4867</v>
      </c>
      <c r="D8688" s="153"/>
      <c r="E8688" s="90" t="s">
        <v>2088</v>
      </c>
      <c r="G8688" s="2">
        <v>5000</v>
      </c>
      <c r="H8688" s="166"/>
      <c r="I8688" s="88">
        <f t="shared" si="1407"/>
        <v>11731.529999999999</v>
      </c>
      <c r="K8688" s="62"/>
      <c r="L8688" s="2">
        <f t="shared" si="1408"/>
        <v>25</v>
      </c>
    </row>
    <row r="8689" spans="1:12" x14ac:dyDescent="0.3">
      <c r="A8689" s="3">
        <f t="shared" si="1404"/>
        <v>46181</v>
      </c>
      <c r="B8689" s="11" t="s">
        <v>10707</v>
      </c>
      <c r="C8689" s="7" t="s">
        <v>10703</v>
      </c>
      <c r="D8689" s="153"/>
      <c r="E8689" s="90" t="s">
        <v>14</v>
      </c>
      <c r="H8689" s="166">
        <v>5000</v>
      </c>
      <c r="I8689" s="88">
        <f t="shared" si="1407"/>
        <v>6731.5299999999988</v>
      </c>
      <c r="K8689" s="62"/>
      <c r="L8689" s="2">
        <f t="shared" si="1408"/>
        <v>35</v>
      </c>
    </row>
    <row r="8690" spans="1:12" x14ac:dyDescent="0.3">
      <c r="A8690" s="3">
        <v>46182</v>
      </c>
      <c r="B8690" s="11" t="s">
        <v>9014</v>
      </c>
      <c r="C8690" s="50" t="s">
        <v>9090</v>
      </c>
      <c r="D8690" s="153"/>
      <c r="E8690" s="90" t="s">
        <v>4720</v>
      </c>
      <c r="H8690" s="166">
        <v>6500</v>
      </c>
      <c r="I8690" s="88">
        <f t="shared" si="1407"/>
        <v>231.52999999999884</v>
      </c>
      <c r="K8690" s="62"/>
      <c r="L8690" s="2">
        <f t="shared" si="1408"/>
        <v>20</v>
      </c>
    </row>
    <row r="8691" spans="1:12" x14ac:dyDescent="0.3">
      <c r="A8691" s="3">
        <v>46182</v>
      </c>
      <c r="B8691" s="11" t="s">
        <v>3648</v>
      </c>
      <c r="C8691" s="50" t="s">
        <v>10708</v>
      </c>
      <c r="D8691" s="153"/>
      <c r="E8691" s="90" t="s">
        <v>4720</v>
      </c>
      <c r="G8691" s="2">
        <v>1500</v>
      </c>
      <c r="H8691" s="166"/>
      <c r="I8691" s="88">
        <f t="shared" si="1407"/>
        <v>1731.5299999999988</v>
      </c>
      <c r="K8691" s="62"/>
      <c r="L8691" s="2">
        <f t="shared" si="1408"/>
        <v>6</v>
      </c>
    </row>
    <row r="8692" spans="1:12" x14ac:dyDescent="0.3">
      <c r="A8692" s="3">
        <v>46182</v>
      </c>
      <c r="B8692" s="11" t="s">
        <v>1250</v>
      </c>
      <c r="C8692" s="50" t="s">
        <v>4437</v>
      </c>
      <c r="D8692" s="153"/>
      <c r="E8692" s="90" t="s">
        <v>4720</v>
      </c>
      <c r="G8692" s="2">
        <v>900</v>
      </c>
      <c r="H8692" s="166"/>
      <c r="I8692" s="88">
        <f t="shared" ref="I8692:I8700" si="1409">I8691+G8692-H8692</f>
        <v>2631.5299999999988</v>
      </c>
      <c r="K8692" s="62"/>
      <c r="L8692" s="2">
        <f t="shared" ref="L8692:L8700" si="1410">IF(E8692="C",0,IF((G8692+H8692)&lt;=5000,(G8692+H8692)*0.004,20)+IF(E8692="P",5,IF(E8692="Y",15,IF(E8692="YY",25))))</f>
        <v>3.6</v>
      </c>
    </row>
    <row r="8693" spans="1:12" x14ac:dyDescent="0.3">
      <c r="A8693" s="3">
        <v>46182</v>
      </c>
      <c r="B8693" s="11" t="s">
        <v>10711</v>
      </c>
      <c r="C8693" s="7" t="s">
        <v>10710</v>
      </c>
      <c r="D8693" s="153"/>
      <c r="E8693" s="90" t="s">
        <v>16</v>
      </c>
      <c r="H8693" s="166">
        <v>2000</v>
      </c>
      <c r="I8693" s="88">
        <f t="shared" si="1409"/>
        <v>631.52999999999884</v>
      </c>
      <c r="K8693" s="62"/>
      <c r="L8693" s="2">
        <f t="shared" si="1410"/>
        <v>23</v>
      </c>
    </row>
    <row r="8694" spans="1:12" x14ac:dyDescent="0.3">
      <c r="A8694" s="3">
        <v>46182</v>
      </c>
      <c r="D8694" s="153"/>
      <c r="E8694" s="90" t="s">
        <v>16</v>
      </c>
      <c r="H8694" s="166">
        <v>500</v>
      </c>
      <c r="I8694" s="88">
        <f t="shared" si="1409"/>
        <v>131.52999999999884</v>
      </c>
      <c r="K8694" s="62"/>
      <c r="L8694" s="2">
        <f t="shared" si="1410"/>
        <v>17</v>
      </c>
    </row>
    <row r="8695" spans="1:12" x14ac:dyDescent="0.3">
      <c r="A8695" s="3">
        <v>46183</v>
      </c>
      <c r="B8695" s="11" t="s">
        <v>1250</v>
      </c>
      <c r="C8695" s="50" t="s">
        <v>2626</v>
      </c>
      <c r="D8695" s="153"/>
      <c r="E8695" s="90" t="s">
        <v>4720</v>
      </c>
      <c r="G8695" s="2">
        <v>3000</v>
      </c>
      <c r="H8695" s="166"/>
      <c r="I8695" s="88">
        <f t="shared" si="1409"/>
        <v>3131.5299999999988</v>
      </c>
      <c r="K8695" s="62"/>
      <c r="L8695" s="2">
        <f t="shared" si="1410"/>
        <v>12</v>
      </c>
    </row>
    <row r="8696" spans="1:12" x14ac:dyDescent="0.3">
      <c r="A8696" s="3">
        <v>46183</v>
      </c>
      <c r="B8696" s="11" t="s">
        <v>10694</v>
      </c>
      <c r="C8696" s="50" t="s">
        <v>10712</v>
      </c>
      <c r="D8696" s="153"/>
      <c r="E8696" s="90" t="s">
        <v>2088</v>
      </c>
      <c r="G8696" s="2">
        <v>500</v>
      </c>
      <c r="H8696" s="166"/>
      <c r="I8696" s="88">
        <f t="shared" si="1409"/>
        <v>3631.5299999999988</v>
      </c>
      <c r="K8696" s="62"/>
      <c r="L8696" s="2">
        <f t="shared" si="1410"/>
        <v>7</v>
      </c>
    </row>
    <row r="8697" spans="1:12" x14ac:dyDescent="0.3">
      <c r="A8697" s="3">
        <f>A8696</f>
        <v>46183</v>
      </c>
      <c r="B8697" s="11" t="s">
        <v>1160</v>
      </c>
      <c r="C8697" s="50" t="s">
        <v>10713</v>
      </c>
      <c r="D8697" s="153" t="s">
        <v>10714</v>
      </c>
      <c r="E8697" s="90" t="s">
        <v>4720</v>
      </c>
      <c r="G8697" s="2">
        <v>10000</v>
      </c>
      <c r="H8697" s="166"/>
      <c r="I8697" s="88">
        <f t="shared" si="1409"/>
        <v>13631.529999999999</v>
      </c>
      <c r="K8697" s="62"/>
      <c r="L8697" s="2">
        <f t="shared" si="1410"/>
        <v>20</v>
      </c>
    </row>
    <row r="8698" spans="1:12" x14ac:dyDescent="0.3">
      <c r="A8698" s="3">
        <f t="shared" ref="A8698:A8761" si="1411">A8697</f>
        <v>46183</v>
      </c>
      <c r="B8698" s="11" t="s">
        <v>1250</v>
      </c>
      <c r="C8698" s="50" t="s">
        <v>2348</v>
      </c>
      <c r="D8698" s="153"/>
      <c r="E8698" s="90" t="s">
        <v>4720</v>
      </c>
      <c r="G8698" s="2">
        <v>3000</v>
      </c>
      <c r="H8698" s="166"/>
      <c r="I8698" s="88">
        <f t="shared" si="1409"/>
        <v>16631.53</v>
      </c>
      <c r="K8698" s="62"/>
      <c r="L8698" s="2">
        <f t="shared" si="1410"/>
        <v>12</v>
      </c>
    </row>
    <row r="8699" spans="1:12" x14ac:dyDescent="0.3">
      <c r="A8699" s="3">
        <f t="shared" si="1411"/>
        <v>46183</v>
      </c>
      <c r="B8699" s="11" t="s">
        <v>2490</v>
      </c>
      <c r="C8699" s="50" t="s">
        <v>2362</v>
      </c>
      <c r="D8699" s="153"/>
      <c r="E8699" s="90" t="s">
        <v>4720</v>
      </c>
      <c r="H8699" s="166">
        <v>14000</v>
      </c>
      <c r="I8699" s="88">
        <f t="shared" si="1409"/>
        <v>2631.5299999999988</v>
      </c>
      <c r="K8699" s="62"/>
      <c r="L8699" s="2">
        <f t="shared" si="1410"/>
        <v>20</v>
      </c>
    </row>
    <row r="8700" spans="1:12" x14ac:dyDescent="0.3">
      <c r="A8700" s="3">
        <f t="shared" si="1411"/>
        <v>46183</v>
      </c>
      <c r="B8700" s="11" t="s">
        <v>1250</v>
      </c>
      <c r="C8700" s="50" t="s">
        <v>10715</v>
      </c>
      <c r="D8700" s="153"/>
      <c r="E8700" s="90" t="s">
        <v>4720</v>
      </c>
      <c r="G8700" s="2">
        <v>2200</v>
      </c>
      <c r="H8700" s="166"/>
      <c r="I8700" s="88">
        <f t="shared" si="1409"/>
        <v>4831.5299999999988</v>
      </c>
      <c r="K8700" s="62"/>
      <c r="L8700" s="2">
        <f t="shared" si="1410"/>
        <v>8.8000000000000007</v>
      </c>
    </row>
    <row r="8701" spans="1:12" x14ac:dyDescent="0.3">
      <c r="A8701" s="3">
        <f t="shared" si="1411"/>
        <v>46183</v>
      </c>
      <c r="B8701" s="11" t="s">
        <v>3148</v>
      </c>
      <c r="C8701" s="50" t="s">
        <v>10716</v>
      </c>
      <c r="D8701" s="153"/>
      <c r="E8701" s="90" t="s">
        <v>4720</v>
      </c>
      <c r="G8701" s="2">
        <v>2200</v>
      </c>
      <c r="H8701" s="166"/>
      <c r="I8701" s="88">
        <f t="shared" ref="I8701:I8730" si="1412">I8700+G8701-H8701</f>
        <v>7031.5299999999988</v>
      </c>
      <c r="K8701" s="62"/>
      <c r="L8701" s="2">
        <f t="shared" ref="L8701:L8730" si="1413">IF(E8701="C",0,IF((G8701+H8701)&lt;=5000,(G8701+H8701)*0.004,20)+IF(E8701="P",5,IF(E8701="Y",15,IF(E8701="YY",25))))</f>
        <v>8.8000000000000007</v>
      </c>
    </row>
    <row r="8702" spans="1:12" x14ac:dyDescent="0.3">
      <c r="A8702" s="3">
        <f t="shared" si="1411"/>
        <v>46183</v>
      </c>
      <c r="B8702" s="11" t="s">
        <v>10718</v>
      </c>
      <c r="C8702" s="50" t="s">
        <v>10719</v>
      </c>
      <c r="D8702" s="153"/>
      <c r="E8702" s="90" t="s">
        <v>14</v>
      </c>
      <c r="H8702" s="166">
        <v>500</v>
      </c>
      <c r="I8702" s="88">
        <f t="shared" si="1412"/>
        <v>6531.5299999999988</v>
      </c>
      <c r="K8702" s="62"/>
      <c r="L8702" s="2">
        <f t="shared" si="1413"/>
        <v>17</v>
      </c>
    </row>
    <row r="8703" spans="1:12" x14ac:dyDescent="0.3">
      <c r="A8703" s="3">
        <f t="shared" si="1411"/>
        <v>46183</v>
      </c>
      <c r="B8703" s="11" t="s">
        <v>1250</v>
      </c>
      <c r="C8703" s="50" t="s">
        <v>6288</v>
      </c>
      <c r="D8703" s="153"/>
      <c r="E8703" s="90" t="s">
        <v>4720</v>
      </c>
      <c r="G8703" s="2">
        <v>7000</v>
      </c>
      <c r="H8703" s="166"/>
      <c r="I8703" s="88">
        <f t="shared" si="1412"/>
        <v>13531.529999999999</v>
      </c>
      <c r="K8703" s="62"/>
      <c r="L8703" s="2">
        <f t="shared" si="1413"/>
        <v>20</v>
      </c>
    </row>
    <row r="8704" spans="1:12" x14ac:dyDescent="0.3">
      <c r="A8704" s="3">
        <f t="shared" si="1411"/>
        <v>46183</v>
      </c>
      <c r="B8704" s="11" t="s">
        <v>10720</v>
      </c>
      <c r="C8704" s="50" t="s">
        <v>10725</v>
      </c>
      <c r="D8704" s="153"/>
      <c r="E8704" s="90" t="s">
        <v>2088</v>
      </c>
      <c r="G8704" s="2">
        <v>0</v>
      </c>
      <c r="H8704" s="166">
        <v>0</v>
      </c>
      <c r="I8704" s="88">
        <f t="shared" si="1412"/>
        <v>13531.529999999999</v>
      </c>
      <c r="K8704" s="62"/>
      <c r="L8704" s="2">
        <f t="shared" si="1413"/>
        <v>5</v>
      </c>
    </row>
    <row r="8705" spans="1:12" x14ac:dyDescent="0.3">
      <c r="A8705" s="3">
        <v>46184</v>
      </c>
      <c r="B8705" s="11" t="s">
        <v>10707</v>
      </c>
      <c r="C8705" s="50" t="s">
        <v>10703</v>
      </c>
      <c r="D8705" s="153"/>
      <c r="E8705" s="90" t="s">
        <v>2088</v>
      </c>
      <c r="G8705" s="2">
        <v>0</v>
      </c>
      <c r="H8705" s="166">
        <v>0</v>
      </c>
      <c r="I8705" s="88">
        <f t="shared" si="1412"/>
        <v>13531.529999999999</v>
      </c>
      <c r="K8705" s="62"/>
      <c r="L8705" s="2">
        <f t="shared" si="1413"/>
        <v>5</v>
      </c>
    </row>
    <row r="8706" spans="1:12" x14ac:dyDescent="0.3">
      <c r="A8706" s="3">
        <f t="shared" si="1411"/>
        <v>46184</v>
      </c>
      <c r="B8706" s="11" t="s">
        <v>6260</v>
      </c>
      <c r="C8706" s="50" t="s">
        <v>7117</v>
      </c>
      <c r="D8706" s="153"/>
      <c r="E8706" s="90" t="s">
        <v>4720</v>
      </c>
      <c r="H8706" s="166">
        <v>9500</v>
      </c>
      <c r="I8706" s="88">
        <f t="shared" si="1412"/>
        <v>4031.5299999999988</v>
      </c>
      <c r="K8706" s="62"/>
      <c r="L8706" s="2">
        <f t="shared" si="1413"/>
        <v>20</v>
      </c>
    </row>
    <row r="8707" spans="1:12" x14ac:dyDescent="0.3">
      <c r="A8707" s="3">
        <f t="shared" si="1411"/>
        <v>46184</v>
      </c>
      <c r="B8707" s="11" t="s">
        <v>10728</v>
      </c>
      <c r="C8707" s="50" t="s">
        <v>10729</v>
      </c>
      <c r="D8707" s="153"/>
      <c r="E8707" s="90" t="s">
        <v>4720</v>
      </c>
      <c r="G8707" s="2">
        <v>2000</v>
      </c>
      <c r="H8707" s="166"/>
      <c r="I8707" s="88">
        <f t="shared" si="1412"/>
        <v>6031.5299999999988</v>
      </c>
      <c r="K8707" s="62"/>
      <c r="L8707" s="2">
        <f t="shared" si="1413"/>
        <v>8</v>
      </c>
    </row>
    <row r="8708" spans="1:12" x14ac:dyDescent="0.3">
      <c r="A8708" s="3">
        <f t="shared" si="1411"/>
        <v>46184</v>
      </c>
      <c r="B8708" s="11" t="s">
        <v>9474</v>
      </c>
      <c r="C8708" s="50" t="s">
        <v>9475</v>
      </c>
      <c r="D8708" s="153"/>
      <c r="E8708" s="90" t="s">
        <v>4720</v>
      </c>
      <c r="H8708" s="166">
        <v>1200</v>
      </c>
      <c r="I8708" s="88">
        <f t="shared" si="1412"/>
        <v>4831.5299999999988</v>
      </c>
      <c r="K8708" s="62"/>
      <c r="L8708" s="2">
        <f t="shared" si="1413"/>
        <v>4.8</v>
      </c>
    </row>
    <row r="8709" spans="1:12" x14ac:dyDescent="0.3">
      <c r="A8709" s="3">
        <f t="shared" si="1411"/>
        <v>46184</v>
      </c>
      <c r="B8709" s="11" t="s">
        <v>10731</v>
      </c>
      <c r="C8709" s="50" t="s">
        <v>10730</v>
      </c>
      <c r="D8709" s="153"/>
      <c r="E8709" s="90" t="s">
        <v>4720</v>
      </c>
      <c r="G8709" s="2">
        <v>6000</v>
      </c>
      <c r="H8709" s="166"/>
      <c r="I8709" s="88">
        <f t="shared" si="1412"/>
        <v>10831.529999999999</v>
      </c>
      <c r="K8709" s="62"/>
      <c r="L8709" s="2">
        <f t="shared" si="1413"/>
        <v>20</v>
      </c>
    </row>
    <row r="8710" spans="1:12" x14ac:dyDescent="0.3">
      <c r="A8710" s="3">
        <f t="shared" si="1411"/>
        <v>46184</v>
      </c>
      <c r="B8710" s="123" t="s">
        <v>10042</v>
      </c>
      <c r="C8710" s="7" t="s">
        <v>10043</v>
      </c>
      <c r="D8710" s="153"/>
      <c r="E8710" s="90" t="s">
        <v>4720</v>
      </c>
      <c r="H8710" s="166">
        <v>4800</v>
      </c>
      <c r="I8710" s="88">
        <f t="shared" si="1412"/>
        <v>6031.5299999999988</v>
      </c>
      <c r="K8710" s="62"/>
      <c r="L8710" s="2">
        <f t="shared" si="1413"/>
        <v>19.2</v>
      </c>
    </row>
    <row r="8711" spans="1:12" x14ac:dyDescent="0.3">
      <c r="A8711" s="3">
        <v>46185</v>
      </c>
      <c r="B8711" s="11" t="s">
        <v>7724</v>
      </c>
      <c r="C8711" s="50" t="s">
        <v>10737</v>
      </c>
      <c r="D8711" s="153"/>
      <c r="E8711" s="90" t="s">
        <v>2088</v>
      </c>
      <c r="G8711" s="2">
        <v>0</v>
      </c>
      <c r="H8711" s="166">
        <v>0</v>
      </c>
      <c r="I8711" s="88">
        <f t="shared" si="1412"/>
        <v>6031.5299999999988</v>
      </c>
      <c r="K8711" s="62"/>
      <c r="L8711" s="2">
        <f t="shared" si="1413"/>
        <v>5</v>
      </c>
    </row>
    <row r="8712" spans="1:12" x14ac:dyDescent="0.3">
      <c r="A8712" s="3">
        <f t="shared" si="1411"/>
        <v>46185</v>
      </c>
      <c r="B8712" s="11" t="s">
        <v>7724</v>
      </c>
      <c r="C8712" s="50" t="s">
        <v>10737</v>
      </c>
      <c r="D8712" s="153"/>
      <c r="E8712" s="90" t="s">
        <v>2088</v>
      </c>
      <c r="G8712" s="2">
        <v>2700</v>
      </c>
      <c r="H8712"/>
      <c r="I8712" s="88">
        <f t="shared" si="1412"/>
        <v>8731.5299999999988</v>
      </c>
      <c r="K8712" s="62"/>
      <c r="L8712" s="2">
        <f t="shared" si="1413"/>
        <v>15.8</v>
      </c>
    </row>
    <row r="8713" spans="1:12" x14ac:dyDescent="0.3">
      <c r="A8713" s="3">
        <f t="shared" si="1411"/>
        <v>46185</v>
      </c>
      <c r="B8713" s="4">
        <v>1370</v>
      </c>
      <c r="C8713" s="50" t="s">
        <v>57</v>
      </c>
      <c r="D8713"/>
      <c r="E8713" s="90" t="s">
        <v>2088</v>
      </c>
      <c r="F8713"/>
      <c r="G8713" s="2">
        <v>1000</v>
      </c>
      <c r="H8713"/>
      <c r="I8713" s="88">
        <f t="shared" si="1412"/>
        <v>9731.5299999999988</v>
      </c>
      <c r="K8713" s="62"/>
      <c r="L8713" s="2">
        <f t="shared" si="1413"/>
        <v>9</v>
      </c>
    </row>
    <row r="8714" spans="1:12" x14ac:dyDescent="0.3">
      <c r="A8714" s="3">
        <f t="shared" si="1411"/>
        <v>46185</v>
      </c>
      <c r="B8714" s="4">
        <v>5949</v>
      </c>
      <c r="C8714" s="50" t="s">
        <v>10737</v>
      </c>
      <c r="D8714"/>
      <c r="E8714" s="90" t="s">
        <v>2088</v>
      </c>
      <c r="F8714"/>
      <c r="G8714" s="2">
        <v>0</v>
      </c>
      <c r="H8714">
        <v>0</v>
      </c>
      <c r="I8714" s="88">
        <f t="shared" si="1412"/>
        <v>9731.5299999999988</v>
      </c>
      <c r="K8714" s="62"/>
      <c r="L8714" s="2">
        <f t="shared" si="1413"/>
        <v>5</v>
      </c>
    </row>
    <row r="8715" spans="1:12" x14ac:dyDescent="0.3">
      <c r="A8715" s="3">
        <f t="shared" si="1411"/>
        <v>46185</v>
      </c>
      <c r="B8715" s="11" t="s">
        <v>10697</v>
      </c>
      <c r="C8715" s="7" t="s">
        <v>10698</v>
      </c>
      <c r="D8715"/>
      <c r="E8715" s="90" t="s">
        <v>2088</v>
      </c>
      <c r="F8715"/>
      <c r="G8715" s="2">
        <v>0</v>
      </c>
      <c r="H8715">
        <v>0</v>
      </c>
      <c r="I8715" s="88">
        <f t="shared" si="1412"/>
        <v>9731.5299999999988</v>
      </c>
      <c r="K8715" s="62"/>
      <c r="L8715" s="2">
        <f t="shared" si="1413"/>
        <v>5</v>
      </c>
    </row>
    <row r="8716" spans="1:12" x14ac:dyDescent="0.3">
      <c r="A8716" s="3">
        <f t="shared" si="1411"/>
        <v>46185</v>
      </c>
      <c r="B8716" s="4">
        <v>4791</v>
      </c>
      <c r="C8716" s="50" t="s">
        <v>2890</v>
      </c>
      <c r="D8716"/>
      <c r="E8716" s="90" t="s">
        <v>2088</v>
      </c>
      <c r="F8716"/>
      <c r="G8716" s="2">
        <v>0</v>
      </c>
      <c r="H8716">
        <v>0</v>
      </c>
      <c r="I8716" s="88">
        <f t="shared" si="1412"/>
        <v>9731.5299999999988</v>
      </c>
      <c r="K8716" s="62"/>
      <c r="L8716" s="2">
        <f t="shared" si="1413"/>
        <v>5</v>
      </c>
    </row>
    <row r="8717" spans="1:12" x14ac:dyDescent="0.3">
      <c r="A8717" s="3">
        <f t="shared" si="1411"/>
        <v>46185</v>
      </c>
      <c r="B8717" s="4">
        <v>4791</v>
      </c>
      <c r="C8717" s="50" t="s">
        <v>2890</v>
      </c>
      <c r="D8717"/>
      <c r="E8717" s="90" t="s">
        <v>2088</v>
      </c>
      <c r="F8717"/>
      <c r="G8717" s="2">
        <v>6000</v>
      </c>
      <c r="H8717"/>
      <c r="I8717" s="88">
        <f t="shared" si="1412"/>
        <v>15731.529999999999</v>
      </c>
      <c r="K8717" s="62"/>
      <c r="L8717" s="2">
        <f t="shared" si="1413"/>
        <v>25</v>
      </c>
    </row>
    <row r="8718" spans="1:12" x14ac:dyDescent="0.3">
      <c r="A8718" s="3">
        <f t="shared" si="1411"/>
        <v>46185</v>
      </c>
      <c r="B8718" s="4">
        <v>4791</v>
      </c>
      <c r="C8718" s="50" t="s">
        <v>2890</v>
      </c>
      <c r="D8718"/>
      <c r="E8718" s="90" t="s">
        <v>2088</v>
      </c>
      <c r="F8718"/>
      <c r="G8718" s="2">
        <v>0</v>
      </c>
      <c r="H8718">
        <v>0</v>
      </c>
      <c r="I8718" s="88">
        <f t="shared" si="1412"/>
        <v>15731.529999999999</v>
      </c>
      <c r="K8718" s="62"/>
      <c r="L8718" s="2">
        <f t="shared" si="1413"/>
        <v>5</v>
      </c>
    </row>
    <row r="8719" spans="1:12" x14ac:dyDescent="0.3">
      <c r="A8719" s="3">
        <f t="shared" si="1411"/>
        <v>46185</v>
      </c>
      <c r="B8719" s="4" t="s">
        <v>3148</v>
      </c>
      <c r="C8719" s="50" t="s">
        <v>2857</v>
      </c>
      <c r="D8719"/>
      <c r="E8719" s="90" t="s">
        <v>8332</v>
      </c>
      <c r="F8719"/>
      <c r="G8719"/>
      <c r="H8719">
        <v>15000</v>
      </c>
      <c r="I8719" s="88">
        <f t="shared" si="1412"/>
        <v>731.52999999999884</v>
      </c>
      <c r="K8719" s="62"/>
      <c r="L8719" s="2">
        <f t="shared" si="1413"/>
        <v>0</v>
      </c>
    </row>
    <row r="8720" spans="1:12" x14ac:dyDescent="0.3">
      <c r="A8720" s="3">
        <v>46186</v>
      </c>
      <c r="B8720" s="4">
        <v>1236</v>
      </c>
      <c r="C8720" s="50" t="s">
        <v>10202</v>
      </c>
      <c r="D8720"/>
      <c r="E8720" s="90" t="s">
        <v>2088</v>
      </c>
      <c r="F8720"/>
      <c r="G8720" s="2">
        <v>3000</v>
      </c>
      <c r="H8720"/>
      <c r="I8720" s="88">
        <f t="shared" si="1412"/>
        <v>3731.5299999999988</v>
      </c>
      <c r="K8720" s="62"/>
      <c r="L8720" s="2">
        <f t="shared" si="1413"/>
        <v>17</v>
      </c>
    </row>
    <row r="8721" spans="1:12" x14ac:dyDescent="0.3">
      <c r="A8721" s="3">
        <f t="shared" si="1411"/>
        <v>46186</v>
      </c>
      <c r="B8721" s="4" t="s">
        <v>1250</v>
      </c>
      <c r="C8721" s="50" t="s">
        <v>2626</v>
      </c>
      <c r="D8721"/>
      <c r="E8721" s="90" t="s">
        <v>4720</v>
      </c>
      <c r="F8721"/>
      <c r="G8721" s="2">
        <v>1000</v>
      </c>
      <c r="H8721"/>
      <c r="I8721" s="88">
        <f t="shared" si="1412"/>
        <v>4731.5299999999988</v>
      </c>
      <c r="K8721" s="62"/>
      <c r="L8721" s="2">
        <f t="shared" si="1413"/>
        <v>4</v>
      </c>
    </row>
    <row r="8722" spans="1:12" x14ac:dyDescent="0.3">
      <c r="A8722" s="3">
        <f t="shared" si="1411"/>
        <v>46186</v>
      </c>
      <c r="B8722" s="4" t="s">
        <v>10740</v>
      </c>
      <c r="C8722" s="50" t="s">
        <v>8084</v>
      </c>
      <c r="D8722"/>
      <c r="E8722" s="90" t="s">
        <v>4720</v>
      </c>
      <c r="F8722"/>
      <c r="G8722" s="2">
        <v>1000</v>
      </c>
      <c r="H8722"/>
      <c r="I8722" s="88">
        <f t="shared" si="1412"/>
        <v>5731.5299999999988</v>
      </c>
      <c r="K8722" s="62"/>
      <c r="L8722" s="2">
        <f t="shared" si="1413"/>
        <v>4</v>
      </c>
    </row>
    <row r="8723" spans="1:12" x14ac:dyDescent="0.3">
      <c r="A8723" s="3">
        <f t="shared" si="1411"/>
        <v>46186</v>
      </c>
      <c r="B8723" s="85">
        <v>2001166</v>
      </c>
      <c r="C8723" s="50" t="s">
        <v>10741</v>
      </c>
      <c r="D8723"/>
      <c r="E8723" s="90" t="s">
        <v>4720</v>
      </c>
      <c r="F8723"/>
      <c r="G8723"/>
      <c r="H8723">
        <v>3000</v>
      </c>
      <c r="I8723" s="88">
        <f t="shared" si="1412"/>
        <v>2731.5299999999988</v>
      </c>
      <c r="K8723" s="62"/>
      <c r="L8723" s="2">
        <f t="shared" si="1413"/>
        <v>12</v>
      </c>
    </row>
    <row r="8724" spans="1:12" x14ac:dyDescent="0.3">
      <c r="A8724" s="3">
        <f t="shared" si="1411"/>
        <v>46186</v>
      </c>
      <c r="B8724" s="11" t="s">
        <v>1170</v>
      </c>
      <c r="C8724" s="50" t="s">
        <v>7773</v>
      </c>
      <c r="D8724"/>
      <c r="E8724" s="90" t="s">
        <v>4720</v>
      </c>
      <c r="F8724"/>
      <c r="G8724" s="2">
        <v>3050</v>
      </c>
      <c r="H8724"/>
      <c r="I8724" s="88">
        <f t="shared" si="1412"/>
        <v>5781.5299999999988</v>
      </c>
      <c r="K8724" s="62"/>
      <c r="L8724" s="2">
        <f t="shared" si="1413"/>
        <v>12.200000000000001</v>
      </c>
    </row>
    <row r="8725" spans="1:12" x14ac:dyDescent="0.3">
      <c r="A8725" s="3">
        <f t="shared" si="1411"/>
        <v>46186</v>
      </c>
      <c r="B8725" s="4" t="s">
        <v>6260</v>
      </c>
      <c r="C8725" s="50" t="s">
        <v>7117</v>
      </c>
      <c r="D8725"/>
      <c r="E8725" s="90" t="s">
        <v>4720</v>
      </c>
      <c r="F8725"/>
      <c r="G8725"/>
      <c r="H8725">
        <v>5000</v>
      </c>
      <c r="I8725" s="88">
        <f t="shared" si="1412"/>
        <v>781.52999999999884</v>
      </c>
      <c r="K8725" s="62"/>
      <c r="L8725" s="2">
        <f t="shared" si="1413"/>
        <v>20</v>
      </c>
    </row>
    <row r="8726" spans="1:12" x14ac:dyDescent="0.3">
      <c r="A8726" s="3">
        <f t="shared" si="1411"/>
        <v>46186</v>
      </c>
      <c r="B8726" s="4" t="s">
        <v>6522</v>
      </c>
      <c r="C8726" s="50" t="s">
        <v>10742</v>
      </c>
      <c r="D8726"/>
      <c r="E8726" s="90" t="s">
        <v>4720</v>
      </c>
      <c r="F8726"/>
      <c r="G8726" s="2">
        <v>3000</v>
      </c>
      <c r="H8726"/>
      <c r="I8726" s="88">
        <f t="shared" si="1412"/>
        <v>3781.5299999999988</v>
      </c>
      <c r="K8726" s="62"/>
      <c r="L8726" s="2">
        <f t="shared" si="1413"/>
        <v>12</v>
      </c>
    </row>
    <row r="8727" spans="1:12" x14ac:dyDescent="0.3">
      <c r="A8727" s="3">
        <f t="shared" si="1411"/>
        <v>46186</v>
      </c>
      <c r="B8727" s="4" t="s">
        <v>2241</v>
      </c>
      <c r="C8727" s="50" t="s">
        <v>10743</v>
      </c>
      <c r="D8727"/>
      <c r="E8727" s="90" t="s">
        <v>4720</v>
      </c>
      <c r="F8727"/>
      <c r="G8727">
        <v>3000</v>
      </c>
      <c r="H8727"/>
      <c r="I8727" s="88">
        <f t="shared" si="1412"/>
        <v>6781.5299999999988</v>
      </c>
      <c r="K8727" s="62"/>
      <c r="L8727" s="2">
        <f t="shared" si="1413"/>
        <v>12</v>
      </c>
    </row>
    <row r="8728" spans="1:12" x14ac:dyDescent="0.3">
      <c r="A8728" s="3">
        <f t="shared" si="1411"/>
        <v>46186</v>
      </c>
      <c r="B8728" s="4" t="s">
        <v>1160</v>
      </c>
      <c r="C8728" s="50" t="s">
        <v>10744</v>
      </c>
      <c r="D8728"/>
      <c r="E8728" s="90" t="s">
        <v>4720</v>
      </c>
      <c r="F8728"/>
      <c r="G8728" s="2">
        <v>2000</v>
      </c>
      <c r="H8728"/>
      <c r="I8728" s="88">
        <f t="shared" si="1412"/>
        <v>8781.5299999999988</v>
      </c>
      <c r="K8728" s="62"/>
      <c r="L8728" s="2">
        <f t="shared" si="1413"/>
        <v>8</v>
      </c>
    </row>
    <row r="8729" spans="1:12" x14ac:dyDescent="0.3">
      <c r="A8729" s="3">
        <f t="shared" si="1411"/>
        <v>46186</v>
      </c>
      <c r="B8729" s="4">
        <v>5889</v>
      </c>
      <c r="C8729" s="50" t="s">
        <v>9112</v>
      </c>
      <c r="D8729"/>
      <c r="E8729" s="90" t="s">
        <v>2088</v>
      </c>
      <c r="F8729"/>
      <c r="G8729">
        <v>10000</v>
      </c>
      <c r="H8729"/>
      <c r="I8729" s="88">
        <f t="shared" si="1412"/>
        <v>18781.53</v>
      </c>
      <c r="K8729" s="62"/>
      <c r="L8729" s="2">
        <f t="shared" si="1413"/>
        <v>25</v>
      </c>
    </row>
    <row r="8730" spans="1:12" x14ac:dyDescent="0.3">
      <c r="A8730" s="3">
        <v>46187</v>
      </c>
      <c r="B8730" s="4">
        <v>6080</v>
      </c>
      <c r="C8730" s="50" t="s">
        <v>224</v>
      </c>
      <c r="D8730"/>
      <c r="E8730" s="90" t="s">
        <v>4720</v>
      </c>
      <c r="F8730"/>
      <c r="G8730"/>
      <c r="H8730">
        <v>1500</v>
      </c>
      <c r="I8730" s="88">
        <f t="shared" si="1412"/>
        <v>17281.53</v>
      </c>
      <c r="K8730" s="62"/>
      <c r="L8730" s="2">
        <f t="shared" si="1413"/>
        <v>6</v>
      </c>
    </row>
    <row r="8731" spans="1:12" x14ac:dyDescent="0.3">
      <c r="A8731" s="3">
        <f t="shared" si="1411"/>
        <v>46187</v>
      </c>
      <c r="B8731" s="4" t="s">
        <v>1160</v>
      </c>
      <c r="C8731" s="50" t="s">
        <v>10746</v>
      </c>
      <c r="D8731">
        <v>9113480766</v>
      </c>
      <c r="E8731" s="90" t="s">
        <v>4720</v>
      </c>
      <c r="F8731"/>
      <c r="G8731">
        <v>8000</v>
      </c>
      <c r="H8731"/>
      <c r="I8731" s="88">
        <f t="shared" ref="I8731:I8738" si="1414">I8730+G8731-H8731</f>
        <v>25281.53</v>
      </c>
      <c r="K8731" s="62"/>
      <c r="L8731" s="2">
        <f t="shared" ref="L8731:L8738" si="1415">IF(E8731="C",0,IF((G8731+H8731)&lt;=5000,(G8731+H8731)*0.004,20)+IF(E8731="P",5,IF(E8731="Y",15,IF(E8731="YY",25))))</f>
        <v>20</v>
      </c>
    </row>
    <row r="8732" spans="1:12" x14ac:dyDescent="0.3">
      <c r="A8732" s="3">
        <f t="shared" si="1411"/>
        <v>46187</v>
      </c>
      <c r="B8732" s="4" t="s">
        <v>6260</v>
      </c>
      <c r="C8732" s="50" t="s">
        <v>7117</v>
      </c>
      <c r="D8732"/>
      <c r="E8732" s="90" t="s">
        <v>4720</v>
      </c>
      <c r="F8732"/>
      <c r="G8732"/>
      <c r="H8732">
        <v>6000</v>
      </c>
      <c r="I8732" s="88">
        <f t="shared" si="1414"/>
        <v>19281.53</v>
      </c>
      <c r="K8732" s="62"/>
      <c r="L8732" s="2">
        <f t="shared" si="1415"/>
        <v>20</v>
      </c>
    </row>
    <row r="8733" spans="1:12" x14ac:dyDescent="0.3">
      <c r="A8733" s="3">
        <f t="shared" si="1411"/>
        <v>46187</v>
      </c>
      <c r="B8733" s="4">
        <v>2528</v>
      </c>
      <c r="C8733" s="50" t="s">
        <v>2577</v>
      </c>
      <c r="D8733"/>
      <c r="E8733" s="90" t="s">
        <v>4720</v>
      </c>
      <c r="F8733"/>
      <c r="G8733"/>
      <c r="H8733">
        <v>2500</v>
      </c>
      <c r="I8733" s="88">
        <f t="shared" si="1414"/>
        <v>16781.53</v>
      </c>
      <c r="K8733" s="62"/>
      <c r="L8733" s="2">
        <f t="shared" si="1415"/>
        <v>10</v>
      </c>
    </row>
    <row r="8734" spans="1:12" x14ac:dyDescent="0.3">
      <c r="A8734" s="3">
        <v>46188</v>
      </c>
      <c r="B8734" s="4" t="s">
        <v>1250</v>
      </c>
      <c r="C8734" s="50" t="s">
        <v>10747</v>
      </c>
      <c r="D8734"/>
      <c r="E8734" s="90" t="s">
        <v>4720</v>
      </c>
      <c r="F8734"/>
      <c r="G8734">
        <v>10000</v>
      </c>
      <c r="H8734"/>
      <c r="I8734" s="88">
        <f t="shared" si="1414"/>
        <v>26781.53</v>
      </c>
      <c r="K8734" s="62"/>
      <c r="L8734" s="2">
        <f t="shared" si="1415"/>
        <v>20</v>
      </c>
    </row>
    <row r="8735" spans="1:12" x14ac:dyDescent="0.3">
      <c r="A8735" s="3">
        <f t="shared" si="1411"/>
        <v>46188</v>
      </c>
      <c r="B8735" s="85" t="s">
        <v>2689</v>
      </c>
      <c r="C8735" s="50" t="s">
        <v>3615</v>
      </c>
      <c r="D8735"/>
      <c r="E8735" s="90" t="s">
        <v>4720</v>
      </c>
      <c r="F8735"/>
      <c r="G8735"/>
      <c r="H8735">
        <v>10000</v>
      </c>
      <c r="I8735" s="88">
        <f t="shared" si="1414"/>
        <v>16781.53</v>
      </c>
      <c r="K8735" s="62"/>
      <c r="L8735" s="2">
        <f t="shared" si="1415"/>
        <v>20</v>
      </c>
    </row>
    <row r="8736" spans="1:12" x14ac:dyDescent="0.3">
      <c r="A8736" s="3">
        <f t="shared" si="1411"/>
        <v>46188</v>
      </c>
      <c r="B8736" s="4"/>
      <c r="C8736" s="50" t="s">
        <v>2857</v>
      </c>
      <c r="D8736"/>
      <c r="E8736" s="90" t="s">
        <v>8332</v>
      </c>
      <c r="F8736"/>
      <c r="G8736"/>
      <c r="H8736">
        <v>15000</v>
      </c>
      <c r="I8736" s="88">
        <f t="shared" si="1414"/>
        <v>1781.5299999999988</v>
      </c>
      <c r="K8736" s="62"/>
      <c r="L8736" s="2">
        <f t="shared" si="1415"/>
        <v>0</v>
      </c>
    </row>
    <row r="8737" spans="1:12" x14ac:dyDescent="0.3">
      <c r="A8737" s="3">
        <f t="shared" si="1411"/>
        <v>46188</v>
      </c>
      <c r="B8737" s="4">
        <v>3508</v>
      </c>
      <c r="C8737" s="50" t="s">
        <v>8133</v>
      </c>
      <c r="D8737"/>
      <c r="E8737" s="90" t="s">
        <v>2088</v>
      </c>
      <c r="F8737"/>
      <c r="G8737">
        <v>0</v>
      </c>
      <c r="H8737">
        <v>0</v>
      </c>
      <c r="I8737" s="88">
        <f t="shared" si="1414"/>
        <v>1781.5299999999988</v>
      </c>
      <c r="K8737" s="62"/>
      <c r="L8737" s="2">
        <f t="shared" si="1415"/>
        <v>5</v>
      </c>
    </row>
    <row r="8738" spans="1:12" x14ac:dyDescent="0.3">
      <c r="A8738" s="3">
        <f t="shared" si="1411"/>
        <v>46188</v>
      </c>
      <c r="B8738" s="4">
        <v>1601</v>
      </c>
      <c r="C8738" s="50" t="s">
        <v>372</v>
      </c>
      <c r="D8738"/>
      <c r="E8738" s="90" t="s">
        <v>2088</v>
      </c>
      <c r="F8738"/>
      <c r="G8738">
        <v>0</v>
      </c>
      <c r="H8738">
        <v>0</v>
      </c>
      <c r="I8738" s="88">
        <f t="shared" si="1414"/>
        <v>1781.5299999999988</v>
      </c>
      <c r="K8738" s="62"/>
      <c r="L8738" s="2">
        <f t="shared" si="1415"/>
        <v>5</v>
      </c>
    </row>
    <row r="8739" spans="1:12" x14ac:dyDescent="0.3">
      <c r="A8739" s="3">
        <f t="shared" si="1411"/>
        <v>46188</v>
      </c>
      <c r="B8739" s="4">
        <v>1601</v>
      </c>
      <c r="C8739" s="50" t="s">
        <v>372</v>
      </c>
      <c r="D8739"/>
      <c r="E8739" s="90" t="s">
        <v>2088</v>
      </c>
      <c r="F8739"/>
      <c r="G8739">
        <v>8000</v>
      </c>
      <c r="H8739"/>
      <c r="I8739" s="88">
        <f t="shared" ref="I8739:I8751" si="1416">I8738+G8739-H8739</f>
        <v>9781.5299999999988</v>
      </c>
      <c r="K8739" s="62"/>
      <c r="L8739" s="2">
        <f t="shared" ref="L8739:L8751" si="1417">IF(E8739="C",0,IF((G8739+H8739)&lt;=5000,(G8739+H8739)*0.004,20)+IF(E8739="P",5,IF(E8739="Y",15,IF(E8739="YY",25))))</f>
        <v>25</v>
      </c>
    </row>
    <row r="8740" spans="1:12" x14ac:dyDescent="0.3">
      <c r="A8740" s="3">
        <f t="shared" si="1411"/>
        <v>46188</v>
      </c>
      <c r="B8740" s="4">
        <v>1601</v>
      </c>
      <c r="C8740" s="50" t="s">
        <v>372</v>
      </c>
      <c r="D8740"/>
      <c r="E8740" s="90" t="s">
        <v>2088</v>
      </c>
      <c r="F8740"/>
      <c r="G8740">
        <v>0</v>
      </c>
      <c r="H8740">
        <v>0</v>
      </c>
      <c r="I8740" s="88">
        <f t="shared" si="1416"/>
        <v>9781.5299999999988</v>
      </c>
      <c r="K8740" s="62"/>
      <c r="L8740" s="2">
        <f t="shared" si="1417"/>
        <v>5</v>
      </c>
    </row>
    <row r="8741" spans="1:12" x14ac:dyDescent="0.3">
      <c r="A8741" s="3">
        <f t="shared" si="1411"/>
        <v>46188</v>
      </c>
      <c r="B8741" s="4" t="s">
        <v>7090</v>
      </c>
      <c r="C8741" s="50" t="s">
        <v>10748</v>
      </c>
      <c r="D8741"/>
      <c r="E8741" s="90" t="s">
        <v>4720</v>
      </c>
      <c r="F8741"/>
      <c r="G8741">
        <v>1000</v>
      </c>
      <c r="H8741"/>
      <c r="I8741" s="88">
        <f t="shared" si="1416"/>
        <v>10781.529999999999</v>
      </c>
      <c r="K8741" s="62"/>
      <c r="L8741" s="2">
        <f t="shared" si="1417"/>
        <v>4</v>
      </c>
    </row>
    <row r="8742" spans="1:12" x14ac:dyDescent="0.3">
      <c r="A8742" s="3">
        <f t="shared" si="1411"/>
        <v>46188</v>
      </c>
      <c r="B8742" s="4">
        <v>6107</v>
      </c>
      <c r="C8742" s="50" t="s">
        <v>9475</v>
      </c>
      <c r="D8742"/>
      <c r="E8742" s="90" t="s">
        <v>4720</v>
      </c>
      <c r="F8742"/>
      <c r="G8742"/>
      <c r="H8742">
        <v>7500</v>
      </c>
      <c r="I8742" s="88">
        <f t="shared" si="1416"/>
        <v>3281.5299999999988</v>
      </c>
      <c r="K8742" s="62"/>
      <c r="L8742" s="2">
        <f t="shared" si="1417"/>
        <v>20</v>
      </c>
    </row>
    <row r="8743" spans="1:12" x14ac:dyDescent="0.3">
      <c r="A8743" s="3">
        <f t="shared" si="1411"/>
        <v>46188</v>
      </c>
      <c r="B8743" s="4" t="s">
        <v>1250</v>
      </c>
      <c r="C8743" s="50" t="s">
        <v>7372</v>
      </c>
      <c r="D8743"/>
      <c r="E8743" s="90" t="s">
        <v>4720</v>
      </c>
      <c r="F8743"/>
      <c r="G8743">
        <v>2000</v>
      </c>
      <c r="H8743"/>
      <c r="I8743" s="88">
        <f t="shared" si="1416"/>
        <v>5281.5299999999988</v>
      </c>
      <c r="K8743" s="62"/>
      <c r="L8743" s="2">
        <f t="shared" si="1417"/>
        <v>8</v>
      </c>
    </row>
    <row r="8744" spans="1:12" x14ac:dyDescent="0.3">
      <c r="A8744" s="3">
        <f t="shared" si="1411"/>
        <v>46188</v>
      </c>
      <c r="B8744" s="4" t="s">
        <v>6260</v>
      </c>
      <c r="C8744" s="50" t="s">
        <v>7117</v>
      </c>
      <c r="D8744"/>
      <c r="E8744" s="90" t="s">
        <v>4720</v>
      </c>
      <c r="F8744"/>
      <c r="G8744"/>
      <c r="H8744">
        <v>5000</v>
      </c>
      <c r="I8744" s="88">
        <f t="shared" si="1416"/>
        <v>281.52999999999884</v>
      </c>
      <c r="K8744" s="62"/>
      <c r="L8744" s="2">
        <f t="shared" si="1417"/>
        <v>20</v>
      </c>
    </row>
    <row r="8745" spans="1:12" x14ac:dyDescent="0.3">
      <c r="A8745" s="3">
        <f t="shared" si="1411"/>
        <v>46188</v>
      </c>
      <c r="B8745" s="4" t="s">
        <v>2241</v>
      </c>
      <c r="C8745" s="50" t="s">
        <v>10749</v>
      </c>
      <c r="D8745"/>
      <c r="E8745" s="90" t="s">
        <v>4720</v>
      </c>
      <c r="F8745"/>
      <c r="G8745">
        <v>1000</v>
      </c>
      <c r="H8745"/>
      <c r="I8745" s="88">
        <f t="shared" si="1416"/>
        <v>1281.5299999999988</v>
      </c>
      <c r="K8745" s="62"/>
      <c r="L8745" s="2">
        <f t="shared" si="1417"/>
        <v>4</v>
      </c>
    </row>
    <row r="8746" spans="1:12" x14ac:dyDescent="0.3">
      <c r="A8746" s="3">
        <f t="shared" si="1411"/>
        <v>46188</v>
      </c>
      <c r="B8746" s="4">
        <v>3053</v>
      </c>
      <c r="C8746" s="50" t="s">
        <v>10729</v>
      </c>
      <c r="D8746"/>
      <c r="E8746" s="90" t="s">
        <v>4720</v>
      </c>
      <c r="F8746"/>
      <c r="G8746">
        <v>1400</v>
      </c>
      <c r="H8746"/>
      <c r="I8746" s="88">
        <f t="shared" si="1416"/>
        <v>2681.5299999999988</v>
      </c>
      <c r="K8746" s="62"/>
      <c r="L8746" s="2">
        <f t="shared" si="1417"/>
        <v>5.6000000000000005</v>
      </c>
    </row>
    <row r="8747" spans="1:12" x14ac:dyDescent="0.3">
      <c r="A8747" s="3">
        <f t="shared" si="1411"/>
        <v>46188</v>
      </c>
      <c r="B8747" s="4" t="s">
        <v>1160</v>
      </c>
      <c r="C8747" s="50" t="s">
        <v>10752</v>
      </c>
      <c r="D8747"/>
      <c r="E8747" s="90" t="s">
        <v>4720</v>
      </c>
      <c r="F8747"/>
      <c r="G8747">
        <v>2000</v>
      </c>
      <c r="H8747"/>
      <c r="I8747" s="88">
        <f t="shared" si="1416"/>
        <v>4681.5299999999988</v>
      </c>
      <c r="K8747" s="62"/>
      <c r="L8747" s="2">
        <f t="shared" si="1417"/>
        <v>8</v>
      </c>
    </row>
    <row r="8748" spans="1:12" x14ac:dyDescent="0.3">
      <c r="A8748" s="3">
        <v>46189</v>
      </c>
      <c r="B8748" s="4">
        <v>5804</v>
      </c>
      <c r="C8748" s="50" t="s">
        <v>7675</v>
      </c>
      <c r="D8748"/>
      <c r="E8748" s="90" t="s">
        <v>4720</v>
      </c>
      <c r="F8748"/>
      <c r="G8748"/>
      <c r="H8748">
        <v>2000</v>
      </c>
      <c r="I8748" s="88">
        <f t="shared" si="1416"/>
        <v>2681.5299999999988</v>
      </c>
      <c r="K8748" s="62"/>
      <c r="L8748" s="2">
        <f t="shared" si="1417"/>
        <v>8</v>
      </c>
    </row>
    <row r="8749" spans="1:12" x14ac:dyDescent="0.3">
      <c r="A8749" s="3">
        <f t="shared" si="1411"/>
        <v>46189</v>
      </c>
      <c r="B8749" s="4">
        <v>5626</v>
      </c>
      <c r="C8749" s="50" t="s">
        <v>8841</v>
      </c>
      <c r="D8749"/>
      <c r="E8749" s="90" t="s">
        <v>2088</v>
      </c>
      <c r="F8749"/>
      <c r="G8749">
        <v>2000</v>
      </c>
      <c r="H8749"/>
      <c r="I8749" s="88">
        <f t="shared" si="1416"/>
        <v>4681.5299999999988</v>
      </c>
      <c r="K8749" s="62"/>
      <c r="L8749" s="2">
        <f t="shared" si="1417"/>
        <v>13</v>
      </c>
    </row>
    <row r="8750" spans="1:12" x14ac:dyDescent="0.3">
      <c r="A8750" s="3">
        <f t="shared" si="1411"/>
        <v>46189</v>
      </c>
      <c r="B8750" s="11" t="s">
        <v>10754</v>
      </c>
      <c r="C8750" t="s">
        <v>10755</v>
      </c>
      <c r="D8750"/>
      <c r="E8750" s="90" t="s">
        <v>14</v>
      </c>
      <c r="F8750"/>
      <c r="G8750"/>
      <c r="H8750">
        <v>500</v>
      </c>
      <c r="I8750" s="88">
        <f t="shared" si="1416"/>
        <v>4181.5299999999988</v>
      </c>
      <c r="K8750" s="62"/>
      <c r="L8750" s="2">
        <f t="shared" si="1417"/>
        <v>17</v>
      </c>
    </row>
    <row r="8751" spans="1:12" x14ac:dyDescent="0.3">
      <c r="A8751" s="3">
        <f t="shared" si="1411"/>
        <v>46189</v>
      </c>
      <c r="B8751" s="85" t="s">
        <v>10762</v>
      </c>
      <c r="C8751" s="50" t="s">
        <v>10761</v>
      </c>
      <c r="D8751"/>
      <c r="E8751" s="90" t="s">
        <v>4720</v>
      </c>
      <c r="F8751"/>
      <c r="G8751"/>
      <c r="H8751">
        <v>1800</v>
      </c>
      <c r="I8751" s="88">
        <f t="shared" si="1416"/>
        <v>2381.5299999999988</v>
      </c>
      <c r="K8751" s="62"/>
      <c r="L8751" s="2">
        <f t="shared" si="1417"/>
        <v>7.2</v>
      </c>
    </row>
    <row r="8752" spans="1:12" x14ac:dyDescent="0.3">
      <c r="A8752" s="3">
        <f t="shared" si="1411"/>
        <v>46189</v>
      </c>
      <c r="B8752" s="4" t="s">
        <v>3148</v>
      </c>
      <c r="C8752" s="50" t="s">
        <v>10763</v>
      </c>
      <c r="D8752"/>
      <c r="E8752" s="90" t="s">
        <v>4720</v>
      </c>
      <c r="F8752"/>
      <c r="G8752">
        <v>1200</v>
      </c>
      <c r="H8752"/>
      <c r="I8752" s="88">
        <f t="shared" ref="I8752:I8772" si="1418">I8751+G8752-H8752</f>
        <v>3581.5299999999988</v>
      </c>
      <c r="K8752" s="62"/>
      <c r="L8752" s="2">
        <f t="shared" ref="L8752:L8772" si="1419">IF(E8752="C",0,IF((G8752+H8752)&lt;=5000,(G8752+H8752)*0.004,20)+IF(E8752="P",5,IF(E8752="Y",15,IF(E8752="YY",25))))</f>
        <v>4.8</v>
      </c>
    </row>
    <row r="8753" spans="1:12" x14ac:dyDescent="0.3">
      <c r="A8753" s="3">
        <f t="shared" si="1411"/>
        <v>46189</v>
      </c>
      <c r="B8753" s="4">
        <v>1580</v>
      </c>
      <c r="C8753" s="50" t="s">
        <v>4867</v>
      </c>
      <c r="D8753"/>
      <c r="E8753" s="90" t="s">
        <v>2088</v>
      </c>
      <c r="F8753"/>
      <c r="G8753">
        <v>4000</v>
      </c>
      <c r="H8753"/>
      <c r="I8753" s="88">
        <f t="shared" si="1418"/>
        <v>7581.5299999999988</v>
      </c>
      <c r="K8753" s="62"/>
      <c r="L8753" s="2">
        <f t="shared" si="1419"/>
        <v>21</v>
      </c>
    </row>
    <row r="8754" spans="1:12" x14ac:dyDescent="0.3">
      <c r="A8754" s="3">
        <f t="shared" si="1411"/>
        <v>46189</v>
      </c>
      <c r="B8754" s="4" t="s">
        <v>1250</v>
      </c>
      <c r="C8754" s="50" t="s">
        <v>10764</v>
      </c>
      <c r="D8754"/>
      <c r="E8754" s="90" t="s">
        <v>4720</v>
      </c>
      <c r="F8754"/>
      <c r="G8754">
        <v>1000</v>
      </c>
      <c r="H8754"/>
      <c r="I8754" s="88">
        <f t="shared" si="1418"/>
        <v>8581.5299999999988</v>
      </c>
      <c r="K8754" s="62"/>
      <c r="L8754" s="2">
        <f t="shared" si="1419"/>
        <v>4</v>
      </c>
    </row>
    <row r="8755" spans="1:12" x14ac:dyDescent="0.3">
      <c r="A8755" s="3">
        <f t="shared" si="1411"/>
        <v>46189</v>
      </c>
      <c r="B8755" s="4">
        <v>7338</v>
      </c>
      <c r="C8755" s="50" t="s">
        <v>10765</v>
      </c>
      <c r="D8755"/>
      <c r="E8755" s="90" t="s">
        <v>4720</v>
      </c>
      <c r="F8755"/>
      <c r="G8755"/>
      <c r="H8755">
        <v>8000</v>
      </c>
      <c r="I8755" s="88">
        <f t="shared" si="1418"/>
        <v>581.52999999999884</v>
      </c>
      <c r="K8755" s="62"/>
      <c r="L8755" s="2">
        <f t="shared" si="1419"/>
        <v>20</v>
      </c>
    </row>
    <row r="8756" spans="1:12" x14ac:dyDescent="0.3">
      <c r="A8756" s="3">
        <f t="shared" si="1411"/>
        <v>46189</v>
      </c>
      <c r="B8756" s="4">
        <v>183</v>
      </c>
      <c r="C8756" s="50" t="s">
        <v>9096</v>
      </c>
      <c r="D8756"/>
      <c r="E8756" s="90" t="s">
        <v>2088</v>
      </c>
      <c r="F8756"/>
      <c r="G8756">
        <v>3000</v>
      </c>
      <c r="H8756"/>
      <c r="I8756" s="88">
        <f t="shared" si="1418"/>
        <v>3581.5299999999988</v>
      </c>
      <c r="K8756" s="62"/>
      <c r="L8756" s="2">
        <f t="shared" si="1419"/>
        <v>17</v>
      </c>
    </row>
    <row r="8757" spans="1:12" x14ac:dyDescent="0.3">
      <c r="A8757" s="3">
        <f t="shared" si="1411"/>
        <v>46189</v>
      </c>
      <c r="B8757" s="4" t="s">
        <v>1160</v>
      </c>
      <c r="C8757" s="50" t="s">
        <v>10766</v>
      </c>
      <c r="D8757"/>
      <c r="E8757" s="90" t="s">
        <v>4720</v>
      </c>
      <c r="F8757"/>
      <c r="G8757">
        <v>2500</v>
      </c>
      <c r="H8757"/>
      <c r="I8757" s="88">
        <f t="shared" si="1418"/>
        <v>6081.5299999999988</v>
      </c>
      <c r="K8757" s="62"/>
      <c r="L8757" s="2">
        <f t="shared" si="1419"/>
        <v>10</v>
      </c>
    </row>
    <row r="8758" spans="1:12" x14ac:dyDescent="0.3">
      <c r="A8758" s="3">
        <f t="shared" si="1411"/>
        <v>46189</v>
      </c>
      <c r="B8758" s="4" t="s">
        <v>1160</v>
      </c>
      <c r="C8758" s="50" t="s">
        <v>10311</v>
      </c>
      <c r="D8758"/>
      <c r="E8758" s="90" t="s">
        <v>4720</v>
      </c>
      <c r="F8758"/>
      <c r="G8758">
        <v>2000</v>
      </c>
      <c r="H8758"/>
      <c r="I8758" s="88">
        <f t="shared" si="1418"/>
        <v>8081.5299999999988</v>
      </c>
      <c r="K8758" s="62"/>
      <c r="L8758" s="2">
        <f t="shared" si="1419"/>
        <v>8</v>
      </c>
    </row>
    <row r="8759" spans="1:12" x14ac:dyDescent="0.3">
      <c r="A8759" s="3">
        <f t="shared" si="1411"/>
        <v>46189</v>
      </c>
      <c r="B8759" s="4" t="s">
        <v>1250</v>
      </c>
      <c r="C8759" s="50" t="s">
        <v>10730</v>
      </c>
      <c r="D8759"/>
      <c r="E8759" s="90" t="s">
        <v>4720</v>
      </c>
      <c r="F8759"/>
      <c r="G8759">
        <v>2000</v>
      </c>
      <c r="H8759"/>
      <c r="I8759" s="88">
        <f t="shared" si="1418"/>
        <v>10081.529999999999</v>
      </c>
      <c r="K8759" s="62"/>
      <c r="L8759" s="2">
        <f t="shared" si="1419"/>
        <v>8</v>
      </c>
    </row>
    <row r="8760" spans="1:12" x14ac:dyDescent="0.3">
      <c r="A8760" s="3">
        <v>46190</v>
      </c>
      <c r="B8760" s="4">
        <v>4864</v>
      </c>
      <c r="C8760" s="50" t="s">
        <v>3370</v>
      </c>
      <c r="D8760"/>
      <c r="E8760" s="90" t="s">
        <v>2088</v>
      </c>
      <c r="F8760"/>
      <c r="G8760">
        <v>0</v>
      </c>
      <c r="H8760">
        <v>0</v>
      </c>
      <c r="I8760" s="88">
        <f t="shared" si="1418"/>
        <v>10081.529999999999</v>
      </c>
      <c r="K8760" s="62"/>
      <c r="L8760" s="2">
        <f t="shared" si="1419"/>
        <v>5</v>
      </c>
    </row>
    <row r="8761" spans="1:12" x14ac:dyDescent="0.3">
      <c r="A8761" s="3">
        <f t="shared" si="1411"/>
        <v>46190</v>
      </c>
      <c r="B8761" s="4">
        <v>1570</v>
      </c>
      <c r="C8761" s="50" t="s">
        <v>10769</v>
      </c>
      <c r="D8761"/>
      <c r="E8761" s="90" t="s">
        <v>2088</v>
      </c>
      <c r="F8761"/>
      <c r="G8761">
        <v>5000</v>
      </c>
      <c r="H8761"/>
      <c r="I8761" s="88">
        <f t="shared" si="1418"/>
        <v>15081.529999999999</v>
      </c>
      <c r="K8761" s="62"/>
      <c r="L8761" s="2">
        <f t="shared" si="1419"/>
        <v>25</v>
      </c>
    </row>
    <row r="8762" spans="1:12" x14ac:dyDescent="0.3">
      <c r="A8762" s="3">
        <f t="shared" ref="A8762:A8825" si="1420">A8761</f>
        <v>46190</v>
      </c>
      <c r="B8762" s="4">
        <v>2765</v>
      </c>
      <c r="C8762" s="50" t="s">
        <v>10587</v>
      </c>
      <c r="D8762"/>
      <c r="E8762" s="90" t="s">
        <v>4720</v>
      </c>
      <c r="F8762" s="1">
        <v>500</v>
      </c>
      <c r="G8762">
        <v>2000</v>
      </c>
      <c r="H8762"/>
      <c r="I8762" s="88">
        <f t="shared" si="1418"/>
        <v>17081.53</v>
      </c>
      <c r="K8762" s="62"/>
      <c r="L8762" s="2">
        <f t="shared" si="1419"/>
        <v>8</v>
      </c>
    </row>
    <row r="8763" spans="1:12" x14ac:dyDescent="0.3">
      <c r="A8763" s="3">
        <f t="shared" si="1420"/>
        <v>46190</v>
      </c>
      <c r="B8763" s="4"/>
      <c r="C8763" s="50" t="s">
        <v>2857</v>
      </c>
      <c r="D8763"/>
      <c r="E8763" s="90" t="s">
        <v>8332</v>
      </c>
      <c r="F8763"/>
      <c r="G8763"/>
      <c r="H8763">
        <v>17000</v>
      </c>
      <c r="I8763" s="88">
        <f t="shared" si="1418"/>
        <v>81.529999999998836</v>
      </c>
      <c r="K8763" s="62"/>
      <c r="L8763" s="2">
        <f t="shared" si="1419"/>
        <v>0</v>
      </c>
    </row>
    <row r="8764" spans="1:12" x14ac:dyDescent="0.3">
      <c r="A8764" s="3">
        <f t="shared" si="1420"/>
        <v>46190</v>
      </c>
      <c r="B8764" s="4" t="s">
        <v>1160</v>
      </c>
      <c r="C8764" s="50" t="s">
        <v>8616</v>
      </c>
      <c r="D8764"/>
      <c r="E8764" s="90" t="s">
        <v>4720</v>
      </c>
      <c r="F8764"/>
      <c r="G8764">
        <v>2500</v>
      </c>
      <c r="H8764"/>
      <c r="I8764" s="88">
        <f t="shared" si="1418"/>
        <v>2581.5299999999988</v>
      </c>
      <c r="K8764" s="62"/>
      <c r="L8764" s="2">
        <f t="shared" si="1419"/>
        <v>10</v>
      </c>
    </row>
    <row r="8765" spans="1:12" x14ac:dyDescent="0.3">
      <c r="A8765" s="3">
        <f t="shared" si="1420"/>
        <v>46190</v>
      </c>
      <c r="B8765" s="4">
        <v>4799</v>
      </c>
      <c r="C8765" s="50" t="s">
        <v>10045</v>
      </c>
      <c r="D8765"/>
      <c r="E8765" s="90" t="s">
        <v>2088</v>
      </c>
      <c r="F8765"/>
      <c r="G8765">
        <v>0</v>
      </c>
      <c r="H8765">
        <v>0</v>
      </c>
      <c r="I8765" s="88">
        <f t="shared" si="1418"/>
        <v>2581.5299999999988</v>
      </c>
      <c r="K8765" s="62"/>
      <c r="L8765" s="2">
        <f t="shared" si="1419"/>
        <v>5</v>
      </c>
    </row>
    <row r="8766" spans="1:12" x14ac:dyDescent="0.3">
      <c r="A8766" s="3">
        <f t="shared" si="1420"/>
        <v>46190</v>
      </c>
      <c r="B8766" s="4"/>
      <c r="D8766"/>
      <c r="E8766" s="90" t="s">
        <v>4720</v>
      </c>
      <c r="F8766"/>
      <c r="G8766"/>
      <c r="H8766">
        <v>2000</v>
      </c>
      <c r="I8766" s="88">
        <f t="shared" si="1418"/>
        <v>581.52999999999884</v>
      </c>
      <c r="K8766" s="62"/>
      <c r="L8766" s="2">
        <f t="shared" si="1419"/>
        <v>8</v>
      </c>
    </row>
    <row r="8767" spans="1:12" x14ac:dyDescent="0.3">
      <c r="A8767" s="3">
        <f t="shared" si="1420"/>
        <v>46190</v>
      </c>
      <c r="B8767" s="4">
        <v>5886</v>
      </c>
      <c r="C8767" s="50" t="s">
        <v>9112</v>
      </c>
      <c r="D8767"/>
      <c r="E8767" s="90" t="s">
        <v>4720</v>
      </c>
      <c r="F8767"/>
      <c r="G8767">
        <v>10000</v>
      </c>
      <c r="H8767"/>
      <c r="I8767" s="88">
        <f t="shared" si="1418"/>
        <v>10581.529999999999</v>
      </c>
      <c r="K8767" s="62"/>
      <c r="L8767" s="2">
        <f t="shared" si="1419"/>
        <v>20</v>
      </c>
    </row>
    <row r="8768" spans="1:12" x14ac:dyDescent="0.3">
      <c r="A8768" s="3">
        <f t="shared" si="1420"/>
        <v>46190</v>
      </c>
      <c r="B8768" s="4" t="s">
        <v>3148</v>
      </c>
      <c r="C8768" s="50" t="s">
        <v>10772</v>
      </c>
      <c r="D8768"/>
      <c r="E8768" s="90" t="s">
        <v>4720</v>
      </c>
      <c r="F8768"/>
      <c r="G8768"/>
      <c r="H8768">
        <v>2000</v>
      </c>
      <c r="I8768" s="88">
        <f t="shared" si="1418"/>
        <v>8581.5299999999988</v>
      </c>
      <c r="K8768" s="62"/>
      <c r="L8768" s="2">
        <f t="shared" si="1419"/>
        <v>8</v>
      </c>
    </row>
    <row r="8769" spans="1:12" x14ac:dyDescent="0.3">
      <c r="A8769" s="3">
        <f t="shared" si="1420"/>
        <v>46190</v>
      </c>
      <c r="B8769" s="4"/>
      <c r="C8769"/>
      <c r="D8769"/>
      <c r="E8769" s="90" t="s">
        <v>4720</v>
      </c>
      <c r="F8769"/>
      <c r="G8769">
        <v>3500</v>
      </c>
      <c r="H8769"/>
      <c r="I8769" s="88">
        <f t="shared" si="1418"/>
        <v>12081.529999999999</v>
      </c>
      <c r="K8769" s="62"/>
      <c r="L8769" s="2">
        <f t="shared" si="1419"/>
        <v>14</v>
      </c>
    </row>
    <row r="8770" spans="1:12" x14ac:dyDescent="0.3">
      <c r="A8770" s="3">
        <f t="shared" si="1420"/>
        <v>46190</v>
      </c>
      <c r="B8770" s="4"/>
      <c r="D8770"/>
      <c r="E8770" s="90" t="s">
        <v>4720</v>
      </c>
      <c r="F8770"/>
      <c r="G8770"/>
      <c r="H8770">
        <v>9000</v>
      </c>
      <c r="I8770" s="88">
        <f t="shared" si="1418"/>
        <v>3081.5299999999988</v>
      </c>
      <c r="K8770" s="62"/>
      <c r="L8770" s="2">
        <f t="shared" si="1419"/>
        <v>20</v>
      </c>
    </row>
    <row r="8771" spans="1:12" x14ac:dyDescent="0.3">
      <c r="A8771" s="3">
        <f t="shared" si="1420"/>
        <v>46190</v>
      </c>
      <c r="B8771" s="4" t="s">
        <v>8462</v>
      </c>
      <c r="C8771" s="50" t="s">
        <v>5721</v>
      </c>
      <c r="D8771"/>
      <c r="E8771" s="90" t="s">
        <v>4720</v>
      </c>
      <c r="F8771"/>
      <c r="G8771">
        <v>5000</v>
      </c>
      <c r="H8771"/>
      <c r="I8771" s="88">
        <f t="shared" si="1418"/>
        <v>8081.5299999999988</v>
      </c>
      <c r="K8771" s="62"/>
      <c r="L8771" s="2">
        <f t="shared" si="1419"/>
        <v>20</v>
      </c>
    </row>
    <row r="8772" spans="1:12" x14ac:dyDescent="0.3">
      <c r="A8772" s="3">
        <v>46193</v>
      </c>
      <c r="B8772" s="4">
        <v>4155</v>
      </c>
      <c r="C8772" s="50" t="s">
        <v>7490</v>
      </c>
      <c r="D8772"/>
      <c r="E8772" s="90" t="s">
        <v>2088</v>
      </c>
      <c r="F8772"/>
      <c r="G8772"/>
      <c r="H8772">
        <v>1000</v>
      </c>
      <c r="I8772" s="88">
        <f t="shared" si="1418"/>
        <v>7081.5299999999988</v>
      </c>
      <c r="K8772" s="62"/>
      <c r="L8772" s="2">
        <f t="shared" si="1419"/>
        <v>9</v>
      </c>
    </row>
    <row r="8773" spans="1:12" x14ac:dyDescent="0.3">
      <c r="A8773" s="3">
        <f t="shared" si="1420"/>
        <v>46193</v>
      </c>
      <c r="B8773" s="11" t="s">
        <v>10776</v>
      </c>
      <c r="C8773" s="7" t="s">
        <v>10779</v>
      </c>
      <c r="D8773"/>
      <c r="E8773" s="90" t="s">
        <v>16</v>
      </c>
      <c r="F8773"/>
      <c r="G8773"/>
      <c r="H8773">
        <v>500</v>
      </c>
      <c r="I8773" s="88">
        <f t="shared" ref="I8773:I8803" si="1421">I8772+G8773-H8773</f>
        <v>6581.5299999999988</v>
      </c>
      <c r="K8773" s="62"/>
      <c r="L8773" s="2">
        <f t="shared" ref="L8773:L8784" si="1422">IF(E8773="C",0,IF((G8773+H8773)&lt;=5000,(G8773+H8773)*0.004,20)+IF(E8773="P",5,IF(E8773="Y",15,IF(E8773="YY",25))))</f>
        <v>17</v>
      </c>
    </row>
    <row r="8774" spans="1:12" x14ac:dyDescent="0.3">
      <c r="A8774" s="3">
        <f t="shared" si="1420"/>
        <v>46193</v>
      </c>
      <c r="B8774" s="4">
        <v>4164</v>
      </c>
      <c r="C8774" s="50" t="s">
        <v>2274</v>
      </c>
      <c r="D8774"/>
      <c r="E8774" s="90" t="s">
        <v>4720</v>
      </c>
      <c r="F8774"/>
      <c r="G8774"/>
      <c r="H8774">
        <v>6000</v>
      </c>
      <c r="I8774" s="88">
        <f t="shared" si="1421"/>
        <v>581.52999999999884</v>
      </c>
      <c r="K8774" s="62"/>
      <c r="L8774" s="2">
        <f t="shared" si="1422"/>
        <v>20</v>
      </c>
    </row>
    <row r="8775" spans="1:12" x14ac:dyDescent="0.3">
      <c r="A8775" s="3">
        <f t="shared" si="1420"/>
        <v>46193</v>
      </c>
      <c r="B8775" s="4">
        <v>892</v>
      </c>
      <c r="C8775" s="50" t="s">
        <v>10780</v>
      </c>
      <c r="D8775"/>
      <c r="E8775" s="90" t="s">
        <v>4720</v>
      </c>
      <c r="F8775"/>
      <c r="G8775">
        <v>10000</v>
      </c>
      <c r="H8775"/>
      <c r="I8775" s="88">
        <f t="shared" si="1421"/>
        <v>10581.529999999999</v>
      </c>
      <c r="K8775" s="62"/>
      <c r="L8775" s="2">
        <f t="shared" si="1422"/>
        <v>20</v>
      </c>
    </row>
    <row r="8776" spans="1:12" x14ac:dyDescent="0.3">
      <c r="A8776" s="3">
        <v>46194</v>
      </c>
      <c r="B8776" s="4">
        <v>4823</v>
      </c>
      <c r="C8776" s="50" t="s">
        <v>8837</v>
      </c>
      <c r="D8776"/>
      <c r="E8776" s="90" t="s">
        <v>4720</v>
      </c>
      <c r="F8776"/>
      <c r="G8776">
        <v>2500</v>
      </c>
      <c r="H8776"/>
      <c r="I8776" s="88">
        <f t="shared" si="1421"/>
        <v>13081.529999999999</v>
      </c>
      <c r="K8776" s="62"/>
      <c r="L8776" s="2">
        <f t="shared" si="1422"/>
        <v>10</v>
      </c>
    </row>
    <row r="8777" spans="1:12" x14ac:dyDescent="0.3">
      <c r="A8777" s="3">
        <f t="shared" si="1420"/>
        <v>46194</v>
      </c>
      <c r="B8777" s="4">
        <v>4164</v>
      </c>
      <c r="C8777" t="s">
        <v>2274</v>
      </c>
      <c r="D8777"/>
      <c r="E8777" s="90" t="s">
        <v>4720</v>
      </c>
      <c r="F8777"/>
      <c r="G8777"/>
      <c r="H8777">
        <v>3000</v>
      </c>
      <c r="I8777" s="88">
        <f t="shared" si="1421"/>
        <v>10081.529999999999</v>
      </c>
      <c r="K8777" s="62"/>
      <c r="L8777" s="2">
        <f t="shared" si="1422"/>
        <v>12</v>
      </c>
    </row>
    <row r="8778" spans="1:12" x14ac:dyDescent="0.3">
      <c r="A8778" s="3">
        <f t="shared" si="1420"/>
        <v>46194</v>
      </c>
      <c r="B8778" s="50" t="s">
        <v>2678</v>
      </c>
      <c r="C8778" s="50" t="s">
        <v>3088</v>
      </c>
      <c r="D8778"/>
      <c r="E8778" s="90" t="s">
        <v>4720</v>
      </c>
      <c r="F8778"/>
      <c r="G8778"/>
      <c r="H8778">
        <v>5000</v>
      </c>
      <c r="I8778" s="88">
        <f t="shared" si="1421"/>
        <v>5081.5299999999988</v>
      </c>
      <c r="K8778" s="62"/>
      <c r="L8778" s="2">
        <f t="shared" si="1422"/>
        <v>20</v>
      </c>
    </row>
    <row r="8779" spans="1:12" x14ac:dyDescent="0.3">
      <c r="A8779" s="3">
        <f t="shared" si="1420"/>
        <v>46194</v>
      </c>
      <c r="B8779" s="50" t="s">
        <v>6700</v>
      </c>
      <c r="C8779" s="50" t="s">
        <v>6833</v>
      </c>
      <c r="D8779"/>
      <c r="E8779" s="90" t="s">
        <v>4720</v>
      </c>
      <c r="F8779"/>
      <c r="G8779"/>
      <c r="H8779">
        <v>5000</v>
      </c>
      <c r="I8779" s="88">
        <f t="shared" si="1421"/>
        <v>81.529999999998836</v>
      </c>
      <c r="K8779" s="62"/>
      <c r="L8779" s="2">
        <f t="shared" si="1422"/>
        <v>20</v>
      </c>
    </row>
    <row r="8780" spans="1:12" x14ac:dyDescent="0.3">
      <c r="A8780" s="3">
        <v>46195</v>
      </c>
      <c r="B8780" s="4">
        <v>3490</v>
      </c>
      <c r="C8780" s="50" t="s">
        <v>8901</v>
      </c>
      <c r="D8780"/>
      <c r="E8780" s="90" t="s">
        <v>4720</v>
      </c>
      <c r="F8780"/>
      <c r="G8780">
        <v>2500</v>
      </c>
      <c r="H8780"/>
      <c r="I8780" s="88">
        <f t="shared" si="1421"/>
        <v>2581.5299999999988</v>
      </c>
      <c r="K8780" s="62"/>
      <c r="L8780" s="2">
        <f t="shared" si="1422"/>
        <v>10</v>
      </c>
    </row>
    <row r="8781" spans="1:12" x14ac:dyDescent="0.3">
      <c r="A8781" s="3">
        <f t="shared" si="1420"/>
        <v>46195</v>
      </c>
      <c r="B8781" s="4">
        <v>4665</v>
      </c>
      <c r="C8781" s="50" t="s">
        <v>7529</v>
      </c>
      <c r="D8781"/>
      <c r="E8781" s="90" t="s">
        <v>2088</v>
      </c>
      <c r="F8781"/>
      <c r="G8781">
        <v>3000</v>
      </c>
      <c r="H8781"/>
      <c r="I8781" s="88">
        <f t="shared" si="1421"/>
        <v>5581.5299999999988</v>
      </c>
      <c r="K8781" s="62"/>
      <c r="L8781" s="2">
        <f t="shared" si="1422"/>
        <v>17</v>
      </c>
    </row>
    <row r="8782" spans="1:12" x14ac:dyDescent="0.3">
      <c r="A8782" s="3">
        <f t="shared" si="1420"/>
        <v>46195</v>
      </c>
      <c r="B8782" s="4">
        <v>3083</v>
      </c>
      <c r="C8782" s="50" t="s">
        <v>8926</v>
      </c>
      <c r="D8782"/>
      <c r="E8782" s="90" t="s">
        <v>4720</v>
      </c>
      <c r="F8782"/>
      <c r="G8782">
        <v>2500</v>
      </c>
      <c r="H8782"/>
      <c r="I8782" s="88">
        <f t="shared" si="1421"/>
        <v>8081.5299999999988</v>
      </c>
      <c r="K8782" s="62"/>
      <c r="L8782" s="2">
        <f t="shared" si="1422"/>
        <v>10</v>
      </c>
    </row>
    <row r="8783" spans="1:12" x14ac:dyDescent="0.3">
      <c r="A8783" s="3">
        <f t="shared" si="1420"/>
        <v>46195</v>
      </c>
      <c r="B8783" s="4">
        <v>4698</v>
      </c>
      <c r="C8783" s="50" t="s">
        <v>10781</v>
      </c>
      <c r="D8783"/>
      <c r="E8783" s="90" t="s">
        <v>4720</v>
      </c>
      <c r="F8783"/>
      <c r="G8783"/>
      <c r="H8783">
        <v>6000</v>
      </c>
      <c r="I8783" s="88">
        <f t="shared" si="1421"/>
        <v>2081.5299999999988</v>
      </c>
      <c r="K8783" s="62"/>
      <c r="L8783" s="2">
        <f t="shared" si="1422"/>
        <v>20</v>
      </c>
    </row>
    <row r="8784" spans="1:12" x14ac:dyDescent="0.3">
      <c r="A8784" s="3">
        <f t="shared" si="1420"/>
        <v>46195</v>
      </c>
      <c r="B8784" s="4"/>
      <c r="C8784"/>
      <c r="D8784"/>
      <c r="E8784" s="90" t="s">
        <v>16</v>
      </c>
      <c r="F8784"/>
      <c r="G8784"/>
      <c r="H8784">
        <v>1000</v>
      </c>
      <c r="I8784" s="88">
        <f t="shared" si="1421"/>
        <v>1081.5299999999988</v>
      </c>
      <c r="K8784" s="62"/>
      <c r="L8784" s="2">
        <f t="shared" si="1422"/>
        <v>19</v>
      </c>
    </row>
    <row r="8785" spans="1:12" x14ac:dyDescent="0.3">
      <c r="A8785" s="3">
        <f t="shared" si="1420"/>
        <v>46195</v>
      </c>
      <c r="B8785" s="4" t="s">
        <v>1250</v>
      </c>
      <c r="C8785" s="50" t="s">
        <v>10783</v>
      </c>
      <c r="D8785"/>
      <c r="E8785" s="90" t="s">
        <v>4720</v>
      </c>
      <c r="F8785"/>
      <c r="G8785">
        <v>2000</v>
      </c>
      <c r="H8785"/>
      <c r="I8785" s="88">
        <f t="shared" si="1421"/>
        <v>3081.5299999999988</v>
      </c>
      <c r="K8785" s="62"/>
      <c r="L8785" s="2">
        <f t="shared" ref="L8785:L8791" si="1423">IF(E8785="C",0,IF((G8785+H8785)&lt;=5000,(G8785+H8785)*0.004,20)+IF(E8785="P",5,IF(E8785="Y",15,IF(E8785="YY",25))))</f>
        <v>8</v>
      </c>
    </row>
    <row r="8786" spans="1:12" x14ac:dyDescent="0.3">
      <c r="A8786" s="3">
        <f t="shared" si="1420"/>
        <v>46195</v>
      </c>
      <c r="B8786" s="4"/>
      <c r="C8786"/>
      <c r="D8786"/>
      <c r="E8786" s="90" t="s">
        <v>4720</v>
      </c>
      <c r="F8786"/>
      <c r="G8786"/>
      <c r="H8786">
        <v>500</v>
      </c>
      <c r="I8786" s="88">
        <f t="shared" si="1421"/>
        <v>2581.5299999999988</v>
      </c>
      <c r="K8786" s="62"/>
      <c r="L8786" s="2">
        <f t="shared" si="1423"/>
        <v>2</v>
      </c>
    </row>
    <row r="8787" spans="1:12" x14ac:dyDescent="0.3">
      <c r="A8787" s="3">
        <f t="shared" si="1420"/>
        <v>46195</v>
      </c>
      <c r="B8787" s="4">
        <v>3160</v>
      </c>
      <c r="C8787" s="50" t="s">
        <v>10786</v>
      </c>
      <c r="D8787"/>
      <c r="E8787" s="90" t="s">
        <v>7772</v>
      </c>
      <c r="F8787"/>
      <c r="G8787">
        <v>3000</v>
      </c>
      <c r="H8787"/>
      <c r="I8787" s="88">
        <f t="shared" si="1421"/>
        <v>5581.5299999999988</v>
      </c>
      <c r="K8787" s="62"/>
      <c r="L8787" s="2">
        <f t="shared" si="1423"/>
        <v>17</v>
      </c>
    </row>
    <row r="8788" spans="1:12" x14ac:dyDescent="0.3">
      <c r="A8788" s="3">
        <f t="shared" si="1420"/>
        <v>46195</v>
      </c>
      <c r="B8788" s="4">
        <v>1580</v>
      </c>
      <c r="C8788" t="s">
        <v>4867</v>
      </c>
      <c r="D8788"/>
      <c r="E8788" s="90" t="s">
        <v>7772</v>
      </c>
      <c r="F8788"/>
      <c r="G8788">
        <v>1000</v>
      </c>
      <c r="H8788"/>
      <c r="I8788" s="88">
        <f t="shared" si="1421"/>
        <v>6581.5299999999988</v>
      </c>
      <c r="K8788" s="62"/>
      <c r="L8788" s="2">
        <f t="shared" si="1423"/>
        <v>9</v>
      </c>
    </row>
    <row r="8789" spans="1:12" x14ac:dyDescent="0.3">
      <c r="A8789" s="3">
        <f t="shared" si="1420"/>
        <v>46195</v>
      </c>
      <c r="B8789" s="4" t="s">
        <v>3148</v>
      </c>
      <c r="C8789" s="50" t="s">
        <v>7610</v>
      </c>
      <c r="D8789"/>
      <c r="E8789" s="90" t="s">
        <v>4720</v>
      </c>
      <c r="F8789"/>
      <c r="G8789">
        <v>2000</v>
      </c>
      <c r="H8789"/>
      <c r="I8789" s="88">
        <f t="shared" si="1421"/>
        <v>8581.5299999999988</v>
      </c>
      <c r="K8789" s="62"/>
      <c r="L8789" s="2">
        <f t="shared" si="1423"/>
        <v>8</v>
      </c>
    </row>
    <row r="8790" spans="1:12" x14ac:dyDescent="0.3">
      <c r="A8790" s="3">
        <f t="shared" si="1420"/>
        <v>46195</v>
      </c>
      <c r="B8790" s="4" t="s">
        <v>1250</v>
      </c>
      <c r="C8790" t="s">
        <v>6985</v>
      </c>
      <c r="D8790"/>
      <c r="E8790" s="90" t="s">
        <v>4720</v>
      </c>
      <c r="F8790"/>
      <c r="G8790" s="1">
        <v>5000</v>
      </c>
      <c r="H8790"/>
      <c r="I8790" s="88">
        <f t="shared" si="1421"/>
        <v>13581.529999999999</v>
      </c>
      <c r="K8790" s="62"/>
      <c r="L8790" s="2">
        <f t="shared" si="1423"/>
        <v>20</v>
      </c>
    </row>
    <row r="8791" spans="1:12" x14ac:dyDescent="0.3">
      <c r="A8791" s="3">
        <f t="shared" si="1420"/>
        <v>46195</v>
      </c>
      <c r="B8791" s="4">
        <v>2735</v>
      </c>
      <c r="C8791" s="50" t="s">
        <v>6234</v>
      </c>
      <c r="D8791"/>
      <c r="E8791" s="90" t="s">
        <v>2088</v>
      </c>
      <c r="F8791"/>
      <c r="G8791">
        <v>0</v>
      </c>
      <c r="H8791">
        <v>0</v>
      </c>
      <c r="I8791" s="88">
        <f t="shared" si="1421"/>
        <v>13581.529999999999</v>
      </c>
      <c r="K8791" s="62"/>
      <c r="L8791" s="2">
        <f t="shared" si="1423"/>
        <v>5</v>
      </c>
    </row>
    <row r="8792" spans="1:12" x14ac:dyDescent="0.3">
      <c r="A8792" s="3">
        <v>46196</v>
      </c>
      <c r="B8792" s="4" t="s">
        <v>3369</v>
      </c>
      <c r="C8792" t="s">
        <v>3370</v>
      </c>
      <c r="D8792"/>
      <c r="E8792" s="90" t="s">
        <v>4720</v>
      </c>
      <c r="F8792"/>
      <c r="G8792">
        <v>1200</v>
      </c>
      <c r="H8792"/>
      <c r="I8792" s="88">
        <f t="shared" si="1421"/>
        <v>14781.529999999999</v>
      </c>
      <c r="K8792" s="62"/>
      <c r="L8792" s="2">
        <f t="shared" ref="L8792:L8855" si="1424">IF(E8792="C",0,IF((G8792+H8792)&lt;=5000,(G8792+H8792)*0.004,20)+IF(E8792="P",5,IF(E8792="Y",15,IF(E8792="YY",25))))</f>
        <v>4.8</v>
      </c>
    </row>
    <row r="8793" spans="1:12" x14ac:dyDescent="0.3">
      <c r="A8793" s="3">
        <f t="shared" si="1420"/>
        <v>46196</v>
      </c>
      <c r="B8793" s="4">
        <v>4864</v>
      </c>
      <c r="C8793" t="s">
        <v>3370</v>
      </c>
      <c r="D8793"/>
      <c r="E8793" s="90" t="s">
        <v>2088</v>
      </c>
      <c r="F8793"/>
      <c r="G8793"/>
      <c r="H8793">
        <v>1200</v>
      </c>
      <c r="I8793" s="88">
        <f t="shared" si="1421"/>
        <v>13581.529999999999</v>
      </c>
      <c r="K8793" s="62"/>
      <c r="L8793" s="2">
        <f t="shared" si="1424"/>
        <v>9.8000000000000007</v>
      </c>
    </row>
    <row r="8794" spans="1:12" x14ac:dyDescent="0.3">
      <c r="A8794" s="3">
        <f t="shared" si="1420"/>
        <v>46196</v>
      </c>
      <c r="B8794" s="4">
        <v>935</v>
      </c>
      <c r="C8794" t="s">
        <v>2412</v>
      </c>
      <c r="D8794"/>
      <c r="E8794" s="90" t="s">
        <v>2088</v>
      </c>
      <c r="F8794"/>
      <c r="G8794">
        <v>1000</v>
      </c>
      <c r="H8794"/>
      <c r="I8794" s="88">
        <f t="shared" si="1421"/>
        <v>14581.529999999999</v>
      </c>
      <c r="K8794" s="62"/>
      <c r="L8794" s="2">
        <f t="shared" si="1424"/>
        <v>9</v>
      </c>
    </row>
    <row r="8795" spans="1:12" x14ac:dyDescent="0.3">
      <c r="A8795" s="3">
        <f t="shared" si="1420"/>
        <v>46196</v>
      </c>
      <c r="B8795" s="4">
        <v>5370</v>
      </c>
      <c r="C8795" t="s">
        <v>7631</v>
      </c>
      <c r="D8795"/>
      <c r="E8795" s="90" t="s">
        <v>2088</v>
      </c>
      <c r="F8795"/>
      <c r="G8795">
        <v>7000</v>
      </c>
      <c r="H8795"/>
      <c r="I8795" s="88">
        <f t="shared" si="1421"/>
        <v>21581.53</v>
      </c>
      <c r="K8795" s="62"/>
      <c r="L8795" s="2">
        <f t="shared" si="1424"/>
        <v>25</v>
      </c>
    </row>
    <row r="8796" spans="1:12" x14ac:dyDescent="0.3">
      <c r="A8796" s="3">
        <f t="shared" si="1420"/>
        <v>46196</v>
      </c>
      <c r="B8796" s="4">
        <v>4735</v>
      </c>
      <c r="C8796" t="s">
        <v>8138</v>
      </c>
      <c r="D8796"/>
      <c r="E8796" s="90" t="s">
        <v>2088</v>
      </c>
      <c r="F8796"/>
      <c r="G8796">
        <v>0</v>
      </c>
      <c r="H8796">
        <v>0</v>
      </c>
      <c r="I8796" s="88">
        <f t="shared" si="1421"/>
        <v>21581.53</v>
      </c>
      <c r="K8796" s="62"/>
      <c r="L8796" s="2">
        <f t="shared" si="1424"/>
        <v>5</v>
      </c>
    </row>
    <row r="8797" spans="1:12" x14ac:dyDescent="0.3">
      <c r="A8797" s="3">
        <f t="shared" si="1420"/>
        <v>46196</v>
      </c>
      <c r="B8797" s="4" t="s">
        <v>2490</v>
      </c>
      <c r="C8797" t="s">
        <v>2857</v>
      </c>
      <c r="D8797"/>
      <c r="E8797" s="90" t="s">
        <v>8332</v>
      </c>
      <c r="F8797"/>
      <c r="G8797"/>
      <c r="H8797">
        <v>15000</v>
      </c>
      <c r="I8797" s="88">
        <f t="shared" si="1421"/>
        <v>6581.5299999999988</v>
      </c>
      <c r="K8797" s="62"/>
      <c r="L8797" s="2">
        <f t="shared" si="1424"/>
        <v>0</v>
      </c>
    </row>
    <row r="8798" spans="1:12" x14ac:dyDescent="0.3">
      <c r="A8798" s="3">
        <f t="shared" si="1420"/>
        <v>46196</v>
      </c>
      <c r="B8798" s="4">
        <v>2986</v>
      </c>
      <c r="C8798" t="s">
        <v>10800</v>
      </c>
      <c r="D8798"/>
      <c r="E8798" s="90" t="s">
        <v>2088</v>
      </c>
      <c r="F8798"/>
      <c r="G8798">
        <v>2500</v>
      </c>
      <c r="H8798"/>
      <c r="I8798" s="88">
        <f t="shared" si="1421"/>
        <v>9081.5299999999988</v>
      </c>
      <c r="K8798" s="62"/>
      <c r="L8798" s="2">
        <f t="shared" si="1424"/>
        <v>15</v>
      </c>
    </row>
    <row r="8799" spans="1:12" x14ac:dyDescent="0.3">
      <c r="A8799" s="3">
        <f t="shared" si="1420"/>
        <v>46196</v>
      </c>
      <c r="B8799" s="4">
        <v>105</v>
      </c>
      <c r="C8799" t="s">
        <v>7117</v>
      </c>
      <c r="D8799"/>
      <c r="E8799" s="90" t="s">
        <v>4720</v>
      </c>
      <c r="F8799"/>
      <c r="G8799"/>
      <c r="H8799">
        <v>3000</v>
      </c>
      <c r="I8799" s="88">
        <f t="shared" si="1421"/>
        <v>6081.5299999999988</v>
      </c>
      <c r="K8799" s="62"/>
      <c r="L8799" s="2">
        <f t="shared" si="1424"/>
        <v>12</v>
      </c>
    </row>
    <row r="8800" spans="1:12" x14ac:dyDescent="0.3">
      <c r="A8800" s="3">
        <f t="shared" si="1420"/>
        <v>46196</v>
      </c>
      <c r="B8800" s="4">
        <v>5197</v>
      </c>
      <c r="C8800" t="s">
        <v>10801</v>
      </c>
      <c r="D8800"/>
      <c r="E8800" s="90" t="s">
        <v>2088</v>
      </c>
      <c r="F8800"/>
      <c r="G8800">
        <v>1000</v>
      </c>
      <c r="H8800"/>
      <c r="I8800" s="88">
        <f t="shared" si="1421"/>
        <v>7081.5299999999988</v>
      </c>
      <c r="K8800" s="62"/>
      <c r="L8800" s="2">
        <f t="shared" si="1424"/>
        <v>9</v>
      </c>
    </row>
    <row r="8801" spans="1:12" x14ac:dyDescent="0.3">
      <c r="A8801" s="3">
        <f t="shared" si="1420"/>
        <v>46196</v>
      </c>
      <c r="B8801" s="4">
        <v>5625</v>
      </c>
      <c r="C8801" t="s">
        <v>9757</v>
      </c>
      <c r="D8801"/>
      <c r="E8801" s="90" t="s">
        <v>2088</v>
      </c>
      <c r="F8801"/>
      <c r="G8801">
        <v>2500</v>
      </c>
      <c r="H8801"/>
      <c r="I8801" s="88">
        <f t="shared" si="1421"/>
        <v>9581.5299999999988</v>
      </c>
      <c r="K8801" s="62"/>
      <c r="L8801" s="2">
        <f t="shared" si="1424"/>
        <v>15</v>
      </c>
    </row>
    <row r="8802" spans="1:12" x14ac:dyDescent="0.3">
      <c r="A8802" s="3">
        <f t="shared" si="1420"/>
        <v>46196</v>
      </c>
      <c r="B8802" s="4">
        <v>5886</v>
      </c>
      <c r="C8802" t="s">
        <v>9112</v>
      </c>
      <c r="D8802"/>
      <c r="E8802" s="90" t="s">
        <v>7772</v>
      </c>
      <c r="F8802"/>
      <c r="G8802">
        <v>2000</v>
      </c>
      <c r="H8802"/>
      <c r="I8802" s="88">
        <f t="shared" si="1421"/>
        <v>11581.529999999999</v>
      </c>
      <c r="K8802" s="62"/>
      <c r="L8802" s="2">
        <f t="shared" si="1424"/>
        <v>13</v>
      </c>
    </row>
    <row r="8803" spans="1:12" x14ac:dyDescent="0.3">
      <c r="A8803" s="3">
        <f t="shared" si="1420"/>
        <v>46196</v>
      </c>
      <c r="B8803" s="4"/>
      <c r="C8803" t="s">
        <v>2857</v>
      </c>
      <c r="D8803"/>
      <c r="E8803" s="90" t="s">
        <v>8332</v>
      </c>
      <c r="F8803"/>
      <c r="G8803"/>
      <c r="H8803">
        <v>11000</v>
      </c>
      <c r="I8803" s="88">
        <f t="shared" si="1421"/>
        <v>581.52999999999884</v>
      </c>
      <c r="K8803" s="62"/>
      <c r="L8803" s="2">
        <f t="shared" si="1424"/>
        <v>0</v>
      </c>
    </row>
    <row r="8804" spans="1:12" x14ac:dyDescent="0.3">
      <c r="A8804" s="3">
        <f t="shared" si="1420"/>
        <v>46196</v>
      </c>
      <c r="B8804" s="4">
        <v>1464</v>
      </c>
      <c r="C8804" t="s">
        <v>10087</v>
      </c>
      <c r="D8804"/>
      <c r="E8804" s="90" t="s">
        <v>4720</v>
      </c>
      <c r="F8804"/>
      <c r="G8804"/>
      <c r="H8804">
        <v>500</v>
      </c>
      <c r="I8804" s="88">
        <f t="shared" ref="I8804:I8823" si="1425">I8803+G8804-H8804</f>
        <v>81.529999999998836</v>
      </c>
      <c r="K8804" s="62"/>
      <c r="L8804" s="2">
        <f t="shared" si="1424"/>
        <v>2</v>
      </c>
    </row>
    <row r="8805" spans="1:12" x14ac:dyDescent="0.3">
      <c r="A8805" s="3">
        <f t="shared" si="1420"/>
        <v>46196</v>
      </c>
      <c r="B8805" s="4">
        <v>5367</v>
      </c>
      <c r="C8805" t="s">
        <v>8340</v>
      </c>
      <c r="D8805"/>
      <c r="E8805" s="90" t="s">
        <v>4720</v>
      </c>
      <c r="F8805"/>
      <c r="G8805">
        <v>4500</v>
      </c>
      <c r="H8805"/>
      <c r="I8805" s="88">
        <f t="shared" si="1425"/>
        <v>4581.5299999999988</v>
      </c>
      <c r="K8805" s="62"/>
      <c r="L8805" s="2">
        <f t="shared" si="1424"/>
        <v>18</v>
      </c>
    </row>
    <row r="8806" spans="1:12" x14ac:dyDescent="0.3">
      <c r="A8806" s="3">
        <f t="shared" si="1420"/>
        <v>46196</v>
      </c>
      <c r="B8806" s="4" t="s">
        <v>1472</v>
      </c>
      <c r="C8806" t="s">
        <v>8055</v>
      </c>
      <c r="D8806"/>
      <c r="E8806" s="90" t="s">
        <v>4720</v>
      </c>
      <c r="F8806"/>
      <c r="G8806">
        <v>2500</v>
      </c>
      <c r="H8806"/>
      <c r="I8806" s="88">
        <f t="shared" si="1425"/>
        <v>7081.5299999999988</v>
      </c>
      <c r="K8806" s="62"/>
      <c r="L8806" s="2">
        <f t="shared" si="1424"/>
        <v>10</v>
      </c>
    </row>
    <row r="8807" spans="1:12" x14ac:dyDescent="0.3">
      <c r="A8807" s="3">
        <f t="shared" si="1420"/>
        <v>46196</v>
      </c>
      <c r="B8807" s="4">
        <v>5882</v>
      </c>
      <c r="C8807" t="s">
        <v>8055</v>
      </c>
      <c r="D8807"/>
      <c r="E8807" s="90" t="s">
        <v>4720</v>
      </c>
      <c r="F8807"/>
      <c r="G8807"/>
      <c r="H8807">
        <v>2500</v>
      </c>
      <c r="I8807" s="88">
        <f t="shared" si="1425"/>
        <v>4581.5299999999988</v>
      </c>
      <c r="K8807" s="62"/>
      <c r="L8807" s="2">
        <f t="shared" si="1424"/>
        <v>10</v>
      </c>
    </row>
    <row r="8808" spans="1:12" x14ac:dyDescent="0.3">
      <c r="A8808" s="3">
        <f t="shared" si="1420"/>
        <v>46196</v>
      </c>
      <c r="B8808" s="4">
        <v>3896</v>
      </c>
      <c r="C8808" t="s">
        <v>9635</v>
      </c>
      <c r="D8808"/>
      <c r="E8808" s="90" t="s">
        <v>4720</v>
      </c>
      <c r="F8808"/>
      <c r="G8808">
        <v>3000</v>
      </c>
      <c r="H8808"/>
      <c r="I8808" s="88">
        <f t="shared" si="1425"/>
        <v>7581.5299999999988</v>
      </c>
      <c r="K8808" s="62"/>
      <c r="L8808" s="2">
        <f t="shared" si="1424"/>
        <v>12</v>
      </c>
    </row>
    <row r="8809" spans="1:12" x14ac:dyDescent="0.3">
      <c r="A8809" s="3">
        <f t="shared" si="1420"/>
        <v>46196</v>
      </c>
      <c r="B8809" s="4">
        <v>4184</v>
      </c>
      <c r="C8809" t="s">
        <v>2274</v>
      </c>
      <c r="D8809"/>
      <c r="E8809" s="90" t="s">
        <v>4720</v>
      </c>
      <c r="F8809"/>
      <c r="G8809"/>
      <c r="H8809">
        <v>6500</v>
      </c>
      <c r="I8809" s="88">
        <f t="shared" si="1425"/>
        <v>1081.5299999999988</v>
      </c>
      <c r="K8809" s="62"/>
      <c r="L8809" s="2">
        <f t="shared" si="1424"/>
        <v>20</v>
      </c>
    </row>
    <row r="8810" spans="1:12" x14ac:dyDescent="0.3">
      <c r="A8810" s="3">
        <v>46197</v>
      </c>
      <c r="B8810" s="4" t="s">
        <v>1170</v>
      </c>
      <c r="C8810" t="s">
        <v>7773</v>
      </c>
      <c r="D8810"/>
      <c r="E8810" s="90" t="s">
        <v>4720</v>
      </c>
      <c r="F8810"/>
      <c r="G8810">
        <v>3050</v>
      </c>
      <c r="H8810"/>
      <c r="I8810" s="88">
        <f t="shared" si="1425"/>
        <v>4131.5299999999988</v>
      </c>
      <c r="K8810" s="62"/>
      <c r="L8810" s="2">
        <f t="shared" si="1424"/>
        <v>12.200000000000001</v>
      </c>
    </row>
    <row r="8811" spans="1:12" x14ac:dyDescent="0.3">
      <c r="A8811" s="3">
        <f t="shared" si="1420"/>
        <v>46197</v>
      </c>
      <c r="B8811" s="4">
        <v>4719</v>
      </c>
      <c r="C8811" t="s">
        <v>10802</v>
      </c>
      <c r="D8811"/>
      <c r="E8811" s="90" t="s">
        <v>4720</v>
      </c>
      <c r="F8811"/>
      <c r="G8811">
        <v>3000</v>
      </c>
      <c r="H8811"/>
      <c r="I8811" s="88">
        <f t="shared" si="1425"/>
        <v>7131.5299999999988</v>
      </c>
      <c r="K8811" s="62"/>
      <c r="L8811" s="2">
        <f t="shared" si="1424"/>
        <v>12</v>
      </c>
    </row>
    <row r="8812" spans="1:12" x14ac:dyDescent="0.3">
      <c r="A8812" s="3">
        <f t="shared" si="1420"/>
        <v>46197</v>
      </c>
      <c r="B8812" s="85">
        <v>1836076</v>
      </c>
      <c r="C8812" t="s">
        <v>10803</v>
      </c>
      <c r="D8812"/>
      <c r="E8812" s="90" t="s">
        <v>4720</v>
      </c>
      <c r="F8812"/>
      <c r="G8812"/>
      <c r="H8812">
        <v>4000</v>
      </c>
      <c r="I8812" s="88">
        <f t="shared" si="1425"/>
        <v>3131.5299999999988</v>
      </c>
      <c r="K8812" s="62"/>
      <c r="L8812" s="2">
        <f t="shared" si="1424"/>
        <v>16</v>
      </c>
    </row>
    <row r="8813" spans="1:12" x14ac:dyDescent="0.3">
      <c r="A8813" s="3">
        <f t="shared" si="1420"/>
        <v>46197</v>
      </c>
      <c r="B8813" s="4" t="s">
        <v>10804</v>
      </c>
      <c r="C8813" t="s">
        <v>6836</v>
      </c>
      <c r="D8813"/>
      <c r="E8813" s="90" t="s">
        <v>4720</v>
      </c>
      <c r="F8813"/>
      <c r="G8813">
        <v>2000</v>
      </c>
      <c r="H8813"/>
      <c r="I8813" s="88">
        <f t="shared" si="1425"/>
        <v>5131.5299999999988</v>
      </c>
      <c r="K8813" s="62"/>
      <c r="L8813" s="2">
        <f t="shared" si="1424"/>
        <v>8</v>
      </c>
    </row>
    <row r="8814" spans="1:12" x14ac:dyDescent="0.3">
      <c r="A8814" s="3">
        <f t="shared" si="1420"/>
        <v>46197</v>
      </c>
      <c r="B8814" s="4">
        <v>5116</v>
      </c>
      <c r="C8814" t="s">
        <v>10805</v>
      </c>
      <c r="D8814"/>
      <c r="E8814" s="90" t="s">
        <v>4720</v>
      </c>
      <c r="F8814"/>
      <c r="G8814"/>
      <c r="H8814">
        <v>5000</v>
      </c>
      <c r="I8814" s="88">
        <f t="shared" si="1425"/>
        <v>131.52999999999884</v>
      </c>
      <c r="K8814" s="62"/>
      <c r="L8814" s="2">
        <f t="shared" si="1424"/>
        <v>20</v>
      </c>
    </row>
    <row r="8815" spans="1:12" x14ac:dyDescent="0.3">
      <c r="A8815" s="3">
        <f t="shared" si="1420"/>
        <v>46197</v>
      </c>
      <c r="B8815" s="11" t="s">
        <v>8465</v>
      </c>
      <c r="C8815" s="50" t="s">
        <v>9096</v>
      </c>
      <c r="E8815" s="90" t="s">
        <v>2088</v>
      </c>
      <c r="F8815"/>
      <c r="G8815">
        <v>2000</v>
      </c>
      <c r="H8815"/>
      <c r="I8815" s="88">
        <f t="shared" si="1425"/>
        <v>2131.5299999999988</v>
      </c>
      <c r="K8815" s="62"/>
      <c r="L8815" s="2">
        <f t="shared" si="1424"/>
        <v>13</v>
      </c>
    </row>
    <row r="8816" spans="1:12" x14ac:dyDescent="0.3">
      <c r="A8816" s="3">
        <f t="shared" si="1420"/>
        <v>46197</v>
      </c>
      <c r="B8816" s="4" t="s">
        <v>1250</v>
      </c>
      <c r="C8816" t="s">
        <v>8060</v>
      </c>
      <c r="D8816"/>
      <c r="E8816" s="90" t="s">
        <v>4720</v>
      </c>
      <c r="F8816"/>
      <c r="G8816">
        <v>3000</v>
      </c>
      <c r="H8816"/>
      <c r="I8816" s="88">
        <f t="shared" si="1425"/>
        <v>5131.5299999999988</v>
      </c>
      <c r="K8816" s="62"/>
      <c r="L8816" s="2">
        <f t="shared" si="1424"/>
        <v>12</v>
      </c>
    </row>
    <row r="8817" spans="1:12" x14ac:dyDescent="0.3">
      <c r="A8817" s="3">
        <f t="shared" si="1420"/>
        <v>46197</v>
      </c>
      <c r="B8817" s="4" t="s">
        <v>10807</v>
      </c>
      <c r="C8817" t="s">
        <v>8768</v>
      </c>
      <c r="D8817"/>
      <c r="E8817" s="90" t="s">
        <v>4720</v>
      </c>
      <c r="F8817"/>
      <c r="G8817">
        <v>6000</v>
      </c>
      <c r="H8817"/>
      <c r="I8817" s="88">
        <f t="shared" si="1425"/>
        <v>11131.529999999999</v>
      </c>
      <c r="K8817" s="62"/>
      <c r="L8817" s="2">
        <f t="shared" si="1424"/>
        <v>20</v>
      </c>
    </row>
    <row r="8818" spans="1:12" x14ac:dyDescent="0.3">
      <c r="A8818" s="3">
        <f t="shared" si="1420"/>
        <v>46197</v>
      </c>
      <c r="B8818" s="4">
        <v>5063</v>
      </c>
      <c r="C8818" t="s">
        <v>10806</v>
      </c>
      <c r="D8818">
        <v>9835560444</v>
      </c>
      <c r="E8818" s="90" t="s">
        <v>4720</v>
      </c>
      <c r="F8818"/>
      <c r="G8818"/>
      <c r="H8818">
        <v>5000</v>
      </c>
      <c r="I8818" s="88">
        <f t="shared" si="1425"/>
        <v>6131.5299999999988</v>
      </c>
      <c r="K8818" s="62"/>
      <c r="L8818" s="2">
        <f t="shared" si="1424"/>
        <v>20</v>
      </c>
    </row>
    <row r="8819" spans="1:12" x14ac:dyDescent="0.3">
      <c r="A8819" s="3">
        <f t="shared" si="1420"/>
        <v>46197</v>
      </c>
      <c r="B8819" s="4">
        <v>6091</v>
      </c>
      <c r="C8819" t="s">
        <v>10808</v>
      </c>
      <c r="D8819"/>
      <c r="E8819" s="90" t="s">
        <v>2088</v>
      </c>
      <c r="F8819"/>
      <c r="G8819">
        <v>0</v>
      </c>
      <c r="H8819">
        <v>0</v>
      </c>
      <c r="I8819" s="88">
        <f t="shared" si="1425"/>
        <v>6131.5299999999988</v>
      </c>
      <c r="K8819" s="62"/>
      <c r="L8819" s="2">
        <f t="shared" si="1424"/>
        <v>5</v>
      </c>
    </row>
    <row r="8820" spans="1:12" x14ac:dyDescent="0.3">
      <c r="A8820" s="3">
        <f t="shared" si="1420"/>
        <v>46197</v>
      </c>
      <c r="B8820" s="11" t="s">
        <v>1250</v>
      </c>
      <c r="C8820" s="50" t="s">
        <v>10780</v>
      </c>
      <c r="E8820" s="90" t="s">
        <v>4720</v>
      </c>
      <c r="F8820"/>
      <c r="G8820">
        <v>5000</v>
      </c>
      <c r="H8820"/>
      <c r="I8820" s="88">
        <f t="shared" si="1425"/>
        <v>11131.529999999999</v>
      </c>
      <c r="K8820" s="62"/>
      <c r="L8820" s="2">
        <f t="shared" si="1424"/>
        <v>20</v>
      </c>
    </row>
    <row r="8821" spans="1:12" x14ac:dyDescent="0.3">
      <c r="A8821" s="3">
        <f t="shared" si="1420"/>
        <v>46197</v>
      </c>
      <c r="B8821" s="4" t="s">
        <v>3915</v>
      </c>
      <c r="C8821"/>
      <c r="D8821"/>
      <c r="E8821" s="90" t="s">
        <v>4720</v>
      </c>
      <c r="F8821"/>
      <c r="G8821">
        <v>10000</v>
      </c>
      <c r="H8821"/>
      <c r="I8821" s="88">
        <f t="shared" si="1425"/>
        <v>21131.53</v>
      </c>
      <c r="K8821" s="62"/>
      <c r="L8821" s="2">
        <f t="shared" si="1424"/>
        <v>20</v>
      </c>
    </row>
    <row r="8822" spans="1:12" x14ac:dyDescent="0.3">
      <c r="A8822" s="3">
        <f t="shared" si="1420"/>
        <v>46197</v>
      </c>
      <c r="B8822" s="4">
        <v>3327</v>
      </c>
      <c r="C8822" t="s">
        <v>8262</v>
      </c>
      <c r="D8822"/>
      <c r="E8822" s="90" t="s">
        <v>4720</v>
      </c>
      <c r="F8822"/>
      <c r="G8822">
        <v>2000</v>
      </c>
      <c r="H8822"/>
      <c r="I8822" s="88">
        <f t="shared" si="1425"/>
        <v>23131.53</v>
      </c>
      <c r="K8822" s="62"/>
      <c r="L8822" s="2">
        <f t="shared" si="1424"/>
        <v>8</v>
      </c>
    </row>
    <row r="8823" spans="1:12" x14ac:dyDescent="0.3">
      <c r="A8823" s="3">
        <f t="shared" si="1420"/>
        <v>46197</v>
      </c>
      <c r="B8823" s="4">
        <v>5165</v>
      </c>
      <c r="C8823" t="s">
        <v>10809</v>
      </c>
      <c r="D8823"/>
      <c r="E8823" s="90" t="s">
        <v>4720</v>
      </c>
      <c r="F8823"/>
      <c r="G8823">
        <v>1000</v>
      </c>
      <c r="H8823"/>
      <c r="I8823" s="88">
        <f t="shared" si="1425"/>
        <v>24131.53</v>
      </c>
      <c r="K8823" s="62"/>
      <c r="L8823" s="2">
        <f t="shared" si="1424"/>
        <v>4</v>
      </c>
    </row>
    <row r="8824" spans="1:12" x14ac:dyDescent="0.3">
      <c r="A8824" s="3">
        <f t="shared" si="1420"/>
        <v>46197</v>
      </c>
      <c r="B8824" s="4">
        <v>5110</v>
      </c>
      <c r="C8824" t="s">
        <v>8602</v>
      </c>
      <c r="D8824"/>
      <c r="E8824" s="90" t="s">
        <v>2088</v>
      </c>
      <c r="F8824"/>
      <c r="G8824"/>
      <c r="H8824">
        <v>1000</v>
      </c>
      <c r="I8824" s="88">
        <f t="shared" ref="I8824:I8870" si="1426">I8823+G8824-H8824</f>
        <v>23131.53</v>
      </c>
      <c r="K8824" s="62"/>
      <c r="L8824" s="2">
        <f t="shared" si="1424"/>
        <v>9</v>
      </c>
    </row>
    <row r="8825" spans="1:12" x14ac:dyDescent="0.3">
      <c r="A8825" s="3">
        <f t="shared" si="1420"/>
        <v>46197</v>
      </c>
      <c r="B8825" s="4">
        <v>2738</v>
      </c>
      <c r="C8825" t="s">
        <v>9182</v>
      </c>
      <c r="D8825"/>
      <c r="E8825" s="90" t="s">
        <v>2088</v>
      </c>
      <c r="F8825"/>
      <c r="G8825"/>
      <c r="H8825">
        <v>1000</v>
      </c>
      <c r="I8825" s="88">
        <f t="shared" si="1426"/>
        <v>22131.53</v>
      </c>
      <c r="K8825" s="62"/>
      <c r="L8825" s="2">
        <f t="shared" si="1424"/>
        <v>9</v>
      </c>
    </row>
    <row r="8826" spans="1:12" x14ac:dyDescent="0.3">
      <c r="A8826" s="3">
        <f t="shared" ref="A8826:A8870" si="1427">A8825</f>
        <v>46197</v>
      </c>
      <c r="B8826" s="4">
        <v>6243</v>
      </c>
      <c r="C8826" t="s">
        <v>10423</v>
      </c>
      <c r="D8826"/>
      <c r="E8826" s="90" t="s">
        <v>4720</v>
      </c>
      <c r="F8826"/>
      <c r="G8826"/>
      <c r="H8826">
        <v>500</v>
      </c>
      <c r="I8826" s="88">
        <f t="shared" si="1426"/>
        <v>21631.53</v>
      </c>
      <c r="K8826" s="62"/>
      <c r="L8826" s="2">
        <f t="shared" si="1424"/>
        <v>2</v>
      </c>
    </row>
    <row r="8827" spans="1:12" x14ac:dyDescent="0.3">
      <c r="A8827" s="3">
        <f t="shared" si="1427"/>
        <v>46197</v>
      </c>
      <c r="B8827" s="11" t="s">
        <v>6522</v>
      </c>
      <c r="D8827"/>
      <c r="E8827" s="90" t="s">
        <v>4720</v>
      </c>
      <c r="F8827"/>
      <c r="G8827">
        <v>2000</v>
      </c>
      <c r="H8827"/>
      <c r="I8827" s="88">
        <f t="shared" si="1426"/>
        <v>23631.53</v>
      </c>
      <c r="K8827" s="62"/>
      <c r="L8827" s="2">
        <f t="shared" si="1424"/>
        <v>8</v>
      </c>
    </row>
    <row r="8828" spans="1:12" x14ac:dyDescent="0.3">
      <c r="A8828" s="3">
        <v>46198</v>
      </c>
      <c r="B8828" s="4">
        <v>1309</v>
      </c>
      <c r="C8828" t="s">
        <v>229</v>
      </c>
      <c r="D8828"/>
      <c r="E8828" s="90" t="s">
        <v>2088</v>
      </c>
      <c r="F8828"/>
      <c r="G8828">
        <v>7000</v>
      </c>
      <c r="H8828"/>
      <c r="I8828" s="88">
        <f t="shared" si="1426"/>
        <v>30631.53</v>
      </c>
      <c r="K8828" s="62"/>
      <c r="L8828" s="2">
        <f t="shared" si="1424"/>
        <v>25</v>
      </c>
    </row>
    <row r="8829" spans="1:12" x14ac:dyDescent="0.3">
      <c r="A8829" s="3">
        <f t="shared" si="1427"/>
        <v>46198</v>
      </c>
      <c r="B8829" s="4" t="s">
        <v>2490</v>
      </c>
      <c r="C8829" t="s">
        <v>2857</v>
      </c>
      <c r="D8829"/>
      <c r="E8829" s="90" t="s">
        <v>8332</v>
      </c>
      <c r="F8829"/>
      <c r="G8829"/>
      <c r="H8829">
        <v>30000</v>
      </c>
      <c r="I8829" s="88">
        <f t="shared" si="1426"/>
        <v>631.52999999999884</v>
      </c>
      <c r="K8829" s="62"/>
      <c r="L8829" s="2">
        <f t="shared" si="1424"/>
        <v>0</v>
      </c>
    </row>
    <row r="8830" spans="1:12" x14ac:dyDescent="0.3">
      <c r="A8830" s="3">
        <f t="shared" si="1427"/>
        <v>46198</v>
      </c>
      <c r="B8830" s="4">
        <v>2908</v>
      </c>
      <c r="C8830" t="s">
        <v>8680</v>
      </c>
      <c r="D8830"/>
      <c r="E8830" s="90" t="s">
        <v>2088</v>
      </c>
      <c r="F8830"/>
      <c r="G8830">
        <v>3000</v>
      </c>
      <c r="H8830"/>
      <c r="I8830" s="88">
        <f t="shared" si="1426"/>
        <v>3631.5299999999988</v>
      </c>
      <c r="K8830" s="62"/>
      <c r="L8830" s="2">
        <f t="shared" si="1424"/>
        <v>17</v>
      </c>
    </row>
    <row r="8831" spans="1:12" x14ac:dyDescent="0.3">
      <c r="A8831" s="3">
        <f t="shared" si="1427"/>
        <v>46198</v>
      </c>
      <c r="B8831" s="4">
        <v>1252</v>
      </c>
      <c r="C8831" t="s">
        <v>8521</v>
      </c>
      <c r="D8831"/>
      <c r="E8831" s="90" t="s">
        <v>2088</v>
      </c>
      <c r="F8831"/>
      <c r="G8831">
        <v>5000</v>
      </c>
      <c r="H8831"/>
      <c r="I8831" s="88">
        <f t="shared" si="1426"/>
        <v>8631.5299999999988</v>
      </c>
      <c r="K8831" s="62"/>
      <c r="L8831" s="2">
        <f t="shared" si="1424"/>
        <v>25</v>
      </c>
    </row>
    <row r="8832" spans="1:12" x14ac:dyDescent="0.3">
      <c r="A8832" s="3">
        <f t="shared" si="1427"/>
        <v>46198</v>
      </c>
      <c r="B8832" s="4">
        <v>1370</v>
      </c>
      <c r="C8832" t="s">
        <v>252</v>
      </c>
      <c r="D8832"/>
      <c r="E8832" s="90" t="s">
        <v>2088</v>
      </c>
      <c r="F8832"/>
      <c r="G8832">
        <v>0</v>
      </c>
      <c r="H8832">
        <v>0</v>
      </c>
      <c r="I8832" s="88">
        <f t="shared" si="1426"/>
        <v>8631.5299999999988</v>
      </c>
      <c r="K8832" s="62"/>
      <c r="L8832" s="2">
        <f t="shared" si="1424"/>
        <v>5</v>
      </c>
    </row>
    <row r="8833" spans="1:12" x14ac:dyDescent="0.3">
      <c r="A8833" s="3">
        <f t="shared" si="1427"/>
        <v>46198</v>
      </c>
      <c r="B8833" s="4">
        <v>5165</v>
      </c>
      <c r="C8833" t="s">
        <v>10809</v>
      </c>
      <c r="D8833"/>
      <c r="E8833" s="90" t="s">
        <v>4720</v>
      </c>
      <c r="F8833"/>
      <c r="G8833">
        <v>1450</v>
      </c>
      <c r="H8833"/>
      <c r="I8833" s="88">
        <f t="shared" si="1426"/>
        <v>10081.529999999999</v>
      </c>
      <c r="K8833" s="62"/>
      <c r="L8833" s="2">
        <f t="shared" si="1424"/>
        <v>5.8</v>
      </c>
    </row>
    <row r="8834" spans="1:12" x14ac:dyDescent="0.3">
      <c r="A8834" s="3">
        <f t="shared" si="1427"/>
        <v>46198</v>
      </c>
      <c r="B8834" s="4" t="s">
        <v>8011</v>
      </c>
      <c r="C8834" t="s">
        <v>5981</v>
      </c>
      <c r="D8834"/>
      <c r="E8834" s="90" t="s">
        <v>4720</v>
      </c>
      <c r="F8834"/>
      <c r="G8834">
        <v>2500</v>
      </c>
      <c r="H8834"/>
      <c r="I8834" s="88">
        <f t="shared" si="1426"/>
        <v>12581.529999999999</v>
      </c>
      <c r="K8834" s="62"/>
      <c r="L8834" s="2">
        <f t="shared" si="1424"/>
        <v>10</v>
      </c>
    </row>
    <row r="8835" spans="1:12" x14ac:dyDescent="0.3">
      <c r="A8835" s="3">
        <f t="shared" si="1427"/>
        <v>46198</v>
      </c>
      <c r="B8835" s="4" t="s">
        <v>10810</v>
      </c>
      <c r="C8835" t="s">
        <v>10811</v>
      </c>
      <c r="D8835"/>
      <c r="E8835" s="90" t="s">
        <v>4720</v>
      </c>
      <c r="F8835"/>
      <c r="G8835">
        <v>4000</v>
      </c>
      <c r="H8835"/>
      <c r="I8835" s="88">
        <f t="shared" si="1426"/>
        <v>16581.53</v>
      </c>
      <c r="K8835" s="62"/>
      <c r="L8835" s="2">
        <f t="shared" si="1424"/>
        <v>16</v>
      </c>
    </row>
    <row r="8836" spans="1:12" x14ac:dyDescent="0.3">
      <c r="A8836" s="3">
        <f t="shared" si="1427"/>
        <v>46198</v>
      </c>
      <c r="B8836" s="4" t="s">
        <v>1250</v>
      </c>
      <c r="C8836" t="s">
        <v>10780</v>
      </c>
      <c r="D8836"/>
      <c r="E8836" s="90" t="s">
        <v>4720</v>
      </c>
      <c r="F8836"/>
      <c r="G8836">
        <v>5000</v>
      </c>
      <c r="H8836"/>
      <c r="I8836" s="88">
        <f t="shared" si="1426"/>
        <v>21581.53</v>
      </c>
      <c r="K8836" s="62"/>
      <c r="L8836" s="2">
        <f t="shared" si="1424"/>
        <v>20</v>
      </c>
    </row>
    <row r="8837" spans="1:12" x14ac:dyDescent="0.3">
      <c r="A8837" s="3">
        <f t="shared" si="1427"/>
        <v>46198</v>
      </c>
      <c r="B8837" s="4">
        <v>4049</v>
      </c>
      <c r="C8837" t="s">
        <v>10812</v>
      </c>
      <c r="D8837"/>
      <c r="E8837" s="90" t="s">
        <v>4720</v>
      </c>
      <c r="F8837"/>
      <c r="G8837">
        <v>2500</v>
      </c>
      <c r="H8837"/>
      <c r="I8837" s="88">
        <f t="shared" si="1426"/>
        <v>24081.53</v>
      </c>
      <c r="K8837" s="62"/>
      <c r="L8837" s="2">
        <f t="shared" si="1424"/>
        <v>10</v>
      </c>
    </row>
    <row r="8838" spans="1:12" x14ac:dyDescent="0.3">
      <c r="A8838" s="3">
        <v>46199</v>
      </c>
      <c r="B8838" s="4" t="s">
        <v>6260</v>
      </c>
      <c r="C8838" t="s">
        <v>7117</v>
      </c>
      <c r="D8838"/>
      <c r="E8838" s="90" t="s">
        <v>4720</v>
      </c>
      <c r="F8838"/>
      <c r="G8838"/>
      <c r="H8838">
        <v>9000</v>
      </c>
      <c r="I8838" s="88">
        <f t="shared" si="1426"/>
        <v>15081.529999999999</v>
      </c>
      <c r="K8838" s="62"/>
      <c r="L8838" s="2">
        <f t="shared" si="1424"/>
        <v>20</v>
      </c>
    </row>
    <row r="8839" spans="1:12" x14ac:dyDescent="0.3">
      <c r="A8839" s="3">
        <f t="shared" si="1427"/>
        <v>46199</v>
      </c>
      <c r="B8839" s="4">
        <v>1403</v>
      </c>
      <c r="C8839" t="s">
        <v>6727</v>
      </c>
      <c r="D8839"/>
      <c r="E8839" s="90" t="s">
        <v>2088</v>
      </c>
      <c r="F8839"/>
      <c r="G8839">
        <v>2500</v>
      </c>
      <c r="H8839"/>
      <c r="I8839" s="88">
        <f t="shared" si="1426"/>
        <v>17581.53</v>
      </c>
      <c r="K8839" s="62"/>
      <c r="L8839" s="2">
        <f t="shared" si="1424"/>
        <v>15</v>
      </c>
    </row>
    <row r="8840" spans="1:12" x14ac:dyDescent="0.3">
      <c r="A8840" s="3">
        <f t="shared" si="1427"/>
        <v>46199</v>
      </c>
      <c r="B8840" s="4">
        <v>3327</v>
      </c>
      <c r="C8840" t="s">
        <v>8262</v>
      </c>
      <c r="D8840"/>
      <c r="E8840" s="90" t="s">
        <v>2088</v>
      </c>
      <c r="F8840"/>
      <c r="G8840">
        <v>4000</v>
      </c>
      <c r="H8840"/>
      <c r="I8840" s="88">
        <f t="shared" si="1426"/>
        <v>21581.53</v>
      </c>
      <c r="K8840" s="62"/>
      <c r="L8840" s="2">
        <f t="shared" si="1424"/>
        <v>21</v>
      </c>
    </row>
    <row r="8841" spans="1:12" x14ac:dyDescent="0.3">
      <c r="A8841" s="3">
        <f t="shared" si="1427"/>
        <v>46199</v>
      </c>
      <c r="B8841" s="4">
        <v>6284</v>
      </c>
      <c r="C8841" t="s">
        <v>10710</v>
      </c>
      <c r="D8841"/>
      <c r="E8841" s="90" t="s">
        <v>2088</v>
      </c>
      <c r="F8841"/>
      <c r="G8841">
        <v>0</v>
      </c>
      <c r="H8841">
        <v>0</v>
      </c>
      <c r="I8841" s="88">
        <f t="shared" si="1426"/>
        <v>21581.53</v>
      </c>
      <c r="K8841" s="62"/>
      <c r="L8841" s="2">
        <f t="shared" si="1424"/>
        <v>5</v>
      </c>
    </row>
    <row r="8842" spans="1:12" x14ac:dyDescent="0.3">
      <c r="A8842" s="3">
        <f t="shared" si="1427"/>
        <v>46199</v>
      </c>
      <c r="B8842" s="4">
        <v>2049</v>
      </c>
      <c r="C8842" t="s">
        <v>2414</v>
      </c>
      <c r="D8842"/>
      <c r="E8842" s="90" t="s">
        <v>2088</v>
      </c>
      <c r="F8842"/>
      <c r="G8842">
        <v>0</v>
      </c>
      <c r="H8842">
        <v>0</v>
      </c>
      <c r="I8842" s="88">
        <f t="shared" si="1426"/>
        <v>21581.53</v>
      </c>
      <c r="K8842" s="62"/>
      <c r="L8842" s="2">
        <f t="shared" si="1424"/>
        <v>5</v>
      </c>
    </row>
    <row r="8843" spans="1:12" x14ac:dyDescent="0.3">
      <c r="A8843" s="3">
        <f t="shared" si="1427"/>
        <v>46199</v>
      </c>
      <c r="B8843" s="4">
        <v>2049</v>
      </c>
      <c r="C8843" t="s">
        <v>2414</v>
      </c>
      <c r="D8843"/>
      <c r="E8843" s="90" t="s">
        <v>2088</v>
      </c>
      <c r="F8843"/>
      <c r="G8843">
        <v>200</v>
      </c>
      <c r="H8843"/>
      <c r="I8843" s="88">
        <f t="shared" si="1426"/>
        <v>21781.53</v>
      </c>
      <c r="K8843" s="62"/>
      <c r="L8843" s="2">
        <f t="shared" si="1424"/>
        <v>5.8</v>
      </c>
    </row>
    <row r="8844" spans="1:12" x14ac:dyDescent="0.3">
      <c r="A8844" s="3">
        <f t="shared" si="1427"/>
        <v>46199</v>
      </c>
      <c r="B8844" s="4">
        <v>1236</v>
      </c>
      <c r="C8844" t="s">
        <v>10202</v>
      </c>
      <c r="D8844"/>
      <c r="E8844" s="90" t="s">
        <v>4720</v>
      </c>
      <c r="F8844"/>
      <c r="G8844">
        <v>4000</v>
      </c>
      <c r="H8844"/>
      <c r="I8844" s="88">
        <f t="shared" si="1426"/>
        <v>25781.53</v>
      </c>
      <c r="K8844" s="62"/>
      <c r="L8844" s="2">
        <f t="shared" si="1424"/>
        <v>16</v>
      </c>
    </row>
    <row r="8845" spans="1:12" x14ac:dyDescent="0.3">
      <c r="A8845" s="3">
        <v>46200</v>
      </c>
      <c r="B8845" s="11" t="s">
        <v>10776</v>
      </c>
      <c r="C8845" s="7" t="s">
        <v>10779</v>
      </c>
      <c r="D8845"/>
      <c r="E8845" s="90" t="s">
        <v>2088</v>
      </c>
      <c r="F8845"/>
      <c r="G8845">
        <v>0</v>
      </c>
      <c r="H8845">
        <v>0</v>
      </c>
      <c r="I8845" s="88">
        <f t="shared" si="1426"/>
        <v>25781.53</v>
      </c>
      <c r="K8845" s="62"/>
      <c r="L8845" s="2">
        <f t="shared" si="1424"/>
        <v>5</v>
      </c>
    </row>
    <row r="8846" spans="1:12" x14ac:dyDescent="0.3">
      <c r="A8846" s="3">
        <f t="shared" si="1427"/>
        <v>46200</v>
      </c>
      <c r="B8846" s="11" t="s">
        <v>10776</v>
      </c>
      <c r="C8846" s="7" t="s">
        <v>10779</v>
      </c>
      <c r="D8846"/>
      <c r="E8846" s="90" t="s">
        <v>2088</v>
      </c>
      <c r="F8846"/>
      <c r="G8846"/>
      <c r="H8846">
        <v>2500</v>
      </c>
      <c r="I8846" s="88">
        <f t="shared" si="1426"/>
        <v>23281.53</v>
      </c>
      <c r="K8846" s="62"/>
      <c r="L8846" s="2">
        <f t="shared" si="1424"/>
        <v>15</v>
      </c>
    </row>
    <row r="8847" spans="1:12" x14ac:dyDescent="0.3">
      <c r="A8847" s="3">
        <f t="shared" si="1427"/>
        <v>46200</v>
      </c>
      <c r="B8847" s="11" t="s">
        <v>3524</v>
      </c>
      <c r="C8847" s="7" t="s">
        <v>3088</v>
      </c>
      <c r="D8847"/>
      <c r="E8847" s="90" t="s">
        <v>4720</v>
      </c>
      <c r="F8847"/>
      <c r="G8847"/>
      <c r="H8847">
        <v>10000</v>
      </c>
      <c r="I8847" s="88">
        <f t="shared" si="1426"/>
        <v>13281.529999999999</v>
      </c>
      <c r="K8847" s="62"/>
      <c r="L8847" s="2">
        <f t="shared" si="1424"/>
        <v>20</v>
      </c>
    </row>
    <row r="8848" spans="1:12" x14ac:dyDescent="0.3">
      <c r="A8848" s="3">
        <f t="shared" si="1427"/>
        <v>46200</v>
      </c>
      <c r="B8848" s="11" t="s">
        <v>8206</v>
      </c>
      <c r="C8848" s="7" t="s">
        <v>10824</v>
      </c>
      <c r="D8848"/>
      <c r="E8848" s="90" t="s">
        <v>7772</v>
      </c>
      <c r="F8848"/>
      <c r="G8848">
        <v>0</v>
      </c>
      <c r="H8848">
        <v>0</v>
      </c>
      <c r="I8848" s="88">
        <f t="shared" si="1426"/>
        <v>13281.529999999999</v>
      </c>
      <c r="K8848" s="62"/>
      <c r="L8848" s="2">
        <f t="shared" si="1424"/>
        <v>5</v>
      </c>
    </row>
    <row r="8849" spans="1:12" x14ac:dyDescent="0.3">
      <c r="A8849" s="3">
        <f t="shared" si="1427"/>
        <v>46200</v>
      </c>
      <c r="B8849" s="11" t="s">
        <v>8206</v>
      </c>
      <c r="C8849" s="7" t="s">
        <v>10824</v>
      </c>
      <c r="D8849"/>
      <c r="E8849" s="90" t="s">
        <v>7772</v>
      </c>
      <c r="F8849"/>
      <c r="G8849"/>
      <c r="H8849">
        <v>2000</v>
      </c>
      <c r="I8849" s="88">
        <f t="shared" si="1426"/>
        <v>11281.529999999999</v>
      </c>
      <c r="K8849" s="62"/>
      <c r="L8849" s="2">
        <f t="shared" si="1424"/>
        <v>13</v>
      </c>
    </row>
    <row r="8850" spans="1:12" x14ac:dyDescent="0.3">
      <c r="A8850" s="3">
        <f t="shared" si="1427"/>
        <v>46200</v>
      </c>
      <c r="B8850" s="11" t="s">
        <v>8955</v>
      </c>
      <c r="C8850" s="7" t="s">
        <v>10825</v>
      </c>
      <c r="D8850"/>
      <c r="E8850" s="90" t="s">
        <v>7772</v>
      </c>
      <c r="F8850"/>
      <c r="G8850">
        <v>2500</v>
      </c>
      <c r="H8850"/>
      <c r="I8850" s="88">
        <f t="shared" si="1426"/>
        <v>13781.529999999999</v>
      </c>
      <c r="K8850" s="62"/>
      <c r="L8850" s="2">
        <f t="shared" si="1424"/>
        <v>15</v>
      </c>
    </row>
    <row r="8851" spans="1:12" x14ac:dyDescent="0.3">
      <c r="A8851" s="3">
        <f t="shared" si="1427"/>
        <v>46200</v>
      </c>
      <c r="B8851" s="11" t="s">
        <v>9771</v>
      </c>
      <c r="C8851" s="7" t="s">
        <v>10826</v>
      </c>
      <c r="D8851"/>
      <c r="E8851" s="90" t="s">
        <v>7772</v>
      </c>
      <c r="F8851"/>
      <c r="G8851">
        <v>2000</v>
      </c>
      <c r="H8851"/>
      <c r="I8851" s="88">
        <f t="shared" si="1426"/>
        <v>15781.529999999999</v>
      </c>
      <c r="K8851" s="62"/>
      <c r="L8851" s="2">
        <f t="shared" si="1424"/>
        <v>13</v>
      </c>
    </row>
    <row r="8852" spans="1:12" x14ac:dyDescent="0.3">
      <c r="A8852" s="3">
        <v>46201</v>
      </c>
      <c r="B8852" s="11" t="s">
        <v>9318</v>
      </c>
      <c r="C8852" s="7" t="s">
        <v>9319</v>
      </c>
      <c r="D8852"/>
      <c r="E8852" s="90" t="s">
        <v>2088</v>
      </c>
      <c r="F8852"/>
      <c r="G8852">
        <v>0</v>
      </c>
      <c r="H8852">
        <v>0</v>
      </c>
      <c r="I8852" s="88">
        <f t="shared" si="1426"/>
        <v>15781.529999999999</v>
      </c>
      <c r="K8852" s="62"/>
      <c r="L8852" s="2">
        <f t="shared" si="1424"/>
        <v>5</v>
      </c>
    </row>
    <row r="8853" spans="1:12" x14ac:dyDescent="0.3">
      <c r="A8853" s="3">
        <v>46202</v>
      </c>
      <c r="B8853" s="4">
        <v>6293</v>
      </c>
      <c r="C8853" s="7" t="s">
        <v>10832</v>
      </c>
      <c r="D8853"/>
      <c r="E8853" s="90" t="s">
        <v>16</v>
      </c>
      <c r="F8853"/>
      <c r="G8853"/>
      <c r="H8853">
        <v>500</v>
      </c>
      <c r="I8853" s="88">
        <f t="shared" si="1426"/>
        <v>15281.529999999999</v>
      </c>
      <c r="K8853" s="62"/>
      <c r="L8853" s="2">
        <f t="shared" si="1424"/>
        <v>17</v>
      </c>
    </row>
    <row r="8854" spans="1:12" x14ac:dyDescent="0.3">
      <c r="A8854" s="3">
        <f t="shared" si="1427"/>
        <v>46202</v>
      </c>
      <c r="B8854" s="4" t="s">
        <v>9511</v>
      </c>
      <c r="C8854" s="7" t="s">
        <v>7720</v>
      </c>
      <c r="D8854"/>
      <c r="E8854" s="90" t="s">
        <v>4720</v>
      </c>
      <c r="F8854"/>
      <c r="G8854" s="1">
        <v>3000</v>
      </c>
      <c r="H8854"/>
      <c r="I8854" s="88">
        <f t="shared" si="1426"/>
        <v>18281.53</v>
      </c>
      <c r="K8854" s="62"/>
      <c r="L8854" s="2">
        <f t="shared" si="1424"/>
        <v>12</v>
      </c>
    </row>
    <row r="8855" spans="1:12" x14ac:dyDescent="0.3">
      <c r="A8855" s="3">
        <f t="shared" si="1427"/>
        <v>46202</v>
      </c>
      <c r="B8855" s="4"/>
      <c r="C8855"/>
      <c r="D8855"/>
      <c r="E8855" s="90" t="s">
        <v>4720</v>
      </c>
      <c r="F8855"/>
      <c r="G8855"/>
      <c r="H8855">
        <v>500</v>
      </c>
      <c r="I8855" s="88">
        <f t="shared" si="1426"/>
        <v>17781.53</v>
      </c>
      <c r="K8855" s="62"/>
      <c r="L8855" s="2">
        <f t="shared" si="1424"/>
        <v>2</v>
      </c>
    </row>
    <row r="8856" spans="1:12" x14ac:dyDescent="0.3">
      <c r="A8856" s="3">
        <f t="shared" si="1427"/>
        <v>46202</v>
      </c>
      <c r="B8856" s="4">
        <v>1370</v>
      </c>
      <c r="C8856" s="7" t="s">
        <v>2492</v>
      </c>
      <c r="D8856"/>
      <c r="E8856" s="90" t="s">
        <v>2088</v>
      </c>
      <c r="F8856"/>
      <c r="G8856">
        <v>2000</v>
      </c>
      <c r="H8856"/>
      <c r="I8856" s="88">
        <f t="shared" si="1426"/>
        <v>19781.53</v>
      </c>
      <c r="K8856" s="62"/>
      <c r="L8856" s="2">
        <f t="shared" ref="L8856:L8870" si="1428">IF(E8856="C",0,IF((G8856+H8856)&lt;=5000,(G8856+H8856)*0.004,20)+IF(E8856="P",5,IF(E8856="Y",15,IF(E8856="YY",25))))</f>
        <v>13</v>
      </c>
    </row>
    <row r="8857" spans="1:12" x14ac:dyDescent="0.3">
      <c r="A8857" s="3">
        <f t="shared" si="1427"/>
        <v>46202</v>
      </c>
      <c r="B8857" s="4">
        <v>1398</v>
      </c>
      <c r="C8857" s="7" t="s">
        <v>8791</v>
      </c>
      <c r="D8857"/>
      <c r="E8857" s="90" t="s">
        <v>2088</v>
      </c>
      <c r="F8857"/>
      <c r="G8857">
        <v>0</v>
      </c>
      <c r="H8857">
        <v>0</v>
      </c>
      <c r="I8857" s="88">
        <f t="shared" si="1426"/>
        <v>19781.53</v>
      </c>
      <c r="K8857" s="62"/>
      <c r="L8857" s="2">
        <f t="shared" si="1428"/>
        <v>5</v>
      </c>
    </row>
    <row r="8858" spans="1:12" x14ac:dyDescent="0.3">
      <c r="A8858" s="3">
        <f t="shared" si="1427"/>
        <v>46202</v>
      </c>
      <c r="B8858" s="4">
        <v>2830</v>
      </c>
      <c r="C8858" s="7" t="s">
        <v>2626</v>
      </c>
      <c r="D8858"/>
      <c r="E8858" s="90" t="s">
        <v>4720</v>
      </c>
      <c r="F8858"/>
      <c r="G8858">
        <v>3000</v>
      </c>
      <c r="H8858"/>
      <c r="I8858" s="88">
        <f t="shared" si="1426"/>
        <v>22781.53</v>
      </c>
      <c r="K8858" s="62"/>
      <c r="L8858" s="2">
        <f t="shared" si="1428"/>
        <v>12</v>
      </c>
    </row>
    <row r="8859" spans="1:12" x14ac:dyDescent="0.3">
      <c r="A8859" s="3">
        <f t="shared" si="1427"/>
        <v>46202</v>
      </c>
      <c r="B8859" s="4"/>
      <c r="C8859" s="7" t="s">
        <v>2857</v>
      </c>
      <c r="D8859"/>
      <c r="E8859" s="90" t="s">
        <v>4720</v>
      </c>
      <c r="F8859"/>
      <c r="G8859"/>
      <c r="H8859">
        <v>20000</v>
      </c>
      <c r="I8859" s="88">
        <f t="shared" si="1426"/>
        <v>2781.5299999999988</v>
      </c>
      <c r="K8859" s="62"/>
      <c r="L8859" s="2">
        <f t="shared" si="1428"/>
        <v>20</v>
      </c>
    </row>
    <row r="8860" spans="1:12" x14ac:dyDescent="0.3">
      <c r="A8860" s="3">
        <v>46203</v>
      </c>
      <c r="B8860" s="4">
        <v>1569</v>
      </c>
      <c r="C8860" t="s">
        <v>10836</v>
      </c>
      <c r="D8860"/>
      <c r="E8860" s="90" t="s">
        <v>2088</v>
      </c>
      <c r="F8860"/>
      <c r="G8860"/>
      <c r="H8860"/>
      <c r="I8860" s="88">
        <f t="shared" si="1426"/>
        <v>2781.5299999999988</v>
      </c>
      <c r="K8860" s="62"/>
      <c r="L8860" s="2">
        <f t="shared" si="1428"/>
        <v>5</v>
      </c>
    </row>
    <row r="8861" spans="1:12" x14ac:dyDescent="0.3">
      <c r="A8861" s="3">
        <f t="shared" si="1427"/>
        <v>46203</v>
      </c>
      <c r="B8861" s="4">
        <v>1569</v>
      </c>
      <c r="C8861" t="s">
        <v>10836</v>
      </c>
      <c r="D8861"/>
      <c r="E8861" s="90" t="s">
        <v>4720</v>
      </c>
      <c r="F8861"/>
      <c r="G8861">
        <v>2500</v>
      </c>
      <c r="H8861"/>
      <c r="I8861" s="88">
        <f t="shared" si="1426"/>
        <v>5281.5299999999988</v>
      </c>
      <c r="K8861" s="62"/>
      <c r="L8861" s="2">
        <f t="shared" si="1428"/>
        <v>10</v>
      </c>
    </row>
    <row r="8862" spans="1:12" x14ac:dyDescent="0.3">
      <c r="A8862" s="3">
        <f t="shared" si="1427"/>
        <v>46203</v>
      </c>
      <c r="B8862" s="4">
        <v>4698</v>
      </c>
      <c r="C8862"/>
      <c r="D8862"/>
      <c r="E8862" s="90" t="s">
        <v>4720</v>
      </c>
      <c r="F8862"/>
      <c r="G8862"/>
      <c r="H8862">
        <v>2000</v>
      </c>
      <c r="I8862" s="88">
        <f t="shared" si="1426"/>
        <v>3281.5299999999988</v>
      </c>
      <c r="K8862" s="62"/>
      <c r="L8862" s="2">
        <f t="shared" si="1428"/>
        <v>8</v>
      </c>
    </row>
    <row r="8863" spans="1:12" x14ac:dyDescent="0.3">
      <c r="A8863" s="3">
        <f t="shared" si="1427"/>
        <v>46203</v>
      </c>
      <c r="B8863" s="4">
        <v>1254</v>
      </c>
      <c r="C8863" t="s">
        <v>10837</v>
      </c>
      <c r="D8863"/>
      <c r="E8863" s="90" t="s">
        <v>2088</v>
      </c>
      <c r="F8863"/>
      <c r="G8863">
        <v>500</v>
      </c>
      <c r="H8863"/>
      <c r="I8863" s="88">
        <f t="shared" si="1426"/>
        <v>3781.5299999999988</v>
      </c>
      <c r="J8863">
        <v>6979.41</v>
      </c>
      <c r="K8863" s="62"/>
      <c r="L8863" s="2">
        <f t="shared" si="1428"/>
        <v>7</v>
      </c>
    </row>
    <row r="8864" spans="1:12" x14ac:dyDescent="0.3">
      <c r="A8864" s="3">
        <f t="shared" si="1427"/>
        <v>46203</v>
      </c>
      <c r="B8864" s="4">
        <v>2468</v>
      </c>
      <c r="C8864" t="s">
        <v>9183</v>
      </c>
      <c r="D8864"/>
      <c r="E8864" s="90" t="s">
        <v>2088</v>
      </c>
      <c r="F8864"/>
      <c r="G8864">
        <v>3000</v>
      </c>
      <c r="H8864"/>
      <c r="I8864" s="88">
        <f t="shared" si="1426"/>
        <v>6781.5299999999988</v>
      </c>
      <c r="K8864" s="62"/>
      <c r="L8864" s="2">
        <f t="shared" si="1428"/>
        <v>17</v>
      </c>
    </row>
    <row r="8865" spans="1:14" x14ac:dyDescent="0.3">
      <c r="A8865" s="3">
        <f t="shared" si="1427"/>
        <v>46203</v>
      </c>
      <c r="B8865" s="4">
        <v>5202</v>
      </c>
      <c r="C8865" t="s">
        <v>10843</v>
      </c>
      <c r="D8865"/>
      <c r="E8865" s="90" t="s">
        <v>4720</v>
      </c>
      <c r="F8865"/>
      <c r="G8865">
        <v>3000</v>
      </c>
      <c r="H8865"/>
      <c r="I8865" s="88">
        <f t="shared" si="1426"/>
        <v>9781.5299999999988</v>
      </c>
      <c r="K8865" s="62"/>
      <c r="L8865" s="2">
        <f t="shared" si="1428"/>
        <v>12</v>
      </c>
    </row>
    <row r="8866" spans="1:14" x14ac:dyDescent="0.3">
      <c r="A8866" s="3">
        <f t="shared" si="1427"/>
        <v>46203</v>
      </c>
      <c r="B8866" s="4">
        <v>6295</v>
      </c>
      <c r="C8866" t="s">
        <v>10840</v>
      </c>
      <c r="D8866"/>
      <c r="E8866" s="90" t="s">
        <v>14</v>
      </c>
      <c r="F8866"/>
      <c r="G8866"/>
      <c r="H8866">
        <v>500</v>
      </c>
      <c r="I8866" s="88">
        <f t="shared" si="1426"/>
        <v>9281.5299999999988</v>
      </c>
      <c r="K8866" s="62"/>
      <c r="L8866" s="2">
        <f t="shared" si="1428"/>
        <v>17</v>
      </c>
    </row>
    <row r="8867" spans="1:14" x14ac:dyDescent="0.3">
      <c r="A8867" s="3">
        <f t="shared" si="1427"/>
        <v>46203</v>
      </c>
      <c r="B8867" s="4" t="s">
        <v>3148</v>
      </c>
      <c r="C8867" t="s">
        <v>7610</v>
      </c>
      <c r="D8867"/>
      <c r="E8867" s="90" t="s">
        <v>4720</v>
      </c>
      <c r="F8867"/>
      <c r="G8867">
        <v>500</v>
      </c>
      <c r="H8867"/>
      <c r="I8867" s="88">
        <f t="shared" si="1426"/>
        <v>9781.5299999999988</v>
      </c>
      <c r="K8867" s="62"/>
      <c r="L8867" s="2">
        <f t="shared" si="1428"/>
        <v>2</v>
      </c>
    </row>
    <row r="8868" spans="1:14" x14ac:dyDescent="0.3">
      <c r="A8868" s="3">
        <f t="shared" si="1427"/>
        <v>46203</v>
      </c>
      <c r="B8868" s="4">
        <v>1883</v>
      </c>
      <c r="C8868" t="s">
        <v>10844</v>
      </c>
      <c r="D8868"/>
      <c r="E8868" s="90" t="s">
        <v>7772</v>
      </c>
      <c r="F8868"/>
      <c r="G8868">
        <v>2500</v>
      </c>
      <c r="H8868"/>
      <c r="I8868" s="88">
        <f t="shared" si="1426"/>
        <v>12281.529999999999</v>
      </c>
      <c r="K8868" s="62"/>
      <c r="L8868" s="2">
        <f t="shared" si="1428"/>
        <v>15</v>
      </c>
    </row>
    <row r="8869" spans="1:14" x14ac:dyDescent="0.3">
      <c r="A8869" s="3">
        <f t="shared" si="1427"/>
        <v>46203</v>
      </c>
      <c r="B8869" s="4"/>
      <c r="C8869"/>
      <c r="D8869"/>
      <c r="E8869" s="90" t="s">
        <v>4720</v>
      </c>
      <c r="F8869"/>
      <c r="G8869">
        <v>3197.8800000000037</v>
      </c>
      <c r="H8869">
        <v>15000</v>
      </c>
      <c r="I8869" s="88">
        <f t="shared" si="1426"/>
        <v>479.41000000000349</v>
      </c>
      <c r="J8869" s="62"/>
      <c r="K8869" s="62"/>
      <c r="L8869" s="2">
        <f t="shared" si="1428"/>
        <v>20</v>
      </c>
    </row>
    <row r="8870" spans="1:14" x14ac:dyDescent="0.3">
      <c r="A8870" s="3">
        <f t="shared" si="1427"/>
        <v>46203</v>
      </c>
      <c r="B8870" s="4"/>
      <c r="C8870"/>
      <c r="D8870"/>
      <c r="E8870" s="90" t="s">
        <v>4720</v>
      </c>
      <c r="F8870"/>
      <c r="G8870"/>
      <c r="H8870"/>
      <c r="I8870" s="88">
        <f t="shared" si="1426"/>
        <v>479.41000000000349</v>
      </c>
      <c r="K8870" s="62"/>
      <c r="L8870" s="2">
        <f t="shared" si="1428"/>
        <v>0</v>
      </c>
    </row>
    <row r="8871" spans="1:14" x14ac:dyDescent="0.3">
      <c r="A8871" s="77">
        <f>COUNT(A8655:A8768)</f>
        <v>114</v>
      </c>
      <c r="B8871" s="80" t="s">
        <v>7120</v>
      </c>
      <c r="C8871" s="112">
        <f>SUMIF(E8654:E8768,"C",H8654:H8768)+SUMIF(E8654:E8768,"C",G8654:G8768)</f>
        <v>68081.53</v>
      </c>
      <c r="D8871" s="112">
        <f>COUNTIF(E8871:E9665,"P")</f>
        <v>130</v>
      </c>
      <c r="E8871" s="92">
        <f>COUNTIF(E8527:E8768,"Y")</f>
        <v>13</v>
      </c>
      <c r="F8871" s="80">
        <f>SUM(F4229)</f>
        <v>0</v>
      </c>
      <c r="G8871" s="121">
        <f>SUM(G8654:G8768)</f>
        <v>198931.53</v>
      </c>
      <c r="H8871" s="121">
        <f>SUM(H8654:H8770)</f>
        <v>199350</v>
      </c>
      <c r="I8871" s="121">
        <f>G8871+H8871-C8871</f>
        <v>330200</v>
      </c>
      <c r="J8871" s="122"/>
      <c r="K8871" s="122">
        <f>D8871*5</f>
        <v>650</v>
      </c>
      <c r="L8871" s="121">
        <f>SUM(L8654:L8768)</f>
        <v>1349.7999999999997</v>
      </c>
      <c r="M8871" s="121">
        <f>SUM(M8271:M8768)</f>
        <v>0</v>
      </c>
      <c r="N8871" s="62">
        <f>((L8871+K8871)*0.8)*0.95</f>
        <v>1519.848</v>
      </c>
    </row>
    <row r="8873" spans="1:14" x14ac:dyDescent="0.3">
      <c r="A8873" s="3">
        <v>46204</v>
      </c>
      <c r="B8873" s="4"/>
      <c r="C8873" t="s">
        <v>10846</v>
      </c>
      <c r="D8873"/>
      <c r="E8873" s="90" t="s">
        <v>4720</v>
      </c>
      <c r="F8873"/>
      <c r="G8873">
        <v>479.41</v>
      </c>
      <c r="H8873"/>
      <c r="I8873" s="88">
        <f t="shared" ref="I8873:I8938" si="1429">I8872+G8873-H8873</f>
        <v>479.41</v>
      </c>
      <c r="K8873" s="62"/>
    </row>
    <row r="8874" spans="1:14" x14ac:dyDescent="0.3">
      <c r="A8874" s="3">
        <f t="shared" ref="A8874:A8938" si="1430">A8873</f>
        <v>46204</v>
      </c>
      <c r="B8874" s="4" t="s">
        <v>1160</v>
      </c>
      <c r="C8874" t="s">
        <v>10845</v>
      </c>
      <c r="D8874"/>
      <c r="E8874" s="90" t="s">
        <v>4720</v>
      </c>
      <c r="F8874"/>
      <c r="G8874">
        <v>1000</v>
      </c>
      <c r="H8874"/>
      <c r="I8874" s="88">
        <f t="shared" si="1429"/>
        <v>1479.41</v>
      </c>
      <c r="J8874" s="62"/>
      <c r="K8874" s="62"/>
      <c r="L8874" s="2">
        <f t="shared" ref="L8874:L8937" si="1431">IF(E8874="C",0,IF((G8874+H8874)&lt;=5000,(G8874+H8874)*0.004,20)+IF(E8874="P",5,IF(E8874="Y",15,IF(E8874="YY",25))))</f>
        <v>4</v>
      </c>
    </row>
    <row r="8875" spans="1:14" x14ac:dyDescent="0.3">
      <c r="A8875" s="3">
        <f t="shared" si="1430"/>
        <v>46204</v>
      </c>
      <c r="B8875" s="4" t="s">
        <v>1250</v>
      </c>
      <c r="C8875" t="s">
        <v>10847</v>
      </c>
      <c r="D8875"/>
      <c r="E8875" s="90" t="s">
        <v>4720</v>
      </c>
      <c r="F8875"/>
      <c r="G8875">
        <v>3000</v>
      </c>
      <c r="H8875"/>
      <c r="I8875" s="88">
        <f t="shared" si="1429"/>
        <v>4479.41</v>
      </c>
      <c r="J8875" s="62"/>
      <c r="K8875" s="62"/>
      <c r="L8875" s="2">
        <f t="shared" si="1431"/>
        <v>12</v>
      </c>
    </row>
    <row r="8876" spans="1:14" x14ac:dyDescent="0.3">
      <c r="A8876" s="3">
        <f t="shared" si="1430"/>
        <v>46204</v>
      </c>
      <c r="B8876" s="4">
        <v>1424</v>
      </c>
      <c r="C8876" t="s">
        <v>10848</v>
      </c>
      <c r="D8876"/>
      <c r="E8876" s="90" t="s">
        <v>4720</v>
      </c>
      <c r="F8876"/>
      <c r="G8876">
        <v>4000</v>
      </c>
      <c r="H8876"/>
      <c r="I8876" s="88">
        <f t="shared" si="1429"/>
        <v>8479.41</v>
      </c>
      <c r="J8876" s="62"/>
      <c r="K8876" s="62"/>
      <c r="L8876" s="2">
        <f t="shared" si="1431"/>
        <v>16</v>
      </c>
    </row>
    <row r="8877" spans="1:14" x14ac:dyDescent="0.3">
      <c r="A8877" s="3">
        <f t="shared" si="1430"/>
        <v>46204</v>
      </c>
      <c r="B8877" s="4">
        <v>3087</v>
      </c>
      <c r="C8877" t="s">
        <v>9988</v>
      </c>
      <c r="D8877"/>
      <c r="E8877" s="90" t="s">
        <v>4720</v>
      </c>
      <c r="F8877"/>
      <c r="G8877">
        <v>5000</v>
      </c>
      <c r="H8877"/>
      <c r="I8877" s="88">
        <f t="shared" si="1429"/>
        <v>13479.41</v>
      </c>
      <c r="J8877" s="62"/>
      <c r="K8877" s="62"/>
      <c r="L8877" s="2">
        <f t="shared" si="1431"/>
        <v>20</v>
      </c>
    </row>
    <row r="8878" spans="1:14" x14ac:dyDescent="0.3">
      <c r="A8878" s="3">
        <f t="shared" si="1430"/>
        <v>46204</v>
      </c>
      <c r="B8878" s="4">
        <v>5527</v>
      </c>
      <c r="C8878" t="s">
        <v>9436</v>
      </c>
      <c r="D8878"/>
      <c r="E8878" s="90" t="s">
        <v>2088</v>
      </c>
      <c r="F8878"/>
      <c r="G8878">
        <v>2000</v>
      </c>
      <c r="H8878"/>
      <c r="I8878" s="88">
        <f t="shared" si="1429"/>
        <v>15479.41</v>
      </c>
      <c r="J8878" s="62"/>
      <c r="K8878" s="62"/>
      <c r="L8878" s="2">
        <f t="shared" si="1431"/>
        <v>13</v>
      </c>
    </row>
    <row r="8879" spans="1:14" x14ac:dyDescent="0.3">
      <c r="A8879" s="3">
        <f t="shared" si="1430"/>
        <v>46204</v>
      </c>
      <c r="B8879" s="4">
        <v>1370</v>
      </c>
      <c r="C8879" t="s">
        <v>2492</v>
      </c>
      <c r="D8879"/>
      <c r="E8879" s="90" t="s">
        <v>2088</v>
      </c>
      <c r="F8879"/>
      <c r="G8879">
        <v>1500</v>
      </c>
      <c r="H8879"/>
      <c r="I8879" s="88">
        <f t="shared" si="1429"/>
        <v>16979.41</v>
      </c>
      <c r="J8879" s="62"/>
      <c r="K8879" s="62"/>
      <c r="L8879" s="2">
        <f t="shared" si="1431"/>
        <v>11</v>
      </c>
    </row>
    <row r="8880" spans="1:14" x14ac:dyDescent="0.3">
      <c r="A8880" s="3">
        <f t="shared" si="1430"/>
        <v>46204</v>
      </c>
      <c r="B8880" s="4" t="s">
        <v>8320</v>
      </c>
      <c r="C8880" t="s">
        <v>10854</v>
      </c>
      <c r="D8880"/>
      <c r="E8880" s="90" t="s">
        <v>4720</v>
      </c>
      <c r="F8880"/>
      <c r="G8880">
        <v>2000</v>
      </c>
      <c r="H8880"/>
      <c r="I8880" s="88">
        <f t="shared" si="1429"/>
        <v>18979.41</v>
      </c>
      <c r="J8880" s="62"/>
      <c r="K8880" s="62"/>
      <c r="L8880" s="2">
        <f t="shared" si="1431"/>
        <v>8</v>
      </c>
    </row>
    <row r="8881" spans="1:12" x14ac:dyDescent="0.3">
      <c r="A8881" s="3">
        <f t="shared" si="1430"/>
        <v>46204</v>
      </c>
      <c r="B8881" s="4" t="s">
        <v>1250</v>
      </c>
      <c r="C8881" t="s">
        <v>10855</v>
      </c>
      <c r="D8881"/>
      <c r="E8881" s="90" t="s">
        <v>4720</v>
      </c>
      <c r="F8881"/>
      <c r="G8881">
        <v>8000</v>
      </c>
      <c r="H8881"/>
      <c r="I8881" s="88">
        <f t="shared" si="1429"/>
        <v>26979.41</v>
      </c>
      <c r="J8881" s="62"/>
      <c r="K8881" s="62"/>
      <c r="L8881" s="2">
        <f t="shared" si="1431"/>
        <v>20</v>
      </c>
    </row>
    <row r="8882" spans="1:12" x14ac:dyDescent="0.3">
      <c r="A8882" s="3">
        <f t="shared" si="1430"/>
        <v>46204</v>
      </c>
      <c r="B8882" s="4" t="s">
        <v>6260</v>
      </c>
      <c r="C8882" t="s">
        <v>10856</v>
      </c>
      <c r="D8882"/>
      <c r="E8882" s="90" t="s">
        <v>4720</v>
      </c>
      <c r="F8882"/>
      <c r="G8882"/>
      <c r="H8882">
        <v>5000</v>
      </c>
      <c r="I8882" s="88">
        <f t="shared" si="1429"/>
        <v>21979.41</v>
      </c>
      <c r="J8882" s="62"/>
      <c r="K8882" s="62"/>
      <c r="L8882" s="2">
        <f t="shared" si="1431"/>
        <v>20</v>
      </c>
    </row>
    <row r="8883" spans="1:12" x14ac:dyDescent="0.3">
      <c r="A8883" s="3">
        <f t="shared" si="1430"/>
        <v>46204</v>
      </c>
      <c r="B8883" s="4" t="s">
        <v>2942</v>
      </c>
      <c r="C8883" t="s">
        <v>10857</v>
      </c>
      <c r="D8883"/>
      <c r="E8883" s="90" t="s">
        <v>4720</v>
      </c>
      <c r="F8883"/>
      <c r="G8883">
        <v>3000</v>
      </c>
      <c r="H8883">
        <v>1.65</v>
      </c>
      <c r="I8883" s="88">
        <f t="shared" si="1429"/>
        <v>24977.759999999998</v>
      </c>
      <c r="J8883" s="62"/>
      <c r="K8883" s="62"/>
      <c r="L8883" s="2">
        <f t="shared" si="1431"/>
        <v>12.006600000000001</v>
      </c>
    </row>
    <row r="8884" spans="1:12" x14ac:dyDescent="0.3">
      <c r="A8884" s="3">
        <v>46205</v>
      </c>
      <c r="B8884" s="4">
        <v>182</v>
      </c>
      <c r="C8884" t="s">
        <v>6685</v>
      </c>
      <c r="D8884"/>
      <c r="E8884" s="90" t="s">
        <v>4720</v>
      </c>
      <c r="F8884"/>
      <c r="G8884">
        <v>2500</v>
      </c>
      <c r="H8884"/>
      <c r="I8884" s="88">
        <f t="shared" si="1429"/>
        <v>27477.759999999998</v>
      </c>
      <c r="K8884" s="62"/>
      <c r="L8884" s="2">
        <f t="shared" si="1431"/>
        <v>10</v>
      </c>
    </row>
    <row r="8885" spans="1:12" x14ac:dyDescent="0.3">
      <c r="A8885" s="3">
        <f t="shared" si="1430"/>
        <v>46205</v>
      </c>
      <c r="B8885" s="4"/>
      <c r="C8885"/>
      <c r="D8885"/>
      <c r="E8885" s="90" t="s">
        <v>4720</v>
      </c>
      <c r="F8885"/>
      <c r="G8885">
        <v>2500</v>
      </c>
      <c r="H8885"/>
      <c r="I8885" s="88">
        <f t="shared" si="1429"/>
        <v>29977.759999999998</v>
      </c>
      <c r="K8885" s="62"/>
      <c r="L8885" s="2">
        <f t="shared" si="1431"/>
        <v>10</v>
      </c>
    </row>
    <row r="8886" spans="1:12" x14ac:dyDescent="0.3">
      <c r="A8886" s="3">
        <f t="shared" si="1430"/>
        <v>46205</v>
      </c>
      <c r="B8886" s="4"/>
      <c r="C8886"/>
      <c r="D8886"/>
      <c r="E8886" s="90" t="s">
        <v>4720</v>
      </c>
      <c r="F8886"/>
      <c r="G8886"/>
      <c r="H8886">
        <v>1000</v>
      </c>
      <c r="I8886" s="88">
        <f t="shared" si="1429"/>
        <v>28977.759999999998</v>
      </c>
      <c r="K8886" s="62"/>
      <c r="L8886" s="2">
        <f t="shared" si="1431"/>
        <v>4</v>
      </c>
    </row>
    <row r="8887" spans="1:12" x14ac:dyDescent="0.3">
      <c r="A8887" s="3">
        <v>46207</v>
      </c>
      <c r="B8887" s="4"/>
      <c r="C8887" t="s">
        <v>2857</v>
      </c>
      <c r="D8887"/>
      <c r="E8887" s="90" t="s">
        <v>8332</v>
      </c>
      <c r="F8887"/>
      <c r="G8887"/>
      <c r="H8887">
        <v>28000</v>
      </c>
      <c r="I8887" s="88">
        <f t="shared" si="1429"/>
        <v>977.7599999999984</v>
      </c>
      <c r="K8887" s="62"/>
      <c r="L8887" s="2">
        <f t="shared" si="1431"/>
        <v>0</v>
      </c>
    </row>
    <row r="8888" spans="1:12" x14ac:dyDescent="0.3">
      <c r="A8888" s="3">
        <v>46216</v>
      </c>
      <c r="B8888" s="4" t="s">
        <v>10425</v>
      </c>
      <c r="C8888" t="s">
        <v>10858</v>
      </c>
      <c r="D8888"/>
      <c r="E8888" s="90" t="s">
        <v>4720</v>
      </c>
      <c r="F8888"/>
      <c r="G8888"/>
      <c r="H8888">
        <v>500</v>
      </c>
      <c r="I8888" s="88">
        <f t="shared" si="1429"/>
        <v>477.7599999999984</v>
      </c>
      <c r="K8888" s="62"/>
      <c r="L8888" s="2">
        <f t="shared" si="1431"/>
        <v>2</v>
      </c>
    </row>
    <row r="8889" spans="1:12" x14ac:dyDescent="0.3">
      <c r="A8889" s="3">
        <v>46217</v>
      </c>
      <c r="B8889" s="4">
        <v>4491</v>
      </c>
      <c r="C8889" t="s">
        <v>10860</v>
      </c>
      <c r="D8889"/>
      <c r="E8889" s="90" t="s">
        <v>4720</v>
      </c>
      <c r="F8889"/>
      <c r="G8889">
        <v>3000</v>
      </c>
      <c r="H8889"/>
      <c r="I8889" s="88">
        <f t="shared" si="1429"/>
        <v>3477.7599999999984</v>
      </c>
      <c r="K8889" s="62"/>
      <c r="L8889" s="2">
        <f t="shared" si="1431"/>
        <v>12</v>
      </c>
    </row>
    <row r="8890" spans="1:12" x14ac:dyDescent="0.3">
      <c r="A8890" s="3">
        <f t="shared" si="1430"/>
        <v>46217</v>
      </c>
      <c r="B8890" s="4">
        <v>4492</v>
      </c>
      <c r="C8890" t="s">
        <v>10859</v>
      </c>
      <c r="D8890"/>
      <c r="E8890" s="90" t="s">
        <v>4720</v>
      </c>
      <c r="F8890"/>
      <c r="G8890">
        <v>5000</v>
      </c>
      <c r="H8890"/>
      <c r="I8890" s="88">
        <f t="shared" si="1429"/>
        <v>8477.7599999999984</v>
      </c>
      <c r="K8890" s="62"/>
      <c r="L8890" s="2">
        <f t="shared" si="1431"/>
        <v>20</v>
      </c>
    </row>
    <row r="8891" spans="1:12" s="40" customFormat="1" x14ac:dyDescent="0.3">
      <c r="A8891" s="3">
        <f t="shared" si="1430"/>
        <v>46217</v>
      </c>
      <c r="B8891" s="40" t="s">
        <v>10863</v>
      </c>
      <c r="C8891" s="40" t="s">
        <v>10862</v>
      </c>
      <c r="E8891" s="90" t="s">
        <v>4720</v>
      </c>
      <c r="H8891" s="40" t="s">
        <v>10861</v>
      </c>
      <c r="I8891" s="88">
        <f t="shared" si="1429"/>
        <v>8377.7599999999984</v>
      </c>
      <c r="L8891" s="2">
        <f t="shared" si="1431"/>
        <v>0.4</v>
      </c>
    </row>
    <row r="8892" spans="1:12" s="40" customFormat="1" x14ac:dyDescent="0.3">
      <c r="A8892" s="3">
        <f t="shared" si="1430"/>
        <v>46217</v>
      </c>
      <c r="E8892" s="90" t="s">
        <v>16</v>
      </c>
      <c r="H8892" s="40" t="s">
        <v>4770</v>
      </c>
      <c r="I8892" s="88">
        <f t="shared" si="1429"/>
        <v>7377.7599999999984</v>
      </c>
      <c r="L8892" s="2">
        <f t="shared" si="1431"/>
        <v>19</v>
      </c>
    </row>
    <row r="8893" spans="1:12" s="40" customFormat="1" x14ac:dyDescent="0.3">
      <c r="A8893" s="3">
        <f t="shared" si="1430"/>
        <v>46217</v>
      </c>
      <c r="C8893" s="40" t="s">
        <v>10865</v>
      </c>
      <c r="E8893" s="90" t="s">
        <v>4720</v>
      </c>
      <c r="H8893" s="40" t="s">
        <v>4787</v>
      </c>
      <c r="I8893" s="88">
        <f t="shared" si="1429"/>
        <v>2377.7599999999984</v>
      </c>
      <c r="L8893" s="2">
        <f t="shared" si="1431"/>
        <v>20</v>
      </c>
    </row>
    <row r="8894" spans="1:12" s="40" customFormat="1" x14ac:dyDescent="0.3">
      <c r="A8894" s="3">
        <f t="shared" si="1430"/>
        <v>46217</v>
      </c>
      <c r="B8894" s="40" t="s">
        <v>1250</v>
      </c>
      <c r="C8894" s="40" t="s">
        <v>2884</v>
      </c>
      <c r="E8894" s="90" t="s">
        <v>4720</v>
      </c>
      <c r="G8894" s="40" t="s">
        <v>10866</v>
      </c>
      <c r="I8894" s="88">
        <f t="shared" si="1429"/>
        <v>3477.7599999999984</v>
      </c>
      <c r="L8894" s="2">
        <f t="shared" si="1431"/>
        <v>4.4000000000000004</v>
      </c>
    </row>
    <row r="8895" spans="1:12" s="40" customFormat="1" x14ac:dyDescent="0.3">
      <c r="A8895" s="3">
        <f t="shared" si="1430"/>
        <v>46217</v>
      </c>
      <c r="B8895" s="40" t="s">
        <v>6718</v>
      </c>
      <c r="C8895" s="40" t="s">
        <v>10867</v>
      </c>
      <c r="E8895" s="90" t="s">
        <v>4720</v>
      </c>
      <c r="G8895" s="40" t="s">
        <v>4787</v>
      </c>
      <c r="I8895" s="88">
        <f t="shared" si="1429"/>
        <v>8477.7599999999984</v>
      </c>
      <c r="L8895" s="2">
        <f t="shared" si="1431"/>
        <v>20</v>
      </c>
    </row>
    <row r="8896" spans="1:12" s="40" customFormat="1" x14ac:dyDescent="0.3">
      <c r="A8896" s="3">
        <f t="shared" si="1430"/>
        <v>46217</v>
      </c>
      <c r="B8896" s="40" t="s">
        <v>6701</v>
      </c>
      <c r="C8896" s="40" t="s">
        <v>6702</v>
      </c>
      <c r="E8896" s="90" t="s">
        <v>4720</v>
      </c>
      <c r="G8896" s="40" t="s">
        <v>10868</v>
      </c>
      <c r="I8896" s="88">
        <f t="shared" si="1429"/>
        <v>11477.759999999998</v>
      </c>
      <c r="L8896" s="2">
        <f t="shared" si="1431"/>
        <v>12</v>
      </c>
    </row>
    <row r="8897" spans="1:12" s="40" customFormat="1" x14ac:dyDescent="0.3">
      <c r="A8897" s="3">
        <f t="shared" si="1430"/>
        <v>46217</v>
      </c>
      <c r="B8897" s="40" t="s">
        <v>1250</v>
      </c>
      <c r="C8897" s="40" t="s">
        <v>6424</v>
      </c>
      <c r="E8897" s="90" t="s">
        <v>4720</v>
      </c>
      <c r="G8897" s="40" t="s">
        <v>4770</v>
      </c>
      <c r="I8897" s="88">
        <f t="shared" si="1429"/>
        <v>12477.759999999998</v>
      </c>
      <c r="L8897" s="2">
        <f t="shared" si="1431"/>
        <v>4</v>
      </c>
    </row>
    <row r="8898" spans="1:12" s="40" customFormat="1" x14ac:dyDescent="0.3">
      <c r="A8898" s="3">
        <f t="shared" si="1430"/>
        <v>46217</v>
      </c>
      <c r="E8898" s="90" t="s">
        <v>4720</v>
      </c>
      <c r="G8898" s="40" t="s">
        <v>4787</v>
      </c>
      <c r="I8898" s="88">
        <f t="shared" si="1429"/>
        <v>17477.759999999998</v>
      </c>
      <c r="L8898" s="2">
        <f t="shared" si="1431"/>
        <v>20</v>
      </c>
    </row>
    <row r="8899" spans="1:12" s="40" customFormat="1" x14ac:dyDescent="0.3">
      <c r="A8899" s="3">
        <f t="shared" si="1430"/>
        <v>46217</v>
      </c>
      <c r="C8899" s="40" t="s">
        <v>2857</v>
      </c>
      <c r="E8899" s="90" t="s">
        <v>8332</v>
      </c>
      <c r="H8899" s="40" t="s">
        <v>10869</v>
      </c>
      <c r="I8899" s="88">
        <f t="shared" si="1429"/>
        <v>2477.7599999999984</v>
      </c>
      <c r="L8899" s="2">
        <f t="shared" si="1431"/>
        <v>0</v>
      </c>
    </row>
    <row r="8900" spans="1:12" s="40" customFormat="1" x14ac:dyDescent="0.3">
      <c r="A8900" s="3">
        <f t="shared" si="1430"/>
        <v>46217</v>
      </c>
      <c r="B8900" s="40" t="s">
        <v>1160</v>
      </c>
      <c r="C8900" s="40" t="s">
        <v>10746</v>
      </c>
      <c r="E8900" s="90" t="s">
        <v>4720</v>
      </c>
      <c r="G8900" s="40" t="s">
        <v>10870</v>
      </c>
      <c r="I8900" s="88">
        <f t="shared" si="1429"/>
        <v>9677.7599999999984</v>
      </c>
      <c r="L8900" s="2">
        <f t="shared" si="1431"/>
        <v>20</v>
      </c>
    </row>
    <row r="8901" spans="1:12" s="40" customFormat="1" x14ac:dyDescent="0.3">
      <c r="A8901" s="3">
        <f t="shared" si="1430"/>
        <v>46217</v>
      </c>
      <c r="B8901" s="40" t="s">
        <v>4622</v>
      </c>
      <c r="C8901" s="40" t="s">
        <v>8340</v>
      </c>
      <c r="E8901" s="90" t="s">
        <v>4720</v>
      </c>
      <c r="G8901" s="40" t="s">
        <v>10868</v>
      </c>
      <c r="I8901" s="88">
        <f t="shared" si="1429"/>
        <v>12677.759999999998</v>
      </c>
      <c r="L8901" s="2">
        <f t="shared" si="1431"/>
        <v>12</v>
      </c>
    </row>
    <row r="8902" spans="1:12" s="40" customFormat="1" x14ac:dyDescent="0.3">
      <c r="A8902" s="3">
        <f t="shared" si="1430"/>
        <v>46217</v>
      </c>
      <c r="B8902" s="40" t="s">
        <v>7859</v>
      </c>
      <c r="C8902" s="40" t="s">
        <v>10324</v>
      </c>
      <c r="E8902" s="90" t="s">
        <v>4720</v>
      </c>
      <c r="G8902" s="40" t="s">
        <v>10871</v>
      </c>
      <c r="I8902" s="88">
        <f t="shared" si="1429"/>
        <v>15177.759999999998</v>
      </c>
      <c r="L8902" s="2">
        <f t="shared" si="1431"/>
        <v>10</v>
      </c>
    </row>
    <row r="8903" spans="1:12" s="40" customFormat="1" x14ac:dyDescent="0.3">
      <c r="A8903" s="3">
        <f t="shared" si="1430"/>
        <v>46217</v>
      </c>
      <c r="B8903" s="40" t="s">
        <v>1250</v>
      </c>
      <c r="C8903" s="40" t="s">
        <v>4437</v>
      </c>
      <c r="E8903" s="90" t="s">
        <v>4720</v>
      </c>
      <c r="G8903" s="40" t="s">
        <v>4797</v>
      </c>
      <c r="I8903" s="88">
        <f t="shared" si="1429"/>
        <v>17177.759999999998</v>
      </c>
      <c r="L8903" s="2">
        <f t="shared" si="1431"/>
        <v>8</v>
      </c>
    </row>
    <row r="8904" spans="1:12" s="40" customFormat="1" x14ac:dyDescent="0.3">
      <c r="A8904" s="3">
        <f t="shared" si="1430"/>
        <v>46217</v>
      </c>
      <c r="B8904" s="40" t="s">
        <v>2448</v>
      </c>
      <c r="C8904" s="40" t="s">
        <v>2274</v>
      </c>
      <c r="E8904" s="90" t="s">
        <v>4720</v>
      </c>
      <c r="H8904" s="40" t="s">
        <v>10872</v>
      </c>
      <c r="I8904" s="88">
        <f t="shared" si="1429"/>
        <v>4177.7599999999984</v>
      </c>
      <c r="L8904" s="2">
        <f t="shared" si="1431"/>
        <v>20</v>
      </c>
    </row>
    <row r="8905" spans="1:12" s="40" customFormat="1" x14ac:dyDescent="0.3">
      <c r="A8905" s="3">
        <f t="shared" si="1430"/>
        <v>46217</v>
      </c>
      <c r="B8905" s="40" t="s">
        <v>1160</v>
      </c>
      <c r="C8905" s="40" t="s">
        <v>3701</v>
      </c>
      <c r="E8905" s="90" t="s">
        <v>4720</v>
      </c>
      <c r="G8905" s="40" t="s">
        <v>10873</v>
      </c>
      <c r="I8905" s="88">
        <f t="shared" si="1429"/>
        <v>5677.7599999999984</v>
      </c>
      <c r="L8905" s="2">
        <f t="shared" si="1431"/>
        <v>6</v>
      </c>
    </row>
    <row r="8906" spans="1:12" s="40" customFormat="1" x14ac:dyDescent="0.3">
      <c r="A8906" s="3">
        <f t="shared" si="1430"/>
        <v>46217</v>
      </c>
      <c r="B8906" s="40" t="s">
        <v>6706</v>
      </c>
      <c r="C8906" s="40" t="s">
        <v>10874</v>
      </c>
      <c r="E8906" s="90" t="s">
        <v>4720</v>
      </c>
      <c r="G8906" s="40" t="s">
        <v>4787</v>
      </c>
      <c r="I8906" s="88">
        <f t="shared" si="1429"/>
        <v>10677.759999999998</v>
      </c>
      <c r="L8906" s="2">
        <f t="shared" si="1431"/>
        <v>20</v>
      </c>
    </row>
    <row r="8907" spans="1:12" s="40" customFormat="1" x14ac:dyDescent="0.3">
      <c r="A8907" s="3">
        <f t="shared" si="1430"/>
        <v>46217</v>
      </c>
      <c r="B8907" s="40" t="s">
        <v>3456</v>
      </c>
      <c r="C8907" s="40" t="s">
        <v>7672</v>
      </c>
      <c r="E8907" s="90" t="s">
        <v>4720</v>
      </c>
      <c r="G8907" s="40" t="s">
        <v>4797</v>
      </c>
      <c r="I8907" s="88">
        <f t="shared" si="1429"/>
        <v>12677.759999999998</v>
      </c>
      <c r="L8907" s="2">
        <f t="shared" si="1431"/>
        <v>8</v>
      </c>
    </row>
    <row r="8908" spans="1:12" s="40" customFormat="1" x14ac:dyDescent="0.3">
      <c r="A8908" s="3">
        <v>46218</v>
      </c>
      <c r="B8908" s="40" t="s">
        <v>4520</v>
      </c>
      <c r="C8908" s="40" t="s">
        <v>4518</v>
      </c>
      <c r="E8908" s="90" t="s">
        <v>4720</v>
      </c>
      <c r="G8908" s="40" t="s">
        <v>10868</v>
      </c>
      <c r="I8908" s="88">
        <f t="shared" si="1429"/>
        <v>15677.759999999998</v>
      </c>
      <c r="L8908" s="2">
        <f t="shared" si="1431"/>
        <v>12</v>
      </c>
    </row>
    <row r="8909" spans="1:12" s="40" customFormat="1" x14ac:dyDescent="0.3">
      <c r="A8909" s="3">
        <f t="shared" si="1430"/>
        <v>46218</v>
      </c>
      <c r="B8909" s="40" t="s">
        <v>6743</v>
      </c>
      <c r="C8909" s="40" t="s">
        <v>9170</v>
      </c>
      <c r="E8909" s="90" t="s">
        <v>4720</v>
      </c>
      <c r="G8909" s="40" t="s">
        <v>4787</v>
      </c>
      <c r="I8909" s="88">
        <f t="shared" si="1429"/>
        <v>20677.759999999998</v>
      </c>
      <c r="L8909" s="2">
        <f t="shared" si="1431"/>
        <v>20</v>
      </c>
    </row>
    <row r="8910" spans="1:12" s="40" customFormat="1" x14ac:dyDescent="0.3">
      <c r="A8910" s="3">
        <f t="shared" si="1430"/>
        <v>46218</v>
      </c>
      <c r="B8910" s="40" t="s">
        <v>1250</v>
      </c>
      <c r="C8910" s="40" t="s">
        <v>2348</v>
      </c>
      <c r="E8910" s="90" t="s">
        <v>4720</v>
      </c>
      <c r="G8910" s="40" t="s">
        <v>4787</v>
      </c>
      <c r="I8910" s="88">
        <f t="shared" si="1429"/>
        <v>25677.759999999998</v>
      </c>
      <c r="L8910" s="2">
        <f t="shared" si="1431"/>
        <v>20</v>
      </c>
    </row>
    <row r="8911" spans="1:12" s="40" customFormat="1" x14ac:dyDescent="0.3">
      <c r="A8911" s="3">
        <f t="shared" si="1430"/>
        <v>46218</v>
      </c>
      <c r="B8911" s="40" t="s">
        <v>6549</v>
      </c>
      <c r="C8911" s="40" t="s">
        <v>7294</v>
      </c>
      <c r="E8911" s="90" t="s">
        <v>4720</v>
      </c>
      <c r="G8911" s="40" t="s">
        <v>10871</v>
      </c>
      <c r="I8911" s="88">
        <f t="shared" si="1429"/>
        <v>28177.759999999998</v>
      </c>
      <c r="L8911" s="2">
        <f t="shared" si="1431"/>
        <v>10</v>
      </c>
    </row>
    <row r="8912" spans="1:12" s="40" customFormat="1" x14ac:dyDescent="0.3">
      <c r="A8912" s="3">
        <f t="shared" si="1430"/>
        <v>46218</v>
      </c>
      <c r="E8912" s="90" t="s">
        <v>16</v>
      </c>
      <c r="H8912" s="40" t="s">
        <v>1267</v>
      </c>
      <c r="I8912" s="88">
        <f t="shared" si="1429"/>
        <v>27677.759999999998</v>
      </c>
      <c r="L8912" s="2">
        <f t="shared" si="1431"/>
        <v>17</v>
      </c>
    </row>
    <row r="8913" spans="1:12" s="40" customFormat="1" x14ac:dyDescent="0.3">
      <c r="A8913" s="3">
        <f t="shared" si="1430"/>
        <v>46218</v>
      </c>
      <c r="E8913" s="90" t="s">
        <v>4720</v>
      </c>
      <c r="H8913" s="40" t="s">
        <v>10876</v>
      </c>
      <c r="I8913" s="88">
        <f t="shared" si="1429"/>
        <v>2677.7599999999984</v>
      </c>
      <c r="L8913" s="2">
        <f t="shared" si="1431"/>
        <v>20</v>
      </c>
    </row>
    <row r="8914" spans="1:12" s="40" customFormat="1" x14ac:dyDescent="0.3">
      <c r="A8914" s="3">
        <f t="shared" si="1430"/>
        <v>46218</v>
      </c>
      <c r="B8914" s="40" t="s">
        <v>7103</v>
      </c>
      <c r="C8914" s="40" t="s">
        <v>10877</v>
      </c>
      <c r="E8914" s="90" t="s">
        <v>4720</v>
      </c>
      <c r="G8914" s="40" t="s">
        <v>10868</v>
      </c>
      <c r="I8914" s="88">
        <f t="shared" si="1429"/>
        <v>5677.7599999999984</v>
      </c>
      <c r="L8914" s="2">
        <f t="shared" si="1431"/>
        <v>12</v>
      </c>
    </row>
    <row r="8915" spans="1:12" s="40" customFormat="1" x14ac:dyDescent="0.3">
      <c r="A8915" s="3">
        <f t="shared" si="1430"/>
        <v>46218</v>
      </c>
      <c r="B8915" s="40" t="s">
        <v>1250</v>
      </c>
      <c r="C8915" s="40" t="s">
        <v>9589</v>
      </c>
      <c r="E8915" s="90" t="s">
        <v>4720</v>
      </c>
      <c r="G8915" s="40" t="s">
        <v>4787</v>
      </c>
      <c r="I8915" s="88">
        <f t="shared" si="1429"/>
        <v>10677.759999999998</v>
      </c>
      <c r="L8915" s="2">
        <f t="shared" si="1431"/>
        <v>20</v>
      </c>
    </row>
    <row r="8916" spans="1:12" s="40" customFormat="1" x14ac:dyDescent="0.3">
      <c r="A8916" s="3">
        <f t="shared" si="1430"/>
        <v>46218</v>
      </c>
      <c r="B8916" s="40" t="s">
        <v>6726</v>
      </c>
      <c r="C8916" s="40" t="s">
        <v>8949</v>
      </c>
      <c r="E8916" s="90" t="s">
        <v>4720</v>
      </c>
      <c r="G8916" s="40" t="s">
        <v>4797</v>
      </c>
      <c r="I8916" s="88">
        <f t="shared" si="1429"/>
        <v>12677.759999999998</v>
      </c>
      <c r="L8916" s="2">
        <f t="shared" si="1431"/>
        <v>8</v>
      </c>
    </row>
    <row r="8917" spans="1:12" s="40" customFormat="1" x14ac:dyDescent="0.3">
      <c r="A8917" s="3">
        <f t="shared" si="1430"/>
        <v>46218</v>
      </c>
      <c r="E8917" s="90" t="s">
        <v>4720</v>
      </c>
      <c r="H8917" s="40" t="s">
        <v>10871</v>
      </c>
      <c r="I8917" s="88">
        <f t="shared" si="1429"/>
        <v>10177.759999999998</v>
      </c>
      <c r="L8917" s="2">
        <f t="shared" si="1431"/>
        <v>10</v>
      </c>
    </row>
    <row r="8918" spans="1:12" s="40" customFormat="1" x14ac:dyDescent="0.3">
      <c r="A8918" s="3">
        <v>46219</v>
      </c>
      <c r="B8918" s="40" t="s">
        <v>9014</v>
      </c>
      <c r="C8918" s="40" t="s">
        <v>9090</v>
      </c>
      <c r="E8918" s="90" t="s">
        <v>4720</v>
      </c>
      <c r="H8918" s="40" t="s">
        <v>4770</v>
      </c>
      <c r="I8918" s="88">
        <f t="shared" si="1429"/>
        <v>9177.7599999999984</v>
      </c>
      <c r="L8918" s="2">
        <f t="shared" si="1431"/>
        <v>4</v>
      </c>
    </row>
    <row r="8919" spans="1:12" s="40" customFormat="1" x14ac:dyDescent="0.3">
      <c r="A8919" s="3">
        <f t="shared" si="1430"/>
        <v>46219</v>
      </c>
      <c r="B8919" s="40" t="s">
        <v>2528</v>
      </c>
      <c r="C8919" s="40" t="s">
        <v>4207</v>
      </c>
      <c r="E8919" s="90" t="s">
        <v>2088</v>
      </c>
      <c r="G8919" s="40" t="s">
        <v>4787</v>
      </c>
      <c r="I8919" s="88">
        <f t="shared" si="1429"/>
        <v>14177.759999999998</v>
      </c>
      <c r="L8919" s="2">
        <f t="shared" si="1431"/>
        <v>25</v>
      </c>
    </row>
    <row r="8920" spans="1:12" s="40" customFormat="1" x14ac:dyDescent="0.3">
      <c r="A8920" s="3">
        <f t="shared" si="1430"/>
        <v>46219</v>
      </c>
      <c r="B8920" s="40" t="s">
        <v>8900</v>
      </c>
      <c r="C8920" s="40" t="s">
        <v>9203</v>
      </c>
      <c r="E8920" s="90" t="s">
        <v>2088</v>
      </c>
      <c r="G8920" s="40" t="s">
        <v>10871</v>
      </c>
      <c r="I8920" s="88">
        <f t="shared" si="1429"/>
        <v>16677.759999999998</v>
      </c>
      <c r="L8920" s="2">
        <f t="shared" si="1431"/>
        <v>15</v>
      </c>
    </row>
    <row r="8921" spans="1:12" s="40" customFormat="1" x14ac:dyDescent="0.3">
      <c r="A8921" s="3">
        <f t="shared" si="1430"/>
        <v>46219</v>
      </c>
      <c r="B8921" s="40" t="s">
        <v>5355</v>
      </c>
      <c r="C8921" s="40" t="s">
        <v>6995</v>
      </c>
      <c r="E8921" s="90" t="s">
        <v>2088</v>
      </c>
      <c r="G8921" s="40" t="s">
        <v>4797</v>
      </c>
      <c r="I8921" s="88">
        <f t="shared" si="1429"/>
        <v>18677.759999999998</v>
      </c>
      <c r="L8921" s="2">
        <f t="shared" si="1431"/>
        <v>13</v>
      </c>
    </row>
    <row r="8922" spans="1:12" s="40" customFormat="1" x14ac:dyDescent="0.3">
      <c r="A8922" s="3">
        <f t="shared" si="1430"/>
        <v>46219</v>
      </c>
      <c r="B8922" s="40" t="s">
        <v>6486</v>
      </c>
      <c r="C8922" s="40" t="s">
        <v>7346</v>
      </c>
      <c r="E8922" s="90" t="s">
        <v>2088</v>
      </c>
      <c r="G8922" s="40" t="s">
        <v>4787</v>
      </c>
      <c r="I8922" s="88">
        <f t="shared" si="1429"/>
        <v>23677.759999999998</v>
      </c>
      <c r="L8922" s="2">
        <f t="shared" si="1431"/>
        <v>25</v>
      </c>
    </row>
    <row r="8923" spans="1:12" s="40" customFormat="1" x14ac:dyDescent="0.3">
      <c r="A8923" s="3">
        <f t="shared" si="1430"/>
        <v>46219</v>
      </c>
      <c r="B8923" s="40" t="s">
        <v>10831</v>
      </c>
      <c r="C8923" s="40" t="s">
        <v>10878</v>
      </c>
      <c r="E8923" s="90" t="s">
        <v>2088</v>
      </c>
      <c r="G8923" s="40" t="s">
        <v>7842</v>
      </c>
      <c r="H8923" s="40" t="s">
        <v>7842</v>
      </c>
      <c r="I8923" s="88">
        <f t="shared" si="1429"/>
        <v>23677.759999999998</v>
      </c>
      <c r="L8923" s="2">
        <f t="shared" si="1431"/>
        <v>5</v>
      </c>
    </row>
    <row r="8924" spans="1:12" s="40" customFormat="1" x14ac:dyDescent="0.3">
      <c r="A8924" s="3">
        <f t="shared" si="1430"/>
        <v>46219</v>
      </c>
      <c r="B8924" s="40" t="s">
        <v>7120</v>
      </c>
      <c r="C8924" s="40" t="s">
        <v>2857</v>
      </c>
      <c r="E8924" s="90" t="s">
        <v>4720</v>
      </c>
      <c r="H8924" s="40" t="s">
        <v>10879</v>
      </c>
      <c r="I8924" s="88">
        <f t="shared" si="1429"/>
        <v>3677.7599999999984</v>
      </c>
      <c r="L8924" s="2">
        <f t="shared" si="1431"/>
        <v>20</v>
      </c>
    </row>
    <row r="8925" spans="1:12" s="40" customFormat="1" x14ac:dyDescent="0.3">
      <c r="A8925" s="3">
        <f t="shared" si="1430"/>
        <v>46219</v>
      </c>
      <c r="B8925" s="40" t="s">
        <v>1250</v>
      </c>
      <c r="C8925" s="40" t="s">
        <v>7257</v>
      </c>
      <c r="E8925" s="90" t="s">
        <v>4720</v>
      </c>
      <c r="G8925" s="40" t="s">
        <v>10880</v>
      </c>
      <c r="I8925" s="88">
        <f t="shared" si="1429"/>
        <v>4577.7599999999984</v>
      </c>
      <c r="L8925" s="2">
        <f t="shared" si="1431"/>
        <v>3.6</v>
      </c>
    </row>
    <row r="8926" spans="1:12" s="40" customFormat="1" x14ac:dyDescent="0.3">
      <c r="A8926" s="3">
        <f t="shared" si="1430"/>
        <v>46219</v>
      </c>
      <c r="E8926" s="90" t="s">
        <v>4720</v>
      </c>
      <c r="G8926" s="40" t="s">
        <v>4787</v>
      </c>
      <c r="I8926" s="88">
        <f t="shared" si="1429"/>
        <v>9577.7599999999984</v>
      </c>
      <c r="L8926" s="2">
        <f t="shared" si="1431"/>
        <v>20</v>
      </c>
    </row>
    <row r="8927" spans="1:12" s="40" customFormat="1" x14ac:dyDescent="0.3">
      <c r="A8927" s="3">
        <f>A8925</f>
        <v>46219</v>
      </c>
      <c r="B8927" s="40" t="s">
        <v>7289</v>
      </c>
      <c r="C8927" s="40" t="s">
        <v>8926</v>
      </c>
      <c r="E8927" s="90" t="s">
        <v>2088</v>
      </c>
      <c r="G8927" s="40" t="s">
        <v>7842</v>
      </c>
      <c r="H8927" s="40" t="s">
        <v>7842</v>
      </c>
      <c r="I8927" s="88">
        <f t="shared" si="1429"/>
        <v>9577.7599999999984</v>
      </c>
      <c r="L8927" s="2">
        <f t="shared" si="1431"/>
        <v>5</v>
      </c>
    </row>
    <row r="8928" spans="1:12" s="40" customFormat="1" x14ac:dyDescent="0.3">
      <c r="A8928" s="3">
        <f t="shared" si="1430"/>
        <v>46219</v>
      </c>
      <c r="B8928" s="40" t="s">
        <v>7289</v>
      </c>
      <c r="C8928" s="40" t="s">
        <v>8926</v>
      </c>
      <c r="E8928" s="90" t="s">
        <v>2088</v>
      </c>
      <c r="G8928" s="40" t="s">
        <v>10871</v>
      </c>
      <c r="I8928" s="88">
        <f t="shared" si="1429"/>
        <v>12077.759999999998</v>
      </c>
      <c r="L8928" s="2">
        <f t="shared" si="1431"/>
        <v>15</v>
      </c>
    </row>
    <row r="8929" spans="1:12" s="40" customFormat="1" x14ac:dyDescent="0.3">
      <c r="A8929" s="3">
        <f t="shared" si="1430"/>
        <v>46219</v>
      </c>
      <c r="B8929" s="40" t="s">
        <v>1250</v>
      </c>
      <c r="C8929" s="40" t="s">
        <v>2626</v>
      </c>
      <c r="E8929" s="90" t="s">
        <v>4720</v>
      </c>
      <c r="G8929" s="40" t="s">
        <v>4765</v>
      </c>
      <c r="I8929" s="88">
        <f t="shared" si="1429"/>
        <v>15577.759999999998</v>
      </c>
      <c r="L8929" s="2">
        <f t="shared" si="1431"/>
        <v>14</v>
      </c>
    </row>
    <row r="8930" spans="1:12" s="40" customFormat="1" x14ac:dyDescent="0.3">
      <c r="A8930" s="3">
        <f t="shared" si="1430"/>
        <v>46219</v>
      </c>
      <c r="B8930" s="40" t="s">
        <v>6582</v>
      </c>
      <c r="C8930" s="40" t="s">
        <v>1128</v>
      </c>
      <c r="E8930" s="90" t="s">
        <v>2088</v>
      </c>
      <c r="G8930" s="40" t="s">
        <v>4787</v>
      </c>
      <c r="I8930" s="88">
        <f t="shared" si="1429"/>
        <v>20577.759999999998</v>
      </c>
      <c r="L8930" s="2">
        <f t="shared" si="1431"/>
        <v>25</v>
      </c>
    </row>
    <row r="8931" spans="1:12" s="40" customFormat="1" x14ac:dyDescent="0.3">
      <c r="A8931" s="3">
        <f t="shared" si="1430"/>
        <v>46219</v>
      </c>
      <c r="B8931" s="40" t="s">
        <v>7275</v>
      </c>
      <c r="C8931" s="40" t="s">
        <v>8635</v>
      </c>
      <c r="D8931" s="40" t="s">
        <v>10061</v>
      </c>
      <c r="E8931" s="90" t="s">
        <v>4720</v>
      </c>
      <c r="G8931" s="40" t="s">
        <v>4787</v>
      </c>
      <c r="I8931" s="88">
        <f t="shared" si="1429"/>
        <v>25577.759999999998</v>
      </c>
      <c r="L8931" s="2">
        <f t="shared" si="1431"/>
        <v>20</v>
      </c>
    </row>
    <row r="8932" spans="1:12" s="40" customFormat="1" x14ac:dyDescent="0.3">
      <c r="A8932" s="3">
        <f t="shared" si="1430"/>
        <v>46219</v>
      </c>
      <c r="B8932" s="40" t="s">
        <v>5872</v>
      </c>
      <c r="C8932" s="40" t="s">
        <v>9586</v>
      </c>
      <c r="E8932" s="90" t="s">
        <v>4720</v>
      </c>
      <c r="G8932" s="181" t="s">
        <v>4787</v>
      </c>
      <c r="I8932" s="88">
        <f t="shared" si="1429"/>
        <v>30577.759999999998</v>
      </c>
      <c r="L8932" s="2">
        <f t="shared" si="1431"/>
        <v>20</v>
      </c>
    </row>
    <row r="8933" spans="1:12" s="40" customFormat="1" x14ac:dyDescent="0.3">
      <c r="A8933" s="3">
        <f t="shared" si="1430"/>
        <v>46219</v>
      </c>
      <c r="B8933" s="40" t="s">
        <v>2448</v>
      </c>
      <c r="C8933" s="40" t="s">
        <v>2274</v>
      </c>
      <c r="E8933" s="90" t="s">
        <v>2088</v>
      </c>
      <c r="H8933" s="40" t="s">
        <v>4787</v>
      </c>
      <c r="I8933" s="88">
        <f t="shared" si="1429"/>
        <v>25577.759999999998</v>
      </c>
      <c r="L8933" s="2">
        <f t="shared" si="1431"/>
        <v>25</v>
      </c>
    </row>
    <row r="8934" spans="1:12" s="40" customFormat="1" x14ac:dyDescent="0.3">
      <c r="A8934" s="3">
        <f t="shared" si="1430"/>
        <v>46219</v>
      </c>
      <c r="B8934" s="40" t="s">
        <v>3420</v>
      </c>
      <c r="C8934" s="40" t="s">
        <v>9095</v>
      </c>
      <c r="E8934" s="90" t="s">
        <v>2088</v>
      </c>
      <c r="H8934" s="40" t="s">
        <v>10866</v>
      </c>
      <c r="I8934" s="88">
        <f t="shared" si="1429"/>
        <v>24477.759999999998</v>
      </c>
      <c r="L8934" s="2">
        <f t="shared" si="1431"/>
        <v>9.4</v>
      </c>
    </row>
    <row r="8935" spans="1:12" s="40" customFormat="1" x14ac:dyDescent="0.3">
      <c r="A8935" s="3">
        <f t="shared" si="1430"/>
        <v>46219</v>
      </c>
      <c r="B8935" s="40" t="s">
        <v>5995</v>
      </c>
      <c r="C8935" s="40" t="s">
        <v>9311</v>
      </c>
      <c r="E8935" s="90" t="s">
        <v>2088</v>
      </c>
      <c r="G8935" s="40" t="s">
        <v>4787</v>
      </c>
      <c r="I8935" s="88">
        <f t="shared" si="1429"/>
        <v>29477.759999999998</v>
      </c>
      <c r="L8935" s="2">
        <f t="shared" si="1431"/>
        <v>25</v>
      </c>
    </row>
    <row r="8936" spans="1:12" s="40" customFormat="1" x14ac:dyDescent="0.3">
      <c r="A8936" s="3">
        <f t="shared" si="1430"/>
        <v>46219</v>
      </c>
      <c r="B8936" s="40" t="s">
        <v>7108</v>
      </c>
      <c r="C8936" s="40" t="s">
        <v>9182</v>
      </c>
      <c r="E8936" s="90" t="s">
        <v>2088</v>
      </c>
      <c r="G8936" s="40" t="s">
        <v>4770</v>
      </c>
      <c r="I8936" s="88">
        <f t="shared" si="1429"/>
        <v>30477.759999999998</v>
      </c>
      <c r="L8936" s="2">
        <f t="shared" si="1431"/>
        <v>9</v>
      </c>
    </row>
    <row r="8937" spans="1:12" s="40" customFormat="1" x14ac:dyDescent="0.3">
      <c r="A8937" s="3">
        <v>46220</v>
      </c>
      <c r="C8937" s="40" t="s">
        <v>2857</v>
      </c>
      <c r="E8937" s="90" t="s">
        <v>8332</v>
      </c>
      <c r="H8937" s="40" t="s">
        <v>10886</v>
      </c>
      <c r="I8937" s="88">
        <f t="shared" si="1429"/>
        <v>477.7599999999984</v>
      </c>
      <c r="L8937" s="2">
        <f t="shared" si="1431"/>
        <v>0</v>
      </c>
    </row>
    <row r="8938" spans="1:12" s="40" customFormat="1" x14ac:dyDescent="0.3">
      <c r="A8938" s="3">
        <f t="shared" si="1430"/>
        <v>46220</v>
      </c>
      <c r="B8938" s="40" t="s">
        <v>10887</v>
      </c>
      <c r="C8938" s="40" t="s">
        <v>10888</v>
      </c>
      <c r="E8938" s="90" t="s">
        <v>2088</v>
      </c>
      <c r="G8938" s="40" t="s">
        <v>7842</v>
      </c>
      <c r="H8938" s="40" t="s">
        <v>7842</v>
      </c>
      <c r="I8938" s="88">
        <f t="shared" si="1429"/>
        <v>477.7599999999984</v>
      </c>
      <c r="L8938" s="2">
        <f t="shared" ref="L8938:L9001" si="1432">IF(E8938="C",0,IF((G8938+H8938)&lt;=5000,(G8938+H8938)*0.004,20)+IF(E8938="P",5,IF(E8938="Y",15,IF(E8938="YY",25))))</f>
        <v>5</v>
      </c>
    </row>
    <row r="8939" spans="1:12" s="40" customFormat="1" x14ac:dyDescent="0.3">
      <c r="A8939" s="3">
        <f t="shared" ref="A8939:A9004" si="1433">A8938</f>
        <v>46220</v>
      </c>
      <c r="B8939" s="40" t="s">
        <v>2089</v>
      </c>
      <c r="C8939" s="40" t="s">
        <v>2099</v>
      </c>
      <c r="E8939" s="90" t="s">
        <v>2088</v>
      </c>
      <c r="G8939" s="40" t="s">
        <v>4785</v>
      </c>
      <c r="I8939" s="88">
        <f t="shared" ref="I8939:I9004" si="1434">I8938+G8939-H8939</f>
        <v>4477.7599999999984</v>
      </c>
      <c r="L8939" s="2">
        <f t="shared" si="1432"/>
        <v>21</v>
      </c>
    </row>
    <row r="8940" spans="1:12" s="40" customFormat="1" x14ac:dyDescent="0.3">
      <c r="A8940" s="3">
        <f t="shared" si="1433"/>
        <v>46220</v>
      </c>
      <c r="B8940" s="40" t="s">
        <v>6940</v>
      </c>
      <c r="C8940" s="40" t="s">
        <v>7470</v>
      </c>
      <c r="E8940" s="90" t="s">
        <v>4720</v>
      </c>
      <c r="G8940" s="40" t="s">
        <v>10871</v>
      </c>
      <c r="I8940" s="88">
        <f t="shared" si="1434"/>
        <v>6977.7599999999984</v>
      </c>
      <c r="L8940" s="2">
        <f t="shared" si="1432"/>
        <v>10</v>
      </c>
    </row>
    <row r="8941" spans="1:12" s="40" customFormat="1" x14ac:dyDescent="0.3">
      <c r="A8941" s="3">
        <f t="shared" si="1433"/>
        <v>46220</v>
      </c>
      <c r="B8941" s="40" t="s">
        <v>6743</v>
      </c>
      <c r="C8941" s="40" t="s">
        <v>9170</v>
      </c>
      <c r="E8941" s="90" t="s">
        <v>2088</v>
      </c>
      <c r="G8941" s="40" t="s">
        <v>4787</v>
      </c>
      <c r="I8941" s="88">
        <f t="shared" si="1434"/>
        <v>11977.759999999998</v>
      </c>
      <c r="L8941" s="2">
        <f t="shared" si="1432"/>
        <v>25</v>
      </c>
    </row>
    <row r="8942" spans="1:12" s="40" customFormat="1" x14ac:dyDescent="0.3">
      <c r="A8942" s="3">
        <f t="shared" si="1433"/>
        <v>46220</v>
      </c>
      <c r="B8942" s="40" t="s">
        <v>7834</v>
      </c>
      <c r="C8942" s="40" t="s">
        <v>8837</v>
      </c>
      <c r="E8942" s="90" t="s">
        <v>2088</v>
      </c>
      <c r="G8942" s="40" t="s">
        <v>4787</v>
      </c>
      <c r="I8942" s="88">
        <f t="shared" si="1434"/>
        <v>16977.759999999998</v>
      </c>
      <c r="L8942" s="2">
        <f t="shared" si="1432"/>
        <v>25</v>
      </c>
    </row>
    <row r="8943" spans="1:12" s="40" customFormat="1" x14ac:dyDescent="0.3">
      <c r="A8943" s="3">
        <f t="shared" si="1433"/>
        <v>46220</v>
      </c>
      <c r="B8943" s="40" t="s">
        <v>10835</v>
      </c>
      <c r="C8943" s="40" t="s">
        <v>10889</v>
      </c>
      <c r="E8943" s="90" t="s">
        <v>2088</v>
      </c>
      <c r="G8943" s="40" t="s">
        <v>10890</v>
      </c>
      <c r="I8943" s="88">
        <f t="shared" si="1434"/>
        <v>17777.759999999998</v>
      </c>
      <c r="L8943" s="2">
        <f t="shared" si="1432"/>
        <v>8.1999999999999993</v>
      </c>
    </row>
    <row r="8944" spans="1:12" s="40" customFormat="1" x14ac:dyDescent="0.3">
      <c r="A8944" s="3">
        <f t="shared" si="1433"/>
        <v>46220</v>
      </c>
      <c r="B8944" s="11" t="s">
        <v>10892</v>
      </c>
      <c r="C8944" s="7" t="s">
        <v>8223</v>
      </c>
      <c r="E8944" s="90" t="s">
        <v>16</v>
      </c>
      <c r="H8944" s="40" t="s">
        <v>1267</v>
      </c>
      <c r="I8944" s="88">
        <f t="shared" si="1434"/>
        <v>17277.759999999998</v>
      </c>
      <c r="L8944" s="2">
        <f t="shared" si="1432"/>
        <v>17</v>
      </c>
    </row>
    <row r="8945" spans="1:12" s="40" customFormat="1" x14ac:dyDescent="0.3">
      <c r="A8945" s="3">
        <f t="shared" si="1433"/>
        <v>46220</v>
      </c>
      <c r="B8945" s="40" t="s">
        <v>4628</v>
      </c>
      <c r="C8945" s="40" t="s">
        <v>4629</v>
      </c>
      <c r="E8945" s="90" t="s">
        <v>2088</v>
      </c>
      <c r="G8945" s="40" t="s">
        <v>4770</v>
      </c>
      <c r="I8945" s="88">
        <f t="shared" si="1434"/>
        <v>18277.759999999998</v>
      </c>
      <c r="L8945" s="2">
        <f t="shared" si="1432"/>
        <v>9</v>
      </c>
    </row>
    <row r="8946" spans="1:12" s="40" customFormat="1" x14ac:dyDescent="0.3">
      <c r="A8946" s="3">
        <f t="shared" si="1433"/>
        <v>46220</v>
      </c>
      <c r="C8946" s="40" t="s">
        <v>2857</v>
      </c>
      <c r="E8946" s="90" t="s">
        <v>2088</v>
      </c>
      <c r="G8946" s="40" t="s">
        <v>7842</v>
      </c>
      <c r="H8946" s="40" t="s">
        <v>10896</v>
      </c>
      <c r="I8946" s="88">
        <f t="shared" si="1434"/>
        <v>277.7599999999984</v>
      </c>
      <c r="L8946" s="2">
        <f t="shared" si="1432"/>
        <v>25</v>
      </c>
    </row>
    <row r="8947" spans="1:12" s="40" customFormat="1" x14ac:dyDescent="0.3">
      <c r="A8947" s="3">
        <f t="shared" si="1433"/>
        <v>46220</v>
      </c>
      <c r="B8947" s="40" t="s">
        <v>6892</v>
      </c>
      <c r="C8947" s="40" t="s">
        <v>6668</v>
      </c>
      <c r="E8947" s="90" t="s">
        <v>2088</v>
      </c>
      <c r="G8947" s="40" t="s">
        <v>7842</v>
      </c>
      <c r="I8947" s="88">
        <f t="shared" si="1434"/>
        <v>277.7599999999984</v>
      </c>
      <c r="L8947" s="2">
        <f t="shared" si="1432"/>
        <v>5</v>
      </c>
    </row>
    <row r="8948" spans="1:12" s="40" customFormat="1" x14ac:dyDescent="0.3">
      <c r="A8948" s="3">
        <f t="shared" si="1433"/>
        <v>46220</v>
      </c>
      <c r="B8948" s="40" t="s">
        <v>6892</v>
      </c>
      <c r="C8948" s="40" t="s">
        <v>6668</v>
      </c>
      <c r="E8948" s="90" t="s">
        <v>2088</v>
      </c>
      <c r="G8948" s="40" t="s">
        <v>10871</v>
      </c>
      <c r="I8948" s="88">
        <f t="shared" si="1434"/>
        <v>2777.7599999999984</v>
      </c>
      <c r="L8948" s="2">
        <f t="shared" si="1432"/>
        <v>15</v>
      </c>
    </row>
    <row r="8949" spans="1:12" s="40" customFormat="1" x14ac:dyDescent="0.3">
      <c r="A8949" s="3">
        <f t="shared" si="1433"/>
        <v>46220</v>
      </c>
      <c r="B8949" s="40" t="s">
        <v>1250</v>
      </c>
      <c r="C8949" s="40" t="s">
        <v>10897</v>
      </c>
      <c r="E8949" s="90" t="s">
        <v>4720</v>
      </c>
      <c r="G8949" s="40" t="s">
        <v>10868</v>
      </c>
      <c r="I8949" s="88">
        <f t="shared" si="1434"/>
        <v>5777.7599999999984</v>
      </c>
      <c r="L8949" s="2">
        <f t="shared" si="1432"/>
        <v>12</v>
      </c>
    </row>
    <row r="8950" spans="1:12" s="40" customFormat="1" x14ac:dyDescent="0.3">
      <c r="A8950" s="3">
        <f t="shared" si="1433"/>
        <v>46220</v>
      </c>
      <c r="B8950" s="11" t="s">
        <v>10899</v>
      </c>
      <c r="C8950" s="7" t="s">
        <v>10900</v>
      </c>
      <c r="E8950" s="90" t="s">
        <v>16</v>
      </c>
      <c r="H8950" s="40" t="s">
        <v>1267</v>
      </c>
      <c r="I8950" s="88">
        <f t="shared" si="1434"/>
        <v>5277.7599999999984</v>
      </c>
      <c r="L8950" s="2">
        <f t="shared" si="1432"/>
        <v>17</v>
      </c>
    </row>
    <row r="8951" spans="1:12" s="40" customFormat="1" x14ac:dyDescent="0.3">
      <c r="A8951" s="3">
        <f t="shared" si="1433"/>
        <v>46220</v>
      </c>
      <c r="B8951" s="40" t="s">
        <v>1250</v>
      </c>
      <c r="E8951" s="90" t="s">
        <v>2088</v>
      </c>
      <c r="G8951" s="40" t="s">
        <v>4787</v>
      </c>
      <c r="I8951" s="88">
        <f t="shared" si="1434"/>
        <v>10277.759999999998</v>
      </c>
      <c r="L8951" s="2">
        <f t="shared" si="1432"/>
        <v>25</v>
      </c>
    </row>
    <row r="8952" spans="1:12" s="40" customFormat="1" x14ac:dyDescent="0.3">
      <c r="A8952" s="3">
        <f t="shared" si="1433"/>
        <v>46220</v>
      </c>
      <c r="B8952" s="40" t="s">
        <v>7255</v>
      </c>
      <c r="C8952" s="40" t="s">
        <v>2492</v>
      </c>
      <c r="E8952" s="90" t="s">
        <v>2088</v>
      </c>
      <c r="G8952" s="40" t="s">
        <v>4797</v>
      </c>
      <c r="I8952" s="88">
        <f t="shared" si="1434"/>
        <v>12277.759999999998</v>
      </c>
      <c r="L8952" s="2">
        <f t="shared" si="1432"/>
        <v>13</v>
      </c>
    </row>
    <row r="8953" spans="1:12" s="40" customFormat="1" x14ac:dyDescent="0.3">
      <c r="A8953" s="3">
        <f t="shared" si="1433"/>
        <v>46220</v>
      </c>
      <c r="B8953" s="40" t="s">
        <v>10901</v>
      </c>
      <c r="C8953" s="40" t="s">
        <v>10902</v>
      </c>
      <c r="E8953" s="90" t="s">
        <v>4720</v>
      </c>
      <c r="H8953" s="40" t="s">
        <v>4798</v>
      </c>
      <c r="I8953" s="88">
        <f t="shared" si="1434"/>
        <v>6277.7599999999984</v>
      </c>
      <c r="L8953" s="2">
        <f t="shared" si="1432"/>
        <v>20</v>
      </c>
    </row>
    <row r="8954" spans="1:12" s="40" customFormat="1" x14ac:dyDescent="0.3">
      <c r="A8954" s="3">
        <v>46222</v>
      </c>
      <c r="B8954" s="40" t="s">
        <v>8900</v>
      </c>
      <c r="C8954" s="40" t="s">
        <v>9203</v>
      </c>
      <c r="E8954" s="90" t="s">
        <v>2088</v>
      </c>
      <c r="G8954" s="40" t="s">
        <v>10871</v>
      </c>
      <c r="I8954" s="88">
        <f t="shared" si="1434"/>
        <v>8777.7599999999984</v>
      </c>
      <c r="L8954" s="2">
        <f t="shared" si="1432"/>
        <v>15</v>
      </c>
    </row>
    <row r="8955" spans="1:12" s="40" customFormat="1" x14ac:dyDescent="0.3">
      <c r="A8955" s="3">
        <f t="shared" si="1433"/>
        <v>46222</v>
      </c>
      <c r="B8955" s="40" t="s">
        <v>3039</v>
      </c>
      <c r="C8955" s="40" t="s">
        <v>10903</v>
      </c>
      <c r="E8955" s="90" t="s">
        <v>4720</v>
      </c>
      <c r="G8955" s="40" t="s">
        <v>4797</v>
      </c>
      <c r="I8955" s="88">
        <f t="shared" si="1434"/>
        <v>10777.759999999998</v>
      </c>
      <c r="L8955" s="2">
        <f t="shared" si="1432"/>
        <v>8</v>
      </c>
    </row>
    <row r="8956" spans="1:12" s="40" customFormat="1" x14ac:dyDescent="0.3">
      <c r="A8956" s="3">
        <f t="shared" si="1433"/>
        <v>46222</v>
      </c>
      <c r="B8956" s="11" t="s">
        <v>10042</v>
      </c>
      <c r="C8956" t="s">
        <v>10904</v>
      </c>
      <c r="E8956" s="90" t="s">
        <v>4720</v>
      </c>
      <c r="H8956" s="40" t="s">
        <v>4787</v>
      </c>
      <c r="I8956" s="88">
        <f t="shared" si="1434"/>
        <v>5777.7599999999984</v>
      </c>
      <c r="L8956" s="2">
        <f t="shared" si="1432"/>
        <v>20</v>
      </c>
    </row>
    <row r="8957" spans="1:12" s="40" customFormat="1" x14ac:dyDescent="0.3">
      <c r="A8957" s="3">
        <v>46223</v>
      </c>
      <c r="B8957" s="40" t="s">
        <v>1250</v>
      </c>
      <c r="C8957" s="40" t="s">
        <v>10905</v>
      </c>
      <c r="D8957" s="182" t="s">
        <v>10906</v>
      </c>
      <c r="E8957" s="90" t="s">
        <v>4720</v>
      </c>
      <c r="G8957" s="40" t="s">
        <v>4775</v>
      </c>
      <c r="I8957" s="88">
        <f t="shared" si="1434"/>
        <v>15777.759999999998</v>
      </c>
      <c r="L8957" s="2">
        <f t="shared" si="1432"/>
        <v>20</v>
      </c>
    </row>
    <row r="8958" spans="1:12" s="40" customFormat="1" x14ac:dyDescent="0.3">
      <c r="A8958" s="3">
        <f t="shared" si="1433"/>
        <v>46223</v>
      </c>
      <c r="B8958" s="40" t="s">
        <v>6260</v>
      </c>
      <c r="C8958" s="40" t="s">
        <v>7117</v>
      </c>
      <c r="E8958" s="90" t="s">
        <v>4720</v>
      </c>
      <c r="H8958" s="40" t="s">
        <v>10907</v>
      </c>
      <c r="I8958" s="88">
        <f t="shared" si="1434"/>
        <v>8777.7599999999984</v>
      </c>
      <c r="L8958" s="2">
        <f t="shared" si="1432"/>
        <v>20</v>
      </c>
    </row>
    <row r="8959" spans="1:12" s="40" customFormat="1" x14ac:dyDescent="0.3">
      <c r="A8959" s="3">
        <f t="shared" si="1433"/>
        <v>46223</v>
      </c>
      <c r="B8959" s="40" t="s">
        <v>8247</v>
      </c>
      <c r="C8959" s="40" t="s">
        <v>9580</v>
      </c>
      <c r="E8959" s="90" t="s">
        <v>2088</v>
      </c>
      <c r="G8959" s="40" t="s">
        <v>4787</v>
      </c>
      <c r="I8959" s="88">
        <f t="shared" si="1434"/>
        <v>13777.759999999998</v>
      </c>
      <c r="L8959" s="2">
        <f t="shared" si="1432"/>
        <v>25</v>
      </c>
    </row>
    <row r="8960" spans="1:12" s="40" customFormat="1" x14ac:dyDescent="0.3">
      <c r="A8960" s="3">
        <f t="shared" si="1433"/>
        <v>46223</v>
      </c>
      <c r="B8960" s="40" t="s">
        <v>1250</v>
      </c>
      <c r="C8960" s="40" t="s">
        <v>7560</v>
      </c>
      <c r="E8960" s="90" t="s">
        <v>4720</v>
      </c>
      <c r="G8960" s="40" t="s">
        <v>10873</v>
      </c>
      <c r="I8960" s="88">
        <f t="shared" si="1434"/>
        <v>15277.759999999998</v>
      </c>
      <c r="L8960" s="2">
        <f t="shared" si="1432"/>
        <v>6</v>
      </c>
    </row>
    <row r="8961" spans="1:12" s="40" customFormat="1" x14ac:dyDescent="0.3">
      <c r="A8961" s="3">
        <f t="shared" si="1433"/>
        <v>46223</v>
      </c>
      <c r="B8961" s="183" t="s">
        <v>8561</v>
      </c>
      <c r="C8961" s="40" t="s">
        <v>1279</v>
      </c>
      <c r="E8961" s="90" t="s">
        <v>4720</v>
      </c>
      <c r="H8961" s="183" t="s">
        <v>10868</v>
      </c>
      <c r="I8961" s="88">
        <f t="shared" si="1434"/>
        <v>12277.759999999998</v>
      </c>
      <c r="L8961" s="2">
        <f t="shared" si="1432"/>
        <v>12</v>
      </c>
    </row>
    <row r="8962" spans="1:12" s="40" customFormat="1" x14ac:dyDescent="0.3">
      <c r="A8962" s="3">
        <f t="shared" si="1433"/>
        <v>46223</v>
      </c>
      <c r="B8962" s="11" t="s">
        <v>10909</v>
      </c>
      <c r="C8962" s="7" t="s">
        <v>10910</v>
      </c>
      <c r="E8962" s="90" t="s">
        <v>16</v>
      </c>
      <c r="H8962" s="40" t="s">
        <v>1267</v>
      </c>
      <c r="I8962" s="88">
        <f t="shared" si="1434"/>
        <v>11777.759999999998</v>
      </c>
      <c r="L8962" s="2">
        <f t="shared" si="1432"/>
        <v>17</v>
      </c>
    </row>
    <row r="8963" spans="1:12" s="40" customFormat="1" x14ac:dyDescent="0.3">
      <c r="A8963" s="3">
        <f t="shared" si="1433"/>
        <v>46223</v>
      </c>
      <c r="B8963" s="40" t="s">
        <v>5659</v>
      </c>
      <c r="C8963" s="40" t="s">
        <v>9167</v>
      </c>
      <c r="D8963" s="182"/>
      <c r="E8963" s="90" t="s">
        <v>4720</v>
      </c>
      <c r="G8963" s="40" t="s">
        <v>10868</v>
      </c>
      <c r="I8963" s="88">
        <f t="shared" si="1434"/>
        <v>14777.759999999998</v>
      </c>
      <c r="L8963" s="2">
        <f t="shared" si="1432"/>
        <v>12</v>
      </c>
    </row>
    <row r="8964" spans="1:12" s="40" customFormat="1" x14ac:dyDescent="0.3">
      <c r="A8964" s="3">
        <f t="shared" si="1433"/>
        <v>46223</v>
      </c>
      <c r="B8964" s="40" t="s">
        <v>4184</v>
      </c>
      <c r="C8964" s="40" t="s">
        <v>2554</v>
      </c>
      <c r="E8964" s="90" t="s">
        <v>2088</v>
      </c>
      <c r="G8964" s="40" t="s">
        <v>7842</v>
      </c>
      <c r="H8964" s="40" t="s">
        <v>7842</v>
      </c>
      <c r="I8964" s="88">
        <f t="shared" si="1434"/>
        <v>14777.759999999998</v>
      </c>
      <c r="L8964" s="2">
        <f t="shared" si="1432"/>
        <v>5</v>
      </c>
    </row>
    <row r="8965" spans="1:12" s="40" customFormat="1" x14ac:dyDescent="0.3">
      <c r="A8965" s="3">
        <f t="shared" si="1433"/>
        <v>46223</v>
      </c>
      <c r="C8965" s="40" t="s">
        <v>2577</v>
      </c>
      <c r="E8965" s="40" t="s">
        <v>4720</v>
      </c>
      <c r="H8965" s="40" t="s">
        <v>10914</v>
      </c>
      <c r="I8965" s="88">
        <f t="shared" si="1434"/>
        <v>13577.759999999998</v>
      </c>
      <c r="L8965" s="2">
        <f t="shared" si="1432"/>
        <v>4.8</v>
      </c>
    </row>
    <row r="8966" spans="1:12" s="40" customFormat="1" x14ac:dyDescent="0.3">
      <c r="A8966" s="3">
        <f t="shared" si="1433"/>
        <v>46223</v>
      </c>
      <c r="B8966" s="40" t="s">
        <v>1160</v>
      </c>
      <c r="C8966" s="40" t="s">
        <v>3896</v>
      </c>
      <c r="E8966" s="90" t="s">
        <v>4720</v>
      </c>
      <c r="G8966" s="40" t="s">
        <v>4797</v>
      </c>
      <c r="I8966" s="88">
        <f t="shared" si="1434"/>
        <v>15577.759999999998</v>
      </c>
      <c r="L8966" s="2">
        <f t="shared" si="1432"/>
        <v>8</v>
      </c>
    </row>
    <row r="8967" spans="1:12" s="40" customFormat="1" x14ac:dyDescent="0.3">
      <c r="A8967" s="3">
        <f t="shared" si="1433"/>
        <v>46223</v>
      </c>
      <c r="B8967" s="40" t="s">
        <v>4184</v>
      </c>
      <c r="C8967" s="40" t="s">
        <v>10912</v>
      </c>
      <c r="E8967" s="90" t="s">
        <v>2088</v>
      </c>
      <c r="G8967" s="40" t="s">
        <v>1267</v>
      </c>
      <c r="I8967" s="88">
        <f t="shared" si="1434"/>
        <v>16077.759999999998</v>
      </c>
      <c r="L8967" s="2">
        <f t="shared" si="1432"/>
        <v>7</v>
      </c>
    </row>
    <row r="8968" spans="1:12" s="40" customFormat="1" x14ac:dyDescent="0.3">
      <c r="A8968" s="3">
        <f t="shared" si="1433"/>
        <v>46223</v>
      </c>
      <c r="B8968" s="40" t="s">
        <v>6701</v>
      </c>
      <c r="C8968" s="40" t="s">
        <v>10913</v>
      </c>
      <c r="E8968" s="90" t="s">
        <v>4720</v>
      </c>
      <c r="G8968" s="40" t="s">
        <v>4797</v>
      </c>
      <c r="I8968" s="88">
        <f t="shared" si="1434"/>
        <v>18077.759999999998</v>
      </c>
      <c r="L8968" s="2">
        <f t="shared" si="1432"/>
        <v>8</v>
      </c>
    </row>
    <row r="8969" spans="1:12" s="40" customFormat="1" x14ac:dyDescent="0.3">
      <c r="A8969" s="3">
        <f t="shared" si="1433"/>
        <v>46223</v>
      </c>
      <c r="B8969" s="40" t="s">
        <v>2490</v>
      </c>
      <c r="C8969" s="40" t="s">
        <v>2857</v>
      </c>
      <c r="E8969" s="90" t="s">
        <v>8332</v>
      </c>
      <c r="H8969" s="40" t="s">
        <v>10896</v>
      </c>
      <c r="I8969" s="88">
        <f t="shared" si="1434"/>
        <v>77.759999999998399</v>
      </c>
      <c r="L8969" s="2">
        <f t="shared" si="1432"/>
        <v>0</v>
      </c>
    </row>
    <row r="8970" spans="1:12" s="40" customFormat="1" x14ac:dyDescent="0.3">
      <c r="A8970" s="3">
        <f t="shared" si="1433"/>
        <v>46223</v>
      </c>
      <c r="B8970" s="40" t="s">
        <v>7545</v>
      </c>
      <c r="C8970" s="40" t="s">
        <v>6592</v>
      </c>
      <c r="E8970" s="90" t="s">
        <v>4720</v>
      </c>
      <c r="G8970" s="40" t="s">
        <v>4785</v>
      </c>
      <c r="I8970" s="88">
        <f t="shared" si="1434"/>
        <v>4077.7599999999984</v>
      </c>
      <c r="L8970" s="2">
        <f t="shared" si="1432"/>
        <v>16</v>
      </c>
    </row>
    <row r="8971" spans="1:12" s="40" customFormat="1" x14ac:dyDescent="0.3">
      <c r="A8971" s="3">
        <f t="shared" si="1433"/>
        <v>46223</v>
      </c>
      <c r="B8971" s="40" t="s">
        <v>1472</v>
      </c>
      <c r="C8971" s="40" t="s">
        <v>8055</v>
      </c>
      <c r="E8971" s="90" t="s">
        <v>4720</v>
      </c>
      <c r="G8971" s="40" t="s">
        <v>4787</v>
      </c>
      <c r="I8971" s="88">
        <f t="shared" si="1434"/>
        <v>9077.7599999999984</v>
      </c>
      <c r="L8971" s="2">
        <f t="shared" si="1432"/>
        <v>20</v>
      </c>
    </row>
    <row r="8972" spans="1:12" s="40" customFormat="1" x14ac:dyDescent="0.3">
      <c r="A8972" s="3">
        <f t="shared" si="1433"/>
        <v>46223</v>
      </c>
      <c r="B8972" s="40" t="s">
        <v>7166</v>
      </c>
      <c r="C8972" s="40" t="s">
        <v>8055</v>
      </c>
      <c r="E8972" s="90" t="s">
        <v>4720</v>
      </c>
      <c r="H8972" s="40" t="s">
        <v>4787</v>
      </c>
      <c r="I8972" s="88">
        <f t="shared" si="1434"/>
        <v>4077.7599999999984</v>
      </c>
      <c r="L8972" s="2">
        <f t="shared" si="1432"/>
        <v>20</v>
      </c>
    </row>
    <row r="8973" spans="1:12" s="40" customFormat="1" x14ac:dyDescent="0.3">
      <c r="A8973" s="3">
        <f t="shared" si="1433"/>
        <v>46223</v>
      </c>
      <c r="B8973" s="40" t="s">
        <v>6105</v>
      </c>
      <c r="C8973" s="40" t="s">
        <v>6328</v>
      </c>
      <c r="E8973" s="90" t="s">
        <v>4720</v>
      </c>
      <c r="G8973" s="40" t="s">
        <v>10871</v>
      </c>
      <c r="I8973" s="88">
        <f t="shared" si="1434"/>
        <v>6577.7599999999984</v>
      </c>
      <c r="L8973" s="2">
        <f t="shared" si="1432"/>
        <v>10</v>
      </c>
    </row>
    <row r="8974" spans="1:12" s="40" customFormat="1" x14ac:dyDescent="0.3">
      <c r="A8974" s="3">
        <f t="shared" si="1433"/>
        <v>46223</v>
      </c>
      <c r="B8974" s="40" t="s">
        <v>8465</v>
      </c>
      <c r="C8974" s="40" t="s">
        <v>9096</v>
      </c>
      <c r="E8974" s="90" t="s">
        <v>4720</v>
      </c>
      <c r="G8974" s="40" t="s">
        <v>10871</v>
      </c>
      <c r="I8974" s="88">
        <f t="shared" si="1434"/>
        <v>9077.7599999999984</v>
      </c>
      <c r="L8974" s="2">
        <f t="shared" si="1432"/>
        <v>10</v>
      </c>
    </row>
    <row r="8975" spans="1:12" s="40" customFormat="1" x14ac:dyDescent="0.3">
      <c r="A8975" s="3">
        <f t="shared" si="1433"/>
        <v>46223</v>
      </c>
      <c r="B8975" s="40" t="s">
        <v>1250</v>
      </c>
      <c r="C8975" s="40" t="s">
        <v>10916</v>
      </c>
      <c r="E8975" s="90" t="s">
        <v>4720</v>
      </c>
      <c r="G8975" s="40" t="s">
        <v>10871</v>
      </c>
      <c r="I8975" s="88">
        <f t="shared" si="1434"/>
        <v>11577.759999999998</v>
      </c>
      <c r="L8975" s="2">
        <f t="shared" si="1432"/>
        <v>10</v>
      </c>
    </row>
    <row r="8976" spans="1:12" s="40" customFormat="1" x14ac:dyDescent="0.3">
      <c r="A8976" s="3">
        <f t="shared" si="1433"/>
        <v>46223</v>
      </c>
      <c r="B8976" s="40" t="s">
        <v>10915</v>
      </c>
      <c r="C8976" s="40" t="s">
        <v>5190</v>
      </c>
      <c r="E8976" s="90" t="s">
        <v>4720</v>
      </c>
      <c r="H8976" s="40" t="s">
        <v>10871</v>
      </c>
      <c r="I8976" s="88">
        <f t="shared" si="1434"/>
        <v>9077.7599999999984</v>
      </c>
      <c r="L8976" s="2">
        <f t="shared" si="1432"/>
        <v>10</v>
      </c>
    </row>
    <row r="8977" spans="1:12" s="40" customFormat="1" x14ac:dyDescent="0.3">
      <c r="A8977" s="3">
        <v>46224</v>
      </c>
      <c r="B8977" s="40" t="s">
        <v>4652</v>
      </c>
      <c r="C8977" s="40" t="s">
        <v>4658</v>
      </c>
      <c r="E8977" s="90" t="s">
        <v>2088</v>
      </c>
      <c r="G8977" s="40" t="s">
        <v>4798</v>
      </c>
      <c r="I8977" s="88">
        <f t="shared" si="1434"/>
        <v>15077.759999999998</v>
      </c>
      <c r="L8977" s="2">
        <f t="shared" si="1432"/>
        <v>25</v>
      </c>
    </row>
    <row r="8978" spans="1:12" s="40" customFormat="1" x14ac:dyDescent="0.3">
      <c r="A8978" s="3">
        <f t="shared" si="1433"/>
        <v>46224</v>
      </c>
      <c r="B8978" s="40" t="s">
        <v>3877</v>
      </c>
      <c r="C8978" s="40" t="s">
        <v>9163</v>
      </c>
      <c r="E8978" s="90" t="s">
        <v>2088</v>
      </c>
      <c r="G8978" s="40" t="s">
        <v>4770</v>
      </c>
      <c r="I8978" s="88">
        <f t="shared" si="1434"/>
        <v>16077.759999999998</v>
      </c>
      <c r="L8978" s="2">
        <f t="shared" si="1432"/>
        <v>9</v>
      </c>
    </row>
    <row r="8979" spans="1:12" s="40" customFormat="1" x14ac:dyDescent="0.3">
      <c r="A8979" s="3">
        <f t="shared" si="1433"/>
        <v>46224</v>
      </c>
      <c r="B8979" s="40" t="s">
        <v>10917</v>
      </c>
      <c r="C8979" s="40" t="s">
        <v>10918</v>
      </c>
      <c r="E8979" s="90" t="s">
        <v>2088</v>
      </c>
      <c r="G8979" s="40" t="s">
        <v>7842</v>
      </c>
      <c r="H8979" s="40" t="s">
        <v>7842</v>
      </c>
      <c r="I8979" s="88">
        <f t="shared" si="1434"/>
        <v>16077.759999999998</v>
      </c>
      <c r="L8979" s="2">
        <f t="shared" si="1432"/>
        <v>5</v>
      </c>
    </row>
    <row r="8980" spans="1:12" s="40" customFormat="1" x14ac:dyDescent="0.3">
      <c r="A8980" s="3">
        <f t="shared" si="1433"/>
        <v>46224</v>
      </c>
      <c r="B8980" s="40" t="s">
        <v>10917</v>
      </c>
      <c r="C8980" s="40" t="s">
        <v>10918</v>
      </c>
      <c r="E8980" s="90" t="s">
        <v>2088</v>
      </c>
      <c r="G8980" s="40" t="s">
        <v>4797</v>
      </c>
      <c r="I8980" s="88">
        <f t="shared" si="1434"/>
        <v>18077.759999999998</v>
      </c>
      <c r="L8980" s="2">
        <f t="shared" si="1432"/>
        <v>13</v>
      </c>
    </row>
    <row r="8981" spans="1:12" s="40" customFormat="1" x14ac:dyDescent="0.3">
      <c r="A8981" s="3">
        <f t="shared" si="1433"/>
        <v>46224</v>
      </c>
      <c r="B8981" s="183" t="s">
        <v>2338</v>
      </c>
      <c r="C8981" s="40" t="s">
        <v>4786</v>
      </c>
      <c r="E8981" s="90" t="s">
        <v>4720</v>
      </c>
      <c r="H8981" s="183" t="s">
        <v>4787</v>
      </c>
      <c r="I8981" s="88">
        <f t="shared" si="1434"/>
        <v>13077.759999999998</v>
      </c>
      <c r="L8981" s="2">
        <f t="shared" si="1432"/>
        <v>20</v>
      </c>
    </row>
    <row r="8982" spans="1:12" s="40" customFormat="1" x14ac:dyDescent="0.3">
      <c r="A8982" s="3">
        <f t="shared" si="1433"/>
        <v>46224</v>
      </c>
      <c r="B8982" s="40" t="s">
        <v>8922</v>
      </c>
      <c r="C8982" s="40" t="s">
        <v>9183</v>
      </c>
      <c r="E8982" s="90" t="s">
        <v>2088</v>
      </c>
      <c r="G8982" s="40" t="s">
        <v>4787</v>
      </c>
      <c r="I8982" s="88">
        <f t="shared" si="1434"/>
        <v>18077.759999999998</v>
      </c>
      <c r="L8982" s="2">
        <f t="shared" si="1432"/>
        <v>25</v>
      </c>
    </row>
    <row r="8983" spans="1:12" s="40" customFormat="1" x14ac:dyDescent="0.3">
      <c r="A8983" s="3">
        <f t="shared" si="1433"/>
        <v>46224</v>
      </c>
      <c r="B8983" s="40" t="s">
        <v>3148</v>
      </c>
      <c r="C8983" s="40" t="s">
        <v>10282</v>
      </c>
      <c r="E8983" s="90" t="s">
        <v>4720</v>
      </c>
      <c r="G8983" s="40" t="s">
        <v>10919</v>
      </c>
      <c r="I8983" s="88">
        <f t="shared" si="1434"/>
        <v>19027.759999999998</v>
      </c>
      <c r="L8983" s="2">
        <f t="shared" si="1432"/>
        <v>3.8000000000000003</v>
      </c>
    </row>
    <row r="8984" spans="1:12" s="40" customFormat="1" x14ac:dyDescent="0.3">
      <c r="A8984" s="3">
        <f t="shared" si="1433"/>
        <v>46224</v>
      </c>
      <c r="B8984" s="40" t="s">
        <v>10074</v>
      </c>
      <c r="C8984" s="40" t="s">
        <v>10075</v>
      </c>
      <c r="E8984" s="90" t="s">
        <v>2088</v>
      </c>
      <c r="F8984" s="40" t="s">
        <v>7842</v>
      </c>
      <c r="G8984" s="40" t="s">
        <v>7842</v>
      </c>
      <c r="I8984" s="88">
        <f t="shared" si="1434"/>
        <v>19027.759999999998</v>
      </c>
      <c r="L8984" s="2">
        <f t="shared" si="1432"/>
        <v>5</v>
      </c>
    </row>
    <row r="8985" spans="1:12" s="40" customFormat="1" x14ac:dyDescent="0.3">
      <c r="A8985" s="3">
        <f t="shared" si="1433"/>
        <v>46224</v>
      </c>
      <c r="B8985" s="40" t="s">
        <v>10074</v>
      </c>
      <c r="C8985" s="40" t="s">
        <v>10075</v>
      </c>
      <c r="E8985" s="90" t="s">
        <v>2088</v>
      </c>
      <c r="G8985" s="40" t="s">
        <v>10871</v>
      </c>
      <c r="I8985" s="88">
        <f t="shared" si="1434"/>
        <v>21527.759999999998</v>
      </c>
      <c r="L8985" s="2">
        <f t="shared" si="1432"/>
        <v>15</v>
      </c>
    </row>
    <row r="8986" spans="1:12" s="40" customFormat="1" x14ac:dyDescent="0.3">
      <c r="A8986" s="3">
        <f t="shared" si="1433"/>
        <v>46224</v>
      </c>
      <c r="B8986" s="40" t="s">
        <v>6728</v>
      </c>
      <c r="C8986" s="40" t="s">
        <v>8346</v>
      </c>
      <c r="E8986" s="90" t="s">
        <v>2088</v>
      </c>
      <c r="G8986" s="40" t="s">
        <v>4787</v>
      </c>
      <c r="I8986" s="88">
        <f t="shared" si="1434"/>
        <v>26527.759999999998</v>
      </c>
      <c r="L8986" s="2">
        <f t="shared" si="1432"/>
        <v>25</v>
      </c>
    </row>
    <row r="8987" spans="1:12" s="40" customFormat="1" x14ac:dyDescent="0.3">
      <c r="A8987" s="3">
        <f t="shared" si="1433"/>
        <v>46224</v>
      </c>
      <c r="B8987" s="40" t="s">
        <v>5076</v>
      </c>
      <c r="C8987" s="40" t="s">
        <v>10068</v>
      </c>
      <c r="E8987" s="90" t="s">
        <v>2088</v>
      </c>
      <c r="G8987" s="182" t="s">
        <v>4787</v>
      </c>
      <c r="I8987" s="88">
        <f t="shared" si="1434"/>
        <v>31527.759999999998</v>
      </c>
      <c r="L8987" s="2">
        <f t="shared" si="1432"/>
        <v>25</v>
      </c>
    </row>
    <row r="8988" spans="1:12" s="40" customFormat="1" x14ac:dyDescent="0.3">
      <c r="A8988" s="3">
        <f t="shared" si="1433"/>
        <v>46224</v>
      </c>
      <c r="B8988" s="40" t="s">
        <v>1250</v>
      </c>
      <c r="C8988" s="40" t="s">
        <v>2626</v>
      </c>
      <c r="E8988" s="90" t="s">
        <v>4720</v>
      </c>
      <c r="G8988" s="40" t="s">
        <v>10920</v>
      </c>
      <c r="I8988" s="88">
        <f t="shared" si="1434"/>
        <v>33427.759999999995</v>
      </c>
      <c r="L8988" s="2">
        <f t="shared" si="1432"/>
        <v>7.6000000000000005</v>
      </c>
    </row>
    <row r="8989" spans="1:12" s="40" customFormat="1" x14ac:dyDescent="0.3">
      <c r="A8989" s="3">
        <f t="shared" si="1433"/>
        <v>46224</v>
      </c>
      <c r="C8989" s="40" t="s">
        <v>2857</v>
      </c>
      <c r="E8989" s="90" t="s">
        <v>8332</v>
      </c>
      <c r="H8989" s="40" t="s">
        <v>10886</v>
      </c>
      <c r="I8989" s="88">
        <f t="shared" si="1434"/>
        <v>3427.7599999999948</v>
      </c>
      <c r="L8989" s="2">
        <f t="shared" si="1432"/>
        <v>0</v>
      </c>
    </row>
    <row r="8990" spans="1:12" s="40" customFormat="1" x14ac:dyDescent="0.3">
      <c r="A8990" s="3">
        <f t="shared" si="1433"/>
        <v>46224</v>
      </c>
      <c r="B8990" s="51" t="s">
        <v>10881</v>
      </c>
      <c r="C8990" s="7" t="s">
        <v>10882</v>
      </c>
      <c r="E8990" s="90" t="s">
        <v>2088</v>
      </c>
      <c r="G8990" s="40" t="s">
        <v>7842</v>
      </c>
      <c r="H8990" s="40" t="s">
        <v>7842</v>
      </c>
      <c r="I8990" s="88">
        <f t="shared" si="1434"/>
        <v>3427.7599999999948</v>
      </c>
      <c r="L8990" s="2">
        <f t="shared" si="1432"/>
        <v>5</v>
      </c>
    </row>
    <row r="8991" spans="1:12" s="40" customFormat="1" x14ac:dyDescent="0.3">
      <c r="A8991" s="3">
        <f t="shared" si="1433"/>
        <v>46224</v>
      </c>
      <c r="B8991" s="51" t="s">
        <v>10926</v>
      </c>
      <c r="C8991" s="7" t="s">
        <v>10925</v>
      </c>
      <c r="E8991" s="90" t="s">
        <v>16</v>
      </c>
      <c r="H8991" s="40" t="s">
        <v>1267</v>
      </c>
      <c r="I8991" s="88">
        <f t="shared" si="1434"/>
        <v>2927.7599999999948</v>
      </c>
      <c r="L8991" s="2">
        <f t="shared" si="1432"/>
        <v>17</v>
      </c>
    </row>
    <row r="8992" spans="1:12" s="40" customFormat="1" x14ac:dyDescent="0.3">
      <c r="A8992" s="3">
        <f t="shared" si="1433"/>
        <v>46224</v>
      </c>
      <c r="B8992" s="40" t="s">
        <v>1250</v>
      </c>
      <c r="C8992" s="40" t="s">
        <v>6424</v>
      </c>
      <c r="E8992" s="90" t="s">
        <v>4720</v>
      </c>
      <c r="G8992" s="40" t="s">
        <v>10868</v>
      </c>
      <c r="I8992" s="88">
        <f t="shared" si="1434"/>
        <v>5927.7599999999948</v>
      </c>
      <c r="L8992" s="2">
        <f t="shared" si="1432"/>
        <v>12</v>
      </c>
    </row>
    <row r="8993" spans="1:12" s="40" customFormat="1" x14ac:dyDescent="0.3">
      <c r="A8993" s="3">
        <f t="shared" si="1433"/>
        <v>46224</v>
      </c>
      <c r="B8993" s="11" t="s">
        <v>10892</v>
      </c>
      <c r="C8993" s="7" t="s">
        <v>8223</v>
      </c>
      <c r="E8993" s="90" t="s">
        <v>2088</v>
      </c>
      <c r="G8993" s="40" t="s">
        <v>7842</v>
      </c>
      <c r="H8993" s="40" t="s">
        <v>7842</v>
      </c>
      <c r="I8993" s="88">
        <f t="shared" si="1434"/>
        <v>5927.7599999999948</v>
      </c>
      <c r="L8993" s="2">
        <f t="shared" si="1432"/>
        <v>5</v>
      </c>
    </row>
    <row r="8994" spans="1:12" s="40" customFormat="1" x14ac:dyDescent="0.3">
      <c r="A8994" s="3">
        <f t="shared" si="1433"/>
        <v>46224</v>
      </c>
      <c r="B8994" s="40" t="s">
        <v>1250</v>
      </c>
      <c r="C8994" s="40" t="s">
        <v>9405</v>
      </c>
      <c r="E8994" s="90" t="s">
        <v>4720</v>
      </c>
      <c r="G8994" s="40" t="s">
        <v>4797</v>
      </c>
      <c r="I8994" s="88">
        <f t="shared" si="1434"/>
        <v>7927.7599999999948</v>
      </c>
      <c r="L8994" s="2">
        <f t="shared" si="1432"/>
        <v>8</v>
      </c>
    </row>
    <row r="8995" spans="1:12" s="40" customFormat="1" x14ac:dyDescent="0.3">
      <c r="A8995" s="3">
        <f t="shared" si="1433"/>
        <v>46224</v>
      </c>
      <c r="B8995" s="40" t="s">
        <v>2241</v>
      </c>
      <c r="C8995" s="40" t="s">
        <v>10928</v>
      </c>
      <c r="E8995" s="90" t="s">
        <v>4720</v>
      </c>
      <c r="G8995" s="40" t="s">
        <v>10929</v>
      </c>
      <c r="I8995" s="88">
        <f t="shared" si="1434"/>
        <v>11027.759999999995</v>
      </c>
      <c r="L8995" s="2">
        <f t="shared" si="1432"/>
        <v>12.4</v>
      </c>
    </row>
    <row r="8996" spans="1:12" s="40" customFormat="1" x14ac:dyDescent="0.3">
      <c r="A8996" s="3">
        <v>46225</v>
      </c>
      <c r="B8996" s="40" t="s">
        <v>10933</v>
      </c>
      <c r="C8996" s="40" t="s">
        <v>10934</v>
      </c>
      <c r="E8996" s="90" t="s">
        <v>4720</v>
      </c>
      <c r="G8996" s="40" t="s">
        <v>10871</v>
      </c>
      <c r="I8996" s="88">
        <f t="shared" si="1434"/>
        <v>13527.759999999995</v>
      </c>
      <c r="L8996" s="2">
        <f t="shared" si="1432"/>
        <v>10</v>
      </c>
    </row>
    <row r="8997" spans="1:12" s="40" customFormat="1" x14ac:dyDescent="0.3">
      <c r="A8997" s="3">
        <v>46225</v>
      </c>
      <c r="E8997" s="90" t="s">
        <v>2088</v>
      </c>
      <c r="H8997" s="40" t="s">
        <v>1267</v>
      </c>
      <c r="I8997" s="88">
        <f t="shared" si="1434"/>
        <v>13027.759999999995</v>
      </c>
      <c r="L8997" s="2">
        <f t="shared" si="1432"/>
        <v>7</v>
      </c>
    </row>
    <row r="8998" spans="1:12" s="40" customFormat="1" x14ac:dyDescent="0.3">
      <c r="A8998" s="3">
        <f>A8996</f>
        <v>46225</v>
      </c>
      <c r="B8998" s="40" t="s">
        <v>2448</v>
      </c>
      <c r="C8998" s="40" t="s">
        <v>2274</v>
      </c>
      <c r="E8998" s="90" t="s">
        <v>4720</v>
      </c>
      <c r="H8998" s="40" t="s">
        <v>10935</v>
      </c>
      <c r="I8998" s="88">
        <f t="shared" si="1434"/>
        <v>8527.7599999999948</v>
      </c>
      <c r="L8998" s="2">
        <f t="shared" si="1432"/>
        <v>18</v>
      </c>
    </row>
    <row r="8999" spans="1:12" s="40" customFormat="1" x14ac:dyDescent="0.3">
      <c r="A8999" s="3">
        <f>A8997</f>
        <v>46225</v>
      </c>
      <c r="B8999" s="40" t="s">
        <v>6260</v>
      </c>
      <c r="C8999" s="40" t="s">
        <v>7117</v>
      </c>
      <c r="E8999" s="90"/>
      <c r="H8999" s="40" t="s">
        <v>4787</v>
      </c>
      <c r="I8999" s="88">
        <f t="shared" si="1434"/>
        <v>3527.7599999999948</v>
      </c>
      <c r="L8999" s="2">
        <f t="shared" si="1432"/>
        <v>20</v>
      </c>
    </row>
    <row r="9000" spans="1:12" s="40" customFormat="1" x14ac:dyDescent="0.3">
      <c r="A9000" s="3">
        <f>A8998</f>
        <v>46225</v>
      </c>
      <c r="B9000" s="11" t="s">
        <v>10899</v>
      </c>
      <c r="C9000" s="7" t="s">
        <v>10900</v>
      </c>
      <c r="E9000" s="90" t="s">
        <v>2088</v>
      </c>
      <c r="G9000" s="40" t="s">
        <v>7842</v>
      </c>
      <c r="H9000" s="40" t="s">
        <v>4770</v>
      </c>
      <c r="I9000" s="88">
        <f t="shared" si="1434"/>
        <v>2527.7599999999948</v>
      </c>
      <c r="L9000" s="2">
        <f t="shared" si="1432"/>
        <v>9</v>
      </c>
    </row>
    <row r="9001" spans="1:12" s="40" customFormat="1" x14ac:dyDescent="0.3">
      <c r="A9001" s="3">
        <f t="shared" si="1433"/>
        <v>46225</v>
      </c>
      <c r="B9001" s="11" t="s">
        <v>10926</v>
      </c>
      <c r="C9001" s="7" t="s">
        <v>10938</v>
      </c>
      <c r="E9001" s="90" t="s">
        <v>2088</v>
      </c>
      <c r="G9001" s="40" t="s">
        <v>7842</v>
      </c>
      <c r="I9001" s="88">
        <f t="shared" si="1434"/>
        <v>2527.7599999999948</v>
      </c>
      <c r="L9001" s="2">
        <f t="shared" si="1432"/>
        <v>5</v>
      </c>
    </row>
    <row r="9002" spans="1:12" s="40" customFormat="1" x14ac:dyDescent="0.3">
      <c r="A9002" s="3">
        <f t="shared" si="1433"/>
        <v>46225</v>
      </c>
      <c r="B9002" s="40" t="s">
        <v>8052</v>
      </c>
      <c r="C9002" s="40" t="s">
        <v>4867</v>
      </c>
      <c r="E9002" s="90" t="s">
        <v>4720</v>
      </c>
      <c r="G9002" s="40" t="s">
        <v>10939</v>
      </c>
      <c r="I9002" s="88">
        <f t="shared" si="1434"/>
        <v>2727.7599999999948</v>
      </c>
      <c r="L9002" s="2">
        <f t="shared" ref="L9002:L9065" si="1435">IF(E9002="C",0,IF((G9002+H9002)&lt;=5000,(G9002+H9002)*0.004,20)+IF(E9002="P",5,IF(E9002="Y",15,IF(E9002="YY",25))))</f>
        <v>0.8</v>
      </c>
    </row>
    <row r="9003" spans="1:12" s="40" customFormat="1" x14ac:dyDescent="0.3">
      <c r="A9003" s="3">
        <f t="shared" si="1433"/>
        <v>46225</v>
      </c>
      <c r="B9003" s="40" t="s">
        <v>6687</v>
      </c>
      <c r="C9003" s="40" t="s">
        <v>10402</v>
      </c>
      <c r="E9003" s="90" t="s">
        <v>4720</v>
      </c>
      <c r="G9003" s="40" t="s">
        <v>4785</v>
      </c>
      <c r="I9003" s="88">
        <f t="shared" si="1434"/>
        <v>6727.7599999999948</v>
      </c>
      <c r="L9003" s="2">
        <f t="shared" si="1435"/>
        <v>16</v>
      </c>
    </row>
    <row r="9004" spans="1:12" s="40" customFormat="1" x14ac:dyDescent="0.3">
      <c r="A9004" s="3">
        <f t="shared" si="1433"/>
        <v>46225</v>
      </c>
      <c r="B9004" s="40" t="s">
        <v>1250</v>
      </c>
      <c r="C9004" s="40" t="s">
        <v>2295</v>
      </c>
      <c r="E9004" s="90" t="s">
        <v>4720</v>
      </c>
      <c r="G9004" s="40" t="s">
        <v>4775</v>
      </c>
      <c r="I9004" s="88">
        <f t="shared" si="1434"/>
        <v>16727.759999999995</v>
      </c>
      <c r="L9004" s="2">
        <f t="shared" si="1435"/>
        <v>20</v>
      </c>
    </row>
    <row r="9005" spans="1:12" s="40" customFormat="1" x14ac:dyDescent="0.3">
      <c r="A9005" s="3">
        <f t="shared" ref="A9005:A9063" si="1436">A9004</f>
        <v>46225</v>
      </c>
      <c r="B9005" s="40" t="s">
        <v>7374</v>
      </c>
      <c r="C9005" s="40" t="s">
        <v>10466</v>
      </c>
      <c r="E9005" s="90" t="s">
        <v>4720</v>
      </c>
      <c r="H9005" s="40" t="s">
        <v>10940</v>
      </c>
      <c r="I9005" s="88">
        <f t="shared" ref="I9005:I9009" si="1437">I9004+G9005-H9005</f>
        <v>8727.7599999999948</v>
      </c>
      <c r="L9005" s="2">
        <f t="shared" si="1435"/>
        <v>20</v>
      </c>
    </row>
    <row r="9006" spans="1:12" s="40" customFormat="1" x14ac:dyDescent="0.3">
      <c r="A9006" s="3">
        <f t="shared" si="1436"/>
        <v>46225</v>
      </c>
      <c r="B9006" s="40" t="s">
        <v>3669</v>
      </c>
      <c r="C9006" s="40" t="s">
        <v>6581</v>
      </c>
      <c r="E9006" s="90" t="s">
        <v>4720</v>
      </c>
      <c r="G9006" s="40" t="s">
        <v>4785</v>
      </c>
      <c r="I9006" s="88">
        <f t="shared" si="1437"/>
        <v>12727.759999999995</v>
      </c>
      <c r="L9006" s="2">
        <f t="shared" si="1435"/>
        <v>16</v>
      </c>
    </row>
    <row r="9007" spans="1:12" s="40" customFormat="1" x14ac:dyDescent="0.3">
      <c r="A9007" s="3">
        <v>46226</v>
      </c>
      <c r="B9007" s="40" t="s">
        <v>1160</v>
      </c>
      <c r="C9007" s="40" t="s">
        <v>6480</v>
      </c>
      <c r="E9007" s="90" t="s">
        <v>4720</v>
      </c>
      <c r="G9007" s="40" t="s">
        <v>4770</v>
      </c>
      <c r="I9007" s="88">
        <f t="shared" si="1437"/>
        <v>13727.759999999995</v>
      </c>
      <c r="L9007" s="2">
        <f t="shared" si="1435"/>
        <v>4</v>
      </c>
    </row>
    <row r="9008" spans="1:12" s="40" customFormat="1" x14ac:dyDescent="0.3">
      <c r="A9008" s="3">
        <f t="shared" si="1436"/>
        <v>46226</v>
      </c>
      <c r="B9008" s="40" t="s">
        <v>7394</v>
      </c>
      <c r="C9008" s="40" t="s">
        <v>353</v>
      </c>
      <c r="E9008" s="90" t="s">
        <v>2088</v>
      </c>
      <c r="G9008" s="40" t="s">
        <v>4787</v>
      </c>
      <c r="I9008" s="88">
        <f t="shared" si="1437"/>
        <v>18727.759999999995</v>
      </c>
      <c r="L9008" s="2">
        <f t="shared" si="1435"/>
        <v>25</v>
      </c>
    </row>
    <row r="9009" spans="1:12" s="40" customFormat="1" x14ac:dyDescent="0.3">
      <c r="A9009" s="3">
        <f t="shared" si="1436"/>
        <v>46226</v>
      </c>
      <c r="B9009" s="40" t="s">
        <v>5961</v>
      </c>
      <c r="C9009" s="40" t="s">
        <v>10364</v>
      </c>
      <c r="E9009" s="90" t="s">
        <v>2088</v>
      </c>
      <c r="G9009" s="40" t="s">
        <v>7842</v>
      </c>
      <c r="H9009" s="40" t="s">
        <v>7842</v>
      </c>
      <c r="I9009" s="88">
        <f t="shared" si="1437"/>
        <v>18727.759999999995</v>
      </c>
      <c r="L9009" s="2">
        <f t="shared" si="1435"/>
        <v>5</v>
      </c>
    </row>
    <row r="9010" spans="1:12" s="40" customFormat="1" x14ac:dyDescent="0.3">
      <c r="A9010" s="3">
        <f t="shared" si="1436"/>
        <v>46226</v>
      </c>
      <c r="B9010" s="11" t="s">
        <v>9469</v>
      </c>
      <c r="C9010" s="40" t="s">
        <v>9470</v>
      </c>
      <c r="E9010" s="90" t="s">
        <v>4720</v>
      </c>
      <c r="H9010" s="184" t="s">
        <v>4770</v>
      </c>
      <c r="I9010" s="88">
        <f t="shared" ref="I9010:I9063" si="1438">I9009+G9010-H9010</f>
        <v>17727.759999999995</v>
      </c>
      <c r="L9010" s="2">
        <f t="shared" si="1435"/>
        <v>4</v>
      </c>
    </row>
    <row r="9011" spans="1:12" s="40" customFormat="1" x14ac:dyDescent="0.3">
      <c r="A9011" s="3">
        <f t="shared" si="1436"/>
        <v>46226</v>
      </c>
      <c r="B9011" s="40" t="s">
        <v>6233</v>
      </c>
      <c r="C9011" s="40" t="s">
        <v>8971</v>
      </c>
      <c r="E9011" s="90" t="s">
        <v>2088</v>
      </c>
      <c r="G9011" s="40" t="s">
        <v>4787</v>
      </c>
      <c r="I9011" s="88">
        <f t="shared" si="1438"/>
        <v>22727.759999999995</v>
      </c>
      <c r="L9011" s="2">
        <f t="shared" si="1435"/>
        <v>25</v>
      </c>
    </row>
    <row r="9012" spans="1:12" s="40" customFormat="1" x14ac:dyDescent="0.3">
      <c r="A9012" s="3">
        <f t="shared" si="1436"/>
        <v>46226</v>
      </c>
      <c r="B9012" s="40" t="s">
        <v>1388</v>
      </c>
      <c r="C9012" s="40" t="s">
        <v>2887</v>
      </c>
      <c r="E9012" s="90" t="s">
        <v>4720</v>
      </c>
      <c r="G9012" s="40" t="s">
        <v>4797</v>
      </c>
      <c r="I9012" s="88">
        <f t="shared" si="1438"/>
        <v>24727.759999999995</v>
      </c>
      <c r="L9012" s="2">
        <f t="shared" si="1435"/>
        <v>8</v>
      </c>
    </row>
    <row r="9013" spans="1:12" s="40" customFormat="1" x14ac:dyDescent="0.3">
      <c r="A9013" s="3">
        <f t="shared" si="1436"/>
        <v>46226</v>
      </c>
      <c r="B9013" s="40" t="s">
        <v>1388</v>
      </c>
      <c r="C9013" s="40" t="s">
        <v>10942</v>
      </c>
      <c r="E9013" s="90" t="s">
        <v>8332</v>
      </c>
      <c r="H9013" s="40" t="s">
        <v>10941</v>
      </c>
      <c r="I9013" s="88">
        <f t="shared" si="1438"/>
        <v>727.75999999999476</v>
      </c>
      <c r="L9013" s="2">
        <f t="shared" si="1435"/>
        <v>0</v>
      </c>
    </row>
    <row r="9014" spans="1:12" s="40" customFormat="1" x14ac:dyDescent="0.3">
      <c r="A9014" s="3">
        <f t="shared" si="1436"/>
        <v>46226</v>
      </c>
      <c r="B9014" s="40" t="s">
        <v>3148</v>
      </c>
      <c r="C9014" s="40" t="s">
        <v>2295</v>
      </c>
      <c r="E9014" s="90" t="s">
        <v>4720</v>
      </c>
      <c r="G9014" s="40" t="s">
        <v>4775</v>
      </c>
      <c r="I9014" s="88">
        <f t="shared" si="1438"/>
        <v>10727.759999999995</v>
      </c>
      <c r="L9014" s="2">
        <f t="shared" si="1435"/>
        <v>20</v>
      </c>
    </row>
    <row r="9015" spans="1:12" s="40" customFormat="1" x14ac:dyDescent="0.3">
      <c r="A9015" s="3">
        <f t="shared" si="1436"/>
        <v>46226</v>
      </c>
      <c r="B9015" s="40" t="s">
        <v>8955</v>
      </c>
      <c r="C9015" s="40" t="s">
        <v>10825</v>
      </c>
      <c r="E9015" s="90" t="s">
        <v>7772</v>
      </c>
      <c r="G9015" s="40" t="s">
        <v>10871</v>
      </c>
      <c r="I9015" s="88">
        <f t="shared" si="1438"/>
        <v>13227.759999999995</v>
      </c>
      <c r="L9015" s="2">
        <f t="shared" si="1435"/>
        <v>15</v>
      </c>
    </row>
    <row r="9016" spans="1:12" s="40" customFormat="1" x14ac:dyDescent="0.3">
      <c r="A9016" s="3">
        <f t="shared" si="1436"/>
        <v>46226</v>
      </c>
      <c r="B9016" s="40" t="s">
        <v>3148</v>
      </c>
      <c r="C9016" s="40" t="s">
        <v>10943</v>
      </c>
      <c r="E9016" s="90" t="s">
        <v>4720</v>
      </c>
      <c r="G9016" s="40" t="s">
        <v>10944</v>
      </c>
      <c r="I9016" s="88">
        <f t="shared" si="1438"/>
        <v>13927.759999999995</v>
      </c>
      <c r="L9016" s="2">
        <f t="shared" si="1435"/>
        <v>2.8000000000000003</v>
      </c>
    </row>
    <row r="9017" spans="1:12" s="40" customFormat="1" x14ac:dyDescent="0.3">
      <c r="A9017" s="3">
        <v>46227</v>
      </c>
      <c r="B9017" s="40" t="s">
        <v>8895</v>
      </c>
      <c r="C9017" s="40" t="s">
        <v>8896</v>
      </c>
      <c r="E9017" s="90" t="s">
        <v>2088</v>
      </c>
      <c r="G9017" s="40" t="s">
        <v>4787</v>
      </c>
      <c r="I9017" s="88">
        <f t="shared" si="1438"/>
        <v>18927.759999999995</v>
      </c>
      <c r="L9017" s="2">
        <f t="shared" si="1435"/>
        <v>25</v>
      </c>
    </row>
    <row r="9018" spans="1:12" s="40" customFormat="1" x14ac:dyDescent="0.3">
      <c r="A9018" s="3">
        <f t="shared" si="1436"/>
        <v>46227</v>
      </c>
      <c r="B9018" s="40" t="s">
        <v>2140</v>
      </c>
      <c r="C9018" s="40" t="s">
        <v>1356</v>
      </c>
      <c r="E9018" s="90" t="s">
        <v>4720</v>
      </c>
      <c r="H9018" s="40" t="s">
        <v>4787</v>
      </c>
      <c r="I9018" s="88">
        <f t="shared" si="1438"/>
        <v>13927.759999999995</v>
      </c>
      <c r="L9018" s="2">
        <f t="shared" si="1435"/>
        <v>20</v>
      </c>
    </row>
    <row r="9019" spans="1:12" s="40" customFormat="1" x14ac:dyDescent="0.3">
      <c r="A9019" s="3">
        <f t="shared" si="1436"/>
        <v>46227</v>
      </c>
      <c r="B9019" s="40" t="s">
        <v>7466</v>
      </c>
      <c r="C9019" s="40" t="s">
        <v>7465</v>
      </c>
      <c r="E9019" s="90" t="s">
        <v>2088</v>
      </c>
      <c r="G9019" s="40" t="s">
        <v>4797</v>
      </c>
      <c r="I9019" s="88">
        <f t="shared" si="1438"/>
        <v>15927.759999999995</v>
      </c>
      <c r="L9019" s="2">
        <f t="shared" si="1435"/>
        <v>13</v>
      </c>
    </row>
    <row r="9020" spans="1:12" s="40" customFormat="1" x14ac:dyDescent="0.3">
      <c r="A9020" s="3">
        <f t="shared" si="1436"/>
        <v>46227</v>
      </c>
      <c r="C9020" s="40" t="s">
        <v>2857</v>
      </c>
      <c r="E9020" s="90" t="s">
        <v>8332</v>
      </c>
      <c r="H9020" s="40" t="s">
        <v>10869</v>
      </c>
      <c r="I9020" s="88">
        <f t="shared" si="1438"/>
        <v>927.75999999999476</v>
      </c>
      <c r="L9020" s="2">
        <f t="shared" si="1435"/>
        <v>0</v>
      </c>
    </row>
    <row r="9021" spans="1:12" s="40" customFormat="1" x14ac:dyDescent="0.3">
      <c r="A9021" s="3">
        <f t="shared" si="1436"/>
        <v>46227</v>
      </c>
      <c r="B9021" s="40" t="s">
        <v>1250</v>
      </c>
      <c r="C9021" s="40" t="s">
        <v>10945</v>
      </c>
      <c r="E9021" s="90" t="s">
        <v>4720</v>
      </c>
      <c r="G9021" s="40" t="s">
        <v>4775</v>
      </c>
      <c r="I9021" s="88">
        <f t="shared" si="1438"/>
        <v>10927.759999999995</v>
      </c>
      <c r="L9021" s="2">
        <f t="shared" si="1435"/>
        <v>20</v>
      </c>
    </row>
    <row r="9022" spans="1:12" s="40" customFormat="1" x14ac:dyDescent="0.3">
      <c r="A9022" s="3">
        <v>46228</v>
      </c>
      <c r="B9022" s="40" t="s">
        <v>2241</v>
      </c>
      <c r="C9022" s="40" t="s">
        <v>10653</v>
      </c>
      <c r="E9022" s="90" t="s">
        <v>2088</v>
      </c>
      <c r="G9022" s="40" t="s">
        <v>10946</v>
      </c>
      <c r="I9022" s="88">
        <f t="shared" si="1438"/>
        <v>14127.759999999995</v>
      </c>
      <c r="L9022" s="2">
        <f t="shared" si="1435"/>
        <v>17.8</v>
      </c>
    </row>
    <row r="9023" spans="1:12" s="40" customFormat="1" x14ac:dyDescent="0.3">
      <c r="A9023" s="3">
        <f t="shared" si="1436"/>
        <v>46228</v>
      </c>
      <c r="B9023" s="40" t="s">
        <v>1250</v>
      </c>
      <c r="C9023" s="40" t="s">
        <v>10945</v>
      </c>
      <c r="E9023" s="90" t="s">
        <v>4720</v>
      </c>
      <c r="G9023" s="40" t="s">
        <v>4787</v>
      </c>
      <c r="I9023" s="88">
        <f t="shared" si="1438"/>
        <v>19127.759999999995</v>
      </c>
      <c r="L9023" s="2">
        <f t="shared" si="1435"/>
        <v>20</v>
      </c>
    </row>
    <row r="9024" spans="1:12" s="40" customFormat="1" x14ac:dyDescent="0.3">
      <c r="A9024" s="3">
        <v>46229</v>
      </c>
      <c r="B9024" s="40" t="s">
        <v>3871</v>
      </c>
      <c r="C9024" s="40" t="s">
        <v>2870</v>
      </c>
      <c r="E9024" s="90" t="s">
        <v>4720</v>
      </c>
      <c r="H9024" s="40" t="s">
        <v>4770</v>
      </c>
      <c r="I9024" s="88">
        <f t="shared" si="1438"/>
        <v>18127.759999999995</v>
      </c>
      <c r="L9024" s="2">
        <f t="shared" si="1435"/>
        <v>4</v>
      </c>
    </row>
    <row r="9025" spans="1:12" s="40" customFormat="1" x14ac:dyDescent="0.3">
      <c r="A9025" s="3">
        <f t="shared" si="1436"/>
        <v>46229</v>
      </c>
      <c r="B9025" s="40" t="s">
        <v>8906</v>
      </c>
      <c r="C9025" s="40" t="s">
        <v>10444</v>
      </c>
      <c r="E9025" s="90" t="s">
        <v>4720</v>
      </c>
      <c r="H9025" s="40" t="s">
        <v>4784</v>
      </c>
      <c r="I9025" s="88">
        <f t="shared" si="1438"/>
        <v>16327.759999999995</v>
      </c>
      <c r="L9025" s="2">
        <f t="shared" si="1435"/>
        <v>7.2</v>
      </c>
    </row>
    <row r="9026" spans="1:12" s="40" customFormat="1" x14ac:dyDescent="0.3">
      <c r="A9026" s="3">
        <f t="shared" si="1436"/>
        <v>46229</v>
      </c>
      <c r="B9026" s="183" t="s">
        <v>9983</v>
      </c>
      <c r="C9026" s="40" t="s">
        <v>3457</v>
      </c>
      <c r="E9026" s="90" t="s">
        <v>4720</v>
      </c>
      <c r="H9026" s="183" t="s">
        <v>4798</v>
      </c>
      <c r="I9026" s="88">
        <f t="shared" si="1438"/>
        <v>10327.759999999995</v>
      </c>
      <c r="L9026" s="2">
        <f t="shared" si="1435"/>
        <v>20</v>
      </c>
    </row>
    <row r="9027" spans="1:12" s="40" customFormat="1" x14ac:dyDescent="0.3">
      <c r="A9027" s="3">
        <v>46230</v>
      </c>
      <c r="B9027" s="40" t="s">
        <v>8679</v>
      </c>
      <c r="C9027" s="40" t="s">
        <v>9963</v>
      </c>
      <c r="E9027" s="90" t="s">
        <v>2088</v>
      </c>
      <c r="I9027" s="88">
        <f t="shared" si="1438"/>
        <v>10327.759999999995</v>
      </c>
      <c r="L9027" s="2">
        <f t="shared" si="1435"/>
        <v>5</v>
      </c>
    </row>
    <row r="9028" spans="1:12" s="40" customFormat="1" x14ac:dyDescent="0.3">
      <c r="A9028" s="3">
        <f t="shared" si="1436"/>
        <v>46230</v>
      </c>
      <c r="B9028" s="40" t="s">
        <v>8679</v>
      </c>
      <c r="C9028" s="40" t="s">
        <v>9963</v>
      </c>
      <c r="E9028" s="90" t="s">
        <v>2088</v>
      </c>
      <c r="G9028" s="40" t="s">
        <v>4797</v>
      </c>
      <c r="I9028" s="88">
        <f t="shared" si="1438"/>
        <v>12327.759999999995</v>
      </c>
      <c r="L9028" s="2">
        <f t="shared" si="1435"/>
        <v>13</v>
      </c>
    </row>
    <row r="9029" spans="1:12" s="40" customFormat="1" x14ac:dyDescent="0.3">
      <c r="A9029" s="3">
        <f t="shared" si="1436"/>
        <v>46230</v>
      </c>
      <c r="B9029" s="40" t="s">
        <v>10948</v>
      </c>
      <c r="C9029" s="40" t="s">
        <v>7470</v>
      </c>
      <c r="E9029" s="90" t="s">
        <v>4720</v>
      </c>
      <c r="G9029" s="40" t="s">
        <v>10947</v>
      </c>
      <c r="I9029" s="88">
        <f t="shared" si="1438"/>
        <v>12727.759999999995</v>
      </c>
      <c r="L9029" s="2">
        <f t="shared" si="1435"/>
        <v>1.6</v>
      </c>
    </row>
    <row r="9030" spans="1:12" s="40" customFormat="1" x14ac:dyDescent="0.3">
      <c r="A9030" s="3">
        <v>46231</v>
      </c>
      <c r="B9030" s="40" t="s">
        <v>4072</v>
      </c>
      <c r="C9030" s="40" t="s">
        <v>1593</v>
      </c>
      <c r="E9030" s="90" t="s">
        <v>2088</v>
      </c>
      <c r="G9030" s="40" t="s">
        <v>7842</v>
      </c>
      <c r="H9030" s="40" t="s">
        <v>7842</v>
      </c>
      <c r="I9030" s="88">
        <f t="shared" si="1438"/>
        <v>12727.759999999995</v>
      </c>
      <c r="L9030" s="2">
        <f t="shared" si="1435"/>
        <v>5</v>
      </c>
    </row>
    <row r="9031" spans="1:12" s="40" customFormat="1" x14ac:dyDescent="0.3">
      <c r="A9031" s="3">
        <f t="shared" si="1436"/>
        <v>46231</v>
      </c>
      <c r="B9031" s="40" t="s">
        <v>1250</v>
      </c>
      <c r="C9031" s="40" t="s">
        <v>6985</v>
      </c>
      <c r="E9031" s="90" t="s">
        <v>4720</v>
      </c>
      <c r="G9031" s="40" t="s">
        <v>4797</v>
      </c>
      <c r="I9031" s="88">
        <f t="shared" si="1438"/>
        <v>14727.759999999995</v>
      </c>
      <c r="L9031" s="2">
        <f t="shared" si="1435"/>
        <v>8</v>
      </c>
    </row>
    <row r="9032" spans="1:12" s="40" customFormat="1" x14ac:dyDescent="0.3">
      <c r="A9032" s="3">
        <f t="shared" si="1436"/>
        <v>46231</v>
      </c>
      <c r="B9032" s="40" t="s">
        <v>6369</v>
      </c>
      <c r="C9032" s="40" t="s">
        <v>7569</v>
      </c>
      <c r="E9032" s="90" t="s">
        <v>4720</v>
      </c>
      <c r="H9032" s="40" t="s">
        <v>10873</v>
      </c>
      <c r="I9032" s="88">
        <f t="shared" si="1438"/>
        <v>13227.759999999995</v>
      </c>
      <c r="L9032" s="2">
        <f t="shared" si="1435"/>
        <v>6</v>
      </c>
    </row>
    <row r="9033" spans="1:12" s="40" customFormat="1" x14ac:dyDescent="0.3">
      <c r="A9033" s="3">
        <f t="shared" si="1436"/>
        <v>46231</v>
      </c>
      <c r="B9033" s="40" t="s">
        <v>1250</v>
      </c>
      <c r="C9033" s="40" t="s">
        <v>8736</v>
      </c>
      <c r="E9033" s="90" t="s">
        <v>4720</v>
      </c>
      <c r="G9033" s="40" t="s">
        <v>4775</v>
      </c>
      <c r="I9033" s="88">
        <f t="shared" si="1438"/>
        <v>23227.759999999995</v>
      </c>
      <c r="L9033" s="2">
        <f t="shared" si="1435"/>
        <v>20</v>
      </c>
    </row>
    <row r="9034" spans="1:12" s="40" customFormat="1" x14ac:dyDescent="0.3">
      <c r="A9034" s="3">
        <f t="shared" si="1436"/>
        <v>46231</v>
      </c>
      <c r="B9034" s="40" t="s">
        <v>2140</v>
      </c>
      <c r="C9034" s="40" t="s">
        <v>1279</v>
      </c>
      <c r="E9034" s="90" t="s">
        <v>4720</v>
      </c>
      <c r="H9034" s="40" t="s">
        <v>4775</v>
      </c>
      <c r="I9034" s="88">
        <f t="shared" si="1438"/>
        <v>13227.759999999995</v>
      </c>
      <c r="L9034" s="2">
        <f t="shared" si="1435"/>
        <v>20</v>
      </c>
    </row>
    <row r="9035" spans="1:12" s="40" customFormat="1" x14ac:dyDescent="0.3">
      <c r="A9035" s="3">
        <v>46232</v>
      </c>
      <c r="B9035" s="40" t="s">
        <v>7120</v>
      </c>
      <c r="C9035" s="40" t="s">
        <v>7120</v>
      </c>
      <c r="E9035" s="90" t="s">
        <v>4720</v>
      </c>
      <c r="H9035" s="40" t="s">
        <v>10872</v>
      </c>
      <c r="I9035" s="88">
        <f t="shared" si="1438"/>
        <v>227.75999999999476</v>
      </c>
      <c r="L9035" s="2">
        <f t="shared" si="1435"/>
        <v>20</v>
      </c>
    </row>
    <row r="9036" spans="1:12" s="40" customFormat="1" x14ac:dyDescent="0.3">
      <c r="A9036" s="3">
        <f t="shared" si="1436"/>
        <v>46232</v>
      </c>
      <c r="B9036" s="40" t="s">
        <v>6486</v>
      </c>
      <c r="C9036" s="40" t="s">
        <v>10949</v>
      </c>
      <c r="E9036" s="90" t="s">
        <v>7772</v>
      </c>
      <c r="G9036" s="40" t="s">
        <v>10871</v>
      </c>
      <c r="I9036" s="88">
        <f t="shared" si="1438"/>
        <v>2727.7599999999948</v>
      </c>
      <c r="L9036" s="2">
        <f t="shared" si="1435"/>
        <v>15</v>
      </c>
    </row>
    <row r="9037" spans="1:12" s="40" customFormat="1" x14ac:dyDescent="0.3">
      <c r="A9037" s="3">
        <f t="shared" si="1436"/>
        <v>46232</v>
      </c>
      <c r="B9037" s="40" t="s">
        <v>10950</v>
      </c>
      <c r="C9037" s="40" t="s">
        <v>9362</v>
      </c>
      <c r="E9037" s="90" t="s">
        <v>7772</v>
      </c>
      <c r="G9037" s="40" t="s">
        <v>4765</v>
      </c>
      <c r="I9037" s="88">
        <f t="shared" si="1438"/>
        <v>6227.7599999999948</v>
      </c>
      <c r="L9037" s="2">
        <f t="shared" si="1435"/>
        <v>19</v>
      </c>
    </row>
    <row r="9038" spans="1:12" s="40" customFormat="1" x14ac:dyDescent="0.3">
      <c r="A9038" s="3">
        <f t="shared" si="1436"/>
        <v>46232</v>
      </c>
      <c r="B9038" s="40" t="s">
        <v>6522</v>
      </c>
      <c r="C9038" s="40" t="s">
        <v>8980</v>
      </c>
      <c r="E9038" s="90" t="s">
        <v>4720</v>
      </c>
      <c r="G9038" s="40" t="s">
        <v>10907</v>
      </c>
      <c r="I9038" s="88">
        <f t="shared" si="1438"/>
        <v>13227.759999999995</v>
      </c>
      <c r="L9038" s="2">
        <f t="shared" si="1435"/>
        <v>20</v>
      </c>
    </row>
    <row r="9039" spans="1:12" s="40" customFormat="1" x14ac:dyDescent="0.3">
      <c r="A9039" s="3">
        <f t="shared" si="1436"/>
        <v>46232</v>
      </c>
      <c r="B9039" s="40" t="s">
        <v>3232</v>
      </c>
      <c r="C9039" s="40" t="s">
        <v>10903</v>
      </c>
      <c r="E9039" s="90" t="s">
        <v>4720</v>
      </c>
      <c r="G9039" s="40" t="s">
        <v>10914</v>
      </c>
      <c r="I9039" s="88">
        <f t="shared" si="1438"/>
        <v>14427.759999999995</v>
      </c>
      <c r="L9039" s="2">
        <f t="shared" si="1435"/>
        <v>4.8</v>
      </c>
    </row>
    <row r="9040" spans="1:12" s="40" customFormat="1" x14ac:dyDescent="0.3">
      <c r="A9040" s="3">
        <f t="shared" si="1436"/>
        <v>46232</v>
      </c>
      <c r="B9040" s="40" t="s">
        <v>5318</v>
      </c>
      <c r="C9040" s="40" t="s">
        <v>10878</v>
      </c>
      <c r="E9040" s="90" t="s">
        <v>2088</v>
      </c>
      <c r="G9040" s="40" t="s">
        <v>4787</v>
      </c>
      <c r="I9040" s="88">
        <f t="shared" si="1438"/>
        <v>19427.759999999995</v>
      </c>
      <c r="L9040" s="2">
        <f t="shared" si="1435"/>
        <v>25</v>
      </c>
    </row>
    <row r="9041" spans="1:12" s="40" customFormat="1" x14ac:dyDescent="0.3">
      <c r="A9041" s="3">
        <f t="shared" si="1436"/>
        <v>46232</v>
      </c>
      <c r="C9041" s="40" t="s">
        <v>2887</v>
      </c>
      <c r="E9041" s="90" t="s">
        <v>8332</v>
      </c>
      <c r="G9041" s="40" t="s">
        <v>10944</v>
      </c>
      <c r="I9041" s="88">
        <f t="shared" si="1438"/>
        <v>20127.759999999995</v>
      </c>
      <c r="L9041" s="2">
        <f t="shared" si="1435"/>
        <v>0</v>
      </c>
    </row>
    <row r="9042" spans="1:12" s="40" customFormat="1" x14ac:dyDescent="0.3">
      <c r="A9042" s="3">
        <f t="shared" si="1436"/>
        <v>46232</v>
      </c>
      <c r="B9042" s="40" t="s">
        <v>7120</v>
      </c>
      <c r="C9042" s="40" t="s">
        <v>7245</v>
      </c>
      <c r="E9042" s="90" t="s">
        <v>8332</v>
      </c>
      <c r="H9042" s="40" t="s">
        <v>10879</v>
      </c>
      <c r="I9042" s="88">
        <f t="shared" si="1438"/>
        <v>127.75999999999476</v>
      </c>
      <c r="L9042" s="2">
        <f t="shared" si="1435"/>
        <v>0</v>
      </c>
    </row>
    <row r="9043" spans="1:12" s="40" customFormat="1" x14ac:dyDescent="0.3">
      <c r="A9043" s="3">
        <f t="shared" si="1436"/>
        <v>46232</v>
      </c>
      <c r="B9043" s="40" t="s">
        <v>1250</v>
      </c>
      <c r="C9043" s="40" t="s">
        <v>4437</v>
      </c>
      <c r="E9043" s="90" t="s">
        <v>4720</v>
      </c>
      <c r="G9043" s="40" t="s">
        <v>10880</v>
      </c>
      <c r="I9043" s="88">
        <f t="shared" si="1438"/>
        <v>1027.7599999999948</v>
      </c>
      <c r="L9043" s="2">
        <f t="shared" si="1435"/>
        <v>3.6</v>
      </c>
    </row>
    <row r="9044" spans="1:12" s="40" customFormat="1" x14ac:dyDescent="0.3">
      <c r="A9044" s="3">
        <f t="shared" si="1436"/>
        <v>46232</v>
      </c>
      <c r="B9044" s="40" t="s">
        <v>2500</v>
      </c>
      <c r="C9044" s="40" t="s">
        <v>8643</v>
      </c>
      <c r="E9044" s="90" t="s">
        <v>2088</v>
      </c>
      <c r="G9044" s="40" t="s">
        <v>10907</v>
      </c>
      <c r="I9044" s="88">
        <f t="shared" si="1438"/>
        <v>8027.7599999999948</v>
      </c>
      <c r="L9044" s="2">
        <f t="shared" si="1435"/>
        <v>25</v>
      </c>
    </row>
    <row r="9045" spans="1:12" s="40" customFormat="1" x14ac:dyDescent="0.3">
      <c r="A9045" s="3">
        <f t="shared" si="1436"/>
        <v>46232</v>
      </c>
      <c r="B9045" s="40" t="s">
        <v>8465</v>
      </c>
      <c r="C9045" s="40" t="s">
        <v>9096</v>
      </c>
      <c r="E9045" s="90" t="s">
        <v>2088</v>
      </c>
      <c r="G9045" s="40" t="s">
        <v>4770</v>
      </c>
      <c r="I9045" s="88">
        <f t="shared" si="1438"/>
        <v>9027.7599999999948</v>
      </c>
      <c r="L9045" s="2">
        <f t="shared" si="1435"/>
        <v>9</v>
      </c>
    </row>
    <row r="9046" spans="1:12" s="40" customFormat="1" x14ac:dyDescent="0.3">
      <c r="A9046" s="3">
        <f t="shared" si="1436"/>
        <v>46232</v>
      </c>
      <c r="B9046" s="40" t="s">
        <v>10951</v>
      </c>
      <c r="C9046" s="40" t="s">
        <v>10952</v>
      </c>
      <c r="E9046" s="90" t="s">
        <v>2088</v>
      </c>
      <c r="G9046" s="40" t="s">
        <v>4798</v>
      </c>
      <c r="I9046" s="88">
        <f t="shared" si="1438"/>
        <v>15027.759999999995</v>
      </c>
      <c r="L9046" s="2">
        <f t="shared" si="1435"/>
        <v>25</v>
      </c>
    </row>
    <row r="9047" spans="1:12" s="40" customFormat="1" x14ac:dyDescent="0.3">
      <c r="A9047" s="3">
        <f t="shared" si="1436"/>
        <v>46232</v>
      </c>
      <c r="B9047" s="40" t="s">
        <v>2448</v>
      </c>
      <c r="C9047" s="40" t="s">
        <v>2274</v>
      </c>
      <c r="E9047" s="90" t="s">
        <v>4720</v>
      </c>
      <c r="H9047" s="40" t="s">
        <v>4787</v>
      </c>
      <c r="I9047" s="88">
        <f t="shared" si="1438"/>
        <v>10027.759999999995</v>
      </c>
      <c r="L9047" s="2">
        <f t="shared" si="1435"/>
        <v>20</v>
      </c>
    </row>
    <row r="9048" spans="1:12" s="40" customFormat="1" x14ac:dyDescent="0.3">
      <c r="A9048" s="3">
        <f t="shared" si="1436"/>
        <v>46232</v>
      </c>
      <c r="B9048" s="40" t="s">
        <v>1160</v>
      </c>
      <c r="C9048" s="40" t="s">
        <v>10953</v>
      </c>
      <c r="E9048" s="90" t="s">
        <v>4720</v>
      </c>
      <c r="G9048" s="40" t="s">
        <v>10871</v>
      </c>
      <c r="I9048" s="88">
        <f t="shared" si="1438"/>
        <v>12527.759999999995</v>
      </c>
      <c r="L9048" s="2">
        <f t="shared" si="1435"/>
        <v>10</v>
      </c>
    </row>
    <row r="9049" spans="1:12" s="40" customFormat="1" x14ac:dyDescent="0.3">
      <c r="A9049" s="3">
        <v>46233</v>
      </c>
      <c r="B9049" s="40" t="s">
        <v>1250</v>
      </c>
      <c r="C9049" s="40" t="s">
        <v>3840</v>
      </c>
      <c r="E9049" s="90" t="s">
        <v>4720</v>
      </c>
      <c r="G9049" s="40" t="s">
        <v>4797</v>
      </c>
      <c r="I9049" s="88">
        <f t="shared" si="1438"/>
        <v>14527.759999999995</v>
      </c>
      <c r="L9049" s="2">
        <f t="shared" si="1435"/>
        <v>8</v>
      </c>
    </row>
    <row r="9050" spans="1:12" s="40" customFormat="1" x14ac:dyDescent="0.3">
      <c r="A9050" s="3">
        <f t="shared" si="1436"/>
        <v>46233</v>
      </c>
      <c r="B9050" s="40" t="s">
        <v>7312</v>
      </c>
      <c r="C9050" s="40" t="s">
        <v>10954</v>
      </c>
      <c r="E9050" s="90" t="s">
        <v>2088</v>
      </c>
      <c r="G9050" s="40" t="s">
        <v>4797</v>
      </c>
      <c r="I9050" s="88">
        <f t="shared" si="1438"/>
        <v>16527.759999999995</v>
      </c>
      <c r="L9050" s="2">
        <f t="shared" si="1435"/>
        <v>13</v>
      </c>
    </row>
    <row r="9051" spans="1:12" s="40" customFormat="1" x14ac:dyDescent="0.3">
      <c r="A9051" s="3">
        <f t="shared" si="1436"/>
        <v>46233</v>
      </c>
      <c r="B9051" s="40" t="s">
        <v>1160</v>
      </c>
      <c r="C9051" s="40" t="s">
        <v>8616</v>
      </c>
      <c r="D9051" s="182" t="s">
        <v>4770</v>
      </c>
      <c r="E9051" s="90" t="s">
        <v>4720</v>
      </c>
      <c r="G9051" s="40" t="s">
        <v>4797</v>
      </c>
      <c r="I9051" s="88">
        <f t="shared" si="1438"/>
        <v>18527.759999999995</v>
      </c>
      <c r="L9051" s="2">
        <f t="shared" si="1435"/>
        <v>8</v>
      </c>
    </row>
    <row r="9052" spans="1:12" s="40" customFormat="1" x14ac:dyDescent="0.3">
      <c r="A9052" s="3">
        <f t="shared" si="1436"/>
        <v>46233</v>
      </c>
      <c r="B9052" s="40" t="s">
        <v>2490</v>
      </c>
      <c r="C9052" s="40" t="s">
        <v>8860</v>
      </c>
      <c r="E9052" s="90" t="s">
        <v>8332</v>
      </c>
      <c r="H9052" s="40" t="s">
        <v>10896</v>
      </c>
      <c r="I9052" s="88">
        <f t="shared" si="1438"/>
        <v>527.75999999999476</v>
      </c>
      <c r="L9052" s="2">
        <f t="shared" si="1435"/>
        <v>0</v>
      </c>
    </row>
    <row r="9053" spans="1:12" s="40" customFormat="1" x14ac:dyDescent="0.3">
      <c r="A9053" s="3">
        <f t="shared" si="1436"/>
        <v>46233</v>
      </c>
      <c r="B9053" s="40" t="s">
        <v>8955</v>
      </c>
      <c r="C9053" s="40" t="s">
        <v>191</v>
      </c>
      <c r="E9053" s="90" t="s">
        <v>2088</v>
      </c>
      <c r="G9053" s="40" t="s">
        <v>4770</v>
      </c>
      <c r="I9053" s="88">
        <f t="shared" si="1438"/>
        <v>1527.7599999999948</v>
      </c>
      <c r="L9053" s="2">
        <f t="shared" si="1435"/>
        <v>9</v>
      </c>
    </row>
    <row r="9054" spans="1:12" s="40" customFormat="1" x14ac:dyDescent="0.3">
      <c r="A9054" s="3">
        <f t="shared" si="1436"/>
        <v>46233</v>
      </c>
      <c r="B9054" s="40" t="s">
        <v>1250</v>
      </c>
      <c r="C9054" s="40" t="s">
        <v>6424</v>
      </c>
      <c r="E9054" s="90" t="s">
        <v>4720</v>
      </c>
      <c r="G9054" s="40" t="s">
        <v>4797</v>
      </c>
      <c r="I9054" s="88">
        <f t="shared" si="1438"/>
        <v>3527.7599999999948</v>
      </c>
      <c r="L9054" s="2">
        <f t="shared" si="1435"/>
        <v>8</v>
      </c>
    </row>
    <row r="9055" spans="1:12" s="40" customFormat="1" x14ac:dyDescent="0.3">
      <c r="A9055" s="3">
        <f t="shared" si="1436"/>
        <v>46233</v>
      </c>
      <c r="B9055" s="40" t="s">
        <v>6940</v>
      </c>
      <c r="C9055" s="40" t="s">
        <v>7470</v>
      </c>
      <c r="E9055" s="90" t="s">
        <v>4720</v>
      </c>
      <c r="G9055" s="40" t="s">
        <v>10871</v>
      </c>
      <c r="I9055" s="88">
        <f t="shared" si="1438"/>
        <v>6027.7599999999948</v>
      </c>
      <c r="L9055" s="2">
        <f t="shared" si="1435"/>
        <v>10</v>
      </c>
    </row>
    <row r="9056" spans="1:12" s="40" customFormat="1" x14ac:dyDescent="0.3">
      <c r="A9056" s="3">
        <f t="shared" si="1436"/>
        <v>46233</v>
      </c>
      <c r="B9056" s="40" t="s">
        <v>2241</v>
      </c>
      <c r="C9056" s="40" t="s">
        <v>10955</v>
      </c>
      <c r="E9056" s="90" t="s">
        <v>4720</v>
      </c>
      <c r="G9056" s="40" t="s">
        <v>4775</v>
      </c>
      <c r="I9056" s="88">
        <f t="shared" si="1438"/>
        <v>16027.759999999995</v>
      </c>
      <c r="L9056" s="2">
        <f t="shared" si="1435"/>
        <v>20</v>
      </c>
    </row>
    <row r="9057" spans="1:14" s="40" customFormat="1" x14ac:dyDescent="0.3">
      <c r="A9057" s="3">
        <f t="shared" si="1436"/>
        <v>46233</v>
      </c>
      <c r="B9057" s="40" t="s">
        <v>9570</v>
      </c>
      <c r="C9057" s="40" t="s">
        <v>9513</v>
      </c>
      <c r="E9057" s="90" t="s">
        <v>4720</v>
      </c>
      <c r="G9057" s="40" t="s">
        <v>10871</v>
      </c>
      <c r="I9057" s="88">
        <f t="shared" si="1438"/>
        <v>18527.759999999995</v>
      </c>
      <c r="L9057" s="2">
        <f t="shared" si="1435"/>
        <v>10</v>
      </c>
    </row>
    <row r="9058" spans="1:14" s="40" customFormat="1" x14ac:dyDescent="0.3">
      <c r="A9058" s="3">
        <f t="shared" si="1436"/>
        <v>46233</v>
      </c>
      <c r="B9058" s="40" t="s">
        <v>7108</v>
      </c>
      <c r="C9058" s="40" t="s">
        <v>7109</v>
      </c>
      <c r="E9058" s="90" t="s">
        <v>4720</v>
      </c>
      <c r="G9058" s="40" t="s">
        <v>4770</v>
      </c>
      <c r="I9058" s="88">
        <f t="shared" si="1438"/>
        <v>19527.759999999995</v>
      </c>
      <c r="L9058" s="2">
        <f t="shared" si="1435"/>
        <v>4</v>
      </c>
    </row>
    <row r="9059" spans="1:14" s="40" customFormat="1" x14ac:dyDescent="0.3">
      <c r="A9059" s="3">
        <f t="shared" si="1436"/>
        <v>46233</v>
      </c>
      <c r="B9059" s="40" t="s">
        <v>5033</v>
      </c>
      <c r="C9059" s="40" t="s">
        <v>10961</v>
      </c>
      <c r="E9059" s="90" t="s">
        <v>4720</v>
      </c>
      <c r="H9059" s="40" t="s">
        <v>10962</v>
      </c>
      <c r="I9059" s="88">
        <f t="shared" si="1438"/>
        <v>11827.759999999995</v>
      </c>
      <c r="L9059" s="2">
        <f t="shared" si="1435"/>
        <v>20</v>
      </c>
    </row>
    <row r="9060" spans="1:14" s="40" customFormat="1" x14ac:dyDescent="0.3">
      <c r="A9060" s="3">
        <v>46234</v>
      </c>
      <c r="C9060" s="40" t="s">
        <v>2857</v>
      </c>
      <c r="E9060" s="90" t="s">
        <v>4134</v>
      </c>
      <c r="H9060" s="40" t="s">
        <v>10968</v>
      </c>
      <c r="I9060" s="88">
        <f t="shared" si="1438"/>
        <v>827.75999999999476</v>
      </c>
      <c r="L9060" s="2">
        <f t="shared" si="1435"/>
        <v>0</v>
      </c>
    </row>
    <row r="9061" spans="1:14" s="40" customFormat="1" x14ac:dyDescent="0.3">
      <c r="A9061" s="3">
        <f t="shared" si="1436"/>
        <v>46234</v>
      </c>
      <c r="B9061" s="40" t="s">
        <v>10969</v>
      </c>
      <c r="C9061" s="40" t="s">
        <v>10965</v>
      </c>
      <c r="E9061" s="90" t="s">
        <v>4720</v>
      </c>
      <c r="G9061" s="40" t="s">
        <v>10871</v>
      </c>
      <c r="I9061" s="88">
        <f t="shared" si="1438"/>
        <v>3327.7599999999948</v>
      </c>
      <c r="L9061" s="2">
        <f t="shared" si="1435"/>
        <v>10</v>
      </c>
    </row>
    <row r="9062" spans="1:14" s="40" customFormat="1" x14ac:dyDescent="0.3">
      <c r="A9062" s="3">
        <f t="shared" si="1436"/>
        <v>46234</v>
      </c>
      <c r="B9062" s="40" t="s">
        <v>10964</v>
      </c>
      <c r="C9062" s="40" t="s">
        <v>10965</v>
      </c>
      <c r="E9062" s="90" t="s">
        <v>14</v>
      </c>
      <c r="H9062" s="40" t="s">
        <v>1267</v>
      </c>
      <c r="I9062" s="88">
        <f t="shared" si="1438"/>
        <v>2827.7599999999948</v>
      </c>
      <c r="L9062" s="2">
        <f t="shared" si="1435"/>
        <v>17</v>
      </c>
    </row>
    <row r="9063" spans="1:14" s="40" customFormat="1" x14ac:dyDescent="0.3">
      <c r="A9063" s="3">
        <f t="shared" si="1436"/>
        <v>46234</v>
      </c>
      <c r="B9063" s="40" t="s">
        <v>6260</v>
      </c>
      <c r="C9063" s="40" t="s">
        <v>7117</v>
      </c>
      <c r="E9063" s="90" t="s">
        <v>4720</v>
      </c>
      <c r="H9063" s="40" t="s">
        <v>4797</v>
      </c>
      <c r="I9063" s="88">
        <f t="shared" si="1438"/>
        <v>827.75999999999476</v>
      </c>
      <c r="L9063" s="2">
        <f t="shared" si="1435"/>
        <v>8</v>
      </c>
    </row>
    <row r="9064" spans="1:14" x14ac:dyDescent="0.3">
      <c r="A9064" s="77">
        <f>COUNT(A8661:A8774)</f>
        <v>114</v>
      </c>
      <c r="B9064" s="80" t="s">
        <v>7120</v>
      </c>
      <c r="C9064" s="112">
        <f>SUMIF(E8660:E8774,"C",H8660:H8774)+SUMIF(E8660:E8774,"C",G8660:G8774)</f>
        <v>66000</v>
      </c>
      <c r="D9064" s="112">
        <f>COUNTIF(E9064:E9671,"P")</f>
        <v>69</v>
      </c>
      <c r="E9064" s="92">
        <f>COUNTIF(E8533:E8774,"Y")</f>
        <v>14</v>
      </c>
      <c r="F9064" s="80">
        <f>SUM(F4235)</f>
        <v>0</v>
      </c>
      <c r="G9064" s="121">
        <f>SUM(G8660:G8774)</f>
        <v>193750</v>
      </c>
      <c r="H9064" s="121">
        <f>SUM(H8660:H8776)</f>
        <v>196850</v>
      </c>
      <c r="I9064" s="121">
        <f>G9064+H9064-C9064</f>
        <v>324600</v>
      </c>
      <c r="J9064" s="122"/>
      <c r="K9064" s="122">
        <f>D9064*5</f>
        <v>345</v>
      </c>
      <c r="L9064" s="2">
        <f>SUM(L8874:L9063)</f>
        <v>2436.2066</v>
      </c>
      <c r="M9064" s="121">
        <f>SUM(M8277:M8774)</f>
        <v>0</v>
      </c>
      <c r="N9064" s="62">
        <f>((L9064+K9064)*0.8)*0.95</f>
        <v>2113.7170159999996</v>
      </c>
    </row>
    <row r="9065" spans="1:14" x14ac:dyDescent="0.3">
      <c r="L9065" s="2">
        <f t="shared" si="1435"/>
        <v>0</v>
      </c>
    </row>
    <row r="9066" spans="1:14" x14ac:dyDescent="0.3">
      <c r="A9066" s="3">
        <v>46235</v>
      </c>
      <c r="C9066" s="50" t="s">
        <v>6831</v>
      </c>
      <c r="G9066" s="184">
        <f>I9063</f>
        <v>827.75999999999476</v>
      </c>
      <c r="H9066" s="184"/>
      <c r="I9066" s="88">
        <v>827.76</v>
      </c>
      <c r="J9066" s="40"/>
      <c r="K9066" s="40"/>
      <c r="M9066" s="40"/>
      <c r="N9066" s="40"/>
    </row>
    <row r="9067" spans="1:14" x14ac:dyDescent="0.3">
      <c r="A9067" s="3">
        <f t="shared" ref="A9067:A9130" si="1439">A9066</f>
        <v>46235</v>
      </c>
      <c r="B9067" s="40" t="s">
        <v>6892</v>
      </c>
      <c r="C9067" s="40" t="s">
        <v>6668</v>
      </c>
      <c r="D9067" s="40"/>
      <c r="E9067" s="90" t="s">
        <v>2088</v>
      </c>
      <c r="F9067" s="40"/>
      <c r="G9067" s="185" t="s">
        <v>7842</v>
      </c>
      <c r="H9067" s="185" t="s">
        <v>7842</v>
      </c>
      <c r="I9067" s="88">
        <f>I9066+G9067-H9067</f>
        <v>827.76</v>
      </c>
      <c r="J9067" s="40"/>
      <c r="K9067" s="40"/>
      <c r="L9067" s="2">
        <f t="shared" ref="L9067:L9129" si="1440">IF(E9067="C",0,IF((G9067+H9067)&lt;=5000,(G9067+H9067)*0.004,20)+IF(E9067="P",5,IF(E9067="Y",15,IF(E9067="YY",25))))</f>
        <v>5</v>
      </c>
      <c r="M9067" s="40"/>
      <c r="N9067" s="40"/>
    </row>
    <row r="9068" spans="1:14" x14ac:dyDescent="0.3">
      <c r="A9068" s="3">
        <f t="shared" si="1439"/>
        <v>46235</v>
      </c>
      <c r="B9068" s="40" t="s">
        <v>6892</v>
      </c>
      <c r="C9068" s="40" t="s">
        <v>6668</v>
      </c>
      <c r="D9068" s="40"/>
      <c r="E9068" s="90" t="s">
        <v>2088</v>
      </c>
      <c r="F9068" s="40"/>
      <c r="G9068" s="185">
        <v>2500</v>
      </c>
      <c r="H9068" s="185"/>
      <c r="I9068" s="88">
        <f t="shared" ref="I9068:I9131" si="1441">I9067+G9068-H9068</f>
        <v>3327.76</v>
      </c>
      <c r="J9068" s="40"/>
      <c r="K9068" s="40"/>
      <c r="L9068" s="2">
        <f t="shared" si="1440"/>
        <v>15</v>
      </c>
      <c r="M9068" s="40"/>
      <c r="N9068" s="40"/>
    </row>
    <row r="9069" spans="1:14" x14ac:dyDescent="0.3">
      <c r="A9069" s="3">
        <f t="shared" si="1439"/>
        <v>46235</v>
      </c>
      <c r="B9069" s="40" t="s">
        <v>7394</v>
      </c>
      <c r="C9069" s="40" t="s">
        <v>353</v>
      </c>
      <c r="D9069" s="40"/>
      <c r="E9069" s="90" t="s">
        <v>4720</v>
      </c>
      <c r="F9069" s="40"/>
      <c r="G9069" s="185"/>
      <c r="H9069" s="185" t="s">
        <v>10970</v>
      </c>
      <c r="I9069" s="88">
        <f t="shared" si="1441"/>
        <v>3027.76</v>
      </c>
      <c r="J9069" s="40"/>
      <c r="K9069" s="40"/>
      <c r="L9069" s="2">
        <f t="shared" si="1440"/>
        <v>1.2</v>
      </c>
      <c r="M9069" s="40"/>
      <c r="N9069" s="40"/>
    </row>
    <row r="9070" spans="1:14" x14ac:dyDescent="0.3">
      <c r="A9070" s="3">
        <f t="shared" si="1439"/>
        <v>46235</v>
      </c>
      <c r="B9070" s="40" t="s">
        <v>10074</v>
      </c>
      <c r="C9070" s="40" t="s">
        <v>10075</v>
      </c>
      <c r="D9070" s="40"/>
      <c r="E9070" s="90" t="s">
        <v>2088</v>
      </c>
      <c r="F9070" s="40"/>
      <c r="G9070">
        <v>1000</v>
      </c>
      <c r="H9070" s="185"/>
      <c r="I9070" s="88">
        <f t="shared" si="1441"/>
        <v>4027.76</v>
      </c>
      <c r="J9070" s="40"/>
      <c r="K9070" s="40"/>
      <c r="L9070" s="2">
        <f t="shared" si="1440"/>
        <v>9</v>
      </c>
      <c r="M9070" s="40"/>
      <c r="N9070" s="40"/>
    </row>
    <row r="9071" spans="1:14" x14ac:dyDescent="0.3">
      <c r="A9071" s="3">
        <f t="shared" si="1439"/>
        <v>46235</v>
      </c>
      <c r="B9071" s="40" t="s">
        <v>6701</v>
      </c>
      <c r="C9071" s="40" t="s">
        <v>10587</v>
      </c>
      <c r="D9071" s="40"/>
      <c r="E9071" s="90" t="s">
        <v>4720</v>
      </c>
      <c r="F9071" s="40"/>
      <c r="G9071" s="185">
        <v>2500</v>
      </c>
      <c r="H9071" s="185"/>
      <c r="I9071" s="88">
        <f t="shared" si="1441"/>
        <v>6527.76</v>
      </c>
      <c r="J9071" s="40"/>
      <c r="K9071" s="40"/>
      <c r="L9071" s="2">
        <f t="shared" si="1440"/>
        <v>10</v>
      </c>
      <c r="M9071" s="40"/>
      <c r="N9071" s="40"/>
    </row>
    <row r="9072" spans="1:14" x14ac:dyDescent="0.3">
      <c r="A9072" s="3">
        <f t="shared" si="1439"/>
        <v>46235</v>
      </c>
      <c r="B9072" s="40" t="s">
        <v>9351</v>
      </c>
      <c r="C9072" s="40" t="s">
        <v>6137</v>
      </c>
      <c r="D9072" s="40"/>
      <c r="E9072" s="90" t="s">
        <v>4720</v>
      </c>
      <c r="F9072" s="40"/>
      <c r="G9072" s="186">
        <v>5000</v>
      </c>
      <c r="H9072" s="185"/>
      <c r="I9072" s="88">
        <f t="shared" si="1441"/>
        <v>11527.76</v>
      </c>
      <c r="J9072" s="40"/>
      <c r="K9072" s="40"/>
      <c r="L9072" s="2">
        <f t="shared" si="1440"/>
        <v>20</v>
      </c>
      <c r="M9072" s="40"/>
      <c r="N9072" s="40"/>
    </row>
    <row r="9073" spans="1:14" x14ac:dyDescent="0.3">
      <c r="A9073" s="3">
        <f t="shared" si="1439"/>
        <v>46235</v>
      </c>
      <c r="B9073" s="40"/>
      <c r="C9073" s="40" t="s">
        <v>2857</v>
      </c>
      <c r="D9073" s="40"/>
      <c r="E9073" s="90" t="s">
        <v>8332</v>
      </c>
      <c r="F9073" s="40"/>
      <c r="G9073" s="185"/>
      <c r="H9073" s="185">
        <v>10000</v>
      </c>
      <c r="I9073" s="88">
        <f t="shared" si="1441"/>
        <v>1527.7600000000002</v>
      </c>
      <c r="J9073" s="40"/>
      <c r="K9073" s="40"/>
      <c r="L9073" s="2">
        <f t="shared" si="1440"/>
        <v>0</v>
      </c>
      <c r="M9073" s="40"/>
      <c r="N9073" s="40"/>
    </row>
    <row r="9074" spans="1:14" x14ac:dyDescent="0.3">
      <c r="A9074" s="3">
        <f t="shared" si="1439"/>
        <v>46235</v>
      </c>
      <c r="B9074" s="40" t="s">
        <v>7255</v>
      </c>
      <c r="C9074" s="40" t="s">
        <v>2892</v>
      </c>
      <c r="D9074" s="40"/>
      <c r="E9074" s="90" t="s">
        <v>4720</v>
      </c>
      <c r="F9074" s="40"/>
      <c r="G9074" s="185">
        <v>2000</v>
      </c>
      <c r="H9074" s="185"/>
      <c r="I9074" s="88">
        <f t="shared" si="1441"/>
        <v>3527.76</v>
      </c>
      <c r="J9074" s="40"/>
      <c r="K9074" s="40"/>
      <c r="L9074" s="2">
        <f t="shared" si="1440"/>
        <v>8</v>
      </c>
      <c r="M9074" s="40"/>
      <c r="N9074" s="40"/>
    </row>
    <row r="9075" spans="1:14" x14ac:dyDescent="0.3">
      <c r="A9075" s="3">
        <f t="shared" si="1439"/>
        <v>46235</v>
      </c>
      <c r="B9075" s="40" t="s">
        <v>1160</v>
      </c>
      <c r="C9075" s="40" t="s">
        <v>10971</v>
      </c>
      <c r="D9075" s="40"/>
      <c r="E9075" s="90" t="s">
        <v>4720</v>
      </c>
      <c r="F9075" s="40"/>
      <c r="G9075" s="185">
        <v>4000</v>
      </c>
      <c r="H9075" s="185"/>
      <c r="I9075" s="88">
        <f t="shared" si="1441"/>
        <v>7527.76</v>
      </c>
      <c r="J9075" s="40"/>
      <c r="K9075" s="40"/>
      <c r="L9075" s="2">
        <f t="shared" si="1440"/>
        <v>16</v>
      </c>
      <c r="M9075" s="40"/>
      <c r="N9075" s="40"/>
    </row>
    <row r="9076" spans="1:14" x14ac:dyDescent="0.3">
      <c r="A9076" s="3">
        <v>46237</v>
      </c>
      <c r="B9076" s="11" t="s">
        <v>2377</v>
      </c>
      <c r="C9076" s="50" t="s">
        <v>10972</v>
      </c>
      <c r="E9076" s="90" t="s">
        <v>4720</v>
      </c>
      <c r="G9076" s="184">
        <v>7500</v>
      </c>
      <c r="H9076" s="185"/>
      <c r="I9076" s="88">
        <f t="shared" si="1441"/>
        <v>15027.76</v>
      </c>
      <c r="J9076" s="40"/>
      <c r="K9076" s="40"/>
      <c r="L9076" s="2">
        <f t="shared" si="1440"/>
        <v>20</v>
      </c>
      <c r="M9076" s="40"/>
      <c r="N9076" s="40"/>
    </row>
    <row r="9077" spans="1:14" x14ac:dyDescent="0.3">
      <c r="A9077" s="3">
        <f t="shared" si="1439"/>
        <v>46237</v>
      </c>
      <c r="B9077" s="40" t="s">
        <v>10029</v>
      </c>
      <c r="C9077" s="40" t="s">
        <v>10973</v>
      </c>
      <c r="D9077" s="40"/>
      <c r="E9077" s="90" t="s">
        <v>4720</v>
      </c>
      <c r="F9077" s="40"/>
      <c r="G9077" s="184"/>
      <c r="H9077" s="184" t="s">
        <v>4770</v>
      </c>
      <c r="I9077" s="88">
        <f t="shared" si="1441"/>
        <v>14027.76</v>
      </c>
      <c r="J9077" s="40"/>
      <c r="K9077" s="40"/>
      <c r="L9077" s="2">
        <f t="shared" si="1440"/>
        <v>4</v>
      </c>
      <c r="M9077" s="40"/>
      <c r="N9077" s="40"/>
    </row>
    <row r="9078" spans="1:14" x14ac:dyDescent="0.3">
      <c r="A9078" s="3">
        <f t="shared" si="1439"/>
        <v>46237</v>
      </c>
      <c r="B9078" s="40" t="s">
        <v>10031</v>
      </c>
      <c r="C9078" s="40" t="s">
        <v>10974</v>
      </c>
      <c r="D9078" s="40"/>
      <c r="E9078" s="90" t="s">
        <v>2088</v>
      </c>
      <c r="F9078" s="40"/>
      <c r="G9078" s="184"/>
      <c r="H9078" s="184" t="s">
        <v>4770</v>
      </c>
      <c r="I9078" s="88">
        <f t="shared" si="1441"/>
        <v>13027.76</v>
      </c>
      <c r="J9078" s="40"/>
      <c r="K9078" s="40"/>
      <c r="L9078" s="2">
        <f t="shared" si="1440"/>
        <v>9</v>
      </c>
      <c r="M9078" s="40"/>
      <c r="N9078" s="40"/>
    </row>
    <row r="9079" spans="1:14" x14ac:dyDescent="0.3">
      <c r="A9079" s="3">
        <f t="shared" si="1439"/>
        <v>46237</v>
      </c>
      <c r="B9079" s="11" t="s">
        <v>10964</v>
      </c>
      <c r="C9079" s="7" t="s">
        <v>10965</v>
      </c>
      <c r="D9079" s="40"/>
      <c r="E9079" s="90" t="s">
        <v>2088</v>
      </c>
      <c r="F9079" s="40"/>
      <c r="G9079" s="184" t="s">
        <v>7842</v>
      </c>
      <c r="H9079" s="184" t="s">
        <v>7842</v>
      </c>
      <c r="I9079" s="88">
        <f t="shared" si="1441"/>
        <v>13027.76</v>
      </c>
      <c r="J9079" s="40"/>
      <c r="K9079" s="40"/>
      <c r="L9079" s="2">
        <f t="shared" si="1440"/>
        <v>5</v>
      </c>
      <c r="M9079" s="40"/>
      <c r="N9079" s="40"/>
    </row>
    <row r="9080" spans="1:14" x14ac:dyDescent="0.3">
      <c r="A9080" s="3">
        <f t="shared" si="1439"/>
        <v>46237</v>
      </c>
      <c r="B9080" s="40" t="s">
        <v>8929</v>
      </c>
      <c r="C9080" s="40" t="s">
        <v>5455</v>
      </c>
      <c r="D9080" s="40"/>
      <c r="E9080" s="90" t="s">
        <v>4720</v>
      </c>
      <c r="F9080" s="40"/>
      <c r="G9080" s="184"/>
      <c r="H9080" s="184" t="s">
        <v>4785</v>
      </c>
      <c r="I9080" s="88">
        <f t="shared" si="1441"/>
        <v>9027.76</v>
      </c>
      <c r="J9080" s="40"/>
      <c r="K9080" s="40"/>
      <c r="L9080" s="2">
        <f t="shared" si="1440"/>
        <v>16</v>
      </c>
      <c r="M9080" s="40"/>
      <c r="N9080" s="40"/>
    </row>
    <row r="9081" spans="1:14" x14ac:dyDescent="0.3">
      <c r="A9081" s="3">
        <f t="shared" si="1439"/>
        <v>46237</v>
      </c>
      <c r="B9081" s="40" t="s">
        <v>7329</v>
      </c>
      <c r="C9081" s="40" t="s">
        <v>8632</v>
      </c>
      <c r="D9081" s="40"/>
      <c r="E9081" s="90" t="s">
        <v>2088</v>
      </c>
      <c r="F9081" s="40"/>
      <c r="G9081" s="184" t="s">
        <v>4787</v>
      </c>
      <c r="H9081" s="184"/>
      <c r="I9081" s="88">
        <f t="shared" si="1441"/>
        <v>14027.76</v>
      </c>
      <c r="J9081" s="40"/>
      <c r="K9081" s="40"/>
      <c r="L9081" s="2">
        <f t="shared" si="1440"/>
        <v>25</v>
      </c>
      <c r="M9081" s="40"/>
      <c r="N9081" s="40"/>
    </row>
    <row r="9082" spans="1:14" x14ac:dyDescent="0.3">
      <c r="A9082" s="3">
        <f t="shared" si="1439"/>
        <v>46237</v>
      </c>
      <c r="B9082" s="40" t="s">
        <v>10975</v>
      </c>
      <c r="C9082" s="40" t="s">
        <v>3658</v>
      </c>
      <c r="D9082" s="182"/>
      <c r="E9082" s="90" t="s">
        <v>4720</v>
      </c>
      <c r="F9082" s="40"/>
      <c r="G9082" s="184" t="s">
        <v>4787</v>
      </c>
      <c r="H9082" s="184"/>
      <c r="I9082" s="88">
        <f t="shared" si="1441"/>
        <v>19027.760000000002</v>
      </c>
      <c r="J9082" s="40"/>
      <c r="K9082" s="40"/>
      <c r="L9082" s="2">
        <f t="shared" si="1440"/>
        <v>20</v>
      </c>
      <c r="M9082" s="40"/>
      <c r="N9082" s="40"/>
    </row>
    <row r="9083" spans="1:14" x14ac:dyDescent="0.3">
      <c r="A9083" s="3">
        <f t="shared" si="1439"/>
        <v>46237</v>
      </c>
      <c r="B9083" s="40" t="s">
        <v>1250</v>
      </c>
      <c r="C9083" s="40" t="s">
        <v>6424</v>
      </c>
      <c r="D9083" s="40"/>
      <c r="E9083" s="90" t="s">
        <v>4720</v>
      </c>
      <c r="F9083" s="40"/>
      <c r="G9083" s="184" t="s">
        <v>4797</v>
      </c>
      <c r="H9083" s="184"/>
      <c r="I9083" s="88">
        <f t="shared" si="1441"/>
        <v>21027.760000000002</v>
      </c>
      <c r="J9083" s="40"/>
      <c r="K9083" s="40"/>
      <c r="L9083" s="2">
        <f t="shared" si="1440"/>
        <v>8</v>
      </c>
      <c r="M9083" s="40"/>
      <c r="N9083" s="40"/>
    </row>
    <row r="9084" spans="1:14" x14ac:dyDescent="0.3">
      <c r="A9084" s="3">
        <f t="shared" si="1439"/>
        <v>46237</v>
      </c>
      <c r="B9084" s="40" t="s">
        <v>7547</v>
      </c>
      <c r="C9084" s="40" t="s">
        <v>6685</v>
      </c>
      <c r="D9084" s="182"/>
      <c r="E9084" s="90" t="s">
        <v>4720</v>
      </c>
      <c r="F9084" s="40"/>
      <c r="G9084" s="184" t="s">
        <v>10940</v>
      </c>
      <c r="H9084" s="184"/>
      <c r="I9084" s="88">
        <f t="shared" si="1441"/>
        <v>29027.760000000002</v>
      </c>
      <c r="J9084" s="40"/>
      <c r="K9084" s="40"/>
      <c r="L9084" s="2">
        <f t="shared" si="1440"/>
        <v>20</v>
      </c>
      <c r="M9084" s="40"/>
      <c r="N9084" s="40"/>
    </row>
    <row r="9085" spans="1:14" x14ac:dyDescent="0.3">
      <c r="A9085" s="3">
        <f t="shared" si="1439"/>
        <v>46237</v>
      </c>
      <c r="B9085" s="11" t="s">
        <v>2490</v>
      </c>
      <c r="C9085" s="7" t="s">
        <v>2857</v>
      </c>
      <c r="D9085" s="40"/>
      <c r="E9085" s="90" t="s">
        <v>8332</v>
      </c>
      <c r="F9085" s="40"/>
      <c r="G9085" s="184" t="s">
        <v>7842</v>
      </c>
      <c r="H9085" s="184" t="s">
        <v>10876</v>
      </c>
      <c r="I9085" s="88">
        <f t="shared" si="1441"/>
        <v>4027.760000000002</v>
      </c>
      <c r="J9085" s="40"/>
      <c r="K9085" s="40"/>
      <c r="L9085" s="2">
        <f t="shared" si="1440"/>
        <v>0</v>
      </c>
      <c r="M9085" s="40"/>
      <c r="N9085" s="40"/>
    </row>
    <row r="9086" spans="1:14" x14ac:dyDescent="0.3">
      <c r="A9086" s="3">
        <f t="shared" si="1439"/>
        <v>46237</v>
      </c>
      <c r="B9086" s="11" t="s">
        <v>10957</v>
      </c>
      <c r="C9086" s="7" t="s">
        <v>10958</v>
      </c>
      <c r="D9086" s="40"/>
      <c r="E9086" s="90" t="s">
        <v>2088</v>
      </c>
      <c r="F9086" s="40"/>
      <c r="G9086" s="184" t="s">
        <v>7842</v>
      </c>
      <c r="H9086" s="184" t="s">
        <v>7842</v>
      </c>
      <c r="I9086" s="88">
        <f t="shared" si="1441"/>
        <v>4027.760000000002</v>
      </c>
      <c r="J9086" s="40"/>
      <c r="K9086" s="40"/>
      <c r="L9086" s="2">
        <f t="shared" si="1440"/>
        <v>5</v>
      </c>
      <c r="M9086" s="40"/>
      <c r="N9086" s="40"/>
    </row>
    <row r="9087" spans="1:14" x14ac:dyDescent="0.3">
      <c r="A9087" s="3">
        <f t="shared" si="1439"/>
        <v>46237</v>
      </c>
      <c r="B9087" s="40" t="s">
        <v>7834</v>
      </c>
      <c r="C9087" s="40" t="s">
        <v>8837</v>
      </c>
      <c r="D9087" s="40"/>
      <c r="E9087" s="90" t="s">
        <v>2088</v>
      </c>
      <c r="F9087" s="40"/>
      <c r="G9087" s="185">
        <v>3000</v>
      </c>
      <c r="H9087" s="185"/>
      <c r="I9087" s="88">
        <f t="shared" si="1441"/>
        <v>7027.760000000002</v>
      </c>
      <c r="J9087" s="40"/>
      <c r="K9087" s="40"/>
      <c r="L9087" s="2">
        <f t="shared" si="1440"/>
        <v>17</v>
      </c>
      <c r="M9087" s="40"/>
      <c r="N9087" s="40"/>
    </row>
    <row r="9088" spans="1:14" x14ac:dyDescent="0.3">
      <c r="A9088" s="3">
        <f t="shared" si="1439"/>
        <v>46237</v>
      </c>
      <c r="B9088" s="40" t="s">
        <v>1250</v>
      </c>
      <c r="C9088" s="40" t="s">
        <v>2295</v>
      </c>
      <c r="D9088" s="40"/>
      <c r="E9088" s="90" t="s">
        <v>4720</v>
      </c>
      <c r="F9088" s="40"/>
      <c r="G9088" s="185">
        <v>10000</v>
      </c>
      <c r="H9088" s="185"/>
      <c r="I9088" s="88">
        <f t="shared" si="1441"/>
        <v>17027.760000000002</v>
      </c>
      <c r="J9088" s="40"/>
      <c r="K9088" s="40"/>
      <c r="L9088" s="2">
        <f t="shared" si="1440"/>
        <v>20</v>
      </c>
      <c r="M9088" s="40"/>
      <c r="N9088" s="40"/>
    </row>
    <row r="9089" spans="1:14" x14ac:dyDescent="0.3">
      <c r="A9089" s="3">
        <f t="shared" si="1439"/>
        <v>46237</v>
      </c>
      <c r="B9089" s="40" t="s">
        <v>6369</v>
      </c>
      <c r="C9089" s="40" t="s">
        <v>7569</v>
      </c>
      <c r="D9089" s="40"/>
      <c r="E9089" s="90" t="s">
        <v>4720</v>
      </c>
      <c r="F9089" s="40"/>
      <c r="G9089" s="185"/>
      <c r="H9089" s="185">
        <v>10000</v>
      </c>
      <c r="I9089" s="88">
        <f t="shared" si="1441"/>
        <v>7027.760000000002</v>
      </c>
      <c r="J9089" s="40"/>
      <c r="K9089" s="40"/>
      <c r="L9089" s="2">
        <f t="shared" si="1440"/>
        <v>20</v>
      </c>
      <c r="M9089" s="40"/>
      <c r="N9089" s="40"/>
    </row>
    <row r="9090" spans="1:14" x14ac:dyDescent="0.3">
      <c r="A9090" s="3">
        <v>46238</v>
      </c>
      <c r="B9090" s="40" t="s">
        <v>10978</v>
      </c>
      <c r="C9090" s="40" t="s">
        <v>10934</v>
      </c>
      <c r="D9090" s="40"/>
      <c r="E9090" s="90" t="s">
        <v>4720</v>
      </c>
      <c r="F9090" s="40"/>
      <c r="G9090" s="185">
        <v>3000</v>
      </c>
      <c r="H9090" s="185"/>
      <c r="I9090" s="88">
        <f t="shared" si="1441"/>
        <v>10027.760000000002</v>
      </c>
      <c r="J9090" s="40"/>
      <c r="K9090" s="40"/>
      <c r="L9090" s="2">
        <f t="shared" si="1440"/>
        <v>12</v>
      </c>
      <c r="M9090" s="40"/>
      <c r="N9090" s="40"/>
    </row>
    <row r="9091" spans="1:14" x14ac:dyDescent="0.3">
      <c r="A9091" s="3">
        <f t="shared" si="1439"/>
        <v>46238</v>
      </c>
      <c r="B9091" s="40" t="s">
        <v>4072</v>
      </c>
      <c r="C9091" s="40" t="s">
        <v>6563</v>
      </c>
      <c r="D9091" s="40"/>
      <c r="E9091" s="90" t="s">
        <v>7772</v>
      </c>
      <c r="F9091" s="40"/>
      <c r="G9091" s="185">
        <v>3500</v>
      </c>
      <c r="H9091" s="185"/>
      <c r="I9091" s="88">
        <f t="shared" si="1441"/>
        <v>13527.760000000002</v>
      </c>
      <c r="J9091" s="40"/>
      <c r="K9091" s="40"/>
      <c r="L9091" s="2">
        <f t="shared" si="1440"/>
        <v>19</v>
      </c>
      <c r="M9091" s="40"/>
      <c r="N9091" s="40"/>
    </row>
    <row r="9092" spans="1:14" x14ac:dyDescent="0.3">
      <c r="A9092" s="3">
        <f t="shared" si="1439"/>
        <v>46238</v>
      </c>
      <c r="B9092" s="40" t="s">
        <v>9771</v>
      </c>
      <c r="C9092" s="40" t="s">
        <v>10202</v>
      </c>
      <c r="D9092" s="40"/>
      <c r="E9092" s="90" t="s">
        <v>2088</v>
      </c>
      <c r="F9092" s="40"/>
      <c r="G9092" s="185">
        <v>0</v>
      </c>
      <c r="H9092" s="185">
        <v>0</v>
      </c>
      <c r="I9092" s="88">
        <f t="shared" si="1441"/>
        <v>13527.760000000002</v>
      </c>
      <c r="J9092" s="40"/>
      <c r="K9092" s="40"/>
      <c r="L9092" s="2">
        <f t="shared" si="1440"/>
        <v>5</v>
      </c>
      <c r="M9092" s="40"/>
      <c r="N9092" s="40"/>
    </row>
    <row r="9093" spans="1:14" x14ac:dyDescent="0.3">
      <c r="A9093" s="3">
        <f t="shared" si="1439"/>
        <v>46238</v>
      </c>
      <c r="B9093" s="40" t="s">
        <v>9771</v>
      </c>
      <c r="C9093" s="40" t="s">
        <v>10202</v>
      </c>
      <c r="D9093" s="40"/>
      <c r="E9093" s="90" t="s">
        <v>2088</v>
      </c>
      <c r="F9093" s="40"/>
      <c r="G9093" s="185">
        <v>2000</v>
      </c>
      <c r="H9093" s="185"/>
      <c r="I9093" s="88">
        <f t="shared" si="1441"/>
        <v>15527.760000000002</v>
      </c>
      <c r="J9093" s="40"/>
      <c r="K9093" s="40"/>
      <c r="L9093" s="2">
        <f t="shared" si="1440"/>
        <v>13</v>
      </c>
      <c r="M9093" s="40"/>
      <c r="N9093" s="40"/>
    </row>
    <row r="9094" spans="1:14" x14ac:dyDescent="0.3">
      <c r="A9094" s="3">
        <f t="shared" si="1439"/>
        <v>46238</v>
      </c>
      <c r="B9094" s="40" t="s">
        <v>6940</v>
      </c>
      <c r="C9094" s="40" t="s">
        <v>7470</v>
      </c>
      <c r="D9094" s="40"/>
      <c r="E9094" s="90" t="s">
        <v>2088</v>
      </c>
      <c r="F9094" s="40"/>
      <c r="G9094" s="185">
        <v>3000</v>
      </c>
      <c r="H9094" s="185"/>
      <c r="I9094" s="88">
        <f t="shared" si="1441"/>
        <v>18527.760000000002</v>
      </c>
      <c r="J9094" s="40"/>
      <c r="K9094" s="40"/>
      <c r="L9094" s="2">
        <f t="shared" si="1440"/>
        <v>17</v>
      </c>
      <c r="M9094" s="40"/>
      <c r="N9094" s="40"/>
    </row>
    <row r="9095" spans="1:14" x14ac:dyDescent="0.3">
      <c r="A9095" s="3">
        <f t="shared" si="1439"/>
        <v>46238</v>
      </c>
      <c r="B9095" s="40" t="s">
        <v>7051</v>
      </c>
      <c r="C9095" s="40" t="s">
        <v>7236</v>
      </c>
      <c r="D9095" s="40"/>
      <c r="E9095" s="90" t="s">
        <v>2088</v>
      </c>
      <c r="F9095" s="40"/>
      <c r="G9095" s="185">
        <v>0</v>
      </c>
      <c r="H9095" s="185">
        <v>0</v>
      </c>
      <c r="I9095" s="88">
        <f t="shared" si="1441"/>
        <v>18527.760000000002</v>
      </c>
      <c r="J9095" s="40"/>
      <c r="K9095" s="40"/>
      <c r="L9095" s="2">
        <f t="shared" si="1440"/>
        <v>5</v>
      </c>
      <c r="M9095" s="40"/>
      <c r="N9095" s="40"/>
    </row>
    <row r="9096" spans="1:14" x14ac:dyDescent="0.3">
      <c r="A9096" s="3">
        <f t="shared" si="1439"/>
        <v>46238</v>
      </c>
      <c r="B9096" s="40" t="s">
        <v>7051</v>
      </c>
      <c r="C9096" s="40" t="s">
        <v>7236</v>
      </c>
      <c r="D9096" s="40"/>
      <c r="E9096" s="90" t="s">
        <v>2088</v>
      </c>
      <c r="F9096" s="40"/>
      <c r="G9096" s="185">
        <v>2500</v>
      </c>
      <c r="H9096" s="185"/>
      <c r="I9096" s="88">
        <f t="shared" si="1441"/>
        <v>21027.760000000002</v>
      </c>
      <c r="J9096" s="40"/>
      <c r="K9096" s="40"/>
      <c r="L9096" s="2">
        <f t="shared" si="1440"/>
        <v>15</v>
      </c>
      <c r="M9096" s="40"/>
      <c r="N9096" s="40"/>
    </row>
    <row r="9097" spans="1:14" x14ac:dyDescent="0.3">
      <c r="A9097" s="3">
        <f t="shared" si="1439"/>
        <v>46238</v>
      </c>
      <c r="B9097" s="40" t="s">
        <v>4622</v>
      </c>
      <c r="C9097" s="40" t="s">
        <v>2857</v>
      </c>
      <c r="D9097" s="40"/>
      <c r="E9097" s="90" t="s">
        <v>8332</v>
      </c>
      <c r="F9097" s="40"/>
      <c r="G9097" s="185"/>
      <c r="H9097" s="185">
        <v>21000</v>
      </c>
      <c r="I9097" s="88">
        <f t="shared" si="1441"/>
        <v>27.760000000002037</v>
      </c>
      <c r="J9097" s="40"/>
      <c r="K9097" s="40"/>
      <c r="L9097" s="2">
        <f t="shared" si="1440"/>
        <v>0</v>
      </c>
      <c r="M9097" s="40"/>
      <c r="N9097" s="40"/>
    </row>
    <row r="9098" spans="1:14" x14ac:dyDescent="0.3">
      <c r="A9098" s="3">
        <f t="shared" si="1439"/>
        <v>46238</v>
      </c>
      <c r="B9098" s="40" t="s">
        <v>4622</v>
      </c>
      <c r="C9098" s="40" t="s">
        <v>8340</v>
      </c>
      <c r="D9098" s="40"/>
      <c r="E9098" s="90" t="s">
        <v>4720</v>
      </c>
      <c r="F9098" s="40"/>
      <c r="G9098" s="185">
        <v>0</v>
      </c>
      <c r="H9098" s="185">
        <v>0</v>
      </c>
      <c r="I9098" s="88">
        <f t="shared" si="1441"/>
        <v>27.760000000002037</v>
      </c>
      <c r="J9098" s="40"/>
      <c r="K9098" s="40"/>
      <c r="L9098" s="2">
        <f t="shared" si="1440"/>
        <v>0</v>
      </c>
      <c r="M9098" s="40"/>
      <c r="N9098" s="40"/>
    </row>
    <row r="9099" spans="1:14" x14ac:dyDescent="0.3">
      <c r="A9099" s="3">
        <f t="shared" si="1439"/>
        <v>46238</v>
      </c>
      <c r="B9099" s="40" t="s">
        <v>4622</v>
      </c>
      <c r="C9099" s="40" t="s">
        <v>8340</v>
      </c>
      <c r="D9099" s="40"/>
      <c r="E9099" s="90" t="s">
        <v>4720</v>
      </c>
      <c r="F9099" s="40"/>
      <c r="G9099" s="185">
        <v>7000</v>
      </c>
      <c r="H9099" s="185"/>
      <c r="I9099" s="88">
        <f t="shared" si="1441"/>
        <v>7027.760000000002</v>
      </c>
      <c r="J9099" s="40"/>
      <c r="K9099" s="40"/>
      <c r="L9099" s="2">
        <f t="shared" si="1440"/>
        <v>20</v>
      </c>
      <c r="M9099" s="40"/>
      <c r="N9099" s="40"/>
    </row>
    <row r="9100" spans="1:14" x14ac:dyDescent="0.3">
      <c r="A9100" s="3">
        <v>45874</v>
      </c>
      <c r="B9100" s="40" t="s">
        <v>6706</v>
      </c>
      <c r="C9100" s="40" t="s">
        <v>10874</v>
      </c>
      <c r="D9100" s="40"/>
      <c r="E9100" s="90" t="s">
        <v>4720</v>
      </c>
      <c r="F9100" s="40"/>
      <c r="G9100" s="185">
        <v>2000</v>
      </c>
      <c r="H9100" s="185"/>
      <c r="I9100" s="88">
        <f t="shared" si="1441"/>
        <v>9027.760000000002</v>
      </c>
      <c r="J9100" s="40"/>
      <c r="K9100" s="40"/>
      <c r="L9100" s="2">
        <f t="shared" si="1440"/>
        <v>8</v>
      </c>
      <c r="M9100" s="40"/>
      <c r="N9100" s="40"/>
    </row>
    <row r="9101" spans="1:14" x14ac:dyDescent="0.3">
      <c r="A9101" s="3">
        <v>46241</v>
      </c>
      <c r="B9101" s="40" t="s">
        <v>1250</v>
      </c>
      <c r="C9101" s="40" t="s">
        <v>9635</v>
      </c>
      <c r="D9101" s="40"/>
      <c r="E9101" s="90" t="s">
        <v>4720</v>
      </c>
      <c r="F9101" s="40"/>
      <c r="G9101" s="185">
        <v>2000</v>
      </c>
      <c r="H9101" s="185"/>
      <c r="I9101" s="88">
        <f t="shared" si="1441"/>
        <v>11027.760000000002</v>
      </c>
      <c r="J9101" s="40"/>
      <c r="K9101" s="40"/>
      <c r="L9101" s="2">
        <f t="shared" si="1440"/>
        <v>8</v>
      </c>
      <c r="M9101" s="40"/>
      <c r="N9101" s="40"/>
    </row>
    <row r="9102" spans="1:14" x14ac:dyDescent="0.3">
      <c r="A9102" s="3">
        <f t="shared" si="1439"/>
        <v>46241</v>
      </c>
      <c r="B9102" s="40" t="s">
        <v>10979</v>
      </c>
      <c r="C9102" s="40" t="s">
        <v>10282</v>
      </c>
      <c r="D9102" s="40"/>
      <c r="E9102" s="90" t="s">
        <v>4720</v>
      </c>
      <c r="F9102" s="40"/>
      <c r="G9102" s="185">
        <v>1500</v>
      </c>
      <c r="H9102" s="185"/>
      <c r="I9102" s="88">
        <f t="shared" si="1441"/>
        <v>12527.760000000002</v>
      </c>
      <c r="J9102" s="40"/>
      <c r="K9102" s="40"/>
      <c r="L9102" s="2">
        <f t="shared" si="1440"/>
        <v>6</v>
      </c>
      <c r="M9102" s="40"/>
      <c r="N9102" s="40"/>
    </row>
    <row r="9103" spans="1:14" x14ac:dyDescent="0.3">
      <c r="A9103" s="3">
        <f t="shared" si="1439"/>
        <v>46241</v>
      </c>
      <c r="B9103" s="40" t="s">
        <v>3148</v>
      </c>
      <c r="C9103" s="40" t="s">
        <v>10980</v>
      </c>
      <c r="D9103" s="40"/>
      <c r="E9103" s="90" t="s">
        <v>4720</v>
      </c>
      <c r="F9103" s="40"/>
      <c r="G9103" s="185">
        <v>10000</v>
      </c>
      <c r="H9103" s="185"/>
      <c r="I9103" s="88">
        <f t="shared" si="1441"/>
        <v>22527.760000000002</v>
      </c>
      <c r="J9103" s="40"/>
      <c r="K9103" s="40"/>
      <c r="L9103" s="2">
        <f t="shared" si="1440"/>
        <v>20</v>
      </c>
      <c r="M9103" s="40"/>
      <c r="N9103" s="40"/>
    </row>
    <row r="9104" spans="1:14" x14ac:dyDescent="0.3">
      <c r="A9104" s="3">
        <f t="shared" si="1439"/>
        <v>46241</v>
      </c>
      <c r="B9104" s="40" t="s">
        <v>8875</v>
      </c>
      <c r="C9104" s="40" t="s">
        <v>10981</v>
      </c>
      <c r="D9104" s="40"/>
      <c r="E9104" s="90" t="s">
        <v>4720</v>
      </c>
      <c r="F9104" s="40"/>
      <c r="G9104" s="185">
        <v>1000</v>
      </c>
      <c r="H9104" s="185"/>
      <c r="I9104" s="88">
        <f t="shared" si="1441"/>
        <v>23527.760000000002</v>
      </c>
      <c r="J9104" s="40"/>
      <c r="K9104" s="40"/>
      <c r="L9104" s="2">
        <f t="shared" si="1440"/>
        <v>4</v>
      </c>
      <c r="M9104" s="40"/>
      <c r="N9104" s="40"/>
    </row>
    <row r="9105" spans="1:14" x14ac:dyDescent="0.3">
      <c r="A9105" s="3">
        <f t="shared" si="1439"/>
        <v>46241</v>
      </c>
      <c r="B9105" s="40" t="s">
        <v>10982</v>
      </c>
      <c r="C9105" s="40" t="s">
        <v>8971</v>
      </c>
      <c r="D9105" s="40"/>
      <c r="E9105" s="90" t="s">
        <v>4720</v>
      </c>
      <c r="F9105" s="40"/>
      <c r="G9105" s="185">
        <v>3000</v>
      </c>
      <c r="H9105" s="185"/>
      <c r="I9105" s="88">
        <f t="shared" si="1441"/>
        <v>26527.760000000002</v>
      </c>
      <c r="J9105" s="40"/>
      <c r="K9105" s="40"/>
      <c r="L9105" s="2">
        <f t="shared" si="1440"/>
        <v>12</v>
      </c>
      <c r="M9105" s="40"/>
      <c r="N9105" s="40"/>
    </row>
    <row r="9106" spans="1:14" x14ac:dyDescent="0.3">
      <c r="A9106" s="3">
        <f t="shared" si="1439"/>
        <v>46241</v>
      </c>
      <c r="B9106" s="40" t="s">
        <v>5872</v>
      </c>
      <c r="C9106" s="40" t="s">
        <v>9586</v>
      </c>
      <c r="D9106" s="40"/>
      <c r="E9106" s="90" t="s">
        <v>4720</v>
      </c>
      <c r="F9106" s="40"/>
      <c r="G9106" s="185">
        <v>2500</v>
      </c>
      <c r="H9106" s="185"/>
      <c r="I9106" s="88">
        <f t="shared" si="1441"/>
        <v>29027.760000000002</v>
      </c>
      <c r="J9106" s="40"/>
      <c r="K9106" s="40"/>
      <c r="L9106" s="2">
        <f t="shared" si="1440"/>
        <v>10</v>
      </c>
      <c r="M9106" s="40"/>
      <c r="N9106" s="40"/>
    </row>
    <row r="9107" spans="1:14" x14ac:dyDescent="0.3">
      <c r="A9107" s="3">
        <f t="shared" si="1439"/>
        <v>46241</v>
      </c>
      <c r="B9107" s="40" t="s">
        <v>6549</v>
      </c>
      <c r="C9107" s="40" t="s">
        <v>7990</v>
      </c>
      <c r="D9107" s="40"/>
      <c r="E9107" s="90" t="s">
        <v>4720</v>
      </c>
      <c r="F9107" s="40"/>
      <c r="G9107" s="185">
        <v>2500</v>
      </c>
      <c r="H9107" s="185"/>
      <c r="I9107" s="88">
        <f t="shared" si="1441"/>
        <v>31527.760000000002</v>
      </c>
      <c r="J9107" s="40"/>
      <c r="K9107" s="40"/>
      <c r="L9107" s="2">
        <f t="shared" si="1440"/>
        <v>10</v>
      </c>
      <c r="M9107" s="40"/>
      <c r="N9107" s="40"/>
    </row>
    <row r="9108" spans="1:14" x14ac:dyDescent="0.3">
      <c r="A9108" s="3">
        <f t="shared" si="1439"/>
        <v>46241</v>
      </c>
      <c r="B9108" s="40" t="s">
        <v>9009</v>
      </c>
      <c r="C9108" s="40" t="s">
        <v>9013</v>
      </c>
      <c r="D9108" s="40"/>
      <c r="E9108" s="90" t="s">
        <v>4720</v>
      </c>
      <c r="F9108" s="40"/>
      <c r="G9108" s="185">
        <v>1400</v>
      </c>
      <c r="H9108" s="185"/>
      <c r="I9108" s="88">
        <f t="shared" si="1441"/>
        <v>32927.760000000002</v>
      </c>
      <c r="J9108" s="40"/>
      <c r="K9108" s="40"/>
      <c r="L9108" s="2">
        <f t="shared" si="1440"/>
        <v>5.6000000000000005</v>
      </c>
      <c r="M9108" s="40"/>
      <c r="N9108" s="40"/>
    </row>
    <row r="9109" spans="1:14" x14ac:dyDescent="0.3">
      <c r="A9109" s="3">
        <f t="shared" si="1439"/>
        <v>46241</v>
      </c>
      <c r="B9109" s="40" t="s">
        <v>9009</v>
      </c>
      <c r="C9109" s="40" t="s">
        <v>9013</v>
      </c>
      <c r="D9109" s="40"/>
      <c r="E9109" s="90" t="s">
        <v>4720</v>
      </c>
      <c r="F9109" s="40"/>
      <c r="G9109" s="185">
        <v>1500</v>
      </c>
      <c r="H9109" s="185"/>
      <c r="I9109" s="88">
        <f t="shared" si="1441"/>
        <v>34427.760000000002</v>
      </c>
      <c r="J9109" s="40"/>
      <c r="K9109" s="40"/>
      <c r="L9109" s="2">
        <f t="shared" si="1440"/>
        <v>6</v>
      </c>
      <c r="M9109" s="40"/>
      <c r="N9109" s="40"/>
    </row>
    <row r="9110" spans="1:14" x14ac:dyDescent="0.3">
      <c r="A9110" s="3">
        <f t="shared" si="1439"/>
        <v>46241</v>
      </c>
      <c r="B9110" s="40" t="s">
        <v>10983</v>
      </c>
      <c r="C9110" s="40" t="s">
        <v>2461</v>
      </c>
      <c r="D9110" s="40"/>
      <c r="E9110" s="90" t="s">
        <v>4720</v>
      </c>
      <c r="F9110" s="40"/>
      <c r="G9110" s="185">
        <v>2000</v>
      </c>
      <c r="H9110" s="185"/>
      <c r="I9110" s="88">
        <f t="shared" si="1441"/>
        <v>36427.760000000002</v>
      </c>
      <c r="J9110" s="40"/>
      <c r="K9110" s="40"/>
      <c r="L9110" s="2">
        <f t="shared" si="1440"/>
        <v>8</v>
      </c>
      <c r="M9110" s="40"/>
      <c r="N9110" s="40"/>
    </row>
    <row r="9111" spans="1:14" x14ac:dyDescent="0.3">
      <c r="A9111" s="3">
        <f t="shared" si="1439"/>
        <v>46241</v>
      </c>
      <c r="B9111" s="40" t="s">
        <v>1250</v>
      </c>
      <c r="C9111" s="40" t="s">
        <v>2348</v>
      </c>
      <c r="D9111" s="40"/>
      <c r="E9111" s="90" t="s">
        <v>4720</v>
      </c>
      <c r="F9111" s="40"/>
      <c r="G9111" s="185">
        <v>5000</v>
      </c>
      <c r="H9111" s="185"/>
      <c r="I9111" s="88">
        <f t="shared" si="1441"/>
        <v>41427.760000000002</v>
      </c>
      <c r="J9111" s="40"/>
      <c r="K9111" s="40"/>
      <c r="L9111" s="2">
        <f t="shared" si="1440"/>
        <v>20</v>
      </c>
      <c r="M9111" s="40"/>
      <c r="N9111" s="40"/>
    </row>
    <row r="9112" spans="1:14" x14ac:dyDescent="0.3">
      <c r="A9112" s="3">
        <v>46241</v>
      </c>
      <c r="B9112" s="40"/>
      <c r="C9112" s="40"/>
      <c r="D9112" s="40"/>
      <c r="E9112" s="90" t="s">
        <v>4720</v>
      </c>
      <c r="F9112" s="40"/>
      <c r="G9112" s="185"/>
      <c r="H9112" s="185">
        <v>42000</v>
      </c>
      <c r="I9112" s="88">
        <f t="shared" si="1441"/>
        <v>-572.23999999999796</v>
      </c>
      <c r="J9112" s="40"/>
      <c r="K9112" s="40"/>
      <c r="L9112" s="2">
        <f t="shared" si="1440"/>
        <v>20</v>
      </c>
      <c r="M9112" s="40"/>
      <c r="N9112" s="40"/>
    </row>
    <row r="9113" spans="1:14" x14ac:dyDescent="0.3">
      <c r="A9113" s="3">
        <v>46242</v>
      </c>
      <c r="B9113" s="40" t="s">
        <v>7302</v>
      </c>
      <c r="C9113" s="40" t="s">
        <v>7653</v>
      </c>
      <c r="D9113" s="40"/>
      <c r="E9113" s="90" t="s">
        <v>4720</v>
      </c>
      <c r="F9113" s="40"/>
      <c r="G9113" s="185">
        <v>2300</v>
      </c>
      <c r="H9113" s="185"/>
      <c r="I9113" s="88">
        <f t="shared" si="1441"/>
        <v>1727.760000000002</v>
      </c>
      <c r="J9113" s="40"/>
      <c r="K9113" s="40"/>
      <c r="L9113" s="2">
        <f t="shared" si="1440"/>
        <v>9.2000000000000011</v>
      </c>
      <c r="M9113" s="40"/>
      <c r="N9113" s="40"/>
    </row>
    <row r="9114" spans="1:14" x14ac:dyDescent="0.3">
      <c r="A9114" s="3">
        <f t="shared" si="1439"/>
        <v>46242</v>
      </c>
      <c r="B9114" s="40"/>
      <c r="C9114" s="40" t="s">
        <v>10984</v>
      </c>
      <c r="D9114" s="40"/>
      <c r="E9114" s="90" t="s">
        <v>4720</v>
      </c>
      <c r="F9114" s="40"/>
      <c r="G9114" s="185"/>
      <c r="H9114" s="185"/>
      <c r="I9114" s="88">
        <f t="shared" si="1441"/>
        <v>1727.760000000002</v>
      </c>
      <c r="J9114" s="40"/>
      <c r="K9114" s="40"/>
      <c r="L9114" s="2">
        <f t="shared" si="1440"/>
        <v>0</v>
      </c>
      <c r="M9114" s="40"/>
      <c r="N9114" s="40"/>
    </row>
    <row r="9115" spans="1:14" x14ac:dyDescent="0.3">
      <c r="A9115" s="3">
        <f t="shared" si="1439"/>
        <v>46242</v>
      </c>
      <c r="B9115" s="40"/>
      <c r="C9115" s="40"/>
      <c r="D9115" s="40"/>
      <c r="E9115" s="90" t="s">
        <v>4720</v>
      </c>
      <c r="F9115" s="40"/>
      <c r="G9115" s="185"/>
      <c r="H9115" s="185"/>
      <c r="I9115" s="88">
        <f t="shared" si="1441"/>
        <v>1727.760000000002</v>
      </c>
      <c r="J9115" s="40"/>
      <c r="K9115" s="40"/>
      <c r="L9115" s="2">
        <f t="shared" si="1440"/>
        <v>0</v>
      </c>
      <c r="M9115" s="40"/>
      <c r="N9115" s="40"/>
    </row>
    <row r="9116" spans="1:14" x14ac:dyDescent="0.3">
      <c r="A9116" s="3">
        <v>46243</v>
      </c>
      <c r="B9116" s="40" t="s">
        <v>8674</v>
      </c>
      <c r="C9116" s="40" t="s">
        <v>10127</v>
      </c>
      <c r="D9116" s="40"/>
      <c r="E9116" s="90" t="s">
        <v>4720</v>
      </c>
      <c r="F9116" s="40"/>
      <c r="G9116" s="185">
        <v>2500</v>
      </c>
      <c r="H9116" s="185"/>
      <c r="I9116" s="88">
        <f t="shared" si="1441"/>
        <v>4227.760000000002</v>
      </c>
      <c r="J9116" s="40"/>
      <c r="K9116" s="40"/>
      <c r="L9116" s="2">
        <f t="shared" si="1440"/>
        <v>10</v>
      </c>
      <c r="M9116" s="40"/>
      <c r="N9116" s="40"/>
    </row>
    <row r="9117" spans="1:14" x14ac:dyDescent="0.3">
      <c r="A9117" s="3">
        <v>46244</v>
      </c>
      <c r="B9117" s="40" t="s">
        <v>9903</v>
      </c>
      <c r="C9117" s="40" t="s">
        <v>10396</v>
      </c>
      <c r="D9117" s="40"/>
      <c r="E9117" s="90" t="s">
        <v>4720</v>
      </c>
      <c r="F9117" s="40"/>
      <c r="G9117" s="185"/>
      <c r="H9117" s="185">
        <v>1000</v>
      </c>
      <c r="I9117" s="88">
        <f t="shared" si="1441"/>
        <v>3227.760000000002</v>
      </c>
      <c r="J9117" s="40"/>
      <c r="K9117" s="40"/>
      <c r="L9117" s="2">
        <f t="shared" si="1440"/>
        <v>4</v>
      </c>
      <c r="M9117" s="40"/>
      <c r="N9117" s="40"/>
    </row>
    <row r="9118" spans="1:14" x14ac:dyDescent="0.3">
      <c r="A9118" s="3">
        <f t="shared" si="1439"/>
        <v>46244</v>
      </c>
      <c r="B9118" s="40" t="s">
        <v>9907</v>
      </c>
      <c r="C9118" s="40" t="s">
        <v>10985</v>
      </c>
      <c r="D9118" s="40"/>
      <c r="E9118" s="90" t="s">
        <v>4720</v>
      </c>
      <c r="F9118" s="40"/>
      <c r="G9118" s="185"/>
      <c r="H9118" s="185">
        <v>1000</v>
      </c>
      <c r="I9118" s="88">
        <f t="shared" si="1441"/>
        <v>2227.760000000002</v>
      </c>
      <c r="J9118" s="40"/>
      <c r="K9118" s="40"/>
      <c r="L9118" s="2">
        <f t="shared" si="1440"/>
        <v>4</v>
      </c>
      <c r="M9118" s="40"/>
      <c r="N9118" s="40"/>
    </row>
    <row r="9119" spans="1:14" x14ac:dyDescent="0.3">
      <c r="A9119" s="3">
        <f t="shared" si="1439"/>
        <v>46244</v>
      </c>
      <c r="B9119" s="11" t="s">
        <v>10990</v>
      </c>
      <c r="C9119" s="7" t="s">
        <v>10987</v>
      </c>
      <c r="D9119" s="40"/>
      <c r="E9119" s="90" t="s">
        <v>14</v>
      </c>
      <c r="F9119" s="40"/>
      <c r="G9119" s="185"/>
      <c r="H9119" s="185">
        <v>500</v>
      </c>
      <c r="I9119" s="88">
        <f t="shared" si="1441"/>
        <v>1727.760000000002</v>
      </c>
      <c r="J9119" s="40"/>
      <c r="K9119" s="40"/>
      <c r="L9119" s="2">
        <f t="shared" si="1440"/>
        <v>17</v>
      </c>
      <c r="M9119" s="40"/>
      <c r="N9119" s="40"/>
    </row>
    <row r="9120" spans="1:14" x14ac:dyDescent="0.3">
      <c r="A9120" s="3">
        <f t="shared" si="1439"/>
        <v>46244</v>
      </c>
      <c r="D9120" s="40"/>
      <c r="E9120" s="90" t="s">
        <v>4720</v>
      </c>
      <c r="F9120" s="40"/>
      <c r="G9120" s="185">
        <v>4000</v>
      </c>
      <c r="H9120" s="185"/>
      <c r="I9120" s="88">
        <f t="shared" si="1441"/>
        <v>5727.760000000002</v>
      </c>
      <c r="J9120" s="40"/>
      <c r="K9120" s="40"/>
      <c r="L9120" s="2">
        <f t="shared" si="1440"/>
        <v>16</v>
      </c>
      <c r="M9120" s="40"/>
      <c r="N9120" s="40"/>
    </row>
    <row r="9121" spans="1:14" x14ac:dyDescent="0.3">
      <c r="A9121" s="3">
        <f t="shared" si="1439"/>
        <v>46244</v>
      </c>
      <c r="B9121" s="11" t="s">
        <v>10991</v>
      </c>
      <c r="C9121" s="50" t="s">
        <v>10992</v>
      </c>
      <c r="D9121" s="40"/>
      <c r="E9121" s="90" t="s">
        <v>16</v>
      </c>
      <c r="F9121" s="40"/>
      <c r="G9121" s="185"/>
      <c r="H9121" s="185">
        <v>500</v>
      </c>
      <c r="I9121" s="88">
        <f t="shared" si="1441"/>
        <v>5227.760000000002</v>
      </c>
      <c r="J9121" s="40"/>
      <c r="K9121" s="40"/>
      <c r="L9121" s="2">
        <f t="shared" si="1440"/>
        <v>17</v>
      </c>
      <c r="M9121" s="40"/>
      <c r="N9121" s="40"/>
    </row>
    <row r="9122" spans="1:14" x14ac:dyDescent="0.3">
      <c r="A9122" s="3">
        <f t="shared" si="1439"/>
        <v>46244</v>
      </c>
      <c r="B9122" s="11" t="s">
        <v>2743</v>
      </c>
      <c r="C9122" s="50" t="s">
        <v>9456</v>
      </c>
      <c r="D9122" s="40"/>
      <c r="E9122" s="90" t="s">
        <v>4720</v>
      </c>
      <c r="F9122" s="40"/>
      <c r="G9122" s="185">
        <v>2000</v>
      </c>
      <c r="H9122" s="185"/>
      <c r="I9122" s="88">
        <f t="shared" si="1441"/>
        <v>7227.760000000002</v>
      </c>
      <c r="J9122" s="40"/>
      <c r="K9122" s="40"/>
      <c r="L9122" s="2">
        <f t="shared" si="1440"/>
        <v>8</v>
      </c>
      <c r="M9122" s="40"/>
      <c r="N9122" s="40"/>
    </row>
    <row r="9123" spans="1:14" x14ac:dyDescent="0.3">
      <c r="A9123" s="3">
        <f t="shared" si="1439"/>
        <v>46244</v>
      </c>
      <c r="B9123" s="40"/>
      <c r="C9123" s="40"/>
      <c r="D9123" s="40"/>
      <c r="E9123" s="90" t="s">
        <v>4720</v>
      </c>
      <c r="F9123" s="40"/>
      <c r="G9123" s="185"/>
      <c r="H9123" s="185"/>
      <c r="I9123" s="88">
        <f t="shared" si="1441"/>
        <v>7227.760000000002</v>
      </c>
      <c r="J9123" s="40"/>
      <c r="K9123" s="40"/>
      <c r="L9123" s="2">
        <f t="shared" si="1440"/>
        <v>0</v>
      </c>
      <c r="M9123" s="40"/>
      <c r="N9123" s="40"/>
    </row>
    <row r="9124" spans="1:14" x14ac:dyDescent="0.3">
      <c r="A9124" s="3">
        <f t="shared" si="1439"/>
        <v>46244</v>
      </c>
      <c r="B9124" s="40" t="s">
        <v>7405</v>
      </c>
      <c r="C9124" s="40" t="s">
        <v>10993</v>
      </c>
      <c r="D9124" s="40"/>
      <c r="E9124" s="90" t="s">
        <v>4720</v>
      </c>
      <c r="F9124" s="40"/>
      <c r="G9124" s="185"/>
      <c r="H9124" s="185">
        <v>7000</v>
      </c>
      <c r="I9124" s="88">
        <f t="shared" si="1441"/>
        <v>227.76000000000204</v>
      </c>
      <c r="J9124" s="40"/>
      <c r="K9124" s="40"/>
      <c r="L9124" s="2">
        <f t="shared" si="1440"/>
        <v>20</v>
      </c>
      <c r="M9124" s="40"/>
      <c r="N9124" s="40"/>
    </row>
    <row r="9125" spans="1:14" x14ac:dyDescent="0.3">
      <c r="A9125" s="3">
        <f t="shared" si="1439"/>
        <v>46244</v>
      </c>
      <c r="B9125" s="40" t="s">
        <v>1250</v>
      </c>
      <c r="C9125" s="40" t="s">
        <v>9589</v>
      </c>
      <c r="D9125" s="40"/>
      <c r="E9125" s="90" t="s">
        <v>4720</v>
      </c>
      <c r="F9125" s="40"/>
      <c r="G9125" s="185">
        <v>5000</v>
      </c>
      <c r="H9125" s="185"/>
      <c r="I9125" s="88">
        <f t="shared" si="1441"/>
        <v>5227.760000000002</v>
      </c>
      <c r="J9125" s="40"/>
      <c r="K9125" s="40"/>
      <c r="L9125" s="2">
        <f t="shared" si="1440"/>
        <v>20</v>
      </c>
      <c r="M9125" s="40"/>
      <c r="N9125" s="40"/>
    </row>
    <row r="9126" spans="1:14" x14ac:dyDescent="0.3">
      <c r="A9126" s="3">
        <v>46245</v>
      </c>
      <c r="D9126" s="40"/>
      <c r="E9126" s="90" t="s">
        <v>4720</v>
      </c>
      <c r="F9126" s="40"/>
      <c r="G9126" s="185"/>
      <c r="H9126" s="185"/>
      <c r="I9126" s="88">
        <f t="shared" si="1441"/>
        <v>5227.760000000002</v>
      </c>
      <c r="J9126" s="40"/>
      <c r="K9126" s="40"/>
      <c r="L9126" s="2">
        <f t="shared" si="1440"/>
        <v>0</v>
      </c>
      <c r="M9126" s="40"/>
      <c r="N9126" s="40"/>
    </row>
    <row r="9127" spans="1:14" x14ac:dyDescent="0.3">
      <c r="A9127" s="3">
        <f t="shared" si="1439"/>
        <v>46245</v>
      </c>
      <c r="B9127" s="11" t="s">
        <v>1250</v>
      </c>
      <c r="C9127" s="50" t="s">
        <v>4557</v>
      </c>
      <c r="D9127" s="40"/>
      <c r="E9127" s="90" t="s">
        <v>4720</v>
      </c>
      <c r="F9127" s="40"/>
      <c r="G9127" s="185">
        <v>1100</v>
      </c>
      <c r="H9127" s="185"/>
      <c r="I9127" s="88">
        <f t="shared" si="1441"/>
        <v>6327.760000000002</v>
      </c>
      <c r="J9127" s="40"/>
      <c r="K9127" s="40"/>
      <c r="L9127" s="2">
        <f t="shared" si="1440"/>
        <v>4.4000000000000004</v>
      </c>
      <c r="M9127" s="40"/>
      <c r="N9127" s="40"/>
    </row>
    <row r="9128" spans="1:14" x14ac:dyDescent="0.3">
      <c r="A9128" s="3">
        <f t="shared" si="1439"/>
        <v>46245</v>
      </c>
      <c r="B9128" s="40" t="s">
        <v>1250</v>
      </c>
      <c r="C9128" s="40" t="s">
        <v>3393</v>
      </c>
      <c r="D9128" s="40"/>
      <c r="E9128" s="90" t="s">
        <v>4720</v>
      </c>
      <c r="F9128" s="40"/>
      <c r="G9128" s="185">
        <v>2200</v>
      </c>
      <c r="H9128" s="185"/>
      <c r="I9128" s="88">
        <f t="shared" si="1441"/>
        <v>8527.760000000002</v>
      </c>
      <c r="J9128" s="40"/>
      <c r="K9128" s="40"/>
      <c r="L9128" s="2">
        <f t="shared" si="1440"/>
        <v>8.8000000000000007</v>
      </c>
      <c r="M9128" s="40"/>
      <c r="N9128" s="40"/>
    </row>
    <row r="9129" spans="1:14" x14ac:dyDescent="0.3">
      <c r="A9129" s="3">
        <f t="shared" si="1439"/>
        <v>46245</v>
      </c>
      <c r="B9129" s="40" t="s">
        <v>5604</v>
      </c>
      <c r="C9129" s="40" t="s">
        <v>5605</v>
      </c>
      <c r="D9129" s="40"/>
      <c r="E9129" s="90" t="s">
        <v>4720</v>
      </c>
      <c r="F9129" s="40"/>
      <c r="G9129" s="185">
        <v>1000</v>
      </c>
      <c r="H9129" s="185"/>
      <c r="I9129" s="88">
        <f t="shared" si="1441"/>
        <v>9527.760000000002</v>
      </c>
      <c r="J9129" s="40"/>
      <c r="K9129" s="40"/>
      <c r="L9129" s="2">
        <f t="shared" si="1440"/>
        <v>4</v>
      </c>
      <c r="M9129" s="40"/>
      <c r="N9129" s="40"/>
    </row>
    <row r="9130" spans="1:14" x14ac:dyDescent="0.3">
      <c r="A9130" s="3">
        <f t="shared" si="1439"/>
        <v>46245</v>
      </c>
      <c r="B9130" s="11" t="s">
        <v>10995</v>
      </c>
      <c r="C9130" s="7" t="s">
        <v>10997</v>
      </c>
      <c r="D9130" s="40"/>
      <c r="E9130" s="90" t="s">
        <v>16</v>
      </c>
      <c r="F9130" s="40"/>
      <c r="G9130" s="185"/>
      <c r="H9130" s="185">
        <v>1000</v>
      </c>
      <c r="I9130" s="88">
        <f t="shared" si="1441"/>
        <v>8527.760000000002</v>
      </c>
      <c r="J9130" s="40"/>
      <c r="K9130" s="40"/>
      <c r="L9130" s="2">
        <f t="shared" ref="L9130:L9193" si="1442">IF(E9130="C",0,IF((G9130+H9130)&lt;=5000,(G9130+H9130)*0.004,20)+IF(E9130="P",5,IF(E9130="Y",15,IF(E9130="YY",25))))</f>
        <v>19</v>
      </c>
      <c r="M9130" s="40"/>
      <c r="N9130" s="40"/>
    </row>
    <row r="9131" spans="1:14" x14ac:dyDescent="0.3">
      <c r="A9131" s="3">
        <f t="shared" ref="A9131:A9194" si="1443">A9130</f>
        <v>46245</v>
      </c>
      <c r="B9131" s="40"/>
      <c r="C9131" s="40"/>
      <c r="D9131" s="40"/>
      <c r="E9131" s="90" t="s">
        <v>4720</v>
      </c>
      <c r="F9131" s="40"/>
      <c r="G9131" s="185"/>
      <c r="H9131" s="185">
        <v>9000</v>
      </c>
      <c r="I9131" s="88">
        <f t="shared" si="1441"/>
        <v>-472.23999999999796</v>
      </c>
      <c r="J9131" s="40"/>
      <c r="K9131" s="40"/>
      <c r="L9131" s="2">
        <f t="shared" si="1442"/>
        <v>20</v>
      </c>
      <c r="M9131" s="40"/>
      <c r="N9131" s="40"/>
    </row>
    <row r="9132" spans="1:14" x14ac:dyDescent="0.3">
      <c r="A9132" s="3">
        <f t="shared" si="1443"/>
        <v>46245</v>
      </c>
      <c r="B9132" s="40" t="s">
        <v>3232</v>
      </c>
      <c r="C9132" s="40" t="s">
        <v>10998</v>
      </c>
      <c r="D9132" s="40"/>
      <c r="E9132" s="90" t="s">
        <v>4720</v>
      </c>
      <c r="F9132" s="40"/>
      <c r="G9132" s="185">
        <v>1000</v>
      </c>
      <c r="H9132" s="185"/>
      <c r="I9132" s="88">
        <f t="shared" ref="I9132:I9195" si="1444">I9131+G9132-H9132</f>
        <v>527.76000000000204</v>
      </c>
      <c r="J9132" s="40"/>
      <c r="K9132" s="40"/>
      <c r="L9132" s="2">
        <f t="shared" si="1442"/>
        <v>4</v>
      </c>
      <c r="M9132" s="40"/>
      <c r="N9132" s="40"/>
    </row>
    <row r="9133" spans="1:14" x14ac:dyDescent="0.3">
      <c r="A9133" s="3">
        <f t="shared" si="1443"/>
        <v>46245</v>
      </c>
      <c r="B9133" s="40" t="s">
        <v>1160</v>
      </c>
      <c r="C9133" s="40" t="s">
        <v>10999</v>
      </c>
      <c r="D9133" s="40"/>
      <c r="E9133" s="90" t="s">
        <v>4720</v>
      </c>
      <c r="F9133" s="40"/>
      <c r="G9133" s="185">
        <v>1000</v>
      </c>
      <c r="H9133" s="185"/>
      <c r="I9133" s="88">
        <f t="shared" si="1444"/>
        <v>1527.760000000002</v>
      </c>
      <c r="J9133" s="40"/>
      <c r="K9133" s="40"/>
      <c r="L9133" s="2">
        <f t="shared" si="1442"/>
        <v>4</v>
      </c>
      <c r="M9133" s="40"/>
      <c r="N9133" s="40"/>
    </row>
    <row r="9134" spans="1:14" x14ac:dyDescent="0.3">
      <c r="A9134" s="3">
        <v>46246</v>
      </c>
      <c r="B9134" s="40" t="s">
        <v>8900</v>
      </c>
      <c r="C9134" s="40" t="s">
        <v>9203</v>
      </c>
      <c r="D9134" s="40"/>
      <c r="E9134" s="90" t="s">
        <v>4720</v>
      </c>
      <c r="F9134" s="40"/>
      <c r="G9134" s="185">
        <v>2500</v>
      </c>
      <c r="H9134" s="185"/>
      <c r="I9134" s="88">
        <f t="shared" si="1444"/>
        <v>4027.760000000002</v>
      </c>
      <c r="J9134" s="40"/>
      <c r="K9134" s="40"/>
      <c r="L9134" s="2">
        <f t="shared" si="1442"/>
        <v>10</v>
      </c>
      <c r="M9134" s="40"/>
      <c r="N9134" s="40"/>
    </row>
    <row r="9135" spans="1:14" x14ac:dyDescent="0.3">
      <c r="A9135" s="3">
        <f t="shared" si="1443"/>
        <v>46246</v>
      </c>
      <c r="B9135" s="40" t="s">
        <v>6237</v>
      </c>
      <c r="C9135" s="40" t="s">
        <v>11003</v>
      </c>
      <c r="D9135" s="40"/>
      <c r="E9135" s="90" t="s">
        <v>4720</v>
      </c>
      <c r="F9135" s="40"/>
      <c r="G9135" s="185">
        <v>3000</v>
      </c>
      <c r="H9135" s="185"/>
      <c r="I9135" s="88">
        <f t="shared" si="1444"/>
        <v>7027.760000000002</v>
      </c>
      <c r="J9135" s="40"/>
      <c r="K9135" s="40"/>
      <c r="L9135" s="2">
        <f t="shared" si="1442"/>
        <v>12</v>
      </c>
      <c r="M9135" s="40"/>
      <c r="N9135" s="40"/>
    </row>
    <row r="9136" spans="1:14" x14ac:dyDescent="0.3">
      <c r="A9136" s="3">
        <f t="shared" si="1443"/>
        <v>46246</v>
      </c>
      <c r="B9136" s="40" t="s">
        <v>8294</v>
      </c>
      <c r="C9136" s="40" t="s">
        <v>8295</v>
      </c>
      <c r="D9136" s="40"/>
      <c r="E9136" s="90" t="s">
        <v>4720</v>
      </c>
      <c r="F9136" s="40"/>
      <c r="G9136" s="185">
        <v>2000</v>
      </c>
      <c r="H9136" s="185"/>
      <c r="I9136" s="88">
        <f t="shared" si="1444"/>
        <v>9027.760000000002</v>
      </c>
      <c r="J9136" s="40"/>
      <c r="K9136" s="40"/>
      <c r="L9136" s="2">
        <f t="shared" si="1442"/>
        <v>8</v>
      </c>
      <c r="M9136" s="40"/>
      <c r="N9136" s="40"/>
    </row>
    <row r="9137" spans="1:14" x14ac:dyDescent="0.3">
      <c r="A9137" s="3">
        <f t="shared" si="1443"/>
        <v>46246</v>
      </c>
      <c r="B9137" s="40" t="s">
        <v>3504</v>
      </c>
      <c r="C9137" s="40" t="s">
        <v>11005</v>
      </c>
      <c r="D9137" s="40"/>
      <c r="E9137" s="90" t="s">
        <v>4720</v>
      </c>
      <c r="F9137" s="40"/>
      <c r="G9137" s="185">
        <v>1200</v>
      </c>
      <c r="H9137" s="185">
        <v>3000</v>
      </c>
      <c r="I9137" s="88">
        <f t="shared" si="1444"/>
        <v>7227.760000000002</v>
      </c>
      <c r="J9137" s="40" t="s">
        <v>11004</v>
      </c>
      <c r="K9137" s="40"/>
      <c r="L9137" s="2">
        <f t="shared" si="1442"/>
        <v>16.8</v>
      </c>
      <c r="M9137" s="40"/>
      <c r="N9137" s="40"/>
    </row>
    <row r="9138" spans="1:14" x14ac:dyDescent="0.3">
      <c r="A9138" s="3">
        <f t="shared" si="1443"/>
        <v>46246</v>
      </c>
      <c r="B9138" s="40" t="s">
        <v>10807</v>
      </c>
      <c r="C9138" s="40" t="s">
        <v>8768</v>
      </c>
      <c r="D9138" s="40"/>
      <c r="E9138" s="90" t="s">
        <v>4720</v>
      </c>
      <c r="F9138" s="40"/>
      <c r="G9138" s="185">
        <v>2000</v>
      </c>
      <c r="H9138" s="185"/>
      <c r="I9138" s="88">
        <f t="shared" si="1444"/>
        <v>9227.760000000002</v>
      </c>
      <c r="J9138" s="40"/>
      <c r="K9138" s="40"/>
      <c r="L9138" s="2">
        <f t="shared" si="1442"/>
        <v>8</v>
      </c>
      <c r="M9138" s="40"/>
      <c r="N9138" s="40"/>
    </row>
    <row r="9139" spans="1:14" x14ac:dyDescent="0.3">
      <c r="A9139" s="3">
        <f t="shared" si="1443"/>
        <v>46246</v>
      </c>
      <c r="B9139" s="40" t="s">
        <v>8341</v>
      </c>
      <c r="C9139" s="40" t="s">
        <v>2577</v>
      </c>
      <c r="D9139" s="40"/>
      <c r="E9139" s="90" t="s">
        <v>4720</v>
      </c>
      <c r="F9139" s="40"/>
      <c r="G9139" s="185"/>
      <c r="H9139" s="185">
        <v>2500</v>
      </c>
      <c r="I9139" s="88">
        <f t="shared" si="1444"/>
        <v>6727.760000000002</v>
      </c>
      <c r="J9139" s="40"/>
      <c r="K9139" s="40"/>
      <c r="L9139" s="2">
        <f t="shared" si="1442"/>
        <v>10</v>
      </c>
      <c r="M9139" s="40"/>
      <c r="N9139" s="40"/>
    </row>
    <row r="9140" spans="1:14" x14ac:dyDescent="0.3">
      <c r="A9140" s="3">
        <f t="shared" si="1443"/>
        <v>46246</v>
      </c>
      <c r="B9140" s="40" t="s">
        <v>7329</v>
      </c>
      <c r="C9140" s="40" t="s">
        <v>11006</v>
      </c>
      <c r="D9140" s="40"/>
      <c r="E9140" s="90" t="s">
        <v>4720</v>
      </c>
      <c r="F9140" s="40"/>
      <c r="G9140" s="185">
        <v>2500</v>
      </c>
      <c r="H9140" s="185"/>
      <c r="I9140" s="88">
        <f t="shared" si="1444"/>
        <v>9227.760000000002</v>
      </c>
      <c r="J9140" s="40"/>
      <c r="K9140" s="40"/>
      <c r="L9140" s="2">
        <f t="shared" si="1442"/>
        <v>10</v>
      </c>
      <c r="M9140" s="40"/>
      <c r="N9140" s="40"/>
    </row>
    <row r="9141" spans="1:14" x14ac:dyDescent="0.3">
      <c r="A9141" s="3">
        <f t="shared" si="1443"/>
        <v>46246</v>
      </c>
      <c r="B9141" s="40" t="s">
        <v>7005</v>
      </c>
      <c r="C9141" s="40" t="s">
        <v>7715</v>
      </c>
      <c r="D9141" s="40"/>
      <c r="E9141" s="90" t="s">
        <v>4720</v>
      </c>
      <c r="F9141" s="40"/>
      <c r="G9141" s="185">
        <v>5000</v>
      </c>
      <c r="H9141" s="185"/>
      <c r="I9141" s="88">
        <f t="shared" si="1444"/>
        <v>14227.760000000002</v>
      </c>
      <c r="J9141" s="40"/>
      <c r="K9141" s="40"/>
      <c r="L9141" s="2">
        <f t="shared" si="1442"/>
        <v>20</v>
      </c>
      <c r="M9141" s="40"/>
      <c r="N9141" s="40"/>
    </row>
    <row r="9142" spans="1:14" x14ac:dyDescent="0.3">
      <c r="A9142" s="3">
        <f t="shared" si="1443"/>
        <v>46246</v>
      </c>
      <c r="B9142" s="40" t="s">
        <v>2143</v>
      </c>
      <c r="C9142" s="40" t="s">
        <v>1356</v>
      </c>
      <c r="D9142" s="40"/>
      <c r="E9142" s="90" t="s">
        <v>4720</v>
      </c>
      <c r="F9142" s="40"/>
      <c r="G9142" s="185"/>
      <c r="H9142" s="185">
        <v>8000</v>
      </c>
      <c r="I9142" s="88">
        <f t="shared" si="1444"/>
        <v>6227.760000000002</v>
      </c>
      <c r="J9142" s="40"/>
      <c r="K9142" s="40"/>
      <c r="L9142" s="2">
        <f t="shared" si="1442"/>
        <v>20</v>
      </c>
      <c r="M9142" s="40"/>
      <c r="N9142" s="40"/>
    </row>
    <row r="9143" spans="1:14" x14ac:dyDescent="0.3">
      <c r="A9143" s="3">
        <f t="shared" si="1443"/>
        <v>46246</v>
      </c>
      <c r="B9143" s="11" t="s">
        <v>11008</v>
      </c>
      <c r="C9143" s="7" t="s">
        <v>11009</v>
      </c>
      <c r="D9143" s="40"/>
      <c r="E9143" s="90" t="s">
        <v>7772</v>
      </c>
      <c r="F9143" s="40"/>
      <c r="G9143" s="185"/>
      <c r="H9143" s="185">
        <v>500</v>
      </c>
      <c r="I9143" s="88">
        <f t="shared" si="1444"/>
        <v>5727.760000000002</v>
      </c>
      <c r="J9143" s="40"/>
      <c r="K9143" s="40"/>
      <c r="L9143" s="2">
        <f t="shared" si="1442"/>
        <v>7</v>
      </c>
      <c r="M9143" s="40"/>
      <c r="N9143" s="40"/>
    </row>
    <row r="9144" spans="1:14" x14ac:dyDescent="0.3">
      <c r="A9144" s="3">
        <f t="shared" si="1443"/>
        <v>46246</v>
      </c>
      <c r="B9144" s="40" t="s">
        <v>6260</v>
      </c>
      <c r="C9144" s="40" t="s">
        <v>7117</v>
      </c>
      <c r="D9144" s="40"/>
      <c r="E9144" s="90" t="s">
        <v>4720</v>
      </c>
      <c r="F9144" s="40"/>
      <c r="G9144" s="185"/>
      <c r="H9144" s="185">
        <v>5000</v>
      </c>
      <c r="I9144" s="88">
        <f t="shared" si="1444"/>
        <v>727.76000000000204</v>
      </c>
      <c r="J9144" s="40"/>
      <c r="K9144" s="40"/>
      <c r="L9144" s="2">
        <f t="shared" si="1442"/>
        <v>20</v>
      </c>
      <c r="M9144" s="40"/>
      <c r="N9144" s="40"/>
    </row>
    <row r="9145" spans="1:14" x14ac:dyDescent="0.3">
      <c r="A9145" s="3">
        <v>46248</v>
      </c>
      <c r="B9145" s="40" t="s">
        <v>1250</v>
      </c>
      <c r="C9145" s="40" t="s">
        <v>11011</v>
      </c>
      <c r="D9145" s="40"/>
      <c r="E9145" s="90" t="s">
        <v>4720</v>
      </c>
      <c r="F9145" s="40"/>
      <c r="G9145" s="185">
        <v>10000</v>
      </c>
      <c r="H9145" s="185"/>
      <c r="I9145" s="88">
        <f t="shared" si="1444"/>
        <v>10727.760000000002</v>
      </c>
      <c r="J9145" s="40"/>
      <c r="K9145" s="40"/>
      <c r="L9145" s="2">
        <f t="shared" si="1442"/>
        <v>20</v>
      </c>
      <c r="M9145" s="40"/>
      <c r="N9145" s="40"/>
    </row>
    <row r="9146" spans="1:14" x14ac:dyDescent="0.3">
      <c r="A9146" s="3">
        <f t="shared" si="1443"/>
        <v>46248</v>
      </c>
      <c r="B9146" s="40" t="s">
        <v>1250</v>
      </c>
      <c r="C9146" s="40" t="s">
        <v>3840</v>
      </c>
      <c r="D9146" s="40"/>
      <c r="E9146" s="90" t="s">
        <v>4720</v>
      </c>
      <c r="F9146" s="40"/>
      <c r="G9146" s="185">
        <v>6300</v>
      </c>
      <c r="H9146" s="185"/>
      <c r="I9146" s="88">
        <f t="shared" si="1444"/>
        <v>17027.760000000002</v>
      </c>
      <c r="J9146" s="40"/>
      <c r="K9146" s="40"/>
      <c r="L9146" s="2">
        <f t="shared" si="1442"/>
        <v>20</v>
      </c>
      <c r="M9146" s="40"/>
      <c r="N9146" s="40"/>
    </row>
    <row r="9147" spans="1:14" x14ac:dyDescent="0.3">
      <c r="A9147" s="3">
        <f t="shared" si="1443"/>
        <v>46248</v>
      </c>
      <c r="B9147" s="11" t="s">
        <v>10042</v>
      </c>
      <c r="C9147" t="s">
        <v>10043</v>
      </c>
      <c r="D9147" s="40"/>
      <c r="E9147" s="90" t="s">
        <v>4720</v>
      </c>
      <c r="F9147" s="40"/>
      <c r="G9147" s="185"/>
      <c r="H9147" s="185">
        <v>4500</v>
      </c>
      <c r="I9147" s="88">
        <f t="shared" si="1444"/>
        <v>12527.760000000002</v>
      </c>
      <c r="J9147" s="40"/>
      <c r="K9147" s="40"/>
      <c r="L9147" s="2">
        <f t="shared" si="1442"/>
        <v>18</v>
      </c>
      <c r="M9147" s="40"/>
      <c r="N9147" s="40"/>
    </row>
    <row r="9148" spans="1:14" x14ac:dyDescent="0.3">
      <c r="A9148" s="3">
        <f t="shared" si="1443"/>
        <v>46248</v>
      </c>
      <c r="B9148" s="11" t="s">
        <v>8906</v>
      </c>
      <c r="C9148" s="50" t="s">
        <v>11015</v>
      </c>
      <c r="D9148" s="40"/>
      <c r="E9148" s="90" t="s">
        <v>4720</v>
      </c>
      <c r="F9148" s="40"/>
      <c r="G9148" s="185"/>
      <c r="H9148" s="185">
        <v>2000</v>
      </c>
      <c r="I9148" s="88">
        <f t="shared" si="1444"/>
        <v>10527.760000000002</v>
      </c>
      <c r="J9148" s="40"/>
      <c r="K9148" s="40"/>
      <c r="L9148" s="2">
        <f t="shared" si="1442"/>
        <v>8</v>
      </c>
      <c r="M9148" s="40"/>
      <c r="N9148" s="40"/>
    </row>
    <row r="9149" spans="1:14" x14ac:dyDescent="0.3">
      <c r="A9149" s="3">
        <f t="shared" si="1443"/>
        <v>46248</v>
      </c>
      <c r="B9149" s="11" t="s">
        <v>6940</v>
      </c>
      <c r="C9149" s="50" t="s">
        <v>7470</v>
      </c>
      <c r="D9149" s="40"/>
      <c r="E9149" s="90" t="s">
        <v>4720</v>
      </c>
      <c r="F9149" s="40"/>
      <c r="G9149" s="185">
        <v>5000</v>
      </c>
      <c r="H9149" s="185"/>
      <c r="I9149" s="88">
        <f t="shared" si="1444"/>
        <v>15527.760000000002</v>
      </c>
      <c r="J9149" s="40"/>
      <c r="K9149" s="40"/>
      <c r="L9149" s="2">
        <f t="shared" si="1442"/>
        <v>20</v>
      </c>
      <c r="M9149" s="40"/>
      <c r="N9149" s="40"/>
    </row>
    <row r="9150" spans="1:14" x14ac:dyDescent="0.3">
      <c r="A9150" s="3">
        <f t="shared" si="1443"/>
        <v>46248</v>
      </c>
      <c r="B9150" s="11" t="s">
        <v>1250</v>
      </c>
      <c r="C9150" s="50" t="s">
        <v>8736</v>
      </c>
      <c r="D9150" s="40"/>
      <c r="E9150" s="90" t="s">
        <v>4720</v>
      </c>
      <c r="F9150" s="40"/>
      <c r="G9150" s="185">
        <v>2500</v>
      </c>
      <c r="H9150" s="185"/>
      <c r="I9150" s="88">
        <f t="shared" si="1444"/>
        <v>18027.760000000002</v>
      </c>
      <c r="J9150" s="40"/>
      <c r="K9150" s="40"/>
      <c r="L9150" s="2">
        <f t="shared" si="1442"/>
        <v>10</v>
      </c>
      <c r="M9150" s="40"/>
      <c r="N9150" s="40"/>
    </row>
    <row r="9151" spans="1:14" x14ac:dyDescent="0.3">
      <c r="A9151" s="3">
        <f t="shared" si="1443"/>
        <v>46248</v>
      </c>
      <c r="B9151" s="11" t="s">
        <v>3420</v>
      </c>
      <c r="C9151" s="50" t="s">
        <v>9095</v>
      </c>
      <c r="D9151" s="40"/>
      <c r="E9151" s="90" t="s">
        <v>4720</v>
      </c>
      <c r="F9151" s="40"/>
      <c r="G9151" s="185"/>
      <c r="H9151" s="185">
        <v>1000</v>
      </c>
      <c r="I9151" s="88">
        <f t="shared" si="1444"/>
        <v>17027.760000000002</v>
      </c>
      <c r="J9151" s="40"/>
      <c r="K9151" s="40"/>
      <c r="L9151" s="2">
        <f t="shared" si="1442"/>
        <v>4</v>
      </c>
      <c r="M9151" s="40"/>
      <c r="N9151" s="40"/>
    </row>
    <row r="9152" spans="1:14" x14ac:dyDescent="0.3">
      <c r="A9152" s="3">
        <f t="shared" si="1443"/>
        <v>46248</v>
      </c>
      <c r="B9152" s="11" t="s">
        <v>7108</v>
      </c>
      <c r="C9152" s="50" t="s">
        <v>9182</v>
      </c>
      <c r="D9152" s="40"/>
      <c r="E9152" s="90" t="s">
        <v>4720</v>
      </c>
      <c r="F9152" s="40"/>
      <c r="G9152" s="185">
        <v>5000</v>
      </c>
      <c r="H9152" s="185"/>
      <c r="I9152" s="88">
        <f t="shared" si="1444"/>
        <v>22027.760000000002</v>
      </c>
      <c r="J9152" s="40"/>
      <c r="K9152" s="40"/>
      <c r="L9152" s="2">
        <f t="shared" si="1442"/>
        <v>20</v>
      </c>
      <c r="M9152" s="40"/>
      <c r="N9152" s="40"/>
    </row>
    <row r="9153" spans="1:14" x14ac:dyDescent="0.3">
      <c r="A9153" s="3">
        <f t="shared" si="1443"/>
        <v>46248</v>
      </c>
      <c r="B9153" s="11" t="s">
        <v>10334</v>
      </c>
      <c r="C9153" s="50" t="s">
        <v>10423</v>
      </c>
      <c r="D9153" s="40"/>
      <c r="E9153" s="90" t="s">
        <v>4720</v>
      </c>
      <c r="F9153" s="40"/>
      <c r="G9153" s="185"/>
      <c r="H9153" s="185">
        <v>10000</v>
      </c>
      <c r="I9153" s="88">
        <f t="shared" si="1444"/>
        <v>12027.760000000002</v>
      </c>
      <c r="J9153" s="40"/>
      <c r="K9153" s="40"/>
      <c r="L9153" s="2">
        <f t="shared" si="1442"/>
        <v>20</v>
      </c>
      <c r="M9153" s="40"/>
      <c r="N9153" s="40"/>
    </row>
    <row r="9154" spans="1:14" x14ac:dyDescent="0.3">
      <c r="A9154" s="3">
        <f t="shared" si="1443"/>
        <v>46248</v>
      </c>
      <c r="B9154" s="11" t="s">
        <v>3685</v>
      </c>
      <c r="C9154" s="50" t="s">
        <v>8849</v>
      </c>
      <c r="D9154" s="40"/>
      <c r="E9154" s="90" t="s">
        <v>4720</v>
      </c>
      <c r="F9154" s="40"/>
      <c r="G9154" s="185"/>
      <c r="H9154" s="185">
        <v>500</v>
      </c>
      <c r="I9154" s="88">
        <f t="shared" si="1444"/>
        <v>11527.760000000002</v>
      </c>
      <c r="J9154" s="40"/>
      <c r="K9154" s="40"/>
      <c r="L9154" s="2">
        <f t="shared" si="1442"/>
        <v>2</v>
      </c>
      <c r="M9154" s="40"/>
      <c r="N9154" s="40"/>
    </row>
    <row r="9155" spans="1:14" x14ac:dyDescent="0.3">
      <c r="A9155" s="3">
        <v>46251</v>
      </c>
      <c r="B9155" s="11" t="s">
        <v>7289</v>
      </c>
      <c r="C9155" s="50" t="s">
        <v>7290</v>
      </c>
      <c r="D9155" s="40"/>
      <c r="E9155" s="90" t="s">
        <v>4720</v>
      </c>
      <c r="F9155" s="40"/>
      <c r="G9155" s="185">
        <v>5500</v>
      </c>
      <c r="H9155" s="185"/>
      <c r="I9155" s="88">
        <f t="shared" si="1444"/>
        <v>17027.760000000002</v>
      </c>
      <c r="J9155" s="40"/>
      <c r="K9155" s="40"/>
      <c r="L9155" s="2">
        <f t="shared" si="1442"/>
        <v>20</v>
      </c>
      <c r="M9155" s="40"/>
      <c r="N9155" s="40"/>
    </row>
    <row r="9156" spans="1:14" x14ac:dyDescent="0.3">
      <c r="A9156" s="3">
        <f t="shared" si="1443"/>
        <v>46251</v>
      </c>
      <c r="B9156" s="11" t="s">
        <v>8020</v>
      </c>
      <c r="C9156" s="50" t="s">
        <v>9988</v>
      </c>
      <c r="D9156" s="40"/>
      <c r="E9156" s="90" t="s">
        <v>4720</v>
      </c>
      <c r="F9156" s="40"/>
      <c r="G9156" s="185">
        <v>2000</v>
      </c>
      <c r="H9156" s="185"/>
      <c r="I9156" s="88">
        <f t="shared" si="1444"/>
        <v>19027.760000000002</v>
      </c>
      <c r="J9156" s="40"/>
      <c r="K9156" s="40"/>
      <c r="L9156" s="2">
        <f t="shared" si="1442"/>
        <v>8</v>
      </c>
      <c r="M9156" s="40"/>
      <c r="N9156" s="40"/>
    </row>
    <row r="9157" spans="1:14" x14ac:dyDescent="0.3">
      <c r="A9157" s="3">
        <f t="shared" si="1443"/>
        <v>46251</v>
      </c>
      <c r="B9157" s="11" t="s">
        <v>7998</v>
      </c>
      <c r="C9157" s="50" t="s">
        <v>11017</v>
      </c>
      <c r="D9157" s="40"/>
      <c r="E9157" s="90" t="s">
        <v>4720</v>
      </c>
      <c r="F9157" s="40"/>
      <c r="G9157" s="185"/>
      <c r="H9157" s="185">
        <v>3000</v>
      </c>
      <c r="I9157" s="88">
        <f t="shared" si="1444"/>
        <v>16027.760000000002</v>
      </c>
      <c r="J9157" s="40"/>
      <c r="K9157" s="40"/>
      <c r="L9157" s="2">
        <f t="shared" si="1442"/>
        <v>12</v>
      </c>
      <c r="M9157" s="40"/>
      <c r="N9157" s="40"/>
    </row>
    <row r="9158" spans="1:14" x14ac:dyDescent="0.3">
      <c r="A9158" s="3">
        <f t="shared" si="1443"/>
        <v>46251</v>
      </c>
      <c r="B9158" s="11" t="s">
        <v>10901</v>
      </c>
      <c r="C9158" s="50" t="s">
        <v>11018</v>
      </c>
      <c r="D9158" s="40"/>
      <c r="E9158" s="90" t="s">
        <v>4720</v>
      </c>
      <c r="F9158" s="40"/>
      <c r="G9158" s="185"/>
      <c r="H9158" s="185">
        <v>7600</v>
      </c>
      <c r="I9158" s="88">
        <f t="shared" si="1444"/>
        <v>8427.760000000002</v>
      </c>
      <c r="J9158" s="40"/>
      <c r="K9158" s="40"/>
      <c r="L9158" s="2">
        <f t="shared" si="1442"/>
        <v>20</v>
      </c>
      <c r="M9158" s="40"/>
      <c r="N9158" s="40"/>
    </row>
    <row r="9159" spans="1:14" x14ac:dyDescent="0.3">
      <c r="A9159" s="3">
        <v>46252</v>
      </c>
      <c r="B9159" s="11" t="s">
        <v>1250</v>
      </c>
      <c r="C9159" s="50" t="s">
        <v>11019</v>
      </c>
      <c r="D9159" s="40"/>
      <c r="E9159" s="90" t="s">
        <v>4720</v>
      </c>
      <c r="F9159" s="40"/>
      <c r="G9159" s="185"/>
      <c r="H9159" s="185">
        <v>1500</v>
      </c>
      <c r="I9159" s="88">
        <f t="shared" si="1444"/>
        <v>6927.760000000002</v>
      </c>
      <c r="J9159" s="40"/>
      <c r="K9159" s="40"/>
      <c r="L9159" s="2">
        <f t="shared" si="1442"/>
        <v>6</v>
      </c>
      <c r="M9159" s="40"/>
      <c r="N9159" s="40"/>
    </row>
    <row r="9160" spans="1:14" x14ac:dyDescent="0.3">
      <c r="A9160" s="3">
        <f t="shared" si="1443"/>
        <v>46252</v>
      </c>
      <c r="B9160" s="11" t="s">
        <v>3865</v>
      </c>
      <c r="C9160" s="50" t="s">
        <v>2890</v>
      </c>
      <c r="D9160" s="40"/>
      <c r="E9160" s="90" t="s">
        <v>4720</v>
      </c>
      <c r="F9160" s="40"/>
      <c r="G9160" s="185">
        <v>3000</v>
      </c>
      <c r="H9160" s="185"/>
      <c r="I9160" s="88">
        <f t="shared" si="1444"/>
        <v>9927.760000000002</v>
      </c>
      <c r="J9160" s="40"/>
      <c r="K9160" s="40"/>
      <c r="L9160" s="2">
        <f t="shared" si="1442"/>
        <v>12</v>
      </c>
      <c r="M9160" s="40"/>
      <c r="N9160" s="40"/>
    </row>
    <row r="9161" spans="1:14" x14ac:dyDescent="0.3">
      <c r="A9161" s="3">
        <f t="shared" si="1443"/>
        <v>46252</v>
      </c>
      <c r="B9161" s="11" t="s">
        <v>5659</v>
      </c>
      <c r="C9161" s="50" t="s">
        <v>9167</v>
      </c>
      <c r="D9161" s="40"/>
      <c r="E9161" s="90" t="s">
        <v>4720</v>
      </c>
      <c r="F9161" s="40"/>
      <c r="G9161" s="185">
        <v>2500</v>
      </c>
      <c r="H9161" s="185"/>
      <c r="I9161" s="88">
        <f t="shared" si="1444"/>
        <v>12427.760000000002</v>
      </c>
      <c r="J9161" s="40"/>
      <c r="K9161" s="40"/>
      <c r="L9161" s="2">
        <f t="shared" si="1442"/>
        <v>10</v>
      </c>
      <c r="M9161" s="40"/>
      <c r="N9161" s="40"/>
    </row>
    <row r="9162" spans="1:14" x14ac:dyDescent="0.3">
      <c r="A9162" s="3">
        <f t="shared" si="1443"/>
        <v>46252</v>
      </c>
      <c r="B9162" s="11" t="s">
        <v>8465</v>
      </c>
      <c r="C9162" s="50" t="s">
        <v>9096</v>
      </c>
      <c r="D9162" s="40"/>
      <c r="E9162" s="90" t="s">
        <v>4720</v>
      </c>
      <c r="F9162" s="40"/>
      <c r="G9162" s="185">
        <v>3000</v>
      </c>
      <c r="H9162" s="185"/>
      <c r="I9162" s="88">
        <f t="shared" si="1444"/>
        <v>15427.760000000002</v>
      </c>
      <c r="J9162" s="40"/>
      <c r="K9162" s="40"/>
      <c r="L9162" s="2">
        <f t="shared" si="1442"/>
        <v>12</v>
      </c>
      <c r="M9162" s="40"/>
      <c r="N9162" s="40"/>
    </row>
    <row r="9163" spans="1:14" x14ac:dyDescent="0.3">
      <c r="A9163" s="3">
        <f t="shared" si="1443"/>
        <v>46252</v>
      </c>
      <c r="B9163" s="11" t="s">
        <v>2490</v>
      </c>
      <c r="C9163" s="50" t="s">
        <v>2857</v>
      </c>
      <c r="D9163" s="40"/>
      <c r="E9163" s="90" t="s">
        <v>4720</v>
      </c>
      <c r="F9163" s="40"/>
      <c r="G9163" s="185"/>
      <c r="H9163" s="185">
        <v>14000</v>
      </c>
      <c r="I9163" s="88">
        <f t="shared" si="1444"/>
        <v>1427.760000000002</v>
      </c>
      <c r="J9163" s="40"/>
      <c r="K9163" s="40"/>
      <c r="L9163" s="2">
        <f t="shared" si="1442"/>
        <v>20</v>
      </c>
      <c r="M9163" s="40"/>
      <c r="N9163" s="40"/>
    </row>
    <row r="9164" spans="1:14" x14ac:dyDescent="0.3">
      <c r="A9164" s="3">
        <f t="shared" si="1443"/>
        <v>46252</v>
      </c>
      <c r="B9164" s="11" t="s">
        <v>1250</v>
      </c>
      <c r="C9164" s="50" t="s">
        <v>4437</v>
      </c>
      <c r="D9164" s="40"/>
      <c r="E9164" s="90" t="s">
        <v>4720</v>
      </c>
      <c r="F9164" s="40"/>
      <c r="G9164" s="185">
        <v>4000</v>
      </c>
      <c r="H9164" s="185"/>
      <c r="I9164" s="88">
        <f t="shared" si="1444"/>
        <v>5427.760000000002</v>
      </c>
      <c r="J9164" s="40"/>
      <c r="K9164" s="40"/>
      <c r="L9164" s="2">
        <f t="shared" si="1442"/>
        <v>16</v>
      </c>
      <c r="M9164" s="40"/>
      <c r="N9164" s="40"/>
    </row>
    <row r="9165" spans="1:14" x14ac:dyDescent="0.3">
      <c r="A9165" s="3">
        <f t="shared" si="1443"/>
        <v>46252</v>
      </c>
      <c r="B9165" s="11" t="s">
        <v>1250</v>
      </c>
      <c r="C9165" s="50" t="s">
        <v>2626</v>
      </c>
      <c r="D9165" s="40"/>
      <c r="E9165" s="90" t="s">
        <v>4720</v>
      </c>
      <c r="F9165" s="40"/>
      <c r="G9165" s="185">
        <v>3200</v>
      </c>
      <c r="H9165" s="185"/>
      <c r="I9165" s="88">
        <f t="shared" si="1444"/>
        <v>8627.760000000002</v>
      </c>
      <c r="J9165" s="40"/>
      <c r="K9165" s="40"/>
      <c r="L9165" s="2">
        <f t="shared" si="1442"/>
        <v>12.8</v>
      </c>
      <c r="M9165" s="40"/>
      <c r="N9165" s="40"/>
    </row>
    <row r="9166" spans="1:14" x14ac:dyDescent="0.3">
      <c r="A9166" s="3">
        <f t="shared" si="1443"/>
        <v>46252</v>
      </c>
      <c r="B9166" s="11" t="s">
        <v>6369</v>
      </c>
      <c r="C9166" s="50" t="s">
        <v>7569</v>
      </c>
      <c r="D9166" s="40"/>
      <c r="E9166" s="90" t="s">
        <v>4720</v>
      </c>
      <c r="F9166" s="40"/>
      <c r="G9166" s="185">
        <v>2000</v>
      </c>
      <c r="H9166" s="185"/>
      <c r="I9166" s="88">
        <f t="shared" si="1444"/>
        <v>10627.760000000002</v>
      </c>
      <c r="J9166" s="40"/>
      <c r="K9166" s="40"/>
      <c r="L9166" s="2">
        <f t="shared" si="1442"/>
        <v>8</v>
      </c>
      <c r="M9166" s="40"/>
      <c r="N9166" s="40"/>
    </row>
    <row r="9167" spans="1:14" x14ac:dyDescent="0.3">
      <c r="A9167" s="3">
        <v>46253</v>
      </c>
      <c r="B9167" s="11" t="s">
        <v>11021</v>
      </c>
      <c r="C9167" s="50" t="s">
        <v>11026</v>
      </c>
      <c r="D9167" s="40"/>
      <c r="E9167" s="90" t="s">
        <v>16</v>
      </c>
      <c r="F9167" s="40"/>
      <c r="G9167" s="185"/>
      <c r="H9167" s="185">
        <v>500</v>
      </c>
      <c r="I9167" s="88">
        <f t="shared" si="1444"/>
        <v>10127.760000000002</v>
      </c>
      <c r="J9167" s="40"/>
      <c r="K9167" s="40"/>
      <c r="L9167" s="2">
        <f t="shared" si="1442"/>
        <v>17</v>
      </c>
      <c r="M9167" s="40"/>
      <c r="N9167" s="40"/>
    </row>
    <row r="9168" spans="1:14" x14ac:dyDescent="0.3">
      <c r="A9168" s="3">
        <f t="shared" si="1443"/>
        <v>46253</v>
      </c>
      <c r="B9168" s="11" t="s">
        <v>11027</v>
      </c>
      <c r="C9168" s="50" t="s">
        <v>11028</v>
      </c>
      <c r="D9168" s="40"/>
      <c r="E9168" s="90" t="s">
        <v>4720</v>
      </c>
      <c r="F9168" s="40"/>
      <c r="G9168" s="185"/>
      <c r="H9168" s="185">
        <v>1000</v>
      </c>
      <c r="I9168" s="88">
        <f t="shared" si="1444"/>
        <v>9127.760000000002</v>
      </c>
      <c r="J9168" s="40"/>
      <c r="K9168" s="40"/>
      <c r="L9168" s="2">
        <f t="shared" si="1442"/>
        <v>4</v>
      </c>
      <c r="M9168" s="40"/>
      <c r="N9168" s="40"/>
    </row>
    <row r="9169" spans="1:14" x14ac:dyDescent="0.3">
      <c r="A9169" s="3">
        <f t="shared" si="1443"/>
        <v>46253</v>
      </c>
      <c r="B9169" s="11" t="s">
        <v>6676</v>
      </c>
      <c r="C9169" s="50" t="s">
        <v>7675</v>
      </c>
      <c r="D9169" s="40"/>
      <c r="E9169" s="90" t="s">
        <v>4720</v>
      </c>
      <c r="F9169" s="40"/>
      <c r="G9169" s="185"/>
      <c r="H9169" s="185">
        <v>1000</v>
      </c>
      <c r="I9169" s="88">
        <f t="shared" si="1444"/>
        <v>8127.760000000002</v>
      </c>
      <c r="J9169" s="40"/>
      <c r="K9169" s="40"/>
      <c r="L9169" s="2">
        <f t="shared" si="1442"/>
        <v>4</v>
      </c>
      <c r="M9169" s="40"/>
      <c r="N9169" s="40"/>
    </row>
    <row r="9170" spans="1:14" x14ac:dyDescent="0.3">
      <c r="A9170" s="3">
        <f t="shared" si="1443"/>
        <v>46253</v>
      </c>
      <c r="B9170" s="11" t="s">
        <v>10031</v>
      </c>
      <c r="C9170" s="50" t="s">
        <v>11029</v>
      </c>
      <c r="D9170" s="40"/>
      <c r="E9170" s="90" t="s">
        <v>4720</v>
      </c>
      <c r="F9170" s="40"/>
      <c r="G9170" s="185"/>
      <c r="H9170" s="185">
        <v>2000</v>
      </c>
      <c r="I9170" s="88">
        <f t="shared" si="1444"/>
        <v>6127.760000000002</v>
      </c>
      <c r="J9170" s="40"/>
      <c r="K9170" s="40"/>
      <c r="L9170" s="2">
        <f t="shared" si="1442"/>
        <v>8</v>
      </c>
      <c r="M9170" s="40"/>
      <c r="N9170" s="40"/>
    </row>
    <row r="9171" spans="1:14" x14ac:dyDescent="0.3">
      <c r="A9171" s="3">
        <f t="shared" si="1443"/>
        <v>46253</v>
      </c>
      <c r="B9171" s="11" t="s">
        <v>7859</v>
      </c>
      <c r="C9171" s="50" t="s">
        <v>10324</v>
      </c>
      <c r="D9171" s="40"/>
      <c r="E9171" s="90" t="s">
        <v>4720</v>
      </c>
      <c r="F9171" s="40"/>
      <c r="G9171" s="185">
        <v>5000</v>
      </c>
      <c r="H9171" s="185"/>
      <c r="I9171" s="88">
        <f t="shared" si="1444"/>
        <v>11127.760000000002</v>
      </c>
      <c r="J9171" s="40"/>
      <c r="K9171" s="40"/>
      <c r="L9171" s="2">
        <f t="shared" si="1442"/>
        <v>20</v>
      </c>
      <c r="M9171" s="40"/>
      <c r="N9171" s="40"/>
    </row>
    <row r="9172" spans="1:14" x14ac:dyDescent="0.3">
      <c r="A9172" s="3">
        <f t="shared" si="1443"/>
        <v>46253</v>
      </c>
      <c r="B9172" s="11" t="s">
        <v>1250</v>
      </c>
      <c r="C9172" s="50" t="s">
        <v>6985</v>
      </c>
      <c r="D9172" s="40"/>
      <c r="E9172" s="90" t="s">
        <v>4720</v>
      </c>
      <c r="F9172" s="40"/>
      <c r="G9172" s="185">
        <v>2000</v>
      </c>
      <c r="H9172" s="185"/>
      <c r="I9172" s="88">
        <f t="shared" si="1444"/>
        <v>13127.760000000002</v>
      </c>
      <c r="J9172" s="40"/>
      <c r="K9172" s="40"/>
      <c r="L9172" s="2">
        <f t="shared" si="1442"/>
        <v>8</v>
      </c>
      <c r="M9172" s="40"/>
      <c r="N9172" s="40"/>
    </row>
    <row r="9173" spans="1:14" x14ac:dyDescent="0.3">
      <c r="A9173" s="3">
        <f t="shared" si="1443"/>
        <v>46253</v>
      </c>
      <c r="B9173" s="11" t="s">
        <v>8659</v>
      </c>
      <c r="C9173" s="50" t="s">
        <v>2626</v>
      </c>
      <c r="D9173" s="40"/>
      <c r="E9173" s="90" t="s">
        <v>4720</v>
      </c>
      <c r="F9173" s="40"/>
      <c r="G9173" s="185">
        <v>2000</v>
      </c>
      <c r="H9173" s="185"/>
      <c r="I9173" s="88">
        <f t="shared" si="1444"/>
        <v>15127.760000000002</v>
      </c>
      <c r="J9173" s="40"/>
      <c r="K9173" s="40"/>
      <c r="L9173" s="2">
        <f t="shared" si="1442"/>
        <v>8</v>
      </c>
      <c r="M9173" s="40"/>
      <c r="N9173" s="40"/>
    </row>
    <row r="9174" spans="1:14" x14ac:dyDescent="0.3">
      <c r="A9174" s="3">
        <f t="shared" si="1443"/>
        <v>46253</v>
      </c>
      <c r="B9174" s="11" t="s">
        <v>1250</v>
      </c>
      <c r="C9174" s="50" t="s">
        <v>3658</v>
      </c>
      <c r="D9174" s="40"/>
      <c r="E9174" s="90" t="s">
        <v>4720</v>
      </c>
      <c r="F9174" s="40"/>
      <c r="G9174" s="185">
        <v>10000</v>
      </c>
      <c r="H9174" s="185"/>
      <c r="I9174" s="88">
        <f t="shared" si="1444"/>
        <v>25127.760000000002</v>
      </c>
      <c r="J9174" s="40"/>
      <c r="K9174" s="40"/>
      <c r="L9174" s="2">
        <f t="shared" si="1442"/>
        <v>20</v>
      </c>
      <c r="M9174" s="40"/>
      <c r="N9174" s="40"/>
    </row>
    <row r="9175" spans="1:14" x14ac:dyDescent="0.3">
      <c r="A9175" s="3">
        <f t="shared" si="1443"/>
        <v>46253</v>
      </c>
      <c r="C9175" s="50" t="s">
        <v>2857</v>
      </c>
      <c r="D9175" s="40"/>
      <c r="E9175" s="90" t="s">
        <v>8332</v>
      </c>
      <c r="F9175" s="40"/>
      <c r="G9175" s="185"/>
      <c r="H9175" s="185">
        <v>24500</v>
      </c>
      <c r="I9175" s="88">
        <f t="shared" si="1444"/>
        <v>627.76000000000204</v>
      </c>
      <c r="J9175" s="40"/>
      <c r="K9175" s="40"/>
      <c r="L9175" s="2">
        <f t="shared" si="1442"/>
        <v>0</v>
      </c>
      <c r="M9175" s="40"/>
      <c r="N9175" s="40"/>
    </row>
    <row r="9176" spans="1:14" x14ac:dyDescent="0.3">
      <c r="A9176" s="3">
        <f t="shared" si="1443"/>
        <v>46253</v>
      </c>
      <c r="B9176" s="11" t="s">
        <v>1250</v>
      </c>
      <c r="C9176" s="50" t="s">
        <v>7372</v>
      </c>
      <c r="D9176" s="40"/>
      <c r="E9176" s="90" t="s">
        <v>4720</v>
      </c>
      <c r="F9176" s="40"/>
      <c r="G9176" s="185">
        <v>9000</v>
      </c>
      <c r="H9176" s="185"/>
      <c r="I9176" s="88">
        <f t="shared" si="1444"/>
        <v>9627.760000000002</v>
      </c>
      <c r="J9176" s="40"/>
      <c r="K9176" s="40"/>
      <c r="L9176" s="2">
        <f t="shared" si="1442"/>
        <v>20</v>
      </c>
      <c r="M9176" s="40"/>
      <c r="N9176" s="40"/>
    </row>
    <row r="9177" spans="1:14" x14ac:dyDescent="0.3">
      <c r="A9177" s="3">
        <f t="shared" si="1443"/>
        <v>46253</v>
      </c>
      <c r="B9177" s="11" t="s">
        <v>5961</v>
      </c>
      <c r="C9177" s="50" t="s">
        <v>10364</v>
      </c>
      <c r="D9177" s="40"/>
      <c r="E9177" s="90" t="s">
        <v>4720</v>
      </c>
      <c r="F9177" s="40"/>
      <c r="G9177" s="185">
        <v>3000</v>
      </c>
      <c r="H9177" s="185"/>
      <c r="I9177" s="88">
        <f t="shared" si="1444"/>
        <v>12627.760000000002</v>
      </c>
      <c r="J9177" s="40"/>
      <c r="K9177" s="40"/>
      <c r="L9177" s="2">
        <f t="shared" si="1442"/>
        <v>12</v>
      </c>
      <c r="M9177" s="40"/>
      <c r="N9177" s="40"/>
    </row>
    <row r="9178" spans="1:14" x14ac:dyDescent="0.3">
      <c r="A9178" s="3">
        <f t="shared" si="1443"/>
        <v>46253</v>
      </c>
      <c r="B9178" s="11" t="s">
        <v>3148</v>
      </c>
      <c r="C9178" s="50" t="s">
        <v>9275</v>
      </c>
      <c r="D9178" s="40"/>
      <c r="E9178" s="90" t="s">
        <v>4720</v>
      </c>
      <c r="F9178" s="40"/>
      <c r="G9178" s="185">
        <v>1000</v>
      </c>
      <c r="H9178" s="185"/>
      <c r="I9178" s="88">
        <f t="shared" si="1444"/>
        <v>13627.760000000002</v>
      </c>
      <c r="J9178" s="40"/>
      <c r="K9178" s="40"/>
      <c r="L9178" s="2">
        <f t="shared" si="1442"/>
        <v>4</v>
      </c>
      <c r="M9178" s="40"/>
      <c r="N9178" s="40"/>
    </row>
    <row r="9179" spans="1:14" x14ac:dyDescent="0.3">
      <c r="A9179" s="3">
        <f t="shared" si="1443"/>
        <v>46253</v>
      </c>
      <c r="B9179" s="11" t="s">
        <v>7255</v>
      </c>
      <c r="C9179" s="50" t="s">
        <v>2857</v>
      </c>
      <c r="D9179" s="40"/>
      <c r="E9179" s="90" t="s">
        <v>4720</v>
      </c>
      <c r="F9179" s="40"/>
      <c r="G9179" s="185"/>
      <c r="H9179" s="185">
        <v>13000</v>
      </c>
      <c r="I9179" s="88">
        <f t="shared" si="1444"/>
        <v>627.76000000000204</v>
      </c>
      <c r="J9179" s="40"/>
      <c r="K9179" s="40"/>
      <c r="L9179" s="2">
        <f t="shared" si="1442"/>
        <v>20</v>
      </c>
      <c r="M9179" s="40"/>
      <c r="N9179" s="40"/>
    </row>
    <row r="9180" spans="1:14" x14ac:dyDescent="0.3">
      <c r="A9180" s="3">
        <f t="shared" si="1443"/>
        <v>46253</v>
      </c>
      <c r="B9180" s="11" t="s">
        <v>7255</v>
      </c>
      <c r="C9180" s="50" t="s">
        <v>2492</v>
      </c>
      <c r="D9180" s="40"/>
      <c r="E9180" s="90" t="s">
        <v>4720</v>
      </c>
      <c r="F9180" s="40"/>
      <c r="G9180" s="185">
        <v>1000</v>
      </c>
      <c r="H9180" s="185"/>
      <c r="I9180" s="88">
        <f t="shared" si="1444"/>
        <v>1627.760000000002</v>
      </c>
      <c r="J9180" s="40"/>
      <c r="K9180" s="40"/>
      <c r="L9180" s="2">
        <f t="shared" si="1442"/>
        <v>4</v>
      </c>
      <c r="M9180" s="40"/>
      <c r="N9180" s="40"/>
    </row>
    <row r="9181" spans="1:14" x14ac:dyDescent="0.3">
      <c r="A9181" s="3">
        <f t="shared" si="1443"/>
        <v>46253</v>
      </c>
      <c r="B9181" s="11" t="s">
        <v>3915</v>
      </c>
      <c r="C9181" s="50" t="s">
        <v>11031</v>
      </c>
      <c r="D9181" s="40"/>
      <c r="E9181" s="90" t="s">
        <v>4720</v>
      </c>
      <c r="F9181" s="40"/>
      <c r="G9181" s="185">
        <v>5000</v>
      </c>
      <c r="H9181" s="185"/>
      <c r="I9181" s="88">
        <f t="shared" si="1444"/>
        <v>6627.760000000002</v>
      </c>
      <c r="J9181" s="40"/>
      <c r="K9181" s="40"/>
      <c r="L9181" s="2">
        <f t="shared" si="1442"/>
        <v>20</v>
      </c>
      <c r="M9181" s="40"/>
      <c r="N9181" s="40"/>
    </row>
    <row r="9182" spans="1:14" x14ac:dyDescent="0.3">
      <c r="A9182" s="3">
        <f t="shared" si="1443"/>
        <v>46253</v>
      </c>
      <c r="B9182" s="11" t="s">
        <v>1250</v>
      </c>
      <c r="C9182" s="50" t="s">
        <v>11030</v>
      </c>
      <c r="D9182" s="40"/>
      <c r="E9182" s="90" t="s">
        <v>4720</v>
      </c>
      <c r="F9182" s="40"/>
      <c r="G9182" s="185">
        <v>1000</v>
      </c>
      <c r="H9182" s="185"/>
      <c r="I9182" s="88">
        <f t="shared" si="1444"/>
        <v>7627.760000000002</v>
      </c>
      <c r="J9182" s="40"/>
      <c r="K9182" s="40"/>
      <c r="L9182" s="2">
        <f t="shared" si="1442"/>
        <v>4</v>
      </c>
      <c r="M9182" s="40"/>
      <c r="N9182" s="40"/>
    </row>
    <row r="9183" spans="1:14" x14ac:dyDescent="0.3">
      <c r="A9183" s="3">
        <v>46254</v>
      </c>
      <c r="B9183" s="11" t="s">
        <v>2528</v>
      </c>
      <c r="C9183" s="50" t="s">
        <v>4207</v>
      </c>
      <c r="D9183" s="40"/>
      <c r="E9183" s="90" t="s">
        <v>4720</v>
      </c>
      <c r="F9183" s="40"/>
      <c r="G9183" s="185">
        <v>4000</v>
      </c>
      <c r="H9183" s="185"/>
      <c r="I9183" s="88">
        <f t="shared" si="1444"/>
        <v>11627.760000000002</v>
      </c>
      <c r="J9183" s="40"/>
      <c r="K9183" s="40"/>
      <c r="L9183" s="2">
        <f t="shared" si="1442"/>
        <v>16</v>
      </c>
      <c r="M9183" s="40"/>
      <c r="N9183" s="40"/>
    </row>
    <row r="9184" spans="1:14" x14ac:dyDescent="0.3">
      <c r="A9184" s="3">
        <f t="shared" si="1443"/>
        <v>46254</v>
      </c>
      <c r="B9184" s="11" t="s">
        <v>11034</v>
      </c>
      <c r="C9184" s="7" t="s">
        <v>11035</v>
      </c>
      <c r="D9184" s="40"/>
      <c r="E9184" s="90" t="s">
        <v>16</v>
      </c>
      <c r="F9184" s="40"/>
      <c r="G9184" s="185"/>
      <c r="H9184" s="185">
        <v>500</v>
      </c>
      <c r="I9184" s="88">
        <f t="shared" si="1444"/>
        <v>11127.760000000002</v>
      </c>
      <c r="J9184" s="40"/>
      <c r="K9184" s="40"/>
      <c r="L9184" s="2">
        <f t="shared" si="1442"/>
        <v>17</v>
      </c>
      <c r="M9184" s="40"/>
      <c r="N9184" s="40"/>
    </row>
    <row r="9185" spans="1:14" x14ac:dyDescent="0.3">
      <c r="A9185" s="3">
        <f t="shared" si="1443"/>
        <v>46254</v>
      </c>
      <c r="B9185" s="11" t="s">
        <v>2351</v>
      </c>
      <c r="C9185" s="50" t="s">
        <v>11037</v>
      </c>
      <c r="D9185" s="40"/>
      <c r="E9185" s="90" t="s">
        <v>4720</v>
      </c>
      <c r="F9185" s="40"/>
      <c r="G9185" s="185">
        <v>700</v>
      </c>
      <c r="H9185" s="185"/>
      <c r="I9185" s="88">
        <f t="shared" si="1444"/>
        <v>11827.760000000002</v>
      </c>
      <c r="J9185" s="40"/>
      <c r="K9185" s="40"/>
      <c r="L9185" s="2">
        <f t="shared" si="1442"/>
        <v>2.8000000000000003</v>
      </c>
      <c r="M9185" s="40"/>
      <c r="N9185" s="40"/>
    </row>
    <row r="9186" spans="1:14" x14ac:dyDescent="0.3">
      <c r="A9186" s="3">
        <f t="shared" si="1443"/>
        <v>46254</v>
      </c>
      <c r="C9186" s="50" t="s">
        <v>2857</v>
      </c>
      <c r="D9186" s="40"/>
      <c r="E9186" s="90" t="s">
        <v>8332</v>
      </c>
      <c r="F9186" s="40"/>
      <c r="G9186" s="185"/>
      <c r="H9186" s="185">
        <v>10000</v>
      </c>
      <c r="I9186" s="88">
        <f t="shared" si="1444"/>
        <v>1827.760000000002</v>
      </c>
      <c r="J9186" s="40"/>
      <c r="K9186" s="40"/>
      <c r="L9186" s="2">
        <f t="shared" si="1442"/>
        <v>0</v>
      </c>
      <c r="M9186" s="40"/>
      <c r="N9186" s="40"/>
    </row>
    <row r="9187" spans="1:14" x14ac:dyDescent="0.3">
      <c r="A9187" s="3">
        <f t="shared" si="1443"/>
        <v>46254</v>
      </c>
      <c r="B9187" s="11" t="s">
        <v>6718</v>
      </c>
      <c r="C9187" s="50" t="s">
        <v>11038</v>
      </c>
      <c r="D9187" s="40"/>
      <c r="E9187" s="90" t="s">
        <v>4720</v>
      </c>
      <c r="F9187" s="40"/>
      <c r="G9187" s="185">
        <v>5000</v>
      </c>
      <c r="H9187" s="185"/>
      <c r="I9187" s="88">
        <f t="shared" si="1444"/>
        <v>6827.760000000002</v>
      </c>
      <c r="J9187" s="40"/>
      <c r="K9187" s="40"/>
      <c r="L9187" s="2">
        <f t="shared" si="1442"/>
        <v>20</v>
      </c>
      <c r="M9187" s="40"/>
      <c r="N9187" s="40"/>
    </row>
    <row r="9188" spans="1:14" x14ac:dyDescent="0.3">
      <c r="A9188" s="3">
        <f t="shared" si="1443"/>
        <v>46254</v>
      </c>
      <c r="B9188" s="11" t="s">
        <v>9474</v>
      </c>
      <c r="C9188" s="50" t="s">
        <v>9475</v>
      </c>
      <c r="D9188" s="40"/>
      <c r="E9188" s="90" t="s">
        <v>4720</v>
      </c>
      <c r="F9188" s="40"/>
      <c r="G9188" s="185"/>
      <c r="H9188" s="185">
        <v>4800</v>
      </c>
      <c r="I9188" s="88">
        <f t="shared" si="1444"/>
        <v>2027.760000000002</v>
      </c>
      <c r="J9188" s="40"/>
      <c r="K9188" s="40"/>
      <c r="L9188" s="2">
        <f t="shared" si="1442"/>
        <v>19.2</v>
      </c>
      <c r="M9188" s="40"/>
      <c r="N9188" s="40"/>
    </row>
    <row r="9189" spans="1:14" x14ac:dyDescent="0.3">
      <c r="A9189" s="3">
        <f t="shared" si="1443"/>
        <v>46254</v>
      </c>
      <c r="B9189" s="11" t="s">
        <v>8955</v>
      </c>
      <c r="C9189" s="50" t="s">
        <v>191</v>
      </c>
      <c r="D9189" s="40"/>
      <c r="E9189" s="90" t="s">
        <v>4720</v>
      </c>
      <c r="F9189" s="40"/>
      <c r="G9189" s="185">
        <v>1800</v>
      </c>
      <c r="H9189" s="185"/>
      <c r="I9189" s="88">
        <f t="shared" si="1444"/>
        <v>3827.760000000002</v>
      </c>
      <c r="J9189" s="40"/>
      <c r="K9189" s="40"/>
      <c r="L9189" s="2">
        <f t="shared" si="1442"/>
        <v>7.2</v>
      </c>
      <c r="M9189" s="40"/>
      <c r="N9189" s="40"/>
    </row>
    <row r="9190" spans="1:14" x14ac:dyDescent="0.3">
      <c r="A9190" s="3">
        <f t="shared" si="1443"/>
        <v>46254</v>
      </c>
      <c r="B9190" s="11" t="s">
        <v>6582</v>
      </c>
      <c r="C9190" s="50" t="s">
        <v>6583</v>
      </c>
      <c r="D9190" s="40"/>
      <c r="E9190" s="90" t="s">
        <v>4720</v>
      </c>
      <c r="F9190" s="40"/>
      <c r="G9190" s="185">
        <v>2000</v>
      </c>
      <c r="H9190" s="185"/>
      <c r="I9190" s="88">
        <f t="shared" si="1444"/>
        <v>5827.760000000002</v>
      </c>
      <c r="J9190" s="40"/>
      <c r="K9190" s="40"/>
      <c r="L9190" s="2">
        <f t="shared" si="1442"/>
        <v>8</v>
      </c>
      <c r="M9190" s="40"/>
      <c r="N9190" s="40"/>
    </row>
    <row r="9191" spans="1:14" x14ac:dyDescent="0.3">
      <c r="A9191" s="3">
        <f t="shared" si="1443"/>
        <v>46254</v>
      </c>
      <c r="B9191" s="11" t="s">
        <v>2448</v>
      </c>
      <c r="C9191" s="50" t="s">
        <v>8134</v>
      </c>
      <c r="D9191" s="40"/>
      <c r="E9191" s="90" t="s">
        <v>4720</v>
      </c>
      <c r="F9191" s="40"/>
      <c r="G9191" s="185"/>
      <c r="H9191" s="185">
        <v>5000</v>
      </c>
      <c r="I9191" s="88">
        <f t="shared" si="1444"/>
        <v>827.76000000000204</v>
      </c>
      <c r="J9191" s="40"/>
      <c r="K9191" s="40"/>
      <c r="L9191" s="2">
        <f t="shared" si="1442"/>
        <v>20</v>
      </c>
      <c r="M9191" s="40"/>
      <c r="N9191" s="40"/>
    </row>
    <row r="9192" spans="1:14" x14ac:dyDescent="0.3">
      <c r="A9192" s="3">
        <f t="shared" si="1443"/>
        <v>46254</v>
      </c>
      <c r="B9192" s="11" t="s">
        <v>1250</v>
      </c>
      <c r="C9192" s="50" t="s">
        <v>2348</v>
      </c>
      <c r="D9192" s="40"/>
      <c r="E9192" s="90" t="s">
        <v>4720</v>
      </c>
      <c r="F9192" s="40"/>
      <c r="G9192" s="185">
        <v>2000</v>
      </c>
      <c r="H9192" s="185"/>
      <c r="I9192" s="88">
        <f t="shared" si="1444"/>
        <v>2827.760000000002</v>
      </c>
      <c r="J9192" s="40"/>
      <c r="K9192" s="40"/>
      <c r="L9192" s="2">
        <f t="shared" si="1442"/>
        <v>8</v>
      </c>
      <c r="M9192" s="40"/>
      <c r="N9192" s="40"/>
    </row>
    <row r="9193" spans="1:14" x14ac:dyDescent="0.3">
      <c r="A9193" s="3">
        <v>46256</v>
      </c>
      <c r="B9193" s="11" t="s">
        <v>8465</v>
      </c>
      <c r="C9193" s="50" t="s">
        <v>9096</v>
      </c>
      <c r="D9193" s="40"/>
      <c r="E9193" s="90" t="s">
        <v>4720</v>
      </c>
      <c r="F9193" s="40"/>
      <c r="G9193" s="185">
        <v>2000</v>
      </c>
      <c r="H9193" s="185"/>
      <c r="I9193" s="88">
        <f t="shared" si="1444"/>
        <v>4827.760000000002</v>
      </c>
      <c r="J9193" s="40"/>
      <c r="K9193" s="40"/>
      <c r="L9193" s="2">
        <f t="shared" si="1442"/>
        <v>8</v>
      </c>
      <c r="M9193" s="40"/>
      <c r="N9193" s="40"/>
    </row>
    <row r="9194" spans="1:14" x14ac:dyDescent="0.3">
      <c r="A9194" s="3">
        <f t="shared" si="1443"/>
        <v>46256</v>
      </c>
      <c r="B9194" s="11" t="s">
        <v>2448</v>
      </c>
      <c r="C9194" s="50" t="s">
        <v>2274</v>
      </c>
      <c r="D9194" s="40"/>
      <c r="E9194" s="90" t="s">
        <v>4720</v>
      </c>
      <c r="F9194" s="40"/>
      <c r="G9194" s="185"/>
      <c r="H9194" s="185">
        <v>3000</v>
      </c>
      <c r="I9194" s="88">
        <f t="shared" si="1444"/>
        <v>1827.760000000002</v>
      </c>
      <c r="J9194" s="40"/>
      <c r="K9194" s="40"/>
      <c r="L9194" s="2">
        <f t="shared" ref="L9194:L9244" si="1445">IF(E9194="C",0,IF((G9194+H9194)&lt;=5000,(G9194+H9194)*0.004,20)+IF(E9194="P",5,IF(E9194="Y",15,IF(E9194="YY",25))))</f>
        <v>12</v>
      </c>
      <c r="M9194" s="40"/>
      <c r="N9194" s="40"/>
    </row>
    <row r="9195" spans="1:14" x14ac:dyDescent="0.3">
      <c r="A9195" s="3">
        <v>46257</v>
      </c>
      <c r="B9195" s="11" t="s">
        <v>6522</v>
      </c>
      <c r="C9195" s="50" t="s">
        <v>2504</v>
      </c>
      <c r="D9195" s="40"/>
      <c r="E9195" s="90" t="s">
        <v>4720</v>
      </c>
      <c r="F9195" s="40"/>
      <c r="G9195" s="185">
        <v>600</v>
      </c>
      <c r="H9195" s="185"/>
      <c r="I9195" s="88">
        <f t="shared" si="1444"/>
        <v>2427.760000000002</v>
      </c>
      <c r="J9195" s="40"/>
      <c r="K9195" s="40"/>
      <c r="L9195" s="2">
        <f t="shared" si="1445"/>
        <v>2.4</v>
      </c>
      <c r="M9195" s="40"/>
      <c r="N9195" s="40"/>
    </row>
    <row r="9196" spans="1:14" x14ac:dyDescent="0.3">
      <c r="A9196" s="3">
        <v>46258</v>
      </c>
      <c r="B9196" s="11" t="s">
        <v>7432</v>
      </c>
      <c r="C9196" s="50" t="s">
        <v>8512</v>
      </c>
      <c r="D9196" s="40"/>
      <c r="E9196" s="90" t="s">
        <v>4720</v>
      </c>
      <c r="F9196" s="40"/>
      <c r="G9196" s="185">
        <v>500</v>
      </c>
      <c r="H9196" s="185"/>
      <c r="I9196" s="88">
        <f t="shared" ref="I9196:I9244" si="1446">I9195+G9196-H9196</f>
        <v>2927.760000000002</v>
      </c>
      <c r="J9196" s="40"/>
      <c r="K9196" s="40"/>
      <c r="L9196" s="2">
        <f t="shared" si="1445"/>
        <v>2</v>
      </c>
      <c r="M9196" s="40"/>
      <c r="N9196" s="40"/>
    </row>
    <row r="9197" spans="1:14" x14ac:dyDescent="0.3">
      <c r="A9197" s="3">
        <f t="shared" ref="A9197:A9240" si="1447">A9196</f>
        <v>46258</v>
      </c>
      <c r="B9197" s="11" t="s">
        <v>6733</v>
      </c>
      <c r="C9197" s="50" t="s">
        <v>9368</v>
      </c>
      <c r="D9197" s="182" t="s">
        <v>4787</v>
      </c>
      <c r="E9197" s="90" t="s">
        <v>4720</v>
      </c>
      <c r="F9197" s="40"/>
      <c r="G9197" s="185">
        <v>6000</v>
      </c>
      <c r="H9197" s="185"/>
      <c r="I9197" s="88">
        <f t="shared" si="1446"/>
        <v>8927.760000000002</v>
      </c>
      <c r="J9197" s="40"/>
      <c r="K9197" s="40"/>
      <c r="L9197" s="2">
        <f t="shared" si="1445"/>
        <v>20</v>
      </c>
      <c r="M9197" s="40"/>
      <c r="N9197" s="40"/>
    </row>
    <row r="9198" spans="1:14" x14ac:dyDescent="0.3">
      <c r="A9198" s="3">
        <f t="shared" si="1447"/>
        <v>46258</v>
      </c>
      <c r="B9198" s="11" t="s">
        <v>1250</v>
      </c>
      <c r="C9198" s="50" t="s">
        <v>9635</v>
      </c>
      <c r="D9198" s="40"/>
      <c r="E9198" s="90" t="s">
        <v>4720</v>
      </c>
      <c r="F9198" s="40"/>
      <c r="G9198" s="185">
        <v>1000</v>
      </c>
      <c r="H9198" s="185"/>
      <c r="I9198" s="88">
        <f t="shared" si="1446"/>
        <v>9927.760000000002</v>
      </c>
      <c r="J9198" s="40"/>
      <c r="K9198" s="40"/>
      <c r="L9198" s="2">
        <f t="shared" si="1445"/>
        <v>4</v>
      </c>
      <c r="M9198" s="40"/>
      <c r="N9198" s="40"/>
    </row>
    <row r="9199" spans="1:14" x14ac:dyDescent="0.3">
      <c r="A9199" s="3">
        <f t="shared" si="1447"/>
        <v>46258</v>
      </c>
      <c r="B9199" s="11" t="s">
        <v>9009</v>
      </c>
      <c r="C9199" s="50" t="s">
        <v>9013</v>
      </c>
      <c r="D9199" s="40"/>
      <c r="E9199" s="90" t="s">
        <v>4720</v>
      </c>
      <c r="F9199" s="40"/>
      <c r="G9199" s="185"/>
      <c r="H9199" s="185">
        <v>6800</v>
      </c>
      <c r="I9199" s="88">
        <f t="shared" si="1446"/>
        <v>3127.760000000002</v>
      </c>
      <c r="J9199" s="40"/>
      <c r="K9199" s="40"/>
      <c r="L9199" s="2">
        <f t="shared" si="1445"/>
        <v>20</v>
      </c>
      <c r="M9199" s="40"/>
      <c r="N9199" s="40"/>
    </row>
    <row r="9200" spans="1:14" x14ac:dyDescent="0.3">
      <c r="A9200" s="3">
        <f t="shared" si="1447"/>
        <v>46258</v>
      </c>
      <c r="B9200" s="11" t="s">
        <v>1250</v>
      </c>
      <c r="C9200" s="50" t="s">
        <v>6288</v>
      </c>
      <c r="D9200" s="40"/>
      <c r="E9200" s="90" t="s">
        <v>4720</v>
      </c>
      <c r="F9200" s="40"/>
      <c r="G9200" s="185">
        <v>5000</v>
      </c>
      <c r="H9200" s="185"/>
      <c r="I9200" s="88">
        <f t="shared" si="1446"/>
        <v>8127.760000000002</v>
      </c>
      <c r="J9200" s="40"/>
      <c r="K9200" s="40"/>
      <c r="L9200" s="2">
        <f t="shared" si="1445"/>
        <v>20</v>
      </c>
      <c r="M9200" s="40"/>
      <c r="N9200" s="40"/>
    </row>
    <row r="9201" spans="1:14" x14ac:dyDescent="0.3">
      <c r="A9201" s="3">
        <f t="shared" si="1447"/>
        <v>46258</v>
      </c>
      <c r="B9201" s="11" t="s">
        <v>3865</v>
      </c>
      <c r="C9201" s="50" t="s">
        <v>2890</v>
      </c>
      <c r="D9201" s="40"/>
      <c r="E9201" s="90" t="s">
        <v>4720</v>
      </c>
      <c r="F9201" s="40"/>
      <c r="G9201" s="185">
        <v>500</v>
      </c>
      <c r="H9201" s="185"/>
      <c r="I9201" s="88">
        <f t="shared" si="1446"/>
        <v>8627.760000000002</v>
      </c>
      <c r="J9201" s="40"/>
      <c r="K9201" s="40"/>
      <c r="L9201" s="2">
        <f t="shared" si="1445"/>
        <v>2</v>
      </c>
      <c r="M9201" s="40"/>
      <c r="N9201" s="40"/>
    </row>
    <row r="9202" spans="1:14" x14ac:dyDescent="0.3">
      <c r="A9202" s="3">
        <f t="shared" si="1447"/>
        <v>46258</v>
      </c>
      <c r="B9202" s="11" t="s">
        <v>6766</v>
      </c>
      <c r="C9202" s="50" t="s">
        <v>8262</v>
      </c>
      <c r="D9202" s="40"/>
      <c r="E9202" s="90" t="s">
        <v>2088</v>
      </c>
      <c r="F9202" s="40"/>
      <c r="G9202" s="185">
        <v>3000</v>
      </c>
      <c r="H9202" s="185"/>
      <c r="I9202" s="88">
        <f t="shared" si="1446"/>
        <v>11627.760000000002</v>
      </c>
      <c r="J9202" s="40"/>
      <c r="K9202" s="40"/>
      <c r="L9202" s="2">
        <f t="shared" si="1445"/>
        <v>17</v>
      </c>
      <c r="M9202" s="40"/>
      <c r="N9202" s="40"/>
    </row>
    <row r="9203" spans="1:14" x14ac:dyDescent="0.3">
      <c r="A9203" s="3">
        <v>46259</v>
      </c>
      <c r="B9203" s="11" t="s">
        <v>1170</v>
      </c>
      <c r="C9203" s="50" t="s">
        <v>8793</v>
      </c>
      <c r="D9203" s="40"/>
      <c r="E9203" s="90" t="s">
        <v>4720</v>
      </c>
      <c r="F9203" s="40"/>
      <c r="G9203" s="185">
        <v>3050</v>
      </c>
      <c r="H9203" s="185"/>
      <c r="I9203" s="88">
        <f t="shared" si="1446"/>
        <v>14677.760000000002</v>
      </c>
      <c r="J9203" s="40"/>
      <c r="K9203" s="40"/>
      <c r="L9203" s="2">
        <f t="shared" si="1445"/>
        <v>12.200000000000001</v>
      </c>
      <c r="M9203" s="40"/>
      <c r="N9203" s="40"/>
    </row>
    <row r="9204" spans="1:14" x14ac:dyDescent="0.3">
      <c r="A9204" s="3">
        <v>46259</v>
      </c>
      <c r="B9204" s="11" t="s">
        <v>2490</v>
      </c>
      <c r="C9204" s="50" t="s">
        <v>2857</v>
      </c>
      <c r="D9204" s="40"/>
      <c r="E9204" s="90" t="s">
        <v>8332</v>
      </c>
      <c r="F9204" s="40"/>
      <c r="G9204" s="185">
        <v>0</v>
      </c>
      <c r="H9204" s="185">
        <v>14000</v>
      </c>
      <c r="I9204" s="88">
        <f t="shared" si="1446"/>
        <v>677.76000000000204</v>
      </c>
      <c r="J9204" s="40"/>
      <c r="K9204" s="40"/>
      <c r="L9204" s="2">
        <f t="shared" si="1445"/>
        <v>0</v>
      </c>
      <c r="M9204" s="40"/>
      <c r="N9204" s="40"/>
    </row>
    <row r="9205" spans="1:14" x14ac:dyDescent="0.3">
      <c r="A9205" s="3">
        <v>46260</v>
      </c>
      <c r="B9205" s="11" t="s">
        <v>6582</v>
      </c>
      <c r="C9205" s="50" t="s">
        <v>1128</v>
      </c>
      <c r="D9205" s="40"/>
      <c r="E9205" s="90" t="s">
        <v>2088</v>
      </c>
      <c r="F9205" s="40"/>
      <c r="G9205" s="185">
        <v>0</v>
      </c>
      <c r="H9205" s="185"/>
      <c r="I9205" s="88">
        <f t="shared" si="1446"/>
        <v>677.76000000000204</v>
      </c>
      <c r="J9205" s="40"/>
      <c r="K9205" s="40"/>
      <c r="L9205" s="2">
        <f t="shared" si="1445"/>
        <v>5</v>
      </c>
      <c r="M9205" s="40"/>
      <c r="N9205" s="40"/>
    </row>
    <row r="9206" spans="1:14" x14ac:dyDescent="0.3">
      <c r="A9206" s="3">
        <f t="shared" si="1447"/>
        <v>46260</v>
      </c>
      <c r="B9206" s="11" t="s">
        <v>6582</v>
      </c>
      <c r="C9206" s="50" t="s">
        <v>1128</v>
      </c>
      <c r="D9206" s="40"/>
      <c r="E9206" s="90" t="s">
        <v>4720</v>
      </c>
      <c r="F9206" s="40"/>
      <c r="G9206" s="185">
        <v>2500</v>
      </c>
      <c r="H9206" s="185"/>
      <c r="I9206" s="88">
        <f t="shared" si="1446"/>
        <v>3177.760000000002</v>
      </c>
      <c r="J9206" s="40"/>
      <c r="K9206" s="40"/>
      <c r="L9206" s="2">
        <f t="shared" si="1445"/>
        <v>10</v>
      </c>
      <c r="M9206" s="40"/>
      <c r="N9206" s="40"/>
    </row>
    <row r="9207" spans="1:14" x14ac:dyDescent="0.3">
      <c r="A9207" s="3">
        <f t="shared" si="1447"/>
        <v>46260</v>
      </c>
      <c r="B9207" s="11" t="s">
        <v>6582</v>
      </c>
      <c r="C9207" s="50" t="s">
        <v>1128</v>
      </c>
      <c r="D9207" s="40"/>
      <c r="E9207" s="90" t="s">
        <v>2088</v>
      </c>
      <c r="F9207" s="40"/>
      <c r="G9207" s="185">
        <v>0</v>
      </c>
      <c r="H9207" s="185"/>
      <c r="I9207" s="88">
        <f t="shared" si="1446"/>
        <v>3177.760000000002</v>
      </c>
      <c r="J9207" s="40"/>
      <c r="K9207" s="40"/>
      <c r="L9207" s="2">
        <f t="shared" si="1445"/>
        <v>5</v>
      </c>
      <c r="M9207" s="40"/>
      <c r="N9207" s="40"/>
    </row>
    <row r="9208" spans="1:14" x14ac:dyDescent="0.3">
      <c r="A9208" s="3">
        <f t="shared" si="1447"/>
        <v>46260</v>
      </c>
      <c r="B9208" s="11" t="s">
        <v>3877</v>
      </c>
      <c r="C9208" s="50" t="s">
        <v>9163</v>
      </c>
      <c r="D9208" s="40"/>
      <c r="E9208" s="90" t="s">
        <v>4720</v>
      </c>
      <c r="F9208" s="40"/>
      <c r="G9208" s="185">
        <v>500</v>
      </c>
      <c r="H9208" s="185"/>
      <c r="I9208" s="88">
        <f t="shared" si="1446"/>
        <v>3677.760000000002</v>
      </c>
      <c r="J9208" s="40"/>
      <c r="K9208" s="40"/>
      <c r="L9208" s="2">
        <f t="shared" si="1445"/>
        <v>2</v>
      </c>
      <c r="M9208" s="40"/>
      <c r="N9208" s="40"/>
    </row>
    <row r="9209" spans="1:14" x14ac:dyDescent="0.3">
      <c r="A9209" s="3">
        <f t="shared" si="1447"/>
        <v>46260</v>
      </c>
      <c r="B9209" s="11" t="s">
        <v>9474</v>
      </c>
      <c r="C9209" s="50" t="s">
        <v>9475</v>
      </c>
      <c r="D9209" s="40"/>
      <c r="E9209" s="90" t="s">
        <v>4720</v>
      </c>
      <c r="F9209" s="40"/>
      <c r="G9209" s="185"/>
      <c r="H9209" s="185">
        <v>3000</v>
      </c>
      <c r="I9209" s="88">
        <f t="shared" si="1446"/>
        <v>677.76000000000204</v>
      </c>
      <c r="J9209" s="40"/>
      <c r="K9209" s="40"/>
      <c r="L9209" s="2">
        <f t="shared" si="1445"/>
        <v>12</v>
      </c>
      <c r="M9209" s="40"/>
      <c r="N9209" s="40"/>
    </row>
    <row r="9210" spans="1:14" x14ac:dyDescent="0.3">
      <c r="A9210" s="3">
        <f t="shared" si="1447"/>
        <v>46260</v>
      </c>
      <c r="B9210" s="11" t="s">
        <v>6733</v>
      </c>
      <c r="C9210" s="50" t="s">
        <v>9368</v>
      </c>
      <c r="D9210" s="40"/>
      <c r="E9210" s="90" t="s">
        <v>4720</v>
      </c>
      <c r="F9210" s="40"/>
      <c r="G9210" s="185">
        <v>900</v>
      </c>
      <c r="H9210" s="185"/>
      <c r="I9210" s="88">
        <f t="shared" si="1446"/>
        <v>1577.760000000002</v>
      </c>
      <c r="J9210" s="40"/>
      <c r="K9210" s="40"/>
      <c r="L9210" s="2">
        <f t="shared" si="1445"/>
        <v>3.6</v>
      </c>
      <c r="M9210" s="40"/>
      <c r="N9210" s="40"/>
    </row>
    <row r="9211" spans="1:14" x14ac:dyDescent="0.3">
      <c r="A9211" s="3">
        <v>46261</v>
      </c>
      <c r="B9211" s="11" t="s">
        <v>5355</v>
      </c>
      <c r="C9211" s="50" t="s">
        <v>6995</v>
      </c>
      <c r="D9211" s="40"/>
      <c r="E9211" s="90" t="s">
        <v>2088</v>
      </c>
      <c r="F9211" s="40"/>
      <c r="G9211" s="185">
        <v>0</v>
      </c>
      <c r="H9211" s="185"/>
      <c r="I9211" s="88">
        <f t="shared" si="1446"/>
        <v>1577.760000000002</v>
      </c>
      <c r="J9211" s="40"/>
      <c r="K9211" s="40"/>
      <c r="L9211" s="2">
        <f t="shared" si="1445"/>
        <v>5</v>
      </c>
      <c r="M9211" s="40"/>
      <c r="N9211" s="40"/>
    </row>
    <row r="9212" spans="1:14" x14ac:dyDescent="0.3">
      <c r="A9212" s="3">
        <f t="shared" si="1447"/>
        <v>46261</v>
      </c>
      <c r="B9212" s="11" t="s">
        <v>5355</v>
      </c>
      <c r="C9212" s="50" t="s">
        <v>6995</v>
      </c>
      <c r="D9212" s="40"/>
      <c r="E9212" s="90" t="s">
        <v>4720</v>
      </c>
      <c r="F9212" s="40"/>
      <c r="G9212" s="185">
        <v>1500</v>
      </c>
      <c r="H9212" s="185"/>
      <c r="I9212" s="88">
        <f t="shared" si="1446"/>
        <v>3077.760000000002</v>
      </c>
      <c r="J9212" s="40"/>
      <c r="K9212" s="40"/>
      <c r="L9212" s="2">
        <f t="shared" si="1445"/>
        <v>6</v>
      </c>
      <c r="M9212" s="40"/>
      <c r="N9212" s="40"/>
    </row>
    <row r="9213" spans="1:14" x14ac:dyDescent="0.3">
      <c r="A9213" s="3">
        <f t="shared" si="1447"/>
        <v>46261</v>
      </c>
      <c r="B9213" s="11" t="s">
        <v>5355</v>
      </c>
      <c r="C9213" s="50" t="s">
        <v>6995</v>
      </c>
      <c r="D9213" s="40"/>
      <c r="E9213" s="90" t="s">
        <v>2088</v>
      </c>
      <c r="F9213" s="40"/>
      <c r="G9213" s="185">
        <v>0</v>
      </c>
      <c r="H9213" s="185"/>
      <c r="I9213" s="88">
        <f t="shared" si="1446"/>
        <v>3077.760000000002</v>
      </c>
      <c r="J9213" s="40"/>
      <c r="K9213" s="40"/>
      <c r="L9213" s="2">
        <f t="shared" si="1445"/>
        <v>5</v>
      </c>
      <c r="M9213" s="40"/>
      <c r="N9213" s="40"/>
    </row>
    <row r="9214" spans="1:14" x14ac:dyDescent="0.3">
      <c r="A9214" s="3">
        <f t="shared" si="1447"/>
        <v>46261</v>
      </c>
      <c r="B9214" s="11" t="s">
        <v>8674</v>
      </c>
      <c r="C9214" s="50" t="s">
        <v>10270</v>
      </c>
      <c r="D9214" s="40"/>
      <c r="E9214" s="90" t="s">
        <v>4720</v>
      </c>
      <c r="F9214" s="40"/>
      <c r="G9214" s="185">
        <v>700</v>
      </c>
      <c r="H9214" s="185"/>
      <c r="I9214" s="88">
        <f t="shared" si="1446"/>
        <v>3777.760000000002</v>
      </c>
      <c r="J9214" s="40"/>
      <c r="K9214" s="40"/>
      <c r="L9214" s="2">
        <f t="shared" si="1445"/>
        <v>2.8000000000000003</v>
      </c>
      <c r="M9214" s="40"/>
      <c r="N9214" s="40"/>
    </row>
    <row r="9215" spans="1:14" x14ac:dyDescent="0.3">
      <c r="A9215" s="3">
        <f t="shared" si="1447"/>
        <v>46261</v>
      </c>
      <c r="B9215" s="11" t="s">
        <v>9140</v>
      </c>
      <c r="C9215" s="50" t="s">
        <v>9609</v>
      </c>
      <c r="D9215" s="40"/>
      <c r="E9215" s="90" t="s">
        <v>4720</v>
      </c>
      <c r="F9215" s="40"/>
      <c r="G9215" s="185">
        <v>5000</v>
      </c>
      <c r="H9215" s="185"/>
      <c r="I9215" s="88">
        <f t="shared" si="1446"/>
        <v>8777.760000000002</v>
      </c>
      <c r="J9215" s="40"/>
      <c r="K9215" s="40"/>
      <c r="L9215" s="2">
        <f t="shared" si="1445"/>
        <v>20</v>
      </c>
      <c r="M9215" s="40"/>
      <c r="N9215" s="40"/>
    </row>
    <row r="9216" spans="1:14" x14ac:dyDescent="0.3">
      <c r="A9216" s="3">
        <f t="shared" si="1447"/>
        <v>46261</v>
      </c>
      <c r="B9216" s="11" t="s">
        <v>2448</v>
      </c>
      <c r="C9216" s="50" t="s">
        <v>4108</v>
      </c>
      <c r="D9216" s="40"/>
      <c r="E9216" s="90" t="s">
        <v>4720</v>
      </c>
      <c r="F9216" s="40"/>
      <c r="G9216" s="185"/>
      <c r="H9216" s="185">
        <v>5000</v>
      </c>
      <c r="I9216" s="88">
        <f t="shared" si="1446"/>
        <v>3777.760000000002</v>
      </c>
      <c r="J9216" s="40"/>
      <c r="K9216" s="40"/>
      <c r="L9216" s="2">
        <f t="shared" si="1445"/>
        <v>20</v>
      </c>
      <c r="M9216" s="40"/>
      <c r="N9216" s="40"/>
    </row>
    <row r="9217" spans="1:14" x14ac:dyDescent="0.3">
      <c r="A9217" s="3">
        <f t="shared" si="1447"/>
        <v>46261</v>
      </c>
      <c r="B9217" s="11" t="s">
        <v>7060</v>
      </c>
      <c r="C9217" s="50" t="s">
        <v>7061</v>
      </c>
      <c r="D9217" s="40"/>
      <c r="E9217" s="90" t="s">
        <v>2088</v>
      </c>
      <c r="F9217" s="40"/>
      <c r="G9217" s="185">
        <v>2500</v>
      </c>
      <c r="H9217" s="185"/>
      <c r="I9217" s="88">
        <f t="shared" si="1446"/>
        <v>6277.760000000002</v>
      </c>
      <c r="J9217" s="40"/>
      <c r="K9217" s="40"/>
      <c r="L9217" s="2">
        <f t="shared" si="1445"/>
        <v>15</v>
      </c>
      <c r="M9217" s="40"/>
      <c r="N9217" s="40"/>
    </row>
    <row r="9218" spans="1:14" x14ac:dyDescent="0.3">
      <c r="A9218" s="3">
        <f t="shared" si="1447"/>
        <v>46261</v>
      </c>
      <c r="B9218" s="11" t="s">
        <v>8465</v>
      </c>
      <c r="C9218" s="50" t="s">
        <v>9096</v>
      </c>
      <c r="D9218" s="40"/>
      <c r="E9218" s="90" t="s">
        <v>4720</v>
      </c>
      <c r="F9218" s="40"/>
      <c r="G9218" s="185">
        <v>2000</v>
      </c>
      <c r="H9218" s="185"/>
      <c r="I9218" s="88">
        <f t="shared" si="1446"/>
        <v>8277.760000000002</v>
      </c>
      <c r="J9218" s="40"/>
      <c r="K9218" s="40"/>
      <c r="L9218" s="2">
        <f t="shared" si="1445"/>
        <v>8</v>
      </c>
      <c r="M9218" s="40"/>
      <c r="N9218" s="40"/>
    </row>
    <row r="9219" spans="1:14" x14ac:dyDescent="0.3">
      <c r="A9219" s="3">
        <f t="shared" si="1447"/>
        <v>46261</v>
      </c>
      <c r="B9219" s="11" t="s">
        <v>9474</v>
      </c>
      <c r="C9219" s="50" t="s">
        <v>9475</v>
      </c>
      <c r="D9219" s="40"/>
      <c r="E9219" s="90" t="s">
        <v>4720</v>
      </c>
      <c r="F9219" s="40"/>
      <c r="G9219" s="185"/>
      <c r="H9219" s="185">
        <v>2500</v>
      </c>
      <c r="I9219" s="88">
        <f t="shared" si="1446"/>
        <v>5777.760000000002</v>
      </c>
      <c r="J9219" s="40"/>
      <c r="K9219" s="40"/>
      <c r="L9219" s="2">
        <f t="shared" si="1445"/>
        <v>10</v>
      </c>
      <c r="M9219" s="40"/>
      <c r="N9219" s="40"/>
    </row>
    <row r="9220" spans="1:14" x14ac:dyDescent="0.3">
      <c r="A9220" s="3">
        <f t="shared" si="1447"/>
        <v>46261</v>
      </c>
      <c r="B9220" s="11" t="s">
        <v>1250</v>
      </c>
      <c r="C9220" s="50" t="s">
        <v>9405</v>
      </c>
      <c r="D9220" s="40"/>
      <c r="E9220" s="90" t="s">
        <v>4720</v>
      </c>
      <c r="F9220" s="40"/>
      <c r="G9220" s="185">
        <v>1000</v>
      </c>
      <c r="H9220" s="185"/>
      <c r="I9220" s="88">
        <f t="shared" si="1446"/>
        <v>6777.760000000002</v>
      </c>
      <c r="J9220" s="40"/>
      <c r="K9220" s="40"/>
      <c r="L9220" s="2">
        <f t="shared" si="1445"/>
        <v>4</v>
      </c>
      <c r="M9220" s="40"/>
      <c r="N9220" s="40"/>
    </row>
    <row r="9221" spans="1:14" x14ac:dyDescent="0.3">
      <c r="A9221" s="3">
        <f t="shared" si="1447"/>
        <v>46261</v>
      </c>
      <c r="B9221" s="11" t="s">
        <v>7724</v>
      </c>
      <c r="C9221" s="50" t="s">
        <v>10644</v>
      </c>
      <c r="D9221" s="40"/>
      <c r="E9221" s="90" t="s">
        <v>2088</v>
      </c>
      <c r="F9221" s="40"/>
      <c r="G9221" s="185">
        <v>2000</v>
      </c>
      <c r="H9221" s="185"/>
      <c r="I9221" s="88">
        <f t="shared" si="1446"/>
        <v>8777.760000000002</v>
      </c>
      <c r="J9221" s="40"/>
      <c r="K9221" s="40"/>
      <c r="L9221" s="2">
        <f t="shared" si="1445"/>
        <v>13</v>
      </c>
      <c r="M9221" s="40"/>
      <c r="N9221" s="40"/>
    </row>
    <row r="9222" spans="1:14" x14ac:dyDescent="0.3">
      <c r="A9222" s="3">
        <f t="shared" si="1447"/>
        <v>46261</v>
      </c>
      <c r="B9222" s="11" t="s">
        <v>10334</v>
      </c>
      <c r="C9222" s="50" t="s">
        <v>10423</v>
      </c>
      <c r="D9222" s="40"/>
      <c r="E9222" s="90" t="s">
        <v>4720</v>
      </c>
      <c r="F9222" s="40"/>
      <c r="G9222" s="185"/>
      <c r="H9222" s="185">
        <v>8000</v>
      </c>
      <c r="I9222" s="88">
        <f t="shared" si="1446"/>
        <v>777.76000000000204</v>
      </c>
      <c r="J9222" s="40"/>
      <c r="K9222" s="40"/>
      <c r="L9222" s="2">
        <f t="shared" si="1445"/>
        <v>20</v>
      </c>
      <c r="M9222" s="40"/>
      <c r="N9222" s="40"/>
    </row>
    <row r="9223" spans="1:14" x14ac:dyDescent="0.3">
      <c r="A9223" s="3">
        <v>46262</v>
      </c>
      <c r="B9223" s="11" t="s">
        <v>4591</v>
      </c>
      <c r="C9223" s="50" t="s">
        <v>11040</v>
      </c>
      <c r="D9223" s="40"/>
      <c r="E9223" s="90" t="s">
        <v>4720</v>
      </c>
      <c r="F9223" s="40"/>
      <c r="G9223" s="185">
        <v>4000</v>
      </c>
      <c r="H9223" s="185"/>
      <c r="I9223" s="88">
        <f t="shared" si="1446"/>
        <v>4777.760000000002</v>
      </c>
      <c r="J9223" s="40"/>
      <c r="K9223" s="40"/>
      <c r="L9223" s="2">
        <f t="shared" si="1445"/>
        <v>16</v>
      </c>
      <c r="M9223" s="40"/>
      <c r="N9223" s="40"/>
    </row>
    <row r="9224" spans="1:14" x14ac:dyDescent="0.3">
      <c r="A9224" s="3">
        <f t="shared" si="1447"/>
        <v>46262</v>
      </c>
      <c r="B9224" s="11" t="s">
        <v>10334</v>
      </c>
      <c r="C9224" s="50" t="s">
        <v>11039</v>
      </c>
      <c r="D9224" s="40"/>
      <c r="E9224" s="90" t="s">
        <v>4720</v>
      </c>
      <c r="F9224" s="40"/>
      <c r="G9224" s="185"/>
      <c r="H9224" s="185">
        <v>2000</v>
      </c>
      <c r="I9224" s="88">
        <f t="shared" si="1446"/>
        <v>2777.760000000002</v>
      </c>
      <c r="J9224" s="40"/>
      <c r="K9224" s="40"/>
      <c r="L9224" s="2">
        <f t="shared" si="1445"/>
        <v>8</v>
      </c>
      <c r="M9224" s="40"/>
      <c r="N9224" s="40"/>
    </row>
    <row r="9225" spans="1:14" x14ac:dyDescent="0.3">
      <c r="A9225" s="3">
        <f t="shared" si="1447"/>
        <v>46262</v>
      </c>
      <c r="B9225" s="11" t="s">
        <v>3612</v>
      </c>
      <c r="C9225" s="50" t="s">
        <v>10365</v>
      </c>
      <c r="D9225" s="40"/>
      <c r="E9225" s="90" t="s">
        <v>4720</v>
      </c>
      <c r="F9225" s="40"/>
      <c r="G9225" s="185">
        <v>5000</v>
      </c>
      <c r="H9225" s="185"/>
      <c r="I9225" s="88">
        <f t="shared" si="1446"/>
        <v>7777.760000000002</v>
      </c>
      <c r="J9225" s="40"/>
      <c r="K9225" s="40"/>
      <c r="L9225" s="2">
        <f t="shared" si="1445"/>
        <v>20</v>
      </c>
      <c r="M9225" s="40"/>
      <c r="N9225" s="40"/>
    </row>
    <row r="9226" spans="1:14" x14ac:dyDescent="0.3">
      <c r="A9226" s="3">
        <v>46263</v>
      </c>
      <c r="B9226" s="11" t="s">
        <v>6486</v>
      </c>
      <c r="C9226" s="50" t="s">
        <v>8841</v>
      </c>
      <c r="D9226" s="40"/>
      <c r="E9226" s="90" t="s">
        <v>2088</v>
      </c>
      <c r="F9226" s="40"/>
      <c r="G9226" s="185">
        <v>5000</v>
      </c>
      <c r="H9226" s="185"/>
      <c r="I9226" s="88">
        <f t="shared" si="1446"/>
        <v>12777.760000000002</v>
      </c>
      <c r="J9226" s="40"/>
      <c r="K9226" s="40"/>
      <c r="L9226" s="2">
        <f t="shared" si="1445"/>
        <v>25</v>
      </c>
      <c r="M9226" s="40"/>
      <c r="N9226" s="40"/>
    </row>
    <row r="9227" spans="1:14" x14ac:dyDescent="0.3">
      <c r="A9227" s="3">
        <f t="shared" si="1447"/>
        <v>46263</v>
      </c>
      <c r="B9227" s="11" t="s">
        <v>1250</v>
      </c>
      <c r="C9227" s="50" t="s">
        <v>7681</v>
      </c>
      <c r="D9227" s="40"/>
      <c r="E9227" s="90" t="s">
        <v>4720</v>
      </c>
      <c r="F9227" s="40"/>
      <c r="G9227" s="185">
        <v>1000</v>
      </c>
      <c r="H9227" s="185"/>
      <c r="I9227" s="88">
        <f t="shared" si="1446"/>
        <v>13777.760000000002</v>
      </c>
      <c r="J9227" s="40"/>
      <c r="K9227" s="40"/>
      <c r="L9227" s="2">
        <f t="shared" si="1445"/>
        <v>4</v>
      </c>
      <c r="M9227" s="40"/>
      <c r="N9227" s="40"/>
    </row>
    <row r="9228" spans="1:14" x14ac:dyDescent="0.3">
      <c r="A9228" s="3">
        <f t="shared" si="1447"/>
        <v>46263</v>
      </c>
      <c r="B9228" s="11" t="s">
        <v>3232</v>
      </c>
      <c r="C9228" s="50" t="s">
        <v>8645</v>
      </c>
      <c r="D9228" s="40"/>
      <c r="E9228" s="90" t="s">
        <v>4720</v>
      </c>
      <c r="F9228" s="40"/>
      <c r="G9228" s="185">
        <v>5000</v>
      </c>
      <c r="H9228" s="185"/>
      <c r="I9228" s="88">
        <f t="shared" si="1446"/>
        <v>18777.760000000002</v>
      </c>
      <c r="J9228" s="40"/>
      <c r="K9228" s="40"/>
      <c r="L9228" s="2">
        <f t="shared" si="1445"/>
        <v>20</v>
      </c>
      <c r="M9228" s="40"/>
      <c r="N9228" s="40"/>
    </row>
    <row r="9229" spans="1:14" x14ac:dyDescent="0.3">
      <c r="A9229" s="3">
        <f t="shared" si="1447"/>
        <v>46263</v>
      </c>
      <c r="B9229" s="11" t="s">
        <v>2490</v>
      </c>
      <c r="C9229" s="50" t="s">
        <v>2857</v>
      </c>
      <c r="D9229" s="40"/>
      <c r="E9229" s="90" t="s">
        <v>4720</v>
      </c>
      <c r="F9229" s="40"/>
      <c r="G9229" s="185"/>
      <c r="H9229" s="185">
        <v>18000</v>
      </c>
      <c r="I9229" s="88">
        <f t="shared" si="1446"/>
        <v>777.76000000000204</v>
      </c>
      <c r="J9229" s="40"/>
      <c r="K9229" s="40"/>
      <c r="L9229" s="2">
        <f t="shared" si="1445"/>
        <v>20</v>
      </c>
      <c r="M9229" s="40"/>
      <c r="N9229" s="40"/>
    </row>
    <row r="9230" spans="1:14" x14ac:dyDescent="0.3">
      <c r="A9230" s="3">
        <f t="shared" si="1447"/>
        <v>46263</v>
      </c>
      <c r="B9230" s="11" t="s">
        <v>8206</v>
      </c>
      <c r="C9230" s="50" t="s">
        <v>8207</v>
      </c>
      <c r="D9230" s="40"/>
      <c r="E9230" s="90" t="s">
        <v>2088</v>
      </c>
      <c r="F9230" s="40"/>
      <c r="G9230" s="185">
        <v>1000</v>
      </c>
      <c r="H9230" s="185"/>
      <c r="I9230" s="88">
        <f t="shared" si="1446"/>
        <v>1777.760000000002</v>
      </c>
      <c r="J9230" s="40"/>
      <c r="K9230" s="40"/>
      <c r="L9230" s="2">
        <f t="shared" si="1445"/>
        <v>9</v>
      </c>
      <c r="M9230" s="40"/>
      <c r="N9230" s="40"/>
    </row>
    <row r="9231" spans="1:14" x14ac:dyDescent="0.3">
      <c r="A9231" s="3">
        <f t="shared" si="1447"/>
        <v>46263</v>
      </c>
      <c r="B9231" s="11" t="s">
        <v>9396</v>
      </c>
      <c r="C9231" s="50" t="s">
        <v>9397</v>
      </c>
      <c r="D9231" s="40"/>
      <c r="E9231" s="90" t="s">
        <v>4720</v>
      </c>
      <c r="F9231" s="40"/>
      <c r="G9231" s="185">
        <v>2000</v>
      </c>
      <c r="H9231" s="185"/>
      <c r="I9231" s="88">
        <f t="shared" si="1446"/>
        <v>3777.760000000002</v>
      </c>
      <c r="J9231" s="40"/>
      <c r="K9231" s="40"/>
      <c r="L9231" s="2">
        <f t="shared" si="1445"/>
        <v>8</v>
      </c>
      <c r="M9231" s="40"/>
      <c r="N9231" s="40"/>
    </row>
    <row r="9232" spans="1:14" x14ac:dyDescent="0.3">
      <c r="A9232" s="3">
        <f t="shared" si="1447"/>
        <v>46263</v>
      </c>
      <c r="B9232" s="11" t="s">
        <v>6940</v>
      </c>
      <c r="C9232" s="50" t="s">
        <v>7470</v>
      </c>
      <c r="D9232" s="40"/>
      <c r="E9232" s="90" t="s">
        <v>4720</v>
      </c>
      <c r="F9232" s="40"/>
      <c r="G9232" s="185">
        <v>2400</v>
      </c>
      <c r="H9232" s="185"/>
      <c r="I9232" s="88">
        <f t="shared" si="1446"/>
        <v>6177.760000000002</v>
      </c>
      <c r="J9232" s="40"/>
      <c r="K9232" s="40"/>
      <c r="L9232" s="2">
        <f t="shared" si="1445"/>
        <v>9.6</v>
      </c>
      <c r="M9232" s="40"/>
      <c r="N9232" s="40"/>
    </row>
    <row r="9233" spans="1:14" x14ac:dyDescent="0.3">
      <c r="A9233" s="3">
        <f t="shared" si="1447"/>
        <v>46263</v>
      </c>
      <c r="B9233" s="11" t="s">
        <v>8247</v>
      </c>
      <c r="C9233" s="50" t="s">
        <v>9580</v>
      </c>
      <c r="D9233" s="40"/>
      <c r="E9233" s="90" t="s">
        <v>2088</v>
      </c>
      <c r="F9233" s="40"/>
      <c r="G9233" s="185">
        <v>5000</v>
      </c>
      <c r="H9233" s="185"/>
      <c r="I9233" s="88">
        <f t="shared" si="1446"/>
        <v>11177.760000000002</v>
      </c>
      <c r="J9233" s="40"/>
      <c r="K9233" s="40"/>
      <c r="L9233" s="2">
        <f t="shared" si="1445"/>
        <v>25</v>
      </c>
      <c r="M9233" s="40"/>
      <c r="N9233" s="40"/>
    </row>
    <row r="9234" spans="1:14" x14ac:dyDescent="0.3">
      <c r="A9234" s="3">
        <f t="shared" si="1447"/>
        <v>46263</v>
      </c>
      <c r="B9234" s="11" t="s">
        <v>7471</v>
      </c>
      <c r="C9234" s="50" t="s">
        <v>11041</v>
      </c>
      <c r="D9234" s="40"/>
      <c r="E9234" s="90" t="s">
        <v>2088</v>
      </c>
      <c r="F9234" s="40"/>
      <c r="G9234" s="185">
        <v>3000</v>
      </c>
      <c r="H9234" s="185"/>
      <c r="I9234" s="88">
        <f t="shared" si="1446"/>
        <v>14177.760000000002</v>
      </c>
      <c r="J9234" s="40"/>
      <c r="K9234" s="40"/>
      <c r="L9234" s="2">
        <f t="shared" si="1445"/>
        <v>17</v>
      </c>
      <c r="M9234" s="40"/>
      <c r="N9234" s="40"/>
    </row>
    <row r="9235" spans="1:14" x14ac:dyDescent="0.3">
      <c r="A9235" s="3">
        <f t="shared" si="1447"/>
        <v>46263</v>
      </c>
      <c r="B9235" s="11" t="s">
        <v>6906</v>
      </c>
      <c r="C9235" s="50" t="s">
        <v>8689</v>
      </c>
      <c r="D9235" s="40"/>
      <c r="E9235" s="90" t="s">
        <v>4720</v>
      </c>
      <c r="F9235" s="40"/>
      <c r="G9235" s="185">
        <v>3000</v>
      </c>
      <c r="H9235" s="185"/>
      <c r="I9235" s="88">
        <f t="shared" si="1446"/>
        <v>17177.760000000002</v>
      </c>
      <c r="J9235" s="40"/>
      <c r="K9235" s="40"/>
      <c r="L9235" s="2">
        <f t="shared" si="1445"/>
        <v>12</v>
      </c>
      <c r="M9235" s="40"/>
      <c r="N9235" s="40"/>
    </row>
    <row r="9236" spans="1:14" x14ac:dyDescent="0.3">
      <c r="A9236" s="3">
        <f t="shared" si="1447"/>
        <v>46263</v>
      </c>
      <c r="B9236" s="11" t="s">
        <v>11043</v>
      </c>
      <c r="C9236" s="7" t="s">
        <v>11044</v>
      </c>
      <c r="D9236" s="40"/>
      <c r="E9236" s="90" t="s">
        <v>14</v>
      </c>
      <c r="F9236" s="40"/>
      <c r="G9236" s="185"/>
      <c r="H9236" s="185">
        <v>500</v>
      </c>
      <c r="I9236" s="88">
        <f t="shared" si="1446"/>
        <v>16677.760000000002</v>
      </c>
      <c r="J9236" s="40"/>
      <c r="K9236" s="40"/>
      <c r="L9236" s="2">
        <f t="shared" si="1445"/>
        <v>17</v>
      </c>
      <c r="M9236" s="40"/>
      <c r="N9236" s="40"/>
    </row>
    <row r="9237" spans="1:14" x14ac:dyDescent="0.3">
      <c r="A9237" s="3">
        <f t="shared" si="1447"/>
        <v>46263</v>
      </c>
      <c r="B9237" s="11" t="s">
        <v>5937</v>
      </c>
      <c r="C9237" s="7" t="s">
        <v>5938</v>
      </c>
      <c r="D9237" s="40"/>
      <c r="E9237" s="90" t="s">
        <v>4720</v>
      </c>
      <c r="F9237" s="40"/>
      <c r="G9237" s="185"/>
      <c r="H9237" s="185">
        <v>500</v>
      </c>
      <c r="I9237" s="88">
        <f t="shared" si="1446"/>
        <v>16177.760000000002</v>
      </c>
      <c r="J9237" s="40"/>
      <c r="K9237" s="40"/>
      <c r="L9237" s="2">
        <f t="shared" si="1445"/>
        <v>2</v>
      </c>
      <c r="M9237" s="40"/>
      <c r="N9237" s="40"/>
    </row>
    <row r="9238" spans="1:14" x14ac:dyDescent="0.3">
      <c r="A9238" s="3">
        <f t="shared" si="1447"/>
        <v>46263</v>
      </c>
      <c r="B9238" s="11" t="s">
        <v>2490</v>
      </c>
      <c r="C9238" s="50" t="s">
        <v>2857</v>
      </c>
      <c r="D9238" s="40"/>
      <c r="E9238" s="90" t="s">
        <v>8332</v>
      </c>
      <c r="F9238" s="40"/>
      <c r="G9238" s="185"/>
      <c r="H9238" s="185">
        <v>15000</v>
      </c>
      <c r="I9238" s="88">
        <f t="shared" si="1446"/>
        <v>1177.760000000002</v>
      </c>
      <c r="J9238" s="40"/>
      <c r="K9238" s="40"/>
      <c r="L9238" s="2">
        <f t="shared" si="1445"/>
        <v>0</v>
      </c>
      <c r="M9238" s="40"/>
      <c r="N9238" s="40"/>
    </row>
    <row r="9239" spans="1:14" x14ac:dyDescent="0.3">
      <c r="A9239" s="3">
        <f t="shared" si="1447"/>
        <v>46263</v>
      </c>
      <c r="B9239" s="11" t="s">
        <v>1250</v>
      </c>
      <c r="C9239" s="50" t="s">
        <v>7459</v>
      </c>
      <c r="D9239" s="40"/>
      <c r="E9239" s="90" t="s">
        <v>4720</v>
      </c>
      <c r="F9239" s="40"/>
      <c r="G9239" s="185">
        <v>1000</v>
      </c>
      <c r="H9239" s="185"/>
      <c r="I9239" s="88">
        <f t="shared" si="1446"/>
        <v>2177.760000000002</v>
      </c>
      <c r="J9239" s="40"/>
      <c r="K9239" s="40"/>
      <c r="L9239" s="2">
        <f t="shared" si="1445"/>
        <v>4</v>
      </c>
      <c r="M9239" s="40"/>
      <c r="N9239" s="40"/>
    </row>
    <row r="9240" spans="1:14" x14ac:dyDescent="0.3">
      <c r="A9240" s="3">
        <f t="shared" si="1447"/>
        <v>46263</v>
      </c>
      <c r="B9240" s="11" t="s">
        <v>5508</v>
      </c>
      <c r="C9240" s="50" t="s">
        <v>6157</v>
      </c>
      <c r="D9240" s="40"/>
      <c r="E9240" s="90" t="s">
        <v>2088</v>
      </c>
      <c r="F9240" s="40"/>
      <c r="G9240" s="185">
        <v>5000</v>
      </c>
      <c r="H9240" s="185"/>
      <c r="I9240" s="88">
        <f t="shared" si="1446"/>
        <v>7177.760000000002</v>
      </c>
      <c r="J9240" s="40"/>
      <c r="K9240" s="40"/>
      <c r="L9240" s="2">
        <f t="shared" si="1445"/>
        <v>25</v>
      </c>
      <c r="M9240" s="40"/>
      <c r="N9240" s="40"/>
    </row>
    <row r="9241" spans="1:14" x14ac:dyDescent="0.3">
      <c r="A9241" s="3">
        <v>46264</v>
      </c>
      <c r="B9241" s="11" t="s">
        <v>8955</v>
      </c>
      <c r="C9241" s="50" t="s">
        <v>191</v>
      </c>
      <c r="D9241" s="40"/>
      <c r="E9241" s="90" t="s">
        <v>2088</v>
      </c>
      <c r="F9241" s="40"/>
      <c r="G9241" s="185">
        <v>2500</v>
      </c>
      <c r="H9241" s="185"/>
      <c r="I9241" s="88">
        <f t="shared" si="1446"/>
        <v>9677.760000000002</v>
      </c>
      <c r="J9241" s="40"/>
      <c r="K9241" s="40"/>
      <c r="L9241" s="2">
        <f t="shared" si="1445"/>
        <v>15</v>
      </c>
      <c r="M9241" s="40"/>
      <c r="N9241" s="40"/>
    </row>
    <row r="9242" spans="1:14" x14ac:dyDescent="0.3">
      <c r="A9242" s="3">
        <v>46264</v>
      </c>
      <c r="B9242" s="11" t="s">
        <v>1250</v>
      </c>
      <c r="C9242" s="50" t="s">
        <v>2348</v>
      </c>
      <c r="D9242" s="40"/>
      <c r="E9242" s="90" t="s">
        <v>4720</v>
      </c>
      <c r="F9242" s="40"/>
      <c r="G9242" s="185">
        <v>1000</v>
      </c>
      <c r="H9242" s="185"/>
      <c r="I9242" s="88">
        <f t="shared" si="1446"/>
        <v>10677.760000000002</v>
      </c>
      <c r="J9242" s="40"/>
      <c r="K9242" s="40"/>
      <c r="L9242" s="2">
        <f t="shared" si="1445"/>
        <v>4</v>
      </c>
      <c r="M9242" s="40"/>
      <c r="N9242" s="40"/>
    </row>
    <row r="9243" spans="1:14" x14ac:dyDescent="0.3">
      <c r="A9243" s="3">
        <v>46265</v>
      </c>
      <c r="B9243" s="11" t="s">
        <v>6844</v>
      </c>
      <c r="D9243" s="40"/>
      <c r="E9243" s="90" t="s">
        <v>4720</v>
      </c>
      <c r="F9243" s="40"/>
      <c r="G9243" s="185"/>
      <c r="H9243" s="185">
        <v>1100</v>
      </c>
      <c r="I9243" s="88">
        <f t="shared" si="1446"/>
        <v>9577.760000000002</v>
      </c>
      <c r="J9243" s="40"/>
      <c r="K9243" s="40"/>
      <c r="L9243" s="2">
        <f t="shared" si="1445"/>
        <v>4.4000000000000004</v>
      </c>
      <c r="M9243" s="40"/>
      <c r="N9243" s="40"/>
    </row>
    <row r="9244" spans="1:14" x14ac:dyDescent="0.3">
      <c r="A9244" s="3">
        <f>A9243</f>
        <v>46265</v>
      </c>
      <c r="B9244" s="11" t="s">
        <v>8900</v>
      </c>
      <c r="C9244" s="50" t="s">
        <v>9203</v>
      </c>
      <c r="D9244" s="40"/>
      <c r="E9244" s="90" t="s">
        <v>2088</v>
      </c>
      <c r="F9244" s="40"/>
      <c r="G9244" s="185">
        <v>2500</v>
      </c>
      <c r="H9244" s="185"/>
      <c r="I9244" s="88">
        <f t="shared" si="1446"/>
        <v>12077.760000000002</v>
      </c>
      <c r="J9244" s="40"/>
      <c r="K9244" s="40"/>
      <c r="L9244" s="2">
        <f t="shared" si="1445"/>
        <v>15</v>
      </c>
      <c r="M9244" s="40"/>
      <c r="N9244" s="40"/>
    </row>
    <row r="9245" spans="1:14" x14ac:dyDescent="0.3">
      <c r="A9245" s="77">
        <f>COUNT(A9067:A9244)</f>
        <v>178</v>
      </c>
      <c r="B9245" s="80" t="s">
        <v>7120</v>
      </c>
      <c r="C9245" s="112">
        <f>SUMIF(E9067:E9244,"C",H9067:H9244)+SUMIF(E9067:E9244,"C",G9067:G9244)</f>
        <v>94500</v>
      </c>
      <c r="D9245" s="112">
        <f>COUNTIF(E9245:E9680,"P")</f>
        <v>40</v>
      </c>
      <c r="E9245" s="92">
        <f>COUNTIF(E8542:E8783,"Y")</f>
        <v>14</v>
      </c>
      <c r="F9245" s="80">
        <f>SUM(F4244)</f>
        <v>0</v>
      </c>
      <c r="G9245" s="187">
        <f>SUM(G9067:G9244)</f>
        <v>330350</v>
      </c>
      <c r="H9245" s="121">
        <f>SUM(H9076:H9244)</f>
        <v>297800</v>
      </c>
      <c r="I9245" s="121">
        <f>G9245+H9245-C9245</f>
        <v>533650</v>
      </c>
      <c r="J9245" s="122"/>
      <c r="K9245" s="122">
        <f>D9245*5</f>
        <v>200</v>
      </c>
      <c r="L9245" s="121">
        <f>SUM(L9067:L9244)</f>
        <v>2004</v>
      </c>
      <c r="M9245" s="121">
        <f>SUM(M8286:M8783)</f>
        <v>0</v>
      </c>
      <c r="N9245" s="62">
        <f>((L9245+K9245)*0.8)*0.95</f>
        <v>1675.04</v>
      </c>
    </row>
    <row r="9247" spans="1:14" x14ac:dyDescent="0.3">
      <c r="A9247" s="3">
        <v>46266</v>
      </c>
      <c r="C9247" s="50" t="s">
        <v>6831</v>
      </c>
      <c r="D9247" s="40"/>
      <c r="E9247" s="90" t="s">
        <v>8332</v>
      </c>
      <c r="F9247" s="40"/>
      <c r="G9247" s="62">
        <f>I9244</f>
        <v>12077.760000000002</v>
      </c>
      <c r="H9247" s="185"/>
      <c r="I9247" s="88">
        <f t="shared" ref="I9247:I9310" si="1448">I9246+G9247-H9247</f>
        <v>12077.760000000002</v>
      </c>
      <c r="J9247" s="40"/>
      <c r="K9247" s="40"/>
      <c r="L9247" s="2">
        <f t="shared" ref="L9247:L9325" si="1449">IF(E9247="C",0,IF((G9247+H9247)&lt;=5000,(G9247+H9247)*0.004,20)+IF(E9247="P",5,IF(E9247="Y",15,IF(E9247="YY",25))))</f>
        <v>0</v>
      </c>
      <c r="M9247" s="40"/>
      <c r="N9247" s="40"/>
    </row>
    <row r="9248" spans="1:14" x14ac:dyDescent="0.3">
      <c r="A9248" s="3">
        <v>46269</v>
      </c>
      <c r="B9248" s="11" t="s">
        <v>6260</v>
      </c>
      <c r="C9248" s="50" t="s">
        <v>6583</v>
      </c>
      <c r="D9248" s="40"/>
      <c r="E9248" s="90" t="s">
        <v>4720</v>
      </c>
      <c r="F9248" s="40"/>
      <c r="G9248" s="185">
        <v>0</v>
      </c>
      <c r="H9248" s="185">
        <v>9000</v>
      </c>
      <c r="I9248" s="88">
        <f t="shared" si="1448"/>
        <v>3077.760000000002</v>
      </c>
      <c r="J9248" s="40"/>
      <c r="K9248" s="40"/>
      <c r="L9248" s="2">
        <f t="shared" si="1449"/>
        <v>20</v>
      </c>
      <c r="M9248" s="40"/>
      <c r="N9248" s="40"/>
    </row>
    <row r="9249" spans="1:14" x14ac:dyDescent="0.3">
      <c r="A9249" s="3">
        <v>46178</v>
      </c>
      <c r="B9249" s="11" t="s">
        <v>6522</v>
      </c>
      <c r="C9249" s="50" t="s">
        <v>4366</v>
      </c>
      <c r="D9249" s="40"/>
      <c r="E9249" s="90" t="s">
        <v>4720</v>
      </c>
      <c r="F9249" s="40"/>
      <c r="G9249" s="185">
        <v>500</v>
      </c>
      <c r="H9249" s="185"/>
      <c r="I9249" s="88">
        <f t="shared" si="1448"/>
        <v>3577.760000000002</v>
      </c>
      <c r="J9249" s="40"/>
      <c r="K9249" s="40"/>
      <c r="L9249" s="2">
        <f t="shared" si="1449"/>
        <v>2</v>
      </c>
      <c r="M9249" s="40"/>
      <c r="N9249" s="40"/>
    </row>
    <row r="9250" spans="1:14" x14ac:dyDescent="0.3">
      <c r="A9250" s="3">
        <f t="shared" ref="A9250:A9313" si="1450">A9249</f>
        <v>46178</v>
      </c>
      <c r="B9250" s="11" t="s">
        <v>10440</v>
      </c>
      <c r="C9250" s="50" t="s">
        <v>10441</v>
      </c>
      <c r="D9250" s="40"/>
      <c r="E9250" s="90" t="s">
        <v>2088</v>
      </c>
      <c r="F9250" s="40"/>
      <c r="G9250" s="185">
        <v>2000</v>
      </c>
      <c r="H9250" s="185"/>
      <c r="I9250" s="88">
        <f t="shared" si="1448"/>
        <v>5577.760000000002</v>
      </c>
      <c r="J9250" s="40"/>
      <c r="K9250" s="40"/>
      <c r="L9250" s="2">
        <f t="shared" si="1449"/>
        <v>13</v>
      </c>
      <c r="M9250" s="40"/>
      <c r="N9250" s="40"/>
    </row>
    <row r="9251" spans="1:14" x14ac:dyDescent="0.3">
      <c r="A9251" s="3">
        <f t="shared" si="1450"/>
        <v>46178</v>
      </c>
      <c r="B9251" s="11" t="s">
        <v>4622</v>
      </c>
      <c r="C9251" s="50" t="s">
        <v>8340</v>
      </c>
      <c r="D9251" s="40"/>
      <c r="E9251" s="90" t="s">
        <v>2088</v>
      </c>
      <c r="F9251" s="40"/>
      <c r="G9251" s="185">
        <v>0</v>
      </c>
      <c r="H9251" s="185">
        <v>0</v>
      </c>
      <c r="I9251" s="88">
        <f t="shared" si="1448"/>
        <v>5577.760000000002</v>
      </c>
      <c r="J9251" s="40"/>
      <c r="K9251" s="40"/>
      <c r="L9251" s="2">
        <f t="shared" si="1449"/>
        <v>5</v>
      </c>
      <c r="M9251" s="40"/>
      <c r="N9251" s="40"/>
    </row>
    <row r="9252" spans="1:14" x14ac:dyDescent="0.3">
      <c r="A9252" s="3">
        <f t="shared" si="1450"/>
        <v>46178</v>
      </c>
      <c r="B9252" s="11" t="s">
        <v>1250</v>
      </c>
      <c r="C9252" s="50" t="s">
        <v>5721</v>
      </c>
      <c r="D9252" s="40"/>
      <c r="E9252" s="90" t="s">
        <v>4720</v>
      </c>
      <c r="F9252" s="40"/>
      <c r="G9252" s="185">
        <v>5300</v>
      </c>
      <c r="H9252" s="185"/>
      <c r="I9252" s="88">
        <f t="shared" si="1448"/>
        <v>10877.760000000002</v>
      </c>
      <c r="J9252" s="40"/>
      <c r="K9252" s="40"/>
      <c r="L9252" s="2">
        <f t="shared" si="1449"/>
        <v>20</v>
      </c>
      <c r="M9252" s="40"/>
      <c r="N9252" s="40"/>
    </row>
    <row r="9253" spans="1:14" x14ac:dyDescent="0.3">
      <c r="A9253" s="3">
        <v>46271</v>
      </c>
      <c r="B9253" s="11" t="s">
        <v>7466</v>
      </c>
      <c r="C9253" s="50" t="s">
        <v>2275</v>
      </c>
      <c r="D9253" s="40"/>
      <c r="E9253" s="90" t="s">
        <v>2088</v>
      </c>
      <c r="F9253" s="40"/>
      <c r="G9253" s="185">
        <v>0</v>
      </c>
      <c r="H9253" s="185"/>
      <c r="I9253" s="88">
        <f t="shared" si="1448"/>
        <v>10877.760000000002</v>
      </c>
      <c r="J9253" s="40"/>
      <c r="K9253" s="40"/>
      <c r="L9253" s="2">
        <f t="shared" si="1449"/>
        <v>5</v>
      </c>
      <c r="M9253" s="40"/>
      <c r="N9253" s="40"/>
    </row>
    <row r="9254" spans="1:14" x14ac:dyDescent="0.3">
      <c r="A9254" s="3">
        <f t="shared" si="1450"/>
        <v>46271</v>
      </c>
      <c r="B9254" s="11" t="s">
        <v>7466</v>
      </c>
      <c r="C9254" s="50" t="s">
        <v>2275</v>
      </c>
      <c r="D9254" s="40"/>
      <c r="E9254" s="90" t="s">
        <v>2088</v>
      </c>
      <c r="F9254" s="40"/>
      <c r="G9254" s="185">
        <v>2000</v>
      </c>
      <c r="H9254" s="185"/>
      <c r="I9254" s="88">
        <f t="shared" si="1448"/>
        <v>12877.760000000002</v>
      </c>
      <c r="J9254" s="40"/>
      <c r="K9254" s="40"/>
      <c r="L9254" s="2">
        <f t="shared" si="1449"/>
        <v>13</v>
      </c>
      <c r="M9254" s="40"/>
      <c r="N9254" s="40"/>
    </row>
    <row r="9255" spans="1:14" x14ac:dyDescent="0.3">
      <c r="A9255" s="3">
        <f t="shared" si="1450"/>
        <v>46271</v>
      </c>
      <c r="B9255" s="11" t="s">
        <v>3504</v>
      </c>
      <c r="C9255" s="50" t="s">
        <v>2652</v>
      </c>
      <c r="D9255" s="40"/>
      <c r="E9255" s="90" t="s">
        <v>4720</v>
      </c>
      <c r="F9255" s="40"/>
      <c r="G9255" s="185"/>
      <c r="H9255" s="185">
        <v>1000</v>
      </c>
      <c r="I9255" s="88">
        <f t="shared" si="1448"/>
        <v>11877.760000000002</v>
      </c>
      <c r="J9255" s="40"/>
      <c r="K9255" s="40"/>
      <c r="L9255" s="2">
        <f t="shared" si="1449"/>
        <v>4</v>
      </c>
      <c r="M9255" s="40"/>
      <c r="N9255" s="40"/>
    </row>
    <row r="9256" spans="1:14" x14ac:dyDescent="0.3">
      <c r="A9256" s="3">
        <f t="shared" si="1450"/>
        <v>46271</v>
      </c>
      <c r="B9256" s="11" t="s">
        <v>9469</v>
      </c>
      <c r="C9256" s="50" t="s">
        <v>9470</v>
      </c>
      <c r="D9256" s="40"/>
      <c r="E9256" s="90" t="s">
        <v>4720</v>
      </c>
      <c r="F9256" s="40"/>
      <c r="G9256" s="185"/>
      <c r="H9256" s="185">
        <v>500</v>
      </c>
      <c r="I9256" s="88">
        <f t="shared" si="1448"/>
        <v>11377.760000000002</v>
      </c>
      <c r="J9256" s="40"/>
      <c r="K9256" s="40"/>
      <c r="L9256" s="2">
        <f t="shared" si="1449"/>
        <v>2</v>
      </c>
      <c r="M9256" s="40"/>
      <c r="N9256" s="40"/>
    </row>
    <row r="9257" spans="1:14" x14ac:dyDescent="0.3">
      <c r="A9257" s="3">
        <v>46272</v>
      </c>
      <c r="B9257" s="11" t="s">
        <v>6701</v>
      </c>
      <c r="C9257" s="50" t="s">
        <v>10587</v>
      </c>
      <c r="D9257" s="40"/>
      <c r="E9257" s="90" t="s">
        <v>4720</v>
      </c>
      <c r="F9257" s="40"/>
      <c r="G9257" s="185">
        <v>3000</v>
      </c>
      <c r="H9257" s="185"/>
      <c r="I9257" s="88">
        <f t="shared" si="1448"/>
        <v>14377.760000000002</v>
      </c>
      <c r="J9257" s="40"/>
      <c r="K9257" s="40"/>
      <c r="L9257" s="2">
        <f t="shared" si="1449"/>
        <v>12</v>
      </c>
      <c r="M9257" s="40"/>
      <c r="N9257" s="40"/>
    </row>
    <row r="9258" spans="1:14" x14ac:dyDescent="0.3">
      <c r="A9258" s="3">
        <f t="shared" si="1450"/>
        <v>46272</v>
      </c>
      <c r="B9258" s="11" t="s">
        <v>1250</v>
      </c>
      <c r="C9258" s="50" t="s">
        <v>6564</v>
      </c>
      <c r="D9258" s="40"/>
      <c r="E9258" s="90" t="s">
        <v>4720</v>
      </c>
      <c r="F9258" s="40"/>
      <c r="G9258" s="185">
        <v>800</v>
      </c>
      <c r="H9258" s="185"/>
      <c r="I9258" s="88">
        <f t="shared" si="1448"/>
        <v>15177.760000000002</v>
      </c>
      <c r="J9258" s="40"/>
      <c r="K9258" s="40"/>
      <c r="L9258" s="2">
        <f t="shared" si="1449"/>
        <v>3.2</v>
      </c>
      <c r="M9258" s="40"/>
      <c r="N9258" s="40"/>
    </row>
    <row r="9259" spans="1:14" x14ac:dyDescent="0.3">
      <c r="A9259" s="3">
        <f t="shared" si="1450"/>
        <v>46272</v>
      </c>
      <c r="B9259" s="11" t="s">
        <v>2448</v>
      </c>
      <c r="C9259" s="50" t="s">
        <v>2274</v>
      </c>
      <c r="D9259" s="40"/>
      <c r="E9259" s="90" t="s">
        <v>4720</v>
      </c>
      <c r="F9259" s="40"/>
      <c r="G9259" s="185"/>
      <c r="H9259" s="185">
        <v>10000</v>
      </c>
      <c r="I9259" s="88">
        <f t="shared" si="1448"/>
        <v>5177.760000000002</v>
      </c>
      <c r="J9259" s="40"/>
      <c r="K9259" s="40"/>
      <c r="L9259" s="2">
        <f t="shared" si="1449"/>
        <v>20</v>
      </c>
      <c r="M9259" s="40"/>
      <c r="N9259" s="40"/>
    </row>
    <row r="9260" spans="1:14" x14ac:dyDescent="0.3">
      <c r="A9260" s="3">
        <f t="shared" si="1450"/>
        <v>46272</v>
      </c>
      <c r="B9260" s="11" t="s">
        <v>4625</v>
      </c>
      <c r="C9260" s="50" t="s">
        <v>939</v>
      </c>
      <c r="D9260" s="40"/>
      <c r="E9260" s="90" t="s">
        <v>4720</v>
      </c>
      <c r="F9260" s="40"/>
      <c r="G9260" s="185">
        <v>5000</v>
      </c>
      <c r="H9260" s="185"/>
      <c r="I9260" s="88">
        <f t="shared" si="1448"/>
        <v>10177.760000000002</v>
      </c>
      <c r="J9260" s="40"/>
      <c r="K9260" s="40"/>
      <c r="L9260" s="2">
        <f t="shared" si="1449"/>
        <v>20</v>
      </c>
      <c r="M9260" s="40"/>
      <c r="N9260" s="40"/>
    </row>
    <row r="9261" spans="1:14" x14ac:dyDescent="0.3">
      <c r="A9261" s="3">
        <f t="shared" si="1450"/>
        <v>46272</v>
      </c>
      <c r="B9261" s="11" t="s">
        <v>2448</v>
      </c>
      <c r="C9261" s="50" t="s">
        <v>4108</v>
      </c>
      <c r="D9261" s="40"/>
      <c r="E9261" s="90" t="s">
        <v>4720</v>
      </c>
      <c r="F9261" s="40"/>
      <c r="G9261" s="185"/>
      <c r="H9261" s="185">
        <v>5000</v>
      </c>
      <c r="I9261" s="88">
        <f t="shared" si="1448"/>
        <v>5177.760000000002</v>
      </c>
      <c r="J9261" s="40"/>
      <c r="K9261" s="40"/>
      <c r="L9261" s="2">
        <f t="shared" si="1449"/>
        <v>20</v>
      </c>
      <c r="M9261" s="40"/>
      <c r="N9261" s="40"/>
    </row>
    <row r="9262" spans="1:14" x14ac:dyDescent="0.3">
      <c r="A9262" s="3">
        <f t="shared" si="1450"/>
        <v>46272</v>
      </c>
      <c r="B9262" s="11" t="s">
        <v>8548</v>
      </c>
      <c r="C9262" s="7" t="s">
        <v>11050</v>
      </c>
      <c r="D9262" s="40"/>
      <c r="E9262" s="90" t="s">
        <v>16</v>
      </c>
      <c r="F9262" s="40"/>
      <c r="G9262" s="185"/>
      <c r="H9262" s="185">
        <v>500</v>
      </c>
      <c r="I9262" s="88">
        <f t="shared" si="1448"/>
        <v>4677.760000000002</v>
      </c>
      <c r="J9262" s="40"/>
      <c r="K9262" s="40"/>
      <c r="L9262" s="2">
        <f t="shared" si="1449"/>
        <v>17</v>
      </c>
      <c r="M9262" s="40"/>
      <c r="N9262" s="40"/>
    </row>
    <row r="9263" spans="1:14" x14ac:dyDescent="0.3">
      <c r="A9263" s="3">
        <f t="shared" si="1450"/>
        <v>46272</v>
      </c>
      <c r="B9263" s="11" t="s">
        <v>10899</v>
      </c>
      <c r="C9263" s="50" t="s">
        <v>11051</v>
      </c>
      <c r="D9263" s="40"/>
      <c r="E9263" s="90" t="s">
        <v>4720</v>
      </c>
      <c r="F9263" s="40"/>
      <c r="G9263" s="185">
        <v>8000</v>
      </c>
      <c r="H9263" s="185"/>
      <c r="I9263" s="88">
        <f t="shared" si="1448"/>
        <v>12677.760000000002</v>
      </c>
      <c r="J9263" s="40"/>
      <c r="K9263" s="40"/>
      <c r="L9263" s="2">
        <f t="shared" si="1449"/>
        <v>20</v>
      </c>
      <c r="M9263" s="40"/>
      <c r="N9263" s="40"/>
    </row>
    <row r="9264" spans="1:14" x14ac:dyDescent="0.3">
      <c r="A9264" s="3">
        <f t="shared" si="1450"/>
        <v>46272</v>
      </c>
      <c r="B9264" s="11" t="s">
        <v>2241</v>
      </c>
      <c r="C9264" s="50" t="s">
        <v>10303</v>
      </c>
      <c r="D9264" s="40"/>
      <c r="E9264" s="90" t="s">
        <v>4720</v>
      </c>
      <c r="F9264" s="40"/>
      <c r="G9264" s="185">
        <v>1300</v>
      </c>
      <c r="H9264" s="185"/>
      <c r="I9264" s="88">
        <f t="shared" si="1448"/>
        <v>13977.760000000002</v>
      </c>
      <c r="J9264" s="40"/>
      <c r="K9264" s="40"/>
      <c r="L9264" s="2">
        <f t="shared" si="1449"/>
        <v>5.2</v>
      </c>
      <c r="M9264" s="40"/>
      <c r="N9264" s="40"/>
    </row>
    <row r="9265" spans="1:14" x14ac:dyDescent="0.3">
      <c r="A9265" s="3">
        <v>46274</v>
      </c>
      <c r="B9265" s="11" t="s">
        <v>2490</v>
      </c>
      <c r="C9265" s="50" t="s">
        <v>2857</v>
      </c>
      <c r="D9265" s="40"/>
      <c r="E9265" s="90" t="s">
        <v>4720</v>
      </c>
      <c r="F9265" s="40"/>
      <c r="G9265" s="185"/>
      <c r="H9265" s="185">
        <v>12000</v>
      </c>
      <c r="I9265" s="88">
        <f t="shared" si="1448"/>
        <v>1977.760000000002</v>
      </c>
      <c r="J9265" s="40"/>
      <c r="K9265" s="40"/>
      <c r="L9265" s="2">
        <f t="shared" si="1449"/>
        <v>20</v>
      </c>
      <c r="M9265" s="40"/>
      <c r="N9265" s="40"/>
    </row>
    <row r="9266" spans="1:14" x14ac:dyDescent="0.3">
      <c r="A9266" s="3">
        <f t="shared" si="1450"/>
        <v>46274</v>
      </c>
      <c r="B9266" s="11" t="s">
        <v>7068</v>
      </c>
      <c r="C9266" s="50" t="s">
        <v>8781</v>
      </c>
      <c r="D9266" s="40"/>
      <c r="E9266" s="90" t="s">
        <v>4720</v>
      </c>
      <c r="F9266" s="40"/>
      <c r="G9266" s="185"/>
      <c r="H9266" s="185">
        <v>500</v>
      </c>
      <c r="I9266" s="88">
        <f t="shared" si="1448"/>
        <v>1477.760000000002</v>
      </c>
      <c r="J9266" s="40"/>
      <c r="K9266" s="40"/>
      <c r="L9266" s="2">
        <f t="shared" si="1449"/>
        <v>2</v>
      </c>
      <c r="M9266" s="40"/>
      <c r="N9266" s="40"/>
    </row>
    <row r="9267" spans="1:14" x14ac:dyDescent="0.3">
      <c r="A9267" s="3">
        <f t="shared" si="1450"/>
        <v>46274</v>
      </c>
      <c r="B9267" s="11" t="s">
        <v>1250</v>
      </c>
      <c r="C9267" s="50" t="s">
        <v>6985</v>
      </c>
      <c r="D9267" s="40"/>
      <c r="E9267" s="90" t="s">
        <v>4720</v>
      </c>
      <c r="F9267" s="40"/>
      <c r="G9267" s="185">
        <v>5000</v>
      </c>
      <c r="H9267" s="185"/>
      <c r="I9267" s="88">
        <f t="shared" si="1448"/>
        <v>6477.760000000002</v>
      </c>
      <c r="J9267" s="40"/>
      <c r="K9267" s="40"/>
      <c r="L9267" s="2">
        <f t="shared" si="1449"/>
        <v>20</v>
      </c>
      <c r="M9267" s="40"/>
      <c r="N9267" s="40"/>
    </row>
    <row r="9268" spans="1:14" x14ac:dyDescent="0.3">
      <c r="A9268" s="3">
        <f t="shared" si="1450"/>
        <v>46274</v>
      </c>
      <c r="B9268" s="11" t="s">
        <v>11054</v>
      </c>
      <c r="C9268" s="7" t="s">
        <v>11055</v>
      </c>
      <c r="D9268" s="40"/>
      <c r="E9268" s="90" t="s">
        <v>16</v>
      </c>
      <c r="F9268" s="40"/>
      <c r="G9268" s="185"/>
      <c r="H9268" s="185">
        <v>500</v>
      </c>
      <c r="I9268" s="88">
        <f t="shared" si="1448"/>
        <v>5977.760000000002</v>
      </c>
      <c r="J9268" s="40"/>
      <c r="K9268" s="40"/>
      <c r="L9268" s="2">
        <f t="shared" si="1449"/>
        <v>17</v>
      </c>
      <c r="M9268" s="40"/>
      <c r="N9268" s="40"/>
    </row>
    <row r="9269" spans="1:14" x14ac:dyDescent="0.3">
      <c r="A9269" s="3">
        <f t="shared" si="1450"/>
        <v>46274</v>
      </c>
      <c r="B9269" s="11" t="s">
        <v>7329</v>
      </c>
      <c r="C9269" s="50" t="s">
        <v>8632</v>
      </c>
      <c r="D9269" s="40"/>
      <c r="E9269" s="90" t="s">
        <v>2088</v>
      </c>
      <c r="F9269" s="40"/>
      <c r="G9269" s="185">
        <v>2500</v>
      </c>
      <c r="H9269" s="185"/>
      <c r="I9269" s="88">
        <f t="shared" si="1448"/>
        <v>8477.760000000002</v>
      </c>
      <c r="J9269" s="40"/>
      <c r="K9269" s="40"/>
      <c r="L9269" s="2">
        <f t="shared" si="1449"/>
        <v>15</v>
      </c>
      <c r="M9269" s="40"/>
      <c r="N9269" s="40"/>
    </row>
    <row r="9270" spans="1:14" x14ac:dyDescent="0.3">
      <c r="A9270" s="3">
        <v>46275</v>
      </c>
      <c r="B9270" s="11" t="s">
        <v>2528</v>
      </c>
      <c r="C9270" s="50" t="s">
        <v>4207</v>
      </c>
      <c r="D9270" s="40"/>
      <c r="E9270" s="90" t="s">
        <v>2088</v>
      </c>
      <c r="F9270" s="40"/>
      <c r="G9270" s="185">
        <v>3000</v>
      </c>
      <c r="H9270" s="185"/>
      <c r="I9270" s="88">
        <f t="shared" si="1448"/>
        <v>11477.760000000002</v>
      </c>
      <c r="J9270" s="40"/>
      <c r="K9270" s="40"/>
      <c r="L9270" s="2">
        <f t="shared" si="1449"/>
        <v>17</v>
      </c>
      <c r="M9270" s="40"/>
      <c r="N9270" s="40"/>
    </row>
    <row r="9271" spans="1:14" x14ac:dyDescent="0.3">
      <c r="A9271" s="3">
        <f t="shared" si="1450"/>
        <v>46275</v>
      </c>
      <c r="B9271" s="11" t="s">
        <v>6676</v>
      </c>
      <c r="C9271" s="50" t="s">
        <v>7675</v>
      </c>
      <c r="D9271" s="40"/>
      <c r="E9271" s="90" t="s">
        <v>4720</v>
      </c>
      <c r="F9271" s="40"/>
      <c r="G9271" s="185"/>
      <c r="H9271" s="185">
        <v>1000</v>
      </c>
      <c r="I9271" s="88">
        <f t="shared" si="1448"/>
        <v>10477.760000000002</v>
      </c>
      <c r="J9271" s="40"/>
      <c r="K9271" s="40"/>
      <c r="L9271" s="2">
        <f t="shared" si="1449"/>
        <v>4</v>
      </c>
      <c r="M9271" s="40"/>
      <c r="N9271" s="40"/>
    </row>
    <row r="9272" spans="1:14" x14ac:dyDescent="0.3">
      <c r="A9272" s="3">
        <f t="shared" si="1450"/>
        <v>46275</v>
      </c>
      <c r="B9272" s="11" t="s">
        <v>2089</v>
      </c>
      <c r="C9272" s="50" t="s">
        <v>9832</v>
      </c>
      <c r="D9272" s="40"/>
      <c r="E9272" s="90" t="s">
        <v>4720</v>
      </c>
      <c r="F9272" s="40"/>
      <c r="G9272" s="185">
        <v>2000</v>
      </c>
      <c r="H9272" s="185"/>
      <c r="I9272" s="88">
        <f t="shared" si="1448"/>
        <v>12477.760000000002</v>
      </c>
      <c r="J9272" s="40"/>
      <c r="K9272" s="40"/>
      <c r="L9272" s="2">
        <f t="shared" si="1449"/>
        <v>8</v>
      </c>
      <c r="M9272" s="40"/>
      <c r="N9272" s="40"/>
    </row>
    <row r="9273" spans="1:14" x14ac:dyDescent="0.3">
      <c r="A9273" s="3">
        <f t="shared" si="1450"/>
        <v>46275</v>
      </c>
      <c r="B9273" s="11" t="s">
        <v>7432</v>
      </c>
      <c r="C9273" s="50" t="s">
        <v>11059</v>
      </c>
      <c r="D9273" s="40"/>
      <c r="E9273" s="90" t="s">
        <v>2088</v>
      </c>
      <c r="F9273" s="40"/>
      <c r="G9273" s="185">
        <v>1000</v>
      </c>
      <c r="H9273" s="185"/>
      <c r="I9273" s="88">
        <f t="shared" si="1448"/>
        <v>13477.760000000002</v>
      </c>
      <c r="J9273" s="40"/>
      <c r="K9273" s="40"/>
      <c r="L9273" s="2">
        <f t="shared" si="1449"/>
        <v>9</v>
      </c>
      <c r="M9273" s="40"/>
      <c r="N9273" s="40"/>
    </row>
    <row r="9274" spans="1:14" x14ac:dyDescent="0.3">
      <c r="A9274" s="3">
        <f t="shared" si="1450"/>
        <v>46275</v>
      </c>
      <c r="B9274" s="11" t="s">
        <v>7405</v>
      </c>
      <c r="C9274" s="50" t="s">
        <v>9235</v>
      </c>
      <c r="D9274" s="40"/>
      <c r="E9274" s="90" t="s">
        <v>4720</v>
      </c>
      <c r="F9274" s="40"/>
      <c r="G9274" s="185"/>
      <c r="H9274" s="185">
        <v>3000</v>
      </c>
      <c r="I9274" s="88">
        <f t="shared" si="1448"/>
        <v>10477.760000000002</v>
      </c>
      <c r="J9274" s="40"/>
      <c r="K9274" s="40"/>
      <c r="L9274" s="2">
        <f t="shared" si="1449"/>
        <v>12</v>
      </c>
      <c r="M9274" s="40"/>
      <c r="N9274" s="40"/>
    </row>
    <row r="9275" spans="1:14" x14ac:dyDescent="0.3">
      <c r="A9275" s="3">
        <f t="shared" si="1450"/>
        <v>46275</v>
      </c>
      <c r="B9275" s="11" t="s">
        <v>5508</v>
      </c>
      <c r="C9275" s="50" t="s">
        <v>6157</v>
      </c>
      <c r="D9275" s="40"/>
      <c r="E9275" s="90" t="s">
        <v>4720</v>
      </c>
      <c r="F9275" s="40"/>
      <c r="G9275" s="185">
        <v>3500</v>
      </c>
      <c r="H9275" s="185"/>
      <c r="I9275" s="88">
        <f t="shared" si="1448"/>
        <v>13977.760000000002</v>
      </c>
      <c r="J9275" s="40"/>
      <c r="K9275" s="40"/>
      <c r="L9275" s="2">
        <f t="shared" si="1449"/>
        <v>14</v>
      </c>
      <c r="M9275" s="40"/>
      <c r="N9275" s="40"/>
    </row>
    <row r="9276" spans="1:14" x14ac:dyDescent="0.3">
      <c r="A9276" s="3">
        <f t="shared" si="1450"/>
        <v>46275</v>
      </c>
      <c r="B9276" s="11" t="s">
        <v>6582</v>
      </c>
      <c r="C9276" s="50" t="s">
        <v>6583</v>
      </c>
      <c r="D9276" s="40"/>
      <c r="E9276" s="90" t="s">
        <v>4720</v>
      </c>
      <c r="F9276" s="40"/>
      <c r="G9276" s="185">
        <v>2000</v>
      </c>
      <c r="H9276" s="185"/>
      <c r="I9276" s="88">
        <f t="shared" si="1448"/>
        <v>15977.760000000002</v>
      </c>
      <c r="J9276" s="40"/>
      <c r="K9276" s="40"/>
      <c r="L9276" s="2">
        <f t="shared" si="1449"/>
        <v>8</v>
      </c>
      <c r="M9276" s="40"/>
      <c r="N9276" s="40"/>
    </row>
    <row r="9277" spans="1:14" x14ac:dyDescent="0.3">
      <c r="A9277" s="3">
        <f t="shared" si="1450"/>
        <v>46275</v>
      </c>
      <c r="B9277" s="11" t="s">
        <v>2490</v>
      </c>
      <c r="C9277" s="50" t="s">
        <v>2857</v>
      </c>
      <c r="D9277" s="40"/>
      <c r="E9277" s="90" t="s">
        <v>8332</v>
      </c>
      <c r="F9277" s="40"/>
      <c r="G9277" s="185"/>
      <c r="H9277" s="185">
        <v>15000</v>
      </c>
      <c r="I9277" s="88">
        <f t="shared" si="1448"/>
        <v>977.76000000000204</v>
      </c>
      <c r="J9277" s="40"/>
      <c r="K9277" s="40"/>
      <c r="L9277" s="2">
        <f t="shared" si="1449"/>
        <v>0</v>
      </c>
      <c r="M9277" s="40"/>
      <c r="N9277" s="40"/>
    </row>
    <row r="9278" spans="1:14" x14ac:dyDescent="0.3">
      <c r="A9278" s="3">
        <v>46276</v>
      </c>
      <c r="B9278" s="11" t="s">
        <v>2241</v>
      </c>
      <c r="C9278" s="50" t="s">
        <v>11060</v>
      </c>
      <c r="D9278" s="40"/>
      <c r="E9278" s="90" t="s">
        <v>4720</v>
      </c>
      <c r="F9278" s="40"/>
      <c r="G9278" s="185">
        <v>3000</v>
      </c>
      <c r="H9278" s="185"/>
      <c r="I9278" s="88">
        <f t="shared" si="1448"/>
        <v>3977.760000000002</v>
      </c>
      <c r="J9278" s="40"/>
      <c r="K9278" s="40"/>
      <c r="L9278" s="2">
        <f t="shared" si="1449"/>
        <v>12</v>
      </c>
      <c r="M9278" s="40"/>
      <c r="N9278" s="40"/>
    </row>
    <row r="9279" spans="1:14" x14ac:dyDescent="0.3">
      <c r="A9279" s="3">
        <f t="shared" si="1450"/>
        <v>46276</v>
      </c>
      <c r="B9279" s="11" t="s">
        <v>1250</v>
      </c>
      <c r="C9279" s="50" t="s">
        <v>2883</v>
      </c>
      <c r="D9279" s="40"/>
      <c r="E9279" s="90" t="s">
        <v>4720</v>
      </c>
      <c r="F9279" s="40"/>
      <c r="G9279" s="185">
        <v>1100</v>
      </c>
      <c r="H9279" s="185"/>
      <c r="I9279" s="88">
        <f t="shared" si="1448"/>
        <v>5077.760000000002</v>
      </c>
      <c r="J9279" s="40"/>
      <c r="K9279" s="40"/>
      <c r="L9279" s="2">
        <f t="shared" si="1449"/>
        <v>4.4000000000000004</v>
      </c>
      <c r="M9279" s="40"/>
      <c r="N9279" s="40"/>
    </row>
    <row r="9280" spans="1:14" x14ac:dyDescent="0.3">
      <c r="A9280" s="3">
        <f t="shared" si="1450"/>
        <v>46276</v>
      </c>
      <c r="B9280" s="11" t="s">
        <v>1250</v>
      </c>
      <c r="C9280" s="50" t="s">
        <v>9589</v>
      </c>
      <c r="D9280" s="40"/>
      <c r="E9280" s="90" t="s">
        <v>4720</v>
      </c>
      <c r="F9280" s="40"/>
      <c r="G9280" s="185">
        <v>3000</v>
      </c>
      <c r="H9280" s="185"/>
      <c r="I9280" s="88">
        <f t="shared" si="1448"/>
        <v>8077.760000000002</v>
      </c>
      <c r="J9280" s="40"/>
      <c r="K9280" s="40"/>
      <c r="L9280" s="2">
        <f t="shared" si="1449"/>
        <v>12</v>
      </c>
      <c r="M9280" s="40"/>
      <c r="N9280" s="40"/>
    </row>
    <row r="9281" spans="1:14" x14ac:dyDescent="0.3">
      <c r="A9281" s="3">
        <v>46277</v>
      </c>
      <c r="B9281" s="11" t="s">
        <v>7081</v>
      </c>
      <c r="C9281" s="50" t="s">
        <v>8978</v>
      </c>
      <c r="D9281" s="40"/>
      <c r="E9281" s="90" t="s">
        <v>2088</v>
      </c>
      <c r="F9281" s="40"/>
      <c r="G9281" s="185"/>
      <c r="H9281" s="185">
        <v>1000</v>
      </c>
      <c r="I9281" s="88">
        <f t="shared" si="1448"/>
        <v>7077.760000000002</v>
      </c>
      <c r="J9281" s="40"/>
      <c r="K9281" s="40"/>
      <c r="L9281" s="2">
        <f t="shared" si="1449"/>
        <v>9</v>
      </c>
      <c r="M9281" s="40"/>
      <c r="N9281" s="40"/>
    </row>
    <row r="9282" spans="1:14" x14ac:dyDescent="0.3">
      <c r="A9282" s="3">
        <f t="shared" si="1450"/>
        <v>46277</v>
      </c>
      <c r="B9282" s="11" t="s">
        <v>1250</v>
      </c>
      <c r="C9282" s="50" t="s">
        <v>2884</v>
      </c>
      <c r="D9282" s="40"/>
      <c r="E9282" s="90" t="s">
        <v>4720</v>
      </c>
      <c r="F9282" s="40"/>
      <c r="G9282" s="185">
        <v>1100</v>
      </c>
      <c r="H9282" s="185"/>
      <c r="I9282" s="88">
        <f t="shared" si="1448"/>
        <v>8177.760000000002</v>
      </c>
      <c r="J9282" s="40"/>
      <c r="K9282" s="40"/>
      <c r="L9282" s="2">
        <f t="shared" si="1449"/>
        <v>4.4000000000000004</v>
      </c>
      <c r="M9282" s="40"/>
      <c r="N9282" s="40"/>
    </row>
    <row r="9283" spans="1:14" x14ac:dyDescent="0.3">
      <c r="A9283" s="3">
        <f t="shared" si="1450"/>
        <v>46277</v>
      </c>
      <c r="B9283" s="11" t="s">
        <v>9140</v>
      </c>
      <c r="C9283" s="50" t="s">
        <v>9609</v>
      </c>
      <c r="D9283" s="40"/>
      <c r="E9283" s="90" t="s">
        <v>2088</v>
      </c>
      <c r="F9283" s="40"/>
      <c r="G9283" s="185">
        <v>1000</v>
      </c>
      <c r="H9283" s="185"/>
      <c r="I9283" s="88">
        <f t="shared" si="1448"/>
        <v>9177.760000000002</v>
      </c>
      <c r="J9283" s="40"/>
      <c r="K9283" s="40"/>
      <c r="L9283" s="2">
        <f t="shared" si="1449"/>
        <v>9</v>
      </c>
      <c r="M9283" s="40"/>
      <c r="N9283" s="40"/>
    </row>
    <row r="9284" spans="1:14" x14ac:dyDescent="0.3">
      <c r="A9284" s="3">
        <f t="shared" si="1450"/>
        <v>46277</v>
      </c>
      <c r="B9284" s="11" t="s">
        <v>10042</v>
      </c>
      <c r="C9284" t="s">
        <v>10043</v>
      </c>
      <c r="D9284" s="40"/>
      <c r="E9284" s="90" t="s">
        <v>4720</v>
      </c>
      <c r="F9284" s="40"/>
      <c r="G9284" s="185"/>
      <c r="H9284" s="185">
        <v>6000</v>
      </c>
      <c r="I9284" s="88">
        <f t="shared" si="1448"/>
        <v>3177.760000000002</v>
      </c>
      <c r="J9284" s="40"/>
      <c r="K9284" s="40"/>
      <c r="L9284" s="2">
        <f t="shared" si="1449"/>
        <v>20</v>
      </c>
      <c r="M9284" s="40"/>
      <c r="N9284" s="40"/>
    </row>
    <row r="9285" spans="1:14" x14ac:dyDescent="0.3">
      <c r="A9285" s="3">
        <f t="shared" si="1450"/>
        <v>46277</v>
      </c>
      <c r="B9285" s="11" t="s">
        <v>5115</v>
      </c>
      <c r="C9285" s="50" t="s">
        <v>11061</v>
      </c>
      <c r="D9285" s="40"/>
      <c r="E9285" s="90" t="s">
        <v>7772</v>
      </c>
      <c r="F9285" s="40"/>
      <c r="G9285" s="185"/>
      <c r="H9285" s="185">
        <v>500</v>
      </c>
      <c r="I9285" s="88">
        <f t="shared" si="1448"/>
        <v>2677.760000000002</v>
      </c>
      <c r="J9285" s="40"/>
      <c r="K9285" s="40"/>
      <c r="L9285" s="2">
        <f t="shared" si="1449"/>
        <v>7</v>
      </c>
      <c r="M9285" s="40"/>
      <c r="N9285" s="40"/>
    </row>
    <row r="9286" spans="1:14" x14ac:dyDescent="0.3">
      <c r="A9286" s="3">
        <v>46279</v>
      </c>
      <c r="B9286" s="11" t="s">
        <v>9547</v>
      </c>
      <c r="C9286" s="50" t="s">
        <v>11062</v>
      </c>
      <c r="D9286" s="40"/>
      <c r="E9286" s="90" t="s">
        <v>2088</v>
      </c>
      <c r="F9286" s="40"/>
      <c r="G9286" s="185">
        <v>2000</v>
      </c>
      <c r="H9286" s="185"/>
      <c r="I9286" s="88">
        <f t="shared" si="1448"/>
        <v>4677.760000000002</v>
      </c>
      <c r="J9286" s="40"/>
      <c r="K9286" s="40"/>
      <c r="L9286" s="2">
        <f t="shared" si="1449"/>
        <v>13</v>
      </c>
      <c r="M9286" s="40"/>
      <c r="N9286" s="40"/>
    </row>
    <row r="9287" spans="1:14" x14ac:dyDescent="0.3">
      <c r="A9287" s="3">
        <f t="shared" si="1450"/>
        <v>46279</v>
      </c>
      <c r="B9287" s="11" t="s">
        <v>5872</v>
      </c>
      <c r="C9287" s="50" t="s">
        <v>9586</v>
      </c>
      <c r="D9287" s="40"/>
      <c r="E9287" s="90" t="s">
        <v>2088</v>
      </c>
      <c r="F9287" s="40"/>
      <c r="G9287" s="185">
        <v>3000</v>
      </c>
      <c r="H9287" s="185"/>
      <c r="I9287" s="88">
        <f t="shared" si="1448"/>
        <v>7677.760000000002</v>
      </c>
      <c r="J9287" s="40"/>
      <c r="K9287" s="40"/>
      <c r="L9287" s="2">
        <f t="shared" si="1449"/>
        <v>17</v>
      </c>
      <c r="M9287" s="40"/>
      <c r="N9287" s="40"/>
    </row>
    <row r="9288" spans="1:14" x14ac:dyDescent="0.3">
      <c r="A9288" s="3">
        <f t="shared" si="1450"/>
        <v>46279</v>
      </c>
      <c r="B9288" s="11" t="s">
        <v>5659</v>
      </c>
      <c r="C9288" s="50" t="s">
        <v>9757</v>
      </c>
      <c r="D9288" s="40"/>
      <c r="E9288" s="90" t="s">
        <v>4720</v>
      </c>
      <c r="F9288" s="40"/>
      <c r="G9288" s="185">
        <v>3000</v>
      </c>
      <c r="H9288" s="185"/>
      <c r="I9288" s="88">
        <f t="shared" si="1448"/>
        <v>10677.760000000002</v>
      </c>
      <c r="J9288" s="40"/>
      <c r="K9288" s="40"/>
      <c r="L9288" s="2">
        <f t="shared" si="1449"/>
        <v>12</v>
      </c>
      <c r="M9288" s="40"/>
      <c r="N9288" s="40"/>
    </row>
    <row r="9289" spans="1:14" x14ac:dyDescent="0.3">
      <c r="A9289" s="3">
        <f t="shared" si="1450"/>
        <v>46279</v>
      </c>
      <c r="B9289" s="11" t="s">
        <v>2448</v>
      </c>
      <c r="C9289" s="50" t="s">
        <v>2274</v>
      </c>
      <c r="D9289" s="40"/>
      <c r="E9289" s="90" t="s">
        <v>4720</v>
      </c>
      <c r="F9289" s="40"/>
      <c r="G9289" s="185"/>
      <c r="H9289" s="185">
        <v>10000</v>
      </c>
      <c r="I9289" s="88">
        <f t="shared" si="1448"/>
        <v>677.76000000000204</v>
      </c>
      <c r="J9289" s="40"/>
      <c r="K9289" s="40"/>
      <c r="L9289" s="2">
        <f t="shared" si="1449"/>
        <v>20</v>
      </c>
      <c r="M9289" s="40"/>
      <c r="N9289" s="40"/>
    </row>
    <row r="9290" spans="1:14" x14ac:dyDescent="0.3">
      <c r="A9290" s="3">
        <f t="shared" si="1450"/>
        <v>46279</v>
      </c>
      <c r="B9290" s="11" t="s">
        <v>9396</v>
      </c>
      <c r="C9290" s="50" t="s">
        <v>11063</v>
      </c>
      <c r="D9290" s="40"/>
      <c r="E9290" s="90" t="s">
        <v>4720</v>
      </c>
      <c r="F9290" s="40"/>
      <c r="G9290" s="185">
        <v>1200</v>
      </c>
      <c r="H9290" s="185"/>
      <c r="I9290" s="88">
        <f t="shared" si="1448"/>
        <v>1877.760000000002</v>
      </c>
      <c r="J9290" s="40"/>
      <c r="K9290" s="40"/>
      <c r="L9290" s="2">
        <f t="shared" si="1449"/>
        <v>4.8</v>
      </c>
      <c r="M9290" s="40"/>
      <c r="N9290" s="40"/>
    </row>
    <row r="9291" spans="1:14" x14ac:dyDescent="0.3">
      <c r="A9291" s="3">
        <f t="shared" si="1450"/>
        <v>46279</v>
      </c>
      <c r="B9291" s="11" t="s">
        <v>6872</v>
      </c>
      <c r="C9291" s="50" t="s">
        <v>10599</v>
      </c>
      <c r="D9291" s="40"/>
      <c r="E9291" s="90" t="s">
        <v>4720</v>
      </c>
      <c r="F9291" s="40"/>
      <c r="G9291" s="185">
        <v>3000</v>
      </c>
      <c r="H9291" s="185"/>
      <c r="I9291" s="88">
        <f t="shared" si="1448"/>
        <v>4877.760000000002</v>
      </c>
      <c r="J9291" s="40"/>
      <c r="K9291" s="40"/>
      <c r="L9291" s="2">
        <f t="shared" si="1449"/>
        <v>12</v>
      </c>
      <c r="M9291" s="40"/>
      <c r="N9291" s="40"/>
    </row>
    <row r="9292" spans="1:14" x14ac:dyDescent="0.3">
      <c r="A9292" s="3">
        <f t="shared" si="1450"/>
        <v>46279</v>
      </c>
      <c r="B9292" s="11" t="s">
        <v>1250</v>
      </c>
      <c r="C9292" s="50" t="s">
        <v>2577</v>
      </c>
      <c r="D9292" s="40"/>
      <c r="E9292" s="90" t="s">
        <v>4720</v>
      </c>
      <c r="F9292" s="40"/>
      <c r="G9292" s="185"/>
      <c r="H9292" s="185">
        <v>2500</v>
      </c>
      <c r="I9292" s="88">
        <f t="shared" si="1448"/>
        <v>2377.760000000002</v>
      </c>
      <c r="J9292" s="40"/>
      <c r="K9292" s="40"/>
      <c r="L9292" s="2">
        <f t="shared" si="1449"/>
        <v>10</v>
      </c>
      <c r="M9292" s="40"/>
      <c r="N9292" s="40"/>
    </row>
    <row r="9293" spans="1:14" x14ac:dyDescent="0.3">
      <c r="A9293" s="3">
        <f t="shared" si="1450"/>
        <v>46279</v>
      </c>
      <c r="B9293" s="11" t="s">
        <v>7545</v>
      </c>
      <c r="C9293" s="50" t="s">
        <v>6592</v>
      </c>
      <c r="D9293" s="40"/>
      <c r="E9293" s="90" t="s">
        <v>4720</v>
      </c>
      <c r="F9293" s="40"/>
      <c r="G9293" s="185">
        <v>2500</v>
      </c>
      <c r="H9293" s="185"/>
      <c r="I9293" s="88">
        <f t="shared" si="1448"/>
        <v>4877.760000000002</v>
      </c>
      <c r="J9293" s="40"/>
      <c r="K9293" s="40"/>
      <c r="L9293" s="2">
        <f t="shared" si="1449"/>
        <v>10</v>
      </c>
      <c r="M9293" s="40"/>
      <c r="N9293" s="40"/>
    </row>
    <row r="9294" spans="1:14" x14ac:dyDescent="0.3">
      <c r="A9294" s="3">
        <v>46280</v>
      </c>
      <c r="B9294" s="11" t="s">
        <v>7255</v>
      </c>
      <c r="C9294" s="50" t="s">
        <v>2492</v>
      </c>
      <c r="D9294" s="40"/>
      <c r="E9294" s="90" t="s">
        <v>4720</v>
      </c>
      <c r="F9294" s="40"/>
      <c r="G9294" s="185">
        <v>1500</v>
      </c>
      <c r="H9294" s="185"/>
      <c r="I9294" s="88">
        <f t="shared" si="1448"/>
        <v>6377.760000000002</v>
      </c>
      <c r="J9294" s="40"/>
      <c r="K9294" s="40"/>
      <c r="L9294" s="2">
        <f t="shared" si="1449"/>
        <v>6</v>
      </c>
      <c r="M9294" s="40"/>
      <c r="N9294" s="40"/>
    </row>
    <row r="9295" spans="1:14" x14ac:dyDescent="0.3">
      <c r="A9295" s="3">
        <f t="shared" si="1450"/>
        <v>46280</v>
      </c>
      <c r="B9295" s="11" t="s">
        <v>1250</v>
      </c>
      <c r="C9295" s="50" t="s">
        <v>2626</v>
      </c>
      <c r="D9295" s="182"/>
      <c r="E9295" s="90" t="s">
        <v>4720</v>
      </c>
      <c r="F9295" s="40"/>
      <c r="G9295" s="185">
        <v>3000</v>
      </c>
      <c r="H9295" s="185"/>
      <c r="I9295" s="88">
        <f t="shared" si="1448"/>
        <v>9377.760000000002</v>
      </c>
      <c r="J9295" s="40"/>
      <c r="K9295" s="40"/>
      <c r="L9295" s="2">
        <f t="shared" si="1449"/>
        <v>12</v>
      </c>
      <c r="M9295" s="40"/>
      <c r="N9295" s="40"/>
    </row>
    <row r="9296" spans="1:14" x14ac:dyDescent="0.3">
      <c r="A9296" s="3">
        <f t="shared" si="1450"/>
        <v>46280</v>
      </c>
      <c r="B9296" s="11" t="s">
        <v>2448</v>
      </c>
      <c r="C9296" s="50" t="s">
        <v>2274</v>
      </c>
      <c r="D9296" s="40"/>
      <c r="E9296" s="90" t="s">
        <v>4720</v>
      </c>
      <c r="F9296" s="40"/>
      <c r="G9296" s="185"/>
      <c r="H9296" s="185">
        <v>1000</v>
      </c>
      <c r="I9296" s="88">
        <f t="shared" si="1448"/>
        <v>8377.760000000002</v>
      </c>
      <c r="J9296" s="40"/>
      <c r="K9296" s="40"/>
      <c r="L9296" s="2">
        <f t="shared" si="1449"/>
        <v>4</v>
      </c>
      <c r="M9296" s="40"/>
      <c r="N9296" s="40"/>
    </row>
    <row r="9297" spans="1:14" x14ac:dyDescent="0.3">
      <c r="A9297" s="3">
        <v>46281</v>
      </c>
      <c r="B9297" s="11" t="s">
        <v>3420</v>
      </c>
      <c r="C9297" s="50" t="s">
        <v>9095</v>
      </c>
      <c r="D9297" s="40"/>
      <c r="E9297" s="90" t="s">
        <v>4720</v>
      </c>
      <c r="F9297" s="40"/>
      <c r="G9297" s="185"/>
      <c r="H9297" s="185">
        <v>1100</v>
      </c>
      <c r="I9297" s="88">
        <f t="shared" si="1448"/>
        <v>7277.760000000002</v>
      </c>
      <c r="J9297" s="40"/>
      <c r="K9297" s="40"/>
      <c r="L9297" s="2">
        <f t="shared" si="1449"/>
        <v>4.4000000000000004</v>
      </c>
      <c r="M9297" s="40"/>
      <c r="N9297" s="40"/>
    </row>
    <row r="9298" spans="1:14" x14ac:dyDescent="0.3">
      <c r="A9298" s="3">
        <f t="shared" si="1450"/>
        <v>46281</v>
      </c>
      <c r="B9298" s="11" t="s">
        <v>7509</v>
      </c>
      <c r="C9298" s="50" t="s">
        <v>11064</v>
      </c>
      <c r="D9298" s="40"/>
      <c r="E9298" s="90" t="s">
        <v>4720</v>
      </c>
      <c r="F9298" s="40"/>
      <c r="G9298" s="185"/>
      <c r="H9298" s="185">
        <v>5000</v>
      </c>
      <c r="I9298" s="88">
        <f t="shared" si="1448"/>
        <v>2277.760000000002</v>
      </c>
      <c r="J9298" s="40"/>
      <c r="K9298" s="40"/>
      <c r="L9298" s="2">
        <f t="shared" si="1449"/>
        <v>20</v>
      </c>
      <c r="M9298" s="40"/>
      <c r="N9298" s="40"/>
    </row>
    <row r="9299" spans="1:14" x14ac:dyDescent="0.3">
      <c r="A9299" s="3">
        <f t="shared" si="1450"/>
        <v>46281</v>
      </c>
      <c r="B9299" s="11" t="s">
        <v>1160</v>
      </c>
      <c r="D9299" s="40"/>
      <c r="E9299" s="90" t="s">
        <v>4720</v>
      </c>
      <c r="F9299" s="40"/>
      <c r="G9299" s="185">
        <v>3000</v>
      </c>
      <c r="H9299" s="185"/>
      <c r="I9299" s="88">
        <f t="shared" si="1448"/>
        <v>5277.760000000002</v>
      </c>
      <c r="J9299" s="40"/>
      <c r="K9299" s="40"/>
      <c r="L9299" s="2">
        <f t="shared" si="1449"/>
        <v>12</v>
      </c>
      <c r="M9299" s="40"/>
      <c r="N9299" s="40"/>
    </row>
    <row r="9300" spans="1:14" x14ac:dyDescent="0.3">
      <c r="A9300" s="3">
        <f t="shared" si="1450"/>
        <v>46281</v>
      </c>
      <c r="B9300" s="11" t="s">
        <v>10901</v>
      </c>
      <c r="C9300" s="50" t="s">
        <v>11065</v>
      </c>
      <c r="D9300" s="40"/>
      <c r="E9300" s="90" t="s">
        <v>4720</v>
      </c>
      <c r="F9300" s="40"/>
      <c r="G9300" s="185"/>
      <c r="H9300" s="185">
        <v>4000</v>
      </c>
      <c r="I9300" s="88">
        <f t="shared" si="1448"/>
        <v>1277.760000000002</v>
      </c>
      <c r="J9300" s="40"/>
      <c r="K9300" s="40"/>
      <c r="L9300" s="2">
        <f t="shared" si="1449"/>
        <v>16</v>
      </c>
      <c r="M9300" s="40"/>
      <c r="N9300" s="40"/>
    </row>
    <row r="9301" spans="1:14" x14ac:dyDescent="0.3">
      <c r="A9301" s="3">
        <f t="shared" si="1450"/>
        <v>46281</v>
      </c>
      <c r="B9301" s="11" t="s">
        <v>7724</v>
      </c>
      <c r="C9301" s="50" t="s">
        <v>10644</v>
      </c>
      <c r="D9301" s="40"/>
      <c r="E9301" s="90" t="s">
        <v>4720</v>
      </c>
      <c r="F9301" s="40"/>
      <c r="G9301" s="185">
        <v>2000</v>
      </c>
      <c r="H9301" s="185"/>
      <c r="I9301" s="88">
        <f t="shared" si="1448"/>
        <v>3277.760000000002</v>
      </c>
      <c r="J9301" s="40"/>
      <c r="K9301" s="40"/>
      <c r="L9301" s="2">
        <f t="shared" si="1449"/>
        <v>8</v>
      </c>
      <c r="M9301" s="40"/>
      <c r="N9301" s="40"/>
    </row>
    <row r="9302" spans="1:14" x14ac:dyDescent="0.3">
      <c r="A9302" s="3">
        <v>46282</v>
      </c>
      <c r="B9302" s="11" t="s">
        <v>1250</v>
      </c>
      <c r="C9302" s="50" t="s">
        <v>3735</v>
      </c>
      <c r="D9302" s="40"/>
      <c r="E9302" s="90" t="s">
        <v>4720</v>
      </c>
      <c r="F9302" s="40"/>
      <c r="G9302" s="185">
        <v>300</v>
      </c>
      <c r="H9302" s="185"/>
      <c r="I9302" s="88">
        <f t="shared" si="1448"/>
        <v>3577.760000000002</v>
      </c>
      <c r="J9302" s="40"/>
      <c r="K9302" s="40"/>
      <c r="L9302" s="2">
        <f t="shared" si="1449"/>
        <v>1.2</v>
      </c>
      <c r="M9302" s="40"/>
      <c r="N9302" s="40"/>
    </row>
    <row r="9303" spans="1:14" x14ac:dyDescent="0.3">
      <c r="A9303" s="3">
        <f t="shared" si="1450"/>
        <v>46282</v>
      </c>
      <c r="B9303" s="11" t="s">
        <v>7547</v>
      </c>
      <c r="C9303" s="50" t="s">
        <v>6685</v>
      </c>
      <c r="D9303" s="40"/>
      <c r="E9303" s="90" t="s">
        <v>4720</v>
      </c>
      <c r="F9303" s="40"/>
      <c r="G9303" s="185">
        <v>3000</v>
      </c>
      <c r="H9303" s="185"/>
      <c r="I9303" s="88">
        <f t="shared" si="1448"/>
        <v>6577.760000000002</v>
      </c>
      <c r="J9303" s="40"/>
      <c r="K9303" s="40"/>
      <c r="L9303" s="2">
        <f t="shared" si="1449"/>
        <v>12</v>
      </c>
      <c r="M9303" s="40"/>
      <c r="N9303" s="40"/>
    </row>
    <row r="9304" spans="1:14" x14ac:dyDescent="0.3">
      <c r="A9304" s="3">
        <f t="shared" si="1450"/>
        <v>46282</v>
      </c>
      <c r="B9304" s="11" t="s">
        <v>10901</v>
      </c>
      <c r="C9304" s="50" t="s">
        <v>11065</v>
      </c>
      <c r="D9304" s="40"/>
      <c r="E9304" s="90" t="s">
        <v>4720</v>
      </c>
      <c r="F9304" s="40"/>
      <c r="G9304" s="185"/>
      <c r="H9304" s="185">
        <v>4000</v>
      </c>
      <c r="I9304" s="88">
        <f t="shared" si="1448"/>
        <v>2577.760000000002</v>
      </c>
      <c r="J9304" s="40"/>
      <c r="K9304" s="40"/>
      <c r="L9304" s="2">
        <f t="shared" si="1449"/>
        <v>16</v>
      </c>
      <c r="M9304" s="40"/>
      <c r="N9304" s="40"/>
    </row>
    <row r="9305" spans="1:14" x14ac:dyDescent="0.3">
      <c r="A9305" s="3">
        <f t="shared" si="1450"/>
        <v>46282</v>
      </c>
      <c r="B9305" s="11" t="s">
        <v>1250</v>
      </c>
      <c r="C9305" s="50" t="s">
        <v>11066</v>
      </c>
      <c r="D9305" s="40"/>
      <c r="E9305" s="90" t="s">
        <v>4720</v>
      </c>
      <c r="F9305" s="40"/>
      <c r="G9305" s="185">
        <v>200</v>
      </c>
      <c r="H9305" s="185"/>
      <c r="I9305" s="88">
        <f t="shared" si="1448"/>
        <v>2777.760000000002</v>
      </c>
      <c r="J9305" s="40"/>
      <c r="K9305" s="40"/>
      <c r="L9305" s="2">
        <f t="shared" si="1449"/>
        <v>0.8</v>
      </c>
      <c r="M9305" s="40"/>
      <c r="N9305" s="40"/>
    </row>
    <row r="9306" spans="1:14" x14ac:dyDescent="0.3">
      <c r="A9306" s="3">
        <v>46283</v>
      </c>
      <c r="B9306" s="11" t="s">
        <v>6434</v>
      </c>
      <c r="C9306" s="50" t="s">
        <v>7117</v>
      </c>
      <c r="D9306" s="40"/>
      <c r="E9306" s="90" t="s">
        <v>4720</v>
      </c>
      <c r="F9306" s="40"/>
      <c r="G9306" s="185"/>
      <c r="H9306" s="185">
        <v>2000</v>
      </c>
      <c r="I9306" s="88">
        <f t="shared" si="1448"/>
        <v>777.76000000000204</v>
      </c>
      <c r="J9306" s="40"/>
      <c r="K9306" s="40"/>
      <c r="L9306" s="2">
        <f t="shared" si="1449"/>
        <v>8</v>
      </c>
      <c r="M9306" s="40"/>
      <c r="N9306" s="40"/>
    </row>
    <row r="9307" spans="1:14" x14ac:dyDescent="0.3">
      <c r="A9307" s="3">
        <f t="shared" si="1450"/>
        <v>46283</v>
      </c>
      <c r="B9307" s="11" t="s">
        <v>9381</v>
      </c>
      <c r="C9307" s="50" t="s">
        <v>10241</v>
      </c>
      <c r="D9307" s="40"/>
      <c r="E9307" s="90" t="s">
        <v>2088</v>
      </c>
      <c r="F9307" s="40"/>
      <c r="G9307" s="185">
        <v>0</v>
      </c>
      <c r="H9307" s="185">
        <v>0</v>
      </c>
      <c r="I9307" s="88">
        <f t="shared" si="1448"/>
        <v>777.76000000000204</v>
      </c>
      <c r="J9307" s="40"/>
      <c r="K9307" s="40"/>
      <c r="L9307" s="2">
        <f t="shared" si="1449"/>
        <v>5</v>
      </c>
      <c r="M9307" s="40"/>
      <c r="N9307" s="40"/>
    </row>
    <row r="9308" spans="1:14" x14ac:dyDescent="0.3">
      <c r="A9308" s="3">
        <f t="shared" si="1450"/>
        <v>46283</v>
      </c>
      <c r="B9308" s="11" t="s">
        <v>9381</v>
      </c>
      <c r="C9308" s="50" t="s">
        <v>10241</v>
      </c>
      <c r="D9308" s="40"/>
      <c r="E9308" s="90" t="s">
        <v>2088</v>
      </c>
      <c r="F9308" s="40"/>
      <c r="G9308" s="185">
        <v>5000</v>
      </c>
      <c r="H9308" s="185"/>
      <c r="I9308" s="88">
        <f t="shared" si="1448"/>
        <v>5777.760000000002</v>
      </c>
      <c r="J9308" s="40"/>
      <c r="K9308" s="40"/>
      <c r="L9308" s="2">
        <f t="shared" si="1449"/>
        <v>25</v>
      </c>
      <c r="M9308" s="40"/>
      <c r="N9308" s="40"/>
    </row>
    <row r="9309" spans="1:14" x14ac:dyDescent="0.3">
      <c r="A9309" s="3">
        <f t="shared" si="1450"/>
        <v>46283</v>
      </c>
      <c r="B9309" s="11" t="s">
        <v>1250</v>
      </c>
      <c r="C9309" s="50" t="s">
        <v>9738</v>
      </c>
      <c r="D9309" s="40"/>
      <c r="E9309" s="90" t="s">
        <v>4720</v>
      </c>
      <c r="F9309" s="40"/>
      <c r="G9309" s="185">
        <v>10000</v>
      </c>
      <c r="H9309" s="185"/>
      <c r="I9309" s="88">
        <f t="shared" si="1448"/>
        <v>15777.760000000002</v>
      </c>
      <c r="J9309" s="40"/>
      <c r="K9309" s="40"/>
      <c r="L9309" s="2">
        <f t="shared" si="1449"/>
        <v>20</v>
      </c>
      <c r="M9309" s="40"/>
      <c r="N9309" s="40"/>
    </row>
    <row r="9310" spans="1:14" x14ac:dyDescent="0.3">
      <c r="A9310" s="3">
        <f t="shared" si="1450"/>
        <v>46283</v>
      </c>
      <c r="B9310" s="11" t="s">
        <v>11067</v>
      </c>
      <c r="C9310" s="50" t="s">
        <v>11068</v>
      </c>
      <c r="D9310" s="40"/>
      <c r="E9310" s="90" t="s">
        <v>4720</v>
      </c>
      <c r="F9310" s="40"/>
      <c r="G9310" s="185">
        <v>700</v>
      </c>
      <c r="H9310" s="185"/>
      <c r="I9310" s="88">
        <f t="shared" si="1448"/>
        <v>16477.760000000002</v>
      </c>
      <c r="J9310" s="40"/>
      <c r="K9310" s="40"/>
      <c r="L9310" s="2">
        <f t="shared" si="1449"/>
        <v>2.8000000000000003</v>
      </c>
      <c r="M9310" s="40"/>
      <c r="N9310" s="40"/>
    </row>
    <row r="9311" spans="1:14" x14ac:dyDescent="0.3">
      <c r="A9311" s="3">
        <f t="shared" si="1450"/>
        <v>46283</v>
      </c>
      <c r="B9311" s="11" t="s">
        <v>8465</v>
      </c>
      <c r="C9311" s="50" t="s">
        <v>9096</v>
      </c>
      <c r="D9311" s="40"/>
      <c r="E9311" s="90" t="s">
        <v>2088</v>
      </c>
      <c r="F9311" s="40"/>
      <c r="G9311" s="185">
        <v>2000</v>
      </c>
      <c r="H9311" s="185"/>
      <c r="I9311" s="88">
        <f t="shared" ref="I9311:I9325" si="1451">I9310+G9311-H9311</f>
        <v>18477.760000000002</v>
      </c>
      <c r="J9311" s="40"/>
      <c r="K9311" s="40"/>
      <c r="L9311" s="2">
        <f t="shared" si="1449"/>
        <v>13</v>
      </c>
      <c r="M9311" s="40"/>
      <c r="N9311" s="40"/>
    </row>
    <row r="9312" spans="1:14" x14ac:dyDescent="0.3">
      <c r="A9312" s="3">
        <f t="shared" si="1450"/>
        <v>46283</v>
      </c>
      <c r="B9312" s="11" t="s">
        <v>1250</v>
      </c>
      <c r="C9312" s="50" t="s">
        <v>2348</v>
      </c>
      <c r="D9312" s="40"/>
      <c r="E9312" s="90" t="s">
        <v>4720</v>
      </c>
      <c r="F9312" s="40"/>
      <c r="G9312" s="185">
        <v>5000</v>
      </c>
      <c r="H9312" s="185"/>
      <c r="I9312" s="88">
        <f t="shared" si="1451"/>
        <v>23477.760000000002</v>
      </c>
      <c r="J9312" s="40"/>
      <c r="K9312" s="40"/>
      <c r="L9312" s="2">
        <f t="shared" si="1449"/>
        <v>20</v>
      </c>
      <c r="M9312" s="40"/>
      <c r="N9312" s="40"/>
    </row>
    <row r="9313" spans="1:14" x14ac:dyDescent="0.3">
      <c r="A9313" s="3">
        <f t="shared" si="1450"/>
        <v>46283</v>
      </c>
      <c r="B9313" s="11" t="s">
        <v>7120</v>
      </c>
      <c r="C9313" s="50" t="s">
        <v>2857</v>
      </c>
      <c r="D9313" s="40"/>
      <c r="E9313" s="90" t="s">
        <v>8332</v>
      </c>
      <c r="F9313" s="40"/>
      <c r="G9313" s="185"/>
      <c r="H9313" s="185">
        <v>20000</v>
      </c>
      <c r="I9313" s="88">
        <f t="shared" si="1451"/>
        <v>3477.760000000002</v>
      </c>
      <c r="J9313" s="40"/>
      <c r="K9313" s="40"/>
      <c r="L9313" s="2">
        <f t="shared" si="1449"/>
        <v>0</v>
      </c>
      <c r="M9313" s="40"/>
      <c r="N9313" s="40"/>
    </row>
    <row r="9314" spans="1:14" x14ac:dyDescent="0.3">
      <c r="A9314" s="3">
        <v>46284</v>
      </c>
      <c r="B9314" s="11" t="s">
        <v>3148</v>
      </c>
      <c r="C9314" s="50" t="s">
        <v>11069</v>
      </c>
      <c r="D9314" s="40"/>
      <c r="E9314" s="90" t="s">
        <v>4720</v>
      </c>
      <c r="F9314" s="40"/>
      <c r="G9314" s="185">
        <v>1300</v>
      </c>
      <c r="H9314" s="185"/>
      <c r="I9314" s="88">
        <f t="shared" si="1451"/>
        <v>4777.760000000002</v>
      </c>
      <c r="J9314" s="40"/>
      <c r="K9314" s="40"/>
      <c r="L9314" s="2">
        <f t="shared" si="1449"/>
        <v>5.2</v>
      </c>
      <c r="M9314" s="40"/>
      <c r="N9314" s="40"/>
    </row>
    <row r="9315" spans="1:14" x14ac:dyDescent="0.3">
      <c r="A9315" s="3">
        <f t="shared" ref="A9315:A9348" si="1452">A9314</f>
        <v>46284</v>
      </c>
      <c r="B9315" s="11" t="s">
        <v>7859</v>
      </c>
      <c r="C9315" s="50" t="s">
        <v>10324</v>
      </c>
      <c r="D9315" s="40"/>
      <c r="E9315" s="90" t="s">
        <v>4720</v>
      </c>
      <c r="F9315" s="40"/>
      <c r="G9315" s="188">
        <v>5000</v>
      </c>
      <c r="H9315" s="185"/>
      <c r="I9315" s="88">
        <f t="shared" si="1451"/>
        <v>9777.760000000002</v>
      </c>
      <c r="J9315" s="40"/>
      <c r="K9315" s="40"/>
      <c r="L9315" s="2">
        <f t="shared" si="1449"/>
        <v>20</v>
      </c>
      <c r="M9315" s="40"/>
      <c r="N9315" s="40"/>
    </row>
    <row r="9316" spans="1:14" x14ac:dyDescent="0.3">
      <c r="A9316" s="3">
        <f t="shared" si="1452"/>
        <v>46284</v>
      </c>
      <c r="B9316" s="11" t="s">
        <v>7060</v>
      </c>
      <c r="C9316" s="50" t="s">
        <v>7061</v>
      </c>
      <c r="D9316" s="40"/>
      <c r="E9316" s="90" t="s">
        <v>4720</v>
      </c>
      <c r="F9316" s="40"/>
      <c r="G9316" s="185">
        <v>3000</v>
      </c>
      <c r="H9316" s="185"/>
      <c r="I9316" s="88">
        <f t="shared" si="1451"/>
        <v>12777.760000000002</v>
      </c>
      <c r="J9316" s="40"/>
      <c r="K9316" s="40"/>
      <c r="L9316" s="2">
        <f t="shared" si="1449"/>
        <v>12</v>
      </c>
      <c r="M9316" s="40"/>
      <c r="N9316" s="40"/>
    </row>
    <row r="9317" spans="1:14" x14ac:dyDescent="0.3">
      <c r="A9317" s="3">
        <f t="shared" si="1452"/>
        <v>46284</v>
      </c>
      <c r="B9317" s="11" t="s">
        <v>2490</v>
      </c>
      <c r="C9317" s="50" t="s">
        <v>11070</v>
      </c>
      <c r="D9317" s="40"/>
      <c r="E9317" s="90" t="s">
        <v>4720</v>
      </c>
      <c r="F9317" s="40"/>
      <c r="G9317" s="185"/>
      <c r="H9317" s="185">
        <v>12000</v>
      </c>
      <c r="I9317" s="88">
        <f t="shared" si="1451"/>
        <v>777.76000000000204</v>
      </c>
      <c r="J9317" s="40"/>
      <c r="K9317" s="40"/>
      <c r="L9317" s="2">
        <f t="shared" si="1449"/>
        <v>20</v>
      </c>
      <c r="M9317" s="40"/>
      <c r="N9317" s="40"/>
    </row>
    <row r="9318" spans="1:14" x14ac:dyDescent="0.3">
      <c r="A9318" s="3">
        <f t="shared" si="1452"/>
        <v>46284</v>
      </c>
      <c r="B9318" s="11" t="s">
        <v>1250</v>
      </c>
      <c r="C9318" s="50" t="s">
        <v>4437</v>
      </c>
      <c r="D9318" s="40"/>
      <c r="E9318" s="90" t="s">
        <v>4720</v>
      </c>
      <c r="F9318" s="40"/>
      <c r="G9318" s="185">
        <v>2900</v>
      </c>
      <c r="H9318" s="185"/>
      <c r="I9318" s="88">
        <f t="shared" si="1451"/>
        <v>3677.760000000002</v>
      </c>
      <c r="J9318" s="40"/>
      <c r="K9318" s="40"/>
      <c r="L9318" s="2">
        <f t="shared" si="1449"/>
        <v>11.6</v>
      </c>
      <c r="M9318" s="40"/>
      <c r="N9318" s="40"/>
    </row>
    <row r="9319" spans="1:14" x14ac:dyDescent="0.3">
      <c r="A9319" s="3">
        <v>46285</v>
      </c>
      <c r="B9319" s="11" t="s">
        <v>6687</v>
      </c>
      <c r="C9319" s="50" t="s">
        <v>9625</v>
      </c>
      <c r="D9319" s="40"/>
      <c r="E9319" s="90" t="s">
        <v>4720</v>
      </c>
      <c r="F9319" s="40"/>
      <c r="G9319" s="185">
        <v>2000</v>
      </c>
      <c r="H9319" s="185"/>
      <c r="I9319" s="88">
        <f t="shared" si="1451"/>
        <v>5677.760000000002</v>
      </c>
      <c r="J9319" s="40"/>
      <c r="K9319" s="40"/>
      <c r="L9319" s="2">
        <f t="shared" si="1449"/>
        <v>8</v>
      </c>
      <c r="M9319" s="40"/>
      <c r="N9319" s="40"/>
    </row>
    <row r="9320" spans="1:14" x14ac:dyDescent="0.3">
      <c r="A9320" s="3">
        <f t="shared" si="1452"/>
        <v>46285</v>
      </c>
      <c r="B9320" s="11" t="s">
        <v>8906</v>
      </c>
      <c r="C9320" s="50" t="s">
        <v>10444</v>
      </c>
      <c r="D9320" s="40"/>
      <c r="E9320" s="90" t="s">
        <v>2088</v>
      </c>
      <c r="F9320" s="40"/>
      <c r="G9320" s="185"/>
      <c r="H9320" s="185">
        <v>2000</v>
      </c>
      <c r="I9320" s="88">
        <f t="shared" si="1451"/>
        <v>3677.760000000002</v>
      </c>
      <c r="J9320" s="40"/>
      <c r="K9320" s="40"/>
      <c r="L9320" s="2">
        <f t="shared" si="1449"/>
        <v>13</v>
      </c>
      <c r="M9320" s="40"/>
      <c r="N9320" s="40"/>
    </row>
    <row r="9321" spans="1:14" x14ac:dyDescent="0.3">
      <c r="A9321" s="3">
        <f t="shared" si="1452"/>
        <v>46285</v>
      </c>
      <c r="B9321" s="11" t="s">
        <v>7734</v>
      </c>
      <c r="C9321" s="50" t="s">
        <v>9533</v>
      </c>
      <c r="D9321" s="40"/>
      <c r="E9321" s="90" t="s">
        <v>2088</v>
      </c>
      <c r="F9321" s="40"/>
      <c r="G9321" s="185">
        <v>0</v>
      </c>
      <c r="H9321" s="185">
        <v>0</v>
      </c>
      <c r="I9321" s="88">
        <f t="shared" si="1451"/>
        <v>3677.760000000002</v>
      </c>
      <c r="J9321" s="40"/>
      <c r="K9321" s="40"/>
      <c r="L9321" s="2">
        <f t="shared" si="1449"/>
        <v>5</v>
      </c>
      <c r="M9321" s="40"/>
      <c r="N9321" s="40"/>
    </row>
    <row r="9322" spans="1:14" x14ac:dyDescent="0.3">
      <c r="A9322" s="3">
        <f t="shared" si="1452"/>
        <v>46285</v>
      </c>
      <c r="B9322" s="11" t="s">
        <v>6434</v>
      </c>
      <c r="C9322" s="50" t="s">
        <v>7117</v>
      </c>
      <c r="D9322" s="40"/>
      <c r="E9322" s="90" t="s">
        <v>4720</v>
      </c>
      <c r="F9322" s="40"/>
      <c r="G9322" s="185"/>
      <c r="H9322" s="185">
        <v>3000</v>
      </c>
      <c r="I9322" s="88">
        <f t="shared" si="1451"/>
        <v>677.76000000000204</v>
      </c>
      <c r="J9322" s="40"/>
      <c r="K9322" s="40"/>
      <c r="L9322" s="2">
        <f t="shared" si="1449"/>
        <v>12</v>
      </c>
      <c r="M9322" s="40"/>
      <c r="N9322" s="40"/>
    </row>
    <row r="9323" spans="1:14" x14ac:dyDescent="0.3">
      <c r="A9323" s="3">
        <f t="shared" si="1452"/>
        <v>46285</v>
      </c>
      <c r="B9323" s="11" t="s">
        <v>4652</v>
      </c>
      <c r="C9323" s="50" t="s">
        <v>11071</v>
      </c>
      <c r="D9323" s="40"/>
      <c r="E9323" s="90" t="s">
        <v>2088</v>
      </c>
      <c r="F9323" s="40"/>
      <c r="G9323" s="185">
        <v>2000</v>
      </c>
      <c r="H9323" s="185"/>
      <c r="I9323" s="88">
        <f t="shared" si="1451"/>
        <v>2677.760000000002</v>
      </c>
      <c r="J9323" s="40"/>
      <c r="K9323" s="40"/>
      <c r="L9323" s="2">
        <f t="shared" si="1449"/>
        <v>13</v>
      </c>
      <c r="M9323" s="40"/>
      <c r="N9323" s="40"/>
    </row>
    <row r="9324" spans="1:14" x14ac:dyDescent="0.3">
      <c r="A9324" s="3">
        <f t="shared" si="1452"/>
        <v>46285</v>
      </c>
      <c r="B9324" s="11" t="s">
        <v>9381</v>
      </c>
      <c r="C9324" s="50" t="s">
        <v>10241</v>
      </c>
      <c r="D9324" s="40"/>
      <c r="E9324" s="90" t="s">
        <v>2088</v>
      </c>
      <c r="F9324" s="40"/>
      <c r="G9324" s="185"/>
      <c r="H9324" s="185"/>
      <c r="I9324" s="88">
        <f t="shared" si="1451"/>
        <v>2677.760000000002</v>
      </c>
      <c r="J9324" s="40"/>
      <c r="K9324" s="40"/>
      <c r="L9324" s="2">
        <f t="shared" si="1449"/>
        <v>5</v>
      </c>
      <c r="M9324" s="40"/>
      <c r="N9324" s="40"/>
    </row>
    <row r="9325" spans="1:14" x14ac:dyDescent="0.3">
      <c r="A9325" s="3">
        <f t="shared" si="1452"/>
        <v>46285</v>
      </c>
      <c r="B9325" s="11" t="s">
        <v>9381</v>
      </c>
      <c r="C9325" s="50" t="s">
        <v>10241</v>
      </c>
      <c r="D9325" s="40"/>
      <c r="E9325" s="90" t="s">
        <v>2088</v>
      </c>
      <c r="F9325" s="40"/>
      <c r="G9325" s="185">
        <v>1000</v>
      </c>
      <c r="H9325" s="185"/>
      <c r="I9325" s="88">
        <f t="shared" si="1451"/>
        <v>3677.760000000002</v>
      </c>
      <c r="J9325" s="40"/>
      <c r="K9325" s="40"/>
      <c r="L9325" s="2">
        <f t="shared" si="1449"/>
        <v>9</v>
      </c>
      <c r="M9325" s="40"/>
      <c r="N9325" s="40"/>
    </row>
    <row r="9326" spans="1:14" x14ac:dyDescent="0.3">
      <c r="A9326" s="3">
        <f t="shared" si="1452"/>
        <v>46285</v>
      </c>
      <c r="B9326" s="11" t="s">
        <v>5355</v>
      </c>
      <c r="C9326" s="50" t="s">
        <v>5357</v>
      </c>
      <c r="D9326" s="40"/>
      <c r="E9326" s="90" t="s">
        <v>2088</v>
      </c>
      <c r="F9326" s="40"/>
      <c r="G9326" s="185">
        <v>1500</v>
      </c>
      <c r="H9326" s="185"/>
      <c r="I9326" s="88">
        <f t="shared" ref="I9326:I9379" si="1453">I9325+G9326-H9326</f>
        <v>5177.760000000002</v>
      </c>
      <c r="J9326" s="40"/>
      <c r="K9326" s="40"/>
      <c r="L9326" s="2">
        <f t="shared" ref="L9326:L9379" si="1454">IF(E9326="C",0,IF((G9326+H9326)&lt;=5000,(G9326+H9326)*0.004,20)+IF(E9326="P",5,IF(E9326="Y",15,IF(E9326="YY",25))))</f>
        <v>11</v>
      </c>
      <c r="M9326" s="40"/>
      <c r="N9326" s="40"/>
    </row>
    <row r="9327" spans="1:14" x14ac:dyDescent="0.3">
      <c r="A9327" s="3">
        <f t="shared" si="1452"/>
        <v>46285</v>
      </c>
      <c r="B9327" s="11" t="s">
        <v>7302</v>
      </c>
      <c r="C9327" s="50" t="s">
        <v>11072</v>
      </c>
      <c r="D9327" s="40"/>
      <c r="E9327" s="90" t="s">
        <v>2088</v>
      </c>
      <c r="F9327" s="40"/>
      <c r="G9327" s="185"/>
      <c r="H9327" s="185">
        <v>4500</v>
      </c>
      <c r="I9327" s="88">
        <f t="shared" si="1453"/>
        <v>677.76000000000204</v>
      </c>
      <c r="J9327" s="40"/>
      <c r="K9327" s="40"/>
      <c r="L9327" s="2">
        <f t="shared" si="1454"/>
        <v>23</v>
      </c>
      <c r="M9327" s="40"/>
      <c r="N9327" s="40"/>
    </row>
    <row r="9328" spans="1:14" x14ac:dyDescent="0.3">
      <c r="A9328" s="3">
        <f t="shared" si="1452"/>
        <v>46285</v>
      </c>
      <c r="B9328" s="11" t="s">
        <v>9393</v>
      </c>
      <c r="C9328" s="50" t="s">
        <v>11073</v>
      </c>
      <c r="D9328" s="40"/>
      <c r="E9328" s="90" t="s">
        <v>7772</v>
      </c>
      <c r="F9328" s="40"/>
      <c r="G9328" s="185">
        <v>800</v>
      </c>
      <c r="H9328" s="185"/>
      <c r="I9328" s="88">
        <f t="shared" si="1453"/>
        <v>1477.760000000002</v>
      </c>
      <c r="J9328" s="40"/>
      <c r="K9328" s="40"/>
      <c r="L9328" s="2">
        <f t="shared" si="1454"/>
        <v>8.1999999999999993</v>
      </c>
      <c r="M9328" s="40"/>
      <c r="N9328" s="40"/>
    </row>
    <row r="9329" spans="1:14" x14ac:dyDescent="0.3">
      <c r="A9329" s="3">
        <f t="shared" si="1452"/>
        <v>46285</v>
      </c>
      <c r="B9329" s="11" t="s">
        <v>1170</v>
      </c>
      <c r="C9329" s="50" t="s">
        <v>8793</v>
      </c>
      <c r="D9329" s="40"/>
      <c r="E9329" s="90" t="s">
        <v>4720</v>
      </c>
      <c r="F9329" s="40"/>
      <c r="G9329" s="185">
        <v>4050</v>
      </c>
      <c r="H9329" s="185"/>
      <c r="I9329" s="88">
        <f t="shared" si="1453"/>
        <v>5527.760000000002</v>
      </c>
      <c r="J9329" s="40"/>
      <c r="K9329" s="40"/>
      <c r="L9329" s="2">
        <f t="shared" si="1454"/>
        <v>16.2</v>
      </c>
      <c r="M9329" s="40"/>
      <c r="N9329" s="40"/>
    </row>
    <row r="9330" spans="1:14" x14ac:dyDescent="0.3">
      <c r="A9330" s="3">
        <v>46288</v>
      </c>
      <c r="B9330" s="11" t="s">
        <v>8922</v>
      </c>
      <c r="C9330" s="50" t="s">
        <v>11074</v>
      </c>
      <c r="D9330" s="40"/>
      <c r="E9330" s="90" t="s">
        <v>2088</v>
      </c>
      <c r="F9330" s="40"/>
      <c r="G9330" s="185">
        <v>5000</v>
      </c>
      <c r="H9330" s="185"/>
      <c r="I9330" s="88">
        <f t="shared" si="1453"/>
        <v>10527.760000000002</v>
      </c>
      <c r="J9330" s="40"/>
      <c r="K9330" s="40"/>
      <c r="L9330" s="2">
        <f t="shared" si="1454"/>
        <v>25</v>
      </c>
      <c r="M9330" s="40"/>
      <c r="N9330" s="40"/>
    </row>
    <row r="9331" spans="1:14" x14ac:dyDescent="0.3">
      <c r="A9331" s="3">
        <f t="shared" si="1452"/>
        <v>46288</v>
      </c>
      <c r="B9331" s="11" t="s">
        <v>5115</v>
      </c>
      <c r="C9331" s="50" t="s">
        <v>11061</v>
      </c>
      <c r="D9331" s="40"/>
      <c r="E9331" s="90" t="s">
        <v>2088</v>
      </c>
      <c r="F9331" s="40"/>
      <c r="G9331" s="185">
        <v>10000</v>
      </c>
      <c r="H9331" s="185"/>
      <c r="I9331" s="88">
        <f t="shared" si="1453"/>
        <v>20527.760000000002</v>
      </c>
      <c r="J9331" s="40"/>
      <c r="K9331" s="40"/>
      <c r="L9331" s="2">
        <f t="shared" si="1454"/>
        <v>25</v>
      </c>
      <c r="M9331" s="40"/>
      <c r="N9331" s="40"/>
    </row>
    <row r="9332" spans="1:14" x14ac:dyDescent="0.3">
      <c r="A9332" s="3">
        <f t="shared" si="1452"/>
        <v>46288</v>
      </c>
      <c r="B9332" s="11" t="s">
        <v>10031</v>
      </c>
      <c r="C9332" s="50" t="s">
        <v>10974</v>
      </c>
      <c r="D9332" s="40"/>
      <c r="E9332" s="90" t="s">
        <v>2088</v>
      </c>
      <c r="F9332" s="40"/>
      <c r="G9332" s="185">
        <v>5000</v>
      </c>
      <c r="H9332" s="185"/>
      <c r="I9332" s="88">
        <f t="shared" si="1453"/>
        <v>25527.760000000002</v>
      </c>
      <c r="J9332" s="40"/>
      <c r="K9332" s="40"/>
      <c r="L9332" s="2">
        <f t="shared" si="1454"/>
        <v>25</v>
      </c>
      <c r="M9332" s="40"/>
      <c r="N9332" s="40"/>
    </row>
    <row r="9333" spans="1:14" x14ac:dyDescent="0.3">
      <c r="A9333" s="3">
        <f t="shared" si="1452"/>
        <v>46288</v>
      </c>
      <c r="B9333" s="11" t="s">
        <v>11075</v>
      </c>
      <c r="C9333" s="50" t="s">
        <v>11076</v>
      </c>
      <c r="D9333" s="40"/>
      <c r="E9333" s="90" t="s">
        <v>4720</v>
      </c>
      <c r="F9333" s="40"/>
      <c r="G9333" s="185">
        <v>400</v>
      </c>
      <c r="H9333" s="185"/>
      <c r="I9333" s="88">
        <f t="shared" si="1453"/>
        <v>25927.760000000002</v>
      </c>
      <c r="J9333" s="40"/>
      <c r="K9333" s="40"/>
      <c r="L9333" s="2">
        <f t="shared" si="1454"/>
        <v>1.6</v>
      </c>
      <c r="M9333" s="40"/>
      <c r="N9333" s="40"/>
    </row>
    <row r="9334" spans="1:14" x14ac:dyDescent="0.3">
      <c r="A9334" s="3">
        <f t="shared" si="1452"/>
        <v>46288</v>
      </c>
      <c r="B9334" s="11" t="s">
        <v>8049</v>
      </c>
      <c r="C9334" s="50" t="s">
        <v>8050</v>
      </c>
      <c r="D9334" s="40"/>
      <c r="E9334" s="90" t="s">
        <v>4720</v>
      </c>
      <c r="F9334" s="40"/>
      <c r="G9334" s="185">
        <v>5000</v>
      </c>
      <c r="H9334" s="185"/>
      <c r="I9334" s="88">
        <f t="shared" si="1453"/>
        <v>30927.760000000002</v>
      </c>
      <c r="J9334" s="40"/>
      <c r="K9334" s="40"/>
      <c r="L9334" s="2">
        <f t="shared" si="1454"/>
        <v>20</v>
      </c>
      <c r="M9334" s="40"/>
      <c r="N9334" s="40"/>
    </row>
    <row r="9335" spans="1:14" x14ac:dyDescent="0.3">
      <c r="A9335" s="3">
        <f t="shared" si="1452"/>
        <v>46288</v>
      </c>
      <c r="B9335" s="11" t="s">
        <v>6743</v>
      </c>
      <c r="C9335" s="50" t="s">
        <v>9170</v>
      </c>
      <c r="D9335" s="40"/>
      <c r="E9335" s="90" t="s">
        <v>2088</v>
      </c>
      <c r="F9335" s="40"/>
      <c r="G9335" s="185">
        <v>5000</v>
      </c>
      <c r="H9335" s="185"/>
      <c r="I9335" s="88">
        <f t="shared" si="1453"/>
        <v>35927.760000000002</v>
      </c>
      <c r="J9335" s="40"/>
      <c r="K9335" s="40"/>
      <c r="L9335" s="2">
        <f t="shared" si="1454"/>
        <v>25</v>
      </c>
      <c r="M9335" s="40"/>
      <c r="N9335" s="40"/>
    </row>
    <row r="9336" spans="1:14" x14ac:dyDescent="0.3">
      <c r="A9336" s="3">
        <f t="shared" si="1452"/>
        <v>46288</v>
      </c>
      <c r="B9336" s="11" t="s">
        <v>2490</v>
      </c>
      <c r="C9336" s="50" t="s">
        <v>2857</v>
      </c>
      <c r="D9336" s="40"/>
      <c r="E9336" s="90" t="s">
        <v>8332</v>
      </c>
      <c r="F9336" s="40"/>
      <c r="G9336" s="185"/>
      <c r="H9336" s="185">
        <v>30000</v>
      </c>
      <c r="I9336" s="88">
        <f t="shared" si="1453"/>
        <v>5927.760000000002</v>
      </c>
      <c r="J9336" s="40"/>
      <c r="K9336" s="40"/>
      <c r="L9336" s="2">
        <f t="shared" si="1454"/>
        <v>0</v>
      </c>
      <c r="M9336" s="40"/>
      <c r="N9336" s="40"/>
    </row>
    <row r="9337" spans="1:14" x14ac:dyDescent="0.3">
      <c r="A9337" s="3">
        <v>46289</v>
      </c>
      <c r="B9337" s="11" t="s">
        <v>2241</v>
      </c>
      <c r="C9337" s="50" t="s">
        <v>4310</v>
      </c>
      <c r="D9337" s="182"/>
      <c r="E9337" s="90" t="s">
        <v>4720</v>
      </c>
      <c r="F9337" s="40"/>
      <c r="G9337" s="185">
        <v>10000</v>
      </c>
      <c r="H9337" s="185"/>
      <c r="I9337" s="88">
        <f t="shared" si="1453"/>
        <v>15927.760000000002</v>
      </c>
      <c r="J9337" s="40"/>
      <c r="K9337" s="40"/>
      <c r="L9337" s="2">
        <f t="shared" si="1454"/>
        <v>20</v>
      </c>
      <c r="M9337" s="40"/>
      <c r="N9337" s="40"/>
    </row>
    <row r="9338" spans="1:14" x14ac:dyDescent="0.3">
      <c r="A9338" s="3">
        <f t="shared" si="1452"/>
        <v>46289</v>
      </c>
      <c r="B9338" s="11" t="s">
        <v>4072</v>
      </c>
      <c r="C9338" s="50" t="s">
        <v>1593</v>
      </c>
      <c r="D9338" s="40"/>
      <c r="E9338" s="90" t="s">
        <v>2088</v>
      </c>
      <c r="F9338" s="40"/>
      <c r="G9338" s="185">
        <v>0</v>
      </c>
      <c r="H9338" s="185">
        <v>0</v>
      </c>
      <c r="I9338" s="88">
        <f t="shared" si="1453"/>
        <v>15927.760000000002</v>
      </c>
      <c r="J9338" s="40"/>
      <c r="K9338" s="40"/>
      <c r="L9338" s="2">
        <f t="shared" si="1454"/>
        <v>5</v>
      </c>
      <c r="M9338" s="40"/>
      <c r="N9338" s="40"/>
    </row>
    <row r="9339" spans="1:14" x14ac:dyDescent="0.3">
      <c r="A9339" s="3">
        <f t="shared" si="1452"/>
        <v>46289</v>
      </c>
      <c r="B9339" s="11" t="s">
        <v>2490</v>
      </c>
      <c r="C9339" s="50" t="s">
        <v>2857</v>
      </c>
      <c r="D9339" s="40"/>
      <c r="E9339" s="90" t="s">
        <v>8332</v>
      </c>
      <c r="F9339" s="40"/>
      <c r="G9339" s="185"/>
      <c r="H9339" s="185">
        <v>15000</v>
      </c>
      <c r="I9339" s="88">
        <f t="shared" si="1453"/>
        <v>927.76000000000204</v>
      </c>
      <c r="J9339" s="40"/>
      <c r="K9339" s="40"/>
      <c r="L9339" s="2">
        <f t="shared" si="1454"/>
        <v>0</v>
      </c>
      <c r="M9339" s="40"/>
      <c r="N9339" s="40"/>
    </row>
    <row r="9340" spans="1:14" x14ac:dyDescent="0.3">
      <c r="A9340" s="3">
        <f t="shared" si="1452"/>
        <v>46289</v>
      </c>
      <c r="B9340" s="11" t="s">
        <v>5115</v>
      </c>
      <c r="C9340" s="50" t="s">
        <v>11077</v>
      </c>
      <c r="D9340" s="40"/>
      <c r="E9340" s="90" t="s">
        <v>2088</v>
      </c>
      <c r="F9340" s="40"/>
      <c r="G9340" s="185">
        <v>10000</v>
      </c>
      <c r="H9340" s="185"/>
      <c r="I9340" s="88">
        <f t="shared" si="1453"/>
        <v>10927.760000000002</v>
      </c>
      <c r="J9340" s="40"/>
      <c r="K9340" s="40"/>
      <c r="L9340" s="2">
        <f t="shared" si="1454"/>
        <v>25</v>
      </c>
      <c r="M9340" s="40"/>
      <c r="N9340" s="40"/>
    </row>
    <row r="9341" spans="1:14" x14ac:dyDescent="0.3">
      <c r="A9341" s="3">
        <f t="shared" si="1452"/>
        <v>46289</v>
      </c>
      <c r="B9341" s="11" t="s">
        <v>4072</v>
      </c>
      <c r="C9341" s="50" t="s">
        <v>1593</v>
      </c>
      <c r="D9341" s="40"/>
      <c r="E9341" s="90" t="s">
        <v>4720</v>
      </c>
      <c r="F9341" s="40"/>
      <c r="G9341" s="185"/>
      <c r="H9341" s="185">
        <v>3500</v>
      </c>
      <c r="I9341" s="88">
        <f t="shared" si="1453"/>
        <v>7427.760000000002</v>
      </c>
      <c r="J9341" s="40"/>
      <c r="K9341" s="40"/>
      <c r="L9341" s="2">
        <f t="shared" si="1454"/>
        <v>14</v>
      </c>
      <c r="M9341" s="40"/>
      <c r="N9341" s="40"/>
    </row>
    <row r="9342" spans="1:14" x14ac:dyDescent="0.3">
      <c r="A9342" s="3">
        <f t="shared" si="1452"/>
        <v>46289</v>
      </c>
      <c r="B9342" s="11" t="s">
        <v>7289</v>
      </c>
      <c r="C9342" s="50" t="s">
        <v>8759</v>
      </c>
      <c r="D9342" s="40"/>
      <c r="E9342" s="90" t="s">
        <v>2088</v>
      </c>
      <c r="F9342" s="40"/>
      <c r="G9342" s="185"/>
      <c r="H9342" s="185"/>
      <c r="I9342" s="88">
        <f t="shared" si="1453"/>
        <v>7427.760000000002</v>
      </c>
      <c r="J9342" s="40"/>
      <c r="K9342" s="40"/>
      <c r="L9342" s="2">
        <f t="shared" si="1454"/>
        <v>5</v>
      </c>
      <c r="M9342" s="40"/>
      <c r="N9342" s="40"/>
    </row>
    <row r="9343" spans="1:14" x14ac:dyDescent="0.3">
      <c r="A9343" s="3">
        <f t="shared" si="1452"/>
        <v>46289</v>
      </c>
      <c r="B9343" s="11" t="s">
        <v>7289</v>
      </c>
      <c r="C9343" s="50" t="s">
        <v>8759</v>
      </c>
      <c r="D9343" s="40"/>
      <c r="E9343" s="90" t="s">
        <v>2088</v>
      </c>
      <c r="F9343" s="40"/>
      <c r="G9343" s="185">
        <v>3000</v>
      </c>
      <c r="H9343" s="185"/>
      <c r="I9343" s="88">
        <f t="shared" si="1453"/>
        <v>10427.760000000002</v>
      </c>
      <c r="J9343" s="40"/>
      <c r="K9343" s="40"/>
      <c r="L9343" s="2">
        <f t="shared" si="1454"/>
        <v>17</v>
      </c>
      <c r="M9343" s="40"/>
      <c r="N9343" s="40"/>
    </row>
    <row r="9344" spans="1:14" x14ac:dyDescent="0.3">
      <c r="A9344" s="3">
        <f t="shared" si="1452"/>
        <v>46289</v>
      </c>
      <c r="B9344" s="11" t="s">
        <v>7255</v>
      </c>
      <c r="C9344" s="50" t="s">
        <v>2492</v>
      </c>
      <c r="D9344" s="40"/>
      <c r="E9344" s="90" t="s">
        <v>2088</v>
      </c>
      <c r="F9344" s="40"/>
      <c r="G9344" s="185">
        <v>1000</v>
      </c>
      <c r="H9344" s="185"/>
      <c r="I9344" s="88">
        <f t="shared" si="1453"/>
        <v>11427.760000000002</v>
      </c>
      <c r="J9344" s="40"/>
      <c r="K9344" s="40"/>
      <c r="L9344" s="2">
        <f t="shared" si="1454"/>
        <v>9</v>
      </c>
      <c r="M9344" s="40"/>
      <c r="N9344" s="40"/>
    </row>
    <row r="9345" spans="1:14" x14ac:dyDescent="0.3">
      <c r="A9345" s="3">
        <f t="shared" si="1452"/>
        <v>46289</v>
      </c>
      <c r="B9345" s="11" t="s">
        <v>8465</v>
      </c>
      <c r="C9345" s="50" t="s">
        <v>9096</v>
      </c>
      <c r="D9345" s="40"/>
      <c r="E9345" s="90" t="s">
        <v>2088</v>
      </c>
      <c r="F9345" s="40"/>
      <c r="G9345" s="185">
        <v>1000</v>
      </c>
      <c r="H9345" s="185"/>
      <c r="I9345" s="88">
        <f t="shared" si="1453"/>
        <v>12427.760000000002</v>
      </c>
      <c r="J9345" s="40"/>
      <c r="K9345" s="40"/>
      <c r="L9345" s="2">
        <f t="shared" si="1454"/>
        <v>9</v>
      </c>
      <c r="M9345" s="40"/>
      <c r="N9345" s="40"/>
    </row>
    <row r="9346" spans="1:14" x14ac:dyDescent="0.3">
      <c r="A9346" s="3">
        <f t="shared" si="1452"/>
        <v>46289</v>
      </c>
      <c r="B9346" s="11" t="s">
        <v>7166</v>
      </c>
      <c r="C9346" s="50" t="s">
        <v>8055</v>
      </c>
      <c r="D9346" s="40"/>
      <c r="E9346" s="90" t="s">
        <v>4720</v>
      </c>
      <c r="F9346" s="40"/>
      <c r="G9346" s="185"/>
      <c r="H9346" s="185">
        <v>1000</v>
      </c>
      <c r="I9346" s="88">
        <f t="shared" si="1453"/>
        <v>11427.760000000002</v>
      </c>
      <c r="J9346" s="40"/>
      <c r="K9346" s="40"/>
      <c r="M9346" s="40"/>
      <c r="N9346" s="40"/>
    </row>
    <row r="9347" spans="1:14" x14ac:dyDescent="0.3">
      <c r="A9347" s="3">
        <f t="shared" si="1452"/>
        <v>46289</v>
      </c>
      <c r="B9347" s="11" t="s">
        <v>3685</v>
      </c>
      <c r="C9347" s="50" t="s">
        <v>8849</v>
      </c>
      <c r="D9347" s="40"/>
      <c r="E9347" s="90" t="s">
        <v>4720</v>
      </c>
      <c r="F9347" s="40"/>
      <c r="G9347" s="185">
        <v>3000</v>
      </c>
      <c r="H9347" s="185"/>
      <c r="I9347" s="88">
        <f t="shared" si="1453"/>
        <v>14427.760000000002</v>
      </c>
      <c r="J9347" s="40"/>
      <c r="K9347" s="40"/>
      <c r="M9347" s="40"/>
      <c r="N9347" s="40"/>
    </row>
    <row r="9348" spans="1:14" x14ac:dyDescent="0.3">
      <c r="A9348" s="3">
        <f t="shared" si="1452"/>
        <v>46289</v>
      </c>
      <c r="B9348" s="11" t="s">
        <v>11078</v>
      </c>
      <c r="C9348" s="50" t="s">
        <v>11079</v>
      </c>
      <c r="D9348" s="40"/>
      <c r="E9348" s="90" t="s">
        <v>4720</v>
      </c>
      <c r="F9348" s="40"/>
      <c r="G9348" s="185">
        <v>4000</v>
      </c>
      <c r="H9348" s="185"/>
      <c r="I9348" s="88">
        <f t="shared" si="1453"/>
        <v>18427.760000000002</v>
      </c>
      <c r="J9348" s="40"/>
      <c r="K9348" s="40"/>
      <c r="M9348" s="40"/>
      <c r="N9348" s="40"/>
    </row>
    <row r="9349" spans="1:14" x14ac:dyDescent="0.3">
      <c r="A9349" s="3">
        <v>46290</v>
      </c>
      <c r="B9349" s="11" t="s">
        <v>2241</v>
      </c>
      <c r="C9349" s="50" t="s">
        <v>7091</v>
      </c>
      <c r="D9349" s="40"/>
      <c r="E9349" s="90" t="s">
        <v>4720</v>
      </c>
      <c r="F9349" s="40"/>
      <c r="G9349" s="185">
        <v>10000</v>
      </c>
      <c r="H9349" s="185"/>
      <c r="I9349" s="88">
        <f t="shared" si="1453"/>
        <v>28427.760000000002</v>
      </c>
      <c r="J9349" s="40"/>
      <c r="K9349" s="40"/>
      <c r="M9349" s="40"/>
      <c r="N9349" s="40"/>
    </row>
    <row r="9350" spans="1:14" x14ac:dyDescent="0.3">
      <c r="A9350" s="3">
        <f>A9349</f>
        <v>46290</v>
      </c>
      <c r="B9350" s="11" t="s">
        <v>2143</v>
      </c>
      <c r="C9350" s="50" t="s">
        <v>1279</v>
      </c>
      <c r="D9350" s="40"/>
      <c r="E9350" s="90" t="s">
        <v>4720</v>
      </c>
      <c r="F9350" s="40"/>
      <c r="G9350" s="185"/>
      <c r="H9350" s="185">
        <v>10000</v>
      </c>
      <c r="I9350" s="88">
        <f t="shared" si="1453"/>
        <v>18427.760000000002</v>
      </c>
      <c r="J9350" s="40"/>
      <c r="K9350" s="40"/>
      <c r="M9350" s="40"/>
      <c r="N9350" s="40"/>
    </row>
    <row r="9351" spans="1:14" x14ac:dyDescent="0.3">
      <c r="A9351" s="3">
        <f t="shared" ref="A9351:A9379" si="1455">A9350</f>
        <v>46290</v>
      </c>
      <c r="B9351" s="11" t="s">
        <v>10388</v>
      </c>
      <c r="C9351" s="50" t="s">
        <v>11080</v>
      </c>
      <c r="D9351" s="40"/>
      <c r="E9351" s="90" t="s">
        <v>2088</v>
      </c>
      <c r="F9351" s="40"/>
      <c r="G9351" s="185">
        <v>0</v>
      </c>
      <c r="H9351" s="185">
        <v>0</v>
      </c>
      <c r="I9351" s="88">
        <f t="shared" si="1453"/>
        <v>18427.760000000002</v>
      </c>
      <c r="J9351" s="40"/>
      <c r="K9351" s="40"/>
      <c r="M9351" s="40"/>
      <c r="N9351" s="40"/>
    </row>
    <row r="9352" spans="1:14" x14ac:dyDescent="0.3">
      <c r="A9352" s="3">
        <f t="shared" si="1455"/>
        <v>46290</v>
      </c>
      <c r="B9352" s="11" t="s">
        <v>10388</v>
      </c>
      <c r="C9352" s="50" t="s">
        <v>11080</v>
      </c>
      <c r="D9352" s="40"/>
      <c r="E9352" s="90" t="s">
        <v>2088</v>
      </c>
      <c r="F9352" s="40"/>
      <c r="G9352" s="185">
        <v>2000</v>
      </c>
      <c r="H9352" s="185"/>
      <c r="I9352" s="88">
        <f t="shared" si="1453"/>
        <v>20427.760000000002</v>
      </c>
      <c r="J9352" s="40"/>
      <c r="K9352" s="40"/>
      <c r="M9352" s="40"/>
      <c r="N9352" s="40"/>
    </row>
    <row r="9353" spans="1:14" x14ac:dyDescent="0.3">
      <c r="A9353" s="3">
        <f t="shared" si="1455"/>
        <v>46290</v>
      </c>
      <c r="B9353" s="11" t="s">
        <v>5115</v>
      </c>
      <c r="C9353" s="50" t="s">
        <v>10478</v>
      </c>
      <c r="D9353" s="40"/>
      <c r="E9353" s="90" t="s">
        <v>4720</v>
      </c>
      <c r="F9353" s="40"/>
      <c r="G9353" s="185">
        <v>5000</v>
      </c>
      <c r="H9353" s="185"/>
      <c r="I9353" s="88">
        <f t="shared" si="1453"/>
        <v>25427.760000000002</v>
      </c>
      <c r="J9353" s="40"/>
      <c r="K9353" s="40"/>
      <c r="M9353" s="40"/>
      <c r="N9353" s="40"/>
    </row>
    <row r="9354" spans="1:14" x14ac:dyDescent="0.3">
      <c r="A9354" s="3">
        <f t="shared" si="1455"/>
        <v>46290</v>
      </c>
      <c r="B9354" s="11" t="s">
        <v>10042</v>
      </c>
      <c r="C9354" t="s">
        <v>10043</v>
      </c>
      <c r="D9354" s="40"/>
      <c r="E9354" s="90" t="s">
        <v>4720</v>
      </c>
      <c r="F9354" s="40"/>
      <c r="G9354" s="185"/>
      <c r="H9354" s="185">
        <v>2050</v>
      </c>
      <c r="I9354" s="88">
        <f t="shared" si="1453"/>
        <v>23377.760000000002</v>
      </c>
      <c r="J9354" s="40"/>
      <c r="K9354" s="40"/>
      <c r="M9354" s="40"/>
      <c r="N9354" s="40"/>
    </row>
    <row r="9355" spans="1:14" x14ac:dyDescent="0.3">
      <c r="A9355" s="3">
        <f t="shared" si="1455"/>
        <v>46290</v>
      </c>
      <c r="B9355" s="11" t="s">
        <v>1250</v>
      </c>
      <c r="C9355" s="50" t="s">
        <v>6985</v>
      </c>
      <c r="D9355" s="40"/>
      <c r="E9355" s="90" t="s">
        <v>4720</v>
      </c>
      <c r="F9355" s="40"/>
      <c r="G9355" s="185">
        <v>2000</v>
      </c>
      <c r="H9355" s="185"/>
      <c r="I9355" s="88">
        <f t="shared" si="1453"/>
        <v>25377.760000000002</v>
      </c>
      <c r="J9355" s="40"/>
      <c r="K9355" s="40"/>
      <c r="M9355" s="40"/>
      <c r="N9355" s="40"/>
    </row>
    <row r="9356" spans="1:14" x14ac:dyDescent="0.3">
      <c r="A9356" s="3">
        <f t="shared" si="1455"/>
        <v>46290</v>
      </c>
      <c r="B9356" s="11" t="s">
        <v>2490</v>
      </c>
      <c r="C9356" s="50" t="s">
        <v>2857</v>
      </c>
      <c r="D9356" s="40"/>
      <c r="E9356" s="90" t="s">
        <v>8332</v>
      </c>
      <c r="F9356" s="40"/>
      <c r="G9356" s="185"/>
      <c r="H9356" s="185">
        <v>22000</v>
      </c>
      <c r="I9356" s="88">
        <f t="shared" si="1453"/>
        <v>3377.760000000002</v>
      </c>
      <c r="J9356" s="40"/>
      <c r="K9356" s="40"/>
      <c r="M9356" s="40"/>
      <c r="N9356" s="40"/>
    </row>
    <row r="9357" spans="1:14" x14ac:dyDescent="0.3">
      <c r="A9357" s="3">
        <v>46291</v>
      </c>
      <c r="B9357" s="11" t="s">
        <v>6260</v>
      </c>
      <c r="C9357" s="50" t="s">
        <v>7117</v>
      </c>
      <c r="D9357" s="40"/>
      <c r="E9357" s="90" t="s">
        <v>4720</v>
      </c>
      <c r="F9357" s="40"/>
      <c r="G9357" s="185"/>
      <c r="H9357" s="185">
        <v>2500</v>
      </c>
      <c r="I9357" s="88">
        <f t="shared" si="1453"/>
        <v>877.76000000000204</v>
      </c>
      <c r="J9357" s="40"/>
      <c r="K9357" s="40"/>
      <c r="M9357" s="40"/>
      <c r="N9357" s="40"/>
    </row>
    <row r="9358" spans="1:14" x14ac:dyDescent="0.3">
      <c r="A9358" s="3">
        <f t="shared" si="1455"/>
        <v>46291</v>
      </c>
      <c r="B9358" s="11" t="s">
        <v>8878</v>
      </c>
      <c r="C9358" s="50" t="s">
        <v>704</v>
      </c>
      <c r="D9358" s="40"/>
      <c r="E9358" s="90" t="s">
        <v>4720</v>
      </c>
      <c r="F9358" s="40"/>
      <c r="G9358" s="185">
        <v>5000</v>
      </c>
      <c r="H9358" s="185">
        <v>0</v>
      </c>
      <c r="I9358" s="88">
        <f t="shared" si="1453"/>
        <v>5877.760000000002</v>
      </c>
      <c r="J9358" s="40"/>
      <c r="K9358" s="40"/>
      <c r="M9358" s="40"/>
      <c r="N9358" s="40"/>
    </row>
    <row r="9359" spans="1:14" x14ac:dyDescent="0.3">
      <c r="A9359" s="3">
        <f t="shared" si="1455"/>
        <v>46291</v>
      </c>
      <c r="B9359" s="11" t="s">
        <v>1250</v>
      </c>
      <c r="C9359" s="50" t="s">
        <v>2626</v>
      </c>
      <c r="D9359" s="40"/>
      <c r="E9359" s="90" t="s">
        <v>4720</v>
      </c>
      <c r="F9359" s="40"/>
      <c r="G9359" s="185">
        <v>500</v>
      </c>
      <c r="H9359" s="185"/>
      <c r="I9359" s="88">
        <f t="shared" si="1453"/>
        <v>6377.760000000002</v>
      </c>
      <c r="J9359" s="40"/>
      <c r="K9359" s="40"/>
      <c r="M9359" s="40"/>
      <c r="N9359" s="40"/>
    </row>
    <row r="9360" spans="1:14" x14ac:dyDescent="0.3">
      <c r="A9360" s="3">
        <f t="shared" si="1455"/>
        <v>46291</v>
      </c>
      <c r="B9360" s="11" t="s">
        <v>5115</v>
      </c>
      <c r="C9360" s="50" t="s">
        <v>11061</v>
      </c>
      <c r="D9360" s="40"/>
      <c r="E9360" s="90" t="s">
        <v>7772</v>
      </c>
      <c r="F9360" s="40"/>
      <c r="G9360" s="185">
        <v>10000</v>
      </c>
      <c r="H9360" s="185"/>
      <c r="I9360" s="88">
        <f t="shared" si="1453"/>
        <v>16377.760000000002</v>
      </c>
      <c r="J9360" s="40"/>
      <c r="K9360" s="40"/>
      <c r="M9360" s="40"/>
      <c r="N9360" s="40"/>
    </row>
    <row r="9361" spans="1:14" x14ac:dyDescent="0.3">
      <c r="A9361" s="3">
        <f t="shared" si="1455"/>
        <v>46291</v>
      </c>
      <c r="B9361" s="11" t="s">
        <v>6842</v>
      </c>
      <c r="C9361" s="50" t="s">
        <v>6843</v>
      </c>
      <c r="D9361" s="40"/>
      <c r="E9361" s="90" t="s">
        <v>2088</v>
      </c>
      <c r="F9361" s="40"/>
      <c r="G9361" s="185">
        <v>2000</v>
      </c>
      <c r="H9361" s="185"/>
      <c r="I9361" s="88">
        <f t="shared" si="1453"/>
        <v>18377.760000000002</v>
      </c>
      <c r="J9361" s="40"/>
      <c r="K9361" s="40"/>
      <c r="M9361" s="40"/>
      <c r="N9361" s="40"/>
    </row>
    <row r="9362" spans="1:14" x14ac:dyDescent="0.3">
      <c r="A9362" s="3">
        <f t="shared" si="1455"/>
        <v>46291</v>
      </c>
      <c r="B9362" s="11" t="s">
        <v>2241</v>
      </c>
      <c r="C9362" s="50" t="s">
        <v>11081</v>
      </c>
      <c r="D9362" s="40"/>
      <c r="E9362" s="90" t="s">
        <v>4720</v>
      </c>
      <c r="F9362" s="40"/>
      <c r="G9362" s="185">
        <v>4000</v>
      </c>
      <c r="H9362" s="185"/>
      <c r="I9362" s="88">
        <f t="shared" si="1453"/>
        <v>22377.760000000002</v>
      </c>
      <c r="J9362" s="40"/>
      <c r="K9362" s="40"/>
      <c r="M9362" s="40"/>
      <c r="N9362" s="40"/>
    </row>
    <row r="9363" spans="1:14" x14ac:dyDescent="0.3">
      <c r="A9363" s="3">
        <v>46292</v>
      </c>
      <c r="B9363" s="11" t="s">
        <v>2490</v>
      </c>
      <c r="C9363" s="50" t="s">
        <v>11082</v>
      </c>
      <c r="D9363" s="40"/>
      <c r="E9363" s="90" t="s">
        <v>4720</v>
      </c>
      <c r="F9363" s="40"/>
      <c r="G9363" s="185"/>
      <c r="H9363" s="185">
        <v>23000</v>
      </c>
      <c r="I9363" s="88">
        <f t="shared" si="1453"/>
        <v>-622.23999999999796</v>
      </c>
      <c r="J9363" s="40"/>
      <c r="K9363" s="40"/>
      <c r="M9363" s="40"/>
      <c r="N9363" s="40"/>
    </row>
    <row r="9364" spans="1:14" x14ac:dyDescent="0.3">
      <c r="A9364" s="3">
        <v>46293</v>
      </c>
      <c r="B9364" s="11" t="s">
        <v>6701</v>
      </c>
      <c r="C9364" s="50" t="s">
        <v>10587</v>
      </c>
      <c r="D9364" s="40"/>
      <c r="E9364" s="90" t="s">
        <v>4720</v>
      </c>
      <c r="F9364" s="40"/>
      <c r="G9364" s="185">
        <v>500</v>
      </c>
      <c r="H9364" s="185"/>
      <c r="I9364" s="88">
        <f t="shared" si="1453"/>
        <v>-122.23999999999796</v>
      </c>
      <c r="J9364" s="40"/>
      <c r="K9364" s="40"/>
      <c r="M9364" s="40"/>
      <c r="N9364" s="40"/>
    </row>
    <row r="9365" spans="1:14" x14ac:dyDescent="0.3">
      <c r="A9365" s="3">
        <f t="shared" si="1455"/>
        <v>46293</v>
      </c>
      <c r="B9365" s="11" t="s">
        <v>8247</v>
      </c>
      <c r="C9365" s="50" t="s">
        <v>9580</v>
      </c>
      <c r="D9365" s="40"/>
      <c r="E9365" s="90" t="s">
        <v>2088</v>
      </c>
      <c r="F9365" s="40"/>
      <c r="G9365" s="185">
        <v>5000</v>
      </c>
      <c r="H9365" s="185"/>
      <c r="I9365" s="88">
        <f t="shared" si="1453"/>
        <v>4877.760000000002</v>
      </c>
      <c r="J9365" s="40"/>
      <c r="K9365" s="40"/>
      <c r="M9365" s="40"/>
      <c r="N9365" s="40"/>
    </row>
    <row r="9366" spans="1:14" x14ac:dyDescent="0.3">
      <c r="A9366" s="3">
        <f t="shared" si="1455"/>
        <v>46293</v>
      </c>
      <c r="B9366" s="11" t="s">
        <v>6260</v>
      </c>
      <c r="C9366" s="50" t="s">
        <v>7117</v>
      </c>
      <c r="D9366" s="40"/>
      <c r="E9366" s="90" t="s">
        <v>4720</v>
      </c>
      <c r="F9366" s="40"/>
      <c r="G9366" s="185"/>
      <c r="H9366" s="185">
        <v>3000</v>
      </c>
      <c r="I9366" s="88">
        <f t="shared" si="1453"/>
        <v>1877.760000000002</v>
      </c>
      <c r="J9366" s="40"/>
      <c r="K9366" s="40"/>
      <c r="M9366" s="40"/>
      <c r="N9366" s="40"/>
    </row>
    <row r="9367" spans="1:14" x14ac:dyDescent="0.3">
      <c r="A9367" s="3">
        <f t="shared" si="1455"/>
        <v>46293</v>
      </c>
      <c r="B9367" s="11" t="s">
        <v>11084</v>
      </c>
      <c r="C9367" s="7" t="s">
        <v>11085</v>
      </c>
      <c r="D9367" s="40"/>
      <c r="E9367" s="90" t="s">
        <v>16</v>
      </c>
      <c r="F9367" s="40"/>
      <c r="G9367" s="185"/>
      <c r="H9367" s="185">
        <v>300</v>
      </c>
      <c r="I9367" s="88">
        <f t="shared" si="1453"/>
        <v>1577.760000000002</v>
      </c>
      <c r="J9367" s="40"/>
      <c r="K9367" s="40"/>
      <c r="M9367" s="40"/>
      <c r="N9367" s="40"/>
    </row>
    <row r="9368" spans="1:14" x14ac:dyDescent="0.3">
      <c r="A9368" s="3">
        <v>46294</v>
      </c>
      <c r="B9368" s="11" t="s">
        <v>5961</v>
      </c>
      <c r="C9368" s="50" t="s">
        <v>10364</v>
      </c>
      <c r="D9368" s="40"/>
      <c r="E9368" s="90" t="s">
        <v>2088</v>
      </c>
      <c r="F9368" s="40"/>
      <c r="G9368" s="185">
        <v>5000</v>
      </c>
      <c r="H9368" s="185"/>
      <c r="I9368" s="88">
        <f t="shared" si="1453"/>
        <v>6577.760000000002</v>
      </c>
      <c r="J9368" s="40"/>
      <c r="K9368" s="40"/>
      <c r="M9368" s="40"/>
      <c r="N9368" s="40"/>
    </row>
    <row r="9369" spans="1:14" x14ac:dyDescent="0.3">
      <c r="A9369" s="3">
        <f t="shared" si="1455"/>
        <v>46294</v>
      </c>
      <c r="B9369" s="11" t="s">
        <v>3915</v>
      </c>
      <c r="C9369" s="50" t="s">
        <v>10563</v>
      </c>
      <c r="D9369" s="40"/>
      <c r="E9369" s="90" t="s">
        <v>4720</v>
      </c>
      <c r="F9369" s="40"/>
      <c r="G9369" s="185">
        <v>10000</v>
      </c>
      <c r="H9369" s="185"/>
      <c r="I9369" s="88">
        <f t="shared" si="1453"/>
        <v>16577.760000000002</v>
      </c>
      <c r="J9369" s="40"/>
      <c r="K9369" s="40"/>
      <c r="M9369" s="40"/>
      <c r="N9369" s="40"/>
    </row>
    <row r="9370" spans="1:14" x14ac:dyDescent="0.3">
      <c r="A9370" s="3">
        <f t="shared" si="1455"/>
        <v>46294</v>
      </c>
      <c r="B9370" s="11" t="s">
        <v>1250</v>
      </c>
      <c r="C9370" s="50" t="s">
        <v>11094</v>
      </c>
      <c r="D9370" s="40"/>
      <c r="E9370" s="90" t="s">
        <v>4720</v>
      </c>
      <c r="F9370" s="40"/>
      <c r="G9370" s="185"/>
      <c r="H9370" s="185">
        <v>5000</v>
      </c>
      <c r="I9370" s="88">
        <f t="shared" si="1453"/>
        <v>11577.760000000002</v>
      </c>
      <c r="J9370" s="40"/>
      <c r="K9370" s="40"/>
      <c r="M9370" s="40"/>
      <c r="N9370" s="40"/>
    </row>
    <row r="9371" spans="1:14" x14ac:dyDescent="0.3">
      <c r="A9371" s="3">
        <v>46295</v>
      </c>
      <c r="B9371" s="11" t="s">
        <v>6743</v>
      </c>
      <c r="C9371" s="50" t="s">
        <v>9170</v>
      </c>
      <c r="D9371" s="40"/>
      <c r="E9371" s="90" t="s">
        <v>2088</v>
      </c>
      <c r="F9371" s="40"/>
      <c r="G9371" s="185">
        <v>5000</v>
      </c>
      <c r="H9371" s="185"/>
      <c r="I9371" s="88">
        <f t="shared" si="1453"/>
        <v>16577.760000000002</v>
      </c>
      <c r="J9371" s="40"/>
      <c r="K9371" s="40"/>
      <c r="M9371" s="40"/>
      <c r="N9371" s="40"/>
    </row>
    <row r="9372" spans="1:14" x14ac:dyDescent="0.3">
      <c r="A9372" s="3">
        <f t="shared" si="1455"/>
        <v>46295</v>
      </c>
      <c r="B9372" s="11" t="s">
        <v>2490</v>
      </c>
      <c r="C9372" s="50" t="s">
        <v>2857</v>
      </c>
      <c r="D9372" s="40"/>
      <c r="E9372" s="90" t="s">
        <v>8332</v>
      </c>
      <c r="F9372" s="40"/>
      <c r="G9372" s="185"/>
      <c r="H9372" s="185">
        <v>15000</v>
      </c>
      <c r="I9372" s="88">
        <f t="shared" si="1453"/>
        <v>1577.760000000002</v>
      </c>
      <c r="J9372" s="40"/>
      <c r="K9372" s="40"/>
      <c r="M9372" s="40"/>
      <c r="N9372" s="40"/>
    </row>
    <row r="9373" spans="1:14" x14ac:dyDescent="0.3">
      <c r="A9373" s="3">
        <f t="shared" si="1455"/>
        <v>46295</v>
      </c>
      <c r="B9373" s="11" t="s">
        <v>5542</v>
      </c>
      <c r="C9373" s="50" t="s">
        <v>3416</v>
      </c>
      <c r="D9373" s="40"/>
      <c r="E9373" s="90" t="s">
        <v>4720</v>
      </c>
      <c r="F9373" s="40"/>
      <c r="G9373" s="185">
        <v>5000</v>
      </c>
      <c r="H9373" s="185"/>
      <c r="I9373" s="88">
        <f t="shared" si="1453"/>
        <v>6577.760000000002</v>
      </c>
      <c r="J9373" s="40"/>
      <c r="K9373" s="40"/>
      <c r="M9373" s="40"/>
      <c r="N9373" s="40"/>
    </row>
    <row r="9374" spans="1:14" x14ac:dyDescent="0.3">
      <c r="A9374" s="3">
        <f t="shared" si="1455"/>
        <v>46295</v>
      </c>
      <c r="D9374" s="40"/>
      <c r="E9374" s="90" t="s">
        <v>4720</v>
      </c>
      <c r="F9374" s="40"/>
      <c r="G9374" s="185"/>
      <c r="H9374" s="185"/>
      <c r="I9374" s="88">
        <f t="shared" si="1453"/>
        <v>6577.760000000002</v>
      </c>
      <c r="J9374" s="40"/>
      <c r="K9374" s="40" t="s">
        <v>11095</v>
      </c>
      <c r="M9374" s="40"/>
      <c r="N9374" s="40"/>
    </row>
    <row r="9375" spans="1:14" x14ac:dyDescent="0.3">
      <c r="A9375" s="3">
        <f t="shared" si="1455"/>
        <v>46295</v>
      </c>
      <c r="C9375" s="164"/>
      <c r="D9375" s="40"/>
      <c r="E9375" s="90" t="s">
        <v>4720</v>
      </c>
      <c r="F9375" s="40"/>
      <c r="G9375" s="185"/>
      <c r="H9375" s="185"/>
      <c r="I9375" s="88">
        <f t="shared" si="1453"/>
        <v>6577.760000000002</v>
      </c>
      <c r="J9375" s="40"/>
      <c r="K9375" s="40"/>
      <c r="M9375" s="40"/>
      <c r="N9375" s="40"/>
    </row>
    <row r="9376" spans="1:14" x14ac:dyDescent="0.3">
      <c r="A9376" s="3">
        <f t="shared" si="1455"/>
        <v>46295</v>
      </c>
      <c r="D9376" s="40"/>
      <c r="E9376" s="90" t="s">
        <v>4720</v>
      </c>
      <c r="F9376" s="40"/>
      <c r="G9376" s="185"/>
      <c r="H9376" s="185"/>
      <c r="I9376" s="88">
        <f t="shared" si="1453"/>
        <v>6577.760000000002</v>
      </c>
      <c r="J9376" s="40"/>
      <c r="K9376" s="40"/>
      <c r="M9376" s="40"/>
      <c r="N9376" s="40"/>
    </row>
    <row r="9377" spans="1:14" x14ac:dyDescent="0.3">
      <c r="A9377" s="3">
        <f t="shared" si="1455"/>
        <v>46295</v>
      </c>
      <c r="D9377" s="40"/>
      <c r="E9377" s="90" t="s">
        <v>4720</v>
      </c>
      <c r="F9377" s="40"/>
      <c r="G9377" s="185"/>
      <c r="H9377" s="185"/>
      <c r="I9377" s="88">
        <f t="shared" si="1453"/>
        <v>6577.760000000002</v>
      </c>
      <c r="J9377" s="40"/>
      <c r="K9377" s="40"/>
      <c r="M9377" s="40"/>
      <c r="N9377" s="40"/>
    </row>
    <row r="9378" spans="1:14" x14ac:dyDescent="0.3">
      <c r="A9378" s="3">
        <f t="shared" si="1455"/>
        <v>46295</v>
      </c>
      <c r="D9378" s="40"/>
      <c r="E9378" s="90" t="s">
        <v>4720</v>
      </c>
      <c r="F9378" s="40"/>
      <c r="G9378" s="185"/>
      <c r="H9378" s="185"/>
      <c r="I9378" s="88">
        <f t="shared" si="1453"/>
        <v>6577.760000000002</v>
      </c>
      <c r="J9378" s="40"/>
      <c r="K9378" s="40"/>
      <c r="M9378" s="40"/>
      <c r="N9378" s="40"/>
    </row>
    <row r="9379" spans="1:14" ht="15" customHeight="1" x14ac:dyDescent="0.3">
      <c r="A9379" s="3">
        <f t="shared" si="1455"/>
        <v>46295</v>
      </c>
      <c r="D9379" s="40"/>
      <c r="E9379" s="90" t="s">
        <v>4720</v>
      </c>
      <c r="F9379" s="40"/>
      <c r="G9379" s="185"/>
      <c r="H9379" s="185">
        <v>0</v>
      </c>
      <c r="I9379" s="88">
        <f t="shared" si="1453"/>
        <v>6577.760000000002</v>
      </c>
      <c r="J9379" s="40"/>
      <c r="K9379" s="40"/>
      <c r="L9379" s="2">
        <f t="shared" si="1454"/>
        <v>0</v>
      </c>
      <c r="M9379" s="40"/>
      <c r="N9379" s="40"/>
    </row>
    <row r="9380" spans="1:14" x14ac:dyDescent="0.3">
      <c r="A9380" s="77">
        <f>COUNT(A9071:A9379)</f>
        <v>308</v>
      </c>
      <c r="B9380" s="80" t="s">
        <v>7120</v>
      </c>
      <c r="C9380" s="112">
        <f>SUMIF(E9248:E9379,"C",H9248:H9379)+SUMIF(E9248:E9379,"C",G248:G9379)</f>
        <v>139050</v>
      </c>
      <c r="D9380" s="112">
        <f>COUNTIF(E9380:E9684,"P")</f>
        <v>0</v>
      </c>
      <c r="E9380" s="92">
        <f>COUNTIF(E9248:E9379,"Y")</f>
        <v>3</v>
      </c>
      <c r="F9380" s="80">
        <f>SUM(F4248)</f>
        <v>0</v>
      </c>
      <c r="G9380" s="187">
        <f>SUM(G9248:G9379)</f>
        <v>263450</v>
      </c>
      <c r="H9380" s="187">
        <f>SUM(H9248:H9379)</f>
        <v>268950</v>
      </c>
      <c r="I9380" s="121">
        <f>G9380+H9380-C9380</f>
        <v>393350</v>
      </c>
      <c r="J9380" s="122"/>
      <c r="K9380" s="122">
        <f>D9380*5</f>
        <v>0</v>
      </c>
      <c r="L9380" s="121">
        <f>SUM(L9248:L9379)</f>
        <v>1148</v>
      </c>
      <c r="M9380" s="121">
        <f>SUM(M8290:M8787)</f>
        <v>0</v>
      </c>
      <c r="N9380" s="62">
        <f>((L9380+K9380)*0.8)*0.95</f>
        <v>872.48</v>
      </c>
    </row>
    <row r="9383" spans="1:14" x14ac:dyDescent="0.3">
      <c r="B9383" s="11" t="s">
        <v>10042</v>
      </c>
      <c r="C9383" t="s">
        <v>10043</v>
      </c>
    </row>
    <row r="9384" spans="1:14" x14ac:dyDescent="0.3">
      <c r="B9384" s="11" t="s">
        <v>8906</v>
      </c>
      <c r="C9384" s="50" t="s">
        <v>10444</v>
      </c>
    </row>
    <row r="9385" spans="1:14" x14ac:dyDescent="0.3">
      <c r="B9385" s="11" t="s">
        <v>9469</v>
      </c>
      <c r="C9385" s="50" t="s">
        <v>9470</v>
      </c>
    </row>
    <row r="9408" spans="7:7" x14ac:dyDescent="0.3">
      <c r="G9408" s="2">
        <f>2000*12*10</f>
        <v>240000</v>
      </c>
    </row>
    <row r="9412" spans="3:15" ht="17.399999999999999" customHeight="1" x14ac:dyDescent="0.3">
      <c r="C9412" s="65" t="s">
        <v>2339</v>
      </c>
      <c r="D9412" s="65">
        <v>700000</v>
      </c>
    </row>
    <row r="9413" spans="3:15" x14ac:dyDescent="0.3">
      <c r="C9413" s="50" t="s">
        <v>10366</v>
      </c>
      <c r="D9413" s="50">
        <v>453980</v>
      </c>
    </row>
    <row r="9414" spans="3:15" x14ac:dyDescent="0.3">
      <c r="C9414" s="50" t="s">
        <v>10369</v>
      </c>
      <c r="D9414" s="50">
        <v>87000</v>
      </c>
      <c r="F9414" s="4" t="e">
        <f>SUM(D9413:D9420)</f>
        <v>#REF!</v>
      </c>
    </row>
    <row r="9415" spans="3:15" x14ac:dyDescent="0.3">
      <c r="C9415" s="50" t="s">
        <v>3088</v>
      </c>
      <c r="D9415" s="50">
        <v>10000</v>
      </c>
      <c r="I9415" t="s">
        <v>9530</v>
      </c>
      <c r="J9415">
        <v>500000</v>
      </c>
      <c r="K9415">
        <v>100000</v>
      </c>
      <c r="L9415"/>
    </row>
    <row r="9416" spans="3:15" x14ac:dyDescent="0.3">
      <c r="C9416" s="50" t="s">
        <v>10371</v>
      </c>
      <c r="D9416" s="50">
        <f>400+3000+600</f>
        <v>4000</v>
      </c>
      <c r="I9416" t="s">
        <v>2339</v>
      </c>
      <c r="K9416">
        <f>100000+200000+100000+50000</f>
        <v>450000</v>
      </c>
      <c r="L9416"/>
      <c r="M9416" s="1">
        <f>77*2*2.5+20+40+25</f>
        <v>470</v>
      </c>
    </row>
    <row r="9417" spans="3:15" x14ac:dyDescent="0.3">
      <c r="C9417" s="50" t="s">
        <v>10439</v>
      </c>
      <c r="D9417" s="114">
        <v>6000</v>
      </c>
      <c r="I9417" t="s">
        <v>9770</v>
      </c>
      <c r="K9417" s="8">
        <v>300000</v>
      </c>
      <c r="L9417"/>
    </row>
    <row r="9418" spans="3:15" x14ac:dyDescent="0.3">
      <c r="C9418" s="50" t="s">
        <v>10370</v>
      </c>
      <c r="D9418" s="50">
        <v>10000</v>
      </c>
      <c r="I9418" t="s">
        <v>3169</v>
      </c>
      <c r="K9418">
        <f>30000+20000+10000+10000+10000</f>
        <v>80000</v>
      </c>
      <c r="L9418"/>
    </row>
    <row r="9419" spans="3:15" x14ac:dyDescent="0.3">
      <c r="C9419" s="50" t="s">
        <v>10372</v>
      </c>
      <c r="D9419" s="164" t="e">
        <f>#REF!</f>
        <v>#REF!</v>
      </c>
      <c r="I9419" t="s">
        <v>9532</v>
      </c>
      <c r="J9419">
        <v>500000</v>
      </c>
      <c r="K9419">
        <v>1000</v>
      </c>
      <c r="L9419"/>
      <c r="M9419">
        <f>56000+19000</f>
        <v>75000</v>
      </c>
    </row>
    <row r="9420" spans="3:15" x14ac:dyDescent="0.3">
      <c r="C9420" s="50" t="s">
        <v>2490</v>
      </c>
      <c r="D9420" s="50">
        <v>4000</v>
      </c>
      <c r="I9420" t="s">
        <v>9531</v>
      </c>
      <c r="K9420" s="62" t="e">
        <f>#REF!</f>
        <v>#REF!</v>
      </c>
      <c r="L9420"/>
    </row>
    <row r="9421" spans="3:15" x14ac:dyDescent="0.3">
      <c r="C9421" s="50" t="s">
        <v>10400</v>
      </c>
      <c r="D9421" s="65">
        <v>20000</v>
      </c>
      <c r="I9421" t="s">
        <v>10314</v>
      </c>
      <c r="K9421" s="8">
        <v>75000</v>
      </c>
      <c r="L9421"/>
      <c r="O9421" s="62"/>
    </row>
    <row r="9422" spans="3:15" x14ac:dyDescent="0.3">
      <c r="C9422" s="50" t="s">
        <v>10459</v>
      </c>
      <c r="D9422" s="50">
        <v>14390</v>
      </c>
      <c r="E9422" s="90">
        <v>14390</v>
      </c>
      <c r="G9422" s="2">
        <f>500000-14691</f>
        <v>485309</v>
      </c>
      <c r="I9422" t="s">
        <v>2490</v>
      </c>
      <c r="J9422">
        <v>400000</v>
      </c>
      <c r="K9422">
        <f>160*500+31*200+6*100+9*50</f>
        <v>87250</v>
      </c>
      <c r="L9422"/>
      <c r="O9422" s="62"/>
    </row>
    <row r="9423" spans="3:15" x14ac:dyDescent="0.3">
      <c r="C9423" s="50" t="s">
        <v>10491</v>
      </c>
      <c r="D9423" s="50">
        <v>11000</v>
      </c>
      <c r="I9423" t="s">
        <v>2351</v>
      </c>
      <c r="K9423">
        <v>5800</v>
      </c>
      <c r="L9423"/>
      <c r="O9423" s="62"/>
    </row>
    <row r="9424" spans="3:15" x14ac:dyDescent="0.3">
      <c r="C9424" s="50" t="s">
        <v>10584</v>
      </c>
      <c r="D9424" s="50">
        <v>4600</v>
      </c>
      <c r="E9424" s="90">
        <v>4600</v>
      </c>
      <c r="I9424" t="s">
        <v>1472</v>
      </c>
      <c r="K9424">
        <v>2000</v>
      </c>
      <c r="L9424"/>
    </row>
    <row r="9425" spans="3:15" x14ac:dyDescent="0.3">
      <c r="C9425" s="50" t="s">
        <v>10585</v>
      </c>
      <c r="D9425" s="50">
        <v>2136</v>
      </c>
      <c r="E9425" s="90">
        <v>2136</v>
      </c>
      <c r="I9425" t="s">
        <v>8407</v>
      </c>
      <c r="K9425" s="167">
        <v>10</v>
      </c>
      <c r="L9425"/>
      <c r="O9425" s="62" t="e">
        <f>K9420+K9422+K9424-40000</f>
        <v>#REF!</v>
      </c>
    </row>
    <row r="9426" spans="3:15" x14ac:dyDescent="0.3">
      <c r="C9426" s="50" t="s">
        <v>10767</v>
      </c>
      <c r="D9426" s="50">
        <v>50000</v>
      </c>
      <c r="I9426" t="s">
        <v>9960</v>
      </c>
      <c r="K9426" s="168">
        <f>10000+15000+17000</f>
        <v>42000</v>
      </c>
      <c r="L9426"/>
    </row>
    <row r="9427" spans="3:15" x14ac:dyDescent="0.3">
      <c r="C9427" s="50" t="s">
        <v>10768</v>
      </c>
      <c r="D9427" s="50">
        <v>25000</v>
      </c>
      <c r="E9427" s="90">
        <f>SUBTOTAL(9,E9422:E9426)</f>
        <v>21126</v>
      </c>
      <c r="I9427" t="s">
        <v>10095</v>
      </c>
      <c r="K9427" s="8">
        <v>178100</v>
      </c>
      <c r="L9427" t="e">
        <f>K9430-J9430</f>
        <v>#REF!</v>
      </c>
    </row>
    <row r="9428" spans="3:15" x14ac:dyDescent="0.3">
      <c r="I9428" t="s">
        <v>10309</v>
      </c>
      <c r="K9428">
        <v>80000</v>
      </c>
    </row>
    <row r="9429" spans="3:15" x14ac:dyDescent="0.3">
      <c r="C9429" s="50" t="s">
        <v>10590</v>
      </c>
      <c r="D9429" s="50">
        <v>7600</v>
      </c>
    </row>
    <row r="9430" spans="3:15" x14ac:dyDescent="0.3">
      <c r="D9430" s="65" t="e">
        <f>SUBTOTAL(9,D9413:D9429)</f>
        <v>#REF!</v>
      </c>
      <c r="J9430">
        <f>SUM(J9415:J9427)</f>
        <v>1400000</v>
      </c>
      <c r="K9430" s="8" t="e">
        <f>SUM(K9415:K9429)</f>
        <v>#REF!</v>
      </c>
      <c r="M9430" s="62"/>
    </row>
    <row r="9431" spans="3:15" x14ac:dyDescent="0.3">
      <c r="C9431" s="50" t="s">
        <v>10395</v>
      </c>
      <c r="D9431" s="50" t="e">
        <f>D9430-D9412</f>
        <v>#REF!</v>
      </c>
      <c r="K9431" s="8"/>
      <c r="M9431" s="62"/>
    </row>
    <row r="9432" spans="3:15" ht="15.6" customHeight="1" x14ac:dyDescent="0.3"/>
    <row r="9433" spans="3:15" ht="14.4" customHeight="1" x14ac:dyDescent="0.3"/>
    <row r="9434" spans="3:15" ht="15" customHeight="1" x14ac:dyDescent="0.3">
      <c r="I9434" s="54">
        <v>1400000</v>
      </c>
      <c r="J9434" s="7">
        <f ca="1">I9433:J9434</f>
        <v>0</v>
      </c>
      <c r="K9434" s="151"/>
    </row>
    <row r="9435" spans="3:15" ht="17.399999999999999" customHeight="1" x14ac:dyDescent="0.3"/>
    <row r="9436" spans="3:15" ht="11.4" customHeight="1" x14ac:dyDescent="0.3"/>
    <row r="9437" spans="3:15" ht="14.4" customHeight="1" x14ac:dyDescent="0.3"/>
    <row r="9438" spans="3:15" ht="14.4" customHeight="1" x14ac:dyDescent="0.3"/>
    <row r="9440" spans="3:15" x14ac:dyDescent="0.3">
      <c r="K9440">
        <f>36000*12</f>
        <v>432000</v>
      </c>
    </row>
    <row r="9441" spans="7:9" x14ac:dyDescent="0.3">
      <c r="I9441"/>
    </row>
    <row r="9456" spans="7:9" x14ac:dyDescent="0.3">
      <c r="G9456" s="2" t="s">
        <v>10340</v>
      </c>
    </row>
    <row r="9457" spans="6:11" x14ac:dyDescent="0.3">
      <c r="F9457" s="4">
        <v>80000</v>
      </c>
      <c r="G9457" s="2">
        <f>F9457+F9458+F9459+F9460</f>
        <v>1052600</v>
      </c>
    </row>
    <row r="9458" spans="6:11" x14ac:dyDescent="0.3">
      <c r="F9458" s="4">
        <v>324200</v>
      </c>
      <c r="G9458" s="2">
        <f>F9461+F9462</f>
        <v>648400</v>
      </c>
    </row>
    <row r="9459" spans="6:11" x14ac:dyDescent="0.3">
      <c r="F9459" s="4">
        <v>324200</v>
      </c>
    </row>
    <row r="9460" spans="6:11" x14ac:dyDescent="0.3">
      <c r="F9460" s="4">
        <v>324200</v>
      </c>
    </row>
    <row r="9461" spans="6:11" x14ac:dyDescent="0.3">
      <c r="F9461" s="4">
        <v>324200</v>
      </c>
    </row>
    <row r="9462" spans="6:11" x14ac:dyDescent="0.3">
      <c r="F9462" s="4">
        <v>324200</v>
      </c>
    </row>
    <row r="9463" spans="6:11" x14ac:dyDescent="0.3">
      <c r="F9463" s="4">
        <f>SUBTOTAL(9,F9457:F9462)</f>
        <v>1701000</v>
      </c>
      <c r="G9463" s="2">
        <f>SUBTOTAL(9,G9457:G9462)</f>
        <v>1701000</v>
      </c>
    </row>
    <row r="9468" spans="6:11" x14ac:dyDescent="0.3">
      <c r="H9468" s="2" t="s">
        <v>10341</v>
      </c>
      <c r="I9468" s="2" t="s">
        <v>10342</v>
      </c>
      <c r="J9468" s="2" t="s">
        <v>10343</v>
      </c>
      <c r="K9468" s="2" t="s">
        <v>10344</v>
      </c>
    </row>
    <row r="9469" spans="6:11" x14ac:dyDescent="0.3">
      <c r="H9469" s="2">
        <v>10000</v>
      </c>
      <c r="I9469" s="2">
        <v>30000</v>
      </c>
      <c r="J9469" s="2">
        <v>150000</v>
      </c>
      <c r="K9469" s="2">
        <v>75000</v>
      </c>
    </row>
    <row r="9470" spans="6:11" x14ac:dyDescent="0.3">
      <c r="H9470" s="2">
        <v>10000</v>
      </c>
      <c r="I9470" s="2">
        <v>40000</v>
      </c>
      <c r="J9470" s="2">
        <v>150000</v>
      </c>
      <c r="K9470" s="2">
        <v>75000</v>
      </c>
    </row>
    <row r="9475" spans="8:12" x14ac:dyDescent="0.3">
      <c r="H9475" s="2">
        <f t="shared" ref="H9475:K9475" si="1456">SUBTOTAL(9,H9469:H9474)</f>
        <v>20000</v>
      </c>
      <c r="I9475" s="2">
        <f t="shared" si="1456"/>
        <v>70000</v>
      </c>
      <c r="J9475" s="2">
        <f t="shared" si="1456"/>
        <v>300000</v>
      </c>
      <c r="K9475" s="2">
        <f t="shared" si="1456"/>
        <v>150000</v>
      </c>
      <c r="L9475" s="2">
        <f>SUM(G9475:K9476)</f>
        <v>540000</v>
      </c>
    </row>
  </sheetData>
  <autoFilter ref="A1:M9437" xr:uid="{4837A874-93DF-4ED5-8F79-25AA5274DD38}"/>
  <customSheetViews>
    <customSheetView guid="{A0CE3161-5061-442F-A27F-2BA55581F316}">
      <selection activeCell="E4" sqref="E4"/>
      <pageMargins left="0.7" right="0.7" top="0.75" bottom="0.75" header="0.3" footer="0.3"/>
    </customSheetView>
    <customSheetView guid="{2FF9BCA9-095C-4E73-9C86-2243907C0824}">
      <selection activeCell="E4" sqref="E4"/>
      <pageMargins left="0.7" right="0.7" top="0.75" bottom="0.75" header="0.3" footer="0.3"/>
    </customSheetView>
    <customSheetView guid="{EB31AAB7-3CD3-47EA-8FB3-E6304DCC89B3}">
      <selection activeCell="E4" sqref="E4"/>
      <pageMargins left="0.7" right="0.7" top="0.75" bottom="0.75" header="0.3" footer="0.3"/>
    </customSheetView>
    <customSheetView guid="{1459FC0D-58BA-4BEC-951C-298999986759}">
      <selection activeCell="E4" sqref="E4"/>
      <pageMargins left="0.7" right="0.7" top="0.75" bottom="0.75" header="0.3" footer="0.3"/>
    </customSheetView>
  </customSheetViews>
  <mergeCells count="1">
    <mergeCell ref="A2:J2"/>
  </mergeCells>
  <phoneticPr fontId="11" type="noConversion"/>
  <pageMargins left="0.7" right="0.7" top="0.75" bottom="0.75" header="0.3" footer="0.3"/>
  <pageSetup paperSize="9" orientation="portrait" horizontalDpi="4294967292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B7F1-D935-4989-88E0-16A8F8E01F7D}">
  <dimension ref="A2:H7"/>
  <sheetViews>
    <sheetView workbookViewId="0">
      <selection activeCell="H13" sqref="H13"/>
    </sheetView>
  </sheetViews>
  <sheetFormatPr defaultRowHeight="14.4" x14ac:dyDescent="0.3"/>
  <cols>
    <col min="1" max="1" width="18.21875" style="50" customWidth="1"/>
    <col min="2" max="2" width="12.109375" style="2" customWidth="1"/>
    <col min="3" max="3" width="7.88671875" customWidth="1"/>
    <col min="4" max="4" width="10.88671875" customWidth="1"/>
  </cols>
  <sheetData>
    <row r="2" spans="1:8" x14ac:dyDescent="0.3">
      <c r="A2" s="50">
        <v>8.1439791885537041</v>
      </c>
      <c r="B2" s="2" t="s">
        <v>10750</v>
      </c>
      <c r="C2" t="s">
        <v>10751</v>
      </c>
      <c r="D2" t="s">
        <v>10759</v>
      </c>
      <c r="E2" t="s">
        <v>10760</v>
      </c>
    </row>
    <row r="3" spans="1:8" x14ac:dyDescent="0.3">
      <c r="A3" s="56">
        <v>46155</v>
      </c>
      <c r="B3" s="2">
        <v>444200</v>
      </c>
      <c r="D3">
        <f>B3</f>
        <v>444200</v>
      </c>
    </row>
    <row r="4" spans="1:8" x14ac:dyDescent="0.3">
      <c r="A4" s="56">
        <v>46172</v>
      </c>
      <c r="C4" s="2">
        <f>B3*A2*17/36500</f>
        <v>1684.8888888888887</v>
      </c>
      <c r="D4">
        <f>D3+C4</f>
        <v>445884.88888888888</v>
      </c>
      <c r="E4">
        <v>1800</v>
      </c>
      <c r="G4">
        <f>D4-D3</f>
        <v>1684.888888888876</v>
      </c>
      <c r="H4">
        <f>G4*1.05</f>
        <v>1769.1333333333198</v>
      </c>
    </row>
    <row r="5" spans="1:8" x14ac:dyDescent="0.3">
      <c r="A5" s="56">
        <v>46174</v>
      </c>
      <c r="B5" s="2">
        <f>D4-E4</f>
        <v>444084.88888888888</v>
      </c>
      <c r="D5">
        <f t="shared" ref="D5:D7" si="0">D4+C5</f>
        <v>445884.88888888888</v>
      </c>
    </row>
    <row r="6" spans="1:8" x14ac:dyDescent="0.3">
      <c r="A6" s="56">
        <v>46203</v>
      </c>
      <c r="C6">
        <f>(B5*A2*30/36500)*1.05</f>
        <v>3121.1909570263642</v>
      </c>
      <c r="D6">
        <f t="shared" si="0"/>
        <v>449006.07984591526</v>
      </c>
    </row>
    <row r="7" spans="1:8" x14ac:dyDescent="0.3">
      <c r="B7" s="2">
        <v>80000</v>
      </c>
      <c r="C7">
        <f>(B6*A3*30/36500)*1.05</f>
        <v>0</v>
      </c>
      <c r="D7">
        <f t="shared" si="0"/>
        <v>449006.07984591526</v>
      </c>
      <c r="F7">
        <f>D3+80000</f>
        <v>524200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8550-41BF-4B9F-B7F6-01495278E0E5}">
  <dimension ref="A1:G6735"/>
  <sheetViews>
    <sheetView workbookViewId="0">
      <selection sqref="A1:G2"/>
    </sheetView>
  </sheetViews>
  <sheetFormatPr defaultRowHeight="14.4" x14ac:dyDescent="0.3"/>
  <cols>
    <col min="1" max="1" width="14.5546875" style="50" customWidth="1"/>
    <col min="2" max="2" width="17" style="50" customWidth="1"/>
    <col min="3" max="3" width="10.44140625" style="2" customWidth="1"/>
    <col min="4" max="4" width="11.88671875" style="2" customWidth="1"/>
    <col min="7" max="7" width="9.5546875" bestFit="1" customWidth="1"/>
  </cols>
  <sheetData>
    <row r="1" spans="1:7" ht="23.4" x14ac:dyDescent="0.45">
      <c r="A1" s="50" t="s">
        <v>6134</v>
      </c>
      <c r="B1" s="50" t="s">
        <v>6201</v>
      </c>
      <c r="C1" s="2" t="s">
        <v>6202</v>
      </c>
      <c r="D1" s="2" t="s">
        <v>6203</v>
      </c>
      <c r="E1" s="61">
        <v>0.08</v>
      </c>
      <c r="F1">
        <f ca="1">_xlfn.DAYS(TODAY(),A2)</f>
        <v>720</v>
      </c>
      <c r="G1" s="179">
        <f ca="1">D2*(1+E1/365)^F1</f>
        <v>12880.134980214569</v>
      </c>
    </row>
    <row r="2" spans="1:7" x14ac:dyDescent="0.3">
      <c r="A2" s="56">
        <v>45575</v>
      </c>
      <c r="D2" s="2">
        <v>11000</v>
      </c>
    </row>
    <row r="3" spans="1:7" x14ac:dyDescent="0.3">
      <c r="A3" s="56"/>
    </row>
    <row r="4" spans="1:7" x14ac:dyDescent="0.3">
      <c r="A4" s="56"/>
    </row>
    <row r="28" spans="2:6" x14ac:dyDescent="0.3">
      <c r="E28">
        <v>500</v>
      </c>
      <c r="F28" s="5">
        <v>45955</v>
      </c>
    </row>
    <row r="29" spans="2:6" x14ac:dyDescent="0.3">
      <c r="E29">
        <v>500</v>
      </c>
      <c r="F29" s="5">
        <v>45976</v>
      </c>
    </row>
    <row r="30" spans="2:6" x14ac:dyDescent="0.3">
      <c r="E30">
        <v>2100</v>
      </c>
      <c r="F30" s="5">
        <v>45986</v>
      </c>
    </row>
    <row r="31" spans="2:6" x14ac:dyDescent="0.3">
      <c r="E31">
        <v>1000</v>
      </c>
      <c r="F31" s="5">
        <v>45989</v>
      </c>
    </row>
    <row r="32" spans="2:6" x14ac:dyDescent="0.3">
      <c r="B32" s="50" t="s">
        <v>9374</v>
      </c>
      <c r="C32" s="2">
        <v>4418097</v>
      </c>
      <c r="E32">
        <v>1000</v>
      </c>
      <c r="F32" s="5">
        <v>45971</v>
      </c>
    </row>
    <row r="33" spans="1:6" x14ac:dyDescent="0.3">
      <c r="A33" s="50">
        <v>9905498895</v>
      </c>
      <c r="B33" s="50" t="s">
        <v>9384</v>
      </c>
      <c r="C33" s="2">
        <v>4421178</v>
      </c>
      <c r="E33">
        <v>1000</v>
      </c>
      <c r="F33" s="5">
        <v>45971</v>
      </c>
    </row>
    <row r="34" spans="1:6" x14ac:dyDescent="0.3">
      <c r="A34" s="2"/>
    </row>
    <row r="35" spans="1:6" x14ac:dyDescent="0.3">
      <c r="A35" s="2"/>
    </row>
    <row r="36" spans="1:6" x14ac:dyDescent="0.3">
      <c r="A36" s="2"/>
    </row>
    <row r="37" spans="1:6" x14ac:dyDescent="0.3">
      <c r="A37" s="2"/>
    </row>
    <row r="38" spans="1:6" x14ac:dyDescent="0.3">
      <c r="A38" s="2"/>
    </row>
    <row r="39" spans="1:6" x14ac:dyDescent="0.3">
      <c r="A39" s="2"/>
    </row>
    <row r="40" spans="1:6" x14ac:dyDescent="0.3">
      <c r="A40" s="2"/>
    </row>
    <row r="41" spans="1:6" x14ac:dyDescent="0.3">
      <c r="A41" s="2"/>
    </row>
    <row r="42" spans="1:6" x14ac:dyDescent="0.3">
      <c r="A42" s="2"/>
    </row>
    <row r="43" spans="1:6" x14ac:dyDescent="0.3">
      <c r="A43" s="2"/>
    </row>
    <row r="44" spans="1:6" x14ac:dyDescent="0.3">
      <c r="A44" s="2"/>
    </row>
    <row r="45" spans="1:6" x14ac:dyDescent="0.3">
      <c r="A45" s="2"/>
    </row>
    <row r="46" spans="1:6" x14ac:dyDescent="0.3">
      <c r="A46" s="2"/>
    </row>
    <row r="6714" spans="2:6" x14ac:dyDescent="0.3">
      <c r="B6714" s="50">
        <v>6425</v>
      </c>
      <c r="C6714" s="2" t="s">
        <v>6288</v>
      </c>
      <c r="E6714">
        <v>2000</v>
      </c>
    </row>
    <row r="6715" spans="2:6" x14ac:dyDescent="0.3">
      <c r="B6715" s="50" t="s">
        <v>3232</v>
      </c>
      <c r="C6715" s="2" t="s">
        <v>9375</v>
      </c>
      <c r="E6715">
        <v>2000</v>
      </c>
    </row>
    <row r="6716" spans="2:6" x14ac:dyDescent="0.3">
      <c r="C6716" s="2" t="s">
        <v>2857</v>
      </c>
      <c r="F6716">
        <v>40000</v>
      </c>
    </row>
    <row r="6717" spans="2:6" x14ac:dyDescent="0.3">
      <c r="B6717" s="50">
        <v>5697</v>
      </c>
      <c r="C6717" s="2" t="s">
        <v>9376</v>
      </c>
      <c r="E6717">
        <v>200</v>
      </c>
    </row>
    <row r="6718" spans="2:6" x14ac:dyDescent="0.3">
      <c r="B6718" s="50">
        <v>5456</v>
      </c>
      <c r="C6718" s="2" t="s">
        <v>9377</v>
      </c>
      <c r="E6718">
        <v>0</v>
      </c>
      <c r="F6718">
        <v>0</v>
      </c>
    </row>
    <row r="6719" spans="2:6" x14ac:dyDescent="0.3">
      <c r="B6719" s="50">
        <v>110</v>
      </c>
      <c r="C6719" s="2" t="s">
        <v>8632</v>
      </c>
      <c r="E6719">
        <v>0</v>
      </c>
      <c r="F6719">
        <v>0</v>
      </c>
    </row>
    <row r="6720" spans="2:6" x14ac:dyDescent="0.3">
      <c r="B6720" s="50">
        <v>110</v>
      </c>
      <c r="C6720" s="2" t="s">
        <v>8632</v>
      </c>
      <c r="E6720">
        <v>3700</v>
      </c>
      <c r="F6720">
        <v>0</v>
      </c>
    </row>
    <row r="6721" spans="1:6" x14ac:dyDescent="0.3">
      <c r="B6721" s="50">
        <v>6425</v>
      </c>
      <c r="C6721" s="2" t="s">
        <v>6288</v>
      </c>
      <c r="E6721">
        <v>1200</v>
      </c>
    </row>
    <row r="6722" spans="1:6" x14ac:dyDescent="0.3">
      <c r="B6722" s="50">
        <v>1985</v>
      </c>
      <c r="C6722" s="2" t="s">
        <v>6985</v>
      </c>
      <c r="E6722">
        <v>3000</v>
      </c>
    </row>
    <row r="6723" spans="1:6" x14ac:dyDescent="0.3">
      <c r="A6723" s="56">
        <v>45949</v>
      </c>
      <c r="B6723" s="50">
        <v>4962</v>
      </c>
      <c r="C6723" s="2" t="s">
        <v>4207</v>
      </c>
      <c r="E6723">
        <v>8000</v>
      </c>
    </row>
    <row r="6724" spans="1:6" x14ac:dyDescent="0.3">
      <c r="B6724" s="50" t="s">
        <v>2241</v>
      </c>
      <c r="C6724" s="2" t="s">
        <v>9380</v>
      </c>
      <c r="E6724">
        <v>1000</v>
      </c>
    </row>
    <row r="6725" spans="1:6" x14ac:dyDescent="0.3">
      <c r="B6725" s="50">
        <v>2765</v>
      </c>
      <c r="C6725" s="2" t="s">
        <v>839</v>
      </c>
      <c r="E6725">
        <v>2500</v>
      </c>
    </row>
    <row r="6726" spans="1:6" x14ac:dyDescent="0.3">
      <c r="B6726" s="50">
        <v>1601</v>
      </c>
      <c r="C6726" s="2" t="s">
        <v>9382</v>
      </c>
      <c r="E6726">
        <v>0</v>
      </c>
      <c r="F6726">
        <v>0</v>
      </c>
    </row>
    <row r="6727" spans="1:6" x14ac:dyDescent="0.3">
      <c r="B6727" s="50">
        <v>1601</v>
      </c>
      <c r="C6727" s="2" t="s">
        <v>9382</v>
      </c>
      <c r="D6727" s="81">
        <v>7209811286</v>
      </c>
      <c r="E6727">
        <v>6500</v>
      </c>
    </row>
    <row r="6728" spans="1:6" x14ac:dyDescent="0.3">
      <c r="B6728" s="50">
        <v>6128</v>
      </c>
      <c r="C6728" s="2" t="s">
        <v>9383</v>
      </c>
      <c r="E6728">
        <v>2000</v>
      </c>
    </row>
    <row r="6729" spans="1:6" x14ac:dyDescent="0.3">
      <c r="B6729" s="50">
        <v>1458</v>
      </c>
      <c r="C6729" s="2" t="s">
        <v>9386</v>
      </c>
      <c r="E6729">
        <v>10000</v>
      </c>
    </row>
    <row r="6730" spans="1:6" x14ac:dyDescent="0.3">
      <c r="B6730" s="50" t="s">
        <v>3232</v>
      </c>
      <c r="C6730" s="2" t="s">
        <v>9387</v>
      </c>
      <c r="E6730">
        <v>2000</v>
      </c>
    </row>
    <row r="6731" spans="1:6" x14ac:dyDescent="0.3">
      <c r="B6731" s="50" t="s">
        <v>1160</v>
      </c>
      <c r="C6731" s="2" t="s">
        <v>9388</v>
      </c>
      <c r="E6731">
        <v>2000</v>
      </c>
    </row>
    <row r="6732" spans="1:6" x14ac:dyDescent="0.3">
      <c r="B6732" s="50" t="s">
        <v>3039</v>
      </c>
      <c r="C6732" s="2" t="s">
        <v>9389</v>
      </c>
      <c r="D6732" s="81">
        <v>9608908781</v>
      </c>
      <c r="E6732">
        <v>2500</v>
      </c>
    </row>
    <row r="6733" spans="1:6" x14ac:dyDescent="0.3">
      <c r="B6733" s="50" t="s">
        <v>1250</v>
      </c>
      <c r="C6733" s="2" t="s">
        <v>9390</v>
      </c>
      <c r="E6733">
        <v>2500</v>
      </c>
    </row>
    <row r="6734" spans="1:6" x14ac:dyDescent="0.3">
      <c r="B6734" s="50">
        <v>1607</v>
      </c>
      <c r="C6734" s="2" t="s">
        <v>6843</v>
      </c>
      <c r="E6734">
        <v>8000</v>
      </c>
    </row>
    <row r="6735" spans="1:6" x14ac:dyDescent="0.3">
      <c r="B6735" s="50" t="s">
        <v>2143</v>
      </c>
      <c r="C6735" s="2" t="s">
        <v>1279</v>
      </c>
      <c r="F6735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1DE9-02B7-42BE-9F43-C9DA0DF8E8A9}">
  <dimension ref="A3:O6735"/>
  <sheetViews>
    <sheetView workbookViewId="0">
      <selection activeCell="C6737" sqref="C6737"/>
    </sheetView>
  </sheetViews>
  <sheetFormatPr defaultRowHeight="14.4" x14ac:dyDescent="0.3"/>
  <cols>
    <col min="1" max="1" width="13.33203125" style="50" customWidth="1"/>
    <col min="2" max="2" width="9.109375" style="2"/>
  </cols>
  <sheetData>
    <row r="3" spans="1:15" x14ac:dyDescent="0.3">
      <c r="A3" s="63" t="s">
        <v>4556</v>
      </c>
    </row>
    <row r="6" spans="1:15" x14ac:dyDescent="0.3">
      <c r="A6" s="50" t="s">
        <v>0</v>
      </c>
      <c r="B6" s="2" t="s">
        <v>4555</v>
      </c>
    </row>
    <row r="7" spans="1:15" x14ac:dyDescent="0.3">
      <c r="A7" s="56">
        <v>42826</v>
      </c>
      <c r="B7" s="2">
        <v>500</v>
      </c>
    </row>
    <row r="8" spans="1:15" x14ac:dyDescent="0.3">
      <c r="A8" s="56">
        <v>44477</v>
      </c>
      <c r="B8" s="2">
        <v>1000</v>
      </c>
    </row>
    <row r="9" spans="1:15" x14ac:dyDescent="0.3">
      <c r="A9" s="56">
        <v>44679</v>
      </c>
      <c r="B9" s="2">
        <v>1000</v>
      </c>
    </row>
    <row r="10" spans="1:15" x14ac:dyDescent="0.3">
      <c r="A10" s="56">
        <v>44712</v>
      </c>
      <c r="B10" s="2">
        <v>2000</v>
      </c>
    </row>
    <row r="11" spans="1:15" x14ac:dyDescent="0.3">
      <c r="A11" s="56">
        <v>44748</v>
      </c>
      <c r="B11" s="2">
        <v>3000</v>
      </c>
    </row>
    <row r="12" spans="1:15" x14ac:dyDescent="0.3">
      <c r="A12" s="56">
        <v>44773</v>
      </c>
      <c r="B12" s="2">
        <v>3000</v>
      </c>
      <c r="O12">
        <v>15</v>
      </c>
    </row>
    <row r="13" spans="1:15" x14ac:dyDescent="0.3">
      <c r="A13" s="56">
        <v>44804</v>
      </c>
      <c r="B13" s="2">
        <v>3000</v>
      </c>
    </row>
    <row r="14" spans="1:15" x14ac:dyDescent="0.3">
      <c r="A14" s="56">
        <v>45364</v>
      </c>
      <c r="B14" s="2">
        <v>1000</v>
      </c>
      <c r="M14">
        <v>1000</v>
      </c>
    </row>
    <row r="28" spans="2:8" x14ac:dyDescent="0.3">
      <c r="G28">
        <v>500</v>
      </c>
      <c r="H28" s="5">
        <v>45955</v>
      </c>
    </row>
    <row r="29" spans="2:8" x14ac:dyDescent="0.3">
      <c r="G29">
        <v>500</v>
      </c>
      <c r="H29" s="5">
        <v>45976</v>
      </c>
    </row>
    <row r="30" spans="2:8" x14ac:dyDescent="0.3">
      <c r="F30">
        <v>5063</v>
      </c>
      <c r="G30">
        <v>2100</v>
      </c>
      <c r="H30" s="5">
        <v>45986</v>
      </c>
    </row>
    <row r="31" spans="2:8" x14ac:dyDescent="0.3">
      <c r="G31">
        <v>1000</v>
      </c>
      <c r="H31" s="5">
        <v>45989</v>
      </c>
    </row>
    <row r="32" spans="2:8" x14ac:dyDescent="0.3">
      <c r="B32" s="2" t="s">
        <v>9374</v>
      </c>
      <c r="C32">
        <v>4418097</v>
      </c>
      <c r="F32" t="s">
        <v>9378</v>
      </c>
      <c r="G32">
        <v>1000</v>
      </c>
      <c r="H32" s="5">
        <v>45971</v>
      </c>
    </row>
    <row r="33" spans="1:8" x14ac:dyDescent="0.3">
      <c r="A33" s="50">
        <v>9905498895</v>
      </c>
      <c r="B33" s="2" t="s">
        <v>9384</v>
      </c>
      <c r="C33">
        <v>4421178</v>
      </c>
      <c r="F33">
        <v>6480</v>
      </c>
      <c r="G33">
        <v>1000</v>
      </c>
      <c r="H33" s="5">
        <v>45971</v>
      </c>
    </row>
    <row r="34" spans="1:8" x14ac:dyDescent="0.3">
      <c r="A34"/>
    </row>
    <row r="35" spans="1:8" x14ac:dyDescent="0.3">
      <c r="A35"/>
    </row>
    <row r="36" spans="1:8" x14ac:dyDescent="0.3">
      <c r="A36"/>
    </row>
    <row r="37" spans="1:8" x14ac:dyDescent="0.3">
      <c r="A37"/>
    </row>
    <row r="38" spans="1:8" x14ac:dyDescent="0.3">
      <c r="A38"/>
    </row>
    <row r="39" spans="1:8" x14ac:dyDescent="0.3">
      <c r="A39"/>
    </row>
    <row r="40" spans="1:8" x14ac:dyDescent="0.3">
      <c r="A40"/>
    </row>
    <row r="41" spans="1:8" x14ac:dyDescent="0.3">
      <c r="A41"/>
    </row>
    <row r="42" spans="1:8" x14ac:dyDescent="0.3">
      <c r="A42"/>
    </row>
    <row r="43" spans="1:8" x14ac:dyDescent="0.3">
      <c r="A43"/>
    </row>
    <row r="44" spans="1:8" x14ac:dyDescent="0.3">
      <c r="A44"/>
    </row>
    <row r="45" spans="1:8" x14ac:dyDescent="0.3">
      <c r="A45"/>
    </row>
    <row r="46" spans="1:8" x14ac:dyDescent="0.3">
      <c r="A46"/>
    </row>
    <row r="6714" spans="2:8" x14ac:dyDescent="0.3">
      <c r="B6714" s="2">
        <v>6425</v>
      </c>
      <c r="C6714" t="s">
        <v>6288</v>
      </c>
      <c r="G6714">
        <v>2000</v>
      </c>
    </row>
    <row r="6715" spans="2:8" x14ac:dyDescent="0.3">
      <c r="B6715" s="2" t="s">
        <v>3232</v>
      </c>
      <c r="C6715" t="s">
        <v>9375</v>
      </c>
      <c r="G6715">
        <v>2000</v>
      </c>
    </row>
    <row r="6716" spans="2:8" x14ac:dyDescent="0.3">
      <c r="C6716" t="s">
        <v>2857</v>
      </c>
      <c r="E6716" t="s">
        <v>8332</v>
      </c>
      <c r="H6716">
        <v>40000</v>
      </c>
    </row>
    <row r="6717" spans="2:8" x14ac:dyDescent="0.3">
      <c r="B6717" s="2">
        <v>5697</v>
      </c>
      <c r="C6717" t="s">
        <v>9376</v>
      </c>
      <c r="E6717" t="s">
        <v>2088</v>
      </c>
      <c r="G6717">
        <v>200</v>
      </c>
    </row>
    <row r="6718" spans="2:8" x14ac:dyDescent="0.3">
      <c r="B6718" s="2">
        <v>5456</v>
      </c>
      <c r="C6718" t="s">
        <v>9377</v>
      </c>
      <c r="G6718">
        <v>0</v>
      </c>
      <c r="H6718">
        <v>0</v>
      </c>
    </row>
    <row r="6719" spans="2:8" x14ac:dyDescent="0.3">
      <c r="B6719" s="2">
        <v>110</v>
      </c>
      <c r="C6719" t="s">
        <v>8632</v>
      </c>
      <c r="E6719" t="s">
        <v>2088</v>
      </c>
      <c r="G6719">
        <v>0</v>
      </c>
      <c r="H6719">
        <v>0</v>
      </c>
    </row>
    <row r="6720" spans="2:8" x14ac:dyDescent="0.3">
      <c r="B6720" s="2">
        <v>110</v>
      </c>
      <c r="C6720" t="s">
        <v>8632</v>
      </c>
      <c r="E6720" t="s">
        <v>2088</v>
      </c>
      <c r="G6720">
        <v>3700</v>
      </c>
      <c r="H6720">
        <v>0</v>
      </c>
    </row>
    <row r="6721" spans="1:8" x14ac:dyDescent="0.3">
      <c r="B6721" s="2">
        <v>6425</v>
      </c>
      <c r="C6721" t="s">
        <v>6288</v>
      </c>
      <c r="G6721">
        <v>1200</v>
      </c>
    </row>
    <row r="6722" spans="1:8" x14ac:dyDescent="0.3">
      <c r="B6722" s="2">
        <v>1985</v>
      </c>
      <c r="C6722" t="s">
        <v>6985</v>
      </c>
      <c r="G6722">
        <v>3000</v>
      </c>
    </row>
    <row r="6723" spans="1:8" x14ac:dyDescent="0.3">
      <c r="A6723" s="56">
        <v>45949</v>
      </c>
      <c r="B6723" s="2">
        <v>4962</v>
      </c>
      <c r="C6723" t="s">
        <v>4207</v>
      </c>
      <c r="E6723" t="s">
        <v>2088</v>
      </c>
      <c r="G6723">
        <v>8000</v>
      </c>
    </row>
    <row r="6724" spans="1:8" x14ac:dyDescent="0.3">
      <c r="B6724" s="2" t="s">
        <v>2241</v>
      </c>
      <c r="C6724" t="s">
        <v>9380</v>
      </c>
      <c r="G6724">
        <v>1000</v>
      </c>
    </row>
    <row r="6725" spans="1:8" x14ac:dyDescent="0.3">
      <c r="B6725" s="2">
        <v>2765</v>
      </c>
      <c r="C6725" t="s">
        <v>839</v>
      </c>
      <c r="G6725">
        <v>2500</v>
      </c>
    </row>
    <row r="6726" spans="1:8" x14ac:dyDescent="0.3">
      <c r="B6726" s="2">
        <v>1601</v>
      </c>
      <c r="C6726" t="s">
        <v>9382</v>
      </c>
      <c r="E6726" t="s">
        <v>2088</v>
      </c>
      <c r="G6726">
        <v>0</v>
      </c>
      <c r="H6726">
        <v>0</v>
      </c>
    </row>
    <row r="6727" spans="1:8" x14ac:dyDescent="0.3">
      <c r="B6727" s="2">
        <v>1601</v>
      </c>
      <c r="C6727" t="s">
        <v>9382</v>
      </c>
      <c r="D6727" s="26">
        <v>7209811286</v>
      </c>
      <c r="E6727" t="s">
        <v>2088</v>
      </c>
      <c r="G6727">
        <v>6500</v>
      </c>
    </row>
    <row r="6728" spans="1:8" x14ac:dyDescent="0.3">
      <c r="B6728" s="2">
        <v>6128</v>
      </c>
      <c r="C6728" t="s">
        <v>9383</v>
      </c>
      <c r="G6728">
        <v>2000</v>
      </c>
    </row>
    <row r="6729" spans="1:8" x14ac:dyDescent="0.3">
      <c r="B6729" s="2">
        <v>1458</v>
      </c>
      <c r="C6729" t="s">
        <v>9386</v>
      </c>
      <c r="G6729">
        <v>10000</v>
      </c>
    </row>
    <row r="6730" spans="1:8" x14ac:dyDescent="0.3">
      <c r="B6730" s="2" t="s">
        <v>3232</v>
      </c>
      <c r="C6730" t="s">
        <v>9387</v>
      </c>
      <c r="G6730">
        <v>2000</v>
      </c>
    </row>
    <row r="6731" spans="1:8" x14ac:dyDescent="0.3">
      <c r="B6731" s="2" t="s">
        <v>1160</v>
      </c>
      <c r="C6731" t="s">
        <v>9388</v>
      </c>
      <c r="G6731">
        <v>2000</v>
      </c>
    </row>
    <row r="6732" spans="1:8" x14ac:dyDescent="0.3">
      <c r="B6732" s="2" t="s">
        <v>3039</v>
      </c>
      <c r="C6732" t="s">
        <v>9389</v>
      </c>
      <c r="D6732" s="26">
        <v>9608908781</v>
      </c>
      <c r="G6732">
        <v>2500</v>
      </c>
    </row>
    <row r="6733" spans="1:8" x14ac:dyDescent="0.3">
      <c r="B6733" s="2" t="s">
        <v>1250</v>
      </c>
      <c r="C6733" t="s">
        <v>9390</v>
      </c>
      <c r="G6733">
        <v>2500</v>
      </c>
    </row>
    <row r="6734" spans="1:8" x14ac:dyDescent="0.3">
      <c r="B6734" s="2">
        <v>1607</v>
      </c>
      <c r="C6734" t="s">
        <v>6843</v>
      </c>
      <c r="E6734" t="s">
        <v>2088</v>
      </c>
      <c r="G6734">
        <v>8000</v>
      </c>
    </row>
    <row r="6735" spans="1:8" x14ac:dyDescent="0.3">
      <c r="B6735" s="2" t="s">
        <v>2143</v>
      </c>
      <c r="C6735" t="s">
        <v>1279</v>
      </c>
      <c r="H6735">
        <v>10000</v>
      </c>
    </row>
  </sheetData>
  <hyperlinks>
    <hyperlink ref="A3" r:id="rId1" xr:uid="{639C7F0B-755F-4BE1-B71D-FA7B615201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E101-6BF2-4D42-B61C-61D5442877B3}">
  <dimension ref="A2:O6735"/>
  <sheetViews>
    <sheetView workbookViewId="0">
      <selection activeCell="C6737" sqref="C6737"/>
    </sheetView>
  </sheetViews>
  <sheetFormatPr defaultRowHeight="14.4" x14ac:dyDescent="0.3"/>
  <cols>
    <col min="1" max="1" width="34.21875" customWidth="1"/>
    <col min="2" max="2" width="20.88671875" customWidth="1"/>
    <col min="3" max="3" width="11.5546875" style="2" customWidth="1"/>
    <col min="4" max="4" width="10.44140625" style="2" bestFit="1" customWidth="1"/>
    <col min="5" max="5" width="9.109375" style="2"/>
  </cols>
  <sheetData>
    <row r="2" spans="1:15" ht="18" x14ac:dyDescent="0.35">
      <c r="A2" s="66" t="s">
        <v>4691</v>
      </c>
      <c r="B2" s="66"/>
      <c r="C2" s="67"/>
    </row>
    <row r="3" spans="1:15" ht="18" x14ac:dyDescent="0.35">
      <c r="A3" s="66"/>
      <c r="B3" s="66"/>
      <c r="C3" s="67"/>
    </row>
    <row r="4" spans="1:15" ht="18" x14ac:dyDescent="0.35">
      <c r="A4" s="66" t="s">
        <v>4718</v>
      </c>
      <c r="B4" s="66" t="s">
        <v>4719</v>
      </c>
      <c r="C4" s="68">
        <v>59.65</v>
      </c>
      <c r="D4" s="2" t="s">
        <v>4720</v>
      </c>
    </row>
    <row r="5" spans="1:15" ht="18" x14ac:dyDescent="0.35">
      <c r="A5" s="66" t="s">
        <v>4692</v>
      </c>
      <c r="B5" s="66"/>
      <c r="C5" s="67">
        <v>209.35</v>
      </c>
      <c r="D5" s="2" t="s">
        <v>4721</v>
      </c>
    </row>
    <row r="6" spans="1:15" ht="18" x14ac:dyDescent="0.35">
      <c r="A6" s="66" t="s">
        <v>4693</v>
      </c>
      <c r="B6" s="66"/>
    </row>
    <row r="7" spans="1:15" ht="18" x14ac:dyDescent="0.35">
      <c r="A7" s="66" t="s">
        <v>4694</v>
      </c>
      <c r="B7" s="66"/>
      <c r="C7" s="69">
        <v>385.95</v>
      </c>
      <c r="D7" s="2" t="s">
        <v>4721</v>
      </c>
    </row>
    <row r="8" spans="1:15" ht="18" x14ac:dyDescent="0.35">
      <c r="A8" s="66" t="s">
        <v>4695</v>
      </c>
      <c r="B8" s="66" t="s">
        <v>4719</v>
      </c>
      <c r="C8" s="67">
        <v>275.25</v>
      </c>
      <c r="D8" s="2" t="s">
        <v>4722</v>
      </c>
    </row>
    <row r="9" spans="1:15" ht="18" x14ac:dyDescent="0.35">
      <c r="A9" s="66" t="s">
        <v>4696</v>
      </c>
      <c r="B9" s="66"/>
    </row>
    <row r="10" spans="1:15" ht="18" x14ac:dyDescent="0.35">
      <c r="A10" s="66" t="s">
        <v>4697</v>
      </c>
      <c r="B10" s="66"/>
    </row>
    <row r="11" spans="1:15" ht="18" x14ac:dyDescent="0.35">
      <c r="A11" s="66" t="s">
        <v>4698</v>
      </c>
      <c r="B11" s="66"/>
      <c r="C11" s="67">
        <v>9.0500000000000007</v>
      </c>
      <c r="D11" s="2" t="s">
        <v>4721</v>
      </c>
    </row>
    <row r="12" spans="1:15" ht="18" x14ac:dyDescent="0.35">
      <c r="A12" s="66" t="s">
        <v>4699</v>
      </c>
      <c r="B12" s="66"/>
      <c r="C12" s="67">
        <v>17.510000000000002</v>
      </c>
      <c r="D12" s="109">
        <v>45471</v>
      </c>
      <c r="O12">
        <v>15</v>
      </c>
    </row>
    <row r="13" spans="1:15" ht="18" x14ac:dyDescent="0.35">
      <c r="A13" s="66" t="s">
        <v>4700</v>
      </c>
      <c r="B13" s="66" t="s">
        <v>4703</v>
      </c>
      <c r="C13" s="67">
        <v>63.2</v>
      </c>
      <c r="D13" s="2" t="s">
        <v>4721</v>
      </c>
      <c r="I13" t="s">
        <v>5002</v>
      </c>
      <c r="J13">
        <v>53</v>
      </c>
      <c r="K13">
        <v>300</v>
      </c>
      <c r="L13">
        <f>J13*K13</f>
        <v>15900</v>
      </c>
    </row>
    <row r="14" spans="1:15" ht="18" x14ac:dyDescent="0.35">
      <c r="A14" s="66" t="s">
        <v>4701</v>
      </c>
      <c r="B14" s="66"/>
      <c r="C14" s="67"/>
      <c r="I14" t="s">
        <v>5003</v>
      </c>
      <c r="J14">
        <v>18</v>
      </c>
      <c r="K14">
        <v>1000</v>
      </c>
      <c r="L14">
        <f>J14*K14</f>
        <v>18000</v>
      </c>
      <c r="M14">
        <v>1000</v>
      </c>
    </row>
    <row r="15" spans="1:15" ht="18" x14ac:dyDescent="0.35">
      <c r="A15" s="66" t="s">
        <v>4702</v>
      </c>
      <c r="B15" s="66"/>
      <c r="C15" s="67"/>
      <c r="I15" t="s">
        <v>5004</v>
      </c>
      <c r="J15">
        <v>29</v>
      </c>
      <c r="K15">
        <v>100</v>
      </c>
      <c r="L15">
        <f>J15*K15</f>
        <v>2900</v>
      </c>
    </row>
    <row r="16" spans="1:15" ht="18" x14ac:dyDescent="0.35">
      <c r="A16" s="66" t="s">
        <v>4704</v>
      </c>
      <c r="B16" s="66" t="s">
        <v>4705</v>
      </c>
      <c r="C16" s="67"/>
      <c r="I16" t="s">
        <v>5005</v>
      </c>
      <c r="J16">
        <v>81</v>
      </c>
      <c r="K16">
        <v>100</v>
      </c>
      <c r="L16">
        <f>J16*K16</f>
        <v>8100</v>
      </c>
    </row>
    <row r="17" spans="1:12" ht="18" x14ac:dyDescent="0.35">
      <c r="A17" s="66" t="s">
        <v>4706</v>
      </c>
      <c r="B17" s="66" t="s">
        <v>4707</v>
      </c>
      <c r="C17" s="67"/>
      <c r="L17">
        <f>SUM(L13:L16)</f>
        <v>44900</v>
      </c>
    </row>
    <row r="18" spans="1:12" ht="18" x14ac:dyDescent="0.35">
      <c r="A18" s="66" t="s">
        <v>4708</v>
      </c>
      <c r="B18" s="66" t="s">
        <v>4709</v>
      </c>
      <c r="C18" s="67"/>
    </row>
    <row r="19" spans="1:12" ht="18" x14ac:dyDescent="0.35">
      <c r="A19" s="66" t="s">
        <v>4710</v>
      </c>
      <c r="B19" s="66" t="s">
        <v>4711</v>
      </c>
      <c r="C19" s="67"/>
    </row>
    <row r="20" spans="1:12" ht="18" x14ac:dyDescent="0.35">
      <c r="A20" s="66" t="s">
        <v>4712</v>
      </c>
      <c r="B20" s="66"/>
      <c r="C20" s="67"/>
    </row>
    <row r="21" spans="1:12" ht="18" x14ac:dyDescent="0.35">
      <c r="A21" s="66" t="s">
        <v>4713</v>
      </c>
      <c r="B21" s="66" t="s">
        <v>4707</v>
      </c>
      <c r="C21" s="67"/>
    </row>
    <row r="22" spans="1:12" ht="18" x14ac:dyDescent="0.35">
      <c r="A22" s="66" t="s">
        <v>4714</v>
      </c>
      <c r="B22" s="66" t="s">
        <v>4707</v>
      </c>
      <c r="C22" s="67"/>
    </row>
    <row r="23" spans="1:12" ht="18" x14ac:dyDescent="0.35">
      <c r="A23" s="66" t="s">
        <v>4715</v>
      </c>
      <c r="B23" s="66" t="s">
        <v>4716</v>
      </c>
      <c r="C23" s="67">
        <v>13.62</v>
      </c>
    </row>
    <row r="24" spans="1:12" ht="18" x14ac:dyDescent="0.35">
      <c r="A24" s="66" t="s">
        <v>4717</v>
      </c>
      <c r="B24" s="66"/>
      <c r="C24" s="67">
        <v>58.8</v>
      </c>
    </row>
    <row r="25" spans="1:12" ht="18" x14ac:dyDescent="0.35">
      <c r="A25" s="66"/>
      <c r="B25" s="66"/>
      <c r="C25" s="67"/>
    </row>
    <row r="26" spans="1:12" ht="18" x14ac:dyDescent="0.35">
      <c r="A26" s="66" t="s">
        <v>5043</v>
      </c>
      <c r="B26" s="66"/>
      <c r="C26" s="67">
        <v>22.56</v>
      </c>
      <c r="D26" s="2">
        <v>100</v>
      </c>
      <c r="E26" s="2">
        <f t="shared" ref="E26:E51" si="0">C26*D26</f>
        <v>2256</v>
      </c>
    </row>
    <row r="27" spans="1:12" ht="18" x14ac:dyDescent="0.35">
      <c r="A27" s="116" t="s">
        <v>5198</v>
      </c>
      <c r="B27" s="116"/>
      <c r="C27" s="117">
        <v>19</v>
      </c>
      <c r="D27" s="72"/>
      <c r="E27" s="72">
        <f t="shared" si="0"/>
        <v>0</v>
      </c>
    </row>
    <row r="28" spans="1:12" ht="18" x14ac:dyDescent="0.35">
      <c r="A28" s="66" t="s">
        <v>5044</v>
      </c>
      <c r="B28" s="66"/>
      <c r="C28" s="67">
        <v>40.700000000000003</v>
      </c>
      <c r="E28" s="2">
        <f t="shared" si="0"/>
        <v>0</v>
      </c>
      <c r="G28">
        <v>500</v>
      </c>
      <c r="H28" s="5">
        <v>45955</v>
      </c>
    </row>
    <row r="29" spans="1:12" ht="18" x14ac:dyDescent="0.35">
      <c r="A29" s="66" t="s">
        <v>5045</v>
      </c>
      <c r="B29" s="66"/>
      <c r="C29" s="67">
        <v>3.82</v>
      </c>
      <c r="D29" s="110"/>
      <c r="E29" s="2">
        <f t="shared" si="0"/>
        <v>0</v>
      </c>
      <c r="G29">
        <v>500</v>
      </c>
      <c r="H29" s="5">
        <v>45976</v>
      </c>
    </row>
    <row r="30" spans="1:12" ht="18" x14ac:dyDescent="0.35">
      <c r="A30" s="66" t="s">
        <v>5046</v>
      </c>
      <c r="B30" s="66"/>
      <c r="C30" s="67">
        <v>2.71</v>
      </c>
      <c r="D30" s="110"/>
      <c r="E30" s="2">
        <f t="shared" si="0"/>
        <v>0</v>
      </c>
      <c r="F30">
        <v>5063</v>
      </c>
      <c r="G30">
        <v>2100</v>
      </c>
      <c r="H30" s="5">
        <v>45986</v>
      </c>
    </row>
    <row r="31" spans="1:12" ht="18" x14ac:dyDescent="0.35">
      <c r="A31" s="66" t="s">
        <v>5047</v>
      </c>
      <c r="C31" s="2">
        <v>0.85</v>
      </c>
      <c r="D31" s="110"/>
      <c r="E31" s="2">
        <f t="shared" si="0"/>
        <v>0</v>
      </c>
      <c r="G31">
        <v>1000</v>
      </c>
      <c r="H31" s="5">
        <v>45989</v>
      </c>
    </row>
    <row r="32" spans="1:12" ht="18" x14ac:dyDescent="0.35">
      <c r="A32" s="66" t="s">
        <v>5048</v>
      </c>
      <c r="B32" t="s">
        <v>9374</v>
      </c>
      <c r="C32" s="2">
        <v>4418097</v>
      </c>
      <c r="D32" s="110"/>
      <c r="E32" s="2">
        <f t="shared" si="0"/>
        <v>0</v>
      </c>
      <c r="F32" t="s">
        <v>9378</v>
      </c>
      <c r="G32">
        <v>1000</v>
      </c>
      <c r="H32" s="5">
        <v>45971</v>
      </c>
    </row>
    <row r="33" spans="1:8" ht="18" x14ac:dyDescent="0.35">
      <c r="A33" s="66">
        <v>9905498895</v>
      </c>
      <c r="B33" t="s">
        <v>9384</v>
      </c>
      <c r="C33" s="2">
        <v>4421178</v>
      </c>
      <c r="D33" s="110">
        <f t="shared" ref="D33:D51" si="1">500/C33</f>
        <v>1.1309203112835538E-4</v>
      </c>
      <c r="F33">
        <v>6480</v>
      </c>
      <c r="G33" s="2">
        <v>1000</v>
      </c>
      <c r="H33" s="5">
        <v>45971</v>
      </c>
    </row>
    <row r="34" spans="1:8" x14ac:dyDescent="0.3">
      <c r="A34" s="2">
        <v>2.59</v>
      </c>
      <c r="D34" s="110">
        <f>500/A34</f>
        <v>193.05019305019306</v>
      </c>
      <c r="E34" s="2">
        <f>A34*D34</f>
        <v>500</v>
      </c>
    </row>
    <row r="35" spans="1:8" x14ac:dyDescent="0.3">
      <c r="A35" s="2"/>
      <c r="D35" s="110"/>
    </row>
    <row r="36" spans="1:8" x14ac:dyDescent="0.3">
      <c r="A36" s="2"/>
      <c r="D36" s="110"/>
    </row>
    <row r="37" spans="1:8" x14ac:dyDescent="0.3">
      <c r="A37" s="2"/>
      <c r="D37" s="110"/>
    </row>
    <row r="38" spans="1:8" x14ac:dyDescent="0.3">
      <c r="A38" s="2"/>
      <c r="D38" s="110"/>
    </row>
    <row r="39" spans="1:8" x14ac:dyDescent="0.3">
      <c r="A39" s="2"/>
      <c r="D39" s="110"/>
    </row>
    <row r="40" spans="1:8" x14ac:dyDescent="0.3">
      <c r="A40" s="2"/>
      <c r="D40" s="110"/>
    </row>
    <row r="41" spans="1:8" x14ac:dyDescent="0.3">
      <c r="A41" s="2"/>
      <c r="D41" s="110"/>
    </row>
    <row r="42" spans="1:8" x14ac:dyDescent="0.3">
      <c r="A42" s="2"/>
      <c r="D42" s="110"/>
    </row>
    <row r="43" spans="1:8" x14ac:dyDescent="0.3">
      <c r="A43" s="2"/>
      <c r="D43" s="110"/>
    </row>
    <row r="44" spans="1:8" x14ac:dyDescent="0.3">
      <c r="A44" s="2"/>
      <c r="D44" s="110"/>
    </row>
    <row r="45" spans="1:8" x14ac:dyDescent="0.3">
      <c r="A45" s="2"/>
      <c r="D45" s="110"/>
    </row>
    <row r="46" spans="1:8" x14ac:dyDescent="0.3">
      <c r="A46" s="2"/>
      <c r="D46" s="110"/>
    </row>
    <row r="47" spans="1:8" ht="18" x14ac:dyDescent="0.35">
      <c r="A47" s="66" t="s">
        <v>5049</v>
      </c>
      <c r="C47" s="2">
        <v>4.1500000000000004</v>
      </c>
      <c r="D47" s="110">
        <f t="shared" si="1"/>
        <v>120.48192771084337</v>
      </c>
      <c r="E47" s="2">
        <f t="shared" si="0"/>
        <v>500</v>
      </c>
    </row>
    <row r="48" spans="1:8" ht="18" x14ac:dyDescent="0.35">
      <c r="A48" s="66" t="s">
        <v>5050</v>
      </c>
      <c r="C48" s="2">
        <v>23.5</v>
      </c>
      <c r="D48" s="110">
        <f t="shared" si="1"/>
        <v>21.276595744680851</v>
      </c>
      <c r="E48" s="2">
        <f t="shared" si="0"/>
        <v>500</v>
      </c>
    </row>
    <row r="49" spans="1:5" ht="18" x14ac:dyDescent="0.35">
      <c r="A49" s="66" t="s">
        <v>5051</v>
      </c>
      <c r="C49" s="2">
        <v>1</v>
      </c>
      <c r="D49" s="110">
        <f t="shared" si="1"/>
        <v>500</v>
      </c>
      <c r="E49" s="2">
        <f t="shared" si="0"/>
        <v>500</v>
      </c>
    </row>
    <row r="50" spans="1:5" ht="18" x14ac:dyDescent="0.35">
      <c r="A50" s="66" t="s">
        <v>5052</v>
      </c>
      <c r="C50" s="2">
        <v>14.09</v>
      </c>
      <c r="D50" s="110">
        <f t="shared" si="1"/>
        <v>35.486160397444998</v>
      </c>
      <c r="E50" s="2">
        <f t="shared" si="0"/>
        <v>500</v>
      </c>
    </row>
    <row r="51" spans="1:5" ht="18" x14ac:dyDescent="0.35">
      <c r="A51" s="66" t="s">
        <v>5053</v>
      </c>
      <c r="C51" s="2">
        <v>3.83</v>
      </c>
      <c r="D51" s="2">
        <f t="shared" si="1"/>
        <v>130.54830287206266</v>
      </c>
      <c r="E51" s="2">
        <f t="shared" si="0"/>
        <v>500</v>
      </c>
    </row>
    <row r="52" spans="1:5" ht="18" x14ac:dyDescent="0.35">
      <c r="A52" s="66" t="s">
        <v>5209</v>
      </c>
    </row>
    <row r="53" spans="1:5" ht="18" x14ac:dyDescent="0.35">
      <c r="A53" s="66" t="s">
        <v>5210</v>
      </c>
    </row>
    <row r="54" spans="1:5" ht="18" x14ac:dyDescent="0.35">
      <c r="A54" s="66" t="s">
        <v>5211</v>
      </c>
    </row>
    <row r="55" spans="1:5" ht="18" x14ac:dyDescent="0.35">
      <c r="A55" s="66" t="s">
        <v>5212</v>
      </c>
    </row>
    <row r="56" spans="1:5" ht="18" x14ac:dyDescent="0.35">
      <c r="A56" s="66" t="s">
        <v>5213</v>
      </c>
    </row>
    <row r="59" spans="1:5" x14ac:dyDescent="0.3">
      <c r="E59" s="2">
        <f>SUM(E26:E51)</f>
        <v>5256</v>
      </c>
    </row>
    <row r="6714" spans="2:8" x14ac:dyDescent="0.3">
      <c r="B6714">
        <v>6425</v>
      </c>
      <c r="C6714" s="2" t="s">
        <v>6288</v>
      </c>
      <c r="G6714">
        <v>2000</v>
      </c>
    </row>
    <row r="6715" spans="2:8" x14ac:dyDescent="0.3">
      <c r="B6715" t="s">
        <v>3232</v>
      </c>
      <c r="C6715" s="2" t="s">
        <v>9375</v>
      </c>
      <c r="G6715">
        <v>2000</v>
      </c>
    </row>
    <row r="6716" spans="2:8" x14ac:dyDescent="0.3">
      <c r="C6716" s="2" t="s">
        <v>2857</v>
      </c>
      <c r="E6716" s="2" t="s">
        <v>8332</v>
      </c>
      <c r="H6716">
        <v>40000</v>
      </c>
    </row>
    <row r="6717" spans="2:8" x14ac:dyDescent="0.3">
      <c r="B6717">
        <v>5697</v>
      </c>
      <c r="C6717" s="2" t="s">
        <v>9376</v>
      </c>
      <c r="E6717" s="2" t="s">
        <v>2088</v>
      </c>
      <c r="G6717">
        <v>200</v>
      </c>
    </row>
    <row r="6718" spans="2:8" x14ac:dyDescent="0.3">
      <c r="B6718">
        <v>5456</v>
      </c>
      <c r="C6718" s="2" t="s">
        <v>9377</v>
      </c>
      <c r="G6718">
        <v>0</v>
      </c>
      <c r="H6718">
        <v>0</v>
      </c>
    </row>
    <row r="6719" spans="2:8" x14ac:dyDescent="0.3">
      <c r="B6719">
        <v>110</v>
      </c>
      <c r="C6719" s="2" t="s">
        <v>8632</v>
      </c>
      <c r="E6719" s="2" t="s">
        <v>2088</v>
      </c>
      <c r="G6719">
        <v>0</v>
      </c>
      <c r="H6719">
        <v>0</v>
      </c>
    </row>
    <row r="6720" spans="2:8" x14ac:dyDescent="0.3">
      <c r="B6720">
        <v>110</v>
      </c>
      <c r="C6720" s="2" t="s">
        <v>8632</v>
      </c>
      <c r="E6720" s="2" t="s">
        <v>2088</v>
      </c>
      <c r="G6720">
        <v>3700</v>
      </c>
      <c r="H6720">
        <v>0</v>
      </c>
    </row>
    <row r="6721" spans="1:8" x14ac:dyDescent="0.3">
      <c r="B6721">
        <v>6425</v>
      </c>
      <c r="C6721" s="2" t="s">
        <v>6288</v>
      </c>
      <c r="G6721">
        <v>1200</v>
      </c>
    </row>
    <row r="6722" spans="1:8" x14ac:dyDescent="0.3">
      <c r="B6722">
        <v>1985</v>
      </c>
      <c r="C6722" s="2" t="s">
        <v>6985</v>
      </c>
      <c r="G6722">
        <v>3000</v>
      </c>
    </row>
    <row r="6723" spans="1:8" x14ac:dyDescent="0.3">
      <c r="A6723" s="5">
        <v>45949</v>
      </c>
      <c r="B6723">
        <v>4962</v>
      </c>
      <c r="C6723" s="2" t="s">
        <v>4207</v>
      </c>
      <c r="E6723" s="2" t="s">
        <v>2088</v>
      </c>
      <c r="G6723">
        <v>8000</v>
      </c>
    </row>
    <row r="6724" spans="1:8" x14ac:dyDescent="0.3">
      <c r="B6724" t="s">
        <v>2241</v>
      </c>
      <c r="C6724" s="2" t="s">
        <v>9380</v>
      </c>
      <c r="G6724">
        <v>1000</v>
      </c>
    </row>
    <row r="6725" spans="1:8" x14ac:dyDescent="0.3">
      <c r="B6725">
        <v>2765</v>
      </c>
      <c r="C6725" s="2" t="s">
        <v>839</v>
      </c>
      <c r="G6725">
        <v>2500</v>
      </c>
    </row>
    <row r="6726" spans="1:8" x14ac:dyDescent="0.3">
      <c r="B6726">
        <v>1601</v>
      </c>
      <c r="C6726" s="2" t="s">
        <v>9382</v>
      </c>
      <c r="E6726" s="2" t="s">
        <v>2088</v>
      </c>
      <c r="G6726">
        <v>0</v>
      </c>
      <c r="H6726">
        <v>0</v>
      </c>
    </row>
    <row r="6727" spans="1:8" x14ac:dyDescent="0.3">
      <c r="B6727">
        <v>1601</v>
      </c>
      <c r="C6727" s="2" t="s">
        <v>9382</v>
      </c>
      <c r="D6727" s="81">
        <v>7209811286</v>
      </c>
      <c r="E6727" s="2" t="s">
        <v>2088</v>
      </c>
      <c r="G6727">
        <v>6500</v>
      </c>
    </row>
    <row r="6728" spans="1:8" x14ac:dyDescent="0.3">
      <c r="B6728">
        <v>6128</v>
      </c>
      <c r="C6728" s="2" t="s">
        <v>9383</v>
      </c>
      <c r="G6728">
        <v>2000</v>
      </c>
    </row>
    <row r="6729" spans="1:8" x14ac:dyDescent="0.3">
      <c r="B6729">
        <v>1458</v>
      </c>
      <c r="C6729" s="2" t="s">
        <v>9386</v>
      </c>
      <c r="G6729">
        <v>10000</v>
      </c>
    </row>
    <row r="6730" spans="1:8" x14ac:dyDescent="0.3">
      <c r="B6730" t="s">
        <v>3232</v>
      </c>
      <c r="C6730" s="2" t="s">
        <v>9387</v>
      </c>
      <c r="G6730">
        <v>2000</v>
      </c>
    </row>
    <row r="6731" spans="1:8" x14ac:dyDescent="0.3">
      <c r="B6731" t="s">
        <v>1160</v>
      </c>
      <c r="C6731" s="2" t="s">
        <v>9388</v>
      </c>
      <c r="G6731">
        <v>2000</v>
      </c>
    </row>
    <row r="6732" spans="1:8" x14ac:dyDescent="0.3">
      <c r="B6732" t="s">
        <v>3039</v>
      </c>
      <c r="C6732" s="2" t="s">
        <v>9389</v>
      </c>
      <c r="D6732" s="81">
        <v>9608908781</v>
      </c>
      <c r="G6732">
        <v>2500</v>
      </c>
    </row>
    <row r="6733" spans="1:8" x14ac:dyDescent="0.3">
      <c r="B6733" t="s">
        <v>1250</v>
      </c>
      <c r="C6733" s="2" t="s">
        <v>9390</v>
      </c>
      <c r="G6733">
        <v>2500</v>
      </c>
    </row>
    <row r="6734" spans="1:8" x14ac:dyDescent="0.3">
      <c r="B6734">
        <v>1607</v>
      </c>
      <c r="C6734" s="2" t="s">
        <v>6843</v>
      </c>
      <c r="E6734" s="2" t="s">
        <v>2088</v>
      </c>
      <c r="G6734">
        <v>8000</v>
      </c>
    </row>
    <row r="6735" spans="1:8" x14ac:dyDescent="0.3">
      <c r="B6735" t="s">
        <v>2143</v>
      </c>
      <c r="C6735" s="2" t="s">
        <v>1279</v>
      </c>
      <c r="H6735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8282-1A1D-43DD-A641-1669F240CBD7}">
  <dimension ref="A1:U6695"/>
  <sheetViews>
    <sheetView topLeftCell="A17" zoomScale="115" zoomScaleNormal="115" workbookViewId="0">
      <pane xSplit="1" topLeftCell="B1" activePane="topRight" state="frozen"/>
      <selection activeCell="C6737" sqref="C6737"/>
      <selection pane="topRight" activeCell="K24" sqref="K24"/>
    </sheetView>
  </sheetViews>
  <sheetFormatPr defaultRowHeight="14.4" x14ac:dyDescent="0.3"/>
  <cols>
    <col min="1" max="1" width="21.33203125" customWidth="1"/>
    <col min="2" max="2" width="8" style="7" customWidth="1"/>
    <col min="3" max="3" width="9.6640625" customWidth="1"/>
    <col min="4" max="4" width="12.109375" customWidth="1"/>
    <col min="7" max="7" width="12.21875" customWidth="1"/>
    <col min="8" max="8" width="9.6640625" customWidth="1"/>
    <col min="10" max="10" width="11.109375" customWidth="1"/>
    <col min="19" max="19" width="10.33203125" bestFit="1" customWidth="1"/>
  </cols>
  <sheetData>
    <row r="1" spans="1:21" ht="15.6" x14ac:dyDescent="0.3">
      <c r="S1" s="12"/>
      <c r="T1" s="12"/>
      <c r="U1" s="12"/>
    </row>
    <row r="2" spans="1:21" x14ac:dyDescent="0.3">
      <c r="C2" s="180">
        <v>46113</v>
      </c>
      <c r="D2" s="180">
        <v>46143</v>
      </c>
      <c r="E2" s="180">
        <v>46174</v>
      </c>
      <c r="F2" s="180">
        <v>46204</v>
      </c>
      <c r="G2" s="180">
        <v>46235</v>
      </c>
      <c r="H2" s="180">
        <v>46266</v>
      </c>
      <c r="I2" s="190"/>
      <c r="J2" s="191"/>
      <c r="K2" s="191"/>
      <c r="L2" s="190"/>
      <c r="M2" s="191"/>
      <c r="N2" s="191"/>
      <c r="S2" s="5"/>
    </row>
    <row r="3" spans="1:21" x14ac:dyDescent="0.3">
      <c r="A3" t="s">
        <v>4779</v>
      </c>
      <c r="B3" s="7">
        <v>5184</v>
      </c>
      <c r="C3" s="54">
        <v>5184</v>
      </c>
      <c r="D3">
        <v>5184</v>
      </c>
      <c r="E3">
        <v>4510</v>
      </c>
      <c r="F3" s="54">
        <v>5184</v>
      </c>
      <c r="G3" s="54">
        <v>5184</v>
      </c>
      <c r="I3" s="54"/>
      <c r="J3" s="5"/>
      <c r="S3" s="5"/>
    </row>
    <row r="4" spans="1:21" x14ac:dyDescent="0.3">
      <c r="A4" t="s">
        <v>224</v>
      </c>
      <c r="B4" s="7">
        <v>1500</v>
      </c>
      <c r="C4">
        <v>1500</v>
      </c>
      <c r="E4">
        <v>1500</v>
      </c>
      <c r="G4">
        <v>2000</v>
      </c>
      <c r="S4" s="5"/>
    </row>
    <row r="5" spans="1:21" x14ac:dyDescent="0.3">
      <c r="A5" t="s">
        <v>10093</v>
      </c>
      <c r="B5" s="7">
        <v>4000</v>
      </c>
      <c r="C5">
        <v>4000</v>
      </c>
      <c r="D5">
        <v>4800</v>
      </c>
      <c r="E5">
        <v>4800</v>
      </c>
      <c r="F5">
        <v>5500</v>
      </c>
      <c r="G5">
        <v>5500</v>
      </c>
      <c r="S5" s="5"/>
    </row>
    <row r="6" spans="1:21" x14ac:dyDescent="0.3">
      <c r="A6" t="s">
        <v>10375</v>
      </c>
      <c r="B6" s="7">
        <v>600</v>
      </c>
      <c r="C6">
        <v>600</v>
      </c>
      <c r="D6" s="5">
        <v>590</v>
      </c>
      <c r="E6">
        <v>618</v>
      </c>
      <c r="G6">
        <v>600</v>
      </c>
      <c r="J6" s="5"/>
      <c r="S6" s="5"/>
    </row>
    <row r="7" spans="1:21" x14ac:dyDescent="0.3">
      <c r="A7" t="s">
        <v>2684</v>
      </c>
      <c r="B7" s="7">
        <v>1000</v>
      </c>
      <c r="D7" s="5"/>
      <c r="E7">
        <v>1366</v>
      </c>
      <c r="G7">
        <v>1400</v>
      </c>
      <c r="J7" s="5"/>
    </row>
    <row r="8" spans="1:21" x14ac:dyDescent="0.3">
      <c r="A8" s="59" t="s">
        <v>2685</v>
      </c>
      <c r="B8" s="7">
        <v>1000</v>
      </c>
      <c r="C8">
        <v>1000</v>
      </c>
      <c r="D8">
        <v>1000</v>
      </c>
      <c r="E8">
        <v>1000</v>
      </c>
      <c r="G8">
        <v>1000</v>
      </c>
    </row>
    <row r="9" spans="1:21" x14ac:dyDescent="0.3">
      <c r="A9" s="59" t="s">
        <v>2686</v>
      </c>
      <c r="B9" s="7">
        <v>1000</v>
      </c>
      <c r="C9">
        <v>1000</v>
      </c>
      <c r="D9">
        <v>1000</v>
      </c>
      <c r="G9">
        <v>1000</v>
      </c>
    </row>
    <row r="10" spans="1:21" x14ac:dyDescent="0.3">
      <c r="A10" s="59" t="s">
        <v>2687</v>
      </c>
      <c r="B10" s="7">
        <v>2000</v>
      </c>
      <c r="C10">
        <v>2000</v>
      </c>
      <c r="D10">
        <v>2000</v>
      </c>
      <c r="G10">
        <v>2000</v>
      </c>
    </row>
    <row r="11" spans="1:21" x14ac:dyDescent="0.3">
      <c r="A11" t="s">
        <v>2683</v>
      </c>
      <c r="B11" s="7">
        <v>1344</v>
      </c>
      <c r="C11">
        <v>1344</v>
      </c>
      <c r="D11">
        <v>1344</v>
      </c>
      <c r="E11">
        <v>1344</v>
      </c>
      <c r="F11">
        <v>1344</v>
      </c>
      <c r="G11">
        <v>1344</v>
      </c>
    </row>
    <row r="12" spans="1:21" x14ac:dyDescent="0.3">
      <c r="A12" t="s">
        <v>2688</v>
      </c>
      <c r="B12" s="7">
        <v>5000</v>
      </c>
      <c r="G12">
        <v>5000</v>
      </c>
    </row>
    <row r="13" spans="1:21" x14ac:dyDescent="0.3">
      <c r="A13" t="s">
        <v>4136</v>
      </c>
      <c r="B13" s="7">
        <v>1000</v>
      </c>
      <c r="C13">
        <v>1000</v>
      </c>
      <c r="D13">
        <v>1000</v>
      </c>
      <c r="E13">
        <v>500</v>
      </c>
      <c r="G13">
        <v>1000</v>
      </c>
    </row>
    <row r="14" spans="1:21" x14ac:dyDescent="0.3">
      <c r="A14" t="s">
        <v>4296</v>
      </c>
      <c r="B14" s="7">
        <v>2000</v>
      </c>
      <c r="C14">
        <f>2000+1000</f>
        <v>3000</v>
      </c>
      <c r="D14">
        <v>2500</v>
      </c>
      <c r="E14">
        <v>1000</v>
      </c>
      <c r="G14">
        <v>1000</v>
      </c>
    </row>
    <row r="15" spans="1:21" x14ac:dyDescent="0.3">
      <c r="A15" t="s">
        <v>4259</v>
      </c>
      <c r="B15" s="7">
        <v>2012</v>
      </c>
      <c r="C15">
        <v>0</v>
      </c>
    </row>
    <row r="16" spans="1:21" x14ac:dyDescent="0.3">
      <c r="A16" t="s">
        <v>5110</v>
      </c>
      <c r="U16" s="8"/>
    </row>
    <row r="17" spans="1:9" x14ac:dyDescent="0.3">
      <c r="A17" s="120" t="s">
        <v>3633</v>
      </c>
      <c r="B17" s="120"/>
    </row>
    <row r="18" spans="1:9" x14ac:dyDescent="0.3">
      <c r="A18" t="s">
        <v>4761</v>
      </c>
      <c r="B18" s="7">
        <v>4000</v>
      </c>
      <c r="C18">
        <f>3235+55</f>
        <v>3290</v>
      </c>
      <c r="E18">
        <v>6000</v>
      </c>
    </row>
    <row r="19" spans="1:9" x14ac:dyDescent="0.3">
      <c r="A19" t="s">
        <v>4137</v>
      </c>
      <c r="B19" s="7">
        <v>1500</v>
      </c>
      <c r="C19">
        <v>1000</v>
      </c>
    </row>
    <row r="20" spans="1:9" x14ac:dyDescent="0.3">
      <c r="A20" t="s">
        <v>4260</v>
      </c>
      <c r="B20" s="7">
        <v>3000</v>
      </c>
      <c r="C20">
        <f>500+500+900+250</f>
        <v>2150</v>
      </c>
    </row>
    <row r="21" spans="1:9" x14ac:dyDescent="0.3">
      <c r="A21" t="s">
        <v>4138</v>
      </c>
      <c r="B21" s="7">
        <v>1000</v>
      </c>
      <c r="C21">
        <v>1000</v>
      </c>
    </row>
    <row r="22" spans="1:9" x14ac:dyDescent="0.3">
      <c r="A22" t="s">
        <v>4139</v>
      </c>
      <c r="B22" s="7">
        <v>1000</v>
      </c>
      <c r="C22">
        <v>1000</v>
      </c>
      <c r="E22">
        <v>1000</v>
      </c>
    </row>
    <row r="23" spans="1:9" x14ac:dyDescent="0.3">
      <c r="A23" t="s">
        <v>4140</v>
      </c>
      <c r="B23" s="7">
        <v>6000</v>
      </c>
      <c r="C23">
        <v>4000</v>
      </c>
    </row>
    <row r="24" spans="1:9" x14ac:dyDescent="0.3">
      <c r="A24" t="s">
        <v>4196</v>
      </c>
      <c r="B24" s="7">
        <v>1000</v>
      </c>
      <c r="C24">
        <v>500</v>
      </c>
      <c r="D24">
        <v>500</v>
      </c>
      <c r="E24">
        <v>2009</v>
      </c>
    </row>
    <row r="25" spans="1:9" x14ac:dyDescent="0.3">
      <c r="A25" t="s">
        <v>4197</v>
      </c>
      <c r="B25" s="7">
        <v>500</v>
      </c>
      <c r="E25">
        <v>500</v>
      </c>
    </row>
    <row r="26" spans="1:9" x14ac:dyDescent="0.3">
      <c r="A26" t="s">
        <v>2496</v>
      </c>
      <c r="B26" s="7">
        <v>3000</v>
      </c>
      <c r="C26" s="1"/>
      <c r="D26">
        <v>2500</v>
      </c>
      <c r="F26" s="1"/>
      <c r="I26" s="1"/>
    </row>
    <row r="27" spans="1:9" x14ac:dyDescent="0.3">
      <c r="A27" t="s">
        <v>4232</v>
      </c>
    </row>
    <row r="28" spans="1:9" x14ac:dyDescent="0.3">
      <c r="A28" t="s">
        <v>4261</v>
      </c>
      <c r="B28" s="7">
        <v>2500</v>
      </c>
      <c r="C28">
        <v>2345</v>
      </c>
      <c r="D28">
        <v>2343</v>
      </c>
      <c r="E28">
        <v>2800</v>
      </c>
    </row>
    <row r="29" spans="1:9" x14ac:dyDescent="0.3">
      <c r="A29" t="s">
        <v>4760</v>
      </c>
      <c r="B29" s="7">
        <v>500</v>
      </c>
    </row>
    <row r="30" spans="1:9" x14ac:dyDescent="0.3">
      <c r="A30" t="s">
        <v>4324</v>
      </c>
      <c r="B30" s="7">
        <v>500</v>
      </c>
      <c r="C30">
        <f>110+250</f>
        <v>360</v>
      </c>
    </row>
    <row r="31" spans="1:9" x14ac:dyDescent="0.3">
      <c r="A31">
        <v>9905498895</v>
      </c>
    </row>
    <row r="33" spans="2:8" x14ac:dyDescent="0.3">
      <c r="B33" s="59">
        <f>SUM(B3:B32)</f>
        <v>52140</v>
      </c>
      <c r="C33" s="59">
        <f>SUM(C3:C32)</f>
        <v>36273</v>
      </c>
      <c r="D33" s="59">
        <f t="shared" ref="D33:H33" si="0">SUM(D3:D32)</f>
        <v>24761</v>
      </c>
      <c r="E33" s="59">
        <f t="shared" si="0"/>
        <v>28947</v>
      </c>
      <c r="F33" s="59">
        <f t="shared" si="0"/>
        <v>12028</v>
      </c>
      <c r="G33" s="59">
        <f t="shared" si="0"/>
        <v>27028</v>
      </c>
      <c r="H33" s="59">
        <f t="shared" si="0"/>
        <v>0</v>
      </c>
    </row>
    <row r="6695" spans="1:2" x14ac:dyDescent="0.3">
      <c r="A6695" s="5">
        <v>45949</v>
      </c>
      <c r="B6695" s="25"/>
    </row>
  </sheetData>
  <mergeCells count="2">
    <mergeCell ref="L2:N2"/>
    <mergeCell ref="I2:K2"/>
  </mergeCells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BBF4-67C6-4F7F-8D35-EBCB7936E244}">
  <dimension ref="A1:O6735"/>
  <sheetViews>
    <sheetView zoomScaleNormal="100" workbookViewId="0">
      <selection activeCell="F27" sqref="F27"/>
    </sheetView>
  </sheetViews>
  <sheetFormatPr defaultRowHeight="14.4" x14ac:dyDescent="0.3"/>
  <cols>
    <col min="1" max="1" width="11.44140625" customWidth="1"/>
    <col min="2" max="2" width="30" customWidth="1"/>
    <col min="6" max="6" width="12.33203125" style="50" customWidth="1"/>
    <col min="7" max="7" width="15.33203125" customWidth="1"/>
    <col min="8" max="8" width="8.109375" customWidth="1"/>
    <col min="9" max="9" width="7.109375" customWidth="1"/>
    <col min="11" max="11" width="10.6640625" bestFit="1" customWidth="1"/>
    <col min="12" max="12" width="13.88671875" customWidth="1"/>
  </cols>
  <sheetData>
    <row r="1" spans="2:15" x14ac:dyDescent="0.3">
      <c r="L1">
        <f>SUM(L2:L15)</f>
        <v>7780</v>
      </c>
    </row>
    <row r="2" spans="2:15" x14ac:dyDescent="0.3">
      <c r="F2" s="50" t="s">
        <v>6134</v>
      </c>
      <c r="G2" t="s">
        <v>6135</v>
      </c>
      <c r="H2" s="2" t="s">
        <v>4687</v>
      </c>
      <c r="I2" s="2" t="s">
        <v>4688</v>
      </c>
      <c r="K2" s="5">
        <v>45627</v>
      </c>
      <c r="L2">
        <v>1700</v>
      </c>
    </row>
    <row r="3" spans="2:15" x14ac:dyDescent="0.3">
      <c r="F3" s="56">
        <v>45573</v>
      </c>
      <c r="G3" t="s">
        <v>6138</v>
      </c>
      <c r="H3">
        <v>100</v>
      </c>
      <c r="K3" s="5">
        <v>45628</v>
      </c>
      <c r="L3">
        <f>2600+180</f>
        <v>2780</v>
      </c>
    </row>
    <row r="4" spans="2:15" x14ac:dyDescent="0.3">
      <c r="C4" t="s">
        <v>5893</v>
      </c>
      <c r="D4" t="s">
        <v>5894</v>
      </c>
      <c r="F4" s="56"/>
      <c r="K4" s="5">
        <v>45629</v>
      </c>
      <c r="L4">
        <v>3200</v>
      </c>
    </row>
    <row r="5" spans="2:15" x14ac:dyDescent="0.3">
      <c r="F5" s="56"/>
      <c r="K5" s="5">
        <v>45629</v>
      </c>
      <c r="L5">
        <v>100</v>
      </c>
    </row>
    <row r="6" spans="2:15" x14ac:dyDescent="0.3">
      <c r="B6" t="s">
        <v>5895</v>
      </c>
      <c r="C6">
        <v>2000</v>
      </c>
      <c r="D6">
        <v>500</v>
      </c>
      <c r="F6" s="56"/>
    </row>
    <row r="7" spans="2:15" x14ac:dyDescent="0.3">
      <c r="B7" t="s">
        <v>5896</v>
      </c>
      <c r="C7">
        <v>1000</v>
      </c>
      <c r="D7">
        <v>380</v>
      </c>
      <c r="F7" s="56"/>
    </row>
    <row r="8" spans="2:15" x14ac:dyDescent="0.3">
      <c r="B8" t="s">
        <v>5897</v>
      </c>
      <c r="C8">
        <v>32</v>
      </c>
      <c r="D8">
        <f>C8*8</f>
        <v>256</v>
      </c>
      <c r="F8" s="56"/>
    </row>
    <row r="9" spans="2:15" x14ac:dyDescent="0.3">
      <c r="B9" t="s">
        <v>5898</v>
      </c>
      <c r="C9">
        <v>120</v>
      </c>
      <c r="D9">
        <f>C9*8</f>
        <v>960</v>
      </c>
      <c r="F9" s="56"/>
      <c r="H9" s="139">
        <v>450</v>
      </c>
      <c r="I9" s="140">
        <v>180</v>
      </c>
      <c r="J9" s="141"/>
    </row>
    <row r="10" spans="2:15" x14ac:dyDescent="0.3">
      <c r="B10" t="s">
        <v>5899</v>
      </c>
      <c r="C10">
        <v>40</v>
      </c>
      <c r="D10">
        <v>320</v>
      </c>
      <c r="F10" s="56"/>
      <c r="H10" s="142"/>
      <c r="J10" s="143"/>
    </row>
    <row r="11" spans="2:15" x14ac:dyDescent="0.3">
      <c r="B11" t="s">
        <v>5901</v>
      </c>
      <c r="C11">
        <v>12</v>
      </c>
      <c r="D11">
        <v>96</v>
      </c>
      <c r="F11" s="56"/>
      <c r="H11" s="142"/>
      <c r="J11" s="143"/>
    </row>
    <row r="12" spans="2:15" x14ac:dyDescent="0.3">
      <c r="B12" t="s">
        <v>5900</v>
      </c>
      <c r="C12">
        <f>1.5*3*4</f>
        <v>18</v>
      </c>
      <c r="D12">
        <f>C12*8</f>
        <v>144</v>
      </c>
      <c r="F12" s="56"/>
      <c r="H12" s="142"/>
      <c r="J12" s="143"/>
      <c r="O12">
        <v>15</v>
      </c>
    </row>
    <row r="13" spans="2:15" x14ac:dyDescent="0.3">
      <c r="D13" s="7">
        <f>SUM(D6:D12)</f>
        <v>2656</v>
      </c>
      <c r="F13" s="56"/>
      <c r="H13" s="142"/>
      <c r="J13" s="143"/>
    </row>
    <row r="14" spans="2:15" x14ac:dyDescent="0.3">
      <c r="F14" s="56"/>
      <c r="H14" s="142"/>
      <c r="J14" s="143"/>
      <c r="M14">
        <v>1000</v>
      </c>
    </row>
    <row r="15" spans="2:15" x14ac:dyDescent="0.3">
      <c r="F15" s="56"/>
      <c r="H15" s="142"/>
      <c r="J15" s="143"/>
    </row>
    <row r="16" spans="2:15" x14ac:dyDescent="0.3">
      <c r="F16" s="56"/>
      <c r="H16" s="142"/>
      <c r="J16" s="143"/>
    </row>
    <row r="17" spans="1:10" x14ac:dyDescent="0.3">
      <c r="F17" s="56"/>
      <c r="H17" s="142"/>
      <c r="J17" s="143"/>
    </row>
    <row r="18" spans="1:10" x14ac:dyDescent="0.3">
      <c r="F18" s="56"/>
      <c r="H18" s="142"/>
      <c r="J18" s="143"/>
    </row>
    <row r="19" spans="1:10" x14ac:dyDescent="0.3">
      <c r="A19" s="56"/>
      <c r="H19" s="142"/>
      <c r="J19" s="143"/>
    </row>
    <row r="20" spans="1:10" x14ac:dyDescent="0.3">
      <c r="A20" s="56"/>
      <c r="H20" s="142"/>
      <c r="J20" s="143"/>
    </row>
    <row r="21" spans="1:10" x14ac:dyDescent="0.3">
      <c r="A21" s="56"/>
      <c r="H21" s="142"/>
      <c r="J21" s="143"/>
    </row>
    <row r="22" spans="1:10" x14ac:dyDescent="0.3">
      <c r="A22" s="56"/>
      <c r="H22" s="142"/>
      <c r="J22" s="143"/>
    </row>
    <row r="23" spans="1:10" x14ac:dyDescent="0.3">
      <c r="A23" s="56"/>
      <c r="H23" s="144"/>
      <c r="J23" s="143"/>
    </row>
    <row r="24" spans="1:10" x14ac:dyDescent="0.3">
      <c r="A24" s="56"/>
      <c r="H24" s="142"/>
      <c r="J24" s="143"/>
    </row>
    <row r="25" spans="1:10" x14ac:dyDescent="0.3">
      <c r="A25" s="56"/>
      <c r="H25" s="142"/>
      <c r="J25" s="143"/>
    </row>
    <row r="26" spans="1:10" x14ac:dyDescent="0.3">
      <c r="A26" s="56"/>
      <c r="H26" s="145"/>
      <c r="J26" s="146"/>
    </row>
    <row r="27" spans="1:10" x14ac:dyDescent="0.3">
      <c r="A27" s="56"/>
    </row>
    <row r="28" spans="1:10" x14ac:dyDescent="0.3">
      <c r="A28" s="56"/>
      <c r="H28" s="5"/>
    </row>
    <row r="29" spans="1:10" x14ac:dyDescent="0.3">
      <c r="A29" s="56"/>
      <c r="H29" s="5"/>
    </row>
    <row r="30" spans="1:10" x14ac:dyDescent="0.3">
      <c r="A30" s="56">
        <v>45992</v>
      </c>
      <c r="B30" t="s">
        <v>9791</v>
      </c>
      <c r="C30">
        <v>400</v>
      </c>
      <c r="H30" s="5"/>
    </row>
    <row r="31" spans="1:10" x14ac:dyDescent="0.3">
      <c r="A31" s="56">
        <v>45994</v>
      </c>
      <c r="B31" t="s">
        <v>6092</v>
      </c>
      <c r="C31">
        <v>1000</v>
      </c>
      <c r="H31" s="5"/>
    </row>
    <row r="32" spans="1:10" x14ac:dyDescent="0.3">
      <c r="A32" s="56"/>
      <c r="C32">
        <v>0</v>
      </c>
      <c r="H32" s="5"/>
    </row>
    <row r="33" spans="1:8" x14ac:dyDescent="0.3">
      <c r="A33" s="56"/>
      <c r="H33" s="5"/>
    </row>
    <row r="47" spans="1:8" x14ac:dyDescent="0.3">
      <c r="A47" s="50"/>
    </row>
    <row r="48" spans="1:8" x14ac:dyDescent="0.3">
      <c r="A48" s="50"/>
    </row>
    <row r="49" spans="1:3" x14ac:dyDescent="0.3">
      <c r="A49" s="50"/>
    </row>
    <row r="50" spans="1:3" x14ac:dyDescent="0.3">
      <c r="A50" s="50"/>
    </row>
    <row r="51" spans="1:3" x14ac:dyDescent="0.3">
      <c r="A51" s="50"/>
      <c r="C51" s="7">
        <f>SUM(C19:C50)</f>
        <v>1400</v>
      </c>
    </row>
    <row r="52" spans="1:3" x14ac:dyDescent="0.3">
      <c r="A52" s="50"/>
    </row>
    <row r="6714" spans="2:8" x14ac:dyDescent="0.3">
      <c r="B6714">
        <v>6425</v>
      </c>
      <c r="C6714" t="s">
        <v>6288</v>
      </c>
      <c r="G6714">
        <v>2000</v>
      </c>
    </row>
    <row r="6715" spans="2:8" x14ac:dyDescent="0.3">
      <c r="B6715" t="s">
        <v>3232</v>
      </c>
      <c r="C6715" t="s">
        <v>9375</v>
      </c>
      <c r="G6715">
        <v>2000</v>
      </c>
    </row>
    <row r="6716" spans="2:8" x14ac:dyDescent="0.3">
      <c r="C6716" t="s">
        <v>2857</v>
      </c>
      <c r="E6716" t="s">
        <v>8332</v>
      </c>
      <c r="H6716">
        <v>40000</v>
      </c>
    </row>
    <row r="6717" spans="2:8" x14ac:dyDescent="0.3">
      <c r="B6717">
        <v>5697</v>
      </c>
      <c r="C6717" t="s">
        <v>9376</v>
      </c>
      <c r="E6717" t="s">
        <v>2088</v>
      </c>
      <c r="G6717">
        <v>200</v>
      </c>
    </row>
    <row r="6718" spans="2:8" x14ac:dyDescent="0.3">
      <c r="B6718">
        <v>5456</v>
      </c>
      <c r="C6718" t="s">
        <v>9377</v>
      </c>
      <c r="G6718">
        <v>0</v>
      </c>
      <c r="H6718">
        <v>0</v>
      </c>
    </row>
    <row r="6719" spans="2:8" x14ac:dyDescent="0.3">
      <c r="B6719">
        <v>110</v>
      </c>
      <c r="C6719" t="s">
        <v>8632</v>
      </c>
      <c r="E6719" t="s">
        <v>2088</v>
      </c>
      <c r="G6719">
        <v>0</v>
      </c>
      <c r="H6719">
        <v>0</v>
      </c>
    </row>
    <row r="6720" spans="2:8" x14ac:dyDescent="0.3">
      <c r="B6720">
        <v>110</v>
      </c>
      <c r="C6720" t="s">
        <v>8632</v>
      </c>
      <c r="E6720" t="s">
        <v>2088</v>
      </c>
      <c r="G6720">
        <v>3700</v>
      </c>
      <c r="H6720">
        <v>0</v>
      </c>
    </row>
    <row r="6721" spans="1:8" x14ac:dyDescent="0.3">
      <c r="B6721">
        <v>6425</v>
      </c>
      <c r="C6721" t="s">
        <v>6288</v>
      </c>
      <c r="G6721">
        <v>1200</v>
      </c>
    </row>
    <row r="6722" spans="1:8" x14ac:dyDescent="0.3">
      <c r="B6722">
        <v>1985</v>
      </c>
      <c r="C6722" t="s">
        <v>6985</v>
      </c>
      <c r="G6722">
        <v>3000</v>
      </c>
    </row>
    <row r="6723" spans="1:8" x14ac:dyDescent="0.3">
      <c r="A6723" s="5">
        <v>45949</v>
      </c>
      <c r="B6723">
        <v>4962</v>
      </c>
      <c r="C6723" t="s">
        <v>4207</v>
      </c>
      <c r="E6723" t="s">
        <v>2088</v>
      </c>
      <c r="G6723">
        <v>8000</v>
      </c>
    </row>
    <row r="6724" spans="1:8" x14ac:dyDescent="0.3">
      <c r="B6724" t="s">
        <v>2241</v>
      </c>
      <c r="C6724" t="s">
        <v>9380</v>
      </c>
      <c r="G6724">
        <v>1000</v>
      </c>
    </row>
    <row r="6725" spans="1:8" x14ac:dyDescent="0.3">
      <c r="B6725">
        <v>2765</v>
      </c>
      <c r="C6725" t="s">
        <v>839</v>
      </c>
      <c r="G6725">
        <v>2500</v>
      </c>
    </row>
    <row r="6726" spans="1:8" x14ac:dyDescent="0.3">
      <c r="B6726">
        <v>1601</v>
      </c>
      <c r="C6726" t="s">
        <v>9382</v>
      </c>
      <c r="E6726" t="s">
        <v>2088</v>
      </c>
      <c r="G6726">
        <v>0</v>
      </c>
      <c r="H6726">
        <v>0</v>
      </c>
    </row>
    <row r="6727" spans="1:8" x14ac:dyDescent="0.3">
      <c r="B6727">
        <v>1601</v>
      </c>
      <c r="C6727" t="s">
        <v>9382</v>
      </c>
      <c r="D6727" s="26">
        <v>7209811286</v>
      </c>
      <c r="E6727" t="s">
        <v>2088</v>
      </c>
      <c r="G6727">
        <v>6500</v>
      </c>
    </row>
    <row r="6728" spans="1:8" x14ac:dyDescent="0.3">
      <c r="B6728">
        <v>6128</v>
      </c>
      <c r="C6728" t="s">
        <v>9383</v>
      </c>
      <c r="G6728">
        <v>2000</v>
      </c>
    </row>
    <row r="6729" spans="1:8" x14ac:dyDescent="0.3">
      <c r="B6729">
        <v>1458</v>
      </c>
      <c r="C6729" t="s">
        <v>9386</v>
      </c>
      <c r="G6729">
        <v>10000</v>
      </c>
    </row>
    <row r="6730" spans="1:8" x14ac:dyDescent="0.3">
      <c r="B6730" t="s">
        <v>3232</v>
      </c>
      <c r="C6730" t="s">
        <v>9387</v>
      </c>
      <c r="G6730">
        <v>2000</v>
      </c>
    </row>
    <row r="6731" spans="1:8" x14ac:dyDescent="0.3">
      <c r="B6731" t="s">
        <v>1160</v>
      </c>
      <c r="C6731" t="s">
        <v>9388</v>
      </c>
      <c r="G6731">
        <v>2000</v>
      </c>
    </row>
    <row r="6732" spans="1:8" x14ac:dyDescent="0.3">
      <c r="B6732" t="s">
        <v>3039</v>
      </c>
      <c r="C6732" t="s">
        <v>9389</v>
      </c>
      <c r="D6732" s="26">
        <v>9608908781</v>
      </c>
      <c r="G6732">
        <v>2500</v>
      </c>
    </row>
    <row r="6733" spans="1:8" x14ac:dyDescent="0.3">
      <c r="B6733" t="s">
        <v>1250</v>
      </c>
      <c r="C6733" t="s">
        <v>9390</v>
      </c>
      <c r="G6733">
        <v>2500</v>
      </c>
    </row>
    <row r="6734" spans="1:8" x14ac:dyDescent="0.3">
      <c r="B6734">
        <v>1607</v>
      </c>
      <c r="C6734" t="s">
        <v>6843</v>
      </c>
      <c r="E6734" t="s">
        <v>2088</v>
      </c>
      <c r="G6734">
        <v>8000</v>
      </c>
    </row>
    <row r="6735" spans="1:8" x14ac:dyDescent="0.3">
      <c r="B6735" t="s">
        <v>2143</v>
      </c>
      <c r="C6735" t="s">
        <v>1279</v>
      </c>
      <c r="H6735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2BC5-7FF8-4D8E-BC50-117CBDB6C4BB}">
  <dimension ref="B1:M19"/>
  <sheetViews>
    <sheetView workbookViewId="0">
      <selection activeCell="J23" sqref="J23"/>
    </sheetView>
  </sheetViews>
  <sheetFormatPr defaultRowHeight="14.4" x14ac:dyDescent="0.3"/>
  <cols>
    <col min="2" max="2" width="13.88671875" customWidth="1"/>
    <col min="3" max="3" width="14" customWidth="1"/>
    <col min="6" max="6" width="10" customWidth="1"/>
    <col min="7" max="7" width="13.109375" customWidth="1"/>
    <col min="10" max="10" width="13.21875" customWidth="1"/>
    <col min="11" max="11" width="16.5546875" customWidth="1"/>
    <col min="12" max="12" width="12.77734375" customWidth="1"/>
    <col min="13" max="13" width="12.109375" customWidth="1"/>
  </cols>
  <sheetData>
    <row r="1" spans="2:13" x14ac:dyDescent="0.3">
      <c r="C1" t="s">
        <v>10611</v>
      </c>
      <c r="F1" t="s">
        <v>10612</v>
      </c>
      <c r="H1" t="s">
        <v>10613</v>
      </c>
    </row>
    <row r="2" spans="2:13" x14ac:dyDescent="0.3">
      <c r="C2">
        <f>SUM(C5:C24)</f>
        <v>1686600</v>
      </c>
      <c r="F2">
        <f>SUM(F5:F21)</f>
        <v>2100000</v>
      </c>
      <c r="H2">
        <f>F2-C2</f>
        <v>413400</v>
      </c>
    </row>
    <row r="5" spans="2:13" x14ac:dyDescent="0.3">
      <c r="B5" t="s">
        <v>10606</v>
      </c>
      <c r="C5">
        <f>87000+400000</f>
        <v>487000</v>
      </c>
      <c r="E5" t="s">
        <v>10614</v>
      </c>
      <c r="F5">
        <v>1400000</v>
      </c>
      <c r="K5">
        <f>SUM(K7:K23)</f>
        <v>642500</v>
      </c>
      <c r="M5">
        <f t="shared" ref="M5" si="0">SUM(M7:M23)</f>
        <v>730000</v>
      </c>
    </row>
    <row r="6" spans="2:13" x14ac:dyDescent="0.3">
      <c r="B6" t="s">
        <v>10607</v>
      </c>
      <c r="C6">
        <v>10000</v>
      </c>
      <c r="E6" t="s">
        <v>10615</v>
      </c>
      <c r="F6">
        <v>700000</v>
      </c>
    </row>
    <row r="7" spans="2:13" x14ac:dyDescent="0.3">
      <c r="B7" t="s">
        <v>10608</v>
      </c>
      <c r="C7">
        <f>10000+20000</f>
        <v>30000</v>
      </c>
      <c r="G7">
        <f>6+2+2</f>
        <v>10</v>
      </c>
      <c r="J7" t="s">
        <v>10815</v>
      </c>
      <c r="K7">
        <f>450*550</f>
        <v>247500</v>
      </c>
      <c r="L7" t="s">
        <v>3088</v>
      </c>
      <c r="M7">
        <v>300000</v>
      </c>
    </row>
    <row r="8" spans="2:13" x14ac:dyDescent="0.3">
      <c r="B8" t="s">
        <v>10609</v>
      </c>
      <c r="C8">
        <v>10000</v>
      </c>
      <c r="J8" t="s">
        <v>10816</v>
      </c>
      <c r="K8">
        <f>150*250</f>
        <v>37500</v>
      </c>
      <c r="L8" t="s">
        <v>10820</v>
      </c>
      <c r="M8">
        <f>100000+130000+200000-20000-51000</f>
        <v>359000</v>
      </c>
    </row>
    <row r="9" spans="2:13" x14ac:dyDescent="0.3">
      <c r="B9" t="s">
        <v>10610</v>
      </c>
      <c r="C9">
        <v>10000</v>
      </c>
      <c r="J9" t="s">
        <v>10817</v>
      </c>
      <c r="K9">
        <f>17500+20000</f>
        <v>37500</v>
      </c>
      <c r="L9" t="s">
        <v>2339</v>
      </c>
      <c r="M9">
        <v>20000</v>
      </c>
    </row>
    <row r="10" spans="2:13" x14ac:dyDescent="0.3">
      <c r="B10" t="s">
        <v>10616</v>
      </c>
      <c r="J10" t="s">
        <v>10821</v>
      </c>
      <c r="K10">
        <v>40000</v>
      </c>
      <c r="L10" t="s">
        <v>10822</v>
      </c>
      <c r="M10">
        <v>51000</v>
      </c>
    </row>
    <row r="11" spans="2:13" x14ac:dyDescent="0.3">
      <c r="B11" t="s">
        <v>10617</v>
      </c>
    </row>
    <row r="12" spans="2:13" x14ac:dyDescent="0.3">
      <c r="B12" t="s">
        <v>10618</v>
      </c>
      <c r="C12">
        <f>75000+11000</f>
        <v>86000</v>
      </c>
      <c r="J12" t="s">
        <v>7046</v>
      </c>
      <c r="K12">
        <v>150000</v>
      </c>
    </row>
    <row r="13" spans="2:13" x14ac:dyDescent="0.3">
      <c r="B13" t="s">
        <v>10619</v>
      </c>
      <c r="C13">
        <v>500000</v>
      </c>
      <c r="J13" t="s">
        <v>10818</v>
      </c>
      <c r="K13">
        <v>100000</v>
      </c>
    </row>
    <row r="14" spans="2:13" x14ac:dyDescent="0.3">
      <c r="B14" t="s">
        <v>10620</v>
      </c>
      <c r="C14">
        <v>300000</v>
      </c>
      <c r="J14" t="s">
        <v>10819</v>
      </c>
      <c r="K14">
        <v>30000</v>
      </c>
    </row>
    <row r="15" spans="2:13" x14ac:dyDescent="0.3">
      <c r="B15" t="s">
        <v>10309</v>
      </c>
      <c r="C15">
        <v>80000</v>
      </c>
    </row>
    <row r="16" spans="2:13" x14ac:dyDescent="0.3">
      <c r="B16" t="s">
        <v>10621</v>
      </c>
      <c r="C16">
        <v>15000</v>
      </c>
    </row>
    <row r="17" spans="2:3" x14ac:dyDescent="0.3">
      <c r="B17" t="s">
        <v>10622</v>
      </c>
      <c r="C17">
        <v>8600</v>
      </c>
    </row>
    <row r="18" spans="2:3" x14ac:dyDescent="0.3">
      <c r="B18" t="s">
        <v>10459</v>
      </c>
      <c r="C18">
        <v>100000</v>
      </c>
    </row>
    <row r="19" spans="2:3" x14ac:dyDescent="0.3">
      <c r="B19" t="s">
        <v>10623</v>
      </c>
      <c r="C19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CR-DR</vt:lpstr>
      <vt:lpstr>06-1953</vt:lpstr>
      <vt:lpstr>SF</vt:lpstr>
      <vt:lpstr>nps</vt:lpstr>
      <vt:lpstr>Trading</vt:lpstr>
      <vt:lpstr>Monthly exp</vt:lpstr>
      <vt:lpstr>dAILY</vt:lpstr>
      <vt:lpstr>MARRIAGE 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BIGBOSE</dc:creator>
  <cp:lastModifiedBy>Sanjay Kumar</cp:lastModifiedBy>
  <cp:lastPrinted>2024-11-27T12:41:38Z</cp:lastPrinted>
  <dcterms:created xsi:type="dcterms:W3CDTF">2016-11-27T12:06:29Z</dcterms:created>
  <dcterms:modified xsi:type="dcterms:W3CDTF">2026-09-30T15:54:32Z</dcterms:modified>
</cp:coreProperties>
</file>